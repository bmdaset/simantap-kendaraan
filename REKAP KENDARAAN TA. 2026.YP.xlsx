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nur\Downloads\aplikasi online\"/>
    </mc:Choice>
  </mc:AlternateContent>
  <xr:revisionPtr revIDLastSave="0" documentId="13_ncr:1_{798A5457-1361-4FB2-B671-BD6157E44E67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KENDARAAN DINAS" sheetId="1" r:id="rId1"/>
    <sheet name="REKAP KENDARAAN DINAS" sheetId="2" r:id="rId2"/>
    <sheet name="KIB A - Tanah" sheetId="3" r:id="rId3"/>
    <sheet name="KIB C - Gedung dan Bangunan" sheetId="4" r:id="rId4"/>
  </sheets>
  <definedNames>
    <definedName name="_xlnm._FilterDatabase" localSheetId="0" hidden="1">'KENDARAAN DINAS'!$A$16:$W$1627</definedName>
    <definedName name="_xlnm._FilterDatabase" localSheetId="2" hidden="1">'KIB A - Tanah'!$A$8:$Z$8</definedName>
    <definedName name="_xlnm._FilterDatabase" localSheetId="3" hidden="1">'KIB C - Gedung dan Bangunan'!$A$11:$S$3533</definedName>
    <definedName name="arb_2014" localSheetId="1">#REF!</definedName>
    <definedName name="arb_2014">#REF!</definedName>
    <definedName name="ATB_2014" localSheetId="1">#REF!</definedName>
    <definedName name="ATB_2014">#REF!</definedName>
    <definedName name="ATB_2015" localSheetId="1">#REF!</definedName>
    <definedName name="ATB_2015">#REF!</definedName>
    <definedName name="biek_2015" localSheetId="1">#REF!</definedName>
    <definedName name="biek_2015">#REF!</definedName>
    <definedName name="LRA_64" localSheetId="1">#REF!</definedName>
    <definedName name="LRA_64">#REF!</definedName>
    <definedName name="No_2020" localSheetId="1">#REF!</definedName>
    <definedName name="No_2020">#REF!</definedName>
    <definedName name="non_op" localSheetId="1">#REF!</definedName>
    <definedName name="non_op">#REF!</definedName>
    <definedName name="op" localSheetId="1">#REF!</definedName>
    <definedName name="op">#REF!</definedName>
    <definedName name="peralatan_dan_Mesin">'KENDARAAN DINAS'!$A:$AV</definedName>
    <definedName name="saldo_arb" localSheetId="1">#REF!</definedName>
    <definedName name="saldo_arb">#REF!</definedName>
    <definedName name="saldo_atb" localSheetId="1">#REF!</definedName>
    <definedName name="saldo_atb">#REF!</definedName>
    <definedName name="saldo_biek" localSheetId="1">#REF!</definedName>
    <definedName name="saldo_biek">#REF!</definedName>
    <definedName name="tanah" localSheetId="2">'KIB A - Tanah'!$A:$AT</definedName>
    <definedName name="tanah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nWoGE7jInuVteT967KwJb8hThrHvPaefNF1DWeWpgM="/>
    </ext>
  </extLst>
</workbook>
</file>

<file path=xl/calcChain.xml><?xml version="1.0" encoding="utf-8"?>
<calcChain xmlns="http://schemas.openxmlformats.org/spreadsheetml/2006/main">
  <c r="P3534" i="4" l="1"/>
  <c r="M1022" i="3" l="1"/>
  <c r="P1627" i="1" l="1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N4" i="2"/>
  <c r="M4" i="2"/>
  <c r="L4" i="2"/>
  <c r="K4" i="2"/>
  <c r="J4" i="2"/>
  <c r="I4" i="2"/>
  <c r="H4" i="2"/>
  <c r="G4" i="2"/>
  <c r="F4" i="2"/>
  <c r="E4" i="2"/>
  <c r="D4" i="2"/>
  <c r="C4" i="2"/>
  <c r="P1626" i="1"/>
  <c r="O41" i="2" l="1"/>
  <c r="O34" i="2"/>
  <c r="P33" i="2"/>
  <c r="P25" i="2"/>
  <c r="O20" i="2"/>
  <c r="O28" i="2"/>
  <c r="P44" i="2"/>
  <c r="P20" i="2"/>
  <c r="O13" i="2"/>
  <c r="P30" i="2"/>
  <c r="P28" i="2"/>
  <c r="O36" i="2"/>
  <c r="P36" i="2"/>
  <c r="F46" i="2"/>
  <c r="P9" i="2"/>
  <c r="O39" i="2"/>
  <c r="P7" i="2"/>
  <c r="P23" i="2"/>
  <c r="P31" i="2"/>
  <c r="P39" i="2"/>
  <c r="P41" i="2"/>
  <c r="P15" i="2"/>
  <c r="O18" i="2"/>
  <c r="O23" i="2"/>
  <c r="P18" i="2"/>
  <c r="P26" i="2"/>
  <c r="G46" i="2"/>
  <c r="P10" i="2"/>
  <c r="O45" i="2"/>
  <c r="P45" i="2"/>
  <c r="P13" i="2"/>
  <c r="P37" i="2"/>
  <c r="O40" i="2"/>
  <c r="P21" i="2"/>
  <c r="P16" i="2"/>
  <c r="P24" i="2"/>
  <c r="P32" i="2"/>
  <c r="P43" i="2"/>
  <c r="O7" i="2"/>
  <c r="P17" i="2"/>
  <c r="P38" i="2"/>
  <c r="O4" i="2"/>
  <c r="P14" i="2"/>
  <c r="O17" i="2"/>
  <c r="O25" i="2"/>
  <c r="O15" i="2"/>
  <c r="P4" i="2"/>
  <c r="O12" i="2"/>
  <c r="O30" i="2"/>
  <c r="O35" i="2"/>
  <c r="E46" i="2"/>
  <c r="P12" i="2"/>
  <c r="O33" i="2"/>
  <c r="K46" i="2"/>
  <c r="O5" i="2"/>
  <c r="O31" i="2"/>
  <c r="P34" i="2"/>
  <c r="O8" i="2"/>
  <c r="P8" i="2"/>
  <c r="O16" i="2"/>
  <c r="O26" i="2"/>
  <c r="O29" i="2"/>
  <c r="N46" i="2"/>
  <c r="O21" i="2"/>
  <c r="O42" i="2"/>
  <c r="P29" i="2"/>
  <c r="L46" i="2"/>
  <c r="O24" i="2"/>
  <c r="I46" i="2"/>
  <c r="P5" i="2"/>
  <c r="O11" i="2"/>
  <c r="O32" i="2"/>
  <c r="P11" i="2"/>
  <c r="J46" i="2"/>
  <c r="M46" i="2"/>
  <c r="O6" i="2"/>
  <c r="P19" i="2"/>
  <c r="O37" i="2"/>
  <c r="P40" i="2"/>
  <c r="P42" i="2"/>
  <c r="O10" i="2"/>
  <c r="P6" i="2"/>
  <c r="O27" i="2"/>
  <c r="H46" i="2"/>
  <c r="P27" i="2"/>
  <c r="O43" i="2"/>
  <c r="O9" i="2"/>
  <c r="O14" i="2"/>
  <c r="O19" i="2"/>
  <c r="O44" i="2"/>
  <c r="O22" i="2"/>
  <c r="P35" i="2"/>
  <c r="P22" i="2"/>
  <c r="O38" i="2"/>
  <c r="C46" i="2"/>
  <c r="D46" i="2"/>
  <c r="P46" i="2" l="1"/>
  <c r="O46" i="2"/>
</calcChain>
</file>

<file path=xl/sharedStrings.xml><?xml version="1.0" encoding="utf-8"?>
<sst xmlns="http://schemas.openxmlformats.org/spreadsheetml/2006/main" count="73728" uniqueCount="15990">
  <si>
    <t>NO</t>
  </si>
  <si>
    <t>NAMA SKPD</t>
  </si>
  <si>
    <t>SEPEDA MOTOR</t>
  </si>
  <si>
    <t>MOBIL</t>
  </si>
  <si>
    <t>BUS</t>
  </si>
  <si>
    <t>TRUK</t>
  </si>
  <si>
    <t>ALAT BERAT</t>
  </si>
  <si>
    <t>PEMERINTAH KABUPATEN SERUYAN</t>
  </si>
  <si>
    <t>TRAKTOR</t>
  </si>
  <si>
    <t>JUMLAH TOTAL</t>
  </si>
  <si>
    <t>KARTU INVENTARIS BARANG (KIB B)</t>
  </si>
  <si>
    <t>PERALATAN DAN MESIN</t>
  </si>
  <si>
    <t>JUMLAH</t>
  </si>
  <si>
    <t>NILAI PEROLEHAN</t>
  </si>
  <si>
    <t>Provinsi</t>
  </si>
  <si>
    <t>:  KALIMANTAN TENGAH</t>
  </si>
  <si>
    <t>DINAS PENDIDIKAN</t>
  </si>
  <si>
    <t>Kab./ Kota</t>
  </si>
  <si>
    <t>:  SERUYAN</t>
  </si>
  <si>
    <t>Bidang</t>
  </si>
  <si>
    <t xml:space="preserve">: </t>
  </si>
  <si>
    <t>Unit Organisasi</t>
  </si>
  <si>
    <t>Sub Unit Organisasi</t>
  </si>
  <si>
    <t>NO. KODE LOKASI</t>
  </si>
  <si>
    <t>: 12.24.08.15.01.01.01</t>
  </si>
  <si>
    <t>NO.</t>
  </si>
  <si>
    <t xml:space="preserve">Kode </t>
  </si>
  <si>
    <t>Nama Barang/</t>
  </si>
  <si>
    <t>Nomor</t>
  </si>
  <si>
    <t>Merk/</t>
  </si>
  <si>
    <t>Ukuran/</t>
  </si>
  <si>
    <t>Bahan</t>
  </si>
  <si>
    <t>Tahun</t>
  </si>
  <si>
    <t>Asal usul</t>
  </si>
  <si>
    <t>Harga</t>
  </si>
  <si>
    <t>Keterangan</t>
  </si>
  <si>
    <t>SKPD</t>
  </si>
  <si>
    <t>Urut</t>
  </si>
  <si>
    <t>Barang</t>
  </si>
  <si>
    <t>Jenis Barang</t>
  </si>
  <si>
    <t>Register</t>
  </si>
  <si>
    <t>DINAS KESEHATAN</t>
  </si>
  <si>
    <t>Type</t>
  </si>
  <si>
    <t>CC</t>
  </si>
  <si>
    <t>Pembelian</t>
  </si>
  <si>
    <t>Pabrik</t>
  </si>
  <si>
    <t>Rangka</t>
  </si>
  <si>
    <t>Mesin</t>
  </si>
  <si>
    <t>Polisi</t>
  </si>
  <si>
    <t>BPKB</t>
  </si>
  <si>
    <t>Station Wagon</t>
  </si>
  <si>
    <t>000001</t>
  </si>
  <si>
    <t>Toyota Kijang / Toyota Kijang</t>
  </si>
  <si>
    <t>1800 cc</t>
  </si>
  <si>
    <t>Besi</t>
  </si>
  <si>
    <t>Null</t>
  </si>
  <si>
    <t>KH 1511 PM</t>
  </si>
  <si>
    <t>pembelian</t>
  </si>
  <si>
    <t>02.02.01.01.003</t>
  </si>
  <si>
    <t>000002</t>
  </si>
  <si>
    <t>Innova  / Innova Zenix 2.0</t>
  </si>
  <si>
    <t>1987 cc</t>
  </si>
  <si>
    <t>CAMPURAN</t>
  </si>
  <si>
    <t>-</t>
  </si>
  <si>
    <t>RUMAH SAKIT UMUM DAERAH</t>
  </si>
  <si>
    <t>MHFABBAA4R0435901</t>
  </si>
  <si>
    <t>M20ANC96961</t>
  </si>
  <si>
    <t>KH 1337 PU</t>
  </si>
  <si>
    <t>V-04726911</t>
  </si>
  <si>
    <t>Belanja Modal Kendaraan Dinas Bermotor Perorangan (Pengadaan Mobil Dinas)</t>
  </si>
  <si>
    <t>02.02.01.03.002</t>
  </si>
  <si>
    <t>Pick Up</t>
  </si>
  <si>
    <t xml:space="preserve"> MOBIL Toyota/2 GD FTV, 4 Cylinders / KB-P2209-1600333 HILUX DOUBLE CABIN 2.4. V(4 x 4)</t>
  </si>
  <si>
    <t>2,393 cc</t>
  </si>
  <si>
    <t>MR0BB3CD8N5810152</t>
  </si>
  <si>
    <t>2GD 5269380</t>
  </si>
  <si>
    <t>KH 8214 PW</t>
  </si>
  <si>
    <t>D 1925403 M</t>
  </si>
  <si>
    <t>Belanja modal kendaraan bermotor angkutan barang (Pengadaan kendaraan dinas operasional lapangan) Dinas Pendidikan Kabupaten Seruyan</t>
  </si>
  <si>
    <t>02.02.01.04.001</t>
  </si>
  <si>
    <t>Sepeda Motor</t>
  </si>
  <si>
    <t>Honda NF 100 LD / Honda NF 100 LD</t>
  </si>
  <si>
    <t>100</t>
  </si>
  <si>
    <t>MHIHB21134K283403</t>
  </si>
  <si>
    <t>HB21E-1284546</t>
  </si>
  <si>
    <t>KH 3077 PM</t>
  </si>
  <si>
    <t>D 0073191 M</t>
  </si>
  <si>
    <t>Suzuki Suzuki 125 / Suzuki Suzuki 125</t>
  </si>
  <si>
    <t>125</t>
  </si>
  <si>
    <t>MH8BF45DA8J-209094</t>
  </si>
  <si>
    <t>F496ID-258062</t>
  </si>
  <si>
    <t>BLUD RUMAH SAKIT UMUM DAERAH KUALA PEMBUANG</t>
  </si>
  <si>
    <t>KH 2528 PY</t>
  </si>
  <si>
    <t>F 4748855 M</t>
  </si>
  <si>
    <t>MHIKIVAE1X4K990626</t>
  </si>
  <si>
    <t>KEVAE1992934</t>
  </si>
  <si>
    <t>KH 2005 PM</t>
  </si>
  <si>
    <t>000003</t>
  </si>
  <si>
    <t>MHIHB21174K585469</t>
  </si>
  <si>
    <t>HB21E-1548243</t>
  </si>
  <si>
    <t>KH 3092 PM</t>
  </si>
  <si>
    <t>000004</t>
  </si>
  <si>
    <t>MHIHB211X4K579230</t>
  </si>
  <si>
    <t>HB21E-1580599</t>
  </si>
  <si>
    <t>KH 3093 PM</t>
  </si>
  <si>
    <t>D 1625432 M</t>
  </si>
  <si>
    <t>DINAS PEKERJAAN UMUM DAN PENATAAN RUANG</t>
  </si>
  <si>
    <t>000005</t>
  </si>
  <si>
    <t>Honda NF 125 XD / Honda NF 125 XD</t>
  </si>
  <si>
    <t>MHIJB22134K161303</t>
  </si>
  <si>
    <t>JB22E-1160588</t>
  </si>
  <si>
    <t>KH 3091 PM</t>
  </si>
  <si>
    <t>000006</t>
  </si>
  <si>
    <t>MHIJB22104K168614</t>
  </si>
  <si>
    <t>JB22E-1168726</t>
  </si>
  <si>
    <t>KH 3094 PM</t>
  </si>
  <si>
    <t>000007</t>
  </si>
  <si>
    <t>Honda Win MCB / Honda Win MCB</t>
  </si>
  <si>
    <t>MHIHABD134K088136</t>
  </si>
  <si>
    <t>HABD51088987</t>
  </si>
  <si>
    <t>KH 2003 PM</t>
  </si>
  <si>
    <t>1925136 M</t>
  </si>
  <si>
    <t>000010</t>
  </si>
  <si>
    <t>MHIHB21174K585468</t>
  </si>
  <si>
    <t>HB21E-1443783</t>
  </si>
  <si>
    <t>KH 3088 PM</t>
  </si>
  <si>
    <t>000011</t>
  </si>
  <si>
    <t>Honda Win CMB / Honda Win CMB</t>
  </si>
  <si>
    <t xml:space="preserve">DINAS PERUMAHAN RAKYAT DAN KAWASAN PEMUKIMAN </t>
  </si>
  <si>
    <t>MHIHABD124K088147</t>
  </si>
  <si>
    <t>HABDE1088993</t>
  </si>
  <si>
    <t>KH 2001 PM</t>
  </si>
  <si>
    <t>000012</t>
  </si>
  <si>
    <t>Yamaha Zupiter Z / Yamaha Zupiter Z</t>
  </si>
  <si>
    <t>MH35TP0054K326052</t>
  </si>
  <si>
    <t>STP525369</t>
  </si>
  <si>
    <t>KH 2716 PY</t>
  </si>
  <si>
    <t>000013</t>
  </si>
  <si>
    <t>HONDA VARIO TECHO CBS / HONDA VARIO TECHO CBS</t>
  </si>
  <si>
    <t>124.8</t>
  </si>
  <si>
    <t>BESI</t>
  </si>
  <si>
    <t>MH1JFJ119EK338230</t>
  </si>
  <si>
    <t>JFJ1E1334255</t>
  </si>
  <si>
    <t>KH 4326 PY</t>
  </si>
  <si>
    <t>L 04350939 M</t>
  </si>
  <si>
    <t>ARITA /DPRD</t>
  </si>
  <si>
    <t>000014</t>
  </si>
  <si>
    <t>HONDA VERZA 150 CW-2015 / HONDA VERZA 150 CW-2015</t>
  </si>
  <si>
    <t>149</t>
  </si>
  <si>
    <t>MH1KC5217FK255089</t>
  </si>
  <si>
    <t>KC52E-1252761</t>
  </si>
  <si>
    <t>KH 4344 PY</t>
  </si>
  <si>
    <t>L 06930513 M</t>
  </si>
  <si>
    <t>SATUAN POLISI PAMONG PRAJA DAN PEMADAM KEBAKARAN</t>
  </si>
  <si>
    <t>000015</t>
  </si>
  <si>
    <t>HONDA  Y1G02N02L0 A/T / HONDA  Y1G02N02L0 A/T</t>
  </si>
  <si>
    <t>108 CC</t>
  </si>
  <si>
    <t>MH1JFS119HK398373</t>
  </si>
  <si>
    <t>JFS1E1390127</t>
  </si>
  <si>
    <t>KH 4650 PY</t>
  </si>
  <si>
    <t>M 12824308 M</t>
  </si>
  <si>
    <t>000016</t>
  </si>
  <si>
    <t>HONDA NEW BEAT SPORTY CW 2018 D1B02N26L2 A/T / HONDA NEW BEAT SPORTY CW 2018 D1B02N26L2 A/T</t>
  </si>
  <si>
    <t>108</t>
  </si>
  <si>
    <t>MH1JFZ123JK859588</t>
  </si>
  <si>
    <t>JFZ1E2857112</t>
  </si>
  <si>
    <t>KH 4790 PY</t>
  </si>
  <si>
    <t>O02643660M</t>
  </si>
  <si>
    <t>Mutasi</t>
  </si>
  <si>
    <t>000017</t>
  </si>
  <si>
    <t>Suzuki RR FL 125 RCD / Suzuki RR FL 125 RCD</t>
  </si>
  <si>
    <t>125 cc</t>
  </si>
  <si>
    <t>MH8BF45DA8J208900</t>
  </si>
  <si>
    <t>F496 - ID - 257880</t>
  </si>
  <si>
    <t>KH 2526 PY</t>
  </si>
  <si>
    <t>F 4847854 M</t>
  </si>
  <si>
    <t>000018</t>
  </si>
  <si>
    <t>MH8BF45DA8J209130</t>
  </si>
  <si>
    <t>F496 - ID - 258038</t>
  </si>
  <si>
    <t>KH 2521 PY</t>
  </si>
  <si>
    <t>F 4847850 M</t>
  </si>
  <si>
    <t>000020</t>
  </si>
  <si>
    <t>BADAN KESATUAN BANGSA DAN POLITIK</t>
  </si>
  <si>
    <t>MH8BF45DA8J209136</t>
  </si>
  <si>
    <t>F496 - ID - 258046</t>
  </si>
  <si>
    <t>KH 2519 PY</t>
  </si>
  <si>
    <t>F 4847848 M</t>
  </si>
  <si>
    <t>000021</t>
  </si>
  <si>
    <t>MH8BF45DA8J209094</t>
  </si>
  <si>
    <t>F496 - ID - 258062</t>
  </si>
  <si>
    <t>000022</t>
  </si>
  <si>
    <t>Suzuki  / Suzuki</t>
  </si>
  <si>
    <t>000023</t>
  </si>
  <si>
    <t>DINAS SOSIAL</t>
  </si>
  <si>
    <t>000024</t>
  </si>
  <si>
    <t>000025</t>
  </si>
  <si>
    <t>MH8BF45DA8J207974</t>
  </si>
  <si>
    <t>F496 - ID - 257087</t>
  </si>
  <si>
    <t>KH 2524 PY</t>
  </si>
  <si>
    <t>000026</t>
  </si>
  <si>
    <t>000027</t>
  </si>
  <si>
    <t>HONDA NF 11 B2D1 M/T Revo FIT / HONDA NF 11 B2D1 M/T Revo FIT</t>
  </si>
  <si>
    <t>110 CC</t>
  </si>
  <si>
    <t>MH1JBE110CK409380</t>
  </si>
  <si>
    <t xml:space="preserve">DINAS TENAGA KERJA DAN TRANSMIGRASI </t>
  </si>
  <si>
    <t>JBE1E1401386</t>
  </si>
  <si>
    <t>KH 4085 PY</t>
  </si>
  <si>
    <t>I-10731509 M</t>
  </si>
  <si>
    <t xml:space="preserve"> Disdikpora / UPTD. Seruyan Hulu</t>
  </si>
  <si>
    <t>000028</t>
  </si>
  <si>
    <t>MH1JBE114CK417126</t>
  </si>
  <si>
    <t>JBE1E1402249</t>
  </si>
  <si>
    <t>KH 4089 PY</t>
  </si>
  <si>
    <t>I-10731513 M</t>
  </si>
  <si>
    <t xml:space="preserve"> Disdikpora / UPTD. Suling Tambun</t>
  </si>
  <si>
    <t>000029</t>
  </si>
  <si>
    <t>HONDA GL 15A1D M/T New Mega Pro D		 / HONDA GL 15A1D M/T New Mega Pro D</t>
  </si>
  <si>
    <t>150 CC</t>
  </si>
  <si>
    <t>MH1KC2113CK064541</t>
  </si>
  <si>
    <t>KC21E1064427</t>
  </si>
  <si>
    <t>KH 4091 PY</t>
  </si>
  <si>
    <t>I-10731515 M</t>
  </si>
  <si>
    <t xml:space="preserve"> Disdikpora / UPTD. Seruyan Tengah</t>
  </si>
  <si>
    <t>000030</t>
  </si>
  <si>
    <t>MH1KC2116CK064405</t>
  </si>
  <si>
    <t>KC21E1064294</t>
  </si>
  <si>
    <t>KH 4093 PY</t>
  </si>
  <si>
    <t>I-10731517 M</t>
  </si>
  <si>
    <t xml:space="preserve"> Disdikpora</t>
  </si>
  <si>
    <t>000031</t>
  </si>
  <si>
    <t>HONDA GL 15B1CF M/T VERZA 150 CW / HONDA GL 15B1CF M/T VERZA 150 CW</t>
  </si>
  <si>
    <t>150</t>
  </si>
  <si>
    <t>MH1KC5217DK035609</t>
  </si>
  <si>
    <t>KC52E1035716</t>
  </si>
  <si>
    <t>DINAS PEMBERDAYAAN PEREMPUAN, PERLINDUNGAN ANAK, PENGENDALIAN PENDUDUK DAN KELUARGA BERENCANA</t>
  </si>
  <si>
    <t>KH 4174 PY</t>
  </si>
  <si>
    <t>K-05623361 M</t>
  </si>
  <si>
    <t>UPTD DISDIKPORA</t>
  </si>
  <si>
    <t>000032</t>
  </si>
  <si>
    <t>HONDA NEW CB150 VERZA CW 2018 B5D02K29M2 M/T / HONDA NEW CB150 VERZA CW 2018 B5D02K29M2 M/T</t>
  </si>
  <si>
    <t>MH1KC0213JK034973</t>
  </si>
  <si>
    <t>KC02E1035135</t>
  </si>
  <si>
    <t>KH 4758 PY</t>
  </si>
  <si>
    <t>O02643629M</t>
  </si>
  <si>
    <t>000033</t>
  </si>
  <si>
    <t>Honda Beat Sporty cbs iss vin 2019 / Honda Beat Sporty cbs iss vin 2019</t>
  </si>
  <si>
    <t>110 cc</t>
  </si>
  <si>
    <t>Campuran</t>
  </si>
  <si>
    <t>MH1JM9115MK773068</t>
  </si>
  <si>
    <t>JM91E1775254</t>
  </si>
  <si>
    <t>KH 5109 PY</t>
  </si>
  <si>
    <t>R-02955000</t>
  </si>
  <si>
    <t>Pengadaan Kendaraan Bermotor Beroda Dua Dinas Pendidikan Kab. Seruyan</t>
  </si>
  <si>
    <t>000034</t>
  </si>
  <si>
    <t>MH1JM9117MK775694</t>
  </si>
  <si>
    <t>JM91E1775144</t>
  </si>
  <si>
    <t>KH 5112 PY</t>
  </si>
  <si>
    <t>R-02955003</t>
  </si>
  <si>
    <t>DINAS KETAHANAN PANGAN DAN PERTANIAN</t>
  </si>
  <si>
    <t>000035</t>
  </si>
  <si>
    <t>MH1JM9116MK772964</t>
  </si>
  <si>
    <t>JM91E1772560</t>
  </si>
  <si>
    <t>KH 5114 PY</t>
  </si>
  <si>
    <t>R-02955005</t>
  </si>
  <si>
    <t>000036</t>
  </si>
  <si>
    <t>MH1JM9115MK775676</t>
  </si>
  <si>
    <t>JM91E1772569</t>
  </si>
  <si>
    <t>KH 5117 PY</t>
  </si>
  <si>
    <t>R-02955007</t>
  </si>
  <si>
    <t>000037</t>
  </si>
  <si>
    <t>MH1JM9111MK775691</t>
  </si>
  <si>
    <t>JM91E1775261</t>
  </si>
  <si>
    <t>KH 5110 PY</t>
  </si>
  <si>
    <t>R-02955001</t>
  </si>
  <si>
    <t>000038</t>
  </si>
  <si>
    <t>MH1JM9115MK775662</t>
  </si>
  <si>
    <t>JM91E1772526</t>
  </si>
  <si>
    <t>KH 5111 PY</t>
  </si>
  <si>
    <t>R-02955002</t>
  </si>
  <si>
    <t>FF</t>
  </si>
  <si>
    <t>000039</t>
  </si>
  <si>
    <t>MH1JM9111MK775688</t>
  </si>
  <si>
    <t>JM91E1775256</t>
  </si>
  <si>
    <t>DINAS LINGKUNGAN HIDUP</t>
  </si>
  <si>
    <t>KH 5113 PY</t>
  </si>
  <si>
    <t>R-02955004</t>
  </si>
  <si>
    <t>000040</t>
  </si>
  <si>
    <t>MH1JM9112MK775292</t>
  </si>
  <si>
    <t>JM91E1775292</t>
  </si>
  <si>
    <t>KH 5116 PY</t>
  </si>
  <si>
    <t>R-02955006</t>
  </si>
  <si>
    <t>000041</t>
  </si>
  <si>
    <t>Honda pcx 160 cbs 99  / Honda pcx 160 cbs 99</t>
  </si>
  <si>
    <t>149 CC</t>
  </si>
  <si>
    <t>MH1KF7110MK137628</t>
  </si>
  <si>
    <t>KF71E1137754</t>
  </si>
  <si>
    <t>KH 5118 PY</t>
  </si>
  <si>
    <t>R-02958797</t>
  </si>
  <si>
    <t>000042</t>
  </si>
  <si>
    <t>Suzuki Shogun / Suzuki Shogun</t>
  </si>
  <si>
    <t>MH8PD125X5J716920</t>
  </si>
  <si>
    <t>F403-10717258</t>
  </si>
  <si>
    <t>KH 2078 PY</t>
  </si>
  <si>
    <t>0750364 M</t>
  </si>
  <si>
    <t>000043</t>
  </si>
  <si>
    <t>MG8PD125X5J705128</t>
  </si>
  <si>
    <t>F404-ID695795</t>
  </si>
  <si>
    <t>KH 2079 PY</t>
  </si>
  <si>
    <t>I 528859 M</t>
  </si>
  <si>
    <t>DINAS KEPENDUDUKAN DAN PENCATATAN SIPIL</t>
  </si>
  <si>
    <t>000044</t>
  </si>
  <si>
    <t>Honda /  beat street</t>
  </si>
  <si>
    <t>109.5 cc</t>
  </si>
  <si>
    <t>campuran</t>
  </si>
  <si>
    <t>MH1JM8214NK707301</t>
  </si>
  <si>
    <t>JM82E1705328</t>
  </si>
  <si>
    <t>KH 5196 PY</t>
  </si>
  <si>
    <t>T-02690567</t>
  </si>
  <si>
    <t>Belanja modal kendaraan bermotor beroda dua</t>
  </si>
  <si>
    <t>000045</t>
  </si>
  <si>
    <t>Honda / beat street</t>
  </si>
  <si>
    <t>MH1JM8217NK707504</t>
  </si>
  <si>
    <t>JM82E1705609</t>
  </si>
  <si>
    <t>KH 5195 PY</t>
  </si>
  <si>
    <t>T-02690566</t>
  </si>
  <si>
    <t>000046</t>
  </si>
  <si>
    <t>HONDA / HONDA BEAT STREET</t>
  </si>
  <si>
    <t>MH1JM8216PK951177</t>
  </si>
  <si>
    <t>JM82E1950683</t>
  </si>
  <si>
    <t>KH 5220 PY</t>
  </si>
  <si>
    <t>U-01948051 M</t>
  </si>
  <si>
    <t>BELANJA MODAL KENDARAAN BERMOTOR RODA DUA (PENGADAAN MOTOR TRAIL DAN SEPEDA MOTOR RODA 2 MATIC) DINAS PENDIDIKAN KABUPATEN SERUYAN</t>
  </si>
  <si>
    <t>000047</t>
  </si>
  <si>
    <t>DINAS PEMBERDAYAAN MASYARAKAT DAN DESA</t>
  </si>
  <si>
    <t>MH1JM8213PK951184</t>
  </si>
  <si>
    <t>JM82E1950691</t>
  </si>
  <si>
    <t>KH 5223 PY</t>
  </si>
  <si>
    <t>U-01948053 M</t>
  </si>
  <si>
    <t>000048</t>
  </si>
  <si>
    <t>MH1JM8213PK951346</t>
  </si>
  <si>
    <t>JM82E1950822</t>
  </si>
  <si>
    <t>KH 5224 PY</t>
  </si>
  <si>
    <t>U-01948054 M</t>
  </si>
  <si>
    <t>000049</t>
  </si>
  <si>
    <t>MH1JM8215PK951347</t>
  </si>
  <si>
    <t>JM82E1950861</t>
  </si>
  <si>
    <t>KH 5226 PY</t>
  </si>
  <si>
    <t>U-01948055 M</t>
  </si>
  <si>
    <t>000050</t>
  </si>
  <si>
    <t>MH1JM8218PK951181</t>
  </si>
  <si>
    <t>JM82E1950688</t>
  </si>
  <si>
    <t>KH 5221 PY</t>
  </si>
  <si>
    <t>U-01948052 M</t>
  </si>
  <si>
    <t>000051</t>
  </si>
  <si>
    <t>DINAS PERHUBUNGAN</t>
  </si>
  <si>
    <t>MH1JM8215PK952398</t>
  </si>
  <si>
    <t>JM82E1951896</t>
  </si>
  <si>
    <t>KH 5229 PY</t>
  </si>
  <si>
    <t>U-01948595 M</t>
  </si>
  <si>
    <t>000052</t>
  </si>
  <si>
    <t>HONDA / HONDA CRF150L</t>
  </si>
  <si>
    <t>149,15 cc</t>
  </si>
  <si>
    <t>MH1KD1111PK437394</t>
  </si>
  <si>
    <t>KD11E1436647</t>
  </si>
  <si>
    <t>KH 5214 PY</t>
  </si>
  <si>
    <t>U-01948045 M</t>
  </si>
  <si>
    <t>000053</t>
  </si>
  <si>
    <t>MH1KD1111PK437363</t>
  </si>
  <si>
    <t>KD11E1436616</t>
  </si>
  <si>
    <t>KH 5227 PY</t>
  </si>
  <si>
    <t>U-01948056 M</t>
  </si>
  <si>
    <t>000054</t>
  </si>
  <si>
    <t>MH1KD1110PK437337</t>
  </si>
  <si>
    <t>KD11E1436591</t>
  </si>
  <si>
    <t>KH 5217 PY</t>
  </si>
  <si>
    <t>U-01948048 M</t>
  </si>
  <si>
    <t>000055</t>
  </si>
  <si>
    <t>DINAS KOMUNIKASI, INFORMATIKA DAN STATISTIK</t>
  </si>
  <si>
    <t>MH1KD1116PK437407</t>
  </si>
  <si>
    <t>KD11E1436660</t>
  </si>
  <si>
    <t>KH 5213 PY</t>
  </si>
  <si>
    <t>U-01948044 M</t>
  </si>
  <si>
    <t>000056</t>
  </si>
  <si>
    <t>MH1KD1115PK437463</t>
  </si>
  <si>
    <t>KD11E1436713</t>
  </si>
  <si>
    <t>KH 5215 PY</t>
  </si>
  <si>
    <t>U-01948046 M</t>
  </si>
  <si>
    <t>000057</t>
  </si>
  <si>
    <t>MH1KD1113PK437669</t>
  </si>
  <si>
    <t>KD11E1436730</t>
  </si>
  <si>
    <t>KH 5216 PY</t>
  </si>
  <si>
    <t>U-01948047 M</t>
  </si>
  <si>
    <t>000058</t>
  </si>
  <si>
    <t>MH1KD1113PK437445</t>
  </si>
  <si>
    <t>KD11E1436685</t>
  </si>
  <si>
    <t>KH 5211 PY</t>
  </si>
  <si>
    <t>U-01948042 M</t>
  </si>
  <si>
    <t>DINAS KOPERASI, USAHA MIKRO KECIL MENENGAH, PERINDUSTRIAN, DAN PERDAGANGAN</t>
  </si>
  <si>
    <t>000059</t>
  </si>
  <si>
    <t>MH1KD1113PK437414</t>
  </si>
  <si>
    <t>KD11E1436666</t>
  </si>
  <si>
    <t>KH 5212 PY</t>
  </si>
  <si>
    <t>U-01948043 M</t>
  </si>
  <si>
    <t>000060</t>
  </si>
  <si>
    <t>MH1KD1113PK437378</t>
  </si>
  <si>
    <t>KD11E1436631</t>
  </si>
  <si>
    <t>KH 5219 PY</t>
  </si>
  <si>
    <t>U-01948050 M</t>
  </si>
  <si>
    <t>000061</t>
  </si>
  <si>
    <t>MH1KD1112PK437372</t>
  </si>
  <si>
    <t>KD11E1436544</t>
  </si>
  <si>
    <t>KH 5218 PY</t>
  </si>
  <si>
    <t>U-01948049 M</t>
  </si>
  <si>
    <t>000062</t>
  </si>
  <si>
    <t>KAWASAKI KLX / KAWASAKI KLX</t>
  </si>
  <si>
    <t>Campur</t>
  </si>
  <si>
    <t>LX150CEWR1122</t>
  </si>
  <si>
    <t>KH 5094 PY</t>
  </si>
  <si>
    <t>R-02937461</t>
  </si>
  <si>
    <t>DINAS PENANAMAN MODAL DAN PELAYANAN TERPADU SATU PINTU</t>
  </si>
  <si>
    <t>Sepeda Motor Trail Kawasaki KLX</t>
  </si>
  <si>
    <t>Daihatsu  / Daihatsu</t>
  </si>
  <si>
    <t>Hibah</t>
  </si>
  <si>
    <t>Dinkes</t>
  </si>
  <si>
    <t>MITSUBISHI TRITON 2.5 L / MITSUBISHI TRITON 2.5 L</t>
  </si>
  <si>
    <t>2477</t>
  </si>
  <si>
    <t>MMBENKL30HH031988</t>
  </si>
  <si>
    <t>4D56UAL796</t>
  </si>
  <si>
    <t>KH 8172 PW</t>
  </si>
  <si>
    <t>M 12829132 M</t>
  </si>
  <si>
    <t>Honda NF 100 SL / Honda NF 100 SL</t>
  </si>
  <si>
    <t>MH1HB41196K773116</t>
  </si>
  <si>
    <t>HB41E-1771626</t>
  </si>
  <si>
    <t>KH2170PY</t>
  </si>
  <si>
    <t>E8567074M</t>
  </si>
  <si>
    <t>Puskesmas Danau Sembuluh</t>
  </si>
  <si>
    <t>Suzuki EN125 / Suzuki EN125</t>
  </si>
  <si>
    <t>MH8EN125A6J342146</t>
  </si>
  <si>
    <t>F405-ID-342044</t>
  </si>
  <si>
    <t>KH 2171 PY</t>
  </si>
  <si>
    <t>DINAS KEPEMUDAAN, OLAHRAGA, PARIWISATA DAN KEBUDAYAAN</t>
  </si>
  <si>
    <t>Muslihudin PKM Terawan</t>
  </si>
  <si>
    <t>Suzuki Shogun FD / Suzuki Shogun FD</t>
  </si>
  <si>
    <t>110</t>
  </si>
  <si>
    <t>MH8FD125X6J745077</t>
  </si>
  <si>
    <t>F403-ID-745311</t>
  </si>
  <si>
    <t>KH 2086 PY</t>
  </si>
  <si>
    <t>D 9837370 M</t>
  </si>
  <si>
    <t>Rukun/PKM Pembuang Hulu</t>
  </si>
  <si>
    <t>MH8FD125X6J754471</t>
  </si>
  <si>
    <t>F4031D755092</t>
  </si>
  <si>
    <t>KH 2089 PY</t>
  </si>
  <si>
    <t>D 9837369 M</t>
  </si>
  <si>
    <t>dr. Muna Purnama Sari/Puskesmas Asam Baru</t>
  </si>
  <si>
    <t>MHIHB32117K346426</t>
  </si>
  <si>
    <t>HB32E-1339489</t>
  </si>
  <si>
    <t>KH 2254 PY</t>
  </si>
  <si>
    <t>E 7693854 M</t>
  </si>
  <si>
    <t>dr. Kasmijati/ PKM K. Pembuang I</t>
  </si>
  <si>
    <t>Honda NF100SL / Honda NF100SL</t>
  </si>
  <si>
    <t>MHIHB32117K333573</t>
  </si>
  <si>
    <t>HB32E-1326880</t>
  </si>
  <si>
    <t>KH 2226 PY</t>
  </si>
  <si>
    <t>E 7693817 M</t>
  </si>
  <si>
    <t>Sumanti Siska/Puskesmas Rantau Pulut I</t>
  </si>
  <si>
    <t>Honda NF 125 TD4 (SUPRA X TD) / Honda NF 125 TD4 (SUPRA X TD)</t>
  </si>
  <si>
    <t>DINAS PERPUSTAKAAN, DAN KEARSIPAN</t>
  </si>
  <si>
    <t xml:space="preserve"> MH1JB8112DK907969</t>
  </si>
  <si>
    <t xml:space="preserve"> JB81E1904136</t>
  </si>
  <si>
    <t>KH4193PY</t>
  </si>
  <si>
    <t>K 08796070 M</t>
  </si>
  <si>
    <t>Pengadaan Kendaraan Operasional Roda Dua Program Imunisasi Puskesmas Telaga Pulang (dr. Chaliza Adnan)</t>
  </si>
  <si>
    <t xml:space="preserve"> MH1JB8114DK912963</t>
  </si>
  <si>
    <t xml:space="preserve"> JB81E1909157</t>
  </si>
  <si>
    <t>KH4227PY</t>
  </si>
  <si>
    <t>K 08796104 M</t>
  </si>
  <si>
    <t>Pengadaan Kendaraan Operasional Roda Dua Penanggung Jawab Pustu Tumbang Salau</t>
  </si>
  <si>
    <t xml:space="preserve"> MH1JB811XDK913857</t>
  </si>
  <si>
    <t xml:space="preserve"> JB81E1909841</t>
  </si>
  <si>
    <t>KH4191PY</t>
  </si>
  <si>
    <t>K 08796068 M</t>
  </si>
  <si>
    <t>Pengadaan Kendaraan Operasional Roda Dua Penanggung Jawab Pustu Derawa</t>
  </si>
  <si>
    <t>Honda/Supra GTR150 / Honda/Supra GTR150</t>
  </si>
  <si>
    <t>150 cc</t>
  </si>
  <si>
    <t>Plastik/logam</t>
  </si>
  <si>
    <t> MH1KB2112LK069617</t>
  </si>
  <si>
    <t>KB21E1069727</t>
  </si>
  <si>
    <t>KHxxxxPY</t>
  </si>
  <si>
    <t>Pengadaan Kendaraan Roda 2 Operasional (20 Unit) Program Puskesmas Rantau Pulut I, Puskesmas Rantau Pulut II, Puskesmas Tumbang Manjul, dan Puskesmas Tumbang langkai (DAK FISIK REGULER PELAYANAN KESEHATAN DASAR)</t>
  </si>
  <si>
    <t>Suzuki FD110XCD / Suzuki FD110XCD</t>
  </si>
  <si>
    <t>MH8FD110C6J596937</t>
  </si>
  <si>
    <t>E405-ID-597122</t>
  </si>
  <si>
    <t>KH 2100 PY</t>
  </si>
  <si>
    <t>D 9837393 M</t>
  </si>
  <si>
    <t>Sapto Legowo/PKM Terawan</t>
  </si>
  <si>
    <t>DINAS PERIKANAN</t>
  </si>
  <si>
    <t>YAMAHA T105ERD / YAMAHA T105ERD</t>
  </si>
  <si>
    <t>MH33S00016K072172</t>
  </si>
  <si>
    <t>3S0070206</t>
  </si>
  <si>
    <t>Nanin Dewi Yanti/PKM Danau Sembuluh</t>
  </si>
  <si>
    <t>MH34ST2106K062316</t>
  </si>
  <si>
    <t>4ST 1420857</t>
  </si>
  <si>
    <t>KH 2071 PY</t>
  </si>
  <si>
    <t>D 9294113 M</t>
  </si>
  <si>
    <t>Toyib Abdul Gani /Puskesmas Pembuang Hulu I</t>
  </si>
  <si>
    <t>MH1HB31136K168714</t>
  </si>
  <si>
    <t>HB31E-1171803</t>
  </si>
  <si>
    <t>KH 2148 PY</t>
  </si>
  <si>
    <t>E 1306204 M</t>
  </si>
  <si>
    <t>Elviyanti/Puskesmas Tumbang Manjul</t>
  </si>
  <si>
    <t>MHIHB32137K242813</t>
  </si>
  <si>
    <t>HB32E-1236818</t>
  </si>
  <si>
    <t>KH 2240 PY</t>
  </si>
  <si>
    <t>E 7693844 M</t>
  </si>
  <si>
    <t>Saptosari Mulya Utami/PKM K. Pembuang I</t>
  </si>
  <si>
    <t>BADAN PERENCANAAN PEMBANGUNAN DAERAH</t>
  </si>
  <si>
    <t>MH1HB32117K332820</t>
  </si>
  <si>
    <t>HB32E-1326772</t>
  </si>
  <si>
    <t>KH 2246 PY</t>
  </si>
  <si>
    <t>E 7693843 M</t>
  </si>
  <si>
    <t>Sri Wijayanti/Puskesmas Telaga Pulang</t>
  </si>
  <si>
    <t>MHIHB32197K241410</t>
  </si>
  <si>
    <t>HB32E-1232054</t>
  </si>
  <si>
    <t>KH 2227 PY</t>
  </si>
  <si>
    <t>E 7693813 M</t>
  </si>
  <si>
    <t>Tumpal/Puskesmas Rantau Pulut I</t>
  </si>
  <si>
    <t>MH1HB32127K235965</t>
  </si>
  <si>
    <t>HB32E1226162</t>
  </si>
  <si>
    <t>KH 2223 PY</t>
  </si>
  <si>
    <t>E 7693863 M</t>
  </si>
  <si>
    <t>Juliansyah/Puskesmas Asam Baru</t>
  </si>
  <si>
    <t>Honda Revo / Honda Revo</t>
  </si>
  <si>
    <t>MH1JBC128AK185351</t>
  </si>
  <si>
    <t>JBC1E-2025855</t>
  </si>
  <si>
    <t>KH4030PY</t>
  </si>
  <si>
    <t>I 00186018 M</t>
  </si>
  <si>
    <t>Humaira Nabila/PKM K. Pembuang II</t>
  </si>
  <si>
    <t>MH1JBC129AK178912</t>
  </si>
  <si>
    <t>JBC1E-1999407</t>
  </si>
  <si>
    <t>KH4033PY</t>
  </si>
  <si>
    <t>I 00186021 M</t>
  </si>
  <si>
    <t>Saifurrahman, A.Md, Kep/PKM Rantau Pulut II</t>
  </si>
  <si>
    <t>BADAN PENGELOLA KEUANGAN DAN ASET DAERAH</t>
  </si>
  <si>
    <t>MH1JBC125AK178955</t>
  </si>
  <si>
    <t>JBC1E-2177875</t>
  </si>
  <si>
    <t>KH4035PY</t>
  </si>
  <si>
    <t>I 00186023 M</t>
  </si>
  <si>
    <t>PKM Sandul</t>
  </si>
  <si>
    <t xml:space="preserve"> MH1JB8112DK914324</t>
  </si>
  <si>
    <t xml:space="preserve"> JB81E1910315</t>
  </si>
  <si>
    <t>KH4252PY</t>
  </si>
  <si>
    <t>K 08796129 M</t>
  </si>
  <si>
    <t>Pengadaan Kendaraan Operasional Roda Dua Penanggung Jawab Pustu Tumbang Laku</t>
  </si>
  <si>
    <t>Plastik/ logam</t>
  </si>
  <si>
    <t> MH1KB2115LK078683</t>
  </si>
  <si>
    <t>KB21E1078957</t>
  </si>
  <si>
    <t>Suzuki FD125XSD / Suzuki FD125XSD</t>
  </si>
  <si>
    <t>MH8FD125X6J749656</t>
  </si>
  <si>
    <t>F403-ID-749869</t>
  </si>
  <si>
    <t>KH 2087 PY</t>
  </si>
  <si>
    <t>D 9837368 M</t>
  </si>
  <si>
    <t>BARANG PENGELOLA</t>
  </si>
  <si>
    <t>dr. Muhammad Fariz/PKM Danau Sembuluh</t>
  </si>
  <si>
    <t>Suzuki Smash FD / Suzuki Smash FD</t>
  </si>
  <si>
    <t>KH 2099 PY</t>
  </si>
  <si>
    <t>D 9837388 M</t>
  </si>
  <si>
    <t>Noor Ifansyah/PKM Terawan</t>
  </si>
  <si>
    <t>Suzuki FD110XCD  / Suzuki FD110XCD</t>
  </si>
  <si>
    <t>MH8FD110C6J596896</t>
  </si>
  <si>
    <t>E405-ID597672</t>
  </si>
  <si>
    <t>KH 2107 PY</t>
  </si>
  <si>
    <t>D 9837401 M</t>
  </si>
  <si>
    <t>H. Suhaimi/Puskeesmas Pembuang Hulu</t>
  </si>
  <si>
    <t>MH1HB31146K176644</t>
  </si>
  <si>
    <t>HB31E1175874</t>
  </si>
  <si>
    <t>KH 2149 PY</t>
  </si>
  <si>
    <t>E 1306205 M</t>
  </si>
  <si>
    <t>Dewi Hermawati/Puskesmas Tumbang Manjul</t>
  </si>
  <si>
    <t>MH1HB32187K337982</t>
  </si>
  <si>
    <t>HB32E1331436</t>
  </si>
  <si>
    <t>BADAN PENDAPATAN DAERAH</t>
  </si>
  <si>
    <t>KH 2252 PY</t>
  </si>
  <si>
    <t>E 7693852 M</t>
  </si>
  <si>
    <t>Rinna/Puskesmas Kuala Pembuang I</t>
  </si>
  <si>
    <t>MH1HB32117K332304</t>
  </si>
  <si>
    <t>HB32E-1326506</t>
  </si>
  <si>
    <t>KH 2244 PY</t>
  </si>
  <si>
    <t>E 7693861 M</t>
  </si>
  <si>
    <t>dr. Dike/Puskesmas Telaga Pulang</t>
  </si>
  <si>
    <t>MHIHB32157K333341</t>
  </si>
  <si>
    <t>HB32E-1327022</t>
  </si>
  <si>
    <t>KH 2248 PY</t>
  </si>
  <si>
    <t>F 4848158 M</t>
  </si>
  <si>
    <t>TATAE SRIWAHYUNI, A. Md. Kep/ Puskesmas Rantau Pulut I</t>
  </si>
  <si>
    <t>Yamaha Vega R / Yamaha Vega R</t>
  </si>
  <si>
    <t>MH34D72038J160243</t>
  </si>
  <si>
    <t>4D7-1160255</t>
  </si>
  <si>
    <t>KH2601PY</t>
  </si>
  <si>
    <t>G1327461M</t>
  </si>
  <si>
    <t>MARIA YULIANTI,A.Md.Keb / Polindes Sandul</t>
  </si>
  <si>
    <t>MH1JBC127AK182862</t>
  </si>
  <si>
    <t>JBC1E-1978296</t>
  </si>
  <si>
    <t>KH4031PY</t>
  </si>
  <si>
    <t>I 00186019 M</t>
  </si>
  <si>
    <t>Reni Lumban Gaol/PKM Rantau Pulut II</t>
  </si>
  <si>
    <t>BADAN KEPEGAWAIAN DAN PENGEMBANGAN SUMBER DAYA MANUSIA</t>
  </si>
  <si>
    <t xml:space="preserve"> MH1JB8117DK912701</t>
  </si>
  <si>
    <t xml:space="preserve"> JB81E1908634</t>
  </si>
  <si>
    <t>KH4248PY</t>
  </si>
  <si>
    <t>K 08796125 M</t>
  </si>
  <si>
    <t>Pengadaan Kendaraan Operasional Roda Dua Penanggung Jawab Pustu Sepundu Hantu</t>
  </si>
  <si>
    <t> MH1KB2117LK085443</t>
  </si>
  <si>
    <t>KB21E1083534</t>
  </si>
  <si>
    <t>MH8FD110C6J596935</t>
  </si>
  <si>
    <t>E405-ID-597090</t>
  </si>
  <si>
    <t>KH 2101 PY</t>
  </si>
  <si>
    <t>D 9837395 M</t>
  </si>
  <si>
    <t>Riduan/Puskesmas  Danau Sembuluh</t>
  </si>
  <si>
    <t>MHIHB41196K773830</t>
  </si>
  <si>
    <t>HB41E-1771728</t>
  </si>
  <si>
    <t>Jundah/Pustu Tumbang Darap</t>
  </si>
  <si>
    <t>SEKRETARIAT DPRD</t>
  </si>
  <si>
    <t>MHIHB32167K333557</t>
  </si>
  <si>
    <t>HB32E-1327040</t>
  </si>
  <si>
    <t>KH 2237 PY</t>
  </si>
  <si>
    <t>E 7693853 M</t>
  </si>
  <si>
    <t>Dianae Fransiska/PKM K. Pembuang I</t>
  </si>
  <si>
    <t>MHIHB32107K233406</t>
  </si>
  <si>
    <t>HB32E-1222982</t>
  </si>
  <si>
    <t>KH 2238 PY</t>
  </si>
  <si>
    <t>E 7693845 M</t>
  </si>
  <si>
    <t>Wiwi Rukiah/PKM K. Pembuang II</t>
  </si>
  <si>
    <t>MHIHB32177K244421</t>
  </si>
  <si>
    <t>HB32E-1236797</t>
  </si>
  <si>
    <t>KH 2241 PY</t>
  </si>
  <si>
    <t>E 7693856 M</t>
  </si>
  <si>
    <t>dr. Romondang Siagian/Puskesmas Terawan</t>
  </si>
  <si>
    <t>MH1HB32157K333346</t>
  </si>
  <si>
    <t>HB32E-1327014</t>
  </si>
  <si>
    <t>KH 2247 PY</t>
  </si>
  <si>
    <t>E 7693858 M</t>
  </si>
  <si>
    <t>Misrawati/Puskesmas Telaga Pulang</t>
  </si>
  <si>
    <t>MHIHB32137K333343</t>
  </si>
  <si>
    <t>HB32E-1327029</t>
  </si>
  <si>
    <t>KH 2249 PY</t>
  </si>
  <si>
    <t>E 7693848 M</t>
  </si>
  <si>
    <t>SEKRETARIAT DAERAH</t>
  </si>
  <si>
    <t>MH1JBC126AK178947</t>
  </si>
  <si>
    <t>JBC1E-2177837</t>
  </si>
  <si>
    <t>KH4032PY</t>
  </si>
  <si>
    <t>I 00186020 M</t>
  </si>
  <si>
    <t>SUHAIMI/ PKM Rantau Pulut II</t>
  </si>
  <si>
    <t xml:space="preserve"> MH1JB8116DK917338</t>
  </si>
  <si>
    <t xml:space="preserve"> JB81E1913339</t>
  </si>
  <si>
    <t>KH4253PY</t>
  </si>
  <si>
    <t>K 08796130 M</t>
  </si>
  <si>
    <t>Pengadaan Kendaraan Operasional Roda Dua Penannggung Jawab Poskesdes Tumbang Gugup</t>
  </si>
  <si>
    <t xml:space="preserve"> MH1JB8116DK912074</t>
  </si>
  <si>
    <t xml:space="preserve"> JB81E1908292</t>
  </si>
  <si>
    <t>KH4222PY</t>
  </si>
  <si>
    <t>K 08796099 M</t>
  </si>
  <si>
    <t>Pengadaan Kendaraan Operasional Roda Dua Penanggung Jawab Poskesdes Sebabi</t>
  </si>
  <si>
    <t> MH1KB2117LK074425</t>
  </si>
  <si>
    <t>KB21E1074730</t>
  </si>
  <si>
    <t>Suzuki FD110XCDF / Suzuki FD110XCDF</t>
  </si>
  <si>
    <t>INSPEKTORAT DAERAH</t>
  </si>
  <si>
    <t>MH8FD110C6J596941</t>
  </si>
  <si>
    <t>E405-ID-597115</t>
  </si>
  <si>
    <t>KH 2098 PY</t>
  </si>
  <si>
    <t>D 9837387 M</t>
  </si>
  <si>
    <t>Hj. Noorasiyah/Puskesmas Telaga Pulang</t>
  </si>
  <si>
    <t>MH8FD110C6J596954</t>
  </si>
  <si>
    <t>E405-ID597005</t>
  </si>
  <si>
    <t>KH 2102 PY</t>
  </si>
  <si>
    <t>D 9837394 M</t>
  </si>
  <si>
    <t>Ramasih/Puskesmas  Danau Sembuluh</t>
  </si>
  <si>
    <t>MH1HB411X6K773139</t>
  </si>
  <si>
    <t>HB41E-1771656</t>
  </si>
  <si>
    <t>KH2169PY</t>
  </si>
  <si>
    <t>PKM Asam Baru/ Hasminah</t>
  </si>
  <si>
    <t>MH34ST2106K062412</t>
  </si>
  <si>
    <t>4ST 1421051</t>
  </si>
  <si>
    <t>KH 2072 PY</t>
  </si>
  <si>
    <t>D 9294114 M</t>
  </si>
  <si>
    <t>Wahidah/Puskesmas Tumbang Manjul</t>
  </si>
  <si>
    <t>MHIHB32137K324053</t>
  </si>
  <si>
    <t>HB32E-1317685</t>
  </si>
  <si>
    <t>KECAMATAN SERUYAN TENGAH</t>
  </si>
  <si>
    <t>KH 2239 PY</t>
  </si>
  <si>
    <t>E 7693859 M</t>
  </si>
  <si>
    <t>Hj. Siti Norina/ PKM K. Pembuang I</t>
  </si>
  <si>
    <t>MHIHB32117K318604</t>
  </si>
  <si>
    <t>HB32E-1312930</t>
  </si>
  <si>
    <t>KH 2218 PY</t>
  </si>
  <si>
    <t>E 7693809 M</t>
  </si>
  <si>
    <t>Siti Noorjennah/PKM K. Pembuang II</t>
  </si>
  <si>
    <t>MHIHB32117K329819</t>
  </si>
  <si>
    <t>HB32E-1323682</t>
  </si>
  <si>
    <t>KH 2242 PY</t>
  </si>
  <si>
    <t>E 7693857 M</t>
  </si>
  <si>
    <t>Adelina Kamila /Puskesmas Terawan</t>
  </si>
  <si>
    <t>Honda Supra fit / Honda Supra fit</t>
  </si>
  <si>
    <t>MH1HB32187K333561</t>
  </si>
  <si>
    <t>HB32E-1326997</t>
  </si>
  <si>
    <t>KH 2215 PY</t>
  </si>
  <si>
    <t>E 7693872 M</t>
  </si>
  <si>
    <t>Sri Rahayu/Puskeesmas Pembuang Hulu</t>
  </si>
  <si>
    <t>MH1HB32107K301557</t>
  </si>
  <si>
    <t>HB32E-1293491</t>
  </si>
  <si>
    <t>KH 2207 PY</t>
  </si>
  <si>
    <t>E 7693807 M</t>
  </si>
  <si>
    <t>Mustakimah/Puskesmas Rantau Pulut II</t>
  </si>
  <si>
    <t>KECAMATAN DANAU SEMBULUH</t>
  </si>
  <si>
    <t>MHIHB32137K33337</t>
  </si>
  <si>
    <t>HB32E-1327059</t>
  </si>
  <si>
    <t>KH 2250 PY</t>
  </si>
  <si>
    <t>E 7693849 M</t>
  </si>
  <si>
    <t>Wiwin/Puskesmas Rantau Pulut I</t>
  </si>
  <si>
    <t xml:space="preserve"> MH1JB8115DK917346</t>
  </si>
  <si>
    <t xml:space="preserve"> JB81E1913395</t>
  </si>
  <si>
    <t>KH4242PY</t>
  </si>
  <si>
    <t>K 08796119 M</t>
  </si>
  <si>
    <t>Pengadaan Kendaraan Operasional Roda Dua Penanggung Jawab Pustu Kalang</t>
  </si>
  <si>
    <t xml:space="preserve"> MH1JB8112DK910970</t>
  </si>
  <si>
    <t xml:space="preserve"> JB81E1906939</t>
  </si>
  <si>
    <t>KH4196PY</t>
  </si>
  <si>
    <t>K 08796073 M</t>
  </si>
  <si>
    <t>Pengadaan Kendaraan Operasional Roda Dua Penanggung Jawab Pustu Tumbang Setoli</t>
  </si>
  <si>
    <t> MH1KB2117LK085152</t>
  </si>
  <si>
    <t>KB21E1083243</t>
  </si>
  <si>
    <t>Honda NF100D / Honda NF100D</t>
  </si>
  <si>
    <t>KECAMATAN HANAU</t>
  </si>
  <si>
    <t>MH1KEVA164K750795</t>
  </si>
  <si>
    <t>KEVAE-1750776</t>
  </si>
  <si>
    <t>KH2584PY</t>
  </si>
  <si>
    <t>D0073551M</t>
  </si>
  <si>
    <t>Hj. RUSITAH/Puskesmas  Kuala Pembuang I</t>
  </si>
  <si>
    <t>Suzuki En Thunder / Suzuki En Thunder</t>
  </si>
  <si>
    <t>MH8EN125A6J235287</t>
  </si>
  <si>
    <t>F405-ID-235656</t>
  </si>
  <si>
    <t>KH 2082 PY</t>
  </si>
  <si>
    <t>D 9837360 M</t>
  </si>
  <si>
    <t>Faisal/Puskesmas Telaga Pulang</t>
  </si>
  <si>
    <t>MHIHB32137K333564</t>
  </si>
  <si>
    <t>HB32E-1327042</t>
  </si>
  <si>
    <t>KH 2230 PY</t>
  </si>
  <si>
    <t>E 7693866 M</t>
  </si>
  <si>
    <t>Suhartati PKM Terawan</t>
  </si>
  <si>
    <t>MHIHB321X7K314347</t>
  </si>
  <si>
    <t>HB32E-1307672</t>
  </si>
  <si>
    <t>KH 2228 PY</t>
  </si>
  <si>
    <t>E 7693868 M</t>
  </si>
  <si>
    <t>Eti Isnaeni/Puskesmas Danau Sembuluh</t>
  </si>
  <si>
    <t>MH8EN125A7J419636</t>
  </si>
  <si>
    <t>F405-10420045</t>
  </si>
  <si>
    <t>KH 2192 PY</t>
  </si>
  <si>
    <t>E 7693785 M</t>
  </si>
  <si>
    <t>Idris/Puskesmas Rantau Pulut II</t>
  </si>
  <si>
    <t>KECAMATAN SERUYAN HILIR</t>
  </si>
  <si>
    <t>MH1HB32187K322950</t>
  </si>
  <si>
    <t>HB32E-1317499</t>
  </si>
  <si>
    <t>KH 2208 PY</t>
  </si>
  <si>
    <t>E 7693803 M</t>
  </si>
  <si>
    <t>Deny Eliyanti/Puskesmas Rantau Pulut II</t>
  </si>
  <si>
    <t>MH1HB32197K326389</t>
  </si>
  <si>
    <t>HB32E-1320535</t>
  </si>
  <si>
    <t>KH 2203 PY</t>
  </si>
  <si>
    <t>E 7693870 M</t>
  </si>
  <si>
    <t>Surati/Puskesmas Tumbang Manjul</t>
  </si>
  <si>
    <t xml:space="preserve"> MH1JB8118DK912075</t>
  </si>
  <si>
    <t xml:space="preserve"> JB81E1908291</t>
  </si>
  <si>
    <t>KH4211PY</t>
  </si>
  <si>
    <t>K 08796088 M</t>
  </si>
  <si>
    <t>Pengadaan Kendaraan Operasional Roda Dua Penanggung Jawab Pustu Tanjung Rangas II</t>
  </si>
  <si>
    <t xml:space="preserve"> MH1JB811XDK917309</t>
  </si>
  <si>
    <t>KECAMATAN SERUYAN HULU</t>
  </si>
  <si>
    <t xml:space="preserve"> JB81E1913485</t>
  </si>
  <si>
    <t>KH4241PY</t>
  </si>
  <si>
    <t>K 08796118 M</t>
  </si>
  <si>
    <t>Pengadaan Kendaraan Operasional Roda Dua Penanggung Jawab Pustu Rangkang Munduk</t>
  </si>
  <si>
    <t>Honda GL 15 B1DF (VERZA 150 SW) / Honda GL 15 B1DF (VERZA 150 SW)</t>
  </si>
  <si>
    <t xml:space="preserve"> MH1KC5114DK017036</t>
  </si>
  <si>
    <t>KC51E1016777</t>
  </si>
  <si>
    <t>KH4239PY</t>
  </si>
  <si>
    <t>K 08796116 M</t>
  </si>
  <si>
    <t>Pengadaan Kendaraan Operasional Roda Dua Pemegang Program PMK Puskesmas Sandul</t>
  </si>
  <si>
    <t> MH1KB2115LK086719</t>
  </si>
  <si>
    <t>KB21E1083841</t>
  </si>
  <si>
    <t>YAMAHA RX King / YAMAHA RX King</t>
  </si>
  <si>
    <t>MH33KAO156K8076</t>
  </si>
  <si>
    <t>3KA-7817</t>
  </si>
  <si>
    <t>KH206 PY</t>
  </si>
  <si>
    <t>Ruwanto/ PKM Telaga Pulang</t>
  </si>
  <si>
    <t>MH1HB32117K295686</t>
  </si>
  <si>
    <t>HB32E1288610</t>
  </si>
  <si>
    <t>KH2217PY</t>
  </si>
  <si>
    <t>E 7693862 M</t>
  </si>
  <si>
    <t>KECAMATAN BATU AMPAR</t>
  </si>
  <si>
    <t>Nurita/PKM K. Pembuang II</t>
  </si>
  <si>
    <t>KH 2229 PY</t>
  </si>
  <si>
    <t>E 7693818 M</t>
  </si>
  <si>
    <t>Mutiara Dewi/ PKM Terawan</t>
  </si>
  <si>
    <t>MHIHB321X7K299879</t>
  </si>
  <si>
    <t>HB32E-1293162</t>
  </si>
  <si>
    <t>KH 2209 PY</t>
  </si>
  <si>
    <t>E 7693867 M</t>
  </si>
  <si>
    <t>Tri Purniawati/Puskesmas Rantau Pulut II</t>
  </si>
  <si>
    <t xml:space="preserve"> MH1JB8113DK912078</t>
  </si>
  <si>
    <t xml:space="preserve"> JB81E1908298</t>
  </si>
  <si>
    <t>KH4224PY</t>
  </si>
  <si>
    <t>K 08796101 M</t>
  </si>
  <si>
    <t>Pengadaan Kendaraan Operasional Roda Dua Penangung Jawab Poskesdes Sembuluh I</t>
  </si>
  <si>
    <t xml:space="preserve"> MH1JB8116DK908011</t>
  </si>
  <si>
    <t xml:space="preserve"> JB81E1904133</t>
  </si>
  <si>
    <t>KH4212PY</t>
  </si>
  <si>
    <t>K 08796089 M</t>
  </si>
  <si>
    <t>Pengadaan Kendaraan Operasional Roda Dua Penanggung Jawab Pustu Pembuang Hulu I</t>
  </si>
  <si>
    <t>KECAMATAN SERUYAN RAYA</t>
  </si>
  <si>
    <t xml:space="preserve"> MH1JB8112DK913853</t>
  </si>
  <si>
    <t xml:space="preserve"> JB81E1909845</t>
  </si>
  <si>
    <t>KH4192PY</t>
  </si>
  <si>
    <t>K 08796069 M</t>
  </si>
  <si>
    <t>Pengadaan Kendaraan Operasional Roda Dua Penanggung Jawab Poskesdes Mugi Panyuhu</t>
  </si>
  <si>
    <t xml:space="preserve"> MH1JB8118DK913856</t>
  </si>
  <si>
    <t xml:space="preserve"> JB81E1909846</t>
  </si>
  <si>
    <t>KH4246PY</t>
  </si>
  <si>
    <t>K 08796123 M</t>
  </si>
  <si>
    <t>Pengadaan Kendaraan Operasional Roda Dua Penanggung Jawab Poskesdes Tanjung Paring</t>
  </si>
  <si>
    <t xml:space="preserve"> MH1JB8118DK917308</t>
  </si>
  <si>
    <t xml:space="preserve"> JB81E1913477</t>
  </si>
  <si>
    <t>KH4251PY</t>
  </si>
  <si>
    <t>K 08796128 M</t>
  </si>
  <si>
    <t>Pengadaan Kendaraan Operasional Roda Dua Penanggung Jawab Pustu Tumbang Kubang</t>
  </si>
  <si>
    <t xml:space="preserve"> MH1KC5118DK017315</t>
  </si>
  <si>
    <t>KC51E1017314</t>
  </si>
  <si>
    <t>KH4238PY</t>
  </si>
  <si>
    <t>K 08796115 M</t>
  </si>
  <si>
    <t>Pengadaan Kendaraan Operasional Roda Dua Program Imunisasi PKM Tumbang Manjul</t>
  </si>
  <si>
    <t>KECAMATAN DANAU SELULUK</t>
  </si>
  <si>
    <t> MH1KB2110KK085428</t>
  </si>
  <si>
    <t>KB21E1083520</t>
  </si>
  <si>
    <t>000008</t>
  </si>
  <si>
    <t>Suzuki FD 110 X / Suzuki FD 110 X</t>
  </si>
  <si>
    <t>MHS8FD110C61593381</t>
  </si>
  <si>
    <t>E405-ID-593831</t>
  </si>
  <si>
    <t>KH 2138 PY</t>
  </si>
  <si>
    <t>D 9837382 M</t>
  </si>
  <si>
    <t>Partini/ Puskesmas Kuala Pembuang I</t>
  </si>
  <si>
    <t>MH1HB32187K332801</t>
  </si>
  <si>
    <t>HB32E-1326765</t>
  </si>
  <si>
    <t>KH 2245 PY</t>
  </si>
  <si>
    <t>Iis Silvia/Puskesmas Telaga Pulang</t>
  </si>
  <si>
    <t>MHIHB32187K337982</t>
  </si>
  <si>
    <t>HB32E-1331436</t>
  </si>
  <si>
    <t>KH 2251 PY</t>
  </si>
  <si>
    <t>E 7693851 M</t>
  </si>
  <si>
    <t>Permadi/Puskesmas Rantau Pulut II</t>
  </si>
  <si>
    <t>MH1JBC127AK196003</t>
  </si>
  <si>
    <t>JBC1E-2188771</t>
  </si>
  <si>
    <t>KECAMATAN SERUYAN HILIR TIMUR</t>
  </si>
  <si>
    <t>KH4037PY</t>
  </si>
  <si>
    <t>I 00186025 M</t>
  </si>
  <si>
    <t>Sri Kurnia Ningsih/PKM Danau Sembuluh</t>
  </si>
  <si>
    <t xml:space="preserve"> MH1JB8114DK907441</t>
  </si>
  <si>
    <t xml:space="preserve"> JB81E1903470</t>
  </si>
  <si>
    <t>KH4249PY</t>
  </si>
  <si>
    <t>K 08796126 M</t>
  </si>
  <si>
    <t>Pengadaan Kendaraan Operasional Roda Dua Penanggung Jawab Pustu Kartika Bhakti</t>
  </si>
  <si>
    <t xml:space="preserve"> MH1JB8113DK917345</t>
  </si>
  <si>
    <t xml:space="preserve"> JB81E1913401</t>
  </si>
  <si>
    <t>KH4215PY</t>
  </si>
  <si>
    <t>K 08796092 M</t>
  </si>
  <si>
    <t>Pengadaan Kendaraan Operasional Roda Dua Pemegang Program Gizi Puskesmas Terawan</t>
  </si>
  <si>
    <t xml:space="preserve"> MH1JB8111DK912063</t>
  </si>
  <si>
    <t xml:space="preserve"> JB81E1908171</t>
  </si>
  <si>
    <t>KH4213PY</t>
  </si>
  <si>
    <t>K 08796090 M</t>
  </si>
  <si>
    <t>Pengadaan Kendaraan Operasional Roda Dua Penanggung Jawab Pustu Pembuang Hulu II</t>
  </si>
  <si>
    <t xml:space="preserve"> MH1JB811XDK912014</t>
  </si>
  <si>
    <t xml:space="preserve"> JB81E1908220</t>
  </si>
  <si>
    <t>KH4225PY</t>
  </si>
  <si>
    <t>K 08796102 M</t>
  </si>
  <si>
    <t>KECAMATAN SULING TAMBUN</t>
  </si>
  <si>
    <t>Pengadaan Kendaraan Operasional Roda Dua Penanggung Petugas Pustu Ayawan</t>
  </si>
  <si>
    <t xml:space="preserve"> MH1KC5111DK018337</t>
  </si>
  <si>
    <t>KC51E1018363</t>
  </si>
  <si>
    <t>KH4232PY</t>
  </si>
  <si>
    <t>K 08796109 M</t>
  </si>
  <si>
    <t>Pengadaan Kendaraan Operasional Roda Dua Pemegang Program TB Paru PKM Asam Baru</t>
  </si>
  <si>
    <t xml:space="preserve"> MH1JB8111DK917313</t>
  </si>
  <si>
    <t xml:space="preserve"> JB81E1913441</t>
  </si>
  <si>
    <t>KH4218PY</t>
  </si>
  <si>
    <t>K 08796095 M</t>
  </si>
  <si>
    <t>Pengadaan Kendaraan Operasional Roda Dua Penanggung Jawab Pustu Tumbang Kalam</t>
  </si>
  <si>
    <t xml:space="preserve"> MH1JB8116DK917372</t>
  </si>
  <si>
    <t xml:space="preserve"> JB81E1913427</t>
  </si>
  <si>
    <t>KH4255PY</t>
  </si>
  <si>
    <t>K 08796132 M</t>
  </si>
  <si>
    <t>Pengadaan Kendaraan Operasional Roda Dua Penanggung Jawab Poskesdes Tumbang Magin</t>
  </si>
  <si>
    <t> MH1KB2218LK013571</t>
  </si>
  <si>
    <t>KB22E1013444</t>
  </si>
  <si>
    <t>KH 4929 PY</t>
  </si>
  <si>
    <t>Q08280982 M</t>
  </si>
  <si>
    <t>BADAN PENANGGULANGAN BENCANA DAERAH</t>
  </si>
  <si>
    <t>000009</t>
  </si>
  <si>
    <t>MHIHB32137K323035</t>
  </si>
  <si>
    <t>HB32E-1317433</t>
  </si>
  <si>
    <t>KH 2220 PY</t>
  </si>
  <si>
    <t>E 7693800 M</t>
  </si>
  <si>
    <t>Repida Tampubolon/Puskesmas Asam Baru</t>
  </si>
  <si>
    <t>MHIHB32177K346429</t>
  </si>
  <si>
    <t>HB32E-1339488</t>
  </si>
  <si>
    <t>KH 2253 PY</t>
  </si>
  <si>
    <t>E 7693842 M</t>
  </si>
  <si>
    <t>Batik Solo/Puskesmas Rantau Pulut II</t>
  </si>
  <si>
    <t xml:space="preserve"> MH1JB8111DK913858</t>
  </si>
  <si>
    <t xml:space="preserve"> JB81E1909835</t>
  </si>
  <si>
    <t>KH4220PY</t>
  </si>
  <si>
    <t>K 08796097 M</t>
  </si>
  <si>
    <t>Pengadaan Kendaraan Operasional Roda Dua Penanggung Jawab Pustu Mekar Indah</t>
  </si>
  <si>
    <t xml:space="preserve"> MH1JB8118DK912027</t>
  </si>
  <si>
    <t xml:space="preserve"> JB81E1908287</t>
  </si>
  <si>
    <t>KH4226PY</t>
  </si>
  <si>
    <t>K 08796103 M</t>
  </si>
  <si>
    <t>Pengadaan Kendaraan Operasional Roda Dua Penanggung Jawab Program UKGS Puskesmas Pembuang Hulu</t>
  </si>
  <si>
    <t>DAMKAR</t>
  </si>
  <si>
    <t xml:space="preserve"> MH1JB8114DK917306</t>
  </si>
  <si>
    <t xml:space="preserve"> JB81E1913396</t>
  </si>
  <si>
    <t>KH4247PY</t>
  </si>
  <si>
    <t>K 08796124 M</t>
  </si>
  <si>
    <t>Pengadaan Kendaraan Operasional Roda Dua Penanggung Jawab Pustu Selunuk</t>
  </si>
  <si>
    <t xml:space="preserve"> MH1JB8112DK913805</t>
  </si>
  <si>
    <t xml:space="preserve"> JB81E1909840</t>
  </si>
  <si>
    <t>KH4236PY</t>
  </si>
  <si>
    <t>K 08796113 M</t>
  </si>
  <si>
    <t>Pengadaan Kendaraan Operasional Roda Dua Program Kesling PKM Danau Sembuluh</t>
  </si>
  <si>
    <t xml:space="preserve"> MH1JB8119DK908830</t>
  </si>
  <si>
    <t xml:space="preserve"> JB81E1905045</t>
  </si>
  <si>
    <t>KH4195PY</t>
  </si>
  <si>
    <t>K O8796072 M</t>
  </si>
  <si>
    <t>Pengadaan Kendaraan Operasional Roda Dua  Penanggung Jawab Program PTM Rantau Pulut I</t>
  </si>
  <si>
    <t xml:space="preserve"> MH1KC5115DK016509</t>
  </si>
  <si>
    <t>KC51E1016593</t>
  </si>
  <si>
    <t>KH4231PY</t>
  </si>
  <si>
    <t>K 08796108 M</t>
  </si>
  <si>
    <t>Pengadaan Kendaraan Operasional Roda Dua Program Imunisasi PKM Tumbang Langkai</t>
  </si>
  <si>
    <t xml:space="preserve"> MH1JB8111DK917358</t>
  </si>
  <si>
    <t xml:space="preserve"> JB81E1913471</t>
  </si>
  <si>
    <t>KH4234PY</t>
  </si>
  <si>
    <t>K 08796111 M</t>
  </si>
  <si>
    <t>Pengadaan Kendaraan Operasional Roda Dua Penanggung Jawab Polindes Rantau Panjang</t>
  </si>
  <si>
    <t>PEMKAB SERUYAN</t>
  </si>
  <si>
    <t>Honda / CBX 150 SE</t>
  </si>
  <si>
    <t>Besi/Otomotif</t>
  </si>
  <si>
    <t>MH1KCE11XNK012845</t>
  </si>
  <si>
    <t>KCE1E1012824</t>
  </si>
  <si>
    <t>KH 5185 PY</t>
  </si>
  <si>
    <t>S 072139966 M</t>
  </si>
  <si>
    <t>Belanja Modal Kendaraan Bermotor Beroda Dua, Sepeda Motor Pusling (Penguatan Sistem Kesehatan) E- Catalog (Puskesmas Telaga Pulang)</t>
  </si>
  <si>
    <t>MH1KEVA182K084424</t>
  </si>
  <si>
    <t>KEVAE-1085172</t>
  </si>
  <si>
    <t>KH2527PY</t>
  </si>
  <si>
    <t>NELWATI, A.Md. Keb Puskesmas Danau Sembuluh</t>
  </si>
  <si>
    <t>Honda NF 100D / Honda NF 100D</t>
  </si>
  <si>
    <t>MH1KEVA103K570422</t>
  </si>
  <si>
    <t>KEVAE1565237</t>
  </si>
  <si>
    <t>KH 2549 PY</t>
  </si>
  <si>
    <t>C 8232526 M</t>
  </si>
  <si>
    <t>Hadi Santoso Dinas Kesehatan
 (KH 2549 PY Ex KH 3027 PM)</t>
  </si>
  <si>
    <t>MHIHB32117K329822</t>
  </si>
  <si>
    <t>HB32E-1323685</t>
  </si>
  <si>
    <t>KH 2231PY</t>
  </si>
  <si>
    <t>E 7693814 M</t>
  </si>
  <si>
    <t>Rabiatul Qamariah/Puskesmas Asam Baru</t>
  </si>
  <si>
    <t>MH1JBC12XAK178949</t>
  </si>
  <si>
    <t>JBC1E-2177894</t>
  </si>
  <si>
    <t>KH4027PY</t>
  </si>
  <si>
    <t>I 00186015 M</t>
  </si>
  <si>
    <t>Tumbang Langkai</t>
  </si>
  <si>
    <t xml:space="preserve"> MH1JB8118DK909063</t>
  </si>
  <si>
    <t xml:space="preserve"> JB81E1905356</t>
  </si>
  <si>
    <t>KH4235PY</t>
  </si>
  <si>
    <t>K 08796112 M</t>
  </si>
  <si>
    <t>Pengadaan Kendaraan Operasional Roda Dua (dr. YULITA HANDAYANI) dr. Puskesmas Kuala Pembuang II</t>
  </si>
  <si>
    <t xml:space="preserve"> MH1JB8116DK907196</t>
  </si>
  <si>
    <t xml:space="preserve"> JB81E1903144</t>
  </si>
  <si>
    <t>KH4223PY</t>
  </si>
  <si>
    <t>K 08796100 M</t>
  </si>
  <si>
    <t>Pengadaan Kendaraan Operasional Roda Dua Penanggung Jawab Pustu Lanpasa</t>
  </si>
  <si>
    <t xml:space="preserve"> MH1JB8112DK909351</t>
  </si>
  <si>
    <t xml:space="preserve"> JB81E1905621</t>
  </si>
  <si>
    <t>KH4250PY</t>
  </si>
  <si>
    <t>K 08796127 M</t>
  </si>
  <si>
    <t>Pengadaan Kendaraan Operasional Roda Dua Penanggung Jawab Pustu Parang Batang</t>
  </si>
  <si>
    <t xml:space="preserve"> MH1JB811XDK912076</t>
  </si>
  <si>
    <t xml:space="preserve"> JB81E1908137</t>
  </si>
  <si>
    <t>KH4197PY</t>
  </si>
  <si>
    <t>K 08796074 M</t>
  </si>
  <si>
    <t>Pengadaan Kendaraan Operasional Roda Dua  Penanggung Jawab Pustu Pangke</t>
  </si>
  <si>
    <t xml:space="preserve"> MH1JB8116DK913855</t>
  </si>
  <si>
    <t xml:space="preserve"> JB81E1909831</t>
  </si>
  <si>
    <t>KH4200PY</t>
  </si>
  <si>
    <t>K 08796077 M</t>
  </si>
  <si>
    <t>Pengadaan Kendaraan Operasional Roda Dua Penanggung Jawab Pustu Tumbang Darap</t>
  </si>
  <si>
    <t>MH1KEVA184K750796</t>
  </si>
  <si>
    <t>KEVAE5750609</t>
  </si>
  <si>
    <t>KH 3069 PM</t>
  </si>
  <si>
    <t>D 0073552 M</t>
  </si>
  <si>
    <t>Sutrismo Suryanata/PKM Danau Sembuluh</t>
  </si>
  <si>
    <t>Suzuki Smash FD FD110X / Suzuki Smash FD FD110X</t>
  </si>
  <si>
    <t>MH8FD110CGJ596898</t>
  </si>
  <si>
    <t>E405-ID597766</t>
  </si>
  <si>
    <t>KH 2115 PY</t>
  </si>
  <si>
    <t>D 9837374 M</t>
  </si>
  <si>
    <t>AGUS SUSANTO, SE/ Dinas Kesehatan</t>
  </si>
  <si>
    <t>MHIHB32117K329836</t>
  </si>
  <si>
    <t>HB32E-1323853</t>
  </si>
  <si>
    <t>KH 2222 PY</t>
  </si>
  <si>
    <t>E 7693805 M</t>
  </si>
  <si>
    <t>Fitriani /Puskesmas Asam Baru</t>
  </si>
  <si>
    <t xml:space="preserve"> MH1JB8118DK913808</t>
  </si>
  <si>
    <t xml:space="preserve"> JB81E1909839</t>
  </si>
  <si>
    <t>KH4221PY</t>
  </si>
  <si>
    <t>K 08796098 M</t>
  </si>
  <si>
    <t>Pengadaan Kendaraan Operasional Roda Dua Penanggung Jawab Pustu Tanggul Harapan</t>
  </si>
  <si>
    <t xml:space="preserve"> MH1JB8111DK907929</t>
  </si>
  <si>
    <t xml:space="preserve"> JB81E1904079</t>
  </si>
  <si>
    <t>KH4198PY</t>
  </si>
  <si>
    <t>K 08796075 M</t>
  </si>
  <si>
    <t>Pengadaan Kendaraan Operasional Roda Dua Bidan Kordinator Puskesmas Terawan</t>
  </si>
  <si>
    <t xml:space="preserve"> MH1JB8110DK909025</t>
  </si>
  <si>
    <t xml:space="preserve"> JB81E1905173</t>
  </si>
  <si>
    <t>KH4217PY</t>
  </si>
  <si>
    <t>K 08796094 M</t>
  </si>
  <si>
    <t>Pengadaan Kendaraan Operasional Roda Dua Penanggung Jawab Poskesdes Paring Raya</t>
  </si>
  <si>
    <t xml:space="preserve"> MH1JB8111DK912077</t>
  </si>
  <si>
    <t xml:space="preserve"> JB81E1908112</t>
  </si>
  <si>
    <t>KH4244PY</t>
  </si>
  <si>
    <t>K 08796121 M</t>
  </si>
  <si>
    <t>Pengadaan Kendaraan Operasional Roda Dua Penanggung Jawab Poskesdes Durian Tunggal</t>
  </si>
  <si>
    <t xml:space="preserve"> MH1JB8117DK908969</t>
  </si>
  <si>
    <t xml:space="preserve"> JB81E1904967</t>
  </si>
  <si>
    <t>KH4194PY</t>
  </si>
  <si>
    <t>K 08796071 M</t>
  </si>
  <si>
    <t>Pengadaan Kendaraan Operasional Roda Dua Penanggung Jawab Pustu Bumi Jaya</t>
  </si>
  <si>
    <t xml:space="preserve"> MH1JB8117DK909071</t>
  </si>
  <si>
    <t xml:space="preserve"> JB81E1905342</t>
  </si>
  <si>
    <t>KH4216PY</t>
  </si>
  <si>
    <t>K 08796093 M</t>
  </si>
  <si>
    <t>Pengadaan Kendaraan Operasional Roda Dua Penanggung Jawab Pustu Riam Batang</t>
  </si>
  <si>
    <t>MH1HB31166K185653</t>
  </si>
  <si>
    <t>HB31E-1183166</t>
  </si>
  <si>
    <t>KH 2143 PY</t>
  </si>
  <si>
    <t>D 1306199 M</t>
  </si>
  <si>
    <t>Iskandar/ Yankes</t>
  </si>
  <si>
    <t>MH34D72038J160245</t>
  </si>
  <si>
    <t>4D7-1160259</t>
  </si>
  <si>
    <t>KH2603PY</t>
  </si>
  <si>
    <t>1327463M</t>
  </si>
  <si>
    <t>PKM Asam Baru/ Sri Wahyu Ningsih</t>
  </si>
  <si>
    <t>MH1JBC125AK121347</t>
  </si>
  <si>
    <t>JBC1E-2121523</t>
  </si>
  <si>
    <t>KH4036PY</t>
  </si>
  <si>
    <t>I 00186024 M</t>
  </si>
  <si>
    <t>dr. Gilda Sylva PKM Tumbang Manjul</t>
  </si>
  <si>
    <t xml:space="preserve"> MH1JB8114DK913854</t>
  </si>
  <si>
    <t xml:space="preserve"> JB81E1909842</t>
  </si>
  <si>
    <t>KH4214PY</t>
  </si>
  <si>
    <t>K 08796091 M</t>
  </si>
  <si>
    <t>Pengadaan Kendaraan Operasional Roda Dua Penanggung Jawab Polindes Parang Batang</t>
  </si>
  <si>
    <t xml:space="preserve"> MH1JB8116DK917307</t>
  </si>
  <si>
    <t xml:space="preserve"> JB81E1913481</t>
  </si>
  <si>
    <t>KH4219PY</t>
  </si>
  <si>
    <t>K 08796096 M</t>
  </si>
  <si>
    <t>Pengadaan Kendaraan Operasional Roda Dua Penanggung Jawab Pustu Panca Jaya</t>
  </si>
  <si>
    <t xml:space="preserve"> MH1JB8110DK913804</t>
  </si>
  <si>
    <t xml:space="preserve"> JB81E1909838</t>
  </si>
  <si>
    <t>KH4245PY</t>
  </si>
  <si>
    <t>K 08796122 M</t>
  </si>
  <si>
    <t>Pengadaan Kendaraan Operasional Roda Dua Penangung Jawab Poskesdes Ayawan</t>
  </si>
  <si>
    <t>MH1HB31136K175310</t>
  </si>
  <si>
    <t>HB31E1173302</t>
  </si>
  <si>
    <t>KH 2141 PY</t>
  </si>
  <si>
    <t>E 1306198 M</t>
  </si>
  <si>
    <t>Iskandar/PKM K. Pembuang II</t>
  </si>
  <si>
    <t>MHIHB32177K280707</t>
  </si>
  <si>
    <t>HB32E-1270545</t>
  </si>
  <si>
    <t>KH 2221 PY</t>
  </si>
  <si>
    <t>E 7693816 M</t>
  </si>
  <si>
    <t>Supiyansyah/Puskesmas Asam Baru</t>
  </si>
  <si>
    <t>MHIHB32137K280718</t>
  </si>
  <si>
    <t>HB32E-1274640</t>
  </si>
  <si>
    <t>KH 2232 PY</t>
  </si>
  <si>
    <t>E 7693815 M</t>
  </si>
  <si>
    <t>dr. Gilda Sylva/Puskesmas Tumbang Manjul</t>
  </si>
  <si>
    <t xml:space="preserve"> MH1KC5115DK018048</t>
  </si>
  <si>
    <t>KC51E1018041</t>
  </si>
  <si>
    <t>KH4229PY</t>
  </si>
  <si>
    <t>K 08796106 M</t>
  </si>
  <si>
    <t>Pengadaan Kendaraan Operasional Roda Dua Pemegang Program Imunisasi PKM Hanau</t>
  </si>
  <si>
    <t xml:space="preserve"> MH1JB8119DK912070</t>
  </si>
  <si>
    <t xml:space="preserve"> JB81E1908203</t>
  </si>
  <si>
    <t>KH4199PY</t>
  </si>
  <si>
    <t>K 08796076 M</t>
  </si>
  <si>
    <t>Pengadaan Kendaraan Operasional Roda Dua Penanggung Jawab Polindes Sukamandang</t>
  </si>
  <si>
    <t>MH1JB8116DK912799</t>
  </si>
  <si>
    <t>JB81E1908614</t>
  </si>
  <si>
    <t>KH4233PY</t>
  </si>
  <si>
    <t>K 08796110 M</t>
  </si>
  <si>
    <t>Pengadaan Kendaraan Operasional Roda Dua Penanggung Jawab Pustu Suka Mulya</t>
  </si>
  <si>
    <t>HONDA Y1G02N15L0 A/T CBS ISS- 2017 / HONDA Y1G02N15L0 A/T CBS ISS- 2017</t>
  </si>
  <si>
    <t>MH1JFT114HK086015</t>
  </si>
  <si>
    <t>JFT1E 1085610</t>
  </si>
  <si>
    <t>KH 4626 PY</t>
  </si>
  <si>
    <t>M 12805867 M</t>
  </si>
  <si>
    <t>DINKES</t>
  </si>
  <si>
    <t>MH8FD1100C6J596929</t>
  </si>
  <si>
    <t>E405ID596756</t>
  </si>
  <si>
    <t>KH 2095 PY</t>
  </si>
  <si>
    <t>D 9837396 M</t>
  </si>
  <si>
    <t>Kaspianur/PKM K. Pembuang II</t>
  </si>
  <si>
    <t>YAMAHA RXKing / YAMAHA RXKing</t>
  </si>
  <si>
    <t>135</t>
  </si>
  <si>
    <t>MH33KA0156KB07624</t>
  </si>
  <si>
    <t>3KA781700</t>
  </si>
  <si>
    <t>KH 2073 PY</t>
  </si>
  <si>
    <t>D 9294115 M</t>
  </si>
  <si>
    <t>Puskesmas Rantau Pulut II</t>
  </si>
  <si>
    <t>MH8EN125A73419951</t>
  </si>
  <si>
    <t>F405-ID-418518</t>
  </si>
  <si>
    <t>KH 2199 PY</t>
  </si>
  <si>
    <t>E 7693778 M</t>
  </si>
  <si>
    <t>Fendi Harahap/Puskesmas Tumbang Manjul</t>
  </si>
  <si>
    <t>MH1JBC127AK178925</t>
  </si>
  <si>
    <t>JBC1E-2177882</t>
  </si>
  <si>
    <t>KH4028PY</t>
  </si>
  <si>
    <t>I 00186016 M</t>
  </si>
  <si>
    <t>Siti Balna/PKM Pembuang Hulu</t>
  </si>
  <si>
    <t xml:space="preserve"> MH1JB8112DK917319</t>
  </si>
  <si>
    <t xml:space="preserve"> JB81E1913315</t>
  </si>
  <si>
    <t>KH4240PY</t>
  </si>
  <si>
    <t>K 08796117 M</t>
  </si>
  <si>
    <t>Pengadaan Kendaraan Operasional Roda Dua Penanggung Jawab Poskesdes Gantung Pengayuh</t>
  </si>
  <si>
    <t>Honda / CBX 150 STD</t>
  </si>
  <si>
    <t>Besi/ outomotif</t>
  </si>
  <si>
    <t>MH1KCE114NK011965</t>
  </si>
  <si>
    <t>KCE1E1011995</t>
  </si>
  <si>
    <t>KH 5186 PY</t>
  </si>
  <si>
    <t>S 07213997 M</t>
  </si>
  <si>
    <t>Belanja Modal Kendaraan Bermotor Beroda Dua, Sepeda Motor Pusling (Penguatan Sistem Kesehatan) E- Catalog (Puskesmas Asam Baru)</t>
  </si>
  <si>
    <t>MH8FD1100C6J596940</t>
  </si>
  <si>
    <t>E405ID59116</t>
  </si>
  <si>
    <t>KH 2096 PY</t>
  </si>
  <si>
    <t>D 9837385 M</t>
  </si>
  <si>
    <t>Qwartati R/PKM K. Pembuang II</t>
  </si>
  <si>
    <t>MH8FD125X6J745877</t>
  </si>
  <si>
    <t>F403ID745705</t>
  </si>
  <si>
    <t>KH 2091 PY</t>
  </si>
  <si>
    <t>D 89837372 M</t>
  </si>
  <si>
    <t>Dini Rabawan/ Dinas Kesehatan</t>
  </si>
  <si>
    <t>Suzuki Thunder 125 / Suzuki Thunder 125</t>
  </si>
  <si>
    <t>MH8EIV125A6J239846</t>
  </si>
  <si>
    <t>F405-10239492</t>
  </si>
  <si>
    <t>KH 2084 PY</t>
  </si>
  <si>
    <t>D 9837358 M</t>
  </si>
  <si>
    <t>Nur Surya/Puskwsmas Rantau Pulut II</t>
  </si>
  <si>
    <t>MHIHB32167K295490</t>
  </si>
  <si>
    <t>HB32E-1326771</t>
  </si>
  <si>
    <t>KH 2211 PY</t>
  </si>
  <si>
    <t>E 7693804 M</t>
  </si>
  <si>
    <t>Mulyadi/ STNK Hilang/PKM Pembuang Hulu</t>
  </si>
  <si>
    <t xml:space="preserve"> MH1JB8113DK913859</t>
  </si>
  <si>
    <t xml:space="preserve"> JB81E1909824</t>
  </si>
  <si>
    <t>KH4243PY</t>
  </si>
  <si>
    <t>K 08796120 M</t>
  </si>
  <si>
    <t>Pengadaan Kendaraan Operasional Roda Dua Penanggung Jawab Pustu Bukit Tahinting</t>
  </si>
  <si>
    <t>Yamaha T105ERD / Yamaha T105ERD</t>
  </si>
  <si>
    <t>102 CC</t>
  </si>
  <si>
    <t>MH34ST2106K062381</t>
  </si>
  <si>
    <t>4ST-1420932</t>
  </si>
  <si>
    <t>KH2075PY</t>
  </si>
  <si>
    <t>D9294117M</t>
  </si>
  <si>
    <t>Zauhari Rachman, Dinkes</t>
  </si>
  <si>
    <t>MHIHB32117K281550</t>
  </si>
  <si>
    <t>HB32E-1275045</t>
  </si>
  <si>
    <t>KH 2214 PY</t>
  </si>
  <si>
    <t>E 7693864 M</t>
  </si>
  <si>
    <t>Khairol/PKM Pembuang Hulu</t>
  </si>
  <si>
    <t xml:space="preserve"> MH1JB8112DK917269</t>
  </si>
  <si>
    <t xml:space="preserve"> JB81E1913434</t>
  </si>
  <si>
    <t>KH4228PY</t>
  </si>
  <si>
    <t>K 08796105 M</t>
  </si>
  <si>
    <t>Pengadaan Kendaraan Operasional Roda Dua Penanggung Jawab Poskesdes Teluk Bayur</t>
  </si>
  <si>
    <t>Honda NF100SLD / Honda NF100SLD</t>
  </si>
  <si>
    <t>MH1HB41176K772594</t>
  </si>
  <si>
    <t>HB41E-1768832</t>
  </si>
  <si>
    <t>KH2168PY</t>
  </si>
  <si>
    <t>E8567072M</t>
  </si>
  <si>
    <t>PKM K. Pembuang II/Mukhlis Santoso</t>
  </si>
  <si>
    <t>Honda Supra Fit NF 100 SL / Honda Supra Fit NF 100 SL</t>
  </si>
  <si>
    <t>MH1HB31116K168131</t>
  </si>
  <si>
    <t>HB31E-1170368</t>
  </si>
  <si>
    <t>KH 2145 PY</t>
  </si>
  <si>
    <t>E 1306201 M</t>
  </si>
  <si>
    <t>Yuliana/PKM Rantau Pulut II</t>
  </si>
  <si>
    <t>MHIHB32117K326885</t>
  </si>
  <si>
    <t>HB32E-1318948</t>
  </si>
  <si>
    <t>KH 2210 PY</t>
  </si>
  <si>
    <t>E 7693810 M</t>
  </si>
  <si>
    <t>dr. Nani Haryanti Samsi/PKM Pembuang Hulu</t>
  </si>
  <si>
    <t xml:space="preserve"> MH1KC5116DK017040</t>
  </si>
  <si>
    <t>KC51E1016795</t>
  </si>
  <si>
    <t>KH4237PY</t>
  </si>
  <si>
    <t>K 08796114 M</t>
  </si>
  <si>
    <t>Pengadaan Kendaraan Operasional Roda Dua Pemegang Program DBD Rantau Pulut I</t>
  </si>
  <si>
    <t>Suzuki FD110XD / Suzuki FD110XD</t>
  </si>
  <si>
    <t>MH8FD110C6J596886</t>
  </si>
  <si>
    <t>E405-ID-597053</t>
  </si>
  <si>
    <t>KH2103PY</t>
  </si>
  <si>
    <t>9837392M</t>
  </si>
  <si>
    <t>RAHMAD FAHRI, A.Md. KL, Dinas Kesehatan</t>
  </si>
  <si>
    <t>MH1HB31166K175074</t>
  </si>
  <si>
    <t>HB31E-1171481</t>
  </si>
  <si>
    <t>KH 2144 PY</t>
  </si>
  <si>
    <t>D 1306200 M</t>
  </si>
  <si>
    <t>Jumaili/PKM Rantau Pulut I</t>
  </si>
  <si>
    <t>MH8EN125A6J232036</t>
  </si>
  <si>
    <t>F405-ID-23234</t>
  </si>
  <si>
    <t>KH2081PY</t>
  </si>
  <si>
    <t>983761M</t>
  </si>
  <si>
    <t>JULI WAHYU TRIONO, A. Md. Kep, PKM Rantau Pulut II</t>
  </si>
  <si>
    <t>MHIHB32117K333554</t>
  </si>
  <si>
    <t>HB32E-1326996</t>
  </si>
  <si>
    <t>KH 2216 PY</t>
  </si>
  <si>
    <t>E 7693811 M</t>
  </si>
  <si>
    <t>Muryono/PKM Pembuang Hulu</t>
  </si>
  <si>
    <t>000019</t>
  </si>
  <si>
    <t>Suzuki Smash FD  FD110X / Suzuki Smash FD  FD110X</t>
  </si>
  <si>
    <t>MH8FD110C6J596880</t>
  </si>
  <si>
    <t>E405-ID-597012</t>
  </si>
  <si>
    <t>KH 2112 PY</t>
  </si>
  <si>
    <t>D 9837378 M</t>
  </si>
  <si>
    <t>Yeyenti/PKM Rantau Pulut I</t>
  </si>
  <si>
    <t>MHIHB32117K317920</t>
  </si>
  <si>
    <t>HB32E-1310256</t>
  </si>
  <si>
    <t>KH 2243 PY</t>
  </si>
  <si>
    <t>E 7693860 M</t>
  </si>
  <si>
    <t>Dini Rabawan/ PKM Kuala Pembuang II</t>
  </si>
  <si>
    <t>MH8FDII006J596862</t>
  </si>
  <si>
    <t>E405ID596861</t>
  </si>
  <si>
    <t>KH 2113 PY</t>
  </si>
  <si>
    <t>D 9837379 M</t>
  </si>
  <si>
    <t>Mulyadi/PKM Rantau Pulut I</t>
  </si>
  <si>
    <t>MH34D72038J160246</t>
  </si>
  <si>
    <t>4D7-1160249</t>
  </si>
  <si>
    <t>KH2600PY</t>
  </si>
  <si>
    <t>PKM Pembuang Hulu/Yuni Puji astuti</t>
  </si>
  <si>
    <t>New Vario 150-vin 2019 / New Vario 150-vin 2019</t>
  </si>
  <si>
    <t> MH1KF4129LK014190</t>
  </si>
  <si>
    <t>KF41E2018210</t>
  </si>
  <si>
    <t>KH 4924 PY</t>
  </si>
  <si>
    <t>Q08278769 M</t>
  </si>
  <si>
    <t>MHIHB32107K241408</t>
  </si>
  <si>
    <t>HB32E-1232058</t>
  </si>
  <si>
    <t>KH 2225 PY</t>
  </si>
  <si>
    <t>E 7693808 M</t>
  </si>
  <si>
    <t>Norma Sari/Puskesmas Rantau Pulut I</t>
  </si>
  <si>
    <t>MH34D72038J160241</t>
  </si>
  <si>
    <t>4D7-1160217</t>
  </si>
  <si>
    <t>KH2602PY</t>
  </si>
  <si>
    <t>1327462M</t>
  </si>
  <si>
    <t>PKM Pembuang Hulu/Sri Kusmiati</t>
  </si>
  <si>
    <t xml:space="preserve"> MH1JB8116DK917310</t>
  </si>
  <si>
    <t xml:space="preserve"> JB81E1913487</t>
  </si>
  <si>
    <t>KH4254PY</t>
  </si>
  <si>
    <t>K 08796131 M</t>
  </si>
  <si>
    <t>Pengadaan Kendaraan Operasional Roda Dua Penanggung Pustu Suka Jaya</t>
  </si>
  <si>
    <t> MH1KF4121LK014189</t>
  </si>
  <si>
    <t>KF41E2018211</t>
  </si>
  <si>
    <t>KH 4925 PY</t>
  </si>
  <si>
    <t>Q08278770 M</t>
  </si>
  <si>
    <t xml:space="preserve"> MH1KC5110DK017521</t>
  </si>
  <si>
    <t>KC51E1017557</t>
  </si>
  <si>
    <t>KH4230PY</t>
  </si>
  <si>
    <t>K 08796107 M</t>
  </si>
  <si>
    <t>Pengadaan Kendaraan Operasional Roda Dua Pemegang Program Imunisasi Rantau Pulut II</t>
  </si>
  <si>
    <t> MH1KF4123LK046973</t>
  </si>
  <si>
    <t>KF41E2051091</t>
  </si>
  <si>
    <t>KH 4960 PY</t>
  </si>
  <si>
    <t>Q08299376 M</t>
  </si>
  <si>
    <t>MH1KEVA193K569348</t>
  </si>
  <si>
    <t>KEVAE1567423</t>
  </si>
  <si>
    <t>KH 3026 PM</t>
  </si>
  <si>
    <t>Hadi Santoso</t>
  </si>
  <si>
    <t>Honda NF 125D / Honda NF 125D</t>
  </si>
  <si>
    <t>MH1JB21103K292561</t>
  </si>
  <si>
    <t>JBZIE12888230</t>
  </si>
  <si>
    <t>KH 3028 PM</t>
  </si>
  <si>
    <t>C 8232527 M</t>
  </si>
  <si>
    <t>Kasmiati</t>
  </si>
  <si>
    <t>MHIHB321176K032178</t>
  </si>
  <si>
    <t>HB32E-1043426</t>
  </si>
  <si>
    <t>7693857M</t>
  </si>
  <si>
    <t>Adelina Kamila PKM Terawan/ Dobel catat</t>
  </si>
  <si>
    <t>Honda Supra X 125 FI CW-2016 / Honda Supra X 125 FI CW-2016</t>
  </si>
  <si>
    <t>MH1JBP115GK402670</t>
  </si>
  <si>
    <t>JBP1E1398959</t>
  </si>
  <si>
    <t>KH4480PY</t>
  </si>
  <si>
    <t>L097317125M</t>
  </si>
  <si>
    <t>Belanja Pengadaan Sepeda Motor Roda 2 Biasa Operasional Puskesmas (Puskesmas Kuala Pembuang I)</t>
  </si>
  <si>
    <t>MH1JBP110GK396468</t>
  </si>
  <si>
    <t>JBP1E1393975</t>
  </si>
  <si>
    <t>KH4465PY</t>
  </si>
  <si>
    <t>L09728678M</t>
  </si>
  <si>
    <t>Belanja Pengadaan Sepeda Motor Roda 2 Biasa Operasional Puskesmas (Puskesmas Terawan)</t>
  </si>
  <si>
    <t>MH1JBP11XGK402454</t>
  </si>
  <si>
    <t>JBP1E1395569</t>
  </si>
  <si>
    <t>KH4482PY</t>
  </si>
  <si>
    <t>L09731727M</t>
  </si>
  <si>
    <t>Belanja Pengadaan Sepeda Motor Roda 2 Biasa Operasional Puskesmas (Puskesmas Danau Sembuluh)</t>
  </si>
  <si>
    <t>MH1KC5215FK249436</t>
  </si>
  <si>
    <t>KC52E1247166</t>
  </si>
  <si>
    <t>KH 4345 PY</t>
  </si>
  <si>
    <t>L 06930514 M</t>
  </si>
  <si>
    <t>PENGURUS BARANG (DINKES)</t>
  </si>
  <si>
    <t>MH1JBP116GK368321</t>
  </si>
  <si>
    <t>KH4466PY</t>
  </si>
  <si>
    <t>L09728679M</t>
  </si>
  <si>
    <t>Belanja Pengadaan Sepeda Motor Roda 2 Biasa Operasional Puskesmas (Puskesmas Sandul)</t>
  </si>
  <si>
    <t>MH1JBP119FK356307</t>
  </si>
  <si>
    <t>JBP1E1356045</t>
  </si>
  <si>
    <t>KH4478PY</t>
  </si>
  <si>
    <t>L09728744M</t>
  </si>
  <si>
    <t>Belanja Pengadaan Sepeda Motor Roda 2 Biasa Operasional Puskesmas (Puskesmas Rantau Pulut II)</t>
  </si>
  <si>
    <t>MH1JBP117GK368778</t>
  </si>
  <si>
    <t>JBP1E1395646</t>
  </si>
  <si>
    <t>KH4476PY</t>
  </si>
  <si>
    <t>L09728746M</t>
  </si>
  <si>
    <t>Belanja Pengadaan Sepeda Motor Roda 2 Biasa Operasional Puskesmas (Puskesmas Telaga Pulang)</t>
  </si>
  <si>
    <t>MH1JBP118GK368322</t>
  </si>
  <si>
    <t>JBP1E1395595</t>
  </si>
  <si>
    <t>KH4467PY</t>
  </si>
  <si>
    <t>L09728680M</t>
  </si>
  <si>
    <t>Belanja Pengadaan Sepeda Motor Roda 2 Biasa Operasional Puskesmas (Puskesmas Pembuang Hulu)</t>
  </si>
  <si>
    <t>MH1JBP112GK396553</t>
  </si>
  <si>
    <t>JBP1E1395151</t>
  </si>
  <si>
    <t>KH4469PY</t>
  </si>
  <si>
    <t>L09728682M</t>
  </si>
  <si>
    <t>Belanja Pengadaan Sepeda Motor Roda 2 Biasa Operasional Puskesmas (Puskesmas Tumbang Langkai)</t>
  </si>
  <si>
    <t>MH1JBP11XGK402115</t>
  </si>
  <si>
    <t>JBP1E1398617</t>
  </si>
  <si>
    <t>KH4479PY</t>
  </si>
  <si>
    <t>L09731724M</t>
  </si>
  <si>
    <t>Belanja Pengadaan Sepeda Motor Roda 2 Biasa Operasional Puskesmas (Puskesmas Kuala Pembuang II)</t>
  </si>
  <si>
    <t>MH1JBP116FK356040</t>
  </si>
  <si>
    <t>JBP1E1352947</t>
  </si>
  <si>
    <t>KH4477PY</t>
  </si>
  <si>
    <t>L09728745M</t>
  </si>
  <si>
    <t>Belanja Pengadaan Sepeda Motor Roda 2 Biasa Operasional Puskesmas (Puskesmas Rantau Pulut I)</t>
  </si>
  <si>
    <t>MH1JBP119GK402431</t>
  </si>
  <si>
    <t>JBP1E1400144</t>
  </si>
  <si>
    <t>KH4481PY</t>
  </si>
  <si>
    <t>L09731726M</t>
  </si>
  <si>
    <t>Belanja Pengadaan Sepeda Motor Roda 2 Biasa Operasional Puskesmas (Puskesmas Tumbang manjul )</t>
  </si>
  <si>
    <t>MH1JBP114GK398255</t>
  </si>
  <si>
    <t>JBP1E1395669</t>
  </si>
  <si>
    <t>KH4468PY</t>
  </si>
  <si>
    <t>L09728681M</t>
  </si>
  <si>
    <t>Belanja Pengadaan Sepeda Motor Roda 2 Biasa Operasional Puskesmas (Puskesmas Asam Baru)</t>
  </si>
  <si>
    <t>Honda Revo Spoke F1 / Honda Revo Spoke F1</t>
  </si>
  <si>
    <t>109,1</t>
  </si>
  <si>
    <t>Besi/ Otto</t>
  </si>
  <si>
    <t xml:space="preserve"> MH1JBK214EK054035</t>
  </si>
  <si>
    <t>JBK2E1054168</t>
  </si>
  <si>
    <t>KH4341PY</t>
  </si>
  <si>
    <t>L04362034M</t>
  </si>
  <si>
    <t>Pengadaan Kendaraan Operasional Roda Dua (dr. YULIANA) Kabid Yankes</t>
  </si>
  <si>
    <t>HONDA VERZA 150 CW / HONDA VERZA 150 CW</t>
  </si>
  <si>
    <t>149.2</t>
  </si>
  <si>
    <t>MH1KC5219EK198439</t>
  </si>
  <si>
    <t>KC52E1196839</t>
  </si>
  <si>
    <t>KH 4285 PY</t>
  </si>
  <si>
    <t>L 04353749 M</t>
  </si>
  <si>
    <t>HONDA BEAT  eSP POP CW-2015 / HONDA BEAT  eSP POP CW-2015</t>
  </si>
  <si>
    <t>MH1JFS118FK080774</t>
  </si>
  <si>
    <t>JFS1E1078825</t>
  </si>
  <si>
    <t>KH 4386 PY</t>
  </si>
  <si>
    <t>L 06931769 M</t>
  </si>
  <si>
    <t>PENYIMPAN BARANG (KESEHATAN)</t>
  </si>
  <si>
    <t> MH1KF4125LK046926</t>
  </si>
  <si>
    <t>KF41E2051041</t>
  </si>
  <si>
    <t>KH 4961 PY</t>
  </si>
  <si>
    <t>Q08299377 M</t>
  </si>
  <si>
    <t> MH1KF4125LK046795</t>
  </si>
  <si>
    <t>KF41E2050868</t>
  </si>
  <si>
    <t>KH 4959 PY</t>
  </si>
  <si>
    <t>Q08299375 M</t>
  </si>
  <si>
    <t>Puskesmas Rantau Pulut I, Puskesmas Rantau Pulut II, Puskesmas Tumbang Manjul, dan Puskesmas Tumbang langkai (DAK FISIK REGULER PELAYANAN KESEHATAN DASAR)</t>
  </si>
  <si>
    <t> MH1KF4125LK014199</t>
  </si>
  <si>
    <t>KF41E2017858</t>
  </si>
  <si>
    <t>KH 4918 PY</t>
  </si>
  <si>
    <t>Q08278564 M</t>
  </si>
  <si>
    <t> MH1KF4128LK014164</t>
  </si>
  <si>
    <t>KF41E2018280</t>
  </si>
  <si>
    <t>KH 4923 PY</t>
  </si>
  <si>
    <t>Q08278768 M</t>
  </si>
  <si>
    <t>MH1KF4128LK046970</t>
  </si>
  <si>
    <t>KF41E2051087</t>
  </si>
  <si>
    <t>KH 4953 PY</t>
  </si>
  <si>
    <t>Q08293195 M</t>
  </si>
  <si>
    <t>Pengadaan Kendaraan Roda 2 Operasional (20 Unit) Puskesmas Pembuang Hulu (DAK FISIK REGULER PELAYANAN KESEHATAN DASAR)</t>
  </si>
  <si>
    <t>MH1KF4122LK014144</t>
  </si>
  <si>
    <t>KF41E2018260</t>
  </si>
  <si>
    <t>KH 4927 PY</t>
  </si>
  <si>
    <t>Q08278772 M</t>
  </si>
  <si>
    <t> MH1KF4122LK014161</t>
  </si>
  <si>
    <t>KF41E2018277</t>
  </si>
  <si>
    <t>KH 4916 PY</t>
  </si>
  <si>
    <t>Q 08278562 M</t>
  </si>
  <si>
    <t> MH1KF4124LK014128</t>
  </si>
  <si>
    <t>KF41E2018243</t>
  </si>
  <si>
    <t>KH 4930 PY</t>
  </si>
  <si>
    <t>Q08280983 M</t>
  </si>
  <si>
    <t> MH1KF4126LK014163</t>
  </si>
  <si>
    <t>KF41E2018279</t>
  </si>
  <si>
    <t>KH 4926 PY</t>
  </si>
  <si>
    <t>Q08278771 M</t>
  </si>
  <si>
    <t>MHIHB32107K338611</t>
  </si>
  <si>
    <t>HB32E-1332175</t>
  </si>
  <si>
    <t>KH 2255 PY</t>
  </si>
  <si>
    <t>E 7693847 M</t>
  </si>
  <si>
    <t>M. Haldun/Dinas Kesehatan</t>
  </si>
  <si>
    <t>Honda GL 160 CW / Honda GL 160 CW</t>
  </si>
  <si>
    <t>160</t>
  </si>
  <si>
    <t>MH1KC1239K206341</t>
  </si>
  <si>
    <t>KC12E1205786</t>
  </si>
  <si>
    <t>KH2613PY</t>
  </si>
  <si>
    <t>H 06859637 M</t>
  </si>
  <si>
    <t>Hamzah Fansuri, Kepala Tata Usaha UPTD Gudang Farmasi</t>
  </si>
  <si>
    <t>Honda Supra Fit X / Honda Supra Fit X</t>
  </si>
  <si>
    <t>MH1HB71158K490555</t>
  </si>
  <si>
    <t>HB71E-1488147</t>
  </si>
  <si>
    <t>KH2447PY</t>
  </si>
  <si>
    <t>F4849370M</t>
  </si>
  <si>
    <t>Pengadaan Sepeda Motor (Indah Fitri Salawiyah)</t>
  </si>
  <si>
    <t>MH1HB71138K694464</t>
  </si>
  <si>
    <t>HB71E-1692486</t>
  </si>
  <si>
    <t>KH2448PY</t>
  </si>
  <si>
    <t>F4848158M</t>
  </si>
  <si>
    <t>Pengadaan Sepeda Motor (RUSPANDIAN NOOR)</t>
  </si>
  <si>
    <t>000064</t>
  </si>
  <si>
    <t>MH1HB71188K694458</t>
  </si>
  <si>
    <t>HB71E-1692603</t>
  </si>
  <si>
    <t>KH2450PY</t>
  </si>
  <si>
    <t>F4848156M</t>
  </si>
  <si>
    <t>Pengadaan Sepeda Motor (ISMIRANTO,SKM. MPH)</t>
  </si>
  <si>
    <t>000065</t>
  </si>
  <si>
    <t>MH1HB71148K695168</t>
  </si>
  <si>
    <t>HB71E-1689480</t>
  </si>
  <si>
    <t>KH2451PY</t>
  </si>
  <si>
    <t>F4848155M</t>
  </si>
  <si>
    <t>Pengadaan Sepeda Motor (RIA KHAIRIAH,SH)</t>
  </si>
  <si>
    <t>000066</t>
  </si>
  <si>
    <t>Honda 125 TR / Honda 125 TR</t>
  </si>
  <si>
    <t>MHIJB91149K97572</t>
  </si>
  <si>
    <t>JB91E185227</t>
  </si>
  <si>
    <t>KH2614PY</t>
  </si>
  <si>
    <t>H 06859636 M</t>
  </si>
  <si>
    <t>Kadsari, Kabid SDK Dinkes</t>
  </si>
  <si>
    <t>000067</t>
  </si>
  <si>
    <t xml:space="preserve"> MH1JBK215EK054075</t>
  </si>
  <si>
    <t>JBK2E1054192</t>
  </si>
  <si>
    <t>KH4339PY</t>
  </si>
  <si>
    <t>L04362032M</t>
  </si>
  <si>
    <t>Pengadaan Kendaraan Operasional Roda Dua (SAPRUDIN
) Kasie Jamkesmas</t>
  </si>
  <si>
    <t>000068</t>
  </si>
  <si>
    <t>MH1KC5212EK199142</t>
  </si>
  <si>
    <t>KC52E1196866</t>
  </si>
  <si>
    <t>KH 4286 PY</t>
  </si>
  <si>
    <t>L 04353750 M</t>
  </si>
  <si>
    <t>000069</t>
  </si>
  <si>
    <t>MH1KC5213EK200489</t>
  </si>
  <si>
    <t>KC52E1198466</t>
  </si>
  <si>
    <t>KH 4290 PY</t>
  </si>
  <si>
    <t>L 04354112 M</t>
  </si>
  <si>
    <t>000070</t>
  </si>
  <si>
    <t>MH1KC521XEK199146</t>
  </si>
  <si>
    <t>KC52E1196904</t>
  </si>
  <si>
    <t>KH 4287 PY</t>
  </si>
  <si>
    <t>L 04353751 M</t>
  </si>
  <si>
    <t>000071</t>
  </si>
  <si>
    <t>YAMAHA / MIO Z SE 88</t>
  </si>
  <si>
    <t>Otomotif</t>
  </si>
  <si>
    <t>MH3SE8890GJ133949</t>
  </si>
  <si>
    <t>E3R2E1107416</t>
  </si>
  <si>
    <t>B 3028 SQD</t>
  </si>
  <si>
    <t>N.00450759</t>
  </si>
  <si>
    <t>HIBAH DARI KEMENTRIAN BERUPA KENDARAAN DINAS RODA 2</t>
  </si>
  <si>
    <t>000072</t>
  </si>
  <si>
    <t>HONDA / SCOOOPY PRESTIGE</t>
  </si>
  <si>
    <t>109,51 CC</t>
  </si>
  <si>
    <t>MH1JM0417RK967759</t>
  </si>
  <si>
    <t>JM04E-1967778</t>
  </si>
  <si>
    <t>KH5304PY</t>
  </si>
  <si>
    <t>V-00026752</t>
  </si>
  <si>
    <t>Belanja Modal Kendaraan Bermotor Beroda Dua (Pusling Roda Dua)</t>
  </si>
  <si>
    <t>000073</t>
  </si>
  <si>
    <t>MH1JM0414RK972921</t>
  </si>
  <si>
    <t>JM04E-1972929</t>
  </si>
  <si>
    <t>KH5305PY</t>
  </si>
  <si>
    <t>V-00026753</t>
  </si>
  <si>
    <t>000074</t>
  </si>
  <si>
    <t>HONDA / VARIO L1F02N37S4 A/T</t>
  </si>
  <si>
    <t>124,88</t>
  </si>
  <si>
    <t>Besi/oto</t>
  </si>
  <si>
    <t>MH1JMD111RK766323</t>
  </si>
  <si>
    <t>JMD1E1765976</t>
  </si>
  <si>
    <t>KH5389PY</t>
  </si>
  <si>
    <t>V-04730367 M</t>
  </si>
  <si>
    <t>Belanja Modal Kendaraan Bermotor Beroda Dua (SEKRETARIS DINAS) RUSPANDIANOOR</t>
  </si>
  <si>
    <t>000075</t>
  </si>
  <si>
    <t>MH1JMD113RK766324</t>
  </si>
  <si>
    <t>JMD1E1765977</t>
  </si>
  <si>
    <t>KH5388PY</t>
  </si>
  <si>
    <t>V-04730366</t>
  </si>
  <si>
    <t>Belanja Modal Kendaraan Bermotor Beroda Dua (KABID YANKES) BU SARINAH</t>
  </si>
  <si>
    <t>000076</t>
  </si>
  <si>
    <t>MH1JMD119RK766327</t>
  </si>
  <si>
    <t>JMD1E1765982</t>
  </si>
  <si>
    <t>KH5387PY</t>
  </si>
  <si>
    <t>V-04730365 M</t>
  </si>
  <si>
    <t>Belanja Modal Kendaraan Bermotor Beroda Dua</t>
  </si>
  <si>
    <t>000077</t>
  </si>
  <si>
    <t>MH1JMD114RK773461</t>
  </si>
  <si>
    <t>JMD1E1773055</t>
  </si>
  <si>
    <t>KH5386PY</t>
  </si>
  <si>
    <t>V-04730364 M</t>
  </si>
  <si>
    <t>000078</t>
  </si>
  <si>
    <t>MH1JMD116RK761649</t>
  </si>
  <si>
    <t>JMD1E1760494</t>
  </si>
  <si>
    <t>KH5385PY</t>
  </si>
  <si>
    <t>V-04730363 M</t>
  </si>
  <si>
    <t>Belanja Modal Kendaraan Bermotor Beroda Dua (KABID P2P) dr.YULITA</t>
  </si>
  <si>
    <t>000079</t>
  </si>
  <si>
    <t>MH1JMD116RK773462</t>
  </si>
  <si>
    <t>JMD1E1773056</t>
  </si>
  <si>
    <t>KH5384PY</t>
  </si>
  <si>
    <t>V-047303662 M</t>
  </si>
  <si>
    <t>000080</t>
  </si>
  <si>
    <t>MH1JMD116RK766334</t>
  </si>
  <si>
    <t>JMD1E1765992</t>
  </si>
  <si>
    <t>KH5390PY</t>
  </si>
  <si>
    <t>V-04730368 M</t>
  </si>
  <si>
    <t>02.02.01.06.001</t>
  </si>
  <si>
    <t>Mobil Ambulance</t>
  </si>
  <si>
    <t>Mitsubishi FE 304 / Mitsubishi FE 304</t>
  </si>
  <si>
    <t>3298</t>
  </si>
  <si>
    <t>MHMFE304B4RO33599</t>
  </si>
  <si>
    <t>4D31302563</t>
  </si>
  <si>
    <t>KH 7000 PM</t>
  </si>
  <si>
    <t>D1925402M</t>
  </si>
  <si>
    <t>PKM Terawan</t>
  </si>
  <si>
    <t>Isuzu TBR 54 / Isuzu TBR 54</t>
  </si>
  <si>
    <t>2449</t>
  </si>
  <si>
    <t>MHCTBR54BSK126979</t>
  </si>
  <si>
    <t>E126979</t>
  </si>
  <si>
    <t>KH 25 PU</t>
  </si>
  <si>
    <t>D 9089147 M</t>
  </si>
  <si>
    <t>Puskesmas Asam Baru</t>
  </si>
  <si>
    <t>Isuzu Minibus / Isuzu Minibus</t>
  </si>
  <si>
    <t>1800</t>
  </si>
  <si>
    <t>KH8803AM</t>
  </si>
  <si>
    <t>Puskesmas Pembuang Hulu</t>
  </si>
  <si>
    <t>SUZUKI  / APV ARENA SGX - MT</t>
  </si>
  <si>
    <t>1500</t>
  </si>
  <si>
    <t>Besi/ Otomootif</t>
  </si>
  <si>
    <t>MHY6DN42VDJ381332</t>
  </si>
  <si>
    <t>GA15AID295848</t>
  </si>
  <si>
    <t>KH9002PW</t>
  </si>
  <si>
    <t>K 029037 12 M</t>
  </si>
  <si>
    <t>Hibah barang milik Negara yang berasal dari dana tugas pembantuan direktorat jendral pelayanan kesehatan (Danau Sembuluh)</t>
  </si>
  <si>
    <t>Suzuki  Arena GX MT / Suzuki  Arena GX MT</t>
  </si>
  <si>
    <t>1493</t>
  </si>
  <si>
    <t>MHYGDN42VBJ405316</t>
  </si>
  <si>
    <t>G15AID339142</t>
  </si>
  <si>
    <t>KH9014PW</t>
  </si>
  <si>
    <t>K06867679M</t>
  </si>
  <si>
    <t>Pengadaan Mobil Pusling Roda Empat Puskesmas Sandul</t>
  </si>
  <si>
    <t>SUZUKI APV GE PS ATD / SUZUKI APV GE PS ATD</t>
  </si>
  <si>
    <t>MHYGDN42VFJ400806</t>
  </si>
  <si>
    <t>G15AID362133</t>
  </si>
  <si>
    <t>KH 9024 PW</t>
  </si>
  <si>
    <t>L-06968151 M</t>
  </si>
  <si>
    <t>Pustu Desa Durian Kait</t>
  </si>
  <si>
    <t>Toyota New Kijang Inova / Toyota New Kijang Inova</t>
  </si>
  <si>
    <t>2000</t>
  </si>
  <si>
    <t>Besi/ Oto</t>
  </si>
  <si>
    <t>52000</t>
  </si>
  <si>
    <t>MHFXW41G8F0067345</t>
  </si>
  <si>
    <t>1TR8859125</t>
  </si>
  <si>
    <t>KH9019PW</t>
  </si>
  <si>
    <t>L-06970196</t>
  </si>
  <si>
    <t>Pengadaan Kendaraan Ambulance Rujukan Puskesmas Rantau Pulut I dan Puskesmas Rantau Pulut II</t>
  </si>
  <si>
    <t>52029</t>
  </si>
  <si>
    <t xml:space="preserve"> MHFXW41GXF0067332</t>
  </si>
  <si>
    <t>1TR8856764</t>
  </si>
  <si>
    <t>KH9020PW</t>
  </si>
  <si>
    <t>L-06970195 M</t>
  </si>
  <si>
    <t>TOYOTA All New Kijang Inova 2.0G M/T LUX / TOYOTA All New Kijang Inova 2.0G M/T LUX</t>
  </si>
  <si>
    <t>1998 CC</t>
  </si>
  <si>
    <t>BESI/OTOMOTIF</t>
  </si>
  <si>
    <t>1TRA503249</t>
  </si>
  <si>
    <t>MHFJW8EMXJ2356480</t>
  </si>
  <si>
    <t>KH 1258 PU</t>
  </si>
  <si>
    <t>Pengadaan Pusling Kendaraan Operasional Roda 4 untuk Puskesmas Tumbang Langkai</t>
  </si>
  <si>
    <t>Chevrolet Colorado 2,5 LT Double Cabin 4x4 MT VIN  / Chevrolet Colorado 2,5 LT Double Cabin 4x4 MT V</t>
  </si>
  <si>
    <t>2449 CC</t>
  </si>
  <si>
    <t>GE2G180261</t>
  </si>
  <si>
    <t>MMM148FL0JH646104</t>
  </si>
  <si>
    <t>KH 9030 PW</t>
  </si>
  <si>
    <t>O-02633163 M</t>
  </si>
  <si>
    <t>Pengadaan Pusling Operasional Double Gardan Kendaraan Roda 4 Puskesmas (DAK FISIK_Pelayanan Kesehatan Dasar/E Catalog)</t>
  </si>
  <si>
    <t>Daihatsu S93 / Daihatsu S93</t>
  </si>
  <si>
    <t>1498</t>
  </si>
  <si>
    <t>MHKSPRRHE6K003504</t>
  </si>
  <si>
    <t>9298506</t>
  </si>
  <si>
    <t>KH 31 PU</t>
  </si>
  <si>
    <t>SUZUKI  / APV ARENA SGX-MT</t>
  </si>
  <si>
    <t>Besi/Otmotif</t>
  </si>
  <si>
    <t>MHY6DN42VDJ378203</t>
  </si>
  <si>
    <t>GA15AID287800</t>
  </si>
  <si>
    <t>KH9001PW</t>
  </si>
  <si>
    <t>K-02903710 M</t>
  </si>
  <si>
    <t>Hibah barang milik Negara yang berasal dari dana tugas pembantuan direktorat jendral pelayanan kesehatan (Telaga Pulang)</t>
  </si>
  <si>
    <t>Suzuki Arena GX MT / Suzuki Arena GX MT</t>
  </si>
  <si>
    <t>MHYGDN42VBJ406132</t>
  </si>
  <si>
    <t>G15AID342451</t>
  </si>
  <si>
    <t>KH8118PW</t>
  </si>
  <si>
    <t>K06868892M</t>
  </si>
  <si>
    <t>Pengadaan Mobil Pusling Roda Empat Puskesmas Terawan</t>
  </si>
  <si>
    <t>1993</t>
  </si>
  <si>
    <t>MHYGDN42VBJ405353</t>
  </si>
  <si>
    <t>G15AID339166</t>
  </si>
  <si>
    <t>KH9013PW</t>
  </si>
  <si>
    <t>Pengadaan Mobil Pusling Roda Empat Puskesmas Asam Baru</t>
  </si>
  <si>
    <t>Besi/ Otomotif</t>
  </si>
  <si>
    <t>ITRA503146</t>
  </si>
  <si>
    <t>MHFJW8BM4J2356457</t>
  </si>
  <si>
    <t>KH 9034 PW</t>
  </si>
  <si>
    <t>N-07822253 M</t>
  </si>
  <si>
    <t>Pengadaan Pusling Kendaraan Operasional Roda 4 untuk Puskesmas Sandul</t>
  </si>
  <si>
    <t>New Kijang Inova 2.0G M/T 2019 / New Kijang Inova 2.0G M/T 2019</t>
  </si>
  <si>
    <t>2000 cc</t>
  </si>
  <si>
    <t>MHFJW8EMXL2381799</t>
  </si>
  <si>
    <t>1TRA 742962</t>
  </si>
  <si>
    <t>KHxxxxPW</t>
  </si>
  <si>
    <t>Mobil Ambulance (PKM TERAWAN) Pengadaan Mobil Ambulans (Puskesmas Kuala Pembuang II, Puskesmas Terawan, Puskesmas Rantau Pulut II)</t>
  </si>
  <si>
    <t>Mitsubishi / NEW TRITON HDX</t>
  </si>
  <si>
    <t>2477 CC</t>
  </si>
  <si>
    <t>MMBENKL30NH083677</t>
  </si>
  <si>
    <t>4D56UBH5522</t>
  </si>
  <si>
    <t>KH9087PW</t>
  </si>
  <si>
    <t>S-07226631 M</t>
  </si>
  <si>
    <t>Belanja Modal Kendaraan Khusus Mobil Ambulance (Penguatan Sistem Kesehatan) E- Catalog (Puskesmas Tumbang Mmanjul)</t>
  </si>
  <si>
    <t>MHFJW8EM1L2382050</t>
  </si>
  <si>
    <t>1TRA 744975</t>
  </si>
  <si>
    <t>Mobil Ambulance (PKM KP 2)Pengadaan Mobil Ambulans (Puskesmas Kuala Pembuang II, Puskesmas Terawan, Puskesmas Rantau Pulut II)</t>
  </si>
  <si>
    <t>MMBENKL30NH083669</t>
  </si>
  <si>
    <t>4D56UBH55454</t>
  </si>
  <si>
    <t>KH9088PW</t>
  </si>
  <si>
    <t>S-07230093 M</t>
  </si>
  <si>
    <t>Belanja Modal Kendaraan Khusus Mobil Ambulance (Penguatan Sistem Kesehatan) E- Catalog (Puskesmas Tumbang Langkai)</t>
  </si>
  <si>
    <t>New Kijang Inova 2.0G M/T 2019  / New Kijang Inova 2.0G M/T 2019</t>
  </si>
  <si>
    <t>MHFJW8EM6L2382965</t>
  </si>
  <si>
    <t>1TR A757353</t>
  </si>
  <si>
    <t>KH9071PW</t>
  </si>
  <si>
    <t>Mobil Ambulance (PKM RANTAU PULUT II)Pengadaan Mobil Ambulans (Puskesmas Kuala Pembuang II, Puskesmas Terawan, Puskesmas Rantau Pulut II)</t>
  </si>
  <si>
    <t>New Hilux single Cabin 2,4 (4x4) M/T Diesel Vin 20 / New Hilux single Cabin 2,4 (4x4) M/T Diesel Vin</t>
  </si>
  <si>
    <t>2500 cc</t>
  </si>
  <si>
    <t>MR0DB8CB1L0110326</t>
  </si>
  <si>
    <t>2GD 4881905</t>
  </si>
  <si>
    <t>KH8191PW</t>
  </si>
  <si>
    <t>Pengadaan Kendaraan Operasional Pusling Double Gardan Puskesmas Kuala Pembuang I</t>
  </si>
  <si>
    <t>2500</t>
  </si>
  <si>
    <t>MR0DB8CB1L0110357</t>
  </si>
  <si>
    <t>2GD 0874169</t>
  </si>
  <si>
    <t>KH8193PW</t>
  </si>
  <si>
    <t>Pengadaan Kendaraan Operasional Pusling Double Gardan  Puskesmas Rantau Pulut I</t>
  </si>
  <si>
    <t>MHCTBR54BSK127002</t>
  </si>
  <si>
    <t>E127002</t>
  </si>
  <si>
    <t>KH 26 PU</t>
  </si>
  <si>
    <t>D 9089146 M</t>
  </si>
  <si>
    <t>Isuzu Panther / Isuzu Panther</t>
  </si>
  <si>
    <t>2499</t>
  </si>
  <si>
    <t>MHCTBR54BGK131438</t>
  </si>
  <si>
    <t>E131438</t>
  </si>
  <si>
    <t>KH 8013 PU</t>
  </si>
  <si>
    <t>E 5026702 M</t>
  </si>
  <si>
    <t>Puskesmas Terawan (PMI Hanau)</t>
  </si>
  <si>
    <t>TOYOTA / MAGA10R-BRXMBD 2.0V CVT</t>
  </si>
  <si>
    <t>MHFAAAAA150041713</t>
  </si>
  <si>
    <t>M20AND53305</t>
  </si>
  <si>
    <t>KH9103PW</t>
  </si>
  <si>
    <t>AA-003085</t>
  </si>
  <si>
    <t>Belanja Modal Kendaraan Bermotor Khusus (AMBULANCE PSC) Inova Zenix</t>
  </si>
  <si>
    <t>TOYOTA / KIJANG INOVA 2.4G M/T(GUN142R-MDMSXD)</t>
  </si>
  <si>
    <t>MHFJB8EM3S1160884</t>
  </si>
  <si>
    <t>26D5777213</t>
  </si>
  <si>
    <t>KH9102PW</t>
  </si>
  <si>
    <t>AA-00308565</t>
  </si>
  <si>
    <t>Belanja Modal Kendaraan Bermotor Khusus (PKM Danau Sembuluh) Inova Rebon</t>
  </si>
  <si>
    <t>02.02.01.06.004</t>
  </si>
  <si>
    <t>Mobil Pemadam Kebakaran</t>
  </si>
  <si>
    <t>MITSUBISHI TRITON / MITSUBISHI TRITON</t>
  </si>
  <si>
    <t>4X4 M/T</t>
  </si>
  <si>
    <t>MMBJNKL30KH058194</t>
  </si>
  <si>
    <t>4D56UBA0611</t>
  </si>
  <si>
    <t>KH 9065 PW</t>
  </si>
  <si>
    <t>Q-08265309</t>
  </si>
  <si>
    <t>Belanja Modal Pengadaan Mobil Partoli Triton</t>
  </si>
  <si>
    <t>02.02.01.06.018</t>
  </si>
  <si>
    <t>Mobil Unit Kesehatan Masyarakat</t>
  </si>
  <si>
    <t>Suzuki Arena APV GX / Suzuki Arena APV GX</t>
  </si>
  <si>
    <t>G15AID361955</t>
  </si>
  <si>
    <t xml:space="preserve"> MHYGDN42VFJ403358</t>
  </si>
  <si>
    <t>KH1222PU</t>
  </si>
  <si>
    <t>L06968119M</t>
  </si>
  <si>
    <t>Pengadaan Kendaraan Pusling Roda Empat Puskesmas Kuala Pembuang I</t>
  </si>
  <si>
    <t>G15AID36537</t>
  </si>
  <si>
    <t>MHYGDN42VFJ403324</t>
  </si>
  <si>
    <t>KH1224PU</t>
  </si>
  <si>
    <t>L06968121M</t>
  </si>
  <si>
    <t>Pengadaan Kendaraan Pusling Roda Empat Puskesmas Kuala Pembuang II</t>
  </si>
  <si>
    <t>G15AID360125</t>
  </si>
  <si>
    <t>MHYGDN42VFJ402651</t>
  </si>
  <si>
    <t>KH1225PU</t>
  </si>
  <si>
    <t>L06968120M</t>
  </si>
  <si>
    <t>Pengadaan Kendaraan Pusling Roda Empat Puskesmas Pembuang Hulu</t>
  </si>
  <si>
    <t>Belanja Modal Pengadaan Mobil Sarana Distribusi Obat/BMHP Roda 4 Kegiatan Peningkatan Pelayanan UPTD Gudang Farmasi</t>
  </si>
  <si>
    <t>TOYOTA / HILUX DOUBLE CABIN 2.4V (4X4)</t>
  </si>
  <si>
    <t>2GD-D456996</t>
  </si>
  <si>
    <t>MR0BB3CD7R6403892</t>
  </si>
  <si>
    <t>KH8243PW</t>
  </si>
  <si>
    <t>V-04715242-M</t>
  </si>
  <si>
    <t>Belanja Modal Kendaraan Bermotor Khusus (mobil Peralatan dan Personil Double Cabin)</t>
  </si>
  <si>
    <t>02.02.01.02.002</t>
  </si>
  <si>
    <t>Micro Bus ( Penumpang 15 S/D 29 Orang )</t>
  </si>
  <si>
    <t>Suzuki Ertiga GA PW 2015 / Suzuki Ertiga GA PW 2015</t>
  </si>
  <si>
    <t>1373 cc</t>
  </si>
  <si>
    <t>MHYKZE818FJ280201</t>
  </si>
  <si>
    <t>K14BT1167956</t>
  </si>
  <si>
    <t>KH 1212 PU</t>
  </si>
  <si>
    <t>L-06968128 M</t>
  </si>
  <si>
    <t>rsud k.pembuang</t>
  </si>
  <si>
    <t>RSUD KUALA PEMBUANG</t>
  </si>
  <si>
    <t>TOYOTA GRAND NEW AVANZA 1.3 E M/T VIN 2016 / TOYOTA GRAND NEW AVANZA 1.3 E M/T VIN 2016</t>
  </si>
  <si>
    <t>1300 cc</t>
  </si>
  <si>
    <t>MHKM5EA2JGK013929</t>
  </si>
  <si>
    <t>1NRF188962</t>
  </si>
  <si>
    <t>KH 1240 PU</t>
  </si>
  <si>
    <t>L 09757237 M</t>
  </si>
  <si>
    <t>MHKM5EA2JGK013708</t>
  </si>
  <si>
    <t>1NRF187407</t>
  </si>
  <si>
    <t>KH 1241 PU</t>
  </si>
  <si>
    <t>L 09757238 M</t>
  </si>
  <si>
    <t>dr. Aya Sofia Filayeti, Sp.OG</t>
  </si>
  <si>
    <t>TOYOTA GRAND NEW AVANZA 1.3 E M/T VIN 2017 / TOYOTA GRAND NEW AVANZA 1.3 E M/T VIN 2017</t>
  </si>
  <si>
    <t>MHKMSEA2JHK030531</t>
  </si>
  <si>
    <t>1NRF289880</t>
  </si>
  <si>
    <t>KH 1254 PU</t>
  </si>
  <si>
    <t>M 12814228 M</t>
  </si>
  <si>
    <t>RSUD K. PEMBUANG</t>
  </si>
  <si>
    <t>MHKMSEA2JHK034739</t>
  </si>
  <si>
    <t>1NRF316225</t>
  </si>
  <si>
    <t>KH 1255 PU</t>
  </si>
  <si>
    <t>M 12814229 M</t>
  </si>
  <si>
    <t>dr. Sandy Viktor, Sp.B</t>
  </si>
  <si>
    <t>TOYOTA GRAND NEW AVANZA 1,3 E M/T VIN 2017 / TOYOTA GRAND NEW AVANZA 1,3 E M/T VIN 2017</t>
  </si>
  <si>
    <t>MHKMSEA2JHK021521</t>
  </si>
  <si>
    <t>1 NRF239821</t>
  </si>
  <si>
    <t>KH 1251 PU</t>
  </si>
  <si>
    <t>M 10648939 M</t>
  </si>
  <si>
    <t>Mutasi Mobil KH 1251 PU Ke Kecamatan Hanau</t>
  </si>
  <si>
    <t>TOYOTA NEW RUSH 1,5 S A/T / TOYOTA NEW RUSH 1,5 S A/T</t>
  </si>
  <si>
    <t>1496 cc</t>
  </si>
  <si>
    <t>MHKBSFB3JKK024913</t>
  </si>
  <si>
    <t>2NRM829300</t>
  </si>
  <si>
    <t>O 06847626</t>
  </si>
  <si>
    <t>BPKAD</t>
  </si>
  <si>
    <t>MHYKZE81SFJ282583</t>
  </si>
  <si>
    <t>G15AID1170480</t>
  </si>
  <si>
    <t>KH 1211 PU</t>
  </si>
  <si>
    <t>L-06968129 M</t>
  </si>
  <si>
    <t>RSUD HANAU</t>
  </si>
  <si>
    <t>MHYKZE81SFJ281801</t>
  </si>
  <si>
    <t>G15AID1169554</t>
  </si>
  <si>
    <t>KH 1213 PU</t>
  </si>
  <si>
    <t>L-06968127 M</t>
  </si>
  <si>
    <t>MHKM5EA2JHK033227</t>
  </si>
  <si>
    <t>1NRF307424</t>
  </si>
  <si>
    <t>KH 1253 PU</t>
  </si>
  <si>
    <t>M 12814227 M</t>
  </si>
  <si>
    <t>MHKM5EA2JHK031374</t>
  </si>
  <si>
    <t>1NRF294930</t>
  </si>
  <si>
    <t>KH 1256 PU</t>
  </si>
  <si>
    <t>M 12814230 M</t>
  </si>
  <si>
    <t>02.02.01.02.003</t>
  </si>
  <si>
    <t>Mini Bus ( Penumpang 14 Orang Kebawah )</t>
  </si>
  <si>
    <t>SUZUKI ERTIGA GL DB / SUZUKI ERTIGA GL DB</t>
  </si>
  <si>
    <t>1.373 cc</t>
  </si>
  <si>
    <t>MHYKZE81SDJ117807</t>
  </si>
  <si>
    <t>K14BT1053077</t>
  </si>
  <si>
    <t>KH 1166 PU</t>
  </si>
  <si>
    <t>K 00497341 M</t>
  </si>
  <si>
    <t>RSUD KAB. SERUYAN</t>
  </si>
  <si>
    <t>SUZUKI ERTIGA GX MT NIK 2014 / SUZUKI ERTIGA GX MT NIK 2014</t>
  </si>
  <si>
    <t>MHYKZE81SEJ231125</t>
  </si>
  <si>
    <t>K 14BT1134374</t>
  </si>
  <si>
    <t>KH 1183 PU</t>
  </si>
  <si>
    <t>K 06867300 M</t>
  </si>
  <si>
    <t>dr. Kevin Stanley Halim, Sp.OG</t>
  </si>
  <si>
    <t>MHYKZE81SEJ233295</t>
  </si>
  <si>
    <t>K 114BT1136864</t>
  </si>
  <si>
    <t>KH 1191 PU</t>
  </si>
  <si>
    <t>K 06866040 M</t>
  </si>
  <si>
    <t>dr. Dina Wati Amaliah Rahman, Sp.Rad</t>
  </si>
  <si>
    <t>MHYKZE81SEJ231613</t>
  </si>
  <si>
    <t>K 14BT1134971</t>
  </si>
  <si>
    <t>KH 1184 PU</t>
  </si>
  <si>
    <t>K 06867299 M</t>
  </si>
  <si>
    <t>SUZUKI GRAND VITARA 2.4 M/T / SUZUKI GRAND VITARA 2.4 M/T</t>
  </si>
  <si>
    <t>2.393 cc</t>
  </si>
  <si>
    <t>MHYJTE54VBJ102139</t>
  </si>
  <si>
    <t>J20AID218410</t>
  </si>
  <si>
    <t>KH 1138 PU</t>
  </si>
  <si>
    <t>I-02760006 M</t>
  </si>
  <si>
    <t>ASISTEN III</t>
  </si>
  <si>
    <t>MHYJTEA4VBJ101488</t>
  </si>
  <si>
    <t>J24BID1001495</t>
  </si>
  <si>
    <t>KH 1139 PU</t>
  </si>
  <si>
    <t>I-02760007 M</t>
  </si>
  <si>
    <t>Mutasi Kendaraan Dinas KH 1139 PU (SUZUKI GRAND VITARA 2.4 MT)</t>
  </si>
  <si>
    <t>MH1KC5218DK088447</t>
  </si>
  <si>
    <t>KC52E1089222</t>
  </si>
  <si>
    <t>KH 4206 PY</t>
  </si>
  <si>
    <t>K 08796083 M</t>
  </si>
  <si>
    <t>dr. Muhammad Mansyur Anazhil</t>
  </si>
  <si>
    <t>Suzuki FL 125 RCD / Suzuki FL 125 RCD</t>
  </si>
  <si>
    <t>MH8BF45DA8J208893</t>
  </si>
  <si>
    <t>F496ID257855</t>
  </si>
  <si>
    <t>KH 2510 PY</t>
  </si>
  <si>
    <t>F 4847948 M</t>
  </si>
  <si>
    <t>Danu Umbara, M.Kes</t>
  </si>
  <si>
    <t>honda NF 125 TR / honda NF 125 TR</t>
  </si>
  <si>
    <t>124 CC</t>
  </si>
  <si>
    <t>MHIJB9127BK563714</t>
  </si>
  <si>
    <t>JB9IE -2552865</t>
  </si>
  <si>
    <t>KH 2734 PY</t>
  </si>
  <si>
    <t>H 11003548 M</t>
  </si>
  <si>
    <t>Arpinah, A. Md. Kep</t>
  </si>
  <si>
    <t>HONDA NF 11B2DA11 M/T New Revo Spoke / HONDA NF 11B2DA11 M/T New Revo Spoke</t>
  </si>
  <si>
    <t>MH1JBE214CK148317</t>
  </si>
  <si>
    <t>JBE2E1148776</t>
  </si>
  <si>
    <t>KH 4101 PY</t>
  </si>
  <si>
    <t>I-10733005 M</t>
  </si>
  <si>
    <t>MH1JBE212CK195202</t>
  </si>
  <si>
    <t>JBE2E1192345</t>
  </si>
  <si>
    <t>KH 4059 PY</t>
  </si>
  <si>
    <t>I-10729969 M</t>
  </si>
  <si>
    <t>MH1JBE210CK183078</t>
  </si>
  <si>
    <t>JBE2E1177806</t>
  </si>
  <si>
    <t>KH 4076 PY</t>
  </si>
  <si>
    <t>I-10731500 M</t>
  </si>
  <si>
    <t xml:space="preserve"> RSUD</t>
  </si>
  <si>
    <t>MH1JBE218CK180106</t>
  </si>
  <si>
    <t>JBE2E1178697</t>
  </si>
  <si>
    <t>KH 4060 PY</t>
  </si>
  <si>
    <t>I-10729970 M</t>
  </si>
  <si>
    <t>dr. Nur Hadi Kuswoyo</t>
  </si>
  <si>
    <t>MH1JBE21XCK182083</t>
  </si>
  <si>
    <t>JBE2E1180080</t>
  </si>
  <si>
    <t>KH 4061 PY</t>
  </si>
  <si>
    <t>I-10729971 M</t>
  </si>
  <si>
    <t>MH1JBE217CK233037</t>
  </si>
  <si>
    <t>JBE2E1229933</t>
  </si>
  <si>
    <t>KH 4159 PY</t>
  </si>
  <si>
    <t>J-04697979 M</t>
  </si>
  <si>
    <t>Rifai Rahman, A.Md</t>
  </si>
  <si>
    <t>HONDA NF 11 B2C12 M/T REVO CW MMC / HONDA NF 11 B2C12 M/T REVO CW MMC</t>
  </si>
  <si>
    <t>MH1JBE311DK299891</t>
  </si>
  <si>
    <t>JBE3E1294894</t>
  </si>
  <si>
    <t>KH 4210 PY</t>
  </si>
  <si>
    <t>K 08796087 M</t>
  </si>
  <si>
    <t>Sunardi, SKM</t>
  </si>
  <si>
    <t>108 cc</t>
  </si>
  <si>
    <t>MH1JFS11FK106337</t>
  </si>
  <si>
    <t>JFS1E1104485</t>
  </si>
  <si>
    <t>KH 4380 PY</t>
  </si>
  <si>
    <t>L 06931763 M</t>
  </si>
  <si>
    <t>Novia Damayanti, Amd. Keb</t>
  </si>
  <si>
    <t>MH1JFS119FK106329</t>
  </si>
  <si>
    <t>JFS1E1104544</t>
  </si>
  <si>
    <t>KH 4385 PY</t>
  </si>
  <si>
    <t>L 06931768 M</t>
  </si>
  <si>
    <t>Erwan Pudjiadi, S.T</t>
  </si>
  <si>
    <t>Honda supra x / Honda supra x</t>
  </si>
  <si>
    <t>100 cc</t>
  </si>
  <si>
    <t>campur</t>
  </si>
  <si>
    <t>MH KEVA 225K146672</t>
  </si>
  <si>
    <t>KEVAE2145342</t>
  </si>
  <si>
    <t>KH 2019 PY</t>
  </si>
  <si>
    <t>D 5076002 M</t>
  </si>
  <si>
    <t>Toyota  Innova Type G / Toyota  Innova Type G</t>
  </si>
  <si>
    <t>Karoseri</t>
  </si>
  <si>
    <t>MHFXW42G4F2320082</t>
  </si>
  <si>
    <t>1TR 8887351</t>
  </si>
  <si>
    <t>KH 9021 PW</t>
  </si>
  <si>
    <t>L 06969741 M</t>
  </si>
  <si>
    <t>MHFXW42G1F2318340</t>
  </si>
  <si>
    <t>1TR 8867886</t>
  </si>
  <si>
    <t>KH 9022 PW</t>
  </si>
  <si>
    <t>L 06969740 M</t>
  </si>
  <si>
    <t>DAIHATSU GRAN MAX MB 1.3 D FF FH / DAIHATSU GRAN MAX MB 1.3 D FF FH</t>
  </si>
  <si>
    <t>1298 cc</t>
  </si>
  <si>
    <t>MHKV3BA6JJK011157</t>
  </si>
  <si>
    <t>K3MH22854</t>
  </si>
  <si>
    <t>KH 9029 PW</t>
  </si>
  <si>
    <t>N 07845562 M</t>
  </si>
  <si>
    <t>Toyota/Rush 1.5 S MT TRD / Toyota/Rush 1.5 S MT TRD</t>
  </si>
  <si>
    <t>1500 cc</t>
  </si>
  <si>
    <t>MHKE8FA3JMK053838</t>
  </si>
  <si>
    <t>2NRG643166</t>
  </si>
  <si>
    <t>KH 1284 PU</t>
  </si>
  <si>
    <t>R-02912782 M</t>
  </si>
  <si>
    <t>dr. Ali Wardhana, Sp.K.J</t>
  </si>
  <si>
    <t>BLUD RSUD KUALA PEMBUANG</t>
  </si>
  <si>
    <t>Honda/H1B02N42L0 A/T / Honda/H1B02N42L0 A/T</t>
  </si>
  <si>
    <t>MH1JM9110MK558021</t>
  </si>
  <si>
    <t>JM91E1557602</t>
  </si>
  <si>
    <t>KH 4987 PY</t>
  </si>
  <si>
    <t>R 02928631 M</t>
  </si>
  <si>
    <t>Syaiful Rijal, Sp. THT-KL</t>
  </si>
  <si>
    <t>MH1JM9116MK558007</t>
  </si>
  <si>
    <t>JM91E1557620</t>
  </si>
  <si>
    <t>KH 4982 PY</t>
  </si>
  <si>
    <t>R 02928626 M</t>
  </si>
  <si>
    <t>Dewi Fortuna, S.H</t>
  </si>
  <si>
    <t>MH1JM9117MK558002</t>
  </si>
  <si>
    <t>JM91E1557615</t>
  </si>
  <si>
    <t>KH 4983 PY</t>
  </si>
  <si>
    <t>R 02928627 M</t>
  </si>
  <si>
    <t>Lasinrang, S.ST., M.Kes</t>
  </si>
  <si>
    <t>MH1JM9115MK558032</t>
  </si>
  <si>
    <t>JM91E1557641</t>
  </si>
  <si>
    <t>KH 4980 PY</t>
  </si>
  <si>
    <t>R 02928624 M</t>
  </si>
  <si>
    <t>Armidah, S.H</t>
  </si>
  <si>
    <t>MH1JM9112MK555122</t>
  </si>
  <si>
    <t>JM91E1554729</t>
  </si>
  <si>
    <t>KH 4985 PY</t>
  </si>
  <si>
    <t>R 02928629 M</t>
  </si>
  <si>
    <t>Iskandar Zulkarnaen, S.A.P</t>
  </si>
  <si>
    <t>MH1JM9116MK553115</t>
  </si>
  <si>
    <t>JM91E1552715</t>
  </si>
  <si>
    <t>KH 4988 PY</t>
  </si>
  <si>
    <t>R 02928632 M</t>
  </si>
  <si>
    <t>Sri Rejeki, SKM</t>
  </si>
  <si>
    <t>MH1JM9113MK553122</t>
  </si>
  <si>
    <t>JM91E1552722</t>
  </si>
  <si>
    <t>KH 4986 PY</t>
  </si>
  <si>
    <t>R 02928630 M</t>
  </si>
  <si>
    <t>Abdus Suhadi, SKM, MM</t>
  </si>
  <si>
    <t>MH1JM9115MK558001</t>
  </si>
  <si>
    <t>JM91E1557613</t>
  </si>
  <si>
    <t>KH 4984 PY</t>
  </si>
  <si>
    <t>R 02928628 M</t>
  </si>
  <si>
    <t>Muhammad Adhitama, SKM</t>
  </si>
  <si>
    <t>MH1JM9119MK558020</t>
  </si>
  <si>
    <t>JM91E1557631</t>
  </si>
  <si>
    <t>KH 4981 PY</t>
  </si>
  <si>
    <t>R 02928625 M</t>
  </si>
  <si>
    <t>Nur Khazizah, SKM</t>
  </si>
  <si>
    <t>MH1JM9112MK525733</t>
  </si>
  <si>
    <t>JM91E1525340</t>
  </si>
  <si>
    <t>KH 4989 PY</t>
  </si>
  <si>
    <t>R 02928633 M</t>
  </si>
  <si>
    <t>Wiwiek Eka Kusumawati, S.Kep</t>
  </si>
  <si>
    <t>HONDA/VARIO 160 ABS / L1K02Q33L1 A/T</t>
  </si>
  <si>
    <t>160 cc</t>
  </si>
  <si>
    <t>MH1KFA111PK198195</t>
  </si>
  <si>
    <t>KFAIE1198185</t>
  </si>
  <si>
    <t>KH 5279 PY</t>
  </si>
  <si>
    <t>U01979419M</t>
  </si>
  <si>
    <t>Umi Fadilah, SKM., M.M</t>
  </si>
  <si>
    <t>HONDA / VARIO 160 ABS / L1K02Q33L1 A/T</t>
  </si>
  <si>
    <t>MHIKFA116PK198192</t>
  </si>
  <si>
    <t>KFAIE1198176</t>
  </si>
  <si>
    <t>KH 5281 PY</t>
  </si>
  <si>
    <t>U01979421M</t>
  </si>
  <si>
    <t xml:space="preserve"> dr. Ali Wardhana, Sp.K.J</t>
  </si>
  <si>
    <t>MHIKFA117PK198883</t>
  </si>
  <si>
    <t>KFAIE1198788</t>
  </si>
  <si>
    <t>KH 5283 PY</t>
  </si>
  <si>
    <t>U01979423M</t>
  </si>
  <si>
    <t>Ali Rahman, S.E., M.M</t>
  </si>
  <si>
    <t>MHIKFA118PK198193</t>
  </si>
  <si>
    <t>KFAIE1198187</t>
  </si>
  <si>
    <t>KH 5280 PY</t>
  </si>
  <si>
    <t>U01979420M</t>
  </si>
  <si>
    <t>Sri Anggraini, S.K.M</t>
  </si>
  <si>
    <t>MH1KFA11XPK198762</t>
  </si>
  <si>
    <t>KFAIE1198553</t>
  </si>
  <si>
    <t>KH 5282 PY</t>
  </si>
  <si>
    <t>U01979422M</t>
  </si>
  <si>
    <t>Toyota / Innova Reborn</t>
  </si>
  <si>
    <t>1998 cc</t>
  </si>
  <si>
    <t>MHFJW8EM8N2415327</t>
  </si>
  <si>
    <t>1TRB050618</t>
  </si>
  <si>
    <t>KH 1293 PU</t>
  </si>
  <si>
    <t>S 07230177 M</t>
  </si>
  <si>
    <t>02.01.01.05.003</t>
  </si>
  <si>
    <t>Dump Truck</t>
  </si>
  <si>
    <t>TOYOTA DYNA 130HT / TOYOTA DYNA 130HT</t>
  </si>
  <si>
    <t>4009</t>
  </si>
  <si>
    <t>MHFC1JU4474OO4448</t>
  </si>
  <si>
    <t>WO4DTNJ13268</t>
  </si>
  <si>
    <t>KH 9503 PW</t>
  </si>
  <si>
    <t>E 2143276 M</t>
  </si>
  <si>
    <t>Mobil Tangki (Biru) PDAM</t>
  </si>
  <si>
    <t>Mitsubishi Colt Diesel FE 74 HDV / Mitsubishi Colt Diesel FE 74 HDV</t>
  </si>
  <si>
    <t>3908 CC</t>
  </si>
  <si>
    <t>MHMFE74P5HK177450</t>
  </si>
  <si>
    <t>4D34T-R03593</t>
  </si>
  <si>
    <t>KH 8170 PW</t>
  </si>
  <si>
    <t>M 12822347 M</t>
  </si>
  <si>
    <t>Belanja Modal Pengadaan Dump Truk</t>
  </si>
  <si>
    <t>MITSUBISHI/FE 74 HDV TRUK 125 PS / MITSUBISHI/FE 74 HDV TRUK 125 PS</t>
  </si>
  <si>
    <t>15860</t>
  </si>
  <si>
    <t>MHMFE74P5KK210465</t>
  </si>
  <si>
    <t>4D34T-T95374</t>
  </si>
  <si>
    <t>KH 8186 PY</t>
  </si>
  <si>
    <t>P 06129693 M</t>
  </si>
  <si>
    <t>Pengadaan Dump truck</t>
  </si>
  <si>
    <t>02.01.01.09.001</t>
  </si>
  <si>
    <t>Track Loader + Attachment</t>
  </si>
  <si>
    <t>HINO RANGER FG 235JW / HINO RANGER FG 235JW</t>
  </si>
  <si>
    <t>Mobil Truck Self Loader 10 Ton</t>
  </si>
  <si>
    <t>NEW HOLLAND/B1158 / NEW HOLLAND/B1158</t>
  </si>
  <si>
    <t>4,5 LTR</t>
  </si>
  <si>
    <t>Backhoe Loader (LAB)</t>
  </si>
  <si>
    <t>TOYOTA NEW KIJANG INNOVA V M/T Lux Bensin VIN 2015 / TOYOTA NEW KIJANG INNOVA V M/T Lux Bensin VIN 2</t>
  </si>
  <si>
    <t>08.01.2015 51</t>
  </si>
  <si>
    <t>MHFXW43G3F4091414</t>
  </si>
  <si>
    <t>1 TR7950762</t>
  </si>
  <si>
    <t>KH 1206 PU</t>
  </si>
  <si>
    <t xml:space="preserve"> L 06940391 M</t>
  </si>
  <si>
    <t>Pengalihan Status Penggunaan Kendaraan Dinas Roda 4</t>
  </si>
  <si>
    <t>02.02.01.02.005</t>
  </si>
  <si>
    <t>kendaraan bermotor penumpang  lainnya (dst)</t>
  </si>
  <si>
    <t>MHFABBAA0P0413732</t>
  </si>
  <si>
    <t>M20ANB24911</t>
  </si>
  <si>
    <t>KH 1301 PU</t>
  </si>
  <si>
    <t>U 01958802</t>
  </si>
  <si>
    <t>mobil kepala dinas</t>
  </si>
  <si>
    <t>02.02.01.03.001</t>
  </si>
  <si>
    <t>Truck + Attachment</t>
  </si>
  <si>
    <t>Mitsubishi / Canter FE SHDX</t>
  </si>
  <si>
    <t>Truck (Alat Berat)</t>
  </si>
  <si>
    <t>TOYOTA ALL NEW HILUX DOUBLE CABIN E M/T DIESEL VIN / TOYOTA ALL NEW HILUX DOUBLE CABIN E M/T DIESEL</t>
  </si>
  <si>
    <t>MR0DS8CD8F0330004</t>
  </si>
  <si>
    <t>2KDU799317</t>
  </si>
  <si>
    <t>KH 8130 PW</t>
  </si>
  <si>
    <t>L-09698285 M</t>
  </si>
  <si>
    <t>DINAS PEKERJAAN UMUM</t>
  </si>
  <si>
    <t>Toyota / Hilux</t>
  </si>
  <si>
    <t xml:space="preserve">MR0KB8CD3P1145622 </t>
  </si>
  <si>
    <t xml:space="preserve"> 2GDD248716</t>
  </si>
  <si>
    <t>KH 8232 PW</t>
  </si>
  <si>
    <t>U-01958804 M</t>
  </si>
  <si>
    <t>Pick Up Double Cabin Toyota Hilux</t>
  </si>
  <si>
    <t>Hilux / Single Cabin</t>
  </si>
  <si>
    <t>Hilux Single Cabin (UPTD. Lab dan PK)</t>
  </si>
  <si>
    <t>02.02.01.03.007</t>
  </si>
  <si>
    <t>kendaraan bermotor angkutan barang  lainnya (dst)</t>
  </si>
  <si>
    <t>MR0KB8CD2F1144185</t>
  </si>
  <si>
    <t xml:space="preserve"> 26DD238351</t>
  </si>
  <si>
    <t>KH 8231 PW</t>
  </si>
  <si>
    <t>U-01958803</t>
  </si>
  <si>
    <t>KENDARAAN BERMOTOR ANGKUTAN BARANG</t>
  </si>
  <si>
    <t>MR0KB8CD5P1216397</t>
  </si>
  <si>
    <t>2GD5351225</t>
  </si>
  <si>
    <t>KH 8220 PW</t>
  </si>
  <si>
    <t>T 02703866</t>
  </si>
  <si>
    <t>MOBIL HILUX DOUBLE CABIN</t>
  </si>
  <si>
    <t>HONDA Supra NF 100 D4 / HONDA Supra NF 100 D4</t>
  </si>
  <si>
    <t>KEVAE162K084292</t>
  </si>
  <si>
    <t>KEVAE108558</t>
  </si>
  <si>
    <t>KH 5355 F</t>
  </si>
  <si>
    <t>C 4324554 M</t>
  </si>
  <si>
    <t>Honda Supra (Biru)</t>
  </si>
  <si>
    <t>HONDA WIN / HONDA WIN</t>
  </si>
  <si>
    <t>MHIHABC103K023524</t>
  </si>
  <si>
    <t>HABCE1022832</t>
  </si>
  <si>
    <t>KH 5390 F</t>
  </si>
  <si>
    <t>C 5013641 M</t>
  </si>
  <si>
    <t>Honda WIN (Hitam)</t>
  </si>
  <si>
    <t>MH1HABD1X4K052955</t>
  </si>
  <si>
    <t>HABDE1053777</t>
  </si>
  <si>
    <t>KH 3067 PM</t>
  </si>
  <si>
    <t>D-0073566 M</t>
  </si>
  <si>
    <t>MH1KC5214EK199790</t>
  </si>
  <si>
    <t>KC52E1197325</t>
  </si>
  <si>
    <t>KH 4281 PY</t>
  </si>
  <si>
    <t>L 04353745 M</t>
  </si>
  <si>
    <t>AGUS SETIYADI, ST /DAMKAR (BAMBANG)</t>
  </si>
  <si>
    <t>KAWASAKI KLX 150S / KAWASAKI KLX 150S</t>
  </si>
  <si>
    <t>144CC</t>
  </si>
  <si>
    <t>MH4LX150CEJP07227</t>
  </si>
  <si>
    <t>LX150CEPF9597</t>
  </si>
  <si>
    <t>KH 4263 PY</t>
  </si>
  <si>
    <t>L 04369851 M</t>
  </si>
  <si>
    <t>Sepeda Motor (AHMAD NASRUDIN, SH)</t>
  </si>
  <si>
    <t>MH4LX150CEJP09197</t>
  </si>
  <si>
    <t>LX150CEPG5057</t>
  </si>
  <si>
    <t>KH 4257 PY</t>
  </si>
  <si>
    <t>L 04369847 M</t>
  </si>
  <si>
    <t>Sepeda Motor (ABDUL RAJAK, Spi)</t>
  </si>
  <si>
    <t>MH4LX150CEJP08538</t>
  </si>
  <si>
    <t>LX150CEPG3063</t>
  </si>
  <si>
    <t>KH 4258 PY</t>
  </si>
  <si>
    <t>L 04369846 M</t>
  </si>
  <si>
    <t>MH4LX150CEJP07191</t>
  </si>
  <si>
    <t>LX150CEPF9588</t>
  </si>
  <si>
    <t>KH 4259 PY</t>
  </si>
  <si>
    <t>L 04369845 M</t>
  </si>
  <si>
    <t>Sepeda Motor (KASTAM, SE)</t>
  </si>
  <si>
    <t>MH4LX150CEJP05119</t>
  </si>
  <si>
    <t>LX150CEPF4870</t>
  </si>
  <si>
    <t>KH 4260 PY</t>
  </si>
  <si>
    <t>L 04369848 M</t>
  </si>
  <si>
    <t>Sepeda Motor (YUSDI HARIANI, ST)</t>
  </si>
  <si>
    <t>MH4LX150CEJP07190</t>
  </si>
  <si>
    <t>LX150CEPF9583</t>
  </si>
  <si>
    <t>KH 4261 PY</t>
  </si>
  <si>
    <t>L 04369849 M</t>
  </si>
  <si>
    <t>MH4LX150CEJP09195</t>
  </si>
  <si>
    <t>LX150CEPG5055</t>
  </si>
  <si>
    <t>KH 4262 PY</t>
  </si>
  <si>
    <t>L 04369850 M</t>
  </si>
  <si>
    <t>HONDA NF 125 TRF / HONDA NF 125 TRF</t>
  </si>
  <si>
    <t>MHIJB0115AK149400</t>
  </si>
  <si>
    <t>70116742649</t>
  </si>
  <si>
    <t>KH 4019 PY</t>
  </si>
  <si>
    <t>H 07446478 M</t>
  </si>
  <si>
    <t>Honda Supra (Violet Silver)</t>
  </si>
  <si>
    <t>MH1JBE216CK153731</t>
  </si>
  <si>
    <t>JBE2E1141763</t>
  </si>
  <si>
    <t>KH 4095 PY</t>
  </si>
  <si>
    <t>I-10732999 M</t>
  </si>
  <si>
    <t>BLP Setda</t>
  </si>
  <si>
    <t>MHIJB0114AK149971</t>
  </si>
  <si>
    <t>JB01E-1148466</t>
  </si>
  <si>
    <t>KH 4024 PY</t>
  </si>
  <si>
    <t>H 07446512 M</t>
  </si>
  <si>
    <t>Honda Supra (Merah Hitam)</t>
  </si>
  <si>
    <t>MHIJB0110AK149952</t>
  </si>
  <si>
    <t>JB01E-1148419</t>
  </si>
  <si>
    <t>KH 4018 PY</t>
  </si>
  <si>
    <t>H 07446477 M</t>
  </si>
  <si>
    <t>MHIJB0117AK149334</t>
  </si>
  <si>
    <t>JB01E-1147847</t>
  </si>
  <si>
    <t>KH 4023 PY</t>
  </si>
  <si>
    <t>H 07446511 M</t>
  </si>
  <si>
    <t>SUZUKI Shogun FL 125 RCD / SUZUKI Shogun FL 125 RCD</t>
  </si>
  <si>
    <t>MH8BF45DA8J191608</t>
  </si>
  <si>
    <t>F496-ID-238178</t>
  </si>
  <si>
    <t>KH 2470 PY</t>
  </si>
  <si>
    <t>Shogun Hitam (Anto Pulungan)</t>
  </si>
  <si>
    <t>HONDA VARIO 125 eSP CBS ISS 2015 / HONDA VARIO 125 eSP CBS ISS 2015</t>
  </si>
  <si>
    <t>124,7</t>
  </si>
  <si>
    <t>MH1JFV114FK182901</t>
  </si>
  <si>
    <t>JFV1E-1182390</t>
  </si>
  <si>
    <t>KH 4413 PY</t>
  </si>
  <si>
    <t>L 06955152 M</t>
  </si>
  <si>
    <t>MH1KC5218FK255859</t>
  </si>
  <si>
    <t>KC52E1253804</t>
  </si>
  <si>
    <t>KH 4355 PY</t>
  </si>
  <si>
    <t>L 06930524 M</t>
  </si>
  <si>
    <t>PENGURUS BARANG ( PEKERJAAN UMUM)</t>
  </si>
  <si>
    <t>HONDA / NEW WARIO 150 / HONDA / NEW WARIO 150</t>
  </si>
  <si>
    <t>KF4128LK051232</t>
  </si>
  <si>
    <t>KF41E 205 5353</t>
  </si>
  <si>
    <t>KH 4948 PY</t>
  </si>
  <si>
    <t>Q 08290915 M</t>
  </si>
  <si>
    <t>Pengadaan Sepeda Motor</t>
  </si>
  <si>
    <t>KF4120LK053458</t>
  </si>
  <si>
    <t>KF41E 2057575</t>
  </si>
  <si>
    <t>KH 4950 PY</t>
  </si>
  <si>
    <t>Q 08290916 M</t>
  </si>
  <si>
    <t>KF4121K051296</t>
  </si>
  <si>
    <t>KF41E 205 4059</t>
  </si>
  <si>
    <t>KH 4951 PY</t>
  </si>
  <si>
    <t>Q 08290917 M</t>
  </si>
  <si>
    <t>KF4122LK051288</t>
  </si>
  <si>
    <t>KF41E 205 4120</t>
  </si>
  <si>
    <t>KH 4952 PY</t>
  </si>
  <si>
    <t>Q 08290918 M</t>
  </si>
  <si>
    <t>MH1HABD164K055071</t>
  </si>
  <si>
    <t>HABDE1054256</t>
  </si>
  <si>
    <t>KH 2609 PY</t>
  </si>
  <si>
    <t>D 0073566 M</t>
  </si>
  <si>
    <t>000025 s/d 000026</t>
  </si>
  <si>
    <t xml:space="preserve">MH1KD1112PK425870 </t>
  </si>
  <si>
    <t>KD11E1425122</t>
  </si>
  <si>
    <t>KH 5210 PY</t>
  </si>
  <si>
    <t>U- 01941694 M</t>
  </si>
  <si>
    <t xml:space="preserve"> MOTOR CRF 150L KB2</t>
  </si>
  <si>
    <t>000027 s/d 000029</t>
  </si>
  <si>
    <t>Honda / CRF150L Trail/Sport</t>
  </si>
  <si>
    <t xml:space="preserve">MH1KD1119RK543840 </t>
  </si>
  <si>
    <t xml:space="preserve"> KD11E1543060</t>
  </si>
  <si>
    <t>KH 5329 PY</t>
  </si>
  <si>
    <t>V-04700202 M</t>
  </si>
  <si>
    <t>Sepeda Motor (TR)</t>
  </si>
  <si>
    <t>000030 s/d 000031</t>
  </si>
  <si>
    <t>Honda / Beat</t>
  </si>
  <si>
    <t xml:space="preserve">MH1JMG117RK170165 </t>
  </si>
  <si>
    <t>JMG1E1170272</t>
  </si>
  <si>
    <t>KH 5339 PY</t>
  </si>
  <si>
    <t>V-04717462 M</t>
  </si>
  <si>
    <t>Sepeda Motor (Sekretariat)</t>
  </si>
  <si>
    <t>000032 s/d 000033</t>
  </si>
  <si>
    <t xml:space="preserve">MH1KFE115SK3911403 </t>
  </si>
  <si>
    <t>KFE1E1386952</t>
  </si>
  <si>
    <t>KH 5435 PY</t>
  </si>
  <si>
    <t>W-01352118 M</t>
  </si>
  <si>
    <t>000034 s/d 000035</t>
  </si>
  <si>
    <t xml:space="preserve">MH1KFA114SK343559 </t>
  </si>
  <si>
    <t>KFA1E1343373</t>
  </si>
  <si>
    <t>KH 5441 PY</t>
  </si>
  <si>
    <t>W 01356099 M</t>
  </si>
  <si>
    <t>Sepeda Motor (UPTD. Lab &amp; PK)</t>
  </si>
  <si>
    <t>Honda / CRF</t>
  </si>
  <si>
    <t>Sepeda Motor (UPTD. Lab. dan PK)</t>
  </si>
  <si>
    <t>02.02.01.04.006</t>
  </si>
  <si>
    <t>kendaraan bermotor beroda dua  lainnya (dst)</t>
  </si>
  <si>
    <t>Honda CRF 150 vin 2019 / Honda CRF 150 vin 2019</t>
  </si>
  <si>
    <t>MH1KD1114KK107225</t>
  </si>
  <si>
    <t>KD11E1106630</t>
  </si>
  <si>
    <t>KH 4874 PY</t>
  </si>
  <si>
    <t>Q 00400475 M</t>
  </si>
  <si>
    <t>MH1KD11XKK107228</t>
  </si>
  <si>
    <t>KD11E1106634</t>
  </si>
  <si>
    <t>KH 4878 PY</t>
  </si>
  <si>
    <t>Q 00400479 M</t>
  </si>
  <si>
    <t>MH1KD1118KK107227</t>
  </si>
  <si>
    <t>KD11E1106632</t>
  </si>
  <si>
    <t>KH 4886 PY</t>
  </si>
  <si>
    <t>Q 00400486 M</t>
  </si>
  <si>
    <t>MH1KD1119KK107656</t>
  </si>
  <si>
    <t>KD11E1106954</t>
  </si>
  <si>
    <t>KH 4891 PY</t>
  </si>
  <si>
    <t>Q 00400490 M</t>
  </si>
  <si>
    <t>157 CC</t>
  </si>
  <si>
    <t>MH1KF0113PK477383</t>
  </si>
  <si>
    <t xml:space="preserve"> KF01E1477647</t>
  </si>
  <si>
    <t>KH 5236 PY</t>
  </si>
  <si>
    <t>U- O1968713 M</t>
  </si>
  <si>
    <t>Belanja Modal Kendaraan Bermotor Beroda Dua ( Honda Vario 160 CBS )</t>
  </si>
  <si>
    <t>000006 s/d 000008</t>
  </si>
  <si>
    <t>MH1KF0112PK4858</t>
  </si>
  <si>
    <t>KF01E1485729</t>
  </si>
  <si>
    <t>KH 5246 PY</t>
  </si>
  <si>
    <t>U-01969422 M</t>
  </si>
  <si>
    <t>Honda Vario 160 CBS</t>
  </si>
  <si>
    <t>000009 s/d 000011</t>
  </si>
  <si>
    <t xml:space="preserve">MH1KD1118PK462308 </t>
  </si>
  <si>
    <t xml:space="preserve"> KD11E1461655</t>
  </si>
  <si>
    <t>KH 5259 PY</t>
  </si>
  <si>
    <t>U- 01973506 M</t>
  </si>
  <si>
    <t>Honda / CRF 150 / Hitam</t>
  </si>
  <si>
    <t>000012 s/d 000017</t>
  </si>
  <si>
    <t xml:space="preserve">MH4LX150LPJPP04523 </t>
  </si>
  <si>
    <t>LX150KEP19644</t>
  </si>
  <si>
    <t>KH 5266 PY</t>
  </si>
  <si>
    <t>U-01974662M</t>
  </si>
  <si>
    <t>KAWASAKI KLX 150 S</t>
  </si>
  <si>
    <t xml:space="preserve">MH1KF0110PK288156 </t>
  </si>
  <si>
    <t>KF01E1284112</t>
  </si>
  <si>
    <t>KH 5234 PY</t>
  </si>
  <si>
    <t>U- 01968711 M</t>
  </si>
  <si>
    <t>000019 s/d 000023</t>
  </si>
  <si>
    <t xml:space="preserve">MH1KD1118PK461062 </t>
  </si>
  <si>
    <t>KD11E1460304</t>
  </si>
  <si>
    <t>KH 5241PY</t>
  </si>
  <si>
    <t>U-01969417 M</t>
  </si>
  <si>
    <t>Honda / CRF / Hitam</t>
  </si>
  <si>
    <t>02.02.01.06.005</t>
  </si>
  <si>
    <t>Mobil Tinja</t>
  </si>
  <si>
    <t>MHMFE74EJSK019241/</t>
  </si>
  <si>
    <t>4V21A79514</t>
  </si>
  <si>
    <t>KH 8255 PW</t>
  </si>
  <si>
    <t>AA 00320172</t>
  </si>
  <si>
    <t>Mobil Tinja (CK)</t>
  </si>
  <si>
    <t>02.02.01.06.006</t>
  </si>
  <si>
    <t>Mobil Tangki Air</t>
  </si>
  <si>
    <t>ISUZU NKR71HD / ISUZU NKR71HD</t>
  </si>
  <si>
    <t>4570</t>
  </si>
  <si>
    <t>L-09742810</t>
  </si>
  <si>
    <t>MHCNKR71HGJ072911</t>
  </si>
  <si>
    <t>B072909</t>
  </si>
  <si>
    <t>KH 8147 PW</t>
  </si>
  <si>
    <t>L-09742811</t>
  </si>
  <si>
    <t>Truck Tangki Air 4000 liter</t>
  </si>
  <si>
    <t>MHCNKR71HGJ072910</t>
  </si>
  <si>
    <t>B072910</t>
  </si>
  <si>
    <t>KH 8148 PW</t>
  </si>
  <si>
    <t>L-09742812</t>
  </si>
  <si>
    <t>L-09742809</t>
  </si>
  <si>
    <t>MHCNKR71HGJ072914</t>
  </si>
  <si>
    <t>B072914</t>
  </si>
  <si>
    <t>KH 8145 PW</t>
  </si>
  <si>
    <t>B072911</t>
  </si>
  <si>
    <t>KH 8146 PW</t>
  </si>
  <si>
    <t>02.02.01.06.045</t>
  </si>
  <si>
    <t>Kendaraan Toilet</t>
  </si>
  <si>
    <t>MHCNMR81LPJ118824</t>
  </si>
  <si>
    <t xml:space="preserve"> G118824</t>
  </si>
  <si>
    <t>KH 8235 PW</t>
  </si>
  <si>
    <t>U-01970296 M</t>
  </si>
  <si>
    <t>MOBIL TRUK TOILET PORTABLE</t>
  </si>
  <si>
    <t>TOYOTA / NNOVA ZENIX 2.0 V HV MODELISTA CVT</t>
  </si>
  <si>
    <t>1987 CC</t>
  </si>
  <si>
    <t>MHFAEAAA2POO14234</t>
  </si>
  <si>
    <t>M20ANB36554</t>
  </si>
  <si>
    <t>KH 1306 PU</t>
  </si>
  <si>
    <t>U-01970046</t>
  </si>
  <si>
    <t>Penanggungjawab/Pemakai KEPALA DINAS ( INNOVA ZENIX 2.0 V HV MODELISTA CVT (NON PREMIUM COLOR)</t>
  </si>
  <si>
    <t>SUZUKI / NEW CARRY PICK UP WD AC PS</t>
  </si>
  <si>
    <t>MHYHDG61TFJ215828</t>
  </si>
  <si>
    <t>K15ET1609504</t>
  </si>
  <si>
    <t>KH 8241PW</t>
  </si>
  <si>
    <t>V-00162574</t>
  </si>
  <si>
    <t>Penanggungjawab IRWAN PRASASTI, S.STPi., M.A.P (PICK UP SUZUKI NEW CARRY PICK UP WD AC PS / SILKY SILVER)</t>
  </si>
  <si>
    <t>MH1JFS117FK106345</t>
  </si>
  <si>
    <t>JFS1E1104501</t>
  </si>
  <si>
    <t>KH 4387 PY</t>
  </si>
  <si>
    <t>L 06931770 M</t>
  </si>
  <si>
    <t>Penanggungjawab/Pemakai SANDI SETIAWAN D. ERANG, S.Sos (Analis Kebijakan Bidang Pertanahan Disperkimtan)</t>
  </si>
  <si>
    <t>MH1KC5219FK255109</t>
  </si>
  <si>
    <t>KC52E-1252855</t>
  </si>
  <si>
    <t>KH 4361 PY</t>
  </si>
  <si>
    <t>L 06930530 M</t>
  </si>
  <si>
    <t>Penanggungjawab/Pemakai TAUFIK AGUSMANA, SM (Penelaah Teknis Kegiatan Bid. Kawasan Permukiman)</t>
  </si>
  <si>
    <t>SUZUKI SHOGUN / SUZUKI SHOGUN</t>
  </si>
  <si>
    <t>MH8BF45DAAJ279564</t>
  </si>
  <si>
    <t>F496-ID-347301</t>
  </si>
  <si>
    <t>KH 2619 PY</t>
  </si>
  <si>
    <t>H-10023264M</t>
  </si>
  <si>
    <t>gudang kondisi rusak berat</t>
  </si>
  <si>
    <t>MH8BF45DAAJ279294</t>
  </si>
  <si>
    <t>F496-ID-347147</t>
  </si>
  <si>
    <t>KH 2618 PY</t>
  </si>
  <si>
    <t>H-10023263</t>
  </si>
  <si>
    <t>Penanggungjawab/Pemakai NORLIDA, S.Pt (Penelaah Teknis Kebijakan Disperkimtan)</t>
  </si>
  <si>
    <t>MH8BF45DAAJ282821</t>
  </si>
  <si>
    <t>F496-ID-352412</t>
  </si>
  <si>
    <t>KH2617PY</t>
  </si>
  <si>
    <t>H-10023261M</t>
  </si>
  <si>
    <t>Penanggungjawab/Pemakai EFENDI KARAMU, S.I.P (Penelaah Teknis Kegiatan /Sekretariat)</t>
  </si>
  <si>
    <t>MH8BF45DAAJ307066</t>
  </si>
  <si>
    <t>F496-ID-381647</t>
  </si>
  <si>
    <t>KH2722PY</t>
  </si>
  <si>
    <t>H-11011853M</t>
  </si>
  <si>
    <t>Penanggungjawab/Pemakai ABDUL KAHFI (Penjaga malam Disperkimtan)</t>
  </si>
  <si>
    <t>MH8BF45DAAJ308403</t>
  </si>
  <si>
    <t>F496-ID-382827</t>
  </si>
  <si>
    <t>KH2723PY</t>
  </si>
  <si>
    <t>11011854M</t>
  </si>
  <si>
    <t>Penanggungjawab MUHAMMAD ABDUL RASYIID, S.P, Pemakai IRFANDI (Bid. Pertanahan)</t>
  </si>
  <si>
    <t>MH8BF45DAAJ309411</t>
  </si>
  <si>
    <t>F496-ID-383666</t>
  </si>
  <si>
    <t>KH2724PY</t>
  </si>
  <si>
    <t>H-11011855M</t>
  </si>
  <si>
    <t>Penanggungjawab/Pemakai MUHAMMAD ALPIUDIN (Pembantu Pengurus Barang Pengguna)</t>
  </si>
  <si>
    <t>Szuki Shogun FL 125 RCD / Szuki Shogun FL 125 RCD</t>
  </si>
  <si>
    <t>125 CC</t>
  </si>
  <si>
    <t>MH8BF45DA8J207913</t>
  </si>
  <si>
    <t>F496-ID-257012</t>
  </si>
  <si>
    <t>KH2506PY</t>
  </si>
  <si>
    <t>4847944M</t>
  </si>
  <si>
    <t>Penanggungjawab/Pemakai MARLIA KOMALASARI, A.Md.Ak (Sekretariat)</t>
  </si>
  <si>
    <t>SUZUKI  SHOGUN / SUZUKI  SHOGUN</t>
  </si>
  <si>
    <t>MH8BF45DA8J208269</t>
  </si>
  <si>
    <t>F4961D257242</t>
  </si>
  <si>
    <t>KH 2503 PY</t>
  </si>
  <si>
    <t>F 4847941 M</t>
  </si>
  <si>
    <t>Penanggungjawab/Pemakai K U S N A N (Pengelola Perumahan dan Permukiman)</t>
  </si>
  <si>
    <t>HONDA / CB150 VERZA CW - 2023</t>
  </si>
  <si>
    <t>MH1KC0214PK209966</t>
  </si>
  <si>
    <t>KC02E1209484</t>
  </si>
  <si>
    <t>KH 5204 PY</t>
  </si>
  <si>
    <t>T-03529071</t>
  </si>
  <si>
    <t>Pemakai/Penanggungjawab  MULIYANUR (Pengurus Barang Disperkimtan)</t>
  </si>
  <si>
    <t>HONDA / CB150 VERZA CW - 2023 (B5D02K29M2 M/T)</t>
  </si>
  <si>
    <t>MH1KC0217PK210416</t>
  </si>
  <si>
    <t>KC02E1209939</t>
  </si>
  <si>
    <t>KH 5205 PY</t>
  </si>
  <si>
    <t>T-03529072</t>
  </si>
  <si>
    <t>Pemakai/Penanggungjawab JAMIL HUSIN, ST (Analis Kebijakan Bidang Perumahan Rakyat)</t>
  </si>
  <si>
    <t>MH1KC0219PK210420</t>
  </si>
  <si>
    <t>KC02E1209942</t>
  </si>
  <si>
    <t>KH 5206 PY</t>
  </si>
  <si>
    <t>T-035229073</t>
  </si>
  <si>
    <t>Pemakai/Penanggungjawab RISTO PRATAMA, ST (Analis Prasarana Perkotaan dan Pedesaan Bidang Kawasan Permukiman)</t>
  </si>
  <si>
    <t>VARIIO / 160 CBS</t>
  </si>
  <si>
    <t>160 CC</t>
  </si>
  <si>
    <t>Besi, campuran</t>
  </si>
  <si>
    <t>MH1KF0111PK5493503</t>
  </si>
  <si>
    <t>KF01E1493638</t>
  </si>
  <si>
    <t>KH 5247 PY</t>
  </si>
  <si>
    <t>U-01973495</t>
  </si>
  <si>
    <t>Penanggungjawab/Pemakai VARIO 160 CBS Merah Doff - Sekretaris Disperkimtan</t>
  </si>
  <si>
    <t>MH1KF0119PK538140</t>
  </si>
  <si>
    <t>KF01E1538153</t>
  </si>
  <si>
    <t>KH 5250 PY</t>
  </si>
  <si>
    <t>U-01973498</t>
  </si>
  <si>
    <t>Penanggungjawab/Pemakai VARIO 160 CBS Hitam - MARULAM ABDI MARTUA SIAHAAN, ST (Kabid. Pertanahan)</t>
  </si>
  <si>
    <t>MH1KF0117PK544373</t>
  </si>
  <si>
    <t>KF01E1544354</t>
  </si>
  <si>
    <t>KH 5248 PY</t>
  </si>
  <si>
    <t>U-01973496</t>
  </si>
  <si>
    <t>Penanggungjawab/Pemakai VARIO 160 CBS Hitam - Kasubbag. Penyusunan Program dan Keuangan</t>
  </si>
  <si>
    <t>MH1KF0117PK527752</t>
  </si>
  <si>
    <t>KF01E1527755</t>
  </si>
  <si>
    <t>KH 5251 PY</t>
  </si>
  <si>
    <t>U-01973499</t>
  </si>
  <si>
    <t>Penanggungjawab/Pemakai VARIO 160 CBS Hitam - MUHAMMAD SADLI, SE (Analis Kebijakan Bidang Perumahan Rakyat)</t>
  </si>
  <si>
    <t>MH1KF0117PK543854</t>
  </si>
  <si>
    <t>KF01E1543865</t>
  </si>
  <si>
    <t>Penanggungjawab/Pemakai VARIO 160 CBS Hitam -  (ALAMSYAH/Bendahara Pengeluaran)</t>
  </si>
  <si>
    <t>VARIO / 160 ABS</t>
  </si>
  <si>
    <t>156,93 CC</t>
  </si>
  <si>
    <t>Besi, Campuran</t>
  </si>
  <si>
    <t>MH1KFA117RK249525</t>
  </si>
  <si>
    <t>KFA1E1249202</t>
  </si>
  <si>
    <t>KH 5319 PY</t>
  </si>
  <si>
    <t>V-00169645</t>
  </si>
  <si>
    <t>Pemakai/Penanggungjawab KEPALA DINAS (warna motor Honda VARIO Hijau Doff)</t>
  </si>
  <si>
    <t>MH1KFA113RK249554</t>
  </si>
  <si>
    <t>KFA1E1249276</t>
  </si>
  <si>
    <t>KH 5318 PY</t>
  </si>
  <si>
    <t>V-00169644</t>
  </si>
  <si>
    <t>Pemakai/Penanggungjawab MUHAMMAD ABDUL RASYIID, S.P (warna motor Honda VARIO HijAU Doff)</t>
  </si>
  <si>
    <t>MH1KFA113RK251028</t>
  </si>
  <si>
    <t>KFA1E1250925</t>
  </si>
  <si>
    <t>KH 5317 PY</t>
  </si>
  <si>
    <t>V-00169643</t>
  </si>
  <si>
    <t>Pemakai/Penanggungjawab MURNI INDRA PARASTUTI, S.Pi (warna motor Honda VARIO Putih Doff)</t>
  </si>
  <si>
    <t>MH1KFA118RK251056</t>
  </si>
  <si>
    <t>KH 5316 PY</t>
  </si>
  <si>
    <t>V-00169642</t>
  </si>
  <si>
    <t>Pemakai/Penanggungjawab IRWAN PRASASTI, S.STPi., M.A.P (warna motor Honda VARIO Putih Doff)</t>
  </si>
  <si>
    <t>MH1KFA117RK253137</t>
  </si>
  <si>
    <t>KFAIE1252952</t>
  </si>
  <si>
    <t>KH 5320 PY</t>
  </si>
  <si>
    <t>V-00169646</t>
  </si>
  <si>
    <t>Pemakai/Penanggungjawab Kabid. Perumahan Rakyat (warna motor Honda VARIO Hitam Doff)</t>
  </si>
  <si>
    <t>MH1KFA113RK253159</t>
  </si>
  <si>
    <t>KFAIE1252901</t>
  </si>
  <si>
    <t>KH 5315 PY</t>
  </si>
  <si>
    <t>V-00169641</t>
  </si>
  <si>
    <t>Pemakai/Penanggungjawab GAZALI RAHMAN, S. Hut (warna motor Honda VARIO Hitam Doff)</t>
  </si>
  <si>
    <t>TOYOTA NEW KIJANG INNOVA G M/T Bensin VIN 2015 MIN / TOYOTA NEW KIJANG INNOVA G M/T Bensin VIN 2015</t>
  </si>
  <si>
    <t>26.02.2015 51</t>
  </si>
  <si>
    <t>MHFXW42G3F2307758</t>
  </si>
  <si>
    <t>1 TR7983439</t>
  </si>
  <si>
    <t>KH 1205 PU</t>
  </si>
  <si>
    <t>L 06940395 M</t>
  </si>
  <si>
    <t>M. GAZALI, S.Pd ( BADAN kEHORMATAN DPR)</t>
  </si>
  <si>
    <t>TOYOTA   / VELOZ 1.5 Q HYBRID CVT TSS MODELLISTA One Tone</t>
  </si>
  <si>
    <t>1496 CC</t>
  </si>
  <si>
    <t>MHFA71BY6T0010131</t>
  </si>
  <si>
    <t>2NR Y713335/75156</t>
  </si>
  <si>
    <t>KH 1351 PU</t>
  </si>
  <si>
    <t>W-01352117 M</t>
  </si>
  <si>
    <t xml:space="preserve"> Kendaraan Dinas Operasional Kantor dan/Lapangan</t>
  </si>
  <si>
    <t>ISUZU NKR 71 KAROSERI DALMAS / ISUZU NKR 71 KAROSERI DALMAS</t>
  </si>
  <si>
    <t>4.570</t>
  </si>
  <si>
    <t>MHCNK71LYCJ040315</t>
  </si>
  <si>
    <t>B040315</t>
  </si>
  <si>
    <t>KH 8086 PU</t>
  </si>
  <si>
    <t>J-04704880 M</t>
  </si>
  <si>
    <t>SATPOL-PP</t>
  </si>
  <si>
    <t>TOYOTA NEW HILUX DOUBLE CABIN E M/T DIESEL / TOYOTA NEW HILUX DOUBLE CABIN E M/T DIESEL</t>
  </si>
  <si>
    <t>2.500</t>
  </si>
  <si>
    <t>MROFR22G7D0769429</t>
  </si>
  <si>
    <t>2KDS281252</t>
  </si>
  <si>
    <t>KH 8103 PW</t>
  </si>
  <si>
    <t>K 02904488 M</t>
  </si>
  <si>
    <t>SATPOL PP</t>
  </si>
  <si>
    <t>TOYOTA ALL NEW HILUX DOUBLE CABIN 2.5 E (4X4) M/T  / TOYOTA ALL NEW HILUX DOUBLE CABIN 2.5 E (4X4) M</t>
  </si>
  <si>
    <t>MRODS8CD8H0331107</t>
  </si>
  <si>
    <t>2KDU959420</t>
  </si>
  <si>
    <t>KH 8162 PW</t>
  </si>
  <si>
    <t>M 10655038 M</t>
  </si>
  <si>
    <t>SATPOL PP /KEBAKARAN</t>
  </si>
  <si>
    <t>HONDA Mega Pro / HONDA Mega Pro</t>
  </si>
  <si>
    <t>MH1KEHL114K075386</t>
  </si>
  <si>
    <t>KFHLE10775666</t>
  </si>
  <si>
    <t>KH 3074 PM</t>
  </si>
  <si>
    <t>C-9606046M</t>
  </si>
  <si>
    <t>Honda Mega Pro (Hitam) KH 2595 PY EX. KH 3074 PM</t>
  </si>
  <si>
    <t>HONDA  VARIO NC11A2CB AT / HONDA  VARIO NC11A2CB AT</t>
  </si>
  <si>
    <t>MH1JF3118AK176788</t>
  </si>
  <si>
    <t>JF31E0175983</t>
  </si>
  <si>
    <t>KH 2638 PY</t>
  </si>
  <si>
    <t>H-06859667 M</t>
  </si>
  <si>
    <t>SATPOLL PP</t>
  </si>
  <si>
    <t>MH1KC5214FK255745</t>
  </si>
  <si>
    <t>KC52E1253603</t>
  </si>
  <si>
    <t>KH 4352 PY</t>
  </si>
  <si>
    <t>L 06930521 M</t>
  </si>
  <si>
    <t>PENYIMPAN BARANG SATPOLL PP</t>
  </si>
  <si>
    <t>HONDA CRF 150 / HONDA CRF 150</t>
  </si>
  <si>
    <t>BESI CAMPURAN</t>
  </si>
  <si>
    <t>MH1KD111XLK147536</t>
  </si>
  <si>
    <t>KD11E1146610</t>
  </si>
  <si>
    <t>KH 4931 PY</t>
  </si>
  <si>
    <t>Q-08280988</t>
  </si>
  <si>
    <t>Pengadaan Motor Trail Operasional Karhutla</t>
  </si>
  <si>
    <t>MHLX150GMJP89571</t>
  </si>
  <si>
    <t>LX150CEWR2659</t>
  </si>
  <si>
    <t>KH 5014 PY</t>
  </si>
  <si>
    <t>R-02937382</t>
  </si>
  <si>
    <t>MH4LX15GMJP88450</t>
  </si>
  <si>
    <t>LX150CEWP5583</t>
  </si>
  <si>
    <t>KH 5083 PY</t>
  </si>
  <si>
    <t>R-02937450</t>
  </si>
  <si>
    <t>MHLX150GMJP88606</t>
  </si>
  <si>
    <t>LX150CEWP5130</t>
  </si>
  <si>
    <t>KH 5084 PY</t>
  </si>
  <si>
    <t>R-02937451</t>
  </si>
  <si>
    <t>HONDA / VARIO 160 ABS</t>
  </si>
  <si>
    <t>156 CC</t>
  </si>
  <si>
    <t>Besi Campur</t>
  </si>
  <si>
    <t>MH1KFA116SK343532</t>
  </si>
  <si>
    <t>KFA1E1343332</t>
  </si>
  <si>
    <t>KH 5434 PY</t>
  </si>
  <si>
    <t>W01352117M</t>
  </si>
  <si>
    <t>Sepeda Motor (Kendaraan Bermotor Beroda Dua)</t>
  </si>
  <si>
    <t>TOYOTA INNOVA V M/T / TOYOTA INNOVA V M/T</t>
  </si>
  <si>
    <t>2.000</t>
  </si>
  <si>
    <t>MHFXW43G1B4087828</t>
  </si>
  <si>
    <t>1TR7830502</t>
  </si>
  <si>
    <t>KH 1182 PU</t>
  </si>
  <si>
    <t>K 06866183 M</t>
  </si>
  <si>
    <t>KESBANG</t>
  </si>
  <si>
    <t>TOYOTA INNOVA G M/T NEW / TOYOTA INNOVA G M/T NEW</t>
  </si>
  <si>
    <t>1.998</t>
  </si>
  <si>
    <t>MHFXW42G1B2211203</t>
  </si>
  <si>
    <t>1TR7231473</t>
  </si>
  <si>
    <t>KH 1151 PU</t>
  </si>
  <si>
    <t>I-06797752 M</t>
  </si>
  <si>
    <t>Kepala Badan Kesatuan Bangsa dan Politik (Agus SUharto, S.Sos.)</t>
  </si>
  <si>
    <t>MH1JFT110HK087144</t>
  </si>
  <si>
    <t>JFT1E 1086571</t>
  </si>
  <si>
    <t>KH 4608 PY</t>
  </si>
  <si>
    <t>M 12805849 M</t>
  </si>
  <si>
    <t>MH1JFT117HK086090</t>
  </si>
  <si>
    <t>JFT1E085697</t>
  </si>
  <si>
    <t>KH 4616 PY</t>
  </si>
  <si>
    <t>M 12805857 M</t>
  </si>
  <si>
    <t>Sekban ( Ramiah, S.Pd)</t>
  </si>
  <si>
    <t>HONDA SUPRA AFX12U21C07 M/T / HONDA SUPRA AFX12U21C07 M/T</t>
  </si>
  <si>
    <t>MH1JBN115FK081216</t>
  </si>
  <si>
    <t>JBN1E-1079405</t>
  </si>
  <si>
    <t>KH 4395 PY</t>
  </si>
  <si>
    <t>L 06937003 M</t>
  </si>
  <si>
    <t>Kesbangpol</t>
  </si>
  <si>
    <t>MH1KC521XDK032431</t>
  </si>
  <si>
    <t>KC52E1032667</t>
  </si>
  <si>
    <t>KH 4166 PY</t>
  </si>
  <si>
    <t>K-05626010 M</t>
  </si>
  <si>
    <t>Pembantu Pengurus Barang(Reynaldi Gusti P)</t>
  </si>
  <si>
    <t>HONDA BEAT / HONDA BEAT</t>
  </si>
  <si>
    <t>MH1JM9116MK956947</t>
  </si>
  <si>
    <t>JM91E1955196</t>
  </si>
  <si>
    <t>KH 5124 PY</t>
  </si>
  <si>
    <t>S 00385802M</t>
  </si>
  <si>
    <t>Kasubid Tata Usaha (Mayda A.R Sirait, S.Hut)</t>
  </si>
  <si>
    <t>MH1JM9110MK956958</t>
  </si>
  <si>
    <t>JM91E1955058</t>
  </si>
  <si>
    <t>KH 5125 PY</t>
  </si>
  <si>
    <t>S 00385803 M</t>
  </si>
  <si>
    <t>Kasubbag Perencanaan (Seri Hindani, S.Pi)</t>
  </si>
  <si>
    <t>Suzuki FL 125 / Suzuki FL 125</t>
  </si>
  <si>
    <t>MH8BF45DA8J207925</t>
  </si>
  <si>
    <t>F496-ID-257083</t>
  </si>
  <si>
    <t>KH 2507 PY</t>
  </si>
  <si>
    <t>F 4847945 M</t>
  </si>
  <si>
    <t>Honda  / Honda</t>
  </si>
  <si>
    <t>MH1JB9125AK389348</t>
  </si>
  <si>
    <t>JB91E-2383262</t>
  </si>
  <si>
    <t>KH 4010 PY</t>
  </si>
  <si>
    <t>H 06857.577 M</t>
  </si>
  <si>
    <t>Bendahara (Parlan)</t>
  </si>
  <si>
    <t>Kawasaki  KLX 150BF / Kawasaki  KLX 150BF</t>
  </si>
  <si>
    <t>MH4LX150FFJP04665</t>
  </si>
  <si>
    <t>LX150CEPP1659</t>
  </si>
  <si>
    <t>KH 4453 PY</t>
  </si>
  <si>
    <t>L 06971040 M</t>
  </si>
  <si>
    <t>BM. Pengadaan Alat-Alat Angkutan darat Bermotor</t>
  </si>
  <si>
    <t>TOYOTA KIJANG INNOVA E M/T BENSIN / TOYOTA KIJANG INNOVA E M/T BENSIN</t>
  </si>
  <si>
    <t>MHFXW41G9D0055620</t>
  </si>
  <si>
    <t>1TR 7492351</t>
  </si>
  <si>
    <t>KH 1169 PU</t>
  </si>
  <si>
    <t>K- 0255827 M</t>
  </si>
  <si>
    <t>Hitam, dipergunakan oleh Kepala Dinas</t>
  </si>
  <si>
    <t>TOYOTA HILUX DOUBLE CABIN E M/T Diesel VIN 2015 / TOYOTA HILUX DOUBLE CABIN E M/T Diesel VIN 2015</t>
  </si>
  <si>
    <t>MROFR22G2F0799280</t>
  </si>
  <si>
    <t>2KD U768729</t>
  </si>
  <si>
    <t>KH 8124 PW</t>
  </si>
  <si>
    <t>L 06940922 M</t>
  </si>
  <si>
    <t>BPBD</t>
  </si>
  <si>
    <t>Mitsubishi / Triton 2,5 L</t>
  </si>
  <si>
    <t>2.477</t>
  </si>
  <si>
    <t>MMBENKL30KH039239</t>
  </si>
  <si>
    <t>4D56UAX8304</t>
  </si>
  <si>
    <t>KH 9045 PW</t>
  </si>
  <si>
    <t>P02943189</t>
  </si>
  <si>
    <t>Mobil Pengangkut Peralatan</t>
  </si>
  <si>
    <t>MH1KC5211FK255704</t>
  </si>
  <si>
    <t>KC52E1253673</t>
  </si>
  <si>
    <t>KH 4368 PY</t>
  </si>
  <si>
    <t>L 06930537 M</t>
  </si>
  <si>
    <t>Hitam, dipergunakan oleh Pekerja Sosial pada bidang Pemberdayaan Sosial</t>
  </si>
  <si>
    <t>Besi, Plastik</t>
  </si>
  <si>
    <t>MH8BF45DAAJ-313003</t>
  </si>
  <si>
    <t>F496-ID-387368</t>
  </si>
  <si>
    <t>KH 2709 PY</t>
  </si>
  <si>
    <t>H-11006959</t>
  </si>
  <si>
    <t>Biru Hitam, Dipergunakan oleh Pembantu Pengurus Barang</t>
  </si>
  <si>
    <t>MH8BF45DAAJ208608</t>
  </si>
  <si>
    <t>F496-ID-257541</t>
  </si>
  <si>
    <t>KH 2493 PY</t>
  </si>
  <si>
    <t>E 4847931 M</t>
  </si>
  <si>
    <t>Hitam Merah, dipergunakan oleh Pekerja Sosial pada bidang Penanganan Bencana</t>
  </si>
  <si>
    <t>Honda / Honda</t>
  </si>
  <si>
    <t>MH1JB51166K546568</t>
  </si>
  <si>
    <t>JB51E-1543236</t>
  </si>
  <si>
    <t>KH 2058 PY</t>
  </si>
  <si>
    <t>E 1047096 M</t>
  </si>
  <si>
    <t>Putih biru, dipergunakan oleh Pekerja Sosial pada bidang Rehabilitas Sosial</t>
  </si>
  <si>
    <t>Honda NF 100 D / Honda NF 100 D</t>
  </si>
  <si>
    <t>MH1KEVA183K571320</t>
  </si>
  <si>
    <t>KEVAE1569524</t>
  </si>
  <si>
    <t>KH 2573 PY</t>
  </si>
  <si>
    <t>C 7848166 M</t>
  </si>
  <si>
    <t>Hitam Biru, dipergunakan oleh Staf Pengadminitrasian Perkantoran pada Subbag Umum, Perlengkapan dan Kepegawaian</t>
  </si>
  <si>
    <t>MH8BF45DAAJ-303254</t>
  </si>
  <si>
    <t>F496-ID-378295</t>
  </si>
  <si>
    <t>KH 2708 PY</t>
  </si>
  <si>
    <t>H-11006958</t>
  </si>
  <si>
    <t>Hitam Orange, dipergunakan oleh Kabid Rehabilitasi Sosial</t>
  </si>
  <si>
    <t>MH1KC2118CK064410</t>
  </si>
  <si>
    <t>KC21E1064259</t>
  </si>
  <si>
    <t>KH 4070 PY</t>
  </si>
  <si>
    <t>I-10731494 M</t>
  </si>
  <si>
    <t>Hitam</t>
  </si>
  <si>
    <t>Yamaha 4D7 / Yamaha 4D7</t>
  </si>
  <si>
    <t>MH34D70027J535690</t>
  </si>
  <si>
    <t>4D7-535694</t>
  </si>
  <si>
    <t>KH 2183 PY</t>
  </si>
  <si>
    <t>E 7028672 M</t>
  </si>
  <si>
    <t>Biru, dipergunakan oleh Kasubbag Umum, Perlengkapan dan Kepegawaian</t>
  </si>
  <si>
    <t>02.02.01.04.002</t>
  </si>
  <si>
    <t>Scooter</t>
  </si>
  <si>
    <t>Suzuki Skydrive UK 125 SC AT / Suzuki Skydrive UK 125 SC AT</t>
  </si>
  <si>
    <t>Besi, Aluminium</t>
  </si>
  <si>
    <t>MH8CF48NAAJ-197374</t>
  </si>
  <si>
    <t>F4A9-ID-197424</t>
  </si>
  <si>
    <t>KH 2707 PY</t>
  </si>
  <si>
    <t>H-11006965</t>
  </si>
  <si>
    <t>Hitam, dipergunakan oleh Kasubbag Penyusunan Program dan Keuangan</t>
  </si>
  <si>
    <t>02.02.01.06.110</t>
  </si>
  <si>
    <t>kendaraan bermotor khusus  lainnya (dst)</t>
  </si>
  <si>
    <t>Kaisar  / Kaisar</t>
  </si>
  <si>
    <t>MGDT15MKTAJ002411</t>
  </si>
  <si>
    <t>16FMJ 91475561</t>
  </si>
  <si>
    <t>KH 3479 PY</t>
  </si>
  <si>
    <t>1300</t>
  </si>
  <si>
    <t>MHKM5EA2JGK013353</t>
  </si>
  <si>
    <t>1NRF185104</t>
  </si>
  <si>
    <t>KH 1242 PU</t>
  </si>
  <si>
    <t>L 09757239 M</t>
  </si>
  <si>
    <t>Isuzu ELF NHR 55 cc / Isuzu ELF NHR 55 cc</t>
  </si>
  <si>
    <t>02771</t>
  </si>
  <si>
    <t>MHCNHR55EFJ065348</t>
  </si>
  <si>
    <t>M065348</t>
  </si>
  <si>
    <t>B 9311 SQU</t>
  </si>
  <si>
    <t>M03763092</t>
  </si>
  <si>
    <t>Mobile MTU (Mobile Training Unit)</t>
  </si>
  <si>
    <t>MH1JFZ12XJK860141</t>
  </si>
  <si>
    <t>JFZ1E2857664</t>
  </si>
  <si>
    <t>KH 4753 PY</t>
  </si>
  <si>
    <t>002643614 M</t>
  </si>
  <si>
    <t>MH1JFS119FK106363</t>
  </si>
  <si>
    <t>JFS1E114554</t>
  </si>
  <si>
    <t>KH 4390 PY</t>
  </si>
  <si>
    <t>L 06931773 M</t>
  </si>
  <si>
    <t>Sepeda Motor/ Pengurus Barang</t>
  </si>
  <si>
    <t>MH1KC5219FK255126</t>
  </si>
  <si>
    <t>KC52E125818</t>
  </si>
  <si>
    <t>KH 4366 PY</t>
  </si>
  <si>
    <t>L 06930535 M</t>
  </si>
  <si>
    <t>Sepeda Motor/ Sekretaris</t>
  </si>
  <si>
    <t>SUZUKI FK 110 SCD / SUZUKI FK 110 SCD</t>
  </si>
  <si>
    <t>MH8BE4DF48J-627143</t>
  </si>
  <si>
    <t>E451-ID-643463</t>
  </si>
  <si>
    <t>KH 2515 PY</t>
  </si>
  <si>
    <t>F 4847953 M</t>
  </si>
  <si>
    <t>Sepeda Motor/Kasi Pelatihan Kerja dan Produktivitas Tenaga Kerja</t>
  </si>
  <si>
    <t>MH8BE4DF8J-630919</t>
  </si>
  <si>
    <t>E451-ID-646114</t>
  </si>
  <si>
    <t>KH 2514 PY</t>
  </si>
  <si>
    <t>F 4847952 M</t>
  </si>
  <si>
    <t>Sepeda Motor/Kasi Pengupahan dan JSTK</t>
  </si>
  <si>
    <t>MH8BE4DFA8J-628291</t>
  </si>
  <si>
    <t>E451-ID-644412</t>
  </si>
  <si>
    <t>KH 2516 PY</t>
  </si>
  <si>
    <t>F 4847954 M</t>
  </si>
  <si>
    <t>sepeda motor / a.n Bia</t>
  </si>
  <si>
    <t>MH1JF311XAK176789</t>
  </si>
  <si>
    <t>JF31E0175982</t>
  </si>
  <si>
    <t>KH 2645 PY</t>
  </si>
  <si>
    <t>H-06859660 M</t>
  </si>
  <si>
    <t>Sepeda Motor/ Kasubag. Perencanaan dan Keuangan</t>
  </si>
  <si>
    <t>SUZUKI FW110SCD / SUZUKI FW110SCD</t>
  </si>
  <si>
    <t>113</t>
  </si>
  <si>
    <t>MH8BE4DUAAJI53159</t>
  </si>
  <si>
    <t>E470ID159039</t>
  </si>
  <si>
    <t>KH 2711 PY</t>
  </si>
  <si>
    <t>H 11006961 MM</t>
  </si>
  <si>
    <t>Sepeda Motor/Kabid Transmigrasi</t>
  </si>
  <si>
    <t>MH1JBE219CK192121</t>
  </si>
  <si>
    <t>JBE2E1189685</t>
  </si>
  <si>
    <t>KH 4072 PY</t>
  </si>
  <si>
    <t>I-10731496 M</t>
  </si>
  <si>
    <t>Sepeda Motor/ Kepala Dinas</t>
  </si>
  <si>
    <t>MH1JBE213CK183639</t>
  </si>
  <si>
    <t>JBE2E1180439</t>
  </si>
  <si>
    <t>KH 4075 PY</t>
  </si>
  <si>
    <t>I-10731499 M</t>
  </si>
  <si>
    <t>Sepeda Motor/ Kasubag. Umum</t>
  </si>
  <si>
    <t>MH1JBE211CK191769</t>
  </si>
  <si>
    <t>JBE2E1189387</t>
  </si>
  <si>
    <t>KH 4056 PY</t>
  </si>
  <si>
    <t>I-10729966 M</t>
  </si>
  <si>
    <t>Sepeda Motor/ Kabis Pelatihan dan Penempatan TK</t>
  </si>
  <si>
    <t>Kawasaki KLX 150		 / Kawasaki KLX 150</t>
  </si>
  <si>
    <t>MH4LX150CCKP61543</t>
  </si>
  <si>
    <t>LX150CEP96221</t>
  </si>
  <si>
    <t>KH 4162 PY</t>
  </si>
  <si>
    <t>J-04700919 M</t>
  </si>
  <si>
    <t>Sepeda Motor/ Kasi Pengembangan Masyarakat dan Kawasan Trans</t>
  </si>
  <si>
    <t>000124</t>
  </si>
  <si>
    <t>MH1JFV115FK193079</t>
  </si>
  <si>
    <t>JFV1E-1194305</t>
  </si>
  <si>
    <t>KH 4412 PY</t>
  </si>
  <si>
    <t>L 06955151 M</t>
  </si>
  <si>
    <t>TOYOTA/KD22M/T03COMM / TOYOTA/KD22M/T03COMM</t>
  </si>
  <si>
    <t>2500cc</t>
  </si>
  <si>
    <t>03.07.2019.12</t>
  </si>
  <si>
    <t>JTFSS22P4K0186113</t>
  </si>
  <si>
    <t>2KDB004278</t>
  </si>
  <si>
    <t>KH7004PU</t>
  </si>
  <si>
    <t>T730-2019000908</t>
  </si>
  <si>
    <t>Pengguna An. Ridho Fahnuryadi, SKM., MM (Kabid Pengendalian Penduduk dan Pembinaa Keluarga Berencana. (MOBIL ANGKUT AKSEPTOR KB)</t>
  </si>
  <si>
    <t>TOYOTA / INOVA REBON</t>
  </si>
  <si>
    <t>MHFJW8BM1R2413323</t>
  </si>
  <si>
    <t>1TRB195741</t>
  </si>
  <si>
    <t>KH1336PU</t>
  </si>
  <si>
    <t>V-04726619M</t>
  </si>
  <si>
    <t>Pengguna An. Arniansyah, S.Pd., MM (Kepala Dinas)</t>
  </si>
  <si>
    <t>Honda  NF 125 SL / Honda  NF 125 SL</t>
  </si>
  <si>
    <t>MH. 1HB311X5K141377</t>
  </si>
  <si>
    <t>HB31E-1124200</t>
  </si>
  <si>
    <t>KH 2051 PY</t>
  </si>
  <si>
    <t>Honda NF 125 SC / Honda NF 125 SC</t>
  </si>
  <si>
    <t>MH.1JB52126K124026</t>
  </si>
  <si>
    <t>JB52E-1123747</t>
  </si>
  <si>
    <t>KH 2057 PY</t>
  </si>
  <si>
    <t>E 1047098 M</t>
  </si>
  <si>
    <t>Pengguna An. Ahmad Azis</t>
  </si>
  <si>
    <t>Shogun FL 125 SD / Shogun FL 125 SD</t>
  </si>
  <si>
    <t>MH.8BF45CAAJ-172002</t>
  </si>
  <si>
    <t>F496-ID-368612</t>
  </si>
  <si>
    <t>KH 2677 PY</t>
  </si>
  <si>
    <t>H 11006979 M</t>
  </si>
  <si>
    <t>Pengguna An. Ismulyani (Penyuluh Keluarga Berencana di  Kec. Seruyan Hilir)</t>
  </si>
  <si>
    <t>MH.8BF45CAAJ-172036</t>
  </si>
  <si>
    <t>F496-ID-369284</t>
  </si>
  <si>
    <t>KH 2675 PY</t>
  </si>
  <si>
    <t>H 11006975 M</t>
  </si>
  <si>
    <t>Pengguna An. Fahrizal Anwar (Penyuluh Keluarga Berencana di Kec. Danau Seluluk)</t>
  </si>
  <si>
    <t>HONDA REVO FIT FI / HONDA REVO FIT FI</t>
  </si>
  <si>
    <t>109.1</t>
  </si>
  <si>
    <t>MH1JBK11XEK116295</t>
  </si>
  <si>
    <t>JBK1E1116246</t>
  </si>
  <si>
    <t>KH 4311 PY</t>
  </si>
  <si>
    <t>L 04354133 M</t>
  </si>
  <si>
    <t>Pengguna An. Alfisyah S (Bendahara Pengeluaran)</t>
  </si>
  <si>
    <t>MH1JFJ110EK338262</t>
  </si>
  <si>
    <t>JFJ1E1334287</t>
  </si>
  <si>
    <t>KH 4318 PY</t>
  </si>
  <si>
    <t>L 04358931 M</t>
  </si>
  <si>
    <t>Pengguna An. Apriantoni (Kepala UPT PPA)</t>
  </si>
  <si>
    <t>MH1JFS119FK106332</t>
  </si>
  <si>
    <t>JFS1E1104486</t>
  </si>
  <si>
    <t>KH 4381 PY</t>
  </si>
  <si>
    <t>L 06931764 M</t>
  </si>
  <si>
    <t>Pengguna An. Ida Frida</t>
  </si>
  <si>
    <t>MH1KC5213FK255512</t>
  </si>
  <si>
    <t>KC52E1253369</t>
  </si>
  <si>
    <t>KH 4351 PY</t>
  </si>
  <si>
    <t>L 06930520 M</t>
  </si>
  <si>
    <t>Pengguna An. Nurmubin, A.Md.Kom (Pengurus Barang)</t>
  </si>
  <si>
    <t>MH8BF45CAAJ171904</t>
  </si>
  <si>
    <t>F496-ID-368579</t>
  </si>
  <si>
    <t>KH 2676 PY</t>
  </si>
  <si>
    <t>H 11006976</t>
  </si>
  <si>
    <t>Pengguna Ichwanus Sobah, SKM. (Penyuluh Keluarga Berencana pada Kec. Hanau)</t>
  </si>
  <si>
    <t>MH.8BF45CAAJ-172025</t>
  </si>
  <si>
    <t>F496-ID-369260</t>
  </si>
  <si>
    <t>KH 2671 PY</t>
  </si>
  <si>
    <t>H 11006973 M</t>
  </si>
  <si>
    <t>Pengguna An. Yusi Yusfika, A.Md (Penyuluh Keluarga Berencana di Kec. Suling Tambun)</t>
  </si>
  <si>
    <t>MH.8BF45CAAJ-172031</t>
  </si>
  <si>
    <t>F496-ID-369257</t>
  </si>
  <si>
    <t>KH 2670 PY</t>
  </si>
  <si>
    <t>H 11006984 M</t>
  </si>
  <si>
    <t>Pengguna An. Yuliani Rahmah, SKM (Penyuluh Keluarga Berencana di Kec. Batu Ampar)</t>
  </si>
  <si>
    <t>MH.8BF45CAAJ-171988</t>
  </si>
  <si>
    <t>F496-ID-369268</t>
  </si>
  <si>
    <t>KH 2674 PY</t>
  </si>
  <si>
    <t>Pengguna An. Husaini (Koordinator Lapangan Satuan Pelayanan Keluarga Berencana Wilayah Kec. Seruyan Raya)</t>
  </si>
  <si>
    <t>MH.8BF45CAAJ-172029</t>
  </si>
  <si>
    <t>F496-ID-369255</t>
  </si>
  <si>
    <t>KH 2682 PY</t>
  </si>
  <si>
    <t>H 11006981 M</t>
  </si>
  <si>
    <t>Pengguna An. Sulistianingsih (Penyuluh Keluarga Berencana di  Kec. Seruyan Hulu )</t>
  </si>
  <si>
    <t>MH.8BF45CAAJ-172009</t>
  </si>
  <si>
    <t>F496-ID-369247</t>
  </si>
  <si>
    <t>KH 2681 PY</t>
  </si>
  <si>
    <t>H 11006974 M</t>
  </si>
  <si>
    <t>Pengguana An. Simy Sutriana (Petugas Lapangan Keluarga Berencana Wilayah Kec. Batu Ampar)</t>
  </si>
  <si>
    <t>MH.8BF45CAAJ-172027</t>
  </si>
  <si>
    <t>F496-ID-369261</t>
  </si>
  <si>
    <t>KH 2672 PY</t>
  </si>
  <si>
    <t>H 11006982 M</t>
  </si>
  <si>
    <t>Pengguna An. Rina Angraini (Penyuluh Keluarga Berencana di Kec. Danau Sembuluh)</t>
  </si>
  <si>
    <t>Honda Kharisma XD / Honda Kharisma XD</t>
  </si>
  <si>
    <t>MH. 1JB2145K522085</t>
  </si>
  <si>
    <t>JE22E-1429549</t>
  </si>
  <si>
    <t>KH 2021 PY</t>
  </si>
  <si>
    <t>D8035770</t>
  </si>
  <si>
    <t>Usulan Penghapusan (Penjualan)</t>
  </si>
  <si>
    <t>HONDA / BEAT STREET</t>
  </si>
  <si>
    <t>109,51</t>
  </si>
  <si>
    <t>MH1JMG111RK193358</t>
  </si>
  <si>
    <t>JMG1E1193275</t>
  </si>
  <si>
    <t>KH 5369 PY</t>
  </si>
  <si>
    <t>V04722668M</t>
  </si>
  <si>
    <t>Pengguna An. Istiyanan (Kabid Pemberdayaan dan Peningkatan Keluarga Sejahtera)</t>
  </si>
  <si>
    <t>MH1JMG119RK192149</t>
  </si>
  <si>
    <t>JMG1E1192252</t>
  </si>
  <si>
    <t>KH 5371 PY</t>
  </si>
  <si>
    <t>V04722670M</t>
  </si>
  <si>
    <t>Pengguna An. Ajiansyah (Kabid Bidang Pengarusutamaan Gender, Perlindungan Perempuan dan Peningkatan Kualitas Keluarga)</t>
  </si>
  <si>
    <t>MH1JMG119RK193334</t>
  </si>
  <si>
    <t>JMG1E1193448</t>
  </si>
  <si>
    <t>KH 5370 PY</t>
  </si>
  <si>
    <t>V04722669M</t>
  </si>
  <si>
    <t>Pengguna An. Deby Sri Wulandani (Kasubbag Keuangan dan Penyusunan Program)</t>
  </si>
  <si>
    <t>HONDA / VARIO 160 CBS</t>
  </si>
  <si>
    <t>156,93</t>
  </si>
  <si>
    <t>MH1KF0110RK797571</t>
  </si>
  <si>
    <t>KF01E1796408</t>
  </si>
  <si>
    <t>KH 5375 PY</t>
  </si>
  <si>
    <t>V04722674M</t>
  </si>
  <si>
    <t>Pengguna An. Rio Stepanus Tundan, SH (Kasubbag Umum, Perlengkapan dan Kepegawaiaan)</t>
  </si>
  <si>
    <t>MH1KF0114RK799842</t>
  </si>
  <si>
    <t>KF01E1798682</t>
  </si>
  <si>
    <t>KH 5376 PY</t>
  </si>
  <si>
    <t>V04722675M</t>
  </si>
  <si>
    <t>Pengguna An. Ridho Fahnuryadi, SKM., MM (Kabid Pengendalian Penduduk dan Pembinaan Keluarga Berencana)</t>
  </si>
  <si>
    <t>MH1KF011XRK799845</t>
  </si>
  <si>
    <t>KF01E1798683</t>
  </si>
  <si>
    <t>KH 5373 PY</t>
  </si>
  <si>
    <t>V04722672M</t>
  </si>
  <si>
    <t>Pengguna An. Hairil Anwar (Sekretaris Dinas)</t>
  </si>
  <si>
    <t>MH1KF0110RK799823</t>
  </si>
  <si>
    <t>KF01E1798622</t>
  </si>
  <si>
    <t>KH 5374 PY</t>
  </si>
  <si>
    <t>V04722673M</t>
  </si>
  <si>
    <t>MH1KF0110RK797585</t>
  </si>
  <si>
    <t>KF01E1796419</t>
  </si>
  <si>
    <t>KH 5372 PY</t>
  </si>
  <si>
    <t>V04722671M</t>
  </si>
  <si>
    <t>Pengguna An. Pirus Yuani (Kabid Pengelolaan Data Gender dan Anak, Pemenuhan Hak dan Perlindungan Khusus Anak)</t>
  </si>
  <si>
    <t>MHFXW41G9D0055371</t>
  </si>
  <si>
    <t>1TR 7484087</t>
  </si>
  <si>
    <t>KH 1174 PU</t>
  </si>
  <si>
    <t>K-02558280 M</t>
  </si>
  <si>
    <t>DISTANAK</t>
  </si>
  <si>
    <t>TOYOTA NEW KIJANG INNOVA G M/T BENSIN / TOYOTA NEW KIJANG INNOVA G M/T BENSIN</t>
  </si>
  <si>
    <t>MHFXW42G5D2275795</t>
  </si>
  <si>
    <t>1TR7689828</t>
  </si>
  <si>
    <t>KH 1177 PU</t>
  </si>
  <si>
    <t>K 03039977 M</t>
  </si>
  <si>
    <t>ASISTEN 1 /BU RUSNAH</t>
  </si>
  <si>
    <t>Suzuki Carrybian / Suzuki Carrybian</t>
  </si>
  <si>
    <t>1.298</t>
  </si>
  <si>
    <t>SJ51-TH700695</t>
  </si>
  <si>
    <t>G13B-TH700695</t>
  </si>
  <si>
    <t>KH 8022 PY</t>
  </si>
  <si>
    <t>F 2143279 M</t>
  </si>
  <si>
    <t>TOYOTA HILUX 2.5L DOUBLE CABIN E 4X4 M/T DIESEL / TOYOTA HILUX 2.5L DOUBLE CABIN E 4X4 M/T DIESEL</t>
  </si>
  <si>
    <t>2,494</t>
  </si>
  <si>
    <t>MROFR22G8C0621305</t>
  </si>
  <si>
    <t>2KD5866675</t>
  </si>
  <si>
    <t>KH 8083 PW</t>
  </si>
  <si>
    <t>J-04246947 M</t>
  </si>
  <si>
    <t>SUZUKI / AEV415W CX Type 2 (4x2)M/T</t>
  </si>
  <si>
    <t>1462</t>
  </si>
  <si>
    <t>MHYHDC61TPJ242077</t>
  </si>
  <si>
    <t>K15BT1562664</t>
  </si>
  <si>
    <t>KH 8230 PW</t>
  </si>
  <si>
    <t>U01952906M</t>
  </si>
  <si>
    <t>BELANJA MODAL KENDARAAN DINAS OPRASIONAL/LAPANGAN ( PICK UP SINGLE CABIN</t>
  </si>
  <si>
    <t>Honda Win  / Honda Win</t>
  </si>
  <si>
    <t>MH1HABA15XK041820</t>
  </si>
  <si>
    <t>HABAE-1041477</t>
  </si>
  <si>
    <t>KH 5444 AY</t>
  </si>
  <si>
    <t>PPL WKPP Desa Kuala Pembuang 1 Nopol lama KH 5724 AH</t>
  </si>
  <si>
    <t>Honda Mega pro  / Honda Mega pro</t>
  </si>
  <si>
    <t>B 6589 SQA</t>
  </si>
  <si>
    <t>HONDA GL 15 B1CF/VERZA 150 CW / HONDA GL 15 B1CF/VERZA 150 CW</t>
  </si>
  <si>
    <t>MH1KC5211DK033225</t>
  </si>
  <si>
    <t>KC52E1033137</t>
  </si>
  <si>
    <t>KH 4181 PY</t>
  </si>
  <si>
    <t>K 05633494 M</t>
  </si>
  <si>
    <t>KAWASAKI KLX150S/HITAM / KAWASAKI KLX150S/HITAM</t>
  </si>
  <si>
    <t>besi</t>
  </si>
  <si>
    <t>MH4LX150CEJP13026</t>
  </si>
  <si>
    <t>LX150CEPH3366</t>
  </si>
  <si>
    <t>KH 4272 PY</t>
  </si>
  <si>
    <t>L04350131M</t>
  </si>
  <si>
    <t>SYARIF ANGGAWI, S.Hut Kepala UPTD Perbenihan Rungau Raya</t>
  </si>
  <si>
    <t>MH1JFS119FK080959</t>
  </si>
  <si>
    <t>JFS1E1079123</t>
  </si>
  <si>
    <t>KH 4375 PY</t>
  </si>
  <si>
    <t>L 06931750 M</t>
  </si>
  <si>
    <t>RENSI SINTA NARULITA SIREGAR, S.St.PI ( Kabid Distribusi dan Kerawanan Pangan )</t>
  </si>
  <si>
    <t>MH1JBN112FK076409</t>
  </si>
  <si>
    <t>JBN1E1074598</t>
  </si>
  <si>
    <t>KH 4399 PY</t>
  </si>
  <si>
    <t>L 06937007 M</t>
  </si>
  <si>
    <t>JUMENNI SUPIANA PPL KEC. SERUYAN TENGAH Mutasi ( KH 4399 PY )</t>
  </si>
  <si>
    <t>Honda / Supra X 125 CW / Honda / Supra X 125 CW</t>
  </si>
  <si>
    <t>Besi / Plastik</t>
  </si>
  <si>
    <t>0</t>
  </si>
  <si>
    <t>MH1JBP11XLK802850</t>
  </si>
  <si>
    <t>JBP1E180856</t>
  </si>
  <si>
    <t>Kendaraan Operasional Kepala Dinas ( Belum ada BPKB ) Surat Keterangan dari PT. TRIO MOTOR  SAMPIT No: 24 / TM / IV / 2021 tanggal 5 April 2021</t>
  </si>
  <si>
    <t>MH1JBP11ZLK810814</t>
  </si>
  <si>
    <t>JBP1E1810741</t>
  </si>
  <si>
    <t>Kendaraan Operasional Sekretaris Dinas ( Belum ada BPKB )  Surat Keterangan dari PT. TRIO MOTOR  SAMPIT No: 24 / TM / IV / 2021 tanggal 5 April 2021</t>
  </si>
  <si>
    <t>Yamaha  YT 115  / Yamaha  YT 115</t>
  </si>
  <si>
    <t>115</t>
  </si>
  <si>
    <t>MH33WL003SK107741</t>
  </si>
  <si>
    <t>3HB-121095</t>
  </si>
  <si>
    <t>KH 785 FA</t>
  </si>
  <si>
    <t>Anak kandang Ds. Kartika Bhakti</t>
  </si>
  <si>
    <t>Yamaha  RXS  / Yamaha  RXS</t>
  </si>
  <si>
    <t>MH33WL003SK1107756</t>
  </si>
  <si>
    <t>3HB17121073</t>
  </si>
  <si>
    <t>KH 5019 LA</t>
  </si>
  <si>
    <t>BPP Tumbang manjul</t>
  </si>
  <si>
    <t>MH1HABA19K041870</t>
  </si>
  <si>
    <t>HABAE-1042024</t>
  </si>
  <si>
    <t>KH 5745 AH</t>
  </si>
  <si>
    <t>Gudang BPP Kuala Pembuang</t>
  </si>
  <si>
    <t>MH1HABA11XK041782</t>
  </si>
  <si>
    <t>HABAE-1042022</t>
  </si>
  <si>
    <t>KH 5727 AH</t>
  </si>
  <si>
    <t>MH1HABA18K042203</t>
  </si>
  <si>
    <t>HABAE-1042178</t>
  </si>
  <si>
    <t>KH 5422 AY</t>
  </si>
  <si>
    <t>Penyuluh (nopol lama KH 5771 AH)</t>
  </si>
  <si>
    <t>MH1HABA11XK042009</t>
  </si>
  <si>
    <t>HABAE-1041893</t>
  </si>
  <si>
    <t>KH 5754 AH</t>
  </si>
  <si>
    <t>Honda  Win  / Honda  Win</t>
  </si>
  <si>
    <t>MH1HABA11XK041684</t>
  </si>
  <si>
    <t>HABAE-1041829</t>
  </si>
  <si>
    <t>KH 5751 AH</t>
  </si>
  <si>
    <t>MH1HABA10XK040753</t>
  </si>
  <si>
    <t>HABAE-1041197</t>
  </si>
  <si>
    <t>KH 5766 AH</t>
  </si>
  <si>
    <t>Gudang BPP Kuala pembuang</t>
  </si>
  <si>
    <t>HA019-10571</t>
  </si>
  <si>
    <t>HABAE-1003522</t>
  </si>
  <si>
    <t>KH 561 FA</t>
  </si>
  <si>
    <t>MH1HABD194K049507</t>
  </si>
  <si>
    <t>HABDE-1049073</t>
  </si>
  <si>
    <t>KH 3062 PM</t>
  </si>
  <si>
    <t>Penyuluh</t>
  </si>
  <si>
    <t>MH1HABD144K049558</t>
  </si>
  <si>
    <t>HABDE1049252</t>
  </si>
  <si>
    <t>KH 2736 PY</t>
  </si>
  <si>
    <t>Tukang Kebun distanak (nopol lama KH 3060 PM)</t>
  </si>
  <si>
    <t>MH1HABD1X5K105861</t>
  </si>
  <si>
    <t>HABDE-1106181</t>
  </si>
  <si>
    <t>KH 2023 PY</t>
  </si>
  <si>
    <t>anak kandang</t>
  </si>
  <si>
    <t>MH1HABD1X5K10506</t>
  </si>
  <si>
    <t>HABDE-11066181</t>
  </si>
  <si>
    <t>KH 2037 PY</t>
  </si>
  <si>
    <t>Penjaga kantor BBP Hortikultura</t>
  </si>
  <si>
    <t>KH 6745 PM</t>
  </si>
  <si>
    <t>MH1HB95R11405</t>
  </si>
  <si>
    <t>KH 3063 PM</t>
  </si>
  <si>
    <t>MH1HABA16XK042166</t>
  </si>
  <si>
    <t>HABAE-1042112</t>
  </si>
  <si>
    <t>KH 5779 AH</t>
  </si>
  <si>
    <t>Kaisar   / Kaisar</t>
  </si>
  <si>
    <t>MKFS15MK57J011566</t>
  </si>
  <si>
    <t>162FMJ86B01785</t>
  </si>
  <si>
    <t>B 6271 SQF</t>
  </si>
  <si>
    <t>MKFS15MK57J012136</t>
  </si>
  <si>
    <t>162FMJ86B02475</t>
  </si>
  <si>
    <t>B 6281 SQF</t>
  </si>
  <si>
    <t>MKFS15MK57J010131</t>
  </si>
  <si>
    <t>162FMJ86B02654</t>
  </si>
  <si>
    <t>B 6570 SQD</t>
  </si>
  <si>
    <t>MKFS15MK57J0011906</t>
  </si>
  <si>
    <t>162FMJ86B03157</t>
  </si>
  <si>
    <t>B 6978 SQB</t>
  </si>
  <si>
    <t>MKFS15MK57J011803</t>
  </si>
  <si>
    <t>162FMJ86B02379</t>
  </si>
  <si>
    <t>B 6569 SQF</t>
  </si>
  <si>
    <t>MKFS15MK57J012150</t>
  </si>
  <si>
    <t>162FMJ86B03265</t>
  </si>
  <si>
    <t>MKFS15MK57J012098</t>
  </si>
  <si>
    <t>162FMJ86B023217</t>
  </si>
  <si>
    <t>B 6680 SQF</t>
  </si>
  <si>
    <t>Honda WIN   / Honda WIN</t>
  </si>
  <si>
    <t>Hibah Kotim</t>
  </si>
  <si>
    <t xml:space="preserve"> Honda WIN  /  Honda WIN</t>
  </si>
  <si>
    <t xml:space="preserve"> KH 5771 A</t>
  </si>
  <si>
    <t>KH 5724 AH</t>
  </si>
  <si>
    <t>Honda WIN  / Honda WIN</t>
  </si>
  <si>
    <t xml:space="preserve"> KH 5754 A</t>
  </si>
  <si>
    <t>KH 5721 AH</t>
  </si>
  <si>
    <t>WIN   / WIN</t>
  </si>
  <si>
    <t>KH 5747 AH</t>
  </si>
  <si>
    <t>KH 5738 AH</t>
  </si>
  <si>
    <t>Honda Supra fit  / Honda Supra fit</t>
  </si>
  <si>
    <t>MH1JB52166K172784</t>
  </si>
  <si>
    <t>JB52E1172411</t>
  </si>
  <si>
    <t>B 6050 SQB</t>
  </si>
  <si>
    <t>Honda NF 125 SD  / Honda NF 125 SD</t>
  </si>
  <si>
    <t>MH1JB51166K853352</t>
  </si>
  <si>
    <t>JB51E1846753</t>
  </si>
  <si>
    <t>B 6852 SQE</t>
  </si>
  <si>
    <t>Honda Supra X 125 R / Honda Supra X 125 R</t>
  </si>
  <si>
    <t>MH1JB9127AK404075</t>
  </si>
  <si>
    <t>JB91E2398729</t>
  </si>
  <si>
    <t>KH 4022 PY</t>
  </si>
  <si>
    <t>H-07446510M</t>
  </si>
  <si>
    <t>MILAWATI, SP ( Kasi Penganekaragaman Konsumsi Pangan )</t>
  </si>
  <si>
    <t>MH1JB9125AK403930</t>
  </si>
  <si>
    <t>JB91E2398780</t>
  </si>
  <si>
    <t>KH 4020 PY</t>
  </si>
  <si>
    <t>H-07446503M</t>
  </si>
  <si>
    <t>SISKA WANTI, SP ( Kepala BPP Seruyan Hilir )</t>
  </si>
  <si>
    <t>Honda Blade NF11C1CM/T / Honda Blade NF11C1CM/T</t>
  </si>
  <si>
    <t>MH1JBH11KCK320661</t>
  </si>
  <si>
    <t>JBH1E131584</t>
  </si>
  <si>
    <t>KH 4156 PY</t>
  </si>
  <si>
    <t>J 04695053M</t>
  </si>
  <si>
    <t>KHULATUL ALIMAH, S.Pi ( KASI ALSINTAN )</t>
  </si>
  <si>
    <t>Honda Supra NF 12A1C / Honda Supra NF 12A1C</t>
  </si>
  <si>
    <t>MH1JBF111CK053351</t>
  </si>
  <si>
    <t>JBF1E1052762</t>
  </si>
  <si>
    <t>KH 4113 PY</t>
  </si>
  <si>
    <t>J-01783559</t>
  </si>
  <si>
    <t>AHMAD RIPANI (Mantri Tani Kec. Hanau )</t>
  </si>
  <si>
    <t>MH1JBF116CK053250</t>
  </si>
  <si>
    <t>JBF1E1052744</t>
  </si>
  <si>
    <t>KH 4111 PY</t>
  </si>
  <si>
    <t>J-01783557</t>
  </si>
  <si>
    <t>AMIR, SP ( KABID SARANA, PRASARANA DAN PENYULUHAN )</t>
  </si>
  <si>
    <t>MH1JBF113CK053321</t>
  </si>
  <si>
    <t>JBF1E1052838</t>
  </si>
  <si>
    <t>KH 4107 PY</t>
  </si>
  <si>
    <t>J-01783553</t>
  </si>
  <si>
    <t>LAILA KUSUMA FITRI, S.Pt.,M.Si ( KASI KEAMANAN PANGAN )</t>
  </si>
  <si>
    <t>MH1JBF111CK053253</t>
  </si>
  <si>
    <t>JBF1E1052767</t>
  </si>
  <si>
    <t>KH 4106 PY</t>
  </si>
  <si>
    <t>J-01783552</t>
  </si>
  <si>
    <t>Drh. RITA NINSIH ( KABID PETERNAKAN )</t>
  </si>
  <si>
    <t>MH1JBF118CK057624</t>
  </si>
  <si>
    <t>JBF1E1057065</t>
  </si>
  <si>
    <t>KH 4109 PY</t>
  </si>
  <si>
    <t>J-01783555</t>
  </si>
  <si>
    <t>SRI WINARTI, A.Md ( KASUBBAG KEUANGAN )</t>
  </si>
  <si>
    <t>MH1JBF113CK053349</t>
  </si>
  <si>
    <t>JBF1E1052746</t>
  </si>
  <si>
    <t>KH 4110 PY</t>
  </si>
  <si>
    <t>J-01783556</t>
  </si>
  <si>
    <t>AISYIAH, S.TP ( KABID KONSUMSI DAN KEAMANAN PANGAN )</t>
  </si>
  <si>
    <t>MH1JBF115CK054180</t>
  </si>
  <si>
    <t>JBF1E1053562</t>
  </si>
  <si>
    <t>KH 4108 PY</t>
  </si>
  <si>
    <t>J-01783554</t>
  </si>
  <si>
    <t>JAMILAH, SP ( KASI PENYULUHAN )</t>
  </si>
  <si>
    <t>MH1JBF113CK053996</t>
  </si>
  <si>
    <t>JBF1E1053278</t>
  </si>
  <si>
    <t>KH 4116 PY</t>
  </si>
  <si>
    <t>J-01783545</t>
  </si>
  <si>
    <t>YUNI MULYANTI, SP ( KASUBBAG PERENCANAAN )</t>
  </si>
  <si>
    <t>MH1JBF11XCK053946</t>
  </si>
  <si>
    <t>JBF1E1053299</t>
  </si>
  <si>
    <t>KH 4117 PY</t>
  </si>
  <si>
    <t>J-01783546</t>
  </si>
  <si>
    <t>MAHRUDIYANI, A.Md ( STAF BIDANG SAPRAS )</t>
  </si>
  <si>
    <t>000063</t>
  </si>
  <si>
    <t>MH1JBF116CK053345</t>
  </si>
  <si>
    <t>JBF1E1052763</t>
  </si>
  <si>
    <t>KH 4115 PY</t>
  </si>
  <si>
    <t>J-01783544</t>
  </si>
  <si>
    <t>PARISSA SWASTI Rn, SP ( Kasi Produksi Tanaman Pangan dan Hortikultura )</t>
  </si>
  <si>
    <t>MH1JBF118CK052259</t>
  </si>
  <si>
    <t>JBF1E1051725</t>
  </si>
  <si>
    <t>KH 4154 PY</t>
  </si>
  <si>
    <t>J-02460183</t>
  </si>
  <si>
    <t>RAHMAN, S.ST ( Kepala BPP Danau Seluluk )</t>
  </si>
  <si>
    <t>MH1JBF117CK052298</t>
  </si>
  <si>
    <t>JBF1E1051740</t>
  </si>
  <si>
    <t>KH 4114 PY</t>
  </si>
  <si>
    <t>J-01783560</t>
  </si>
  <si>
    <t xml:space="preserve"> RUSNANIAH, SP ( KASI KERAWANAN PANGAN )</t>
  </si>
  <si>
    <t>Honda  New Megapro D / Honda  New Megapro D</t>
  </si>
  <si>
    <t>MH1KC2114CK069733</t>
  </si>
  <si>
    <t>KC21E1071353</t>
  </si>
  <si>
    <t>KH 4123 PY</t>
  </si>
  <si>
    <t>J-01783537</t>
  </si>
  <si>
    <t>APDIANTO, S.ST (Kepala BPP Tumbang manjul )</t>
  </si>
  <si>
    <t>MH1KC2118CK069153</t>
  </si>
  <si>
    <t>KC21E1070713</t>
  </si>
  <si>
    <t>KH 4136 PY</t>
  </si>
  <si>
    <t>J-01783567</t>
  </si>
  <si>
    <t>GUDANG DKPP</t>
  </si>
  <si>
    <t>MH1KC2111CK069382</t>
  </si>
  <si>
    <t>KC21E1070998</t>
  </si>
  <si>
    <t>KH 4128 PY</t>
  </si>
  <si>
    <t>J-01783538</t>
  </si>
  <si>
    <t>WAWAN SETIAWAN, A.Md ( Mantri Tani Kec. Danau sembuluh )</t>
  </si>
  <si>
    <t>MH1KC2116CK072455</t>
  </si>
  <si>
    <t>KC21E1074108</t>
  </si>
  <si>
    <t>KH 4127 PY</t>
  </si>
  <si>
    <t>J-01783541</t>
  </si>
  <si>
    <t>ELIAE, A.Md ( Kepala BPP Seruyan Raya )</t>
  </si>
  <si>
    <t>MH1KC2112CK069102</t>
  </si>
  <si>
    <t>KC21E1070865</t>
  </si>
  <si>
    <t>KH 4122 PY</t>
  </si>
  <si>
    <t>J-01783551</t>
  </si>
  <si>
    <t>MUJIANSYAH, S.Pt ( Kepala Puskeswan Hanau )</t>
  </si>
  <si>
    <t>MH1KC2115CK072446</t>
  </si>
  <si>
    <t>KC21E1074052</t>
  </si>
  <si>
    <t>KH 4121 PY</t>
  </si>
  <si>
    <t>J-01783550</t>
  </si>
  <si>
    <t>ARSEL, SP ( Kasi Perbenihan dan Perlindungan )</t>
  </si>
  <si>
    <t>MH1KC2111CK072461</t>
  </si>
  <si>
    <t>KC21E1073981</t>
  </si>
  <si>
    <t>KH 4133 PY</t>
  </si>
  <si>
    <t>J-01783562</t>
  </si>
  <si>
    <t>MUHRI, A.Md ( KASI JALAN, AIR DAN IRIGASI )</t>
  </si>
  <si>
    <t>MH1KC2118CK072540</t>
  </si>
  <si>
    <t>KC21E1074199</t>
  </si>
  <si>
    <t>KH 4126 PY</t>
  </si>
  <si>
    <t>J-01783540</t>
  </si>
  <si>
    <t>ARTEMAS, SP ( KEPALA BBP PADI KUALA PEMBUANG )</t>
  </si>
  <si>
    <t>MH1KC2119CK072112</t>
  </si>
  <si>
    <t>KC21E1073662</t>
  </si>
  <si>
    <t>KH 4132 PY</t>
  </si>
  <si>
    <t>J-01783563</t>
  </si>
  <si>
    <t>ABDUL HAMID, S.Sos (Kasi Kesmavet, Pengolahan dan Pemasaran )</t>
  </si>
  <si>
    <t>MH1KC2112CK072419</t>
  </si>
  <si>
    <t>KC21E1074009</t>
  </si>
  <si>
    <t>KH 4118 PY</t>
  </si>
  <si>
    <t>J-01783547</t>
  </si>
  <si>
    <t>SUPRAPTO PURWOLAKSONO,SE ( KASUBBAG UMUM )</t>
  </si>
  <si>
    <t>MH1KC2119CK072532</t>
  </si>
  <si>
    <t>KC21E1074219</t>
  </si>
  <si>
    <t>KH 4135 PY</t>
  </si>
  <si>
    <t>J-01783565</t>
  </si>
  <si>
    <t>AHMADI ( Mantri Tani Kec. Danau Seluluk )</t>
  </si>
  <si>
    <t>MH1KC2112CK070007</t>
  </si>
  <si>
    <t>KC21E1071736</t>
  </si>
  <si>
    <t>KH 4119 PY</t>
  </si>
  <si>
    <t>J-01783548</t>
  </si>
  <si>
    <t>MUHAMMAD SAWAL, S.ST ( KABID PRODUKSI TANAMAN PANGAN DAN HORTIKULTURA )</t>
  </si>
  <si>
    <t>MH1KC211XCK072135</t>
  </si>
  <si>
    <t>KC21E1073689</t>
  </si>
  <si>
    <t>KH 4140 PY</t>
  </si>
  <si>
    <t>J-01783566</t>
  </si>
  <si>
    <t>RUSTAM ( PENGURUS BARANG )</t>
  </si>
  <si>
    <t>000082 s/d 000083</t>
  </si>
  <si>
    <t>HONDA / CRF</t>
  </si>
  <si>
    <t>BERITA ACARA SERAH TERIMA BARANG 2 UNIT SEPEDA MOTOR</t>
  </si>
  <si>
    <t>000001 s/d 000002</t>
  </si>
  <si>
    <t>Yamaha   / Yamaha</t>
  </si>
  <si>
    <t>Lain-lain (Tosa sepeda motor)</t>
  </si>
  <si>
    <t>MH4LX150FFJP04606</t>
  </si>
  <si>
    <t>LX150CEPP1608</t>
  </si>
  <si>
    <t>KH.4445 PY</t>
  </si>
  <si>
    <t>L 06971032 M</t>
  </si>
  <si>
    <t>MH4LX150FFJP04611</t>
  </si>
  <si>
    <t>LX150CEPP1054</t>
  </si>
  <si>
    <t>KH 4447 PY</t>
  </si>
  <si>
    <t>L 06971034 M</t>
  </si>
  <si>
    <t>DARMADIANSYAHNUR ( STAF BIDANG SAPRAS )</t>
  </si>
  <si>
    <t>VIAR New Karya 150 RL / VIAR New Karya 150 RL</t>
  </si>
  <si>
    <t>Pembayaran Pengadaan Kendaraan Bermotor Beroda Tiga</t>
  </si>
  <si>
    <t>ISUZU NMR 71T HD 6,1 4*2 Dump Sampah 7m3 71T HD 6, / ISUZU NMR 71T HD 6,1 4*2 Dump Sampah 7m3 71T HD</t>
  </si>
  <si>
    <t>4.570 cc</t>
  </si>
  <si>
    <t>MHCNMR71HJJ092033</t>
  </si>
  <si>
    <t>B092033</t>
  </si>
  <si>
    <t>KH 8180 PW</t>
  </si>
  <si>
    <t>N-07850566</t>
  </si>
  <si>
    <t>Belanja Modal Pengadaan Dump Truck Pengangkut Sampah</t>
  </si>
  <si>
    <t>Hino / Dutro 136 HD ARM ROLL</t>
  </si>
  <si>
    <t>MJECCB2F1N5006180</t>
  </si>
  <si>
    <t>NO4CWYJ15759</t>
  </si>
  <si>
    <t>KH 8217 PW</t>
  </si>
  <si>
    <t>S 07226654 M</t>
  </si>
  <si>
    <t>HINO / XZU349R-HKMTBD3 (4X2) M/T / RANSUS LTRUCK SAMPAH HIJAU</t>
  </si>
  <si>
    <t>MJECCB2F0P5016492</t>
  </si>
  <si>
    <t>N04CWYJ26558</t>
  </si>
  <si>
    <t>KH 8233 PW</t>
  </si>
  <si>
    <t>U01970099M</t>
  </si>
  <si>
    <t>BELANJA MODAL KENDARAAN BERMOTOR KHUSUS (DUMP TRUCK)</t>
  </si>
  <si>
    <t>02.02.01.01.004</t>
  </si>
  <si>
    <t>Multi Purpose Vehicle (MPV)</t>
  </si>
  <si>
    <t>INNOVA ZENIX 2.0 G HYBRID CVT (BLACK METALIC) / MVP</t>
  </si>
  <si>
    <t>MHFABAAA5S0034230</t>
  </si>
  <si>
    <t>M20AND02961</t>
  </si>
  <si>
    <t>KH 1348 PU</t>
  </si>
  <si>
    <t>V04318811M</t>
  </si>
  <si>
    <t>TOYOTA INNOVA ZENIX 2.0 G HYBRID CVT (BLACK METALIC) (KH 1348 PU) MOBIL JABATAN KADIS</t>
  </si>
  <si>
    <t>HINO 300 DUTRO 130 HD 6 PS DUMP TRUK MEGA TRUKINDO / HINO 300 DUTRO 130 HD 6 PS DUMP TRUK MEGA TRUKI</t>
  </si>
  <si>
    <t>MJEC1JG43H5162355</t>
  </si>
  <si>
    <t>W04DTRR52739</t>
  </si>
  <si>
    <t>KH 8174 PW</t>
  </si>
  <si>
    <t>M 12837188 M</t>
  </si>
  <si>
    <t>DLH</t>
  </si>
  <si>
    <t>MJEC1JG43H5162356</t>
  </si>
  <si>
    <t>W04DTRR52740</t>
  </si>
  <si>
    <t>KH 8173 PW</t>
  </si>
  <si>
    <t>M 12837187 M</t>
  </si>
  <si>
    <t>Toyota/Hilux Pick Up 2.0 M/T / Toyota/Hilux Pick Up 2.0 M/T</t>
  </si>
  <si>
    <t>MH0AW12G80011422</t>
  </si>
  <si>
    <t>1TR6601952</t>
  </si>
  <si>
    <t>KH 8030 PW</t>
  </si>
  <si>
    <t>SK. Bupati tentang penetapan pencatatan aset tetap peralatan dan mesin kendaraan dinas roda empat pada daftar barang milik daerah dinas lingkungan hidup kabupaten seruyan tahun anggaran 2021</t>
  </si>
  <si>
    <t>SUZUKI GC 415 T PICK UP / SUZUKI GC 415 T PICK UP</t>
  </si>
  <si>
    <t>MHYGDN41TH1443035</t>
  </si>
  <si>
    <t>G 15AD404288</t>
  </si>
  <si>
    <t>KH 8165 PW</t>
  </si>
  <si>
    <t>M-12814594</t>
  </si>
  <si>
    <t>Toyota  / Hilux Single Cabin</t>
  </si>
  <si>
    <t>1393 cc</t>
  </si>
  <si>
    <t>MRODB8CB4N0112638</t>
  </si>
  <si>
    <t>2GD1272644</t>
  </si>
  <si>
    <t>KH 8215 PW</t>
  </si>
  <si>
    <t>S 07222253 M</t>
  </si>
  <si>
    <t>Belanja Modal Kendaraan Bermotor Angkutan Barang (Mobil Pick Up)</t>
  </si>
  <si>
    <t>TOYOTA HILUX / DOUBLE CABIN</t>
  </si>
  <si>
    <t>MR0BB3CD5P5812881</t>
  </si>
  <si>
    <t>2GD1489672</t>
  </si>
  <si>
    <t>KH 8234 PW</t>
  </si>
  <si>
    <t>U01970171M</t>
  </si>
  <si>
    <t>BELANJA MODAL KENDARAAN BERMOTOR ANGKUTAN BARANG (MOBIL PICK UP DOUBLE CABIN+ACCESORIS)</t>
  </si>
  <si>
    <t>MH1KC526FK255715</t>
  </si>
  <si>
    <t>KC52E1253621</t>
  </si>
  <si>
    <t>KH 4372 PY</t>
  </si>
  <si>
    <t>L-069630541 M</t>
  </si>
  <si>
    <t>Dinas Lingkungan Hidup</t>
  </si>
  <si>
    <t>HONDA NF 11B2DA12 M/T REVO SPOKE / HONDA NF 11B2DA12 M/T REVO SPOKE</t>
  </si>
  <si>
    <t>MH1JBE212DK272247</t>
  </si>
  <si>
    <t>JBE2E1266199</t>
  </si>
  <si>
    <t>KH 4179 PY</t>
  </si>
  <si>
    <t>K-05623356 M</t>
  </si>
  <si>
    <t>HONDA SPACY FI / HONDA SPACY FI</t>
  </si>
  <si>
    <t>MH1JFA118EK220105</t>
  </si>
  <si>
    <t>JFA1E1215770</t>
  </si>
  <si>
    <t>KH 4335 PY</t>
  </si>
  <si>
    <t>L 04355423 M</t>
  </si>
  <si>
    <t>Dinas Lingkungan HIdup</t>
  </si>
  <si>
    <t>MH1KC5215EK200493</t>
  </si>
  <si>
    <t>KC52E1198492</t>
  </si>
  <si>
    <t>KH 4292 PY</t>
  </si>
  <si>
    <t>L 04354114 M</t>
  </si>
  <si>
    <t>MH1JBE216CK175180</t>
  </si>
  <si>
    <t>JBE2E1172503</t>
  </si>
  <si>
    <t>KH 4099 PY</t>
  </si>
  <si>
    <t>I-10733003 M</t>
  </si>
  <si>
    <t>MH1JBE21XDK270004</t>
  </si>
  <si>
    <t>JBE2E1266143</t>
  </si>
  <si>
    <t>KH 4177 PY</t>
  </si>
  <si>
    <t>K-05623358 M</t>
  </si>
  <si>
    <t>MH1JBH11XCK320644</t>
  </si>
  <si>
    <t>JBH1E1316094</t>
  </si>
  <si>
    <t>KH 4155 PY</t>
  </si>
  <si>
    <t>J 04695052 M</t>
  </si>
  <si>
    <t>KAWASAKI KLX150/HIJAU / KAWASAKI KLX150/HIJAU</t>
  </si>
  <si>
    <t>MH4LX150CEJP10928</t>
  </si>
  <si>
    <t>LX150CEPG8733</t>
  </si>
  <si>
    <t>KH 4275 PY</t>
  </si>
  <si>
    <t>L04350134M</t>
  </si>
  <si>
    <t>MH1JFT110HK087162</t>
  </si>
  <si>
    <t>JFT1E 1086521</t>
  </si>
  <si>
    <t>KH 4609 PY</t>
  </si>
  <si>
    <t>M 12805850 M</t>
  </si>
  <si>
    <t>Honda / Beat Street</t>
  </si>
  <si>
    <t>MH1JM8217NK703050</t>
  </si>
  <si>
    <t>JM82E1701164</t>
  </si>
  <si>
    <t>KH 5199 PY</t>
  </si>
  <si>
    <t>T-02690772</t>
  </si>
  <si>
    <t>MH1JM8215NK703046</t>
  </si>
  <si>
    <t>JM82E1701160</t>
  </si>
  <si>
    <t>KH 5198 PY</t>
  </si>
  <si>
    <t>T-02690771</t>
  </si>
  <si>
    <t>MH1JM8217NK703081</t>
  </si>
  <si>
    <t>JM82E1701201</t>
  </si>
  <si>
    <t>KH 5201 PY</t>
  </si>
  <si>
    <t>T-02690773</t>
  </si>
  <si>
    <t>Kawasaki / KLX - 230 SE</t>
  </si>
  <si>
    <t>230</t>
  </si>
  <si>
    <t>MH4LX230PNJP00647</t>
  </si>
  <si>
    <t>LX230AEP37264</t>
  </si>
  <si>
    <t>KH 5189 PY</t>
  </si>
  <si>
    <t>S-07229295 M</t>
  </si>
  <si>
    <t>MH4LX230PNJP00888</t>
  </si>
  <si>
    <t>LX230AEP38004</t>
  </si>
  <si>
    <t>KH 5190 PY</t>
  </si>
  <si>
    <t>S-07229296 M</t>
  </si>
  <si>
    <t>MH4LX230PNJP00954</t>
  </si>
  <si>
    <t>LX230AEP36336</t>
  </si>
  <si>
    <t>KH 5191 PY</t>
  </si>
  <si>
    <t>S-07229297 M</t>
  </si>
  <si>
    <t>MH4LX230PNJP00967</t>
  </si>
  <si>
    <t>LX230AEP36324</t>
  </si>
  <si>
    <t>KH 5192 PY</t>
  </si>
  <si>
    <t>S-07229298 M</t>
  </si>
  <si>
    <t>MH4LX230PNJP00323</t>
  </si>
  <si>
    <t>LX230AEP33494</t>
  </si>
  <si>
    <t>KH 5188 PY</t>
  </si>
  <si>
    <t>S-07229294 M</t>
  </si>
  <si>
    <t>HONDA PCX 160 ABS / V1J02Q50L1 M/T</t>
  </si>
  <si>
    <t>157</t>
  </si>
  <si>
    <t>MH1KF8111PK261692</t>
  </si>
  <si>
    <t>KF81E1262098</t>
  </si>
  <si>
    <t>KH 5233 PY</t>
  </si>
  <si>
    <t>U01968710M</t>
  </si>
  <si>
    <t>BELANJA MODAL KENDARAAN BERMOTOR BERODA 2 (DUA)</t>
  </si>
  <si>
    <t>MH1KF8112PK261682</t>
  </si>
  <si>
    <t>KF81E1261986</t>
  </si>
  <si>
    <t>KH 5237 PY</t>
  </si>
  <si>
    <t>U01968714M</t>
  </si>
  <si>
    <t>Honda Vario 160 ABS / L1K02Q33L1 A/T</t>
  </si>
  <si>
    <t>MH1KFA116PK198337</t>
  </si>
  <si>
    <t>KFA1E1199091</t>
  </si>
  <si>
    <t>KH 5260 PY</t>
  </si>
  <si>
    <t>U01974127M</t>
  </si>
  <si>
    <t>MH1KFA113PK198103</t>
  </si>
  <si>
    <t>KFA1E1198103</t>
  </si>
  <si>
    <t>KH 5261 PY</t>
  </si>
  <si>
    <t>U01974128M</t>
  </si>
  <si>
    <t>Honda Vario 160 / 160 Cbs Type Active Matte Black</t>
  </si>
  <si>
    <t>MH1KF0113RK804352</t>
  </si>
  <si>
    <t>KF01E1803254</t>
  </si>
  <si>
    <t>KH 5392 PY</t>
  </si>
  <si>
    <t>V-04730783</t>
  </si>
  <si>
    <t>Honda Vario 160cc Type Cbs Warna Active Matte Black</t>
  </si>
  <si>
    <t>MH1KF011XRK807961</t>
  </si>
  <si>
    <t>KF01E1806743</t>
  </si>
  <si>
    <t>KH 5393 PY</t>
  </si>
  <si>
    <t>V-04730784</t>
  </si>
  <si>
    <t>Kawasaki D-Tracker 150 New  Trail / Kawasaki D-Tracker 150 New  Trail</t>
  </si>
  <si>
    <t>144</t>
  </si>
  <si>
    <t>MH4LX150HHJP29835</t>
  </si>
  <si>
    <t>LX150CEW65474</t>
  </si>
  <si>
    <t>KH 4638 PY</t>
  </si>
  <si>
    <t>M-12819616 M</t>
  </si>
  <si>
    <t>Belanja Modal Kendaraan Roda 2 (dua) Trail</t>
  </si>
  <si>
    <t>MH4LX150HHJP30275</t>
  </si>
  <si>
    <t>LX150CEW67839</t>
  </si>
  <si>
    <t>KH 4636 PY</t>
  </si>
  <si>
    <t>M-12819614 M</t>
  </si>
  <si>
    <t>MH4LX150HHJP30284</t>
  </si>
  <si>
    <t>LX150CEW67590</t>
  </si>
  <si>
    <t>KH 4639 PY</t>
  </si>
  <si>
    <t>M-12819617 M</t>
  </si>
  <si>
    <t>MH4LX150HHJP29832</t>
  </si>
  <si>
    <t>LX150CEW65461</t>
  </si>
  <si>
    <t>KH 4637 PY</t>
  </si>
  <si>
    <t>M-12819615 M</t>
  </si>
  <si>
    <t>MH4LX150HHJP29833</t>
  </si>
  <si>
    <t>LX150CEW65464</t>
  </si>
  <si>
    <t>KH 4635 PY</t>
  </si>
  <si>
    <t>M-12819613 M</t>
  </si>
  <si>
    <t>02.02.01.06.022</t>
  </si>
  <si>
    <t>Truck Sampah</t>
  </si>
  <si>
    <t>Truck Compactor / HINO 2005</t>
  </si>
  <si>
    <t>MJECCB2FXS5027931</t>
  </si>
  <si>
    <t>N04CWYJ38117</t>
  </si>
  <si>
    <t>KH 8294 TW</t>
  </si>
  <si>
    <t>Truck Compactor, spek (KH 8294 TW, warna hijau) Operasional Pengelolaan Sampah</t>
  </si>
  <si>
    <t>Truck Arm Roll / ISUZU 2025 ARC WHITE</t>
  </si>
  <si>
    <t>MHCNMR81HSJ130279</t>
  </si>
  <si>
    <t>4HL1G130279</t>
  </si>
  <si>
    <t>KH 8266 TW</t>
  </si>
  <si>
    <t>AA00309184</t>
  </si>
  <si>
    <t>Truck Arm Roll, spek (KH 8266 TW, warna hijau) Operasional Pengelolaan Sampah</t>
  </si>
  <si>
    <t>Dump Truck / ISUZU 2025 PUTIH KOMBINASI</t>
  </si>
  <si>
    <t>MHCNMR81HSJ130465</t>
  </si>
  <si>
    <t>4HL1G130465</t>
  </si>
  <si>
    <t>KH 8292 TW</t>
  </si>
  <si>
    <t>AA00309601</t>
  </si>
  <si>
    <t>Dump Truck, spek (KH 8292 TW, warna hijau) Operasional Pengelolaan Sampah</t>
  </si>
  <si>
    <t>VIAR/V 30 R Roda Tiga / VIAR/V 30 R Roda Tiga</t>
  </si>
  <si>
    <t>300 cc</t>
  </si>
  <si>
    <t>MGRVR30TAKL101035</t>
  </si>
  <si>
    <t>YX300FMG19100928</t>
  </si>
  <si>
    <t>KH 4894 PY</t>
  </si>
  <si>
    <t>Q00402969M</t>
  </si>
  <si>
    <t>Kendaraan Roda Tiga</t>
  </si>
  <si>
    <t>VIAR / NEW KARYA 200 L</t>
  </si>
  <si>
    <t>MGRVR20TAPL202680</t>
  </si>
  <si>
    <t>YX200FMG23211549</t>
  </si>
  <si>
    <t>KH 6502 XX</t>
  </si>
  <si>
    <t>Q-M</t>
  </si>
  <si>
    <t>Belanja Modal Pengadaan Kendaraan Beroda Tiga</t>
  </si>
  <si>
    <t>TOYOTA KIJANG INOVA / TOYOTA KIJANG INOVA</t>
  </si>
  <si>
    <t>1998cc</t>
  </si>
  <si>
    <t>MHFXW42GOA2160923</t>
  </si>
  <si>
    <t>1TR-6925877</t>
  </si>
  <si>
    <t>KH 1097 PU</t>
  </si>
  <si>
    <t>D2636772-73HSJS9982</t>
  </si>
  <si>
    <t>KEPALA DINAS</t>
  </si>
  <si>
    <t>MH1JBE21XCK156602</t>
  </si>
  <si>
    <t>JBE2E1155252</t>
  </si>
  <si>
    <t>KH 4094 PY</t>
  </si>
  <si>
    <t>I-10732998 M</t>
  </si>
  <si>
    <t>Disdukcapil</t>
  </si>
  <si>
    <t>MH1JBE216CK148075</t>
  </si>
  <si>
    <t>JBE2E1148447</t>
  </si>
  <si>
    <t>KH 4096 PY</t>
  </si>
  <si>
    <t>I-10733000 M</t>
  </si>
  <si>
    <t>MH1JBN11XFK080966</t>
  </si>
  <si>
    <t>JBN1E1079217</t>
  </si>
  <si>
    <t>KH 4401 PY</t>
  </si>
  <si>
    <t>L 06937009 M</t>
  </si>
  <si>
    <t>Drs. Mansyur Ibrahim /Capil</t>
  </si>
  <si>
    <t>MH1KC5213FK255722</t>
  </si>
  <si>
    <t>KC52E1253777</t>
  </si>
  <si>
    <t>KH 4367 PY</t>
  </si>
  <si>
    <t>L 06930536 M</t>
  </si>
  <si>
    <t>PENGURUS BARANG (DISDUKCAPIL)</t>
  </si>
  <si>
    <t>HONDA NF 100 SL / HONDA NF 100 SL</t>
  </si>
  <si>
    <t>100cc</t>
  </si>
  <si>
    <t>MH1JB31185K147971</t>
  </si>
  <si>
    <t>JB31E-1142240</t>
  </si>
  <si>
    <t>KH 2047 PY</t>
  </si>
  <si>
    <t>D - 8035863 M</t>
  </si>
  <si>
    <t>GUDANG</t>
  </si>
  <si>
    <t>HONDA / SEPEDA MOTOR</t>
  </si>
  <si>
    <t>MH1KD1116RK496931</t>
  </si>
  <si>
    <t>KD11E1496193</t>
  </si>
  <si>
    <t>KH 5299 PY</t>
  </si>
  <si>
    <t>V00017449M</t>
  </si>
  <si>
    <t>BELANJA KENDARA SEPEDA MOTOR RODA DUA LAPANGAN</t>
  </si>
  <si>
    <t>Honda Revo FIT FI Vin 2019 / Honda Revo FIT FI Vin 2019</t>
  </si>
  <si>
    <t>MH1JBKK115KK647335</t>
  </si>
  <si>
    <t>JBK1E1643763</t>
  </si>
  <si>
    <t>KH 4875 PY</t>
  </si>
  <si>
    <t>Q00400476M</t>
  </si>
  <si>
    <t>KENDARAAN OPERASIONAL KABID PENDFTARAN PENDUDUK</t>
  </si>
  <si>
    <t>MH1JBK114KK649433</t>
  </si>
  <si>
    <t>JBK1E1645357</t>
  </si>
  <si>
    <t>KH 4889 PY</t>
  </si>
  <si>
    <t>Q00400488M</t>
  </si>
  <si>
    <t>KENDARAAN OPERASIONAL KASUBBAG PERENCANAAN</t>
  </si>
  <si>
    <t>MH1JBK11XXKK647508</t>
  </si>
  <si>
    <t>JBK1E1643924</t>
  </si>
  <si>
    <t>KH 4890 PY</t>
  </si>
  <si>
    <t>Q00400489M</t>
  </si>
  <si>
    <t>MH1JBK118KK646664</t>
  </si>
  <si>
    <t>JBK1E1642239</t>
  </si>
  <si>
    <t>KH 4885 PY</t>
  </si>
  <si>
    <t>Q00400485M</t>
  </si>
  <si>
    <t>KENDARAAN OPERSIONAL PEMBANTU PENGURUS BARANG PENGGUNA</t>
  </si>
  <si>
    <t>MH1JBK114KK649397</t>
  </si>
  <si>
    <t>JBK1E1645826</t>
  </si>
  <si>
    <t>KH 4883 PY</t>
  </si>
  <si>
    <t>Q00400484</t>
  </si>
  <si>
    <t>KENDARAAN DINAS OPERASIONAL KAUBBAG KEUANGAN</t>
  </si>
  <si>
    <t>MH1JBK118KK649032</t>
  </si>
  <si>
    <t>JBK1E1645202</t>
  </si>
  <si>
    <t>KH 4887 PY</t>
  </si>
  <si>
    <t>Q00400487M</t>
  </si>
  <si>
    <t>MH1JBK115KK646671</t>
  </si>
  <si>
    <t>JBK1E1642228</t>
  </si>
  <si>
    <t>KH 4882 PY</t>
  </si>
  <si>
    <t>Q00400483M</t>
  </si>
  <si>
    <t>KASUBBAG PENCATATAN SIPIL</t>
  </si>
  <si>
    <t>MH1JBK110KK667721</t>
  </si>
  <si>
    <t>JBK1E1664044</t>
  </si>
  <si>
    <t>KH 4881 PY</t>
  </si>
  <si>
    <t>Q00400482M</t>
  </si>
  <si>
    <t>SEKRETARIS</t>
  </si>
  <si>
    <t>MH1JBK110KK647341</t>
  </si>
  <si>
    <t>JBK1E1643757</t>
  </si>
  <si>
    <t>KH 4876 PY</t>
  </si>
  <si>
    <t>QOO400477M</t>
  </si>
  <si>
    <t>KASUBBAG PEMANFAATAN DATA DAN INOVASI PELAYANAN</t>
  </si>
  <si>
    <t>TOYOTA INNOVA G A/T / TOYOTA INNOVA G A/T</t>
  </si>
  <si>
    <t>MHFJB8EK1060408</t>
  </si>
  <si>
    <t>2GDC623167</t>
  </si>
  <si>
    <t>KH 1271 PU</t>
  </si>
  <si>
    <t>F 06123521 M</t>
  </si>
  <si>
    <t>Mutasi ( KH 1271 PU ) Ny.WELDULINE SELANORWANDA,SE.MA</t>
  </si>
  <si>
    <t>MHFXW42G2D2269369</t>
  </si>
  <si>
    <t>1TR7640119</t>
  </si>
  <si>
    <t>KH 1176 PU</t>
  </si>
  <si>
    <t>K 03039976 M</t>
  </si>
  <si>
    <t>Kepala Dinas an. RUSDI HIDAYAT</t>
  </si>
  <si>
    <t>FORD RANGER DOUBLE CABIN 2.5L 5X4 M/T XLTD PLUS / FORD RANGER DOUBLE CABIN 2.5L 5X4 M/T XLTD PLUS</t>
  </si>
  <si>
    <t>2.499</t>
  </si>
  <si>
    <t>MNBLSFE40AW877815</t>
  </si>
  <si>
    <t>WLAT1191807</t>
  </si>
  <si>
    <t>KH 9511 PW</t>
  </si>
  <si>
    <t>H-11437993 M</t>
  </si>
  <si>
    <t>Mutasi ( KH 9511 PW) RUSDI HIDAYAT</t>
  </si>
  <si>
    <t>Toyota (Hilux Double Cabin) / 2,4 V</t>
  </si>
  <si>
    <t>MROBE3CD9T5818B2</t>
  </si>
  <si>
    <t>2GDJ165395</t>
  </si>
  <si>
    <t>KH 8253 PW</t>
  </si>
  <si>
    <t>Pengadaan Belanja Modal Mobil Hilux Double Cabin 2.4V 4x4 DSL</t>
  </si>
  <si>
    <t>Honda Supra  / Honda Supra</t>
  </si>
  <si>
    <t>MHIJB125AK388807</t>
  </si>
  <si>
    <t>JB91E-2382860</t>
  </si>
  <si>
    <t>KH 4009 PY</t>
  </si>
  <si>
    <t>H 06857576 M</t>
  </si>
  <si>
    <t>IIS SETIAWATI</t>
  </si>
  <si>
    <t>MHIJB125AK389267</t>
  </si>
  <si>
    <t>JB91E-2383113</t>
  </si>
  <si>
    <t>KH 4012 PY</t>
  </si>
  <si>
    <t>H 06857579 M</t>
  </si>
  <si>
    <t>OKKY CAHAYO</t>
  </si>
  <si>
    <t>MHIJB124AK388773</t>
  </si>
  <si>
    <t>JB91E-2382855</t>
  </si>
  <si>
    <t>KH 4011 PY</t>
  </si>
  <si>
    <t>H 06857578 M</t>
  </si>
  <si>
    <t>EDI</t>
  </si>
  <si>
    <t>MHIJB125AK391245</t>
  </si>
  <si>
    <t>JB91E-2378016</t>
  </si>
  <si>
    <t>KH 4006 PY</t>
  </si>
  <si>
    <t>H 06857573 M</t>
  </si>
  <si>
    <t>DPMDES</t>
  </si>
  <si>
    <t>MHIJB120AK388771</t>
  </si>
  <si>
    <t>JB91E-2382866</t>
  </si>
  <si>
    <t>KH 4013 PY</t>
  </si>
  <si>
    <t>H 06857580 M</t>
  </si>
  <si>
    <t>JUPRI KURNIAWANTOS.Pd</t>
  </si>
  <si>
    <t>MH1JBE118CK508786</t>
  </si>
  <si>
    <t>JBE1E1500566</t>
  </si>
  <si>
    <t>KH 4158 PY</t>
  </si>
  <si>
    <t>J-04697978 M</t>
  </si>
  <si>
    <t>RI ERNAWATI,S.AP</t>
  </si>
  <si>
    <t>MH1JFS119HK398387</t>
  </si>
  <si>
    <t>JFS1E1390149</t>
  </si>
  <si>
    <t>KH 4642 PY</t>
  </si>
  <si>
    <t>M 12824302 M</t>
  </si>
  <si>
    <t>EDI PENGURUS BARANG</t>
  </si>
  <si>
    <t>MH1JFS110HK402374</t>
  </si>
  <si>
    <t>JFS1E1394433</t>
  </si>
  <si>
    <t>KH 4647 PY</t>
  </si>
  <si>
    <t>M 12824305 M</t>
  </si>
  <si>
    <t>RAHMAWATI EKA MURNI,SHi</t>
  </si>
  <si>
    <t>MH1JFS118HK402543</t>
  </si>
  <si>
    <t>JFS1E1394633</t>
  </si>
  <si>
    <t>KH 4649 PY</t>
  </si>
  <si>
    <t>M 12824307 M</t>
  </si>
  <si>
    <t>FAHRIZAL,SH</t>
  </si>
  <si>
    <t>MH1JFS117HK402498</t>
  </si>
  <si>
    <t>JFS1E1394575</t>
  </si>
  <si>
    <t>KH 4653 PY</t>
  </si>
  <si>
    <t>M 12824311 M</t>
  </si>
  <si>
    <t>MILAWATI,SP</t>
  </si>
  <si>
    <t>MH1JFS111HK398321</t>
  </si>
  <si>
    <t>JFS1E1390170</t>
  </si>
  <si>
    <t>KH 4654 PY</t>
  </si>
  <si>
    <t>M 12824312 M</t>
  </si>
  <si>
    <t>EKA MAYASARI, SE, MM</t>
  </si>
  <si>
    <t>MH1JFS110HK399086</t>
  </si>
  <si>
    <t>JFS1E1391848</t>
  </si>
  <si>
    <t>KH 4656 PY</t>
  </si>
  <si>
    <t>M 12824314 M</t>
  </si>
  <si>
    <t>TAUFIK WAHYUDI, A.Md</t>
  </si>
  <si>
    <t>MH1JFS111HK402500</t>
  </si>
  <si>
    <t>JFS1E1394598</t>
  </si>
  <si>
    <t>KH 4641 PY</t>
  </si>
  <si>
    <t>M 12824301 M</t>
  </si>
  <si>
    <t>MUHAMMAD SUBHAN,SH</t>
  </si>
  <si>
    <t>MH1JFS118HK398381</t>
  </si>
  <si>
    <t>JFS1E1390144</t>
  </si>
  <si>
    <t>KH 4645 PY</t>
  </si>
  <si>
    <t>M 12824304 M</t>
  </si>
  <si>
    <t>NURLATHIFAH QADAR,S.Pi.,MM</t>
  </si>
  <si>
    <t>MH1JBE319DK299895</t>
  </si>
  <si>
    <t>JBE3E1294631</t>
  </si>
  <si>
    <t>KH 4208 PY</t>
  </si>
  <si>
    <t>K 08796085 M</t>
  </si>
  <si>
    <t>HENDRA,A.Md (DIGUDANG)</t>
  </si>
  <si>
    <t>LX150CEWR2656</t>
  </si>
  <si>
    <t>KH 5099 PY</t>
  </si>
  <si>
    <t>R-02937466</t>
  </si>
  <si>
    <t>02.01.01.10.003</t>
  </si>
  <si>
    <t>Truck Crane</t>
  </si>
  <si>
    <t>AYAXX / ISUZU NMR 71THD 6,1</t>
  </si>
  <si>
    <t>4570 CC</t>
  </si>
  <si>
    <t>MHCNMR71HKJ109080</t>
  </si>
  <si>
    <t>B109080</t>
  </si>
  <si>
    <t>KH 9050 PW</t>
  </si>
  <si>
    <t>Q00386022 M</t>
  </si>
  <si>
    <t>Q00396022 M</t>
  </si>
  <si>
    <t>Pengadaan Truck Crane (BM)</t>
  </si>
  <si>
    <t>Dinas Perhubungan</t>
  </si>
  <si>
    <t>02.02.01.02.001</t>
  </si>
  <si>
    <t>Bus ( Penumpang 30 Orang Keatas )</t>
  </si>
  <si>
    <t>Mitsubishi / Mitsubishi</t>
  </si>
  <si>
    <t>3907 CC</t>
  </si>
  <si>
    <t>MHMFE349H5R016044</t>
  </si>
  <si>
    <t>HB11E-1012473</t>
  </si>
  <si>
    <t>KH 7000 PU</t>
  </si>
  <si>
    <t>0000000</t>
  </si>
  <si>
    <t>R02909518 M</t>
  </si>
  <si>
    <t>Hibah dari Pusat</t>
  </si>
  <si>
    <t>ISUZU / ISUZU</t>
  </si>
  <si>
    <t>MHCN1R71Ljj08889</t>
  </si>
  <si>
    <t>B088891</t>
  </si>
  <si>
    <t>KH 7001 PU</t>
  </si>
  <si>
    <t>N07836842 M</t>
  </si>
  <si>
    <t>Q08285882 M</t>
  </si>
  <si>
    <t>Pengadaan Bus Pemkab Seruyan</t>
  </si>
  <si>
    <t>HINO</t>
  </si>
  <si>
    <t>4009 CC</t>
  </si>
  <si>
    <t>MJEC1JG11L5191345</t>
  </si>
  <si>
    <t>W04DTPJK070</t>
  </si>
  <si>
    <t>KH 7006 PU</t>
  </si>
  <si>
    <t>U08670095 M</t>
  </si>
  <si>
    <t>HIBAH BARANG MILIK NEGARA BERUPA 1 (SATU ) UNIT BUS SEKOLAH</t>
  </si>
  <si>
    <t>2771 CC</t>
  </si>
  <si>
    <t>MHCNLR55HKJO86292</t>
  </si>
  <si>
    <t>MO86292</t>
  </si>
  <si>
    <t>KH 7005 PU</t>
  </si>
  <si>
    <t>HIBAH BARANG MILIK NEGARA 1 (SATU ) UNIT BUS SEKOLAH</t>
  </si>
  <si>
    <t>TOYOTA INNOVA V (TGN40R-GKMNKD) / TOYOTA INNOVA V (TGN40R-GKMNKD)</t>
  </si>
  <si>
    <t>MHFXW43G674033752</t>
  </si>
  <si>
    <t>1TR6373890</t>
  </si>
  <si>
    <t>KH 1201 PU Ex. KH 77 PU</t>
  </si>
  <si>
    <t>F 2143275 M</t>
  </si>
  <si>
    <t>V0476178 M</t>
  </si>
  <si>
    <t>Mobil Dinas</t>
  </si>
  <si>
    <t>INNOVA  / ZENIX Z.OG CVT</t>
  </si>
  <si>
    <t xml:space="preserve">MHFAAAAA8R002707 
</t>
  </si>
  <si>
    <t>M20ANB66383</t>
  </si>
  <si>
    <t>KH 1413 PU</t>
  </si>
  <si>
    <t>DI Gudang ( Rusak )</t>
  </si>
  <si>
    <t>Mobil Kepala Dinas</t>
  </si>
  <si>
    <t>HILUX DOUBLE CABIN 2.4 E (4x4) DSL M/T / GUN25DcEM / T30</t>
  </si>
  <si>
    <t>2393 CC</t>
  </si>
  <si>
    <t>MR0DB8CDXN0127226</t>
  </si>
  <si>
    <t>2 GD 5329146</t>
  </si>
  <si>
    <t>KH 8218 PW</t>
  </si>
  <si>
    <t>T02688170 M</t>
  </si>
  <si>
    <t>Kendaraan Operasional</t>
  </si>
  <si>
    <t>TOYOTA / HILUX DOUBLE CABIN 2.4 G 4X4 DSL M/T</t>
  </si>
  <si>
    <t>MR0KB8CDXR1225180</t>
  </si>
  <si>
    <t>2 GDD451272</t>
  </si>
  <si>
    <t>KH 8247 PW</t>
  </si>
  <si>
    <t>V04726178 M</t>
  </si>
  <si>
    <t>Pembayaran Belanja Modal Pengadaan Kendaraan Operasional Double Gardan/Double Cabin  Sub Kegiatan Pengadaan Kendaraan Dinas Operasional atau Lapangan pada Badan Keuangan dan Aset Daerah Kabupaten Seruyan Tahun 2024</t>
  </si>
  <si>
    <t>FORD  XLS Plus 2.2L 4x4 MT VIN 2014 / FORD  XLS Plus 2.2L 4x4 MT VIN 2014</t>
  </si>
  <si>
    <t>2.198 CC</t>
  </si>
  <si>
    <t>MNBLMFF80EW292465</t>
  </si>
  <si>
    <t>P4AT1198489</t>
  </si>
  <si>
    <t>KH 8114 PW</t>
  </si>
  <si>
    <t>K 06865255 M</t>
  </si>
  <si>
    <t>PERWIRA PENGHUBUNG TNI</t>
  </si>
  <si>
    <t>MH1KC5211DK034181</t>
  </si>
  <si>
    <t>KC52E1034115</t>
  </si>
  <si>
    <t>KH 4167 PY</t>
  </si>
  <si>
    <t>K-05626006 M</t>
  </si>
  <si>
    <t>Abdul Azis, ST ( analis kebijakan )</t>
  </si>
  <si>
    <t>Yamaha Jupiter Z / Yamaha Jupiter Z</t>
  </si>
  <si>
    <t>MH35TP0065K473286</t>
  </si>
  <si>
    <t>STP719890</t>
  </si>
  <si>
    <t>KH 2027 PY</t>
  </si>
  <si>
    <t>Di Gudang</t>
  </si>
  <si>
    <t>Suzuki Shogun FL 125 SD / Suzuki Shogun FL 125 SD</t>
  </si>
  <si>
    <t>MH8BF45CA7J125309</t>
  </si>
  <si>
    <t>F496-ID141245</t>
  </si>
  <si>
    <t>KH 2706 PY Ex.KH 2233 PY</t>
  </si>
  <si>
    <t>E 0204965 M</t>
  </si>
  <si>
    <t>Bagian Keuangan</t>
  </si>
  <si>
    <t>MH8BF45CA7JI25318</t>
  </si>
  <si>
    <t>F496ID141255</t>
  </si>
  <si>
    <t>KH 5664 PY</t>
  </si>
  <si>
    <t>F 0204966 M</t>
  </si>
  <si>
    <t>Erydinata, S.I.P ( Pengurus Barang)</t>
  </si>
  <si>
    <t>Honda Supra Fit / Honda Supra Fit</t>
  </si>
  <si>
    <t>MH1HB11123KO10946</t>
  </si>
  <si>
    <t>KH 3050 PM</t>
  </si>
  <si>
    <t>Taufani, A.Md (kasi Pemeliharaan dan Operasional )</t>
  </si>
  <si>
    <t>Honda Revo NF 100 TD / Honda Revo NF 100 TD</t>
  </si>
  <si>
    <t>MH1HB62128K462169</t>
  </si>
  <si>
    <t>HB62E-1458117</t>
  </si>
  <si>
    <t>KH 2545 PY</t>
  </si>
  <si>
    <t>F 4849365 M</t>
  </si>
  <si>
    <t>MH1B62168K40372</t>
  </si>
  <si>
    <t>HB62E-1530355</t>
  </si>
  <si>
    <t>KH 2548 PY</t>
  </si>
  <si>
    <t>F 4849368 M</t>
  </si>
  <si>
    <t>Honda Revo NF 1OO TD / Honda Revo NF 1OO TD</t>
  </si>
  <si>
    <t>MH1HB62198K462184</t>
  </si>
  <si>
    <t>KH 2547 PY</t>
  </si>
  <si>
    <t>F484367</t>
  </si>
  <si>
    <t>Bagian Perlengkapan dan Umum</t>
  </si>
  <si>
    <t>MHIHB 62158 K505 757</t>
  </si>
  <si>
    <t>HB 62E - 1499557</t>
  </si>
  <si>
    <t>KH 2546 PY</t>
  </si>
  <si>
    <t>F 4849366M</t>
  </si>
  <si>
    <t>Kasubag Tata Usaha UPTD PKB Asam Baru</t>
  </si>
  <si>
    <t>Suzuki Shogun FL 125RCD / Suzuki Shogun FL 125RCD</t>
  </si>
  <si>
    <t>MH8BF45DA8J207943</t>
  </si>
  <si>
    <t>F496-ID-256980</t>
  </si>
  <si>
    <t>KH 2499 PY</t>
  </si>
  <si>
    <t>F 4847937M</t>
  </si>
  <si>
    <t>HONDA CRF 150 2018 T4G02T31L0 M/T / HONDA CRF 150 2018 T4G02T31L0 M/T</t>
  </si>
  <si>
    <t>MH1KD1112JK021555</t>
  </si>
  <si>
    <t>KD11E1021098</t>
  </si>
  <si>
    <t>KH 4741 PY</t>
  </si>
  <si>
    <t>O02643604 m</t>
  </si>
  <si>
    <t>HONDA NF11T11C01 M/T / HONDA NF11T11C01 M/T</t>
  </si>
  <si>
    <t>MH1JBK213FK087920</t>
  </si>
  <si>
    <t>JBK2E1087605</t>
  </si>
  <si>
    <t>KH 4435 PY</t>
  </si>
  <si>
    <t>L-06967187 M</t>
  </si>
  <si>
    <t>BAHRUDIN,ST ( Kasubag Umum )</t>
  </si>
  <si>
    <t>HONDA NEW VARIO 125 CBS 2018 A1F02N36M1 A/T / HONDA NEW VARIO 125 CBS 2018 A1F02N36M1 A/T</t>
  </si>
  <si>
    <t>MH1JM4115JK192409</t>
  </si>
  <si>
    <t>JM41E1192264</t>
  </si>
  <si>
    <t>KH 4786 PY</t>
  </si>
  <si>
    <t>O02643656 M</t>
  </si>
  <si>
    <t>HONDA GL15B1DF M/T / HONDA GL15B1DF M/T</t>
  </si>
  <si>
    <t>MH1KC5218FK278882</t>
  </si>
  <si>
    <t>KC52E1276780</t>
  </si>
  <si>
    <t>KH 4436 PY</t>
  </si>
  <si>
    <t>L-06967188 M</t>
  </si>
  <si>
    <t xml:space="preserve">Sodermanto </t>
  </si>
  <si>
    <t>MH1JFS115HK398323</t>
  </si>
  <si>
    <t>JFS1E1390168</t>
  </si>
  <si>
    <t>KH 4652 PY</t>
  </si>
  <si>
    <t>M 12824310 M</t>
  </si>
  <si>
    <t>ISNANIAH,A.Md (Plt.Kasubag Perencanaan dan Keuangan )</t>
  </si>
  <si>
    <t>MH1JFJ111EK325763</t>
  </si>
  <si>
    <t>JFJ1E1327058</t>
  </si>
  <si>
    <t>KH 4329 PY</t>
  </si>
  <si>
    <t>L 04358942 M</t>
  </si>
  <si>
    <t>Eka Erdayanti</t>
  </si>
  <si>
    <t>MH1JBK211FK084837</t>
  </si>
  <si>
    <t>JBK2E-1084517</t>
  </si>
  <si>
    <t>KH 4434 PY</t>
  </si>
  <si>
    <t>L-06967186 M</t>
  </si>
  <si>
    <t>Iskandar, A.Md ( Analis kebijakan )</t>
  </si>
  <si>
    <t>MH1JBK216FK084753</t>
  </si>
  <si>
    <t>JBK2E-1084447</t>
  </si>
  <si>
    <t>KH 4430 PY</t>
  </si>
  <si>
    <t>L-06967182 M</t>
  </si>
  <si>
    <t>Persetujuan Pengalihan status Penggunaan Sepeda motor Ke BKAD</t>
  </si>
  <si>
    <t>02.02.01.06.038</t>
  </si>
  <si>
    <t>Mobil Pers Van</t>
  </si>
  <si>
    <t>Isuzu  / TBR54 Pick Up Turbo</t>
  </si>
  <si>
    <t>MHCTBR54BBK159248</t>
  </si>
  <si>
    <t>E159248</t>
  </si>
  <si>
    <t>KH 8312 PU</t>
  </si>
  <si>
    <t>000000</t>
  </si>
  <si>
    <t>Mobil Unit Siaran Keliling</t>
  </si>
  <si>
    <t>MHFXW42G6B2210984</t>
  </si>
  <si>
    <t>1TR7229517</t>
  </si>
  <si>
    <t>KH 1150 PU</t>
  </si>
  <si>
    <t>I-05945494 M</t>
  </si>
  <si>
    <t>Kadis Kominfo</t>
  </si>
  <si>
    <t>TOYOTA HILUX DOUBLE CABIN 2.5 E 4X4 M/T / TOYOTA HILUX DOUBLE CABIN 2.5 E 4X4 M/T</t>
  </si>
  <si>
    <t>2494  CC</t>
  </si>
  <si>
    <t>MR0DS8CDXG0330118</t>
  </si>
  <si>
    <t>2KD-U865434</t>
  </si>
  <si>
    <t>KH 8138 PW</t>
  </si>
  <si>
    <t>L-09729454 M</t>
  </si>
  <si>
    <t>Mutasi Mobil Operasional KH 8138 PW</t>
  </si>
  <si>
    <t>109</t>
  </si>
  <si>
    <t>MH1JBK213FK084743</t>
  </si>
  <si>
    <t>JBK2E-1084456</t>
  </si>
  <si>
    <t>KH 4432 PY</t>
  </si>
  <si>
    <t>L-06967184 M</t>
  </si>
  <si>
    <t>digudang</t>
  </si>
  <si>
    <t>MH1KC5211FK280800</t>
  </si>
  <si>
    <t>KC52E-1278595</t>
  </si>
  <si>
    <t>KH 4437 PY</t>
  </si>
  <si>
    <t>L-06967189 M</t>
  </si>
  <si>
    <t>HAFIJIL ANSARI</t>
  </si>
  <si>
    <t>HONDA NCIIA3CB A/T / HONDA NCIIA3CB A/T</t>
  </si>
  <si>
    <t>MHIJF7II6BK094003</t>
  </si>
  <si>
    <t>JF71E - 1093390</t>
  </si>
  <si>
    <t>KH 4026 PY</t>
  </si>
  <si>
    <t>H 11008874 M</t>
  </si>
  <si>
    <t>Muhamad ariyanto, S.Sos.</t>
  </si>
  <si>
    <t>MH1JF3114AK176741</t>
  </si>
  <si>
    <t>JF31E0175931</t>
  </si>
  <si>
    <t>KH 2635 PY</t>
  </si>
  <si>
    <t>H-06859631 M</t>
  </si>
  <si>
    <t>MAWARTI NINGSIH, S.A.P</t>
  </si>
  <si>
    <t>MH1JFS11XHK398320</t>
  </si>
  <si>
    <t>JFS1E1390174</t>
  </si>
  <si>
    <t>KH 4655 PY</t>
  </si>
  <si>
    <t>M 12824313 M</t>
  </si>
  <si>
    <t>Pengurus Barang</t>
  </si>
  <si>
    <t>MH1JFT117HK087689</t>
  </si>
  <si>
    <t>JFT1E 1087277</t>
  </si>
  <si>
    <t>KH 4604 PY</t>
  </si>
  <si>
    <t>M  12805845 M</t>
  </si>
  <si>
    <t>Wikan Wijiyanto, SH</t>
  </si>
  <si>
    <t>MH1JFT110HK086271</t>
  </si>
  <si>
    <t>JFT1E 1085843</t>
  </si>
  <si>
    <t>KH 4602 PY</t>
  </si>
  <si>
    <t>M 12805843 M</t>
  </si>
  <si>
    <t>Kasubbag Umum, Kepegawaian dan Perlengkapan</t>
  </si>
  <si>
    <t>HONDA Y1G02N15L0 A/T	 CBS ISS- 2017 / HONDA Y1G02N15L0 A/T	 CBS ISS- 2017</t>
  </si>
  <si>
    <t>MH1JFT111HK086215</t>
  </si>
  <si>
    <t>JFT1E 1085870</t>
  </si>
  <si>
    <t>KH 4625 PY</t>
  </si>
  <si>
    <t>M 12805866 M</t>
  </si>
  <si>
    <t>Bono Suhendra, ST</t>
  </si>
  <si>
    <t>MH1JFT116HK086033</t>
  </si>
  <si>
    <t>JFT1E 1085650</t>
  </si>
  <si>
    <t>KH 4623 PY</t>
  </si>
  <si>
    <t>M 12805864 M</t>
  </si>
  <si>
    <t>Nelly Hendriany, S.Sos.MM</t>
  </si>
  <si>
    <t>MH1JFZ124JK846929</t>
  </si>
  <si>
    <t>JFZ1E2844438</t>
  </si>
  <si>
    <t>KH 4787 PY</t>
  </si>
  <si>
    <t>O02643657M</t>
  </si>
  <si>
    <t>MASHURI, S.Hut.,MM</t>
  </si>
  <si>
    <t>MH1KC0213JK036304</t>
  </si>
  <si>
    <t>KC02E1036609</t>
  </si>
  <si>
    <t>KH 4743 PY</t>
  </si>
  <si>
    <t>O02643606M</t>
  </si>
  <si>
    <t>Granciano E. Kamis, S.ST</t>
  </si>
  <si>
    <t>MH4LX150GMJP89556</t>
  </si>
  <si>
    <t>LX150CEWR2467</t>
  </si>
  <si>
    <t>KH 5096 PY</t>
  </si>
  <si>
    <t>R-02937463</t>
  </si>
  <si>
    <t>MH1JFZ125JK852626</t>
  </si>
  <si>
    <t>JFZ1E2851138</t>
  </si>
  <si>
    <t>KH 4748 PY</t>
  </si>
  <si>
    <t>O 02643609 M</t>
  </si>
  <si>
    <t>MH1JFT118HK087197</t>
  </si>
  <si>
    <t>JFT1E1086510</t>
  </si>
  <si>
    <t>KH 4607 PY</t>
  </si>
  <si>
    <t>M 12805848 M</t>
  </si>
  <si>
    <t>MH1JFT112HK087101</t>
  </si>
  <si>
    <t>JFT1E1086503</t>
  </si>
  <si>
    <t>KH 4611 PY</t>
  </si>
  <si>
    <t>M 12805852 M</t>
  </si>
  <si>
    <t>TOYOTA INNOVA G M/T / TOYOTA INNOVA G M/T</t>
  </si>
  <si>
    <t>1998.0</t>
  </si>
  <si>
    <t>MHFJW8EMIK2366977</t>
  </si>
  <si>
    <t>ITR A596187</t>
  </si>
  <si>
    <t>KH 1265 PU</t>
  </si>
  <si>
    <t>O06847629M</t>
  </si>
  <si>
    <t>Mutasi ( KH 1265 PU )</t>
  </si>
  <si>
    <t>TOYOTA/HILUX 2.4 G / TOYOTA/HILUX 2.4 G</t>
  </si>
  <si>
    <t>2393.0</t>
  </si>
  <si>
    <t>MR0KB8CD6K1209242</t>
  </si>
  <si>
    <t>2GD-4702125</t>
  </si>
  <si>
    <t>KH 8185 PW</t>
  </si>
  <si>
    <t>P 02931057 M</t>
  </si>
  <si>
    <t>Kendaraan Roda 4</t>
  </si>
  <si>
    <t>MH1JBK113EK144861</t>
  </si>
  <si>
    <t>JBK1E1145125</t>
  </si>
  <si>
    <t>KH 4304 PY</t>
  </si>
  <si>
    <t>L 04354126 M</t>
  </si>
  <si>
    <t>MH1JBK113EK117983</t>
  </si>
  <si>
    <t>JBK1E1118223</t>
  </si>
  <si>
    <t>KH 4307 PY</t>
  </si>
  <si>
    <t>L 04354129 M</t>
  </si>
  <si>
    <t>MH1JBK112EK145497</t>
  </si>
  <si>
    <t>JBK1E1145850</t>
  </si>
  <si>
    <t>KH 4308 PY</t>
  </si>
  <si>
    <t>L 04354130 M</t>
  </si>
  <si>
    <t>MH1JBK115EK143436</t>
  </si>
  <si>
    <t>JBK1E1143111</t>
  </si>
  <si>
    <t>KH 4310 PY</t>
  </si>
  <si>
    <t>L 04354132 M</t>
  </si>
  <si>
    <t>MH1JBK110EK143425</t>
  </si>
  <si>
    <t>JBK1E1143510 M</t>
  </si>
  <si>
    <t>KH 4288 PY</t>
  </si>
  <si>
    <t>L 04354110 M</t>
  </si>
  <si>
    <t>DIGUNAKAN OLEH PENGAWAS PERDAGANGAN</t>
  </si>
  <si>
    <t>MH1KC5217EK202410</t>
  </si>
  <si>
    <t>KC52E1200079</t>
  </si>
  <si>
    <t>KH 4293 PY</t>
  </si>
  <si>
    <t>L 04354115 M</t>
  </si>
  <si>
    <t>DIGUNAKAN OLEH PENYULUH PERINDUSTRIAN DAN PERDAGANGAN</t>
  </si>
  <si>
    <t>MH1KC5216EK199306</t>
  </si>
  <si>
    <t>KC52E1197557</t>
  </si>
  <si>
    <t>KH 4294 PY</t>
  </si>
  <si>
    <t>L 04354116 M</t>
  </si>
  <si>
    <t>DIGUNAKAN OLEH PENGAWAS KOPERASI</t>
  </si>
  <si>
    <t>MH1KC5216EK199385</t>
  </si>
  <si>
    <t>KC52E1197281</t>
  </si>
  <si>
    <t>KH 4280 PY</t>
  </si>
  <si>
    <t>L 04353744 M</t>
  </si>
  <si>
    <t>MH1KC5214EK200436</t>
  </si>
  <si>
    <t>KC52E1198708</t>
  </si>
  <si>
    <t>KH 4301 PY</t>
  </si>
  <si>
    <t>L 04354123 M</t>
  </si>
  <si>
    <t>DIGUNAKAN OLEH PENGAWAS KEMETROLOGIAN</t>
  </si>
  <si>
    <t>SUZUKI / SUZUKI</t>
  </si>
  <si>
    <t>MH8CE47AAKJ149863</t>
  </si>
  <si>
    <t>AE54ID154909</t>
  </si>
  <si>
    <t>KH 4825 PY</t>
  </si>
  <si>
    <t>PO2948819M</t>
  </si>
  <si>
    <t>OPERASIONAL RODA 2 (DUA) KEMETROLOGIAN DAERAH / DIGUNAKAN OLEH PENYUSUNAN PERKENBANGAN HARGA DAN PENGKAJIAN PASAR.</t>
  </si>
  <si>
    <t>MH8CE47AAKJ149376</t>
  </si>
  <si>
    <t>AE541D154432</t>
  </si>
  <si>
    <t>KH 4826 PY</t>
  </si>
  <si>
    <t>P02948820M</t>
  </si>
  <si>
    <t>OPERASIONAL RODA 2 (DUA) KEMETROLOGIAN DAERAH / DIGUNAKAN OLEH PENILAI PELAYANAN KEMETROLOGIAN</t>
  </si>
  <si>
    <t>JRD Arjuna X100-4A  / JRD Arjuna X100-4A</t>
  </si>
  <si>
    <t>MFTA2122A.4</t>
  </si>
  <si>
    <t>JT100LCS2003001864</t>
  </si>
  <si>
    <t>KH 2007 PY</t>
  </si>
  <si>
    <t>HILANG DI BAWA YANG BERSANGKUTAN PINDAH KE GUNUNG MAS</t>
  </si>
  <si>
    <t>MATIC 125 CBS / L1F02N36L 1 A/T</t>
  </si>
  <si>
    <t>MH1JMC118RK515096</t>
  </si>
  <si>
    <t>JMC1E1514301</t>
  </si>
  <si>
    <t>KH 5378 PY</t>
  </si>
  <si>
    <t>V04725299M</t>
  </si>
  <si>
    <t>Kendaraan Roda Dua Dinas dipakai Sekretaris Dinas</t>
  </si>
  <si>
    <t>MATIC 125 CBS / L1F02N36L 1 A/T HONDA VARIO</t>
  </si>
  <si>
    <t>JMC110RK523306</t>
  </si>
  <si>
    <t>JMC1E152210</t>
  </si>
  <si>
    <t>KH 5382 PY</t>
  </si>
  <si>
    <t>V04725303M</t>
  </si>
  <si>
    <t>Kendaraan Roda Dua Dinas dipakai oleh Kepala Bidang Usaha Kecil dan Menengah</t>
  </si>
  <si>
    <t>JMC110RK525170</t>
  </si>
  <si>
    <t>JMC1E1524384</t>
  </si>
  <si>
    <t>KH 5379 PY</t>
  </si>
  <si>
    <t>V04725300M</t>
  </si>
  <si>
    <t>Kendaraan Roda Dua Dinas dipakai oleh Kepala Bidang Industri</t>
  </si>
  <si>
    <t>JMC113RK525194</t>
  </si>
  <si>
    <t>JMC1E1524254</t>
  </si>
  <si>
    <t>KH 5380 PY</t>
  </si>
  <si>
    <t>V04725301M</t>
  </si>
  <si>
    <t>Kendaraan Roda Dua Dinas dipakai oleh Kepala Bidang Perdagangan</t>
  </si>
  <si>
    <t>JMC115RK522331</t>
  </si>
  <si>
    <t>JMC1E1521334</t>
  </si>
  <si>
    <t>KH 5377 PY</t>
  </si>
  <si>
    <t>V04725298M</t>
  </si>
  <si>
    <t>Kendaraan Roda Dua Dinas dipakai oleh Kepala Sub Bagian Penyusunan Program dan Keuangan</t>
  </si>
  <si>
    <t>JMC118RK523165</t>
  </si>
  <si>
    <t>JMC1E1522365</t>
  </si>
  <si>
    <t>KH 5383 PY</t>
  </si>
  <si>
    <t>V04725304M</t>
  </si>
  <si>
    <t>Kendaraan Roda Dua Dinas dipakai oleh Bendahara Pengeluaran</t>
  </si>
  <si>
    <t>JMC11XRK523345</t>
  </si>
  <si>
    <t>JMC1E1522565</t>
  </si>
  <si>
    <t>KH 5381 PY</t>
  </si>
  <si>
    <t>V04725302M</t>
  </si>
  <si>
    <t>Kendaraan Roda Dua Dinas dipakai oleh Kepala Bidang Koperasi</t>
  </si>
  <si>
    <t>TOYOTA INNOVA G M/T LUX BENSIN / TOYOTA INNOVA G M/T LUX BENSIN</t>
  </si>
  <si>
    <t>MHFXW42G5C2226756</t>
  </si>
  <si>
    <t>1TR-7325890</t>
  </si>
  <si>
    <t>KH 1156 PU</t>
  </si>
  <si>
    <t>J-01776787 M</t>
  </si>
  <si>
    <t>KEPALA DMPTSP</t>
  </si>
  <si>
    <t>MH1JFJ118EK338218</t>
  </si>
  <si>
    <t>JFJ1E1334245</t>
  </si>
  <si>
    <t>KH 4330 PY</t>
  </si>
  <si>
    <t>L 04358943 M</t>
  </si>
  <si>
    <t>ISMAIL, S.E</t>
  </si>
  <si>
    <t>MH1JFS113FK106343</t>
  </si>
  <si>
    <t>JFS1E1104507</t>
  </si>
  <si>
    <t>KH 4384 PY</t>
  </si>
  <si>
    <t>L 06931767 M</t>
  </si>
  <si>
    <t>MAULIDAH, S.A.P</t>
  </si>
  <si>
    <t>MH1JFS112FK106351</t>
  </si>
  <si>
    <t>JFS1E104504</t>
  </si>
  <si>
    <t>KH 4382 PY</t>
  </si>
  <si>
    <t>L 06931765 M</t>
  </si>
  <si>
    <t>THAILAH YUSTIAN, A.Md Kom</t>
  </si>
  <si>
    <t>MH1JFV112FK194321</t>
  </si>
  <si>
    <t>JFV1E-1194043</t>
  </si>
  <si>
    <t>KH 4415 PY</t>
  </si>
  <si>
    <t>L 06955154 M</t>
  </si>
  <si>
    <t>WINARSIH, S.Sos., M.A.P</t>
  </si>
  <si>
    <t>HONDA E1F02N12M2 A/T / HONDA E1F02N12M2 A/T</t>
  </si>
  <si>
    <t>124.7</t>
  </si>
  <si>
    <t>MH1JFV116GK260273</t>
  </si>
  <si>
    <t>JFV1E-1260164</t>
  </si>
  <si>
    <t>KH 4439 PY</t>
  </si>
  <si>
    <t>L-06967191 M</t>
  </si>
  <si>
    <t>SARINAH MAULIDAH, S.E., M.E</t>
  </si>
  <si>
    <t>MH1JFV117GK260959</t>
  </si>
  <si>
    <t>JFV1E-1260278</t>
  </si>
  <si>
    <t>KH 4440 PY</t>
  </si>
  <si>
    <t>L-06967192 M</t>
  </si>
  <si>
    <t>MULIYAN, S.E., M.M</t>
  </si>
  <si>
    <t>MH1JFV118FK240203</t>
  </si>
  <si>
    <t>JFV1E-1237867</t>
  </si>
  <si>
    <t>KH 4433 PY</t>
  </si>
  <si>
    <t>L-06967185 M</t>
  </si>
  <si>
    <t>KASIANTO, S.Pd</t>
  </si>
  <si>
    <t>MH1JFV110FK246318</t>
  </si>
  <si>
    <t>JFV1E-1246624</t>
  </si>
  <si>
    <t>KH 4427 PY</t>
  </si>
  <si>
    <t>L-06967179 M</t>
  </si>
  <si>
    <t>EVA VERONIKA, A.Md</t>
  </si>
  <si>
    <t>MH1JFV112FK231660</t>
  </si>
  <si>
    <t>JFV1E-123129</t>
  </si>
  <si>
    <t>KH 4428 PY</t>
  </si>
  <si>
    <t>L-06967181 M</t>
  </si>
  <si>
    <t>ENTI MUNIFAH, S.T., M.M</t>
  </si>
  <si>
    <t>MH1JFS113HK398305</t>
  </si>
  <si>
    <t>JFS1E1390163</t>
  </si>
  <si>
    <t>KH 4643 PY</t>
  </si>
  <si>
    <t>M 12824303 M</t>
  </si>
  <si>
    <t>KRIESNA HARYADI, S.H., M.M</t>
  </si>
  <si>
    <t>MH1JFT119HK087144</t>
  </si>
  <si>
    <t>JFT1E 1085632</t>
  </si>
  <si>
    <t>KH 4619 PY</t>
  </si>
  <si>
    <t>M 12805860 M</t>
  </si>
  <si>
    <t>NOOR HIDAYAH, S.Sos</t>
  </si>
  <si>
    <t>MH1JFZ122JK852650</t>
  </si>
  <si>
    <t>JFZ1E2851137</t>
  </si>
  <si>
    <t>KH 4788 PY</t>
  </si>
  <si>
    <t>O 02643658 M</t>
  </si>
  <si>
    <t>BUDI SISWANTO, S.E</t>
  </si>
  <si>
    <t>HONDA/H1B02N42L0 A/T / HONDA/H1B02N42L0 A/T</t>
  </si>
  <si>
    <t>MH1JM9110MK640363</t>
  </si>
  <si>
    <t>JM91E1639967</t>
  </si>
  <si>
    <t>KH 4995 PY</t>
  </si>
  <si>
    <t>R 02931097 M</t>
  </si>
  <si>
    <t>SYUKRANI, S.P., M.M</t>
  </si>
  <si>
    <t>JM91E1639946</t>
  </si>
  <si>
    <t>KH 4992 PY</t>
  </si>
  <si>
    <t>R 02931095 M</t>
  </si>
  <si>
    <t>AHMAD SUPIAN, S.E</t>
  </si>
  <si>
    <t>MH1JM9116MK640318</t>
  </si>
  <si>
    <t>NINARA KRISMA, S.E., M.A.P</t>
  </si>
  <si>
    <t>MH1JM9116MK654042</t>
  </si>
  <si>
    <t>JM91E1656843</t>
  </si>
  <si>
    <t>KH 4996 PY</t>
  </si>
  <si>
    <t>R 02931098 M</t>
  </si>
  <si>
    <t>DEWI FORTUNA, S.H</t>
  </si>
  <si>
    <t>MH1JFZ126JK860153</t>
  </si>
  <si>
    <t>JFZ1E2857672</t>
  </si>
  <si>
    <t>KH 4752 PY</t>
  </si>
  <si>
    <t>O 026443613 M</t>
  </si>
  <si>
    <t>YASIN FADILLAH, S.M., M.A.P</t>
  </si>
  <si>
    <t>MH1JF3118AK176466</t>
  </si>
  <si>
    <t>JF31E0175740</t>
  </si>
  <si>
    <t>KH 2651 PY</t>
  </si>
  <si>
    <t>H-06859726 M</t>
  </si>
  <si>
    <t>HENDRI WAGIANTO</t>
  </si>
  <si>
    <t>Toyota Kijang Std KF 60 R / Toyota Kijang Std KF 60 R</t>
  </si>
  <si>
    <t>1781</t>
  </si>
  <si>
    <t>MHF31KF6060046049</t>
  </si>
  <si>
    <t>7K-0818879</t>
  </si>
  <si>
    <t>KH 8056 PW</t>
  </si>
  <si>
    <t>E 2533811 M</t>
  </si>
  <si>
    <t>TOYOTA NEW KIJANG INNOVA E M/T BENSIN / TOYOTA NEW KIJANG INNOVA E M/T BENSIN</t>
  </si>
  <si>
    <t>MHFXW41G4E0063467</t>
  </si>
  <si>
    <t>1 TR7857578</t>
  </si>
  <si>
    <t>KH 1188 PU</t>
  </si>
  <si>
    <t>K 00650509 M</t>
  </si>
  <si>
    <t>KESBANG LINMAS</t>
  </si>
  <si>
    <t>MH1KC5211DK033223</t>
  </si>
  <si>
    <t>KC52E1033135</t>
  </si>
  <si>
    <t>KH 4182 PY</t>
  </si>
  <si>
    <t>K 05633495 M</t>
  </si>
  <si>
    <t>MH1JF3115AK176733</t>
  </si>
  <si>
    <t>JF31E0175929</t>
  </si>
  <si>
    <t>KH 2634 PY</t>
  </si>
  <si>
    <t>H-06859632 M</t>
  </si>
  <si>
    <t>MH1JFZ128JK860123</t>
  </si>
  <si>
    <t>JFZ1E2857645</t>
  </si>
  <si>
    <t>KH 4754 PY</t>
  </si>
  <si>
    <t>002643615M</t>
  </si>
  <si>
    <t>MH1KC0218JK034967</t>
  </si>
  <si>
    <t>KC02E1035150</t>
  </si>
  <si>
    <t>KH 4760 PY</t>
  </si>
  <si>
    <t>002643631M</t>
  </si>
  <si>
    <t>MH1JBK115EK092651</t>
  </si>
  <si>
    <t>JBK1E1093268</t>
  </si>
  <si>
    <t>KH 4303 PY</t>
  </si>
  <si>
    <t>L 04354125 M</t>
  </si>
  <si>
    <t>ATINITA /DPRD</t>
  </si>
  <si>
    <t>HONDA ATI121B01 A/T / HONDA ATI121B01 A/T</t>
  </si>
  <si>
    <t>107</t>
  </si>
  <si>
    <t>MHIJFH115K388164</t>
  </si>
  <si>
    <t>JFH1E-1386968</t>
  </si>
  <si>
    <t>KH 4425 PY</t>
  </si>
  <si>
    <t>L - 06960703 M</t>
  </si>
  <si>
    <t>RIJALI HADY</t>
  </si>
  <si>
    <t>MH1JFJ11XEK311571</t>
  </si>
  <si>
    <t>JFJ1E1316389</t>
  </si>
  <si>
    <t>KH 4316 PY</t>
  </si>
  <si>
    <t>L 04358928 M</t>
  </si>
  <si>
    <t>M. GAZALI, S.Pd</t>
  </si>
  <si>
    <t>MH1JFJ11XEK340892</t>
  </si>
  <si>
    <t>JFJ1E1339496</t>
  </si>
  <si>
    <t>KH 4315 PY</t>
  </si>
  <si>
    <t>L 04358927 M</t>
  </si>
  <si>
    <t>KHAIRIL YADI /DPRD</t>
  </si>
  <si>
    <t>MHFXW42G6B2203291</t>
  </si>
  <si>
    <t>1TR7189097</t>
  </si>
  <si>
    <t>KH 1142 PU</t>
  </si>
  <si>
    <t>I-04919009 M</t>
  </si>
  <si>
    <t>Kepala Dinas Perpustakaan ( ANGGA, S.E. )</t>
  </si>
  <si>
    <t>MH1JFT114HK086077</t>
  </si>
  <si>
    <t>JFT1E 1085684</t>
  </si>
  <si>
    <t>KH 4624 PY</t>
  </si>
  <si>
    <t>M 12805865 M</t>
  </si>
  <si>
    <t>Pengurus Barang Dinas Perpustakaan dan Kearsipan (WAHYUTI, A.Md.,Kom)</t>
  </si>
  <si>
    <t>MH1KC5211EK200457</t>
  </si>
  <si>
    <t>KC52E1198761</t>
  </si>
  <si>
    <t>KH 4291 PY</t>
  </si>
  <si>
    <t>L 04354113 M</t>
  </si>
  <si>
    <t>Dinas Perpustakaan dan Kearsipan ( BONO SUHENDRA, ST)</t>
  </si>
  <si>
    <t>MH1KC5216EK199399</t>
  </si>
  <si>
    <t>KC52E1197287</t>
  </si>
  <si>
    <t>KH 4279 PY</t>
  </si>
  <si>
    <t>L 04353743 M</t>
  </si>
  <si>
    <t>Dinas Perpustakaan dan Kearsipan ( SULPINAH, S.A.P)</t>
  </si>
  <si>
    <t>MH1JFS112FK080723</t>
  </si>
  <si>
    <t>JFS1E1078846</t>
  </si>
  <si>
    <t>KH 4374 PY</t>
  </si>
  <si>
    <t>L 06931757 M</t>
  </si>
  <si>
    <t>Pembantu Pengurus Barang Dinas Perpustakaan dan Kearsipan ( YESI MAULINA,S.Pi)</t>
  </si>
  <si>
    <t>SUZUKI  FL 125 RCD / SUZUKI  FL 125 RCD</t>
  </si>
  <si>
    <t>MH8BF45D48J-208612</t>
  </si>
  <si>
    <t>F496-ID-257690</t>
  </si>
  <si>
    <t>KH 2522 PY</t>
  </si>
  <si>
    <t>F 4847851</t>
  </si>
  <si>
    <t>Kepala Dinas, Dinas Perpustakaan dan Kearsipan (ANGGA, S.E.)</t>
  </si>
  <si>
    <t>SUZUKI  FL 125 RCMD / SUZUKI  FL 125 RCMD</t>
  </si>
  <si>
    <t>MH8BF45AAJ194777</t>
  </si>
  <si>
    <t>F4AI-ID-194856</t>
  </si>
  <si>
    <t>KH 2622 PY</t>
  </si>
  <si>
    <t>H 11006986 M</t>
  </si>
  <si>
    <t>Dinas Perpustakaan dan Kearsipan (SRI NORKAMALA DEWI, SE., MM)</t>
  </si>
  <si>
    <t>MH1KC521XDK087915</t>
  </si>
  <si>
    <t>KC52E1088809</t>
  </si>
  <si>
    <t>KH 4204 PY</t>
  </si>
  <si>
    <t>K 08796081 M</t>
  </si>
  <si>
    <t>Dinas Perpustakaan dan Kearsipan ( VERA ASTUTI,S.Sos.,MM )</t>
  </si>
  <si>
    <t>MH1KC0410SK022603</t>
  </si>
  <si>
    <t>KC04E1022626</t>
  </si>
  <si>
    <t>B 3760 PKQ</t>
  </si>
  <si>
    <t>W02266130</t>
  </si>
  <si>
    <t>Hibah Perpusnas RI (RUSIDAH, S. Kom.,M.A.P)</t>
  </si>
  <si>
    <t>02.02.01.06.008</t>
  </si>
  <si>
    <t>Mobil Unit Perpustakaan Keliling</t>
  </si>
  <si>
    <t>TOYOTA HILUK  2.OL MT / TOYOTA HILUK  2.OL MT</t>
  </si>
  <si>
    <t>1998</t>
  </si>
  <si>
    <t>MR0AW12G1A0022577</t>
  </si>
  <si>
    <t>1TR6949312</t>
  </si>
  <si>
    <t>KH 8072 PW</t>
  </si>
  <si>
    <t>I-07207098M</t>
  </si>
  <si>
    <t>Dinas Perpustakaan dan Kearsipan (RUSIDAH, S. Kom.,M.A.P)</t>
  </si>
  <si>
    <t>Toyota / Toyota Hilux Single Cabin 2.4 DSL</t>
  </si>
  <si>
    <t>MR0DB8CB8S6008551</t>
  </si>
  <si>
    <t>2GDD534778</t>
  </si>
  <si>
    <t>KH 9104 PW</t>
  </si>
  <si>
    <t>AA00315338</t>
  </si>
  <si>
    <t>Belanja Modal Kendaraan Bermotor -Mobil Puslin (RUSIDAH, S. Kom.,M.A.P)</t>
  </si>
  <si>
    <t>02.02.01.01.006</t>
  </si>
  <si>
    <t>kendaraan dinas bermotor perorangan  lainnya (dst)</t>
  </si>
  <si>
    <t>Toyota/Kijang Innova 2.4 G / Toyota/Kijang Innova 2.4 G</t>
  </si>
  <si>
    <t>2.393 CC</t>
  </si>
  <si>
    <t>Besi/campuran</t>
  </si>
  <si>
    <t>MHFJBBEMXM10790</t>
  </si>
  <si>
    <t>2GDC805023</t>
  </si>
  <si>
    <t>KH 1282 PU</t>
  </si>
  <si>
    <t>H 06860779 M</t>
  </si>
  <si>
    <t>Kendaraan Dinas Roda Empat (TAUFIK KURAHMAN, S.Pi.,MM)</t>
  </si>
  <si>
    <t>Toyota (Kijang Innova)  / Toyota (Kijang Innova)</t>
  </si>
  <si>
    <t>1.998 CC</t>
  </si>
  <si>
    <t>Besi Campuran</t>
  </si>
  <si>
    <t>MHFXW42G4A2161329</t>
  </si>
  <si>
    <t>1TR-6929108</t>
  </si>
  <si>
    <t>KH 1098 PU</t>
  </si>
  <si>
    <t>Pinjam Pakai Ketua PWI Kab. Seruyan (HENDRI EDITIA)</t>
  </si>
  <si>
    <t>Yamaha JUVITER  - Z / Yamaha JUVITER  - Z</t>
  </si>
  <si>
    <t>MH331B004BJ941203</t>
  </si>
  <si>
    <t>31B941256</t>
  </si>
  <si>
    <t>KH 2190 PY</t>
  </si>
  <si>
    <t>I 06367914 M</t>
  </si>
  <si>
    <t>Kendaraan Roda Dua 
(RATNI SUPIYATI, S.E)</t>
  </si>
  <si>
    <t>HONDA  SUPRA X 125 CC / HONDA  SUPRA X 125 CC</t>
  </si>
  <si>
    <t>Besi Campuran/Plastik</t>
  </si>
  <si>
    <t>MH1JBG11XCK039597</t>
  </si>
  <si>
    <t>JBG1E1035145</t>
  </si>
  <si>
    <t>KH 4153 PY</t>
  </si>
  <si>
    <t>I 10726476 M</t>
  </si>
  <si>
    <t>Kendaraan Roda Dua (TRI HARTONO MATTUJU)</t>
  </si>
  <si>
    <t>Suzuki  FD 125 XSD / Suzuki  FD 125 XSD</t>
  </si>
  <si>
    <t>MH8FDI25X4J-246665</t>
  </si>
  <si>
    <t>F403-ID-247697</t>
  </si>
  <si>
    <t>KH 2596 PY</t>
  </si>
  <si>
    <t>D 0127189 M</t>
  </si>
  <si>
    <t>Kendaraan Roda Dua (SANDRA)</t>
  </si>
  <si>
    <t>HONDA NF 100 D SUPRA X / HONDA NF 100 D SUPRA X</t>
  </si>
  <si>
    <t>100 CC</t>
  </si>
  <si>
    <t>MHIKEVA245K128108</t>
  </si>
  <si>
    <t>KEV AE-2126414</t>
  </si>
  <si>
    <t>KH 2017 PY</t>
  </si>
  <si>
    <t>D 3169987 M</t>
  </si>
  <si>
    <t>Kendaraan Roda Dua (ABDUS SALAM, S.Sos)</t>
  </si>
  <si>
    <t>Honda NF 100 D SUPRA X / Honda NF 100 D SUPRA X</t>
  </si>
  <si>
    <t>MHIKEVA255K141011</t>
  </si>
  <si>
    <t>KEV AE2140833</t>
  </si>
  <si>
    <t>KH 2016 PY</t>
  </si>
  <si>
    <t>D 5076001 M</t>
  </si>
  <si>
    <t>Kendaraan Roda Dua (ELLADIN)</t>
  </si>
  <si>
    <t>YAMAHA JUVITER  - Z / YAMAHA JUVITER  - Z</t>
  </si>
  <si>
    <t>MH8TP0065K486352</t>
  </si>
  <si>
    <t>5TP730715</t>
  </si>
  <si>
    <t>KH 2028 PY</t>
  </si>
  <si>
    <t>D 5075772 M</t>
  </si>
  <si>
    <t>Kendaraan Roda Dua (HARRY BAMBANG SETIAWAN)</t>
  </si>
  <si>
    <t>Honda NF 100 SLD / Honda NF 100 SLD</t>
  </si>
  <si>
    <t>MHIJB42156K001758</t>
  </si>
  <si>
    <t>HB4ZE-1001582</t>
  </si>
  <si>
    <t>KH 2134 PY</t>
  </si>
  <si>
    <t>E 1047111 M</t>
  </si>
  <si>
    <t>Kendaraan Roda Dua (SUGIAN)</t>
  </si>
  <si>
    <t>HONDA NF 125 SC / HONDA NF 125 SC</t>
  </si>
  <si>
    <t>MHIJB52116K137924</t>
  </si>
  <si>
    <t>JB52E11376849</t>
  </si>
  <si>
    <t>KH 2135 PY</t>
  </si>
  <si>
    <t>E 1047123 M</t>
  </si>
  <si>
    <t>Kendaraan Roda Dua (M. ASWIN SIDIK, S.Sos)</t>
  </si>
  <si>
    <t>HONDA/CRF 150 / HONDA/CRF 150</t>
  </si>
  <si>
    <t>Logam/Campuran</t>
  </si>
  <si>
    <t>MH1KD111XMK254197</t>
  </si>
  <si>
    <t>KD11E1253401</t>
  </si>
  <si>
    <t>KH 5119 PY</t>
  </si>
  <si>
    <t>R- 02965662M</t>
  </si>
  <si>
    <t>Kendaraan Roda Dua (M. ARAFIK)</t>
  </si>
  <si>
    <t>MH1KD1118MK254165</t>
  </si>
  <si>
    <t>KD11E1253005</t>
  </si>
  <si>
    <t>KH 5121 PY</t>
  </si>
  <si>
    <t>R- 02965664M</t>
  </si>
  <si>
    <t>Kendaraan Roda Dua (TAUFIK KURAHMAN, S.Pi.,MM)</t>
  </si>
  <si>
    <t>MH1KD1118MK251267</t>
  </si>
  <si>
    <t>KD11E1250579</t>
  </si>
  <si>
    <t>KH 5122 PY</t>
  </si>
  <si>
    <t>R- 02965665M</t>
  </si>
  <si>
    <t>Kendaraan Roda Dua (HUSIN, S.Pi)</t>
  </si>
  <si>
    <t>HONDA/Matic Beat Sporty CBS ISS / HONDA/Matic Beat Sporty CBS ISS</t>
  </si>
  <si>
    <t>MH1JM9115MK805646</t>
  </si>
  <si>
    <t>JM91E1802699</t>
  </si>
  <si>
    <t>KH 5120 PY</t>
  </si>
  <si>
    <t>R- 02965663M</t>
  </si>
  <si>
    <t>Kendaraan Roda Dua (MUHAMAD INDRA)</t>
  </si>
  <si>
    <t>MH1KC5212FK255713</t>
  </si>
  <si>
    <t>KC52E1253670</t>
  </si>
  <si>
    <t>KH 4370 PY</t>
  </si>
  <si>
    <t>L 06930539 M</t>
  </si>
  <si>
    <t>Kendaraan Roda Dua (MUHAMMAD ARSYAD)</t>
  </si>
  <si>
    <t>Suzuki  FL 125 RCD / Suzuki  FL 125 RCD</t>
  </si>
  <si>
    <t>MH8BF45DA8J-209109</t>
  </si>
  <si>
    <t>F4D61D257993</t>
  </si>
  <si>
    <t>KH 2517 PY</t>
  </si>
  <si>
    <t>F 4847846 M</t>
  </si>
  <si>
    <t>Kendaraan Roda Dua 
(OKTI MARLIANI, S.Pi)</t>
  </si>
  <si>
    <t>000019 s/d 000020</t>
  </si>
  <si>
    <t>Honda / Vario 160 ABS</t>
  </si>
  <si>
    <t>160 CC
160 CC</t>
  </si>
  <si>
    <t>Besi Campuran
Besi Campuran</t>
  </si>
  <si>
    <t>MH1KFA110RK261418
MH1KFA116RK261410</t>
  </si>
  <si>
    <t>KFA1E1261037
KFA1E1261045</t>
  </si>
  <si>
    <t>KH 5355 PY
KH 5356 PY</t>
  </si>
  <si>
    <t>V- 04719742 M
V- 04719743 M</t>
  </si>
  <si>
    <t xml:space="preserve">Pembelian
</t>
  </si>
  <si>
    <t>Belanja Modal Kendaraan Bermotor Beroda Dua - Belanja Kendaraan Bermotor Beroda Dua
- KH 5355 PY (MISBAKHUL MUNIR, S.Pi)
- KH 5356 PY (MONALISA, S.Pi.,MM)</t>
  </si>
  <si>
    <t>000021 s/d 000022</t>
  </si>
  <si>
    <t>Honda / Vario 160</t>
  </si>
  <si>
    <t>MH1KFA117SK294034
MH1KFA110SK294036</t>
  </si>
  <si>
    <t>KFA1E1293618
KFA1E1293615</t>
  </si>
  <si>
    <t>KH 5416 PY
KH 5417 PY</t>
  </si>
  <si>
    <t>V- 04015013 M
V- 04015014 M</t>
  </si>
  <si>
    <t>Belanja Kendaraan Perorangan Dinas atau Kendaraan Dinas Jabatan - Belanja Modal Kendaraan Bermotor Beroda Dua
- KH 5416 PY (M. FAHRURAJI, S.Pi)
- KH 5417 PY (RENSI S.N. SIREGAR, S.STPi)</t>
  </si>
  <si>
    <t>Honda / Scoopy</t>
  </si>
  <si>
    <t>MH1JMH219SK191772</t>
  </si>
  <si>
    <t>JMH2E1192092</t>
  </si>
  <si>
    <t>KH 5418 PY</t>
  </si>
  <si>
    <t>V- 04015015 M</t>
  </si>
  <si>
    <t>Belanja Kendaraan Perorangan Dinas atau Kendaraan Dinas Jabatan - Belanja Modal Kendaraan Bermotor Beroda Dua (SULISTYORINI)</t>
  </si>
  <si>
    <t>MHFXW42G1B2210486</t>
  </si>
  <si>
    <t>1TR7225304</t>
  </si>
  <si>
    <t>KH 1153 PU</t>
  </si>
  <si>
    <t>I-05945492 M</t>
  </si>
  <si>
    <t>Masih belum dikembalikan oleh eks Kepala Bappedalitbang sdr. Budi Purwanto</t>
  </si>
  <si>
    <t>TOYOTA  / KIJANG INNOVA 2.4 G M/T</t>
  </si>
  <si>
    <t>2400</t>
  </si>
  <si>
    <t>-MHFJE8BM8P1119190</t>
  </si>
  <si>
    <t>2GDD318835</t>
  </si>
  <si>
    <t>KH 1316 PU</t>
  </si>
  <si>
    <t>U-06710704 M</t>
  </si>
  <si>
    <t>MH1KC5212FK255159</t>
  </si>
  <si>
    <t>KC52E-1252745</t>
  </si>
  <si>
    <t>KH 4342 PY</t>
  </si>
  <si>
    <t>L 06930511 M</t>
  </si>
  <si>
    <t>Kendaraan rusak ringan 25% (digudang) masih bisa dipergunakan/nunggu dana perbaikan</t>
  </si>
  <si>
    <t>KAWASAKI KLX150/HITAM / KAWASAKI KLX150/HITAM</t>
  </si>
  <si>
    <t>MH4LX150CEJP13032</t>
  </si>
  <si>
    <t>LX150CEPH2335</t>
  </si>
  <si>
    <t>KH 4276 PY</t>
  </si>
  <si>
    <t>L043550135M</t>
  </si>
  <si>
    <t>Pemegang/ Bendahara Penerimaan an. Akhmadiyanor</t>
  </si>
  <si>
    <t>MH1JFS112FK106363</t>
  </si>
  <si>
    <t>JFS1E1104555</t>
  </si>
  <si>
    <t>KH 4393 PY</t>
  </si>
  <si>
    <t>L 06931776 M</t>
  </si>
  <si>
    <t>Pemegang/Analis Kebijakan an. Dody Supiannor</t>
  </si>
  <si>
    <t>SUZUKI SHOGUN FL 125 RCD / SUZUKI SHOGUN FL 125 RCD</t>
  </si>
  <si>
    <t>MH8BF45DA8J20827</t>
  </si>
  <si>
    <t>F496-ID-257231</t>
  </si>
  <si>
    <t>KH 2497 PY</t>
  </si>
  <si>
    <t>F 4847935 M</t>
  </si>
  <si>
    <t>MH1JFZ126JK833647</t>
  </si>
  <si>
    <t>JFZ1E2832474</t>
  </si>
  <si>
    <t>KH 4751 PY</t>
  </si>
  <si>
    <t>-002643612</t>
  </si>
  <si>
    <t>MH1JFZ127JK852630</t>
  </si>
  <si>
    <t>JFZ1E2851111</t>
  </si>
  <si>
    <t>KH 4749 PY</t>
  </si>
  <si>
    <t>-002643666</t>
  </si>
  <si>
    <t>HONDA SUPRA X 125 CW FI 2018 AFX12U21C08 M/T / HONDA SUPRA X 125 CW FI 2018 AFX12U21C08 M/T</t>
  </si>
  <si>
    <t>MH1JBP111JK664175</t>
  </si>
  <si>
    <t>JBP1E1664665</t>
  </si>
  <si>
    <t>KH 4794 PY</t>
  </si>
  <si>
    <t>-002643664</t>
  </si>
  <si>
    <t>MH1JBP114JK675638</t>
  </si>
  <si>
    <t>JBP1E1675849</t>
  </si>
  <si>
    <t>KH 4755 PY</t>
  </si>
  <si>
    <t>-002643667 M</t>
  </si>
  <si>
    <t>MH1JBP119JK666519</t>
  </si>
  <si>
    <t>JBP1E1666418</t>
  </si>
  <si>
    <t>KH 4785 PY</t>
  </si>
  <si>
    <t>-002643655 M</t>
  </si>
  <si>
    <t>MH1JBP119JK666465</t>
  </si>
  <si>
    <t>JBP1E1666402</t>
  </si>
  <si>
    <t>KH 4793 PY</t>
  </si>
  <si>
    <t>-002643663 M</t>
  </si>
  <si>
    <t>MH1JBP116JK664737</t>
  </si>
  <si>
    <t>JBP1E1664540</t>
  </si>
  <si>
    <t>KH 4795 PY</t>
  </si>
  <si>
    <t>-002643665</t>
  </si>
  <si>
    <t>MH1JBP116JK671302</t>
  </si>
  <si>
    <t>JBP1E1671332</t>
  </si>
  <si>
    <t>KH 4756 PY</t>
  </si>
  <si>
    <t>-002643617 M</t>
  </si>
  <si>
    <t>MH1JBP119JK664764</t>
  </si>
  <si>
    <t>JBP1E1664107</t>
  </si>
  <si>
    <t>KH 4796 PY</t>
  </si>
  <si>
    <t>MH1JM4119JK183423</t>
  </si>
  <si>
    <t>JM41E1183164</t>
  </si>
  <si>
    <t>KH 4783 PY</t>
  </si>
  <si>
    <t>-002643655 m</t>
  </si>
  <si>
    <t>MH1JM4112JK187670</t>
  </si>
  <si>
    <t>JM41E1187396</t>
  </si>
  <si>
    <t>KH 4746 PY</t>
  </si>
  <si>
    <t>-002643608 m</t>
  </si>
  <si>
    <t>MH1JFT116HK086095</t>
  </si>
  <si>
    <t>JFT1E 1085608</t>
  </si>
  <si>
    <t>KH 4603 PY</t>
  </si>
  <si>
    <t>M 12805844 M</t>
  </si>
  <si>
    <t>MH1JFZ12XJK860334</t>
  </si>
  <si>
    <t>JFZ1E2857834</t>
  </si>
  <si>
    <t>KH 4789 PY</t>
  </si>
  <si>
    <t>-002643659 M</t>
  </si>
  <si>
    <t>MH1JFZ127JK846973</t>
  </si>
  <si>
    <t>JFZ1E2844433</t>
  </si>
  <si>
    <t>KH 4750 PY</t>
  </si>
  <si>
    <t>-002643611 M</t>
  </si>
  <si>
    <t>MH1JFZ120JK852629</t>
  </si>
  <si>
    <t>JFZ1E2851141</t>
  </si>
  <si>
    <t>KH 4791 PY</t>
  </si>
  <si>
    <t>-002643661 M</t>
  </si>
  <si>
    <t>MH1JFT110HK086268</t>
  </si>
  <si>
    <t>JFT1E 1085848</t>
  </si>
  <si>
    <t>KH 4601 PY</t>
  </si>
  <si>
    <t>M 12805842 M</t>
  </si>
  <si>
    <t>MH1JFT115HK087643</t>
  </si>
  <si>
    <t>JFT1E 1087244</t>
  </si>
  <si>
    <t>KH 4618 PY</t>
  </si>
  <si>
    <t>M 12805859 M</t>
  </si>
  <si>
    <t>MH1KC5210FK255113</t>
  </si>
  <si>
    <t>KC52E-1252829</t>
  </si>
  <si>
    <t>KH 4343 PY</t>
  </si>
  <si>
    <t>L 06930512 M</t>
  </si>
  <si>
    <t>YAMAHA NMAX</t>
  </si>
  <si>
    <t>MH3SG9310SK175445</t>
  </si>
  <si>
    <t>G3VSE-0501967</t>
  </si>
  <si>
    <t>KH 5443 PY</t>
  </si>
  <si>
    <t>W 01362545</t>
  </si>
  <si>
    <t>MH3SG9310SJ189426</t>
  </si>
  <si>
    <t>G3VSE-552222</t>
  </si>
  <si>
    <t>KH 5442 PY</t>
  </si>
  <si>
    <t>W 01362544</t>
  </si>
  <si>
    <t>MUTSUBISHI / FE 84G BCN 4X2 M/T</t>
  </si>
  <si>
    <t>3907</t>
  </si>
  <si>
    <t>MHMFE84ENRJ001737</t>
  </si>
  <si>
    <t>4V21U14699</t>
  </si>
  <si>
    <t>KH 7008 PU</t>
  </si>
  <si>
    <t>V04703911M</t>
  </si>
  <si>
    <t>BUS BKAD</t>
  </si>
  <si>
    <t>BADAN KEUANGAN DAN ASET DAERAH</t>
  </si>
  <si>
    <t>2.494</t>
  </si>
  <si>
    <t>MROFR22G5E0780429</t>
  </si>
  <si>
    <t>2KDS368754</t>
  </si>
  <si>
    <t>KH.8115 PW</t>
  </si>
  <si>
    <t>K 00650699 M</t>
  </si>
  <si>
    <t>Mutasi Keluar ( KH 8115 PW)</t>
  </si>
  <si>
    <t>TOYOTA PAJERO SPORT 2.4 DAKKAR  / PAJERO SPORT</t>
  </si>
  <si>
    <t>2442</t>
  </si>
  <si>
    <t>MK2KSWPNUPJ001804</t>
  </si>
  <si>
    <t>4N15UKC8287</t>
  </si>
  <si>
    <t>KH 1312 PU</t>
  </si>
  <si>
    <t>U01989038M</t>
  </si>
  <si>
    <t>Belanja Modal Kendaraan Dinas Jabatan (Kapolres)</t>
  </si>
  <si>
    <t>TOYOTA VELOZ 1.5 Q CVT TSS / VELOZ</t>
  </si>
  <si>
    <t>Belanja Modal Kendaraan Dinas Lapangan (Kejaksaan)</t>
  </si>
  <si>
    <t>TOYOTA / HIACE PREMIO 2.8 M/T</t>
  </si>
  <si>
    <t>2755</t>
  </si>
  <si>
    <t>JTF2A9CP4R6006453</t>
  </si>
  <si>
    <t>1GD9413145</t>
  </si>
  <si>
    <t>KH 7010 PU</t>
  </si>
  <si>
    <t>V04726176M</t>
  </si>
  <si>
    <t>Pembayaran Belanja Modal Pengadaan Kendaraan Operasional Tamu/Pejabat Sub Kegiatan Pengadaan Kendaraan Perorangan Dinas atau Kendaraan Dinas Jabatan pada Badan Keuangan dan Aset Daerah Kabupaten Seruyan Tahun 2024 (HIACE PREMIO)</t>
  </si>
  <si>
    <t>FORTUNER / 2,8 VRZ GR-S TSS 4X2 A/T</t>
  </si>
  <si>
    <t>MHFAA8GS3R0922268</t>
  </si>
  <si>
    <t>1GD5695254</t>
  </si>
  <si>
    <t>KH 1332 PU</t>
  </si>
  <si>
    <t>V04726175M</t>
  </si>
  <si>
    <t>Pembayaran Belanja Modal Pengadaan Kendaraan Dinas Bermotor Perorangan/Pejabat Sub Kegiatan Pengadaan Kendaraan Perorangan Dinas atau Kendaraan Dinas Jabatan pada Badan Keuangan dan Aset Daerah Kabupaten Seruyan Tahun 2024 (FORTUNER, WAKIL BUPATI)</t>
  </si>
  <si>
    <t>TOYOTA FORTUNER 2.4 VRZ / TOYOTA FORTUNER 2.4 VRZ</t>
  </si>
  <si>
    <t>4X2 A/T DSL VIN 2021</t>
  </si>
  <si>
    <t>MHFAB8GS5M3023786</t>
  </si>
  <si>
    <t>2GD 1086021</t>
  </si>
  <si>
    <t>KH 1285 PU</t>
  </si>
  <si>
    <t>S-00380770</t>
  </si>
  <si>
    <t>BELANJA MODAL KENDARAAN DINAS</t>
  </si>
  <si>
    <t>TOYOTA AVANZA / TOYOTA AVANZA</t>
  </si>
  <si>
    <t>1.498</t>
  </si>
  <si>
    <t>MHFM1CA4JBK057969</t>
  </si>
  <si>
    <t>DC67282</t>
  </si>
  <si>
    <t>KH 1144 PU</t>
  </si>
  <si>
    <t>I-04919011 M</t>
  </si>
  <si>
    <t>INSPEKTORAT</t>
  </si>
  <si>
    <t>KIJANG INOVA 2.0 V M/T BSN / TGN40VM</t>
  </si>
  <si>
    <t>MHFAW8EM1N0222023</t>
  </si>
  <si>
    <t>1 TR B041510</t>
  </si>
  <si>
    <t>KH 35 PU</t>
  </si>
  <si>
    <t>S07221835 M</t>
  </si>
  <si>
    <t>BKAD</t>
  </si>
  <si>
    <t>AVANZA 1.3 E M/T / W00EM/T00</t>
  </si>
  <si>
    <t>MHKAA1BY3NK007343</t>
  </si>
  <si>
    <t>1NR G186618</t>
  </si>
  <si>
    <t>KH 1291 PU</t>
  </si>
  <si>
    <t>S07208219M</t>
  </si>
  <si>
    <t>NEW KIJANG INOVA 2.0 GM/T BSN / TGN40GM/T30X</t>
  </si>
  <si>
    <t>MHFJW8EM0N2402985</t>
  </si>
  <si>
    <t>1TR B033165</t>
  </si>
  <si>
    <t>KH 1292 PU</t>
  </si>
  <si>
    <t>S07208234M</t>
  </si>
  <si>
    <t>TOYOTA / INNOVA ZENIX 2.0V HV MODELISTA CVT</t>
  </si>
  <si>
    <t>MHFABAAAXS0034093</t>
  </si>
  <si>
    <t>M20ADN29362</t>
  </si>
  <si>
    <t>KH 1339 PU</t>
  </si>
  <si>
    <t>U-01952356M</t>
  </si>
  <si>
    <t>Belanja Modal Pengadaan Kendaraan Roda 4 (Innova Zenix 2.0 VHV Modelista CVT (Non Premium Color)</t>
  </si>
  <si>
    <t>MITSUBISHI / MITSUBISHI PAJERO SPORT 2.4 L DAKAR ULT-L 4X4 8 A/</t>
  </si>
  <si>
    <t>MK2KSWFNUS3001039</t>
  </si>
  <si>
    <t>4N15ULA5209</t>
  </si>
  <si>
    <t>KH 1349 PU</t>
  </si>
  <si>
    <t>AA00308932</t>
  </si>
  <si>
    <t>Belanja Modal Kendaraan Dinas Bermotor Perorangan/Pejabat Sub Kegiatan Pengadaan Kendaraan Perorangan Dinas atau Kendaraan Dinas Jabatan (PAJERO)</t>
  </si>
  <si>
    <t>TOYOTA RUSH / 1.5 S M/T GR SPORT</t>
  </si>
  <si>
    <t>MHKE8FA3JSK137042</t>
  </si>
  <si>
    <t>2NR4F07459</t>
  </si>
  <si>
    <t>KH 1350 PU</t>
  </si>
  <si>
    <t>AA00313027M</t>
  </si>
  <si>
    <t>Pembayaran Pembelian 1 Unit Mobil (RUSH 1,5 S M/T GR SPORT (1675000GR)</t>
  </si>
  <si>
    <t>FORD Ranger Double Cabin / FORD Ranger Double Cabin</t>
  </si>
  <si>
    <t>MNBBSFE40AW883800</t>
  </si>
  <si>
    <t>WLAT1200720</t>
  </si>
  <si>
    <t>KH 8060 PW</t>
  </si>
  <si>
    <t>H 09658027 M</t>
  </si>
  <si>
    <t>Mutasi Mobil Operasional</t>
  </si>
  <si>
    <t>FORD RANGER RAS 2.2L 4X4 M/T / FORD RANGER RAS 2.2L 4X4 M/T</t>
  </si>
  <si>
    <t>2,198</t>
  </si>
  <si>
    <t>MNBBM2F20CW118777</t>
  </si>
  <si>
    <t>P4AT 1017991</t>
  </si>
  <si>
    <t>KH 8075 PW</t>
  </si>
  <si>
    <t>J-01776780 M</t>
  </si>
  <si>
    <t>Usulan Pengalihan Status Penggunaan Barang Milik Daerah Kendaraan Dinas Operasional.</t>
  </si>
  <si>
    <t>STRADA TRITON DOUBLE CABIN EXCEED 4X4 M/T / STRADA TRITON DOUBLE CABIN EXCEED 4X4 M/T</t>
  </si>
  <si>
    <t>MMBJNKB40DD004436</t>
  </si>
  <si>
    <t>4D56UCDW5860</t>
  </si>
  <si>
    <t>KH 9090 PW</t>
  </si>
  <si>
    <t>J-05545753 M</t>
  </si>
  <si>
    <t>MROFR22G1C0622585</t>
  </si>
  <si>
    <t>2KDS112332</t>
  </si>
  <si>
    <t>KH 8084 PW</t>
  </si>
  <si>
    <t>J-04246948 M</t>
  </si>
  <si>
    <t>FORD RANGER DOUBLE CABIN XLS 2.2L (4x4) M/T PLUS / FORD RANGER DOUBLE CABIN XLS 2.2L (4x4) M/T PLUS</t>
  </si>
  <si>
    <t>2.198</t>
  </si>
  <si>
    <t>MNBLMFF80DW236290</t>
  </si>
  <si>
    <t>P4AT1152144</t>
  </si>
  <si>
    <t>KH 8105 PW</t>
  </si>
  <si>
    <t>K 06860425 M</t>
  </si>
  <si>
    <t>Mutasi Mobil Opersional Ford Ranger KH 8105 PW REG.001</t>
  </si>
  <si>
    <t>TOYOTA HILUX DOUBLE CABIN G M/T DIESEL / TOYOTA HILUX DOUBLE CABIN G M/T DIESEL</t>
  </si>
  <si>
    <t>MROFR22G1B0783845</t>
  </si>
  <si>
    <t>2KDS394238</t>
  </si>
  <si>
    <t>KH 8109 PW</t>
  </si>
  <si>
    <t>K 06866197 M</t>
  </si>
  <si>
    <t>Mutasi Keluar</t>
  </si>
  <si>
    <t>TOYOTA HILUX DOUBLE CABIN E M/T DIESEL VIN 2015 PI / TOYOTA HILUX DOUBLE CABIN E M/T DIESEL VIN 2015</t>
  </si>
  <si>
    <t>26.03.2015 20</t>
  </si>
  <si>
    <t>MROFR22G6F0797340</t>
  </si>
  <si>
    <t>2KDU746785</t>
  </si>
  <si>
    <t>KH 8120 PW</t>
  </si>
  <si>
    <t>L 06940426 M</t>
  </si>
  <si>
    <t>FORD/ RANGER DOUBLE CABIN XLS 2.2L (4X4) M/T PLUS DAN TOYOTA HILUX DOUBLE CABIN E M/T DIESEL VIN 2015</t>
  </si>
  <si>
    <t>MROFR22G4F0797658</t>
  </si>
  <si>
    <t>2KDU748198</t>
  </si>
  <si>
    <t>KH 8119 PW</t>
  </si>
  <si>
    <t>L 06940386 M</t>
  </si>
  <si>
    <t>MROFR22G2F0799375</t>
  </si>
  <si>
    <t>2KD U769466</t>
  </si>
  <si>
    <t>KH 8126 PW</t>
  </si>
  <si>
    <t>L 06940921 M</t>
  </si>
  <si>
    <t>MRODS8CD0F0260904</t>
  </si>
  <si>
    <t>2KDU792292</t>
  </si>
  <si>
    <t>KH 8132 PW</t>
  </si>
  <si>
    <t>L-06968287 M</t>
  </si>
  <si>
    <t>Mutasi Mobil Operasional KH 8132 PW</t>
  </si>
  <si>
    <t>MRODS8CD4H0331072</t>
  </si>
  <si>
    <t>2KDU973935</t>
  </si>
  <si>
    <t>KH 8153 PW</t>
  </si>
  <si>
    <t>M 10655029 M</t>
  </si>
  <si>
    <t>Persetujuan Pengalihan Status Penggunaan Barang Milik Daerah Kendaraan Dinas Operasional SKPD</t>
  </si>
  <si>
    <t>MRODS8CD2H0330941</t>
  </si>
  <si>
    <t>2KDU969576</t>
  </si>
  <si>
    <t>KH 8158 PW</t>
  </si>
  <si>
    <t>M 10655034 M</t>
  </si>
  <si>
    <t>Mutasi Mobil OPerasional KH 8158 PW</t>
  </si>
  <si>
    <t>MRODS8CD6H0331039</t>
  </si>
  <si>
    <t>2KDU972428</t>
  </si>
  <si>
    <t>KH 8169 PW</t>
  </si>
  <si>
    <t>M 12814679 M</t>
  </si>
  <si>
    <t>Mutasi Mobil Operasional KH 8169 PW</t>
  </si>
  <si>
    <t>MRODS8CD1H0262986</t>
  </si>
  <si>
    <t>2KDU974870</t>
  </si>
  <si>
    <t>KH 8160 PW</t>
  </si>
  <si>
    <t>M 10655036 M</t>
  </si>
  <si>
    <t>Mutasi ( KH 8160 PW )</t>
  </si>
  <si>
    <t>MRODS8CD8H022743</t>
  </si>
  <si>
    <t>2KDU968569</t>
  </si>
  <si>
    <t>KH 8151 PW</t>
  </si>
  <si>
    <t>M 10655027 M</t>
  </si>
  <si>
    <t>KEJAKSAAN</t>
  </si>
  <si>
    <t>Toyota Hilux Single Cabin 2.0 M/T</t>
  </si>
  <si>
    <t>MR0CW8BB3PG047799</t>
  </si>
  <si>
    <t>KH 8223 PW</t>
  </si>
  <si>
    <t>U01952351M</t>
  </si>
  <si>
    <t>Belanja Kendaraan Dinas Operasional Roda 4 (KH 8223 PW)</t>
  </si>
  <si>
    <t>Toyota Hilux Doubel Cabin 2.4 V</t>
  </si>
  <si>
    <t>MR0BB3CD7P5802045</t>
  </si>
  <si>
    <t>KH 8225 PW</t>
  </si>
  <si>
    <t>U01952353M</t>
  </si>
  <si>
    <t>Belanja Modal Kendaraan Dinas Operasional Roda 4 (KH 8225 PW)</t>
  </si>
  <si>
    <t>Toyota Hilux Double Cabin 2.4 G</t>
  </si>
  <si>
    <t>MR0KB8CD8F1147141</t>
  </si>
  <si>
    <t>2GDD283245</t>
  </si>
  <si>
    <t>KH 8229 PW</t>
  </si>
  <si>
    <t>Belanja Kendaraan Dinas Operasional Roda 4 (KH 8229 PW)</t>
  </si>
  <si>
    <t>MRODS8CD4H0331086</t>
  </si>
  <si>
    <t>2KDU973964</t>
  </si>
  <si>
    <t>KH 8157 PW</t>
  </si>
  <si>
    <t>M 10655033 M</t>
  </si>
  <si>
    <t>HILUX DOUBLE CABIN / 2.4 G (4X4) DSL M/T</t>
  </si>
  <si>
    <t>MR0KB8CD9S1163275</t>
  </si>
  <si>
    <t>2GD-D537825</t>
  </si>
  <si>
    <t>KH 8251 PW</t>
  </si>
  <si>
    <t>AA00311953M</t>
  </si>
  <si>
    <t>Pembayaran Belanja 2 Unit Kendaraan Dinas Roda 4 (HILUX DOUBLE CABIN 2.4 G (4X4) DSL M/T (100000 GR) &amp; HILUX DOUBLE CABIN 2.4 V (4X4) DSL A/T (1250000 GR))</t>
  </si>
  <si>
    <t>HILUX DOUBLE CABIN / 2.4 V (4X4) DSL A/T</t>
  </si>
  <si>
    <t>MR0BB3CD0S5817401</t>
  </si>
  <si>
    <t>2GD-D542300</t>
  </si>
  <si>
    <t>KH 8252 PW</t>
  </si>
  <si>
    <t>AA00311954M</t>
  </si>
  <si>
    <t>MH1JM4115JK183421</t>
  </si>
  <si>
    <t>JM41E1183163</t>
  </si>
  <si>
    <t>KH 4784 PY</t>
  </si>
  <si>
    <t>O02643654M</t>
  </si>
  <si>
    <t>ARMIDAH, S.H./BPKAD</t>
  </si>
  <si>
    <t>HONDA NEW VARIO 150 2018 X1H02N35M1 A/T / HONDA NEW VARIO 150 2018 X1H02N35M1 A/T</t>
  </si>
  <si>
    <t>MH1KF4110JK285255</t>
  </si>
  <si>
    <t>KF41E1286110</t>
  </si>
  <si>
    <t>KH 4761 PY</t>
  </si>
  <si>
    <t>O02643632M</t>
  </si>
  <si>
    <t>BPKAD /SUNARIATI</t>
  </si>
  <si>
    <t>MH1KF4116JK229207</t>
  </si>
  <si>
    <t>KF41E1230069</t>
  </si>
  <si>
    <t>KH 4763 PY</t>
  </si>
  <si>
    <t>O02643634M</t>
  </si>
  <si>
    <t>NINA HARIYANA</t>
  </si>
  <si>
    <t>MH1KF4113JK293818</t>
  </si>
  <si>
    <t>KF41E1294684</t>
  </si>
  <si>
    <t>KH 4762 PY</t>
  </si>
  <si>
    <t>O02643633M</t>
  </si>
  <si>
    <t>ARIS/BPKAD</t>
  </si>
  <si>
    <t>MH1KF4117JK284054</t>
  </si>
  <si>
    <t>KF41E1284493</t>
  </si>
  <si>
    <t>KH 4764 PY</t>
  </si>
  <si>
    <t>O02643635M</t>
  </si>
  <si>
    <t>CEPIK ARIFIN, S.AP</t>
  </si>
  <si>
    <t>MH1JFS117FK106328</t>
  </si>
  <si>
    <t>JFS1E1104483</t>
  </si>
  <si>
    <t>KH 4379 PY</t>
  </si>
  <si>
    <t>L 06931762 M</t>
  </si>
  <si>
    <t>DI GUDANG</t>
  </si>
  <si>
    <t>MH1JFV112GK260027</t>
  </si>
  <si>
    <t>JFV1E-1259429</t>
  </si>
  <si>
    <t>KH 4443 PY</t>
  </si>
  <si>
    <t>L-06967195 M</t>
  </si>
  <si>
    <t>INTAN KOMALASARI /BPKAD 
(DIGUDANG)</t>
  </si>
  <si>
    <t>MH1JFV110GK254338</t>
  </si>
  <si>
    <t>JFV1E-1253819</t>
  </si>
  <si>
    <t>KH 4441 PY</t>
  </si>
  <si>
    <t>L-06967193 M</t>
  </si>
  <si>
    <t>SRI WAHYU SETYA MEILANI /BPKAD</t>
  </si>
  <si>
    <t>MH1KC5212FK249037</t>
  </si>
  <si>
    <t>KC52E1246651</t>
  </si>
  <si>
    <t>KH 4358 PY</t>
  </si>
  <si>
    <t>L 06930527 M</t>
  </si>
  <si>
    <t>EDY PURWANTO(DIGUDANG)</t>
  </si>
  <si>
    <t>MH1JFT110HK086030</t>
  </si>
  <si>
    <t>JFT1E1085640</t>
  </si>
  <si>
    <t>KH 4622 PY</t>
  </si>
  <si>
    <t>M 12805863 M</t>
  </si>
  <si>
    <t>YOPI PURDIANSARI, SE</t>
  </si>
  <si>
    <t>MH1JFT116HK087389</t>
  </si>
  <si>
    <t>JFT1E1086915</t>
  </si>
  <si>
    <t>KH 4605 PY</t>
  </si>
  <si>
    <t>M 12805846 M</t>
  </si>
  <si>
    <t>DIAN RATNASARI, SE.MM</t>
  </si>
  <si>
    <t>MH1JFT118HK087393</t>
  </si>
  <si>
    <t>JFT1E1086934</t>
  </si>
  <si>
    <t>KH 4606 PY</t>
  </si>
  <si>
    <t>M 12805847 M</t>
  </si>
  <si>
    <t>DWI MEI WINARTI,ST</t>
  </si>
  <si>
    <t>MH1JFT117HK087319</t>
  </si>
  <si>
    <t>JFT1E1086940</t>
  </si>
  <si>
    <t>KH 4615 PY</t>
  </si>
  <si>
    <t>M 12805856 M</t>
  </si>
  <si>
    <t>HELFIANA,SE</t>
  </si>
  <si>
    <t>MH1JFT11XHK087332</t>
  </si>
  <si>
    <t>JFT1E1086979</t>
  </si>
  <si>
    <t>KH 4612 PY</t>
  </si>
  <si>
    <t>M 12805853 M</t>
  </si>
  <si>
    <t>RAHMAD BENDAHARA</t>
  </si>
  <si>
    <t>MH1JFT115HK087304</t>
  </si>
  <si>
    <t>JFT1E1086987</t>
  </si>
  <si>
    <t>KH 4599 PY</t>
  </si>
  <si>
    <t>M 12805841 M</t>
  </si>
  <si>
    <t>BAHRUN ABBAS, M.P.H.( ERNAWATI)</t>
  </si>
  <si>
    <t>MH1JFS112FK106382</t>
  </si>
  <si>
    <t>JFS1E1104284</t>
  </si>
  <si>
    <t>KH 4391 PY</t>
  </si>
  <si>
    <t>L 06931774 M</t>
  </si>
  <si>
    <t>PAJAR ASIKIN, S.Pt</t>
  </si>
  <si>
    <t>MH1JFS112FK080785</t>
  </si>
  <si>
    <t>JFS1E1078937</t>
  </si>
  <si>
    <t>KH 4377 PY</t>
  </si>
  <si>
    <t>L 06931760 M</t>
  </si>
  <si>
    <t>EVI, A.Md</t>
  </si>
  <si>
    <t>MH1JFS110FK109409</t>
  </si>
  <si>
    <t>JFS1E1107613</t>
  </si>
  <si>
    <t>KH 4388 PY</t>
  </si>
  <si>
    <t>L 06931771 M</t>
  </si>
  <si>
    <t>MAITA SARAH, S.Kom</t>
  </si>
  <si>
    <t>MH1JFS115FK080781</t>
  </si>
  <si>
    <t>JFS1E11078942</t>
  </si>
  <si>
    <t>KH 4378 PY</t>
  </si>
  <si>
    <t>L 06931761 M</t>
  </si>
  <si>
    <t>ENTI MUNIFAH</t>
  </si>
  <si>
    <t>HONDA NC 11D1C A/T Spacy CW		 / HONDA NC 11D1C A/T Spacy CW</t>
  </si>
  <si>
    <t>MH1JF0218CK192182</t>
  </si>
  <si>
    <t>JF02E1193579</t>
  </si>
  <si>
    <t>KH 4082 PY</t>
  </si>
  <si>
    <t>I-10731506 M</t>
  </si>
  <si>
    <t>BPKAD /HENDRA, A.Md</t>
  </si>
  <si>
    <t>MH1JF0219CK199951</t>
  </si>
  <si>
    <t>JF02E1201245</t>
  </si>
  <si>
    <t>KH 4078 PY</t>
  </si>
  <si>
    <t>I-10731502 M</t>
  </si>
  <si>
    <t>BPKAD /NOOR AZIAH</t>
  </si>
  <si>
    <t>MH1JF0219CK203237</t>
  </si>
  <si>
    <t>JF02E1204580</t>
  </si>
  <si>
    <t>KH 4079 PY</t>
  </si>
  <si>
    <t>I-10731503 M</t>
  </si>
  <si>
    <t>PENUNGGU KANTOR /SADLI</t>
  </si>
  <si>
    <t>MH1JBE217DK272504</t>
  </si>
  <si>
    <t>JBE2E1265319</t>
  </si>
  <si>
    <t>KH 4176 PY</t>
  </si>
  <si>
    <t>K-05623359 M</t>
  </si>
  <si>
    <t>BPKAD/JHON HARTADY</t>
  </si>
  <si>
    <t>MH4LX150CEJP09864</t>
  </si>
  <si>
    <t>LX150CEPG6184</t>
  </si>
  <si>
    <t>KH 4273 PY</t>
  </si>
  <si>
    <t>L04350132M</t>
  </si>
  <si>
    <t>kaban/pkad</t>
  </si>
  <si>
    <t>Reklasifikasi Aset Tetap (Reklas dari persediaan)</t>
  </si>
  <si>
    <t>HONDA / NEW VARIO</t>
  </si>
  <si>
    <t>MH1JM5114LK684857</t>
  </si>
  <si>
    <t>JM51E1684466</t>
  </si>
  <si>
    <t>KH 4971 PY</t>
  </si>
  <si>
    <t>R02893432M</t>
  </si>
  <si>
    <t>Reklasifikasi Aset Tetap (Reklas dari Persediaan) KH 4971 PY</t>
  </si>
  <si>
    <t>MH1JM5110LK651533</t>
  </si>
  <si>
    <t>JM51E652596</t>
  </si>
  <si>
    <t>KH 4973 PY</t>
  </si>
  <si>
    <t>R02893434M</t>
  </si>
  <si>
    <t>Reklasifikasi Aset Tetap (Reklas dari Persediaan) KH 4973 PY</t>
  </si>
  <si>
    <t>Reklasifikasi Aset Tetap (Reklas dari Persediaan) KH 4974 PY</t>
  </si>
  <si>
    <t>MH4LX150CEJP1092</t>
  </si>
  <si>
    <t>LX150C5PG8731</t>
  </si>
  <si>
    <t>KH 4274 PY</t>
  </si>
  <si>
    <t>L 04350133 M</t>
  </si>
  <si>
    <t>Vario / ABS</t>
  </si>
  <si>
    <t>MH1KFA115RK249040</t>
  </si>
  <si>
    <t>KFA1E1248883</t>
  </si>
  <si>
    <t>KH 5308 PY</t>
  </si>
  <si>
    <t>V00168748M</t>
  </si>
  <si>
    <t>Pembayaran  Belanja Modal Kendaraan Bermotor Beroda Dua sub kegiatan Pengadaan Kendaraan Perorangan Dinas atau Kendaraan Dinas Jabatan (MAHMUDAH)</t>
  </si>
  <si>
    <t>MH1KFA115RK249068</t>
  </si>
  <si>
    <t>KFA1E1248853</t>
  </si>
  <si>
    <t>KH 5309 PY</t>
  </si>
  <si>
    <t>V00168749M</t>
  </si>
  <si>
    <t>Pembayaran  Belanja Modal Kendaraan Bermotor Beroda Dua sub kegiatan Pengadaan Kendaraan Perorangan Dinas atau Kendaraan Dinas Jabatan (INTAN KOMAKASARI)</t>
  </si>
  <si>
    <t>MH1KFA119RK249090</t>
  </si>
  <si>
    <t>KFA1E1248924</t>
  </si>
  <si>
    <t>KH 5310 PY</t>
  </si>
  <si>
    <t>V00168750M</t>
  </si>
  <si>
    <t>Pembayaran  Belanja Modal Kendaraan Bermotor Beroda Dua sub kegiatan Pengadaan Kendaraan Perorangan Dinas atau Kendaraan Dinas Jabatan (POPPY MEIRINDA)</t>
  </si>
  <si>
    <t>MH1KFA118RK249033</t>
  </si>
  <si>
    <t>KFA1E1248875</t>
  </si>
  <si>
    <t>KH 5311 PY</t>
  </si>
  <si>
    <t>V00168751M</t>
  </si>
  <si>
    <t>Pembayaran  Belanja Modal Kendaraan Bermotor Beroda Dua sub kegiatan Pengadaan Kendaraan Perorangan Dinas atau Kendaraan Dinas Jabatan (UMI YULIANAH)</t>
  </si>
  <si>
    <t>MH1KFA117RK251226</t>
  </si>
  <si>
    <t>KFA1E12510832</t>
  </si>
  <si>
    <t>KH 5312 PY</t>
  </si>
  <si>
    <t>V00168752M</t>
  </si>
  <si>
    <t>Pembayaran  Belanja Modal Kendaraan Bermotor Beroda Dua sub kegiatan Pengadaan Kendaraan Perorangan Dinas atau Kendaraan Dinas Jabatan (MEGAWATI)</t>
  </si>
  <si>
    <t>MH1KFA112RK251232</t>
  </si>
  <si>
    <t>KFA1E1251091</t>
  </si>
  <si>
    <t>KH 5313 PY</t>
  </si>
  <si>
    <t>V00168753M</t>
  </si>
  <si>
    <t>Pembayaran  Belanja Modal Kendaraan Bermotor Beroda Dua sub kegiatan Pengadaan Kendaraan Perorangan Dinas atau Kendaraan Dinas Jabatan (ENTI MUNIFAH)</t>
  </si>
  <si>
    <t>MH1KFA111RK249049</t>
  </si>
  <si>
    <t>KFA1E1248884</t>
  </si>
  <si>
    <t>KH 5314 PY</t>
  </si>
  <si>
    <t>V00168754M</t>
  </si>
  <si>
    <t>Pembayaran  Belanja Modal Kendaraan Bermotor Beroda Dua sub kegiatan Pengadaan Kendaraan Perorangan Dinas atau Kendaraan Dinas Jabatan (IDA DWI WULANDARI)</t>
  </si>
  <si>
    <t xml:space="preserve">000041 </t>
  </si>
  <si>
    <t>HONDA VARIO 160CC ABS / ABS</t>
  </si>
  <si>
    <t>MH1KFA119SK332640</t>
  </si>
  <si>
    <t>KFA1E1331806</t>
  </si>
  <si>
    <t>KH 5427 PY</t>
  </si>
  <si>
    <t>W01311527M</t>
  </si>
  <si>
    <t>PEMBAYARAN BELANJA MODAL PENGADAAN KENDARAAN DINAS RODA 2 (HONDA VARIO 160 CC ABS DAN CRF)</t>
  </si>
  <si>
    <t>MH1KFA113SK322959</t>
  </si>
  <si>
    <t>KFA1E1323705</t>
  </si>
  <si>
    <t>KH 5425 PY</t>
  </si>
  <si>
    <t>W013115255M</t>
  </si>
  <si>
    <t>MH1KFA117SK331504</t>
  </si>
  <si>
    <t>KFA1E1328453</t>
  </si>
  <si>
    <t>KH 5426 PY</t>
  </si>
  <si>
    <t>W013115256M</t>
  </si>
  <si>
    <t xml:space="preserve">000044 </t>
  </si>
  <si>
    <t>HONDA CRF 150 L</t>
  </si>
  <si>
    <t>MH1KD1110SK633139</t>
  </si>
  <si>
    <t>KD11E1632431</t>
  </si>
  <si>
    <t>KH 5428 PY</t>
  </si>
  <si>
    <t>W01311528M</t>
  </si>
  <si>
    <t>PEMBAYARAN BELANJA MODAL KENDARAAN DINAS RODA 2 (HONDA VARIO 160 CC DAN CRF 150 L)</t>
  </si>
  <si>
    <t xml:space="preserve"> '000045</t>
  </si>
  <si>
    <t>MH1KD1114SK633144</t>
  </si>
  <si>
    <t>KD11E1632434</t>
  </si>
  <si>
    <t>KH 5429 PY</t>
  </si>
  <si>
    <t>W01311529M</t>
  </si>
  <si>
    <t>MH1KD1116SK634344</t>
  </si>
  <si>
    <t>KD11E1633633</t>
  </si>
  <si>
    <t>KH 5430 PY</t>
  </si>
  <si>
    <t>W01311530M</t>
  </si>
  <si>
    <t xml:space="preserve"> Pembayaran Belanja Modal Kendaraan Roda 2 (Honda Vario 160 ABS 3 Unit &amp; Honda CRF 150 L 3 Unit)</t>
  </si>
  <si>
    <t>MH1KD1113KK104171</t>
  </si>
  <si>
    <t>KD11E1103490</t>
  </si>
  <si>
    <t>KH 4879 PY</t>
  </si>
  <si>
    <t>Q00400480M</t>
  </si>
  <si>
    <t>HIBAH /P. SAMPIT</t>
  </si>
  <si>
    <t>HONDA NEW VARIO 125 CBS ISS / HONDA NEW VARIO 125 CBS ISS</t>
  </si>
  <si>
    <t>MH1JM5116LK682821</t>
  </si>
  <si>
    <t>JM51E1682532</t>
  </si>
  <si>
    <t>KH 4978 PY</t>
  </si>
  <si>
    <t>R-02893439</t>
  </si>
  <si>
    <t>INTAN KOMALASARI, ST</t>
  </si>
  <si>
    <t>MH1JM5112LK684047</t>
  </si>
  <si>
    <t>JM51E1683800</t>
  </si>
  <si>
    <t>KH 4976 PY</t>
  </si>
  <si>
    <t>R-02893437</t>
  </si>
  <si>
    <t>ENTI MUNIFAH, S.T.,M.M.</t>
  </si>
  <si>
    <t>MH1JM5114LK680629</t>
  </si>
  <si>
    <t>JM51E1680221</t>
  </si>
  <si>
    <t>KH 4970 PY</t>
  </si>
  <si>
    <t>R-02893431</t>
  </si>
  <si>
    <t>UMI YULIANA, S.E.</t>
  </si>
  <si>
    <t>MH1JM5110LK682748</t>
  </si>
  <si>
    <t>JM51E1682437</t>
  </si>
  <si>
    <t>KH 4975 PY</t>
  </si>
  <si>
    <t>R-02893434</t>
  </si>
  <si>
    <t>MEGAWATI, S.E</t>
  </si>
  <si>
    <t>SETWAN (KETUA DPRD)</t>
  </si>
  <si>
    <t>TOYOTA NEW FORTUNER 2.7 G A/T LUX BENSIN VIN 2015 / TOYOTA NEW FORTUNER 2.7 G A/T LUX BENSIN VIN 201</t>
  </si>
  <si>
    <t>2700</t>
  </si>
  <si>
    <t>MHFZX69G5F7082740</t>
  </si>
  <si>
    <t>2TR8887267</t>
  </si>
  <si>
    <t>KH 1210 PU</t>
  </si>
  <si>
    <t>L-06968280 M</t>
  </si>
  <si>
    <t>Pengadilan Sampit</t>
  </si>
  <si>
    <t>Dahiatsu Xenia / Dahiatsu Xenia</t>
  </si>
  <si>
    <t>HMKV1BA1JAK059720</t>
  </si>
  <si>
    <t>DF45622</t>
  </si>
  <si>
    <t>KH 1095 PU</t>
  </si>
  <si>
    <t>H-0 2413871</t>
  </si>
  <si>
    <t>TOYOTA NEW KIJANG INNOVA V M/T BENSIN VIN 2015 / TOYOTA NEW KIJANG INNOVA V M/T BENSIN VIN 2015</t>
  </si>
  <si>
    <t>MHFXW43G7F4091903</t>
  </si>
  <si>
    <t>1TR7964746</t>
  </si>
  <si>
    <t>KH 1220 PU</t>
  </si>
  <si>
    <t>L-06968067 M</t>
  </si>
  <si>
    <t>DANDIM 1015/ SAMPIT</t>
  </si>
  <si>
    <t>MHKM5EA2JGK012838</t>
  </si>
  <si>
    <t>1NRF181815</t>
  </si>
  <si>
    <t>KH 1244 PU</t>
  </si>
  <si>
    <t>L 09757241 M</t>
  </si>
  <si>
    <t>DHARMA WANITA</t>
  </si>
  <si>
    <t>TOYOTA GRAND NEW AVANZA 1.3  E  M/T VIN 2016 / TOYOTA GRAND NEW AVANZA 1.3  E  M/T VIN 2016</t>
  </si>
  <si>
    <t>1329 CC</t>
  </si>
  <si>
    <t>MHKM5EA2JGK006038</t>
  </si>
  <si>
    <t>1NRF106626</t>
  </si>
  <si>
    <t>KH 1228 PU</t>
  </si>
  <si>
    <t>L-09739361 M</t>
  </si>
  <si>
    <t>KEJAKSAAN NEGERI SERUYAN</t>
  </si>
  <si>
    <t>MHKM5EA2JGK006297</t>
  </si>
  <si>
    <t>1NRF111995</t>
  </si>
  <si>
    <t>KH 1227 PU</t>
  </si>
  <si>
    <t>L-09739363 M</t>
  </si>
  <si>
    <t>DIREKTUR RSUD HANAU</t>
  </si>
  <si>
    <t>13OO</t>
  </si>
  <si>
    <t>MHKM5EA2JGK013119</t>
  </si>
  <si>
    <t>1NRF184625</t>
  </si>
  <si>
    <t>KH 1243 PU</t>
  </si>
  <si>
    <t>L 09757240 M</t>
  </si>
  <si>
    <t>TOYOTA ALL NEW KIJANG INNOVA 2.4 Q A/T DIESEL VENT / TOYOTA ALL NEW KIJANG INNOVA 2.4 Q A/T DIESEL V</t>
  </si>
  <si>
    <t>MHFAB3EM1H0006319</t>
  </si>
  <si>
    <t>2GDC210078</t>
  </si>
  <si>
    <t>KH 1245 PU</t>
  </si>
  <si>
    <t>M 10648548 M</t>
  </si>
  <si>
    <t>KETUA DPRD</t>
  </si>
  <si>
    <t>MHFXW42GXB2203214</t>
  </si>
  <si>
    <t>1TR7188817</t>
  </si>
  <si>
    <t>KH 1141 PU</t>
  </si>
  <si>
    <t>I-04919008 M</t>
  </si>
  <si>
    <t>DEWAN ADAT DAYAK</t>
  </si>
  <si>
    <t>TOYOTA INNOVA V M/T LUXURY BENSIN / TOYOTA INNOVA V M/T LUXURY BENSIN</t>
  </si>
  <si>
    <t>MHFXW43G6C4069306</t>
  </si>
  <si>
    <t>1TR-7364619</t>
  </si>
  <si>
    <t>KH 1158 PU</t>
  </si>
  <si>
    <t>J-04246950 M</t>
  </si>
  <si>
    <t>WAKAPOLRES</t>
  </si>
  <si>
    <t>SUZUKI CARRIBIAN / SUZUKI CARRIBIAN</t>
  </si>
  <si>
    <t>SJ51-TH700646</t>
  </si>
  <si>
    <t>G13B-TH700646</t>
  </si>
  <si>
    <t>KH 8023 PW</t>
  </si>
  <si>
    <t>F 2143278 M</t>
  </si>
  <si>
    <t>BADAN NARKOTIKA</t>
  </si>
  <si>
    <t>TOYOTA NEW KIJANG INNOVA V M/T LUX BENSIN / TOYOTA NEW KIJANG INNOVA V M/T LUX BENSIN</t>
  </si>
  <si>
    <t>MHFXW43G5D4081710</t>
  </si>
  <si>
    <t>1TR7656722</t>
  </si>
  <si>
    <t>KH 1175 PU</t>
  </si>
  <si>
    <t>K 03040539 M</t>
  </si>
  <si>
    <t>GOW KAB. SERUYAN</t>
  </si>
  <si>
    <t>TOYOTA NEW AVANZA 1.3 E M/T / TOYOTA NEW AVANZA 1.3 E M/T</t>
  </si>
  <si>
    <t>1.300</t>
  </si>
  <si>
    <t>MHKM1BA2JBK054387</t>
  </si>
  <si>
    <t>MD62270</t>
  </si>
  <si>
    <t>KH 1179 PU</t>
  </si>
  <si>
    <t>K 06866180 M</t>
  </si>
  <si>
    <t>Polres</t>
  </si>
  <si>
    <t>MHKM1BA2JBK05454554</t>
  </si>
  <si>
    <t>K3MD62940</t>
  </si>
  <si>
    <t>KH 1180 PU</t>
  </si>
  <si>
    <t>K 06866181 M</t>
  </si>
  <si>
    <t>PWI</t>
  </si>
  <si>
    <t>MHFXW41G6D0055756</t>
  </si>
  <si>
    <t>1TR 7495613</t>
  </si>
  <si>
    <t>KH 1172 PU</t>
  </si>
  <si>
    <t>K-02558278 M</t>
  </si>
  <si>
    <t>Gudang</t>
  </si>
  <si>
    <t>MHFXW41G9D0055850</t>
  </si>
  <si>
    <t>1TR 7499730</t>
  </si>
  <si>
    <t>KH 1173 PU</t>
  </si>
  <si>
    <t>K-02558279 M</t>
  </si>
  <si>
    <t>Pengguna : Plt. Kepala Dinas</t>
  </si>
  <si>
    <t>MHFXW41G2E0063726</t>
  </si>
  <si>
    <t>1 TR7867481</t>
  </si>
  <si>
    <t>KH 1189 PU</t>
  </si>
  <si>
    <t>K 00650511 M</t>
  </si>
  <si>
    <t>BADAN LINGKUNGAN HIDUP</t>
  </si>
  <si>
    <t>MHFXW41GE0063422</t>
  </si>
  <si>
    <t>1 TR785550</t>
  </si>
  <si>
    <t>KH 1197 PU</t>
  </si>
  <si>
    <t>K 00650512 M</t>
  </si>
  <si>
    <t>DISPERKIMTAN</t>
  </si>
  <si>
    <t>MHFXW41G2E0063595</t>
  </si>
  <si>
    <t>1 TR7862638</t>
  </si>
  <si>
    <t>KH 1187 PU</t>
  </si>
  <si>
    <t>K 00650518 M</t>
  </si>
  <si>
    <t>BADAN KETAHANAN PANGAN</t>
  </si>
  <si>
    <t>MBNLMFF80EW293020</t>
  </si>
  <si>
    <t>P4AT1198792</t>
  </si>
  <si>
    <t>KH 8117 PW</t>
  </si>
  <si>
    <t>K 06865519 M</t>
  </si>
  <si>
    <t>BADAN PERTANAHAN NASIONAL</t>
  </si>
  <si>
    <t>SUZUKI PICK UP 1.5 WD / SUZUKI PICK UP 1.5 WD</t>
  </si>
  <si>
    <t>1,493</t>
  </si>
  <si>
    <t>MHYESL415CJ261399</t>
  </si>
  <si>
    <t>G15AID879078</t>
  </si>
  <si>
    <t>KH 8088 PW</t>
  </si>
  <si>
    <t>J-04245901 M</t>
  </si>
  <si>
    <t>PDAM (PINJAM PAKAI)</t>
  </si>
  <si>
    <t>TOYOTA HILUX CABIN E M/T DIESEL / TOYOTA HILUX CABIN E M/T DIESEL</t>
  </si>
  <si>
    <t>MROFR22G080778944</t>
  </si>
  <si>
    <t>2KDS360625</t>
  </si>
  <si>
    <t>KH 8110 PW</t>
  </si>
  <si>
    <t>L- 04388083 M</t>
  </si>
  <si>
    <t>SAMSAT</t>
  </si>
  <si>
    <t>MNBLMFF80DW236557</t>
  </si>
  <si>
    <t>P4AT1152465</t>
  </si>
  <si>
    <t>KH 8106 PW</t>
  </si>
  <si>
    <t>K 06860426 M</t>
  </si>
  <si>
    <t>KPU</t>
  </si>
  <si>
    <t>TOYOTA ALL NEW HILUX DOUBLE CABIN G M/T DIESEL VIN / TOYOTA ALL NEW HILUX DOUBLE CABIN G M/T DIESEL</t>
  </si>
  <si>
    <t>MROKS8CD8F1030903</t>
  </si>
  <si>
    <t>2KDS580144</t>
  </si>
  <si>
    <t>KH 8128 PW</t>
  </si>
  <si>
    <t>L-06968283 M</t>
  </si>
  <si>
    <t>kapolres</t>
  </si>
  <si>
    <t>Ford Ranger  (4X2) M/T / Ford Ranger  (4X2) M/T</t>
  </si>
  <si>
    <t>2800 cc</t>
  </si>
  <si>
    <t>MNBBSBE409W8226917</t>
  </si>
  <si>
    <t>WLAT1122707</t>
  </si>
  <si>
    <t>KH 8046 PW</t>
  </si>
  <si>
    <t>G 3012886 M</t>
  </si>
  <si>
    <t>Pengalihan Status Penggunaan Kendaraan Dinas Roda 4           ( empat) KH 8046 PW</t>
  </si>
  <si>
    <t>MRODS8CD8F0260598</t>
  </si>
  <si>
    <t>2KDU791181</t>
  </si>
  <si>
    <t>KH 8133 PW</t>
  </si>
  <si>
    <t>L-06968288 M</t>
  </si>
  <si>
    <t>IDHAM BW KUSUMAH,SE.,MSM</t>
  </si>
  <si>
    <t>ARJUNA JRD / ARJUNA JRD</t>
  </si>
  <si>
    <t>MFTA2122A4J004295</t>
  </si>
  <si>
    <t>JT100LCS2003001071</t>
  </si>
  <si>
    <t>KH 2012 PY</t>
  </si>
  <si>
    <t>D 2134280M</t>
  </si>
  <si>
    <t>HONDA NF11B2D1 M/T Revo FIT / HONDA NF11B2D1 M/T Revo FIT</t>
  </si>
  <si>
    <t>MH1JBE219CK233069</t>
  </si>
  <si>
    <t>JBE2E1229867</t>
  </si>
  <si>
    <t>KH 4161 PY</t>
  </si>
  <si>
    <t>J-04697981 M</t>
  </si>
  <si>
    <t>PERWIRA PENGHUBUNG</t>
  </si>
  <si>
    <t>MH1JBE216DK273157</t>
  </si>
  <si>
    <t>JBE2E1267330</t>
  </si>
  <si>
    <t>KH 4180 PY</t>
  </si>
  <si>
    <t>K-05623355 M</t>
  </si>
  <si>
    <t>MH1CK5215DK088180</t>
  </si>
  <si>
    <t>KC52E1088884</t>
  </si>
  <si>
    <t>KH 4203 PY</t>
  </si>
  <si>
    <t>K 08796080 M</t>
  </si>
  <si>
    <t>ANGKATAN LAUT</t>
  </si>
  <si>
    <t>MH1JFA110EK220230</t>
  </si>
  <si>
    <t>JFA1E1216434</t>
  </si>
  <si>
    <t>KH 4336 PY</t>
  </si>
  <si>
    <t>L 04355424 M</t>
  </si>
  <si>
    <t>YAMAHA VEGA R / YAMAHA VEGA R</t>
  </si>
  <si>
    <t>MH34D70028J857701</t>
  </si>
  <si>
    <t>4D7-857713</t>
  </si>
  <si>
    <t>KH 2333 PY</t>
  </si>
  <si>
    <t>F 4844214 M</t>
  </si>
  <si>
    <t>AHMADI</t>
  </si>
  <si>
    <t>MH34D70028J854748</t>
  </si>
  <si>
    <t>4D7-854774</t>
  </si>
  <si>
    <t>KH 2321 PY</t>
  </si>
  <si>
    <t>F 4844202 M</t>
  </si>
  <si>
    <t>SUPIANUR</t>
  </si>
  <si>
    <t>MH34D70028J857704</t>
  </si>
  <si>
    <t>4D7-857729</t>
  </si>
  <si>
    <t>KH 2328 PY</t>
  </si>
  <si>
    <t>F 4844209 M</t>
  </si>
  <si>
    <t>USNI</t>
  </si>
  <si>
    <t>MH34D70028J838697</t>
  </si>
  <si>
    <t>4D7-838729</t>
  </si>
  <si>
    <t>KH 2329 PY</t>
  </si>
  <si>
    <t>F 4844210 M</t>
  </si>
  <si>
    <t>ABDUL RAHIM</t>
  </si>
  <si>
    <t>MH34D70028J809737</t>
  </si>
  <si>
    <t>4D7-809763</t>
  </si>
  <si>
    <t>KH 2293 PY</t>
  </si>
  <si>
    <t>F 4844174 M</t>
  </si>
  <si>
    <t>MINAL AIDIN</t>
  </si>
  <si>
    <t>MH34D70028J855542</t>
  </si>
  <si>
    <t>4D7-855557</t>
  </si>
  <si>
    <t>KH 2297 PY</t>
  </si>
  <si>
    <t>F 4844178 M</t>
  </si>
  <si>
    <t>JUHARTO, S.Pd</t>
  </si>
  <si>
    <t>MH34D70028J843078</t>
  </si>
  <si>
    <t>4D7-843136</t>
  </si>
  <si>
    <t>KH 2299 PY</t>
  </si>
  <si>
    <t>F 4844180 M</t>
  </si>
  <si>
    <t>H. TRI ARI SUSILO</t>
  </si>
  <si>
    <t>Honda/  Supra / Honda/  Supra</t>
  </si>
  <si>
    <t xml:space="preserve"> MHIKEVA102K012519</t>
  </si>
  <si>
    <t>KEVAE-1013603</t>
  </si>
  <si>
    <t>KH 2539 PY</t>
  </si>
  <si>
    <t>C 3188944 M</t>
  </si>
  <si>
    <t>Farid (Sopir Pak Haryono)</t>
  </si>
  <si>
    <t>MH1JF3118AK176791</t>
  </si>
  <si>
    <t>JF31E0175957</t>
  </si>
  <si>
    <t>KH 2660 PY</t>
  </si>
  <si>
    <t>H-06859717 M</t>
  </si>
  <si>
    <t>H. Syamsudin, AM /DPRD</t>
  </si>
  <si>
    <t>MH1JF3112AK176799</t>
  </si>
  <si>
    <t>JF31E0175956</t>
  </si>
  <si>
    <t>KH 2643 PY</t>
  </si>
  <si>
    <t>H-06859662 M</t>
  </si>
  <si>
    <t>Tomi Amirol</t>
  </si>
  <si>
    <t>MH1JF3111AK176812</t>
  </si>
  <si>
    <t>JF31E0176000</t>
  </si>
  <si>
    <t>KH 2653 PY</t>
  </si>
  <si>
    <t>H-06859724 M</t>
  </si>
  <si>
    <t>sekretaris KPU /agung sulyistyono</t>
  </si>
  <si>
    <t>MH1JBE215CK193055</t>
  </si>
  <si>
    <t>JBE2E1190705</t>
  </si>
  <si>
    <t>KH 4055 PY</t>
  </si>
  <si>
    <t>I-10729965 M</t>
  </si>
  <si>
    <t xml:space="preserve"> PDAM</t>
  </si>
  <si>
    <t>MH1KC5217DK087919</t>
  </si>
  <si>
    <t>KC52E1088824</t>
  </si>
  <si>
    <t>KH 4205 PY</t>
  </si>
  <si>
    <t>K 08796082 M</t>
  </si>
  <si>
    <t>KADES SUNGAI UNDANG</t>
  </si>
  <si>
    <t>MH1JFJ119EK338695</t>
  </si>
  <si>
    <t>JFJ1E1334726</t>
  </si>
  <si>
    <t>KH 4328 PY</t>
  </si>
  <si>
    <t>L 04358941 M</t>
  </si>
  <si>
    <t>ARBAIN  /DPRD</t>
  </si>
  <si>
    <t>MH1JFJ115EK306469</t>
  </si>
  <si>
    <t>JFJ1E301967</t>
  </si>
  <si>
    <t>KH 4327 PY</t>
  </si>
  <si>
    <t>L 04358940 M</t>
  </si>
  <si>
    <t>H. MURYADI /DPRD</t>
  </si>
  <si>
    <t>MH1JFJ116EK297927</t>
  </si>
  <si>
    <t>JFJ1E1299050</t>
  </si>
  <si>
    <t>KH 4325 PY</t>
  </si>
  <si>
    <t>L 04358938 M</t>
  </si>
  <si>
    <t>ARAHMAN  /DPRD</t>
  </si>
  <si>
    <t>MH1JFJ11XEK297204</t>
  </si>
  <si>
    <t>JFJ1E1298325</t>
  </si>
  <si>
    <t>KH 4324 PY</t>
  </si>
  <si>
    <t>L 04358937 M</t>
  </si>
  <si>
    <t>KOLING IRAWAN,ST/ DPRD</t>
  </si>
  <si>
    <t>MH1JFJ116EK338265</t>
  </si>
  <si>
    <t>JFJ1E1334291</t>
  </si>
  <si>
    <t>KH 4323 PY</t>
  </si>
  <si>
    <t>L 04358936 M</t>
  </si>
  <si>
    <t>ETI SUWARTI /DPRD</t>
  </si>
  <si>
    <t>MH1JFJ114EK338264</t>
  </si>
  <si>
    <t>JFJ1E1334289</t>
  </si>
  <si>
    <t>KH 4322 PY</t>
  </si>
  <si>
    <t>L 04358935 M</t>
  </si>
  <si>
    <t>MUHAMMAD ASWIN / DPRD</t>
  </si>
  <si>
    <t>MH1JFJ116EK334362</t>
  </si>
  <si>
    <t>JFJ1E1331372</t>
  </si>
  <si>
    <t>KH 4320 PY</t>
  </si>
  <si>
    <t>L 04358933 M</t>
  </si>
  <si>
    <t>ANWARI RAMADHANI / DPRD</t>
  </si>
  <si>
    <t>MH1JFJ116EK266306</t>
  </si>
  <si>
    <t>JFJ1E1263116</t>
  </si>
  <si>
    <t>KH 4319 PY</t>
  </si>
  <si>
    <t>L 04358932 M</t>
  </si>
  <si>
    <t>H. BAMBANG YANTOKO /DPRD</t>
  </si>
  <si>
    <t>MH1JFJ113EK334352</t>
  </si>
  <si>
    <t>JFJ1E1331362</t>
  </si>
  <si>
    <t>KH 4313 PY</t>
  </si>
  <si>
    <t>L 04358925 M</t>
  </si>
  <si>
    <t>ARAHMAN</t>
  </si>
  <si>
    <t>MH1KC5210EK200479</t>
  </si>
  <si>
    <t>KC52E1198465</t>
  </si>
  <si>
    <t>KH 4299 PY</t>
  </si>
  <si>
    <t>L 04354121 M</t>
  </si>
  <si>
    <t>Drs. YUSUF SASMITA</t>
  </si>
  <si>
    <t>MH1JFH112FK349337</t>
  </si>
  <si>
    <t>JFH1E-1349170</t>
  </si>
  <si>
    <t>KH 4423 PY</t>
  </si>
  <si>
    <t>L- 06960701 M</t>
  </si>
  <si>
    <t>SEKRETARIAT DPRD (KETUA, WAKIL KETUA I, II)</t>
  </si>
  <si>
    <t>MH1JFH113FK349752</t>
  </si>
  <si>
    <t>JFH1E-1349564</t>
  </si>
  <si>
    <t>KH 4422 PY</t>
  </si>
  <si>
    <t>L- 06960700 M</t>
  </si>
  <si>
    <t>MH1JFH115FK350417</t>
  </si>
  <si>
    <t>JFH1E-1350126</t>
  </si>
  <si>
    <t>KH 4421 PY</t>
  </si>
  <si>
    <t>L- 06960699 M</t>
  </si>
  <si>
    <t>HONDA / SUPRA X</t>
  </si>
  <si>
    <t>KEVAE1817595</t>
  </si>
  <si>
    <t>KH 3085 PY</t>
  </si>
  <si>
    <t>S.K. Keputusan Bupati Seruyan Nomor 188.45/334 /2022</t>
  </si>
  <si>
    <t>HONDA / KHARISMA</t>
  </si>
  <si>
    <t>MH1JB21143K215904</t>
  </si>
  <si>
    <t>JB21E1213820</t>
  </si>
  <si>
    <t>KH 2592 PY</t>
  </si>
  <si>
    <t>C6445794</t>
  </si>
  <si>
    <t>MH1JFT111HK087171</t>
  </si>
  <si>
    <t>JFT1E1086518</t>
  </si>
  <si>
    <t>KH 4613 PY</t>
  </si>
  <si>
    <t>M 12805854 M</t>
  </si>
  <si>
    <t>MH. HB311186K16675</t>
  </si>
  <si>
    <t>HB31E-1211199</t>
  </si>
  <si>
    <t>KH 2055 PY</t>
  </si>
  <si>
    <t>E1047097 M</t>
  </si>
  <si>
    <t>MH.8BF45CAAJ-171904</t>
  </si>
  <si>
    <t>F496-ID-368641</t>
  </si>
  <si>
    <t>KH 2678 PY</t>
  </si>
  <si>
    <t>H 11006980 M</t>
  </si>
  <si>
    <t>FORD RANGER SC BASE 2.2L (4X4) MT / FORD RANGER SC BASE 2.2L (4X4) MT</t>
  </si>
  <si>
    <t>2198</t>
  </si>
  <si>
    <t>MNBDMBF20EW282063</t>
  </si>
  <si>
    <t>P4AT1191195</t>
  </si>
  <si>
    <t>KH 9012 PW</t>
  </si>
  <si>
    <t>K 06865187 M</t>
  </si>
  <si>
    <t>Puskesmas Rantau Pulut 1</t>
  </si>
  <si>
    <t>TOYOTA / KIJANG INNOVA Zenix 2.0 V CVT</t>
  </si>
  <si>
    <t>MHFAAAAA1P0015278</t>
  </si>
  <si>
    <t>M20ANA72603</t>
  </si>
  <si>
    <t>KH 1297 PU</t>
  </si>
  <si>
    <t>U - 00507443 M</t>
  </si>
  <si>
    <t>ASHADI, S.T. (Kepala Badan Pendapatan Daerah)</t>
  </si>
  <si>
    <t>MH1JFJ116EK287205</t>
  </si>
  <si>
    <t>JFJ1E1331354</t>
  </si>
  <si>
    <t>KH 4333 PY</t>
  </si>
  <si>
    <t>L 04358946 M</t>
  </si>
  <si>
    <t>R. Gudang</t>
  </si>
  <si>
    <t>MH1JFJ116EK297913</t>
  </si>
  <si>
    <t>JGJ1E1299036</t>
  </si>
  <si>
    <t>KH 4321 PY</t>
  </si>
  <si>
    <t>L 04358934 M</t>
  </si>
  <si>
    <t>Suzuki  FL 125 SD / Shogun R / Suzuki  FL 125 SD / Shogun R</t>
  </si>
  <si>
    <t>MH8BF45CAAJ171488</t>
  </si>
  <si>
    <t>F496ID361424</t>
  </si>
  <si>
    <t>KH 2663 PY</t>
  </si>
  <si>
    <t>H-11011857 M</t>
  </si>
  <si>
    <t>di gudang Bapenda</t>
  </si>
  <si>
    <t>MH8BF45CAAJ171452</t>
  </si>
  <si>
    <t>F496ID361483</t>
  </si>
  <si>
    <t>KH 2664 PY</t>
  </si>
  <si>
    <t>H-11006968 M</t>
  </si>
  <si>
    <t>ADI PANTRI S.AB (Kasubbid. Pengawasan dan Penyalesaian Keberatan Pajak Daerah)</t>
  </si>
  <si>
    <t>MH8BF45CAAJ171799</t>
  </si>
  <si>
    <t>F496ID363877</t>
  </si>
  <si>
    <t>KH 2665 PY</t>
  </si>
  <si>
    <t>H-11006967 M</t>
  </si>
  <si>
    <t>di gudang</t>
  </si>
  <si>
    <t>MH8BF45CAAJ171382</t>
  </si>
  <si>
    <t>F496ID361236</t>
  </si>
  <si>
    <t>KH 2666 PY</t>
  </si>
  <si>
    <t>H-11006969 M</t>
  </si>
  <si>
    <t>SYARIF HAFIEDZ, S.H. (Kasubbid. Penyusunan Kebijakan dan Penyuluhan Pendapatan Daerah)</t>
  </si>
  <si>
    <t>MH8BF45CAAJ171482</t>
  </si>
  <si>
    <t>F496ID361382</t>
  </si>
  <si>
    <t>KH 2667 PY</t>
  </si>
  <si>
    <t>H-11006966 M</t>
  </si>
  <si>
    <t>MH8BF45CAAJ171443</t>
  </si>
  <si>
    <t>F496ID361386</t>
  </si>
  <si>
    <t>KH 2668 PY</t>
  </si>
  <si>
    <t>H-11006971 M</t>
  </si>
  <si>
    <t>DAHLIA, S.E. (Analis Kebijakan Ahli Muda)</t>
  </si>
  <si>
    <t>MH8BF45CAAJ171496</t>
  </si>
  <si>
    <t>F496ID361410</t>
  </si>
  <si>
    <t>KH 2669 PY</t>
  </si>
  <si>
    <t>H-11006970 M</t>
  </si>
  <si>
    <t>DEWI EKA WIDIANTI, S.Sos (Kasubbid. Pengolahan Data dan Penetapan)</t>
  </si>
  <si>
    <t>HONDA  NF 125 TR / HONDA  NF 125 TR</t>
  </si>
  <si>
    <t>MH1JB9125BK888653</t>
  </si>
  <si>
    <t>JB91E2879387</t>
  </si>
  <si>
    <t>KH 4045 PY</t>
  </si>
  <si>
    <t>I-  05944374 M</t>
  </si>
  <si>
    <t>MH1JB9124BK899210</t>
  </si>
  <si>
    <t>JB91E2890471</t>
  </si>
  <si>
    <t>KH 4046 PY</t>
  </si>
  <si>
    <t>I-  05944375 M</t>
  </si>
  <si>
    <t>MH1JB9122BK898721</t>
  </si>
  <si>
    <t>JB91E-2889879</t>
  </si>
  <si>
    <t>KH 4047 PY</t>
  </si>
  <si>
    <t>I-  05944376 M</t>
  </si>
  <si>
    <t>LIA VERANICA, S.E.(Kasubbid. Monitoring dan Evaluasi Pendapatan Daerah)</t>
  </si>
  <si>
    <t>MH1JB9129BK899297</t>
  </si>
  <si>
    <t>JB91E2890507</t>
  </si>
  <si>
    <t>KH 4049 PY</t>
  </si>
  <si>
    <t>I-  05944378 M</t>
  </si>
  <si>
    <t>SURYANA CITRA PERMANA DEWI,SE (Kasubbid. Pendataan dan Penilaian Pajak Daerah)</t>
  </si>
  <si>
    <t>HONDA  NC 11A3CB  NEW VARIO TECHNO / HONDA  NC 11A3CB  NEW VARIO TECHNO</t>
  </si>
  <si>
    <t>MH1JF711XBK179653</t>
  </si>
  <si>
    <t>JF71E1177072</t>
  </si>
  <si>
    <t>KH 4048 PY</t>
  </si>
  <si>
    <t>I-  05944377  M</t>
  </si>
  <si>
    <t>MARTA SIAH, S.I.P(Kasubbid. Pelaporan Pendapatan Daerah)</t>
  </si>
  <si>
    <t>SUZUKI EN 125 HAK / SUZUKI EN 125 HAK</t>
  </si>
  <si>
    <t>MH8NF4FAACJ115177</t>
  </si>
  <si>
    <t>F4B1-ID116006</t>
  </si>
  <si>
    <t>KH 4163 PY</t>
  </si>
  <si>
    <t>J-04704662 M</t>
  </si>
  <si>
    <t>MH1JM4117JK183968</t>
  </si>
  <si>
    <t>JM41E1183668</t>
  </si>
  <si>
    <t>KH 4778 PY</t>
  </si>
  <si>
    <t>O 02643640 M</t>
  </si>
  <si>
    <t>ASTRI SABANA, S.A.P ( Analis Kebijakan Ahli Muda)</t>
  </si>
  <si>
    <t>MH1KC0217JK034975</t>
  </si>
  <si>
    <t>KC02E1035159</t>
  </si>
  <si>
    <t>KH 4766 PY</t>
  </si>
  <si>
    <t>O 02643637 M</t>
  </si>
  <si>
    <t>ANANG FAHRUROZI, S.E., M.A.P ( Kasubbid. Perencanaan dan Pelayanan Pendapatan Daerah ) mutasi dari BPKAD</t>
  </si>
  <si>
    <t>MH1KC5211FK254861</t>
  </si>
  <si>
    <t>KC52E1252673</t>
  </si>
  <si>
    <t>KH 4365 PY</t>
  </si>
  <si>
    <t>L 06930534 M</t>
  </si>
  <si>
    <t>FITRIYANI AKBAR (Pengurus Barang Pengguna)</t>
  </si>
  <si>
    <t>HONDA NF 125 / NF 125</t>
  </si>
  <si>
    <t>MH1JB51156K582073</t>
  </si>
  <si>
    <t>JB51E1583876</t>
  </si>
  <si>
    <t>KH 2059 PY</t>
  </si>
  <si>
    <t>E 1047095 M</t>
  </si>
  <si>
    <t>RUDY HERIYANTO SURATMAN, A.Md (Analis Penagih Pajak)</t>
  </si>
  <si>
    <t>YAMAHA / ALL NEW NMAX 155 VVA/155 CC</t>
  </si>
  <si>
    <t>155 CC</t>
  </si>
  <si>
    <t>MH3SG5620NJ711547</t>
  </si>
  <si>
    <t>G3L8E-1472459</t>
  </si>
  <si>
    <t>KH 5228 PY</t>
  </si>
  <si>
    <t>U-01948463M</t>
  </si>
  <si>
    <t>RINA SELVIANI, S.E. ( Kasubbag. Umum, Perlengkapan dan Kepegawaian)</t>
  </si>
  <si>
    <t>HONDA / L1K02Q33L1 A/T (VARIO 160)</t>
  </si>
  <si>
    <t>156,93 cc</t>
  </si>
  <si>
    <t>Besi dan Plastik</t>
  </si>
  <si>
    <t>MH1KFA116RK253128</t>
  </si>
  <si>
    <t>KFA1E-1252925</t>
  </si>
  <si>
    <t>KH 5322 PY</t>
  </si>
  <si>
    <t>V-00171622 M</t>
  </si>
  <si>
    <t>MH1KFA114RK253175</t>
  </si>
  <si>
    <t>KFA1E-1253002</t>
  </si>
  <si>
    <t>KH 5321 PY</t>
  </si>
  <si>
    <t>V-00171621 M</t>
  </si>
  <si>
    <t>HASNI SYAHRIDA, S.E. (Perencana Ahli Muda)</t>
  </si>
  <si>
    <t>MH1KFA113RK253278</t>
  </si>
  <si>
    <t>KFA1E-1253090</t>
  </si>
  <si>
    <t>KH 5323 PY</t>
  </si>
  <si>
    <t>V-00171623 M</t>
  </si>
  <si>
    <t>MH1KFA112RK253160</t>
  </si>
  <si>
    <t>KFA1E-1252977</t>
  </si>
  <si>
    <t>KH 5324 PY</t>
  </si>
  <si>
    <t>V-00171624 M</t>
  </si>
  <si>
    <t>ROBBY PRAMUDYA, S.Sos (Kabid. Evaluasi dan Pelaporan Pendapatan Daerah)</t>
  </si>
  <si>
    <t>MH1KFA110RK255196</t>
  </si>
  <si>
    <t>KFA1E-1253712</t>
  </si>
  <si>
    <t>KH 5326 PY</t>
  </si>
  <si>
    <t>V-04696373 M</t>
  </si>
  <si>
    <t>AGUS DWI SURYANTO,S.P., M.M (Kabid. Penagihan, Pengawasan dan Penyelesaian Keberatan Pemungutan)</t>
  </si>
  <si>
    <t>MH1KFA115RK254545</t>
  </si>
  <si>
    <t>KFA1E-1254395</t>
  </si>
  <si>
    <t>KH 5327 PY</t>
  </si>
  <si>
    <t>V-04696372 M</t>
  </si>
  <si>
    <t>FAUZI AKBAR, S.T. (Sekretaris)</t>
  </si>
  <si>
    <t>19.01.2015 51</t>
  </si>
  <si>
    <t>MHFXW42G5F2305381</t>
  </si>
  <si>
    <t>1TR7958492</t>
  </si>
  <si>
    <t>KH 1198 PU</t>
  </si>
  <si>
    <t>L 06940393 M</t>
  </si>
  <si>
    <t>Kepala Badan
Agung Sulistyono,SH.MSM</t>
  </si>
  <si>
    <t>Pick Up
HILUX DOUBLE CABIN / 2.4 G
 (4x40 DSL M/T HITAM</t>
  </si>
  <si>
    <t>HILUX DOUBLE CABIN / 2.4 G (4x40 DSL M/T HITAM</t>
  </si>
  <si>
    <t>MR0KB8CD9S1231963</t>
  </si>
  <si>
    <t>2GD5899802</t>
  </si>
  <si>
    <t>KH 8254 PW</t>
  </si>
  <si>
    <t>MH1JFS115FK106344</t>
  </si>
  <si>
    <t>JFS1E1104505</t>
  </si>
  <si>
    <t>KH 4383 PY</t>
  </si>
  <si>
    <t>L 06931766 M</t>
  </si>
  <si>
    <t>PEMBANTU PENGURUS BARANG PENGGUNA (JANIARTI)</t>
  </si>
  <si>
    <t>MH1JFH110FK353242</t>
  </si>
  <si>
    <t>JFH1E-1352169</t>
  </si>
  <si>
    <t>KH 4420 PY</t>
  </si>
  <si>
    <t>L- 06960698 M</t>
  </si>
  <si>
    <t>KABID PENGEMBANGAN KOMPETENSI
(AGUS DIANTO,SH)</t>
  </si>
  <si>
    <t>MH1KC5211FK255721</t>
  </si>
  <si>
    <t>KC52E1253771</t>
  </si>
  <si>
    <t>KH 4369 PY</t>
  </si>
  <si>
    <t>L 06930538 M</t>
  </si>
  <si>
    <t xml:space="preserve">KASUBBAG UMUM 
Krisna sanjaya, A.Md
</t>
  </si>
  <si>
    <t>MH1JFH114FK352143</t>
  </si>
  <si>
    <t>JFH1E-1351075</t>
  </si>
  <si>
    <t>KH 4419 PY</t>
  </si>
  <si>
    <t>L- 06960697 M</t>
  </si>
  <si>
    <t>SEKRETARIS BADAN
(RIDUANSYAH,S.IP.,M.A.P)</t>
  </si>
  <si>
    <t>MH1JFH122FK387215</t>
  </si>
  <si>
    <t>JFH1E-1386611</t>
  </si>
  <si>
    <t>KH 4418 PY</t>
  </si>
  <si>
    <t>L- 06960696 M</t>
  </si>
  <si>
    <t>HONDA NF 125 TR / HONDA NF 125 TR</t>
  </si>
  <si>
    <t>MH1JB9125AK247548</t>
  </si>
  <si>
    <t>JB91E-2241489</t>
  </si>
  <si>
    <t>KH 4008 PY</t>
  </si>
  <si>
    <t>H 06857.575 M</t>
  </si>
  <si>
    <t>PRANATA KOMPUTER (RIKA FITRIYANA, S.Kom)</t>
  </si>
  <si>
    <t>HONDA  NF125TR / HONDA  NF125TR</t>
  </si>
  <si>
    <t>MH1JB9124AK251462</t>
  </si>
  <si>
    <t>JB91E-2245204</t>
  </si>
  <si>
    <t>KH 4014 PY</t>
  </si>
  <si>
    <t>H 06857.581 M</t>
  </si>
  <si>
    <t>KABID MUTASI DAN PROMOSI
(ADDELI, S.Sos., M. Si)</t>
  </si>
  <si>
    <t>HONDA  NF 125TR / HONDA  NF 125TR</t>
  </si>
  <si>
    <t>MH1JB9120AK322902</t>
  </si>
  <si>
    <t>JB91E-2316544</t>
  </si>
  <si>
    <t>KH 4015 PY</t>
  </si>
  <si>
    <t>H 06857.582 M</t>
  </si>
  <si>
    <t>SUPRIYADINATA, AMd. Kom</t>
  </si>
  <si>
    <t>HONDA NF125TR / HONDA NF125TR</t>
  </si>
  <si>
    <t>MH1JB9129AK254535</t>
  </si>
  <si>
    <t>JB91E-2248361</t>
  </si>
  <si>
    <t>KH 4016 PY</t>
  </si>
  <si>
    <t>H 06857.583</t>
  </si>
  <si>
    <t>MH1JB9122AK254358</t>
  </si>
  <si>
    <t>JB91E-2248177</t>
  </si>
  <si>
    <t>KH 4017 PY</t>
  </si>
  <si>
    <t>H 06857.587 M</t>
  </si>
  <si>
    <t>MULYADI
(BENDAHARA)</t>
  </si>
  <si>
    <t>124</t>
  </si>
  <si>
    <t>MH1JB9124AK247427</t>
  </si>
  <si>
    <t>JB91E-2241242</t>
  </si>
  <si>
    <t>KH 4007 PY</t>
  </si>
  <si>
    <t>H 06857574 M</t>
  </si>
  <si>
    <t>ATIEK JOEHARIE, SP</t>
  </si>
  <si>
    <t>SUZUKI FL/125 RCD / SUZUKI FL/125 RCD</t>
  </si>
  <si>
    <t>MH8BF45DA8J-208253</t>
  </si>
  <si>
    <t>F496-ID-257260</t>
  </si>
  <si>
    <t>KH 2509 PY</t>
  </si>
  <si>
    <t>F4847947M</t>
  </si>
  <si>
    <t>PENGADMINISTRASI UMUM
(SANDYANSYAH)</t>
  </si>
  <si>
    <t>MH1JBE312DK299902</t>
  </si>
  <si>
    <t>JBE3E1294624</t>
  </si>
  <si>
    <t>KH 4201 PY</t>
  </si>
  <si>
    <t>K 08796078 M</t>
  </si>
  <si>
    <t>HONDA NC 11BF1CB A/T BEAT F1 CBS / HONDA NC 11BF1CB A/T BEAT F1 CBS</t>
  </si>
  <si>
    <t>MH1JFE116DK092503</t>
  </si>
  <si>
    <t>JFE1E1094175</t>
  </si>
  <si>
    <t>KH 4168 PY</t>
  </si>
  <si>
    <t>K-05623367 M</t>
  </si>
  <si>
    <t xml:space="preserve">KASUBBAG KEUANGAN
 BUDIYONO </t>
  </si>
  <si>
    <t>YAMAHA 3SO(VEGA R) / YAMAHA 3SO(VEGA R)</t>
  </si>
  <si>
    <t>MH33500027 K2.1792</t>
  </si>
  <si>
    <t>3SO-217989</t>
  </si>
  <si>
    <t>KH 2185 PY</t>
  </si>
  <si>
    <t>E 7028673 M</t>
  </si>
  <si>
    <t>SUZUKI FE 125 FD / SUZUKI FE 125 FD</t>
  </si>
  <si>
    <t>MH8BF45CA7J109233</t>
  </si>
  <si>
    <t>F496-ID112261</t>
  </si>
  <si>
    <t>KH 2177 PY</t>
  </si>
  <si>
    <t>E 7027227 M</t>
  </si>
  <si>
    <t>PENGURUS BARANG
(IBNU MASHADI)</t>
  </si>
  <si>
    <t>Toyota Kijang Innova / Toyota Kijang Innova</t>
  </si>
  <si>
    <t>MHFXW4302B4061931</t>
  </si>
  <si>
    <t>1TR-7217512</t>
  </si>
  <si>
    <t>KH 1149 PU</t>
  </si>
  <si>
    <t>I 05945493 M</t>
  </si>
  <si>
    <t>MITSUBISHI / pajero sport 2.4 L dakar Ultimate-L (4x4) 8A/T</t>
  </si>
  <si>
    <t>MK2KSWPNURJ001135</t>
  </si>
  <si>
    <t>4N15UKT6936</t>
  </si>
  <si>
    <t>KH 1328 PU</t>
  </si>
  <si>
    <t>V04715345M</t>
  </si>
  <si>
    <t>Mobil Dinas Ketua DPRD</t>
  </si>
  <si>
    <t>MITSUBISHI / PAJERO SPORT 2.5L GLX-L 4 X 4 5M/T</t>
  </si>
  <si>
    <t>MK2KSWMDNRJ000520</t>
  </si>
  <si>
    <t>4D58UBM7405</t>
  </si>
  <si>
    <t>KH 1327 PU</t>
  </si>
  <si>
    <t>V04715048M</t>
  </si>
  <si>
    <t>pengadaan mobil dinas unsur pimpinan DPRD Kab. Seruyan Waka II DPRD</t>
  </si>
  <si>
    <t>belanja modal pengadaan mobil dinas waka ketua I DPRD Kabupaten Seruyan tahun 2024</t>
  </si>
  <si>
    <t>KH 1246 PU</t>
  </si>
  <si>
    <t>M 10648544 M</t>
  </si>
  <si>
    <t>SEKRETARIAT DEWAN / KABAG FASILITASI DAN PENGAWASAN</t>
  </si>
  <si>
    <t>MHKMSEA2JHK023072</t>
  </si>
  <si>
    <t>1 NRF251999</t>
  </si>
  <si>
    <t>KH 1247 PU</t>
  </si>
  <si>
    <t>M 10648546 M</t>
  </si>
  <si>
    <t>SEKRETARIAT DEWAN / KABAG PERSIDANGAN DAN PERUNDANG-UNDANGAN</t>
  </si>
  <si>
    <t>MHKMSEA2JHK022061</t>
  </si>
  <si>
    <t>1 NRF248979</t>
  </si>
  <si>
    <t>KH 1248 PU</t>
  </si>
  <si>
    <t>M 10648545 M</t>
  </si>
  <si>
    <t>SEKRETARIAT DEWAN / KABAG UMUM DAN KEUANGAN</t>
  </si>
  <si>
    <t>MHFJW8EM5K2367274</t>
  </si>
  <si>
    <t>1TRA598127</t>
  </si>
  <si>
    <t>KH 1263 PU</t>
  </si>
  <si>
    <t>O06847627M</t>
  </si>
  <si>
    <t>Mutasi ( KH 1263 PU )</t>
  </si>
  <si>
    <t>TOYOTA / Hilux 2.4 G Double Cabin (4x4) M/T (GUN1</t>
  </si>
  <si>
    <t>2393</t>
  </si>
  <si>
    <t>MR0KB8CD8R1154190</t>
  </si>
  <si>
    <t>2GDD442951</t>
  </si>
  <si>
    <t>KH 8242 PW</t>
  </si>
  <si>
    <t>V04713519M</t>
  </si>
  <si>
    <t>pengadaan mobil dinas unsur pimpinan DPRD Kabupaten Seruyan (Ketua DPRD)</t>
  </si>
  <si>
    <t>Toyota All New Hilux  Double Cabin 2.5 E (4x4) M/T / Toyota All New Hilux  Double Cabin 2.5 E (4x4)</t>
  </si>
  <si>
    <t>MR0DB8CD3J0176441</t>
  </si>
  <si>
    <t>2GD0472397</t>
  </si>
  <si>
    <t>KH 8179 PW</t>
  </si>
  <si>
    <t>N-07824679 M</t>
  </si>
  <si>
    <t>Mutasi dr. BPKAD (KH 8179 PW)</t>
  </si>
  <si>
    <t>HONDA SUPRA SPOKE FI / HONDA SUPRA SPOKE FI</t>
  </si>
  <si>
    <t>MH1JBN112EK023160</t>
  </si>
  <si>
    <t>JBN1E1023581</t>
  </si>
  <si>
    <t>KH 4289 PY</t>
  </si>
  <si>
    <t>L 04354111 M</t>
  </si>
  <si>
    <t>SEKRETARIAT DEWAN</t>
  </si>
  <si>
    <t>MH1JBN116EK003316</t>
  </si>
  <si>
    <t>JBN1E1003315</t>
  </si>
  <si>
    <t>KH 4302 PY</t>
  </si>
  <si>
    <t>L 04354124 M</t>
  </si>
  <si>
    <t>MH1JFV113FK193744</t>
  </si>
  <si>
    <t>JFV1E-1193236</t>
  </si>
  <si>
    <t>KH 4408 PY</t>
  </si>
  <si>
    <t>L 06955147 M</t>
  </si>
  <si>
    <t>MH1JFV110FK182569</t>
  </si>
  <si>
    <t>JFV1E-1182541</t>
  </si>
  <si>
    <t>KH 4407 PY</t>
  </si>
  <si>
    <t>L 06955146 M</t>
  </si>
  <si>
    <t>MH1JFV116FK178476</t>
  </si>
  <si>
    <t>JFV1E-1177145</t>
  </si>
  <si>
    <t>KH 4417 PY</t>
  </si>
  <si>
    <t>L 06955156 M</t>
  </si>
  <si>
    <t>MH1JFV117FK187543</t>
  </si>
  <si>
    <t>JFV1E-1187444</t>
  </si>
  <si>
    <t>KH 4414 PY</t>
  </si>
  <si>
    <t>L 06955153 M</t>
  </si>
  <si>
    <t>MH1JFV113FK196059</t>
  </si>
  <si>
    <t>JFV1E-1195570</t>
  </si>
  <si>
    <t>KH 4416 PY</t>
  </si>
  <si>
    <t>L 06955155 M</t>
  </si>
  <si>
    <t>MH1JFV112FK195145</t>
  </si>
  <si>
    <t>JFV1E-1194584</t>
  </si>
  <si>
    <t>KH 4411 PY</t>
  </si>
  <si>
    <t>L 06955150 M</t>
  </si>
  <si>
    <t>MH1JFV114FK175852</t>
  </si>
  <si>
    <t>JFV1E-1175504</t>
  </si>
  <si>
    <t>KH 4410 PY</t>
  </si>
  <si>
    <t>L 06955149 M</t>
  </si>
  <si>
    <t>MH1JFV116FK174296</t>
  </si>
  <si>
    <t>JFV1E-1174795</t>
  </si>
  <si>
    <t>KH 4409 PY</t>
  </si>
  <si>
    <t>L 06955140 M</t>
  </si>
  <si>
    <t>Yamaha  Jupiter / Yamaha  Jupiter</t>
  </si>
  <si>
    <t>105</t>
  </si>
  <si>
    <t>MH35LM0022K137294</t>
  </si>
  <si>
    <t>5LM136731</t>
  </si>
  <si>
    <t>KH 2463 PY</t>
  </si>
  <si>
    <t>C 6280808 M</t>
  </si>
  <si>
    <t>Yamaha  Jupiter  / Yamaha  Jupiter</t>
  </si>
  <si>
    <t>MH35LM0022K137296</t>
  </si>
  <si>
    <t>5LM13736</t>
  </si>
  <si>
    <t>KH 2460 PY</t>
  </si>
  <si>
    <t>C 6280812 M</t>
  </si>
  <si>
    <t>MH35LM0022K136107</t>
  </si>
  <si>
    <t>5LM133317</t>
  </si>
  <si>
    <t>KH 2465 PY</t>
  </si>
  <si>
    <t>C 6280807 M</t>
  </si>
  <si>
    <t>MH35LMOO22K198964</t>
  </si>
  <si>
    <t>5LM199106</t>
  </si>
  <si>
    <t>KH 3703 PY</t>
  </si>
  <si>
    <t>MH35LM0023K183046</t>
  </si>
  <si>
    <t>5LM183029</t>
  </si>
  <si>
    <t>KH 3701 PY</t>
  </si>
  <si>
    <t>C 7669612 M</t>
  </si>
  <si>
    <t>Honda  Supra / Honda  Supra</t>
  </si>
  <si>
    <t>MH1KEVA152K088978</t>
  </si>
  <si>
    <t>KEVAE109007</t>
  </si>
  <si>
    <t>KH 5362 F</t>
  </si>
  <si>
    <t>C 3188993 M</t>
  </si>
  <si>
    <t>penyesuaian penyusutan arb</t>
  </si>
  <si>
    <t>MH1JFJ11XEK266471</t>
  </si>
  <si>
    <t>JFJ1E1263396</t>
  </si>
  <si>
    <t>KH 4334 PY</t>
  </si>
  <si>
    <t>L 04358947 M</t>
  </si>
  <si>
    <t>TARUNA JAYA</t>
  </si>
  <si>
    <t>02.02.01.01.002</t>
  </si>
  <si>
    <t>Jeep</t>
  </si>
  <si>
    <t>NEW LAND CRUISER 200 FULL SPEC A/T DSL / NEW LAND CRUISER 200 FULL SPEC A/T DSL</t>
  </si>
  <si>
    <t>Besi/metal</t>
  </si>
  <si>
    <t>JTMHV02J2M4335415</t>
  </si>
  <si>
    <t>1VD 0582688</t>
  </si>
  <si>
    <t>KH 1288 PU</t>
  </si>
  <si>
    <t>R 02909630</t>
  </si>
  <si>
    <t>Pengadaan Mobil Operasional Pemkab Seruyan</t>
  </si>
  <si>
    <t>TOYOTA ALL NEW FORTUNER 4X2 2,4 G M/T DSL LUX VIN  / TOYOTA ALL NEW FORTUNER 4X2 2,4 G M/T DSL LUX V</t>
  </si>
  <si>
    <t>MHFJB8GSX1510059</t>
  </si>
  <si>
    <t>2GDC069434</t>
  </si>
  <si>
    <t>KH 1239 PU</t>
  </si>
  <si>
    <t>L 09742754</t>
  </si>
  <si>
    <t>BUPATI SERUYAN</t>
  </si>
  <si>
    <t>TOYOTA ALL NEW FORTUNER 4 X 2.24 G A/TDSL LUX VIN  / TOYOTA ALL NEW FORTUNER 4 X 2.24 G A/TDSL LUX V</t>
  </si>
  <si>
    <t>MHFJB9GS5H1530656</t>
  </si>
  <si>
    <t>2GDC1913316</t>
  </si>
  <si>
    <t>KH 1250 PU</t>
  </si>
  <si>
    <t>M 10648938 M</t>
  </si>
  <si>
    <t>SEKRETRAIS DAERAH</t>
  </si>
  <si>
    <t>TOYOTA NEW FORTUNER 4 X4 2,4 VRZ A/T DSL LUX VIN 2 / TOYOTA NEW FORTUNER 4 X4 2,4 VRZ A/T DSL LUX VI</t>
  </si>
  <si>
    <t>MHFHB3FS9J0035889</t>
  </si>
  <si>
    <t>2GD C476384</t>
  </si>
  <si>
    <t>KH 1262 PU</t>
  </si>
  <si>
    <t>O-02642648 M</t>
  </si>
  <si>
    <t>Mutasi (KH 1262)</t>
  </si>
  <si>
    <t>Toyota / Fortuner 2.8 VRZ GR-S 4x4 A/T</t>
  </si>
  <si>
    <t>2800</t>
  </si>
  <si>
    <t>MHFBA3FS1P1052620</t>
  </si>
  <si>
    <t>1GD5428771</t>
  </si>
  <si>
    <t>KH 1299 PU</t>
  </si>
  <si>
    <t>Kendaraan PJ bupati</t>
  </si>
  <si>
    <t>TOYOTA / NEW FORTUNER 2.8 VRZ 4X4</t>
  </si>
  <si>
    <t>MHFBA3FS7S1058253</t>
  </si>
  <si>
    <t>1GD5738896</t>
  </si>
  <si>
    <t>- KH 1340 PU</t>
  </si>
  <si>
    <t>V04000447M</t>
  </si>
  <si>
    <t>Kendaraan Bupati</t>
  </si>
  <si>
    <t>0000010</t>
  </si>
  <si>
    <t>MHFBA3FS4S1058565</t>
  </si>
  <si>
    <t>1GD5751122</t>
  </si>
  <si>
    <t>- KH 1347 PU</t>
  </si>
  <si>
    <t>V04007222M</t>
  </si>
  <si>
    <t>Kendaraan Wakil Bupati</t>
  </si>
  <si>
    <t>1373</t>
  </si>
  <si>
    <t>MHYKZE81SFJ282247</t>
  </si>
  <si>
    <t>G15AID1169994</t>
  </si>
  <si>
    <t>KH 1215 PU</t>
  </si>
  <si>
    <t>L-06968125 M</t>
  </si>
  <si>
    <t>KABAG KESRA</t>
  </si>
  <si>
    <t>MHYKZE81SFJ282798</t>
  </si>
  <si>
    <t>G15AID1170331</t>
  </si>
  <si>
    <t>KH 1217 PU</t>
  </si>
  <si>
    <t>L-06968123 M</t>
  </si>
  <si>
    <t>KABAG HUKUM</t>
  </si>
  <si>
    <t>MHYKZE81SFJ282470</t>
  </si>
  <si>
    <t>G15AID1170325</t>
  </si>
  <si>
    <t>KH 1218 PU</t>
  </si>
  <si>
    <t>L-06968122 M</t>
  </si>
  <si>
    <t>KABAG ORGANISASI</t>
  </si>
  <si>
    <t>TOYOTA GRAND NEW AVANZA 1.3 M/T VIN 2015 / TOYOTA GRAND NEW AVANZA 1.3 M/T VIN 2015</t>
  </si>
  <si>
    <t>MHKM5EA2JFJ002133</t>
  </si>
  <si>
    <t>1 NRF024640</t>
  </si>
  <si>
    <t>KH 1221 PU</t>
  </si>
  <si>
    <t>L -06969220 M</t>
  </si>
  <si>
    <t>KEPALA BADAN LAYANAN PENGADAAN</t>
  </si>
  <si>
    <t>TOYOTA NEW KIJANG INNOVA G M/T LUX BENSIN VIN 2015 / TOYOTA NEW KIJANG INNOVA G M/T LUX BENSIN VIN 2</t>
  </si>
  <si>
    <t>MHFXW42G5F2306191</t>
  </si>
  <si>
    <t>1 TR7966417</t>
  </si>
  <si>
    <t>KH 1219 PU</t>
  </si>
  <si>
    <t>L-0698068 M</t>
  </si>
  <si>
    <t>Mutasi Mobil Toyota Kijang Innova KH 1219 PU</t>
  </si>
  <si>
    <t>TOYOTA ALL NEW KIJANG INNOVA V M/T LUX BENSIN VIN  / TOYOTA ALL NEW KIJANG INNOVA V M/T LUX BENSIN V</t>
  </si>
  <si>
    <t>MHFGW8EN7G1005857</t>
  </si>
  <si>
    <t>1TR-A118037</t>
  </si>
  <si>
    <t>KH 1229 PU</t>
  </si>
  <si>
    <t>L-09739362 M</t>
  </si>
  <si>
    <t>SEKRETARIS DAERAH</t>
  </si>
  <si>
    <t>MHKM5EA2JHK034313</t>
  </si>
  <si>
    <t>1NRF313506</t>
  </si>
  <si>
    <t>KH 1252 PU</t>
  </si>
  <si>
    <t>M 12814226 M</t>
  </si>
  <si>
    <t>SEKRETRIAT DAERAH /KABAG PROTOKOL</t>
  </si>
  <si>
    <t>TOYOTA GRAND NEW AVANZA  1,3 G M/T VIN 2017 / TOYOTA GRAND NEW AVANZA  1,3 G M/T VIN 2017</t>
  </si>
  <si>
    <t>MHKMSEA3JHK075012</t>
  </si>
  <si>
    <t>1 NRF300602</t>
  </si>
  <si>
    <t>KH 1249 PU</t>
  </si>
  <si>
    <t>M 10648547 M</t>
  </si>
  <si>
    <t>Mutasi (KH. 1249)PU</t>
  </si>
  <si>
    <t>NEW AVANZA 1,5 G M/T VIN 2019 / NEW AVANZA 1,5 G M/T VIN 2019</t>
  </si>
  <si>
    <t>MHKM5FA3JKK007729</t>
  </si>
  <si>
    <t>2NRF939642</t>
  </si>
  <si>
    <t>KH 1269 PU</t>
  </si>
  <si>
    <t>Mutasi (KH 1269)PU</t>
  </si>
  <si>
    <t>TOYOTA KIJANG INNOVA / TOYOTA KIJANG INNOVA</t>
  </si>
  <si>
    <t>MHFJW8EM1K2367031</t>
  </si>
  <si>
    <t>1 TRA596842</t>
  </si>
  <si>
    <t>KH 1264 PU</t>
  </si>
  <si>
    <t>O06847628M</t>
  </si>
  <si>
    <t>Mutasi(KH 1264)PU</t>
  </si>
  <si>
    <t>INNOVA ZENIX 2.0 Q HV / ZENIX</t>
  </si>
  <si>
    <t>1987</t>
  </si>
  <si>
    <t>MHFABBAA5R0418573</t>
  </si>
  <si>
    <t>M20ANNB59024</t>
  </si>
  <si>
    <t>KH 1310 PU</t>
  </si>
  <si>
    <t>U01988984M</t>
  </si>
  <si>
    <t>Belanja Modal Kendaraan Dinas Perorangan (SETDA)</t>
  </si>
  <si>
    <t>Toyota Avanza E MT / Toyota Avanza E MT</t>
  </si>
  <si>
    <t>MHFM1BA2JAK031352</t>
  </si>
  <si>
    <t>D 656367</t>
  </si>
  <si>
    <t>KH 1125 PU</t>
  </si>
  <si>
    <t>Mobil Dinas Kabag Ekonomi</t>
  </si>
  <si>
    <t>toyota Avanza GMT / toyota Avanza GMT</t>
  </si>
  <si>
    <t>MHFM1BA3JAK279342</t>
  </si>
  <si>
    <t>D 671289</t>
  </si>
  <si>
    <t>KH 1136 PU</t>
  </si>
  <si>
    <t>H 11008200 M</t>
  </si>
  <si>
    <t>Mobil Dinas Kabag Umum</t>
  </si>
  <si>
    <t>Toyota / Innova Zenix 2.0 G CVT</t>
  </si>
  <si>
    <t>MHFAAAAAOPO017023</t>
  </si>
  <si>
    <t>M20ANAB1198</t>
  </si>
  <si>
    <t>KH 1298 PU</t>
  </si>
  <si>
    <t>Mobil Operasional PKK</t>
  </si>
  <si>
    <t>Suzuki / All New Ertiga Hybrid GX M/T</t>
  </si>
  <si>
    <t>MHYANC32SPJ108161</t>
  </si>
  <si>
    <t>K15BT1560494</t>
  </si>
  <si>
    <t>KH 1308 PU</t>
  </si>
  <si>
    <t>U01970122M</t>
  </si>
  <si>
    <t>Kabag Pembangunan</t>
  </si>
  <si>
    <t>MHYANC32SPJ108087</t>
  </si>
  <si>
    <t>K15BT1560153</t>
  </si>
  <si>
    <t>KH 1307 PU</t>
  </si>
  <si>
    <t>U01970121M</t>
  </si>
  <si>
    <t>Kabag Umum</t>
  </si>
  <si>
    <t>MHYANC32SPJ107732</t>
  </si>
  <si>
    <t>K15BT1558191</t>
  </si>
  <si>
    <t>KH 1309 PU</t>
  </si>
  <si>
    <t>U01970123M</t>
  </si>
  <si>
    <t>Kabag Ekonomi</t>
  </si>
  <si>
    <t>05.12.2014.A1</t>
  </si>
  <si>
    <t>MHFXW42G8F2303222</t>
  </si>
  <si>
    <t>1 TR7933498</t>
  </si>
  <si>
    <t>KH 1199 PU</t>
  </si>
  <si>
    <t>L 06940394 M</t>
  </si>
  <si>
    <t>Dra. Hj. MASFUATUN ( KOMISI II)</t>
  </si>
  <si>
    <t>TOYOTA DYNA PS 115 / TOYOTA DYNA PS 115</t>
  </si>
  <si>
    <t>MHFCIBU43400057</t>
  </si>
  <si>
    <t>1481737583</t>
  </si>
  <si>
    <t>KH 9500 PW</t>
  </si>
  <si>
    <t>E960794M</t>
  </si>
  <si>
    <t>Operasional Bag. Umum</t>
  </si>
  <si>
    <t>MITSUBISHI COLT DIESEL FE 74 S / MITSUBISHI COLT DIESEL FE 74 S</t>
  </si>
  <si>
    <t>3908</t>
  </si>
  <si>
    <t>MHMFE74P4HK087955</t>
  </si>
  <si>
    <t>4D34TRX4651</t>
  </si>
  <si>
    <t>KH 8171 PW</t>
  </si>
  <si>
    <t>M 12829131 M</t>
  </si>
  <si>
    <t>MRODS8CD4H0330939</t>
  </si>
  <si>
    <t>2KDU969538</t>
  </si>
  <si>
    <t>KH 8161 PW</t>
  </si>
  <si>
    <t>M 10655030 M</t>
  </si>
  <si>
    <t>Mutasi dari Pemdes KH 8161 PW</t>
  </si>
  <si>
    <t>TOYOTA ALL NEW HILUX DOUBLE CABIN 2.5 G (4X4) M/T  / TOYOTA ALL NEW HILUX DOUBLE CABIN 2.5 G (4X4) M</t>
  </si>
  <si>
    <t>MRODS8CD4H1036202</t>
  </si>
  <si>
    <t>2KDU971744</t>
  </si>
  <si>
    <t>KH 8166 PW</t>
  </si>
  <si>
    <t>M 12814687 M</t>
  </si>
  <si>
    <t>TOYOTA NEW HILUX E M/T / TOYOTA NEW HILUX E M/T</t>
  </si>
  <si>
    <t>MRODB8CD2K0120556</t>
  </si>
  <si>
    <t>2GD4651427</t>
  </si>
  <si>
    <t>KH 8184 PW</t>
  </si>
  <si>
    <t>Mutasi Dr. BPKAD (KH 8184 PW)</t>
  </si>
  <si>
    <t>MRODB8CD5K0120566</t>
  </si>
  <si>
    <t>2GD4655776</t>
  </si>
  <si>
    <t>KH 8183 PW</t>
  </si>
  <si>
    <t>Mutasi dr. BPKAD (KH 8183 PW)</t>
  </si>
  <si>
    <t>Ford Ranger / Ford Ranger</t>
  </si>
  <si>
    <t>2499 cc</t>
  </si>
  <si>
    <t>MNBBSBE40AW886869</t>
  </si>
  <si>
    <t>WLAT-1204826</t>
  </si>
  <si>
    <t>KH 8058 PW</t>
  </si>
  <si>
    <t>Operasional B.Kesra</t>
  </si>
  <si>
    <t>FORD RANGER SINGLE CABIN BASE 4X4 2L TDCi M/T / FORD RANGER SINGLE CABIN BASE 4X4 2L TDCi M/T</t>
  </si>
  <si>
    <t>2,498</t>
  </si>
  <si>
    <t>MNBBMBF20CW148069</t>
  </si>
  <si>
    <t>P4AT1055677</t>
  </si>
  <si>
    <t>KH 8093 PW</t>
  </si>
  <si>
    <t>SETDA/BAG. UMUM SETDA</t>
  </si>
  <si>
    <t>MROFR22G7E0781808</t>
  </si>
  <si>
    <t>2KDS378532</t>
  </si>
  <si>
    <t>KH 8107 PW</t>
  </si>
  <si>
    <t>K 06866474 M</t>
  </si>
  <si>
    <t>WAKIL BUPATI SERUYAN</t>
  </si>
  <si>
    <t>MRODS8CD1F0260300</t>
  </si>
  <si>
    <t>2KDS571671</t>
  </si>
  <si>
    <t>KH 8127 PW</t>
  </si>
  <si>
    <t>L-06968282 M</t>
  </si>
  <si>
    <t>2494 CC</t>
  </si>
  <si>
    <t>MRODS8CD8G0261414</t>
  </si>
  <si>
    <t>2KD-U866781</t>
  </si>
  <si>
    <t>KH 8136 PW</t>
  </si>
  <si>
    <t>L-09729457 M</t>
  </si>
  <si>
    <t>2494 cc</t>
  </si>
  <si>
    <t>MR0ES8BB4J0063490</t>
  </si>
  <si>
    <t>2KDU989933</t>
  </si>
  <si>
    <t>KH 8175 PW</t>
  </si>
  <si>
    <t>N-07819602 M</t>
  </si>
  <si>
    <t>Mutasi dr. BPKAD (KH 8175 PW)</t>
  </si>
  <si>
    <t>MR0KB8CD4R1156194</t>
  </si>
  <si>
    <t>2GDD462343</t>
  </si>
  <si>
    <t>KH 8246 PW</t>
  </si>
  <si>
    <t>V04726177M</t>
  </si>
  <si>
    <t>MRODS8CD4H0263095</t>
  </si>
  <si>
    <t>2KDU976732</t>
  </si>
  <si>
    <t>KH 8167 PW</t>
  </si>
  <si>
    <t>M 12814677 M</t>
  </si>
  <si>
    <t>Persetujuan Pengalihan Status Pengguna Barang  ( Mobil Operasional)</t>
  </si>
  <si>
    <t>MRODS8CD6H0262949</t>
  </si>
  <si>
    <t>2KDU974018</t>
  </si>
  <si>
    <t>KH 8156 PW</t>
  </si>
  <si>
    <t>M 10655032 M</t>
  </si>
  <si>
    <t>MH1KEVA192K 012633</t>
  </si>
  <si>
    <t>KEVAE-1013597</t>
  </si>
  <si>
    <t>KH 2533 PY</t>
  </si>
  <si>
    <t>4324531 M</t>
  </si>
  <si>
    <t>Proses lelang</t>
  </si>
  <si>
    <t>MH1HB31145K152181</t>
  </si>
  <si>
    <t>KC11E-1149225</t>
  </si>
  <si>
    <t>KH 2076 PY</t>
  </si>
  <si>
    <t>Op. Setda</t>
  </si>
  <si>
    <t>Honda supra / Honda supra</t>
  </si>
  <si>
    <t>MHKLVAI93K334520</t>
  </si>
  <si>
    <t>KH 2146 PY</t>
  </si>
  <si>
    <t>MH1KD1117JK038366</t>
  </si>
  <si>
    <t>KD11E1037754</t>
  </si>
  <si>
    <t>KH 4742 PY</t>
  </si>
  <si>
    <t>O02643605M</t>
  </si>
  <si>
    <t>MH34D70028J839415</t>
  </si>
  <si>
    <t>4D7-839464</t>
  </si>
  <si>
    <t>KH 2340 PY</t>
  </si>
  <si>
    <t>F4844221M</t>
  </si>
  <si>
    <t>Proses Lelang</t>
  </si>
  <si>
    <t>MH34D70028J838575</t>
  </si>
  <si>
    <t>4D7-833610</t>
  </si>
  <si>
    <t>KH 2332 PY</t>
  </si>
  <si>
    <t>F4844213M</t>
  </si>
  <si>
    <t>MH34D70028J833635</t>
  </si>
  <si>
    <t>4D7-833690</t>
  </si>
  <si>
    <t>KH 2334 PY</t>
  </si>
  <si>
    <t>F4844215M</t>
  </si>
  <si>
    <t>MH34D70028J884581</t>
  </si>
  <si>
    <t>4D7-884598</t>
  </si>
  <si>
    <t>KH 2284 PY</t>
  </si>
  <si>
    <t>F4844165M</t>
  </si>
  <si>
    <t>Desa Lanpasa (op. Kades)</t>
  </si>
  <si>
    <t>Honda  GL 160 D / Honda  GL 160 D</t>
  </si>
  <si>
    <t>MH1KC11178K148041</t>
  </si>
  <si>
    <t>KC11E-1150018</t>
  </si>
  <si>
    <t>KH 2350 PY</t>
  </si>
  <si>
    <t>F2146809M</t>
  </si>
  <si>
    <t>Desa Sahabu (Op. BPD)</t>
  </si>
  <si>
    <t>MH1KC11158K148023</t>
  </si>
  <si>
    <t>KC11E-1150099</t>
  </si>
  <si>
    <t>KH 2357 PY</t>
  </si>
  <si>
    <t>F2146816M</t>
  </si>
  <si>
    <t>Desa Tl.Bayur (Op. Kades)</t>
  </si>
  <si>
    <t>MH1KC11158K146923</t>
  </si>
  <si>
    <t>KC11E-1150109</t>
  </si>
  <si>
    <t>KH 2358 PY</t>
  </si>
  <si>
    <t>F2146817M</t>
  </si>
  <si>
    <t>Desa Tl. Bayur (Op. BPD)</t>
  </si>
  <si>
    <t>MH1KC11128K148030</t>
  </si>
  <si>
    <t>KC11E-1150102</t>
  </si>
  <si>
    <t>KH 2363 PY</t>
  </si>
  <si>
    <t>F2146819M</t>
  </si>
  <si>
    <t>Desa Mugi Penyuhu (Op. Kades)</t>
  </si>
  <si>
    <t>MH1KC11108K148026</t>
  </si>
  <si>
    <t>KC11E-1150118</t>
  </si>
  <si>
    <t>KH 2364 PY</t>
  </si>
  <si>
    <t>F2146823M</t>
  </si>
  <si>
    <t>Desa Mugi Penyuhu (Op. BPD)</t>
  </si>
  <si>
    <t>MH1KC11158K148040</t>
  </si>
  <si>
    <t>KH 2372 PY</t>
  </si>
  <si>
    <t>F2146831M</t>
  </si>
  <si>
    <t>Desa Pangke (Op. BPD)</t>
  </si>
  <si>
    <t>MH1KC11178K146571</t>
  </si>
  <si>
    <t>KC11E-1148764</t>
  </si>
  <si>
    <t>KH 2399 PY</t>
  </si>
  <si>
    <t>F2146851M</t>
  </si>
  <si>
    <t>Desa Tb. Hentas (Op. Kades)</t>
  </si>
  <si>
    <t>MH1KC11148K146912</t>
  </si>
  <si>
    <t>KC11E-1149047</t>
  </si>
  <si>
    <t>KH 2405 PY</t>
  </si>
  <si>
    <t>F2146749M</t>
  </si>
  <si>
    <t>Desa Tj. Tukal (Op. Kades)</t>
  </si>
  <si>
    <t>MH1KC11118K146933</t>
  </si>
  <si>
    <t>KC11E-1149149</t>
  </si>
  <si>
    <t>KH 2406 PY</t>
  </si>
  <si>
    <t>F2146750M</t>
  </si>
  <si>
    <t>Desa Tj. Tukal (Op. BPD)</t>
  </si>
  <si>
    <t>MH1KC11118K146597</t>
  </si>
  <si>
    <t>KC11E-1148794</t>
  </si>
  <si>
    <t>KH 2407 PY</t>
  </si>
  <si>
    <t>F2146751M</t>
  </si>
  <si>
    <t>Desa Rangkang Munduk (Op.Kades)</t>
  </si>
  <si>
    <t>MH1KC11108K146851</t>
  </si>
  <si>
    <t>KC11E-1148694</t>
  </si>
  <si>
    <t>KH 2408 PY</t>
  </si>
  <si>
    <t>F2146752M</t>
  </si>
  <si>
    <t>Desa Rangka Munduk (Op. BPD)</t>
  </si>
  <si>
    <t>MH1KC11148K148031</t>
  </si>
  <si>
    <t>KC11E-1150131</t>
  </si>
  <si>
    <t>KH 2417 PY</t>
  </si>
  <si>
    <t>F2146708M</t>
  </si>
  <si>
    <t>Desa Buntut Sapau (Op. Kades)</t>
  </si>
  <si>
    <t>MH1KC11118K148049</t>
  </si>
  <si>
    <t>KC11E-1150060</t>
  </si>
  <si>
    <t>KH 2418 PY</t>
  </si>
  <si>
    <t>F2146709M</t>
  </si>
  <si>
    <t>Desa Buntut Sapau (Op. BPD)</t>
  </si>
  <si>
    <t>MH1KC11188K146945</t>
  </si>
  <si>
    <t>KC11E-1149007</t>
  </si>
  <si>
    <t>KH 2419 PY</t>
  </si>
  <si>
    <t>F2146710M</t>
  </si>
  <si>
    <t>Desa Tj. Paku (Op. Kades)</t>
  </si>
  <si>
    <t>MH1KC11128K146925</t>
  </si>
  <si>
    <t>KC11E-1149191</t>
  </si>
  <si>
    <t>KH 2420 PY</t>
  </si>
  <si>
    <t>F2146711M</t>
  </si>
  <si>
    <t>Desa Tj. Paku (Op. BPD)</t>
  </si>
  <si>
    <t>MH1KC11138K142558</t>
  </si>
  <si>
    <t>KC11E-1144621</t>
  </si>
  <si>
    <t>KH 2426 PY</t>
  </si>
  <si>
    <t>F2146717M</t>
  </si>
  <si>
    <t>Desa Tb. Kasai (Op. BPD)</t>
  </si>
  <si>
    <t>MH1KC11128K146567</t>
  </si>
  <si>
    <t>KC11E-1148714</t>
  </si>
  <si>
    <t>KH 2431 PY</t>
  </si>
  <si>
    <t>F2146722M</t>
  </si>
  <si>
    <t>Desa Tb. Kalam (Op. Kades)</t>
  </si>
  <si>
    <t>MH1KC11108K146583</t>
  </si>
  <si>
    <t>KC11E-1148825</t>
  </si>
  <si>
    <t>KH 2435 PY</t>
  </si>
  <si>
    <t>F2146726M</t>
  </si>
  <si>
    <t>Desa Marandang (Op. Kades)</t>
  </si>
  <si>
    <t>MH1JBN115FK081023</t>
  </si>
  <si>
    <t>JBN1E1078980</t>
  </si>
  <si>
    <t>KH 4400 PY</t>
  </si>
  <si>
    <t>L 06937008 M</t>
  </si>
  <si>
    <t>MH1JBN114FK080963</t>
  </si>
  <si>
    <t>JBN1E1079267</t>
  </si>
  <si>
    <t>KH 4402 PY</t>
  </si>
  <si>
    <t>L 06937010 M</t>
  </si>
  <si>
    <t>Assisten II</t>
  </si>
  <si>
    <t>MIJFV113GK260022</t>
  </si>
  <si>
    <t>JFV1E-1259435</t>
  </si>
  <si>
    <t>KH 4444 PY</t>
  </si>
  <si>
    <t>L-06967196 M</t>
  </si>
  <si>
    <t>MH1JM4114JK189453</t>
  </si>
  <si>
    <t>JM41E1189004</t>
  </si>
  <si>
    <t>KH 4780 PY</t>
  </si>
  <si>
    <t>O02643650M</t>
  </si>
  <si>
    <t>MH1JM4118JK187656</t>
  </si>
  <si>
    <t>JM41E1187366</t>
  </si>
  <si>
    <t>KH 4779 PY</t>
  </si>
  <si>
    <t>O02643649M</t>
  </si>
  <si>
    <t>MH1JM4112JK183425</t>
  </si>
  <si>
    <t>JM41E1183183</t>
  </si>
  <si>
    <t>KH 4782 PY</t>
  </si>
  <si>
    <t>MH1JM4112JK189404</t>
  </si>
  <si>
    <t>JM41E1188946</t>
  </si>
  <si>
    <t>KH 4781 PY</t>
  </si>
  <si>
    <t>MH1KF411XJK293220</t>
  </si>
  <si>
    <t>KF41E1294078</t>
  </si>
  <si>
    <t>KH 4765 PY</t>
  </si>
  <si>
    <t>O02643636M</t>
  </si>
  <si>
    <t>MH1KD1114JK021556</t>
  </si>
  <si>
    <t>KD11E1021163</t>
  </si>
  <si>
    <t>KH 4776 PY</t>
  </si>
  <si>
    <t>O02643647M</t>
  </si>
  <si>
    <t>MH1JBE213DK267817</t>
  </si>
  <si>
    <t>JBE2E1262711</t>
  </si>
  <si>
    <t>KH 4172 PY</t>
  </si>
  <si>
    <t>K-05623363 M</t>
  </si>
  <si>
    <t>WAKIL BUPATI</t>
  </si>
  <si>
    <t>124.9</t>
  </si>
  <si>
    <t>MH1JBN114EK033706</t>
  </si>
  <si>
    <t>JBN1E1033602</t>
  </si>
  <si>
    <t>KH 4298 PY</t>
  </si>
  <si>
    <t>L 04354120 M</t>
  </si>
  <si>
    <t>Ir. ILYAS /STAF AHLI</t>
  </si>
  <si>
    <t>MH1JBK119EK074413</t>
  </si>
  <si>
    <t>JBK1E1074210</t>
  </si>
  <si>
    <t>KH 4309 PY</t>
  </si>
  <si>
    <t>L 04354131 M</t>
  </si>
  <si>
    <t>FAUZIAH</t>
  </si>
  <si>
    <t>MH1JFA114EK220215</t>
  </si>
  <si>
    <t>JFA1E1216465</t>
  </si>
  <si>
    <t>KH 4312 PY</t>
  </si>
  <si>
    <t>L 04355426 M</t>
  </si>
  <si>
    <t>KESRA</t>
  </si>
  <si>
    <t>MH1JBE218DK274018</t>
  </si>
  <si>
    <t>JBE2E1267520</t>
  </si>
  <si>
    <t>KH 4171 PY</t>
  </si>
  <si>
    <t>K-05623364 M</t>
  </si>
  <si>
    <t>LELANG 2025</t>
  </si>
  <si>
    <t>MH1JBE213DK274346</t>
  </si>
  <si>
    <t>JBE2E1268361</t>
  </si>
  <si>
    <t>KH 4178 PY</t>
  </si>
  <si>
    <t>K-05623357 M</t>
  </si>
  <si>
    <t>PLT. SEKDA</t>
  </si>
  <si>
    <t>MH1JBE31XDK299906</t>
  </si>
  <si>
    <t>JBE3E1294622</t>
  </si>
  <si>
    <t>KH 4207 PY</t>
  </si>
  <si>
    <t>K 08796084 M</t>
  </si>
  <si>
    <t>MH1KC5219DK034185</t>
  </si>
  <si>
    <t>KC52E1034181</t>
  </si>
  <si>
    <t>KH 4173 PY</t>
  </si>
  <si>
    <t>K-05623362 M</t>
  </si>
  <si>
    <t>MENTENG (AJUDAN WABUP)</t>
  </si>
  <si>
    <t>MH1KC5213DK083690</t>
  </si>
  <si>
    <t>KC52E1084752</t>
  </si>
  <si>
    <t>KH 4202 PY</t>
  </si>
  <si>
    <t>K 08796079 M</t>
  </si>
  <si>
    <t>AJUDAN BUPATI /SAIPULLAH</t>
  </si>
  <si>
    <t>MH1JFJ110EK334342</t>
  </si>
  <si>
    <t>JFJ1E1331353</t>
  </si>
  <si>
    <t>KH 4332 PY</t>
  </si>
  <si>
    <t>L 04358945 M</t>
  </si>
  <si>
    <t>Dra. RATNA MUSTIKA</t>
  </si>
  <si>
    <t>MH1JFJ114EK334344</t>
  </si>
  <si>
    <t>JFJ1E1286857</t>
  </si>
  <si>
    <t>KH 4331 PY</t>
  </si>
  <si>
    <t>L 04358944 M</t>
  </si>
  <si>
    <t>MH1KC5218EK199243</t>
  </si>
  <si>
    <t>KC52E1197392</t>
  </si>
  <si>
    <t>KH 4278 PY</t>
  </si>
  <si>
    <t>L 04353742</t>
  </si>
  <si>
    <t>HONDA AT1121B01 A/T / HONDA AT1121B01 A/T</t>
  </si>
  <si>
    <t>MH1JFH110FK350082</t>
  </si>
  <si>
    <t>JFH1E-1347915</t>
  </si>
  <si>
    <t>KH 4424 PY</t>
  </si>
  <si>
    <t>L- 06960702 M</t>
  </si>
  <si>
    <t>MH1JBE218CK192126</t>
  </si>
  <si>
    <t>JBE2E1189732</t>
  </si>
  <si>
    <t>KH 4057 PY</t>
  </si>
  <si>
    <t>I-10729967 M</t>
  </si>
  <si>
    <t xml:space="preserve"> Setda</t>
  </si>
  <si>
    <t>Suzuki  125 R / Suzuki  125 R</t>
  </si>
  <si>
    <t>MH88F45CAAJ173427</t>
  </si>
  <si>
    <t>F496-ID-374555</t>
  </si>
  <si>
    <t>KH 2694 PY</t>
  </si>
  <si>
    <t>Suzuki 125 R / Suzuki 125 R</t>
  </si>
  <si>
    <t>MH88F45CAAJ173793</t>
  </si>
  <si>
    <t>F496-ID-375502</t>
  </si>
  <si>
    <t>KH 2698 PY</t>
  </si>
  <si>
    <t>MH88F45CAAJ173624</t>
  </si>
  <si>
    <t>F496-ID-374964</t>
  </si>
  <si>
    <t>KH 2703 PY</t>
  </si>
  <si>
    <t>MH88F45CAAJ173621</t>
  </si>
  <si>
    <t>F496-ID-374976</t>
  </si>
  <si>
    <t>KH 2704 PY</t>
  </si>
  <si>
    <t>MH88F45CAAJ173619</t>
  </si>
  <si>
    <t>F496-ID-374891</t>
  </si>
  <si>
    <t>KH 2702 PY</t>
  </si>
  <si>
    <t>MH88F45CAAJ173166</t>
  </si>
  <si>
    <t>F496-ID-373448</t>
  </si>
  <si>
    <t>KH 2685 PY</t>
  </si>
  <si>
    <t>MH88F45CAAJ173784</t>
  </si>
  <si>
    <t>F496-ID-373437</t>
  </si>
  <si>
    <t>KH 2693 PY</t>
  </si>
  <si>
    <t>MH88F45CAAJ173424</t>
  </si>
  <si>
    <t>F496-ID-361071</t>
  </si>
  <si>
    <t>KH 2701 PY</t>
  </si>
  <si>
    <t>MH88F45CAAJ170336</t>
  </si>
  <si>
    <t>F496-ID-353947</t>
  </si>
  <si>
    <t>KH 2700 PY</t>
  </si>
  <si>
    <t>MH88F45CAAJ173175</t>
  </si>
  <si>
    <t>F496-ID-373434</t>
  </si>
  <si>
    <t>KH 2690 PY</t>
  </si>
  <si>
    <t>MH88F45CAAJ173163</t>
  </si>
  <si>
    <t>F496-ID-373450</t>
  </si>
  <si>
    <t>KH 2684 PY</t>
  </si>
  <si>
    <t>MH88F45CAAJ173812</t>
  </si>
  <si>
    <t>F496-ID-375459</t>
  </si>
  <si>
    <t>KH 2696 PY</t>
  </si>
  <si>
    <t>MH88F45CAAJ173546</t>
  </si>
  <si>
    <t>F496-ID-374863</t>
  </si>
  <si>
    <t>KH 2695 PY</t>
  </si>
  <si>
    <t>MH88F45CAAJ173169</t>
  </si>
  <si>
    <t>F496-ID-373439</t>
  </si>
  <si>
    <t>KH 2688 PY</t>
  </si>
  <si>
    <t>MH88F45CAAJ173157</t>
  </si>
  <si>
    <t>F496-ID-373482</t>
  </si>
  <si>
    <t>KH 2683 PY</t>
  </si>
  <si>
    <t>MH88F45CAAJ169719</t>
  </si>
  <si>
    <t>F496-ID-352165</t>
  </si>
  <si>
    <t>KH 2699 PY</t>
  </si>
  <si>
    <t>MH88F45CAAJ173809</t>
  </si>
  <si>
    <t>F496-ID-375462</t>
  </si>
  <si>
    <t>KH 2697 PY</t>
  </si>
  <si>
    <t>MH1JF3118AK176757</t>
  </si>
  <si>
    <t>JF31E0175919</t>
  </si>
  <si>
    <t>KH 2632 PY</t>
  </si>
  <si>
    <t>H-06859634 M</t>
  </si>
  <si>
    <t>SANTOSO /ADC BUPATI</t>
  </si>
  <si>
    <t>000082</t>
  </si>
  <si>
    <t>Honda SupraX125R / Honda SupraX125R</t>
  </si>
  <si>
    <t>MH1JB0111AK144739</t>
  </si>
  <si>
    <t>JB01E-1143282</t>
  </si>
  <si>
    <t>KH 4000 PY</t>
  </si>
  <si>
    <t>000083</t>
  </si>
  <si>
    <t>MH1JB0110AK144718</t>
  </si>
  <si>
    <t>JB01E-1143217</t>
  </si>
  <si>
    <t>KH 4001 PY</t>
  </si>
  <si>
    <t>000084</t>
  </si>
  <si>
    <t>MH1JB0111AK144726</t>
  </si>
  <si>
    <t>JB01E-1143303</t>
  </si>
  <si>
    <t>KH 4002 PY</t>
  </si>
  <si>
    <t>000085</t>
  </si>
  <si>
    <t>MH1JB0114AK126240</t>
  </si>
  <si>
    <t>KH 4003 PY</t>
  </si>
  <si>
    <t>000087</t>
  </si>
  <si>
    <t>Suzuki 125 RR / Suzuki 125 RR</t>
  </si>
  <si>
    <t>MH88F45DAAJ311579</t>
  </si>
  <si>
    <t>F496-ID-385937</t>
  </si>
  <si>
    <t>KH 2714 PY</t>
  </si>
  <si>
    <t>000089</t>
  </si>
  <si>
    <t>Honda Mega Pro / Honda Mega Pro</t>
  </si>
  <si>
    <t>MH1KC1117AK267942</t>
  </si>
  <si>
    <t>KC11E1269624</t>
  </si>
  <si>
    <t>KH 4038 PY</t>
  </si>
  <si>
    <t>000090</t>
  </si>
  <si>
    <t>MH34D70028J915436</t>
  </si>
  <si>
    <t>4D7-915463</t>
  </si>
  <si>
    <t>KH 2308 PY</t>
  </si>
  <si>
    <t>F4844189M</t>
  </si>
  <si>
    <t>Desa Tj. Hanau (Op. BPD)</t>
  </si>
  <si>
    <t>000091</t>
  </si>
  <si>
    <t>MH34D70028J889714</t>
  </si>
  <si>
    <t>4D7-889739</t>
  </si>
  <si>
    <t>KH 2278 PY</t>
  </si>
  <si>
    <t>F4844159M</t>
  </si>
  <si>
    <t>Desa Tj. Paring (Op. BPD)</t>
  </si>
  <si>
    <t>000092</t>
  </si>
  <si>
    <t>MH34D70028J839430</t>
  </si>
  <si>
    <t>4D7-839489</t>
  </si>
  <si>
    <t>KH 2292 PY</t>
  </si>
  <si>
    <t>F4844173M</t>
  </si>
  <si>
    <t>Desa Mekar Indah (Op. Kades)</t>
  </si>
  <si>
    <t>000093</t>
  </si>
  <si>
    <t>MH34D70028J904686</t>
  </si>
  <si>
    <t>4D7-904702</t>
  </si>
  <si>
    <t>KH 2318 PY</t>
  </si>
  <si>
    <t>F4844199M</t>
  </si>
  <si>
    <t>Desa Mekar Indah (Op. BPD)</t>
  </si>
  <si>
    <t>000094</t>
  </si>
  <si>
    <t>MH34D70028J820136</t>
  </si>
  <si>
    <t>4D7-820138</t>
  </si>
  <si>
    <t>KH 2287 PY</t>
  </si>
  <si>
    <t>F4844168M</t>
  </si>
  <si>
    <t>Desa Bangun harja (Op. Kades)</t>
  </si>
  <si>
    <t>000095</t>
  </si>
  <si>
    <t>MH34D70028J847295</t>
  </si>
  <si>
    <t>4D7-847013</t>
  </si>
  <si>
    <t>KH 2286 PY</t>
  </si>
  <si>
    <t>F4844167M</t>
  </si>
  <si>
    <t>Desa Bangun Harja (Op. BPD)</t>
  </si>
  <si>
    <t>000096</t>
  </si>
  <si>
    <t>MH34D70028J906256</t>
  </si>
  <si>
    <t>4D7-906285</t>
  </si>
  <si>
    <t>KH 2319 PY</t>
  </si>
  <si>
    <t>F4844200M</t>
  </si>
  <si>
    <t>Desa Halimaung Jaya (Op. Kades)</t>
  </si>
  <si>
    <t>000097</t>
  </si>
  <si>
    <t>MH34D70028J878182</t>
  </si>
  <si>
    <t>4D7-878197</t>
  </si>
  <si>
    <t>KH 2320 PY</t>
  </si>
  <si>
    <t>F4844201M</t>
  </si>
  <si>
    <t>Desa Halimaung Jaya (Op. BPD)</t>
  </si>
  <si>
    <t>000098</t>
  </si>
  <si>
    <t>MH34D70028J845449</t>
  </si>
  <si>
    <t>4D7-845479</t>
  </si>
  <si>
    <t>KH 2338 PY</t>
  </si>
  <si>
    <t>F4844219M</t>
  </si>
  <si>
    <t>Desa Sembuluh II (Op. BPD)</t>
  </si>
  <si>
    <t>000099</t>
  </si>
  <si>
    <t>MH34D70028J850252</t>
  </si>
  <si>
    <t>4D7-550267</t>
  </si>
  <si>
    <t>KH 2280 PY</t>
  </si>
  <si>
    <t>F4844161M</t>
  </si>
  <si>
    <t>Desa Pt. Panjang (Op. BPD)</t>
  </si>
  <si>
    <t>000100</t>
  </si>
  <si>
    <t>MH34D70028J82149</t>
  </si>
  <si>
    <t>2D7-820160</t>
  </si>
  <si>
    <t>KH 2281 PY</t>
  </si>
  <si>
    <t>F4844162M</t>
  </si>
  <si>
    <t>Desa Pt. Panjang (Op. Kades)</t>
  </si>
  <si>
    <t>000101</t>
  </si>
  <si>
    <t>MH34D70028J849277</t>
  </si>
  <si>
    <t>4D7-849299</t>
  </si>
  <si>
    <t>KH 2282 PY</t>
  </si>
  <si>
    <t>F4844163M</t>
  </si>
  <si>
    <t>Desa Sei Bakau (Op. Kades)</t>
  </si>
  <si>
    <t>000102</t>
  </si>
  <si>
    <t>MH34D70028J845546</t>
  </si>
  <si>
    <t>4D7-845570</t>
  </si>
  <si>
    <t>KH 2283 PY</t>
  </si>
  <si>
    <t>F4844164M</t>
  </si>
  <si>
    <t>Desa Sei Bakau (Op.BPD)</t>
  </si>
  <si>
    <t>000103</t>
  </si>
  <si>
    <t>MH34D70028J852666</t>
  </si>
  <si>
    <t>4D7-852692</t>
  </si>
  <si>
    <t>KH 2331 PY</t>
  </si>
  <si>
    <t>F4844212M</t>
  </si>
  <si>
    <t>Desa. Tj.Rangas (Op. Kades)</t>
  </si>
  <si>
    <t>000104</t>
  </si>
  <si>
    <t>MH34D70028J843156</t>
  </si>
  <si>
    <t>4D7-843207</t>
  </si>
  <si>
    <t>KH 2290 PY</t>
  </si>
  <si>
    <t>F4844171M</t>
  </si>
  <si>
    <t>Desa Tj. Rangas (Op.BPD)</t>
  </si>
  <si>
    <t>000105</t>
  </si>
  <si>
    <t>MH34D70028J894561</t>
  </si>
  <si>
    <t>4D7-894574</t>
  </si>
  <si>
    <t>KH 2310 PY</t>
  </si>
  <si>
    <t>F4844191M</t>
  </si>
  <si>
    <t>Desa Muara Dua (Op. Kades)</t>
  </si>
  <si>
    <t>000109</t>
  </si>
  <si>
    <t>MH1KC11108K146552</t>
  </si>
  <si>
    <t>KC11E-1148269</t>
  </si>
  <si>
    <t>KH 2397 PY</t>
  </si>
  <si>
    <t>F2146853M</t>
  </si>
  <si>
    <t>Desa Tb.Setoli (Op. Kades)</t>
  </si>
  <si>
    <t>000110</t>
  </si>
  <si>
    <t>MH1KC11108K146936</t>
  </si>
  <si>
    <t>KC11E-1149073</t>
  </si>
  <si>
    <t>KH 2398 PY</t>
  </si>
  <si>
    <t>F2146856M</t>
  </si>
  <si>
    <t>Desa Tb. Setoli (Op. Bpd)</t>
  </si>
  <si>
    <t>000111</t>
  </si>
  <si>
    <t>MH1KC11178K146922</t>
  </si>
  <si>
    <t>KC11E-1149160</t>
  </si>
  <si>
    <t>KH 2403 PY</t>
  </si>
  <si>
    <t>F2146747M</t>
  </si>
  <si>
    <t>Desa Tb. Langkai (Op. Kades)</t>
  </si>
  <si>
    <t>000112</t>
  </si>
  <si>
    <t>MH1KC11128K146553</t>
  </si>
  <si>
    <t>KC11E-1148719</t>
  </si>
  <si>
    <t>KH 2412 PY</t>
  </si>
  <si>
    <t>F2146756M</t>
  </si>
  <si>
    <t>Desa Sapundu Hantu (Op. BPD)</t>
  </si>
  <si>
    <t>000113</t>
  </si>
  <si>
    <t>MH1KC11108K142503</t>
  </si>
  <si>
    <t>KC11E-1144586</t>
  </si>
  <si>
    <t>KH 2414 PY</t>
  </si>
  <si>
    <t>F2146705M</t>
  </si>
  <si>
    <t>Desa Tb. Kubang (Op. BPD)</t>
  </si>
  <si>
    <t>000114</t>
  </si>
  <si>
    <t>MH1KC11138K146562</t>
  </si>
  <si>
    <t>KC11E-1148686</t>
  </si>
  <si>
    <t>KH 2421 PY</t>
  </si>
  <si>
    <t>F2146712M</t>
  </si>
  <si>
    <t>Desa Tb. Taberau (Op. Kades)</t>
  </si>
  <si>
    <t>000115</t>
  </si>
  <si>
    <t>MH1KC11128K146570</t>
  </si>
  <si>
    <t>KC11E-1148718</t>
  </si>
  <si>
    <t>KH 2422 PY</t>
  </si>
  <si>
    <t>F2146713M</t>
  </si>
  <si>
    <t>Desa Tb. Taberau (Op. BPD)</t>
  </si>
  <si>
    <t>000116</t>
  </si>
  <si>
    <t>MH1KC11108K148043</t>
  </si>
  <si>
    <t>KC11E-1150061</t>
  </si>
  <si>
    <t>KH 2423 PY</t>
  </si>
  <si>
    <t>F2146714M</t>
  </si>
  <si>
    <t>Desa Riam Batang (Op. Kades)</t>
  </si>
  <si>
    <t>000117</t>
  </si>
  <si>
    <t>MH1KC11108K146924</t>
  </si>
  <si>
    <t>KC11E-1149107</t>
  </si>
  <si>
    <t>KH 2424 PY</t>
  </si>
  <si>
    <t>F2146715M</t>
  </si>
  <si>
    <t>Desa Riam Batang (Op. BPD)</t>
  </si>
  <si>
    <t>000118</t>
  </si>
  <si>
    <t>MH1KC11158K146588</t>
  </si>
  <si>
    <t>KC11E-1148844</t>
  </si>
  <si>
    <t>KH 2429 PY</t>
  </si>
  <si>
    <t>F2146720M</t>
  </si>
  <si>
    <t>Desa Tb. Bahan (Op. Kades)</t>
  </si>
  <si>
    <t>000119</t>
  </si>
  <si>
    <t>MH1KC11158K146595</t>
  </si>
  <si>
    <t>KC11E-1148741</t>
  </si>
  <si>
    <t>KH 2430 PY</t>
  </si>
  <si>
    <t>Desa Tb. bahan (Op. BPD)</t>
  </si>
  <si>
    <t>000121</t>
  </si>
  <si>
    <t>YAMAHA SCORPIO 5BPZ / YAMAHA SCORPIO 5BPZ</t>
  </si>
  <si>
    <t>223 CC</t>
  </si>
  <si>
    <t>MH35BP0068K110752</t>
  </si>
  <si>
    <t>5BP-110827</t>
  </si>
  <si>
    <t>KH 2475 PY</t>
  </si>
  <si>
    <t>F 4844225 M</t>
  </si>
  <si>
    <t>Op. Rujab KDH (SUTOMO)</t>
  </si>
  <si>
    <t>000123</t>
  </si>
  <si>
    <t>HONDA NF12A1CM/T Supra X 125 / HONDA NF12A1CM/T Supra X 125</t>
  </si>
  <si>
    <t>MH1JBF11XBK018080</t>
  </si>
  <si>
    <t>JBF1E-1017706</t>
  </si>
  <si>
    <t>KH 4043 PY</t>
  </si>
  <si>
    <t>1034940319M</t>
  </si>
  <si>
    <t>Sepeda Motor/ Kabid HI dan JSTK</t>
  </si>
  <si>
    <t>HONDA / VARIO 125 CBS ISS</t>
  </si>
  <si>
    <t>MH1JMD110PK415237</t>
  </si>
  <si>
    <t>JMDIE-1415451</t>
  </si>
  <si>
    <t>KH 5269 PY</t>
  </si>
  <si>
    <t>U-01979409M</t>
  </si>
  <si>
    <t>Asisten I</t>
  </si>
  <si>
    <t>000125</t>
  </si>
  <si>
    <t>MH1JMD111PK415229</t>
  </si>
  <si>
    <t>JMD1E-1415445</t>
  </si>
  <si>
    <t>KH 5270 PY</t>
  </si>
  <si>
    <t>U-01979410M</t>
  </si>
  <si>
    <t>Kabag Protokol</t>
  </si>
  <si>
    <t>000126</t>
  </si>
  <si>
    <t>MH1JMD11XPK415228</t>
  </si>
  <si>
    <t>JMD1E-1415444</t>
  </si>
  <si>
    <t>KH 5271 PY</t>
  </si>
  <si>
    <t>U-01979411M</t>
  </si>
  <si>
    <t>Kabag hukum</t>
  </si>
  <si>
    <t>000127</t>
  </si>
  <si>
    <t>MH1JMD112PK415224</t>
  </si>
  <si>
    <t>JMD1E-1415440</t>
  </si>
  <si>
    <t>KH 5272 PY</t>
  </si>
  <si>
    <t>U-01979412M</t>
  </si>
  <si>
    <t>Kabag Kesra</t>
  </si>
  <si>
    <t>000128</t>
  </si>
  <si>
    <t>MH1JMD118PK415227</t>
  </si>
  <si>
    <t>JMDIE-1415443</t>
  </si>
  <si>
    <t>KH 5275 PY</t>
  </si>
  <si>
    <t>U-01979415M</t>
  </si>
  <si>
    <t>000129</t>
  </si>
  <si>
    <t>MH1JMD116PK415226</t>
  </si>
  <si>
    <t>JMD1E-1415442</t>
  </si>
  <si>
    <t>KH 5273 PY</t>
  </si>
  <si>
    <t>U-01979413</t>
  </si>
  <si>
    <t>Kabag BPBJ</t>
  </si>
  <si>
    <t>000130</t>
  </si>
  <si>
    <t>MH1JMD11XPK415231</t>
  </si>
  <si>
    <t>JMD1E-1415447</t>
  </si>
  <si>
    <t>KH 5274 PY</t>
  </si>
  <si>
    <t>U-01979414</t>
  </si>
  <si>
    <t>Pj Bupati</t>
  </si>
  <si>
    <t>000131</t>
  </si>
  <si>
    <t>MH1JMD118PK415180</t>
  </si>
  <si>
    <t>JMD1E-1415395</t>
  </si>
  <si>
    <t>KH 5268 PY</t>
  </si>
  <si>
    <t>U-01979408</t>
  </si>
  <si>
    <t>Kabag Pemerintahan</t>
  </si>
  <si>
    <t>000132</t>
  </si>
  <si>
    <t>124 cc</t>
  </si>
  <si>
    <t>MH1JMD115PK415184</t>
  </si>
  <si>
    <t>JMD1E-1415398</t>
  </si>
  <si>
    <t>KH 5276 PY</t>
  </si>
  <si>
    <t>U-01979416M</t>
  </si>
  <si>
    <t>Kabag Ortal</t>
  </si>
  <si>
    <t>000133</t>
  </si>
  <si>
    <t>MH1JM8214NK703040</t>
  </si>
  <si>
    <t>JM82E1701151</t>
  </si>
  <si>
    <t>KH 5197 PY</t>
  </si>
  <si>
    <t>T-02690770</t>
  </si>
  <si>
    <t>000134</t>
  </si>
  <si>
    <t>MH4LX230PNJP00508</t>
  </si>
  <si>
    <t>LX230AEP34796</t>
  </si>
  <si>
    <t>KH 5187 PY</t>
  </si>
  <si>
    <t>S-07229293 M</t>
  </si>
  <si>
    <t>000135 s/d 000148</t>
  </si>
  <si>
    <t>Honda Vario 125</t>
  </si>
  <si>
    <t>Belanja Modal Sepeda Motor</t>
  </si>
  <si>
    <t>000149</t>
  </si>
  <si>
    <t>MH1KC5218FK255151</t>
  </si>
  <si>
    <t>KC52E-1252728</t>
  </si>
  <si>
    <t>KH 4363 PY</t>
  </si>
  <si>
    <t>L  06930532 M</t>
  </si>
  <si>
    <t>ARIF KURNIAWAN</t>
  </si>
  <si>
    <t>000150</t>
  </si>
  <si>
    <t>MH1JF0213CK200303</t>
  </si>
  <si>
    <t>JF02E1201729</t>
  </si>
  <si>
    <t>KH 4081 PY</t>
  </si>
  <si>
    <t>I-10731505 M</t>
  </si>
  <si>
    <t>BPKAD /DIGUDANG</t>
  </si>
  <si>
    <t>MH1KD1113KK107281</t>
  </si>
  <si>
    <t>KD11E1106684</t>
  </si>
  <si>
    <t>KH 4893 PY</t>
  </si>
  <si>
    <t>MH1JM5110LK684855</t>
  </si>
  <si>
    <t>JM51E1684470</t>
  </si>
  <si>
    <t>KH 4974 PY</t>
  </si>
  <si>
    <t>TOYOTA KIJANG INNOVA V / TOYOTA KIJANG INNOVA V</t>
  </si>
  <si>
    <t>MHFXW430784061195</t>
  </si>
  <si>
    <t>ITR-7702105</t>
  </si>
  <si>
    <t>KH 1145 PU</t>
  </si>
  <si>
    <t>I-05942085M</t>
  </si>
  <si>
    <t>MOBIL TOYOTA KIJANG INNOVA V (Pemegang An. Sekretaris)</t>
  </si>
  <si>
    <t>KIJANG INNOVA / 2.4 G M/T DSL</t>
  </si>
  <si>
    <t>MHFJB8EM4R1140458</t>
  </si>
  <si>
    <t>2GD-5623121</t>
  </si>
  <si>
    <t>KH 1330 PU</t>
  </si>
  <si>
    <t>V04726174M</t>
  </si>
  <si>
    <t>Pengadaan Kendaraan Dinas Roda Empat (Inspektur)</t>
  </si>
  <si>
    <t>TOYOTA  / HILUX DOUBLE CABIN 2.4 G (4X4) DIESEL MANUA</t>
  </si>
  <si>
    <t>MR0KB8CD7R1225850</t>
  </si>
  <si>
    <t>2GD - D458285</t>
  </si>
  <si>
    <t>KH 8244 PW</t>
  </si>
  <si>
    <t>V04715315M</t>
  </si>
  <si>
    <t>Pengadaan Kendaraan Dinas Operasional Kendaraan Roda 4 (Inspektur)</t>
  </si>
  <si>
    <t>Honda  Supra Fit / Honda  Supra Fit</t>
  </si>
  <si>
    <t>NHIHB21114K216167</t>
  </si>
  <si>
    <t>MHIHB-1213298</t>
  </si>
  <si>
    <t>KH 2599 PY</t>
  </si>
  <si>
    <t>F9606047M</t>
  </si>
  <si>
    <t>Pemegang An. Hernawati</t>
  </si>
  <si>
    <t>YAMAHA JUPITER Z / YAMAHA JUPITER Z</t>
  </si>
  <si>
    <t>MH35TP0065K65150</t>
  </si>
  <si>
    <t>5TP-869914</t>
  </si>
  <si>
    <t>KH 2034 PY</t>
  </si>
  <si>
    <t>D6760051</t>
  </si>
  <si>
    <t>MH35TP0065K656288</t>
  </si>
  <si>
    <t>5TP-870010</t>
  </si>
  <si>
    <t>KH 2032 PY</t>
  </si>
  <si>
    <t>D 6760049</t>
  </si>
  <si>
    <t>MH1JBE115CK509362</t>
  </si>
  <si>
    <t>JBE1E1500295</t>
  </si>
  <si>
    <t>KH 4157 PY</t>
  </si>
  <si>
    <t>J-04697976 M</t>
  </si>
  <si>
    <t>FIRMANSYAH, A.Md.Ak</t>
  </si>
  <si>
    <t>MH1JBE21XCK194881</t>
  </si>
  <si>
    <t>JBE2E1192563</t>
  </si>
  <si>
    <t>KH 4073 PY</t>
  </si>
  <si>
    <t>I-10731497 M</t>
  </si>
  <si>
    <t>Usul Rubah Kondisi (Gudang)</t>
  </si>
  <si>
    <t>MH1JB216DK246203</t>
  </si>
  <si>
    <t>JBE2E1242820</t>
  </si>
  <si>
    <t>KH 4170 PY</t>
  </si>
  <si>
    <t>K-05623365 M</t>
  </si>
  <si>
    <t>MH1JFS112FK106334</t>
  </si>
  <si>
    <t>JFS1E1104454</t>
  </si>
  <si>
    <t>KH 4389 PY</t>
  </si>
  <si>
    <t>L 06931772 M</t>
  </si>
  <si>
    <t>ARIF PAHRUDIN</t>
  </si>
  <si>
    <t>MH1JBN119FK081204</t>
  </si>
  <si>
    <t>JBN1E1079353</t>
  </si>
  <si>
    <t>KH 4397 PY</t>
  </si>
  <si>
    <t>L 06937005 M</t>
  </si>
  <si>
    <t>ZAINENDRA ARI SETIA</t>
  </si>
  <si>
    <t>MH1KC5216FK25569</t>
  </si>
  <si>
    <t>KC52E-1253798</t>
  </si>
  <si>
    <t>KH 4359 PY</t>
  </si>
  <si>
    <t>L 06930528 M</t>
  </si>
  <si>
    <t>FIRLIE, S.E</t>
  </si>
  <si>
    <t>MH1KC521XFK255894</t>
  </si>
  <si>
    <t>KC52E1253613</t>
  </si>
  <si>
    <t>KH 4349 PY</t>
  </si>
  <si>
    <t>L 06930518 M</t>
  </si>
  <si>
    <t>MH1KC5217FK255092</t>
  </si>
  <si>
    <t>KC52E1252861</t>
  </si>
  <si>
    <t>KH 4356 PY</t>
  </si>
  <si>
    <t>L 06930525 M</t>
  </si>
  <si>
    <t>P2UPD (INSPEKTORAT)</t>
  </si>
  <si>
    <t>MH1JFS115HK402547</t>
  </si>
  <si>
    <t>JFS1E1394626</t>
  </si>
  <si>
    <t>KH 4651 PY</t>
  </si>
  <si>
    <t>M 12824309 M</t>
  </si>
  <si>
    <t>Hj. KHAIRUNNISA, SE</t>
  </si>
  <si>
    <t>MH1JFS11XHK398303</t>
  </si>
  <si>
    <t>JFS1E1390190</t>
  </si>
  <si>
    <t>KH 4657 PY</t>
  </si>
  <si>
    <t>M 12824315 M</t>
  </si>
  <si>
    <t>EKA MAYASARI, SE., MM</t>
  </si>
  <si>
    <t>MH1JFS112HK393032</t>
  </si>
  <si>
    <t>JFS1E1386858</t>
  </si>
  <si>
    <t>KH 4648 PY</t>
  </si>
  <si>
    <t>M 12824306 M</t>
  </si>
  <si>
    <t>VITA HERVIANA, SE</t>
  </si>
  <si>
    <t>MH1JFS115HK399097</t>
  </si>
  <si>
    <t>JFS1E1391875</t>
  </si>
  <si>
    <t>KH 4640 PY</t>
  </si>
  <si>
    <t>M 12824300 M</t>
  </si>
  <si>
    <t>ANDRI FEBRIANTO, S.Psi.,M.A.P</t>
  </si>
  <si>
    <t>MH1JFT11XHK086097</t>
  </si>
  <si>
    <t>JFT1E 1085699</t>
  </si>
  <si>
    <t>KH 4620 PY</t>
  </si>
  <si>
    <t>M 12805861 M</t>
  </si>
  <si>
    <t>SITI SHOLATIYAH, S.IP</t>
  </si>
  <si>
    <t>MH1JFT115HK087688</t>
  </si>
  <si>
    <t>JFT1E 1087212</t>
  </si>
  <si>
    <t>KH 4598 PY</t>
  </si>
  <si>
    <t>M 12805840 M</t>
  </si>
  <si>
    <t>SITI NURRAJ'AHWATI, ST</t>
  </si>
  <si>
    <t>MH1JFT111HK087638</t>
  </si>
  <si>
    <t>JFT1E 1087243</t>
  </si>
  <si>
    <t>KH 4597 PY</t>
  </si>
  <si>
    <t>M 12805839 M</t>
  </si>
  <si>
    <t>LINDAWATI</t>
  </si>
  <si>
    <t>HONDA/VARIO 150 / HONDA/VARIO 150</t>
  </si>
  <si>
    <t>150CC</t>
  </si>
  <si>
    <t>BENSIN</t>
  </si>
  <si>
    <t>MH1KF4121LK117796</t>
  </si>
  <si>
    <t>KF41E2121900HWA</t>
  </si>
  <si>
    <t>KH 4964 PY</t>
  </si>
  <si>
    <t>Q-08304251M</t>
  </si>
  <si>
    <t>Bendahara</t>
  </si>
  <si>
    <t>MH1JM8210NK689850</t>
  </si>
  <si>
    <t>JM82E1687961</t>
  </si>
  <si>
    <t>KH 5194 PY</t>
  </si>
  <si>
    <t>T-02686477M</t>
  </si>
  <si>
    <t>FAZRIYANSYAH, A.Md.Kom</t>
  </si>
  <si>
    <t>Kawasaki / KLX150G</t>
  </si>
  <si>
    <t>MH4LX150GNJP93926</t>
  </si>
  <si>
    <t>LX150CEWV9781</t>
  </si>
  <si>
    <t>KH 5174 PY</t>
  </si>
  <si>
    <t>S-07202488M</t>
  </si>
  <si>
    <t>Motor Trail Operasional Inspektur</t>
  </si>
  <si>
    <t>YAMAHA / NMAX NEO S BTE A/T</t>
  </si>
  <si>
    <t>155</t>
  </si>
  <si>
    <t>MH3SG9310RK041493</t>
  </si>
  <si>
    <t>G3V5E-0124381</t>
  </si>
  <si>
    <t>KH 5398 PY</t>
  </si>
  <si>
    <t>V04741913M</t>
  </si>
  <si>
    <t>RIO EMSLIE AGUSTINO, ST</t>
  </si>
  <si>
    <t>MH3SG9310RJ024637</t>
  </si>
  <si>
    <t>G3V5E-0078561</t>
  </si>
  <si>
    <t>KH 5408 PY</t>
  </si>
  <si>
    <t>V04741922M</t>
  </si>
  <si>
    <t>HARIS FADILAH, ST</t>
  </si>
  <si>
    <t>MH3SG9310RJ010937</t>
  </si>
  <si>
    <t>G3V5E-0030717</t>
  </si>
  <si>
    <t>KH 5413 PY</t>
  </si>
  <si>
    <t>V04741978M</t>
  </si>
  <si>
    <t>EDI ERPANDI, SE</t>
  </si>
  <si>
    <t>MH3SG9310RJ026078</t>
  </si>
  <si>
    <t>G3V5E-0082462</t>
  </si>
  <si>
    <t>KH 5412 PY</t>
  </si>
  <si>
    <t>V04741977M</t>
  </si>
  <si>
    <t>RUSTININGSIH, SP</t>
  </si>
  <si>
    <t>MH3SG9310RJ045719</t>
  </si>
  <si>
    <t>G3V5E-0134567</t>
  </si>
  <si>
    <t>KH 5403 PY</t>
  </si>
  <si>
    <t>V04741917M</t>
  </si>
  <si>
    <t>ABDUL HAMID, A.Md.Kom</t>
  </si>
  <si>
    <t>MH3SG9310RJ023831</t>
  </si>
  <si>
    <t>G3V5E-0076285</t>
  </si>
  <si>
    <t>KH 5401 PY</t>
  </si>
  <si>
    <t>V04741915M</t>
  </si>
  <si>
    <t>RAHMAT FAUZAN, S.AP</t>
  </si>
  <si>
    <t>MH3SG9310RJ040551</t>
  </si>
  <si>
    <t>G3V5E-0121997</t>
  </si>
  <si>
    <t>KH 5399 PY</t>
  </si>
  <si>
    <t>V04741914M</t>
  </si>
  <si>
    <t>ROMANSYAH, A.Md</t>
  </si>
  <si>
    <t>MH3SG9310RK039445</t>
  </si>
  <si>
    <t>G3V5E-0118815</t>
  </si>
  <si>
    <t>KH 5405 PY</t>
  </si>
  <si>
    <t>V04741919M</t>
  </si>
  <si>
    <t>ABUL HASAN ASY'ARI, S.A.P.,M.AP</t>
  </si>
  <si>
    <t>MH3SG9310RJ015186</t>
  </si>
  <si>
    <t>G3V5E-0044056</t>
  </si>
  <si>
    <t>KH 5414 PY</t>
  </si>
  <si>
    <t>V04741979M</t>
  </si>
  <si>
    <t>JAUHARI ARIF, SE</t>
  </si>
  <si>
    <t>MH3SG9310RJ024617</t>
  </si>
  <si>
    <t>G3V5E-0078541</t>
  </si>
  <si>
    <t>KH 5407 PY</t>
  </si>
  <si>
    <t>V04741921M</t>
  </si>
  <si>
    <t>ABDUL HAMID, S.I.P</t>
  </si>
  <si>
    <t>MH3SG9310RJ007677</t>
  </si>
  <si>
    <t>G3V5E-0022157</t>
  </si>
  <si>
    <t>KH 5406 PY</t>
  </si>
  <si>
    <t>V04741920M</t>
  </si>
  <si>
    <t>TAMZIL BUDIANA, S.IP</t>
  </si>
  <si>
    <t>MH3SG9310RJ026066</t>
  </si>
  <si>
    <t>G3V5E-0082450</t>
  </si>
  <si>
    <t>KH 5404 PY</t>
  </si>
  <si>
    <t>V04741918M</t>
  </si>
  <si>
    <t>ULIE HADIANTO , S.I.P</t>
  </si>
  <si>
    <t>YAMAHA / GRAND FILANO LUX BJM A/T</t>
  </si>
  <si>
    <t>MH3SEK610RJ168795</t>
  </si>
  <si>
    <t>E34KE-0168799</t>
  </si>
  <si>
    <t>KH 5411 P</t>
  </si>
  <si>
    <t>V-04741976M</t>
  </si>
  <si>
    <t>DARMADI, S.E., CRA., CRP</t>
  </si>
  <si>
    <t>YAMAHA / BJM A/T</t>
  </si>
  <si>
    <t>MH3SEK610RJ213530</t>
  </si>
  <si>
    <t>E34KE-0213533</t>
  </si>
  <si>
    <t>KH 5409 PY</t>
  </si>
  <si>
    <t>V04741974</t>
  </si>
  <si>
    <t>JEMI HERMAWAN, A.Md.Kom</t>
  </si>
  <si>
    <t>MH3SEK610RJ229767</t>
  </si>
  <si>
    <t>E34KE-0229770</t>
  </si>
  <si>
    <t>KH 5410 PY</t>
  </si>
  <si>
    <t>VO4741975M</t>
  </si>
  <si>
    <t>NURUL KOMARIAH,S.AP</t>
  </si>
  <si>
    <t>MH3SEK610RJ230656</t>
  </si>
  <si>
    <t>E34KE-0230660</t>
  </si>
  <si>
    <t>KH 5402 PY</t>
  </si>
  <si>
    <t>V04741916M</t>
  </si>
  <si>
    <t>JULIANSYAH, SE</t>
  </si>
  <si>
    <t>Honda Beat Sporty CBS-VIN2019 / Honda Beat Sporty CBS-VIN2019</t>
  </si>
  <si>
    <t>MH1JM8118MK714784</t>
  </si>
  <si>
    <t>JM81E1716677</t>
  </si>
  <si>
    <t>KH 5105 PY</t>
  </si>
  <si>
    <t>R02954996M</t>
  </si>
  <si>
    <t>Kendaraan Roda Dua</t>
  </si>
  <si>
    <t>MHIJM8110MK714794</t>
  </si>
  <si>
    <t>JM81E1716700</t>
  </si>
  <si>
    <t>KH 5106 PY</t>
  </si>
  <si>
    <t>R02954997M</t>
  </si>
  <si>
    <t>MH1JM8115MK714791</t>
  </si>
  <si>
    <t>JM81E1716702</t>
  </si>
  <si>
    <t>KH 5107 PY</t>
  </si>
  <si>
    <t>R02954998M</t>
  </si>
  <si>
    <t>MH1JM8111MK714674</t>
  </si>
  <si>
    <t>JM81E1716472</t>
  </si>
  <si>
    <t>KH 5108 PY</t>
  </si>
  <si>
    <t>R02954999M</t>
  </si>
  <si>
    <t>HINO WU342R-HKMTJD3/130HL / HINO WU342R-HKMTJD3/130HL</t>
  </si>
  <si>
    <t>MJECC1JG43A50-03666</t>
  </si>
  <si>
    <t>WO4DTRJ-12808</t>
  </si>
  <si>
    <t>KH 9508 PW</t>
  </si>
  <si>
    <t>H11004915M</t>
  </si>
  <si>
    <t>Operasional Angkutan Pedesaan Kec. Seruyan Tengah</t>
  </si>
  <si>
    <t>MRODB8D9J0176296</t>
  </si>
  <si>
    <t>2GD4462472</t>
  </si>
  <si>
    <t>KH 8182 PW</t>
  </si>
  <si>
    <t>N-07851139</t>
  </si>
  <si>
    <t>Mutasi (Salah Catat KH 8176 PW)</t>
  </si>
  <si>
    <t>MR0KB8CD8F1219763</t>
  </si>
  <si>
    <t>26DD286642</t>
  </si>
  <si>
    <t>KH 8226 PW</t>
  </si>
  <si>
    <t>U01952354M</t>
  </si>
  <si>
    <t>Belanja Kendaraan Dinas Operasional Roda 4 (KH 8226 PW)</t>
  </si>
  <si>
    <t>MH1KD1111JK042073</t>
  </si>
  <si>
    <t>KD11E1041560</t>
  </si>
  <si>
    <t>KH 4792 PY</t>
  </si>
  <si>
    <t>O02643662M</t>
  </si>
  <si>
    <t>MH1KC5215FK255088</t>
  </si>
  <si>
    <t>KC52E1252775</t>
  </si>
  <si>
    <t>KH 4362 PY</t>
  </si>
  <si>
    <t>L 06930531 M</t>
  </si>
  <si>
    <t>PENYIMPAN BARANG (KEC. SERUYAN tengah)</t>
  </si>
  <si>
    <t>MH1KC5210EK204077</t>
  </si>
  <si>
    <t>KC52E1202286</t>
  </si>
  <si>
    <t>KH 4306 PY</t>
  </si>
  <si>
    <t>L 04354128 M</t>
  </si>
  <si>
    <t>LURAH RANTAU PULUT</t>
  </si>
  <si>
    <t>MH1KC5215EK199152</t>
  </si>
  <si>
    <t>KC52E1197684</t>
  </si>
  <si>
    <t>KH 4305 PY</t>
  </si>
  <si>
    <t>L 04354127 M</t>
  </si>
  <si>
    <t>LURAH RANTAU PULUT II</t>
  </si>
  <si>
    <t>MH1JBE115CK409360</t>
  </si>
  <si>
    <t>JBE1E1401300</t>
  </si>
  <si>
    <t>KH 4069 PY</t>
  </si>
  <si>
    <t>I-10731493 M</t>
  </si>
  <si>
    <t xml:space="preserve"> Kec. Seruyan Tengah</t>
  </si>
  <si>
    <t>HONDA/A1F02N36M1 A/T / HONDA/A1F02N36M1 A/T</t>
  </si>
  <si>
    <t>MH1JM4115KK537570</t>
  </si>
  <si>
    <t>JM41E1535017</t>
  </si>
  <si>
    <t>KH 4872 PY</t>
  </si>
  <si>
    <t>Q00400433M</t>
  </si>
  <si>
    <t>Honda CRF 150-VIN 2019 / Honda CRF 150-VIN 2019</t>
  </si>
  <si>
    <t>MH1KD111XKK106452</t>
  </si>
  <si>
    <t>KD11E1105762</t>
  </si>
  <si>
    <t>KH 4869 PY</t>
  </si>
  <si>
    <t>Q00400430M</t>
  </si>
  <si>
    <t>MH1KD1110KK106430</t>
  </si>
  <si>
    <t>KD11E1105736</t>
  </si>
  <si>
    <t>KH 4866 PY</t>
  </si>
  <si>
    <t>Q00400427M</t>
  </si>
  <si>
    <t>MH1KD111XKK106306</t>
  </si>
  <si>
    <t>KD11E1105616</t>
  </si>
  <si>
    <t>KH 4865 PY</t>
  </si>
  <si>
    <t>Q00400426M</t>
  </si>
  <si>
    <t>Suzuki Shogun  / Suzuki Shogun</t>
  </si>
  <si>
    <t>MH8FD125X61788294</t>
  </si>
  <si>
    <t>F403-1D-788806</t>
  </si>
  <si>
    <t>KH 2153 PY</t>
  </si>
  <si>
    <t>E-2834899M</t>
  </si>
  <si>
    <t>MR0KB8CD9P1147116</t>
  </si>
  <si>
    <t>2GDD282953</t>
  </si>
  <si>
    <t>KH 8224 PW</t>
  </si>
  <si>
    <t>U01952352M</t>
  </si>
  <si>
    <t>BA PENGGUNAAN BMD_Kendaraan Dinas Operasional Lapangan CAMAT_ EROLSYAH, SH</t>
  </si>
  <si>
    <t>Kebakaran</t>
  </si>
  <si>
    <t>HONDA GL15B1DF M/T 150 R - 2017 / HONDA GL15B1DF M/T 150 R - 2017</t>
  </si>
  <si>
    <t>MH1KC5215HK358501</t>
  </si>
  <si>
    <t>KC52E1355076</t>
  </si>
  <si>
    <t>KH 4628 PY</t>
  </si>
  <si>
    <t>M 12805869 M</t>
  </si>
  <si>
    <t>BA PENGGUNAAN BMD_Kendaraan Dinas Operasional KASI PEM_ GAGAH WIBOWO, A.Md</t>
  </si>
  <si>
    <t>MH1JFV116FK059973</t>
  </si>
  <si>
    <t>JFV1E1059813</t>
  </si>
  <si>
    <t>KH 4429 PY</t>
  </si>
  <si>
    <t>L-06967180 M</t>
  </si>
  <si>
    <t>BA PENGGUNAAN BMD_Kendaraan Dinas Operasional CAMAT_ EROLSYAH, SH</t>
  </si>
  <si>
    <t>MH1KC5215FK249288</t>
  </si>
  <si>
    <t>KC52E1247491</t>
  </si>
  <si>
    <t>KH 4347 PY</t>
  </si>
  <si>
    <t>L 06930516 M</t>
  </si>
  <si>
    <t>BA PENGGUNAAN BMD_Kendaraan Dinas Operasional SEKRETARIS CAMAT_ SUBHAN, SKM</t>
  </si>
  <si>
    <t>MH1JFT113HK086281</t>
  </si>
  <si>
    <t>JFT1E1085852</t>
  </si>
  <si>
    <t>KH 4621 PY</t>
  </si>
  <si>
    <t>M 12805862 M</t>
  </si>
  <si>
    <t>BA PENGGUNAAN BMD_Kendaraan Dinas Operasional KASI PMD_ NINU APRICAHYATI, S.AP</t>
  </si>
  <si>
    <t>Honda Revo  / Honda Revo</t>
  </si>
  <si>
    <t>NHIJBC31AK009246</t>
  </si>
  <si>
    <t>JBC3E1009443</t>
  </si>
  <si>
    <t>KH 4005 PY</t>
  </si>
  <si>
    <t>TOYOTA HILUX / HILUX</t>
  </si>
  <si>
    <t>MR0KB8CD2R1221592</t>
  </si>
  <si>
    <t>2GDD384393</t>
  </si>
  <si>
    <t>KH 8236 PW</t>
  </si>
  <si>
    <t>U06700572 M</t>
  </si>
  <si>
    <t>Kendaraan Dinas Operasional Lapangan (Camat)</t>
  </si>
  <si>
    <t>Honda Star  / Honda Star</t>
  </si>
  <si>
    <t>85 CC</t>
  </si>
  <si>
    <t>MH1GF000SSAU29490</t>
  </si>
  <si>
    <t>GFE-1029510</t>
  </si>
  <si>
    <t>KH 2023 FY</t>
  </si>
  <si>
    <t>D 5934763 M</t>
  </si>
  <si>
    <t>Suzuki TRS  / Suzuki TRS</t>
  </si>
  <si>
    <t>118 cc</t>
  </si>
  <si>
    <t>TRS65511</t>
  </si>
  <si>
    <t>F101ID123124</t>
  </si>
  <si>
    <t>MH1JBE11XCK425005</t>
  </si>
  <si>
    <t>JBE1E1412822</t>
  </si>
  <si>
    <t>KH 4065 PY</t>
  </si>
  <si>
    <t>I-10729975 M</t>
  </si>
  <si>
    <t xml:space="preserve"> Kec. Hanau</t>
  </si>
  <si>
    <t>MH1KC2110CK064559</t>
  </si>
  <si>
    <t>KC21E1064432</t>
  </si>
  <si>
    <t>KH 4087 PY</t>
  </si>
  <si>
    <t>I-10731511 M</t>
  </si>
  <si>
    <t>MH1JFT118HK087152</t>
  </si>
  <si>
    <t>JFT1E1086543</t>
  </si>
  <si>
    <t>KH 4614 PY</t>
  </si>
  <si>
    <t>M 12805855 M</t>
  </si>
  <si>
    <t>KEC. HANAU</t>
  </si>
  <si>
    <t>MH1KC5217HK357818</t>
  </si>
  <si>
    <t>KC52E1354503</t>
  </si>
  <si>
    <t>KH 4629 PY</t>
  </si>
  <si>
    <t>M 12805870 M</t>
  </si>
  <si>
    <t>MH1KC021XJK036302</t>
  </si>
  <si>
    <t>KC02E1036207</t>
  </si>
  <si>
    <t>KH 4757 PY</t>
  </si>
  <si>
    <t>O02643628M</t>
  </si>
  <si>
    <t>TRISHEDA NS BS LD Kendaraan Roda Tiga / TRISHEDA NS BS LD Kendaraan Roda Tiga</t>
  </si>
  <si>
    <t>MGDT15MKTDJ006730</t>
  </si>
  <si>
    <t>162FMJD1710146</t>
  </si>
  <si>
    <t>KH 4269 PY</t>
  </si>
  <si>
    <t>L-00583615</t>
  </si>
  <si>
    <t>Kendaraan angkut sampah roda 3 sebanyak 6 unit</t>
  </si>
  <si>
    <t>MGDT15MKTDJ006770</t>
  </si>
  <si>
    <t>162FMJD1710189</t>
  </si>
  <si>
    <t>KH.4266 PY</t>
  </si>
  <si>
    <t>L-00583618</t>
  </si>
  <si>
    <t>MNBBSBE409W829362</t>
  </si>
  <si>
    <t>WLAT1126217</t>
  </si>
  <si>
    <t>KH 8049 PW</t>
  </si>
  <si>
    <t>G 3012888 M</t>
  </si>
  <si>
    <t>kecamatan seruyan hilir</t>
  </si>
  <si>
    <t>MR0KB8CD5R1221442</t>
  </si>
  <si>
    <t>2GDD384419</t>
  </si>
  <si>
    <t>KH 8238 PW</t>
  </si>
  <si>
    <t>U06710562M</t>
  </si>
  <si>
    <t>MH1JFS115FK106330</t>
  </si>
  <si>
    <t>JFS1E1104475</t>
  </si>
  <si>
    <t>KH 4392 PY</t>
  </si>
  <si>
    <t>L 06931775 M</t>
  </si>
  <si>
    <t>KECAMATAN</t>
  </si>
  <si>
    <t>Aerox / Aerox</t>
  </si>
  <si>
    <t>MH3564610JJ064495</t>
  </si>
  <si>
    <t>63ESIE-0133709</t>
  </si>
  <si>
    <t>KH 4901 PY</t>
  </si>
  <si>
    <t>Q04061619M</t>
  </si>
  <si>
    <t>Operasional PBB KP I</t>
  </si>
  <si>
    <t>Scoopy ESP / Scoopy ESP</t>
  </si>
  <si>
    <t>MH1JM3130KK067315</t>
  </si>
  <si>
    <t>JM31E3062532</t>
  </si>
  <si>
    <t>KH 4868 PY</t>
  </si>
  <si>
    <t>Q00400429M</t>
  </si>
  <si>
    <t>Operasional PBB KP II (Scoopy)</t>
  </si>
  <si>
    <t>MH1KC5217EK192459</t>
  </si>
  <si>
    <t>KC52E1190797</t>
  </si>
  <si>
    <t>KH 4284 PY</t>
  </si>
  <si>
    <t>L 04353748 M</t>
  </si>
  <si>
    <t>MHIJM3131KK111886</t>
  </si>
  <si>
    <t>JM31E3107244</t>
  </si>
  <si>
    <t>KH 4871 PY</t>
  </si>
  <si>
    <t>Q00400432M</t>
  </si>
  <si>
    <t>Operasional PBB KP II( Scoopy)</t>
  </si>
  <si>
    <t>Kawasaki Type D Traker / Kawasaki Type D Traker</t>
  </si>
  <si>
    <t>MH4LX150HLIP69379</t>
  </si>
  <si>
    <t>LX150CEWL2786</t>
  </si>
  <si>
    <t>KH 4968 PY</t>
  </si>
  <si>
    <t>Q08292758M</t>
  </si>
  <si>
    <t>Sepeda motor KP I</t>
  </si>
  <si>
    <t>MH1JFS110FK0820767</t>
  </si>
  <si>
    <t>JFS1E10788996</t>
  </si>
  <si>
    <t>KH 4376 PY</t>
  </si>
  <si>
    <t>L 06931759 M</t>
  </si>
  <si>
    <t>HONDA CB 150 R / HONDA CB 150 R</t>
  </si>
  <si>
    <t>MH1KCA210KK074466</t>
  </si>
  <si>
    <t>KCA2E1070113</t>
  </si>
  <si>
    <t>KH 4867 PY</t>
  </si>
  <si>
    <t>Q00400428M</t>
  </si>
  <si>
    <t>Operasional PBB KP II</t>
  </si>
  <si>
    <t>Kawasaki Type G Trail / Kawasaki Type G Trail</t>
  </si>
  <si>
    <t>MH4LXI50GLJP86438</t>
  </si>
  <si>
    <t>LX150CEWM5298</t>
  </si>
  <si>
    <t>KH 4967 PY</t>
  </si>
  <si>
    <t>Q08292756M</t>
  </si>
  <si>
    <t>sepeda motor KP I</t>
  </si>
  <si>
    <t>MH1KC5213DK032447</t>
  </si>
  <si>
    <t>KC52E1032679</t>
  </si>
  <si>
    <t>KH 4175 PY</t>
  </si>
  <si>
    <t>K-05623360 M</t>
  </si>
  <si>
    <t>MH3S64649KJO64544</t>
  </si>
  <si>
    <t>63J8E-0183758</t>
  </si>
  <si>
    <t>KH 4902 PY</t>
  </si>
  <si>
    <t>Q04061620M</t>
  </si>
  <si>
    <t>Kawasaki tipe G KLX 150 / Kawasaki tipe G KLX 150</t>
  </si>
  <si>
    <t>MH4LX150GLJP86427</t>
  </si>
  <si>
    <t>LX150CEWM5264</t>
  </si>
  <si>
    <t>KH 4966 PY</t>
  </si>
  <si>
    <t>Q08202757M</t>
  </si>
  <si>
    <t>sepeda motor KP II</t>
  </si>
  <si>
    <t>MH1JBE215CK194531</t>
  </si>
  <si>
    <t>JBE2E1191374</t>
  </si>
  <si>
    <t>KH 4054 PY</t>
  </si>
  <si>
    <t>I-10729964 M</t>
  </si>
  <si>
    <t>MH4LX150GLJP86424</t>
  </si>
  <si>
    <t>LX150CEWM5248</t>
  </si>
  <si>
    <t>KH 4969 PY</t>
  </si>
  <si>
    <t>Q08292759M</t>
  </si>
  <si>
    <t>MH1JBE211CK193005</t>
  </si>
  <si>
    <t>JBE2E1190753</t>
  </si>
  <si>
    <t>KH 4058 PY</t>
  </si>
  <si>
    <t>I-10729968 M</t>
  </si>
  <si>
    <t>SUZUKI FL 125 RCD SHOGUN RR - / SUZUKI FL 125 RCD SHOGUN RR -</t>
  </si>
  <si>
    <t>MH8BF45DAA1311005</t>
  </si>
  <si>
    <t>F496ID386139</t>
  </si>
  <si>
    <t>KH 2718 PY</t>
  </si>
  <si>
    <t>H 11011849 M</t>
  </si>
  <si>
    <t>KP,1</t>
  </si>
  <si>
    <t>MH1KC0218JK036329</t>
  </si>
  <si>
    <t>KC02E1036636</t>
  </si>
  <si>
    <t>KH 4745 PY</t>
  </si>
  <si>
    <t>O02643607M</t>
  </si>
  <si>
    <t>MH1KC0210JK034963</t>
  </si>
  <si>
    <t>KCO2E1035145</t>
  </si>
  <si>
    <t>KH 4759 PY</t>
  </si>
  <si>
    <t>O02643630M</t>
  </si>
  <si>
    <t>Mutasi (KP.2 )</t>
  </si>
  <si>
    <t>MH1JBN11XFK081132</t>
  </si>
  <si>
    <t>JBN1E1079316</t>
  </si>
  <si>
    <t>KH 4396 PY</t>
  </si>
  <si>
    <t>L 06937004 M</t>
  </si>
  <si>
    <t>MH1JBN118FK080870</t>
  </si>
  <si>
    <t>JBN1E1079063</t>
  </si>
  <si>
    <t>KH 4403 PY</t>
  </si>
  <si>
    <t>L 06937011 M</t>
  </si>
  <si>
    <t>MH1KC5210FK255709</t>
  </si>
  <si>
    <t>KC52E-1253669</t>
  </si>
  <si>
    <t>KH 4354 PY</t>
  </si>
  <si>
    <t>L 06930523 M</t>
  </si>
  <si>
    <t>MH1KC521BFK249740</t>
  </si>
  <si>
    <t>KC52E-1247536</t>
  </si>
  <si>
    <t>KH 4346 PY</t>
  </si>
  <si>
    <t>L 06930517 M</t>
  </si>
  <si>
    <t>MH1KD1117KK107297</t>
  </si>
  <si>
    <t>KD11E1106504</t>
  </si>
  <si>
    <t>KH 4877 PY</t>
  </si>
  <si>
    <t>Q00400478M</t>
  </si>
  <si>
    <t>SUZUKI APV ARENA GL MT / SUZUKI APV ARENA GL MT</t>
  </si>
  <si>
    <t>1493 CC</t>
  </si>
  <si>
    <t>MHYGDN42VD3380613</t>
  </si>
  <si>
    <t>615A1D293649</t>
  </si>
  <si>
    <t>KH 1091 PE</t>
  </si>
  <si>
    <t>K-03039796</t>
  </si>
  <si>
    <t>PENETAPAN NILAI DAN PENCATATAN ASET PERALATAN MESIN BERUPA MOBIL AMBULANCE (KELURAHAN KUALA PEMBUANG I)</t>
  </si>
  <si>
    <t>MJEC1JG43A50-03667</t>
  </si>
  <si>
    <t>W04DTRJ-12809</t>
  </si>
  <si>
    <t>KH 9510 PW</t>
  </si>
  <si>
    <t>H-11004917 M</t>
  </si>
  <si>
    <t>Operasional Angkutan Pedesaan Kec. Seruyan Hulu</t>
  </si>
  <si>
    <t>HILUX DOUBLE CABIN 2.4 E (4x4) DSL M/T / GUN25DCEM/T30</t>
  </si>
  <si>
    <t>MR0DB8CD8N0127094</t>
  </si>
  <si>
    <t>2GD 1313048</t>
  </si>
  <si>
    <t>KH 8216 PW</t>
  </si>
  <si>
    <t>T-02688169 M</t>
  </si>
  <si>
    <t>MH1KC211XCK064262</t>
  </si>
  <si>
    <t>KC21E1064061</t>
  </si>
  <si>
    <t>KH 4088 PY</t>
  </si>
  <si>
    <t>I-10731512 M</t>
  </si>
  <si>
    <t xml:space="preserve"> Kec. Seruyan Hulu</t>
  </si>
  <si>
    <t>SUZUKI TITAN  / SUZUKI TITAN</t>
  </si>
  <si>
    <t>115 CC</t>
  </si>
  <si>
    <t>MH8BE4DUAAJ142711</t>
  </si>
  <si>
    <t>E470-ID-147670</t>
  </si>
  <si>
    <t>KH 2721 PY</t>
  </si>
  <si>
    <t>70136438449</t>
  </si>
  <si>
    <t>MH1KC5215FK255124</t>
  </si>
  <si>
    <t>KC52E-1252845</t>
  </si>
  <si>
    <t>KH 4357 PY</t>
  </si>
  <si>
    <t>L  06930526 M</t>
  </si>
  <si>
    <t>CAMAT SULING TAMBUN</t>
  </si>
  <si>
    <t>MH1KC5216EK199368</t>
  </si>
  <si>
    <t>KC52E119741</t>
  </si>
  <si>
    <t>KH 4295 PY</t>
  </si>
  <si>
    <t>L 04354117 M</t>
  </si>
  <si>
    <t>MH3PF4D1DUAAGI42711</t>
  </si>
  <si>
    <t>E470/ID/159/671</t>
  </si>
  <si>
    <t>KH 2720 PY</t>
  </si>
  <si>
    <t>MH1KC521XFK255717</t>
  </si>
  <si>
    <t>KC52E1253615</t>
  </si>
  <si>
    <t>KH 4364 PY</t>
  </si>
  <si>
    <t>L 06930533 M</t>
  </si>
  <si>
    <t>PENYIMPAN BARANG (SERUYAN HULU)</t>
  </si>
  <si>
    <t>MH1KD1113JK039854</t>
  </si>
  <si>
    <t>KD11E1039296</t>
  </si>
  <si>
    <t>KH 4770 PY</t>
  </si>
  <si>
    <t>O02643641M</t>
  </si>
  <si>
    <t>Honda Nf 100  / Honda Nf 100</t>
  </si>
  <si>
    <t>MHIKEVA153K</t>
  </si>
  <si>
    <t>KEVAE-1469439</t>
  </si>
  <si>
    <t>KH 3045 PM</t>
  </si>
  <si>
    <t>C 9305121 M</t>
  </si>
  <si>
    <t>MRODS8CD7H0262930</t>
  </si>
  <si>
    <t>2KDU973375</t>
  </si>
  <si>
    <t>KH 8155 PW</t>
  </si>
  <si>
    <t>M 10655031 M</t>
  </si>
  <si>
    <t>KEC. BATU AMPAR</t>
  </si>
  <si>
    <t>MR0KB8CD8F1219682</t>
  </si>
  <si>
    <t>2GDD282631</t>
  </si>
  <si>
    <t>KH 8227 PW</t>
  </si>
  <si>
    <t>U-01952355 M</t>
  </si>
  <si>
    <t>Belanja Kendaraan Dinas Operasional Roda 4 (KH 8227 PW)</t>
  </si>
  <si>
    <t>MH1KD1116JK023812</t>
  </si>
  <si>
    <t>KD11E1023416</t>
  </si>
  <si>
    <t>KH 4772 PY</t>
  </si>
  <si>
    <t>O02643643M</t>
  </si>
  <si>
    <t>MH1KC0216JK032635</t>
  </si>
  <si>
    <t>KC02E1033100</t>
  </si>
  <si>
    <t>KH 4768 PY</t>
  </si>
  <si>
    <t>O02643639M</t>
  </si>
  <si>
    <t>MH1JBE110CK413445</t>
  </si>
  <si>
    <t>JBE1E1400868</t>
  </si>
  <si>
    <t>KH 4066 PY</t>
  </si>
  <si>
    <t>I-10729976 M</t>
  </si>
  <si>
    <t xml:space="preserve"> Kec. Batu Ampar</t>
  </si>
  <si>
    <t>MH1KC2116CK064548</t>
  </si>
  <si>
    <t>KC21E1064428</t>
  </si>
  <si>
    <t>KH 4090 PY</t>
  </si>
  <si>
    <t>I-10731514 M</t>
  </si>
  <si>
    <t>MH1KC5521FK280797</t>
  </si>
  <si>
    <t>KC52E-1278555</t>
  </si>
  <si>
    <t>KH 4438 PY</t>
  </si>
  <si>
    <t>L-06967190 M</t>
  </si>
  <si>
    <t>SEKRETARIS CAMAT (BATAM)</t>
  </si>
  <si>
    <t>MH1JFT119HK086270</t>
  </si>
  <si>
    <t>JFT1E 1085841</t>
  </si>
  <si>
    <t>KH 4617 PY</t>
  </si>
  <si>
    <t>M 12805858 M</t>
  </si>
  <si>
    <t>MH1JBE110CK390295</t>
  </si>
  <si>
    <t>JBE1E1385652</t>
  </si>
  <si>
    <t>KH 4062 PY</t>
  </si>
  <si>
    <t>I-10729972 M</t>
  </si>
  <si>
    <t>Kasi yansos(ERWIN SUPARDI)</t>
  </si>
  <si>
    <t>MH1KFA118RK254927</t>
  </si>
  <si>
    <t>KFA1E-1253473</t>
  </si>
  <si>
    <t>KH 5325 PY</t>
  </si>
  <si>
    <t>V-00171625 M</t>
  </si>
  <si>
    <t>M. ABDI RADHIYANIE, S.STP (Camat Seruyan Raya Kabupaten Seruyan)</t>
  </si>
  <si>
    <t>Honda Beat Sporty CBS ISS vin 2019 / Honda Beat Sporty CBS ISS vin 2019</t>
  </si>
  <si>
    <t>MH1JM1126KK385967</t>
  </si>
  <si>
    <t>JM11E2368160</t>
  </si>
  <si>
    <t>KH 4892 PY</t>
  </si>
  <si>
    <t>Q00400491M</t>
  </si>
  <si>
    <t>CAMAT (M.ABDI RADHIYANIE,S.STP)</t>
  </si>
  <si>
    <t>MH1JM1127KK386030</t>
  </si>
  <si>
    <t>JM11E2368235</t>
  </si>
  <si>
    <t>KH 4880 PY</t>
  </si>
  <si>
    <t>Q00400481M</t>
  </si>
  <si>
    <t>SEKCAM (ERLAWATI,S.Pi.,MM)</t>
  </si>
  <si>
    <t>MR0KB8CD1R1221275</t>
  </si>
  <si>
    <t>2GDD382729</t>
  </si>
  <si>
    <t>KH 8237 PW</t>
  </si>
  <si>
    <t>U06700573 M</t>
  </si>
  <si>
    <t>MH1KC521XEK200490</t>
  </si>
  <si>
    <t>KC52E1198471</t>
  </si>
  <si>
    <t>KH 4300 PY</t>
  </si>
  <si>
    <t>L 04354122 M</t>
  </si>
  <si>
    <t>ANANG DIRJO,SP /CAMAT D. SELULUK</t>
  </si>
  <si>
    <t>MH1JBE116CK409383</t>
  </si>
  <si>
    <t>JBE1E1400632</t>
  </si>
  <si>
    <t>KH 4077 PY</t>
  </si>
  <si>
    <t>I-10731501 M</t>
  </si>
  <si>
    <t xml:space="preserve"> Kec. Danau Seluluk</t>
  </si>
  <si>
    <t>MH1JBN117FK080665</t>
  </si>
  <si>
    <t>JBN1E1078785</t>
  </si>
  <si>
    <t>KH 4398 PY</t>
  </si>
  <si>
    <t>L 06937006 M</t>
  </si>
  <si>
    <t>CAMAT  SELULUK /ANANG DIRJO</t>
  </si>
  <si>
    <t>MH1KC2118CK064549</t>
  </si>
  <si>
    <t>KC21E1064374</t>
  </si>
  <si>
    <t>KH 4083 PY</t>
  </si>
  <si>
    <t>I-10731507 M</t>
  </si>
  <si>
    <t>MR0KB8CD8R1221676</t>
  </si>
  <si>
    <t>2GDD382937</t>
  </si>
  <si>
    <t>KH 8239 PW</t>
  </si>
  <si>
    <t>U06710563M</t>
  </si>
  <si>
    <t>MH1KC5211EK199231</t>
  </si>
  <si>
    <t>KC52E1197480</t>
  </si>
  <si>
    <t>KH 4283 PY</t>
  </si>
  <si>
    <t>L 04353747 M</t>
  </si>
  <si>
    <t>MH1JBE310DK299879</t>
  </si>
  <si>
    <t>JBE3E1294628</t>
  </si>
  <si>
    <t>KH 4209 PY</t>
  </si>
  <si>
    <t>K 08796086 M</t>
  </si>
  <si>
    <t>Kecamatan Seruyan Hilir Timur</t>
  </si>
  <si>
    <t>MH1JBE112CK418601</t>
  </si>
  <si>
    <t>JBE2E1411179</t>
  </si>
  <si>
    <t>KH 4064 PY</t>
  </si>
  <si>
    <t>I 10729974 M</t>
  </si>
  <si>
    <t xml:space="preserve"> Kec. Seruyan Hilir Timur</t>
  </si>
  <si>
    <t>MJECC1JG43A50-03668</t>
  </si>
  <si>
    <t>WO4DTRJ-12810</t>
  </si>
  <si>
    <t>KH 9509 PW</t>
  </si>
  <si>
    <t>H-11004916 M</t>
  </si>
  <si>
    <t>Operasional Angkutan Pedesaan untuk Kec. Suling Tambun</t>
  </si>
  <si>
    <t>MNBBSBE409W831193</t>
  </si>
  <si>
    <t>WLAT1129396</t>
  </si>
  <si>
    <t>KH 8048 PW</t>
  </si>
  <si>
    <t>G 3012881 M</t>
  </si>
  <si>
    <t>MR0DB8CD5N0126985</t>
  </si>
  <si>
    <t>2GD 1311968</t>
  </si>
  <si>
    <t>KH 8219 PW</t>
  </si>
  <si>
    <t>T-02688171 M</t>
  </si>
  <si>
    <t>MH8FD125XX4J127962</t>
  </si>
  <si>
    <t>F403-ID-126886</t>
  </si>
  <si>
    <t>KH 2090 PY</t>
  </si>
  <si>
    <t>D 9837367 M</t>
  </si>
  <si>
    <t>Sahakel/Puskesmas Tumbang Langkai</t>
  </si>
  <si>
    <t>MH1KC0213JK034942</t>
  </si>
  <si>
    <t>KC02E1034787</t>
  </si>
  <si>
    <t>KH 4767 PY</t>
  </si>
  <si>
    <t>O02643638M</t>
  </si>
  <si>
    <t>MH1KC5214HK353869</t>
  </si>
  <si>
    <t>KC52E1350344</t>
  </si>
  <si>
    <t>KH 4627 PY</t>
  </si>
  <si>
    <t>M 12805868 M</t>
  </si>
  <si>
    <t>KEC. SULING TAMBUN</t>
  </si>
  <si>
    <t>MH1JBE11XCK390370</t>
  </si>
  <si>
    <t>JBE1E1385768</t>
  </si>
  <si>
    <t>KH 4063 PY</t>
  </si>
  <si>
    <t>I-10729973 M</t>
  </si>
  <si>
    <t xml:space="preserve"> Kec. Suling Tambun</t>
  </si>
  <si>
    <t>MH1KC2112CK059170</t>
  </si>
  <si>
    <t>KC21E1059058</t>
  </si>
  <si>
    <t>KH 4084 PY</t>
  </si>
  <si>
    <t>I-10731508 M</t>
  </si>
  <si>
    <t>MH1KD1113JK038350</t>
  </si>
  <si>
    <t>KD11E1037758</t>
  </si>
  <si>
    <t>KH 4773 PY</t>
  </si>
  <si>
    <t>O02643644M</t>
  </si>
  <si>
    <t>Hyno / Hyno</t>
  </si>
  <si>
    <t>MJEC1J6X1K5036664</t>
  </si>
  <si>
    <t>W04DTPJ82148</t>
  </si>
  <si>
    <t>KH 7002 PU</t>
  </si>
  <si>
    <t>P-02943152</t>
  </si>
  <si>
    <t>Mobil Monilog</t>
  </si>
  <si>
    <t>Toyota</t>
  </si>
  <si>
    <t>Mobil Jabatan Eselon II</t>
  </si>
  <si>
    <t>ISUZU NMR 71T HD 6.1 / ISUZU NMR 71T HD 6.1</t>
  </si>
  <si>
    <t>04570</t>
  </si>
  <si>
    <t>CAMPUR</t>
  </si>
  <si>
    <t>MHCNMR71HGJ076015</t>
  </si>
  <si>
    <t>B076015</t>
  </si>
  <si>
    <t>B 9163 TQU</t>
  </si>
  <si>
    <t>TRUCK SERBAGUNA</t>
  </si>
  <si>
    <t>TOYOTA HILUX SC 2.0 L M/T / TOYOTA HILUX SC 2.0 L M/T</t>
  </si>
  <si>
    <t>MROEW8BB2F0200728</t>
  </si>
  <si>
    <t>1TR8835505</t>
  </si>
  <si>
    <t>KH 8131 PW</t>
  </si>
  <si>
    <t>L-06968286 M</t>
  </si>
  <si>
    <t>ISUZU MOBIL BARANG RESCUE / ISUZU MOBIL BARANG RESCUE</t>
  </si>
  <si>
    <t>MPATFS86JFT016142</t>
  </si>
  <si>
    <t>NC4284</t>
  </si>
  <si>
    <t>B 9203 TSC</t>
  </si>
  <si>
    <t>MOBIL BARANG DOUBLE KABIN ( HIBAH BNPB )</t>
  </si>
  <si>
    <t>MH4LX150GMJP88931</t>
  </si>
  <si>
    <t>LX150CEWP7921</t>
  </si>
  <si>
    <t>KH 5073 PY</t>
  </si>
  <si>
    <t>R-02937440</t>
  </si>
  <si>
    <t>MH4LX150GMJP89449</t>
  </si>
  <si>
    <t>LX150CEWR1786</t>
  </si>
  <si>
    <t>KH 5033 PY</t>
  </si>
  <si>
    <t>R-02937401</t>
  </si>
  <si>
    <t>MH4LX150GMJP89231</t>
  </si>
  <si>
    <t>LX150CEWR0651</t>
  </si>
  <si>
    <t>KH 5020 PY</t>
  </si>
  <si>
    <t>R-02937388</t>
  </si>
  <si>
    <t>MH4LX150GMJP89108</t>
  </si>
  <si>
    <t>LX150CEWR0019</t>
  </si>
  <si>
    <t>KH 5066 PY</t>
  </si>
  <si>
    <t>R-02937433</t>
  </si>
  <si>
    <t>MH4LX150GMJP89430</t>
  </si>
  <si>
    <t>LX150CEWR1439</t>
  </si>
  <si>
    <t>KH 5047 PY</t>
  </si>
  <si>
    <t>R-02937415</t>
  </si>
  <si>
    <t>MH4LX150GMJP88929</t>
  </si>
  <si>
    <t>LX150CEWP7923</t>
  </si>
  <si>
    <t>KH 5075 PY</t>
  </si>
  <si>
    <t>R-02937442</t>
  </si>
  <si>
    <t>MH4LX150GMJP89558</t>
  </si>
  <si>
    <t>LX150CEWR2658</t>
  </si>
  <si>
    <t>KH 5098 PY</t>
  </si>
  <si>
    <t>R-02937465</t>
  </si>
  <si>
    <t>MH4LX150GMJP89561</t>
  </si>
  <si>
    <t>LX150CEWR2655</t>
  </si>
  <si>
    <t>KH 5101 PY</t>
  </si>
  <si>
    <t>R-02937468</t>
  </si>
  <si>
    <t>MH4LX150GMJP89129</t>
  </si>
  <si>
    <t>LX150CEWP9788</t>
  </si>
  <si>
    <t>KH 5015 PY</t>
  </si>
  <si>
    <t>R-02937383</t>
  </si>
  <si>
    <t>MH4LX150GMJP89096</t>
  </si>
  <si>
    <t>LX150CEWP9638</t>
  </si>
  <si>
    <t>KH 5071 PY</t>
  </si>
  <si>
    <t>R-02937438</t>
  </si>
  <si>
    <t>MH4LX150GMJP89082</t>
  </si>
  <si>
    <t>LX150CEWP8587</t>
  </si>
  <si>
    <t>KH 5070 PY</t>
  </si>
  <si>
    <t>R-02937437</t>
  </si>
  <si>
    <t>MH4LX150GMJP89664</t>
  </si>
  <si>
    <t>LX150CEWR2477</t>
  </si>
  <si>
    <t>KH 5064 PY</t>
  </si>
  <si>
    <t>R-02937431</t>
  </si>
  <si>
    <t>MH4LX150GMJP89217</t>
  </si>
  <si>
    <t>LX150CEWR0215</t>
  </si>
  <si>
    <t>KH 5018 PY</t>
  </si>
  <si>
    <t>R-02937386</t>
  </si>
  <si>
    <t>MH4LX150GMJP89130</t>
  </si>
  <si>
    <t>LX150CEWP9791</t>
  </si>
  <si>
    <t>KH 5016 PY</t>
  </si>
  <si>
    <t>R-02937384</t>
  </si>
  <si>
    <t>MH4LX150GMJP89447</t>
  </si>
  <si>
    <t>LX150CEWR1774</t>
  </si>
  <si>
    <t>KH 5035 PY</t>
  </si>
  <si>
    <t>R-02937403</t>
  </si>
  <si>
    <t>MH1KD1116LK147128</t>
  </si>
  <si>
    <t>KD11E1146673</t>
  </si>
  <si>
    <t>KH 4932 PY</t>
  </si>
  <si>
    <t>Q-08281409</t>
  </si>
  <si>
    <t>MH1KD111XLK147200</t>
  </si>
  <si>
    <t>KD11E1146697</t>
  </si>
  <si>
    <t>KH 4934 PY</t>
  </si>
  <si>
    <t>Q-08281411</t>
  </si>
  <si>
    <t>MH1KD1110LK147514</t>
  </si>
  <si>
    <t>KD11E1146828</t>
  </si>
  <si>
    <t>KH 4935 PY</t>
  </si>
  <si>
    <t>Q-08281412</t>
  </si>
  <si>
    <t>MH1KD1113LK147166</t>
  </si>
  <si>
    <t>KD11E1146411</t>
  </si>
  <si>
    <t>KH 4940 PY</t>
  </si>
  <si>
    <t>Q-082881417</t>
  </si>
  <si>
    <t>MH1KD1115LK147587</t>
  </si>
  <si>
    <t>KD11E1146892</t>
  </si>
  <si>
    <t>KH 4938 PY</t>
  </si>
  <si>
    <t>Q-08281415</t>
  </si>
  <si>
    <t>MH1KD1110LK147478</t>
  </si>
  <si>
    <t>KD11E1146792</t>
  </si>
  <si>
    <t>KH 4936 PY</t>
  </si>
  <si>
    <t>Q-08281413</t>
  </si>
  <si>
    <t>MH1KD1111LK147473</t>
  </si>
  <si>
    <t>KD11E1146787</t>
  </si>
  <si>
    <t>KH 4917 PY</t>
  </si>
  <si>
    <t>Q-08278563</t>
  </si>
  <si>
    <t>MH1KD1119LK147155</t>
  </si>
  <si>
    <t>KD11E1146704</t>
  </si>
  <si>
    <t>KH 4928 PY</t>
  </si>
  <si>
    <t>Q-08280981</t>
  </si>
  <si>
    <t>MH1KD1114LK147659</t>
  </si>
  <si>
    <t>KD11E1146963</t>
  </si>
  <si>
    <t>KH 4946 PY</t>
  </si>
  <si>
    <t>Q-08281422</t>
  </si>
  <si>
    <t>MH1KD1116LK147632</t>
  </si>
  <si>
    <t>KD11E1146931</t>
  </si>
  <si>
    <t>KH 4945 PY</t>
  </si>
  <si>
    <t>Q-08281421</t>
  </si>
  <si>
    <t>MH1KD111XLK147679</t>
  </si>
  <si>
    <t>KD11E1146987</t>
  </si>
  <si>
    <t>KH 4942 PY</t>
  </si>
  <si>
    <t>Q-08281419</t>
  </si>
  <si>
    <t>MH1KD1112LK147174</t>
  </si>
  <si>
    <t>KD11E1146700</t>
  </si>
  <si>
    <t>KH 4941 PY</t>
  </si>
  <si>
    <t>Q-08281418</t>
  </si>
  <si>
    <t>MH1KD1112LK147157</t>
  </si>
  <si>
    <t>KD11E1146705</t>
  </si>
  <si>
    <t>KH 4915 PY</t>
  </si>
  <si>
    <t>Q-08278561</t>
  </si>
  <si>
    <t>MH1KD1113LK147684</t>
  </si>
  <si>
    <t>KD11E1146992</t>
  </si>
  <si>
    <t>KH 4914 PY</t>
  </si>
  <si>
    <t>Q-08278560</t>
  </si>
  <si>
    <t>MH1KD1116LK147579</t>
  </si>
  <si>
    <t>KD11E1146860</t>
  </si>
  <si>
    <t>KH 4937 PY</t>
  </si>
  <si>
    <t>Q-08281414</t>
  </si>
  <si>
    <t>MH1KD111XLK147665</t>
  </si>
  <si>
    <t>KD11E1146972</t>
  </si>
  <si>
    <t>KH 4939 PY</t>
  </si>
  <si>
    <t>Q-08281416</t>
  </si>
  <si>
    <t>MH1KD1113LK147667</t>
  </si>
  <si>
    <t>KD11E1146974</t>
  </si>
  <si>
    <t>KH 4943 PY</t>
  </si>
  <si>
    <t>Q-08281420</t>
  </si>
  <si>
    <t>MH1KD1118LK146255</t>
  </si>
  <si>
    <t>KD11E1145513</t>
  </si>
  <si>
    <t>KH 4919 PY</t>
  </si>
  <si>
    <t>Q-08278565</t>
  </si>
  <si>
    <t>MH4LX1506MJP89429</t>
  </si>
  <si>
    <t>KH 5048 PY</t>
  </si>
  <si>
    <t>R-02937416</t>
  </si>
  <si>
    <t>MH4LX1506MJP89125</t>
  </si>
  <si>
    <t>LX150CEWP9794</t>
  </si>
  <si>
    <t>KH 5011 PY</t>
  </si>
  <si>
    <t>R-02937379</t>
  </si>
  <si>
    <t>LX150CEWP9640</t>
  </si>
  <si>
    <t>KH 5069 PY</t>
  </si>
  <si>
    <t>R-02937436</t>
  </si>
  <si>
    <t>LX150CEWR2463</t>
  </si>
  <si>
    <t>KH 5097 PY</t>
  </si>
  <si>
    <t>R-02937464</t>
  </si>
  <si>
    <t>LX150CEWR1781</t>
  </si>
  <si>
    <t>KH 5037 PY</t>
  </si>
  <si>
    <t>R-02937405</t>
  </si>
  <si>
    <t>LX150CEWR2654</t>
  </si>
  <si>
    <t>KH 5100 PY</t>
  </si>
  <si>
    <t>R-02937467</t>
  </si>
  <si>
    <t>LX150CEWR2891</t>
  </si>
  <si>
    <t>KH 5002 PY</t>
  </si>
  <si>
    <t>R-02937371</t>
  </si>
  <si>
    <t>LX150CEWR2892</t>
  </si>
  <si>
    <t>KH 5003 PY</t>
  </si>
  <si>
    <t>R-02937372</t>
  </si>
  <si>
    <t>LX150CEWR0011</t>
  </si>
  <si>
    <t>KH 5067 PY</t>
  </si>
  <si>
    <t>R-02937434</t>
  </si>
  <si>
    <t>LX150CEWR0900</t>
  </si>
  <si>
    <t>KH 5058 PY</t>
  </si>
  <si>
    <t>R-02937425</t>
  </si>
  <si>
    <t>LX150CEWP9641</t>
  </si>
  <si>
    <t>KH 5068 PY</t>
  </si>
  <si>
    <t>R-02937435</t>
  </si>
  <si>
    <t>LX150CEWP8296</t>
  </si>
  <si>
    <t>KH 5072 PY</t>
  </si>
  <si>
    <t>R-02937439</t>
  </si>
  <si>
    <t>LX150CEWR0006</t>
  </si>
  <si>
    <t>KH 5074 PY</t>
  </si>
  <si>
    <t>R-02937441</t>
  </si>
  <si>
    <t>MH4LX1506MJP89424</t>
  </si>
  <si>
    <t>LX150CEWR1445</t>
  </si>
  <si>
    <t>KH 5053 PY</t>
  </si>
  <si>
    <t>R-02937420</t>
  </si>
  <si>
    <t>LX150CEWR1429</t>
  </si>
  <si>
    <t>KH 5040 PY</t>
  </si>
  <si>
    <t>R-02937408</t>
  </si>
  <si>
    <t>LX150CEWP9784</t>
  </si>
  <si>
    <t>KH 5065 PY</t>
  </si>
  <si>
    <t>R-02937432</t>
  </si>
  <si>
    <t>LX150CEWR1434</t>
  </si>
  <si>
    <t>KH 5049 PY</t>
  </si>
  <si>
    <t>R-02937417</t>
  </si>
  <si>
    <t>LX150CEWR1772</t>
  </si>
  <si>
    <t>KH 5027 PY</t>
  </si>
  <si>
    <t>R-02937395</t>
  </si>
  <si>
    <t>LX150CEWR1430</t>
  </si>
  <si>
    <t>KH 5044 PY</t>
  </si>
  <si>
    <t>R-02937412</t>
  </si>
  <si>
    <t>LX150CEWR2893</t>
  </si>
  <si>
    <t>KH 4998 PY</t>
  </si>
  <si>
    <t>R-02937369</t>
  </si>
  <si>
    <t>LX150CEWR2246</t>
  </si>
  <si>
    <t>KH 5004 PY</t>
  </si>
  <si>
    <t>R-02937373</t>
  </si>
  <si>
    <t>LX150CEWP9796</t>
  </si>
  <si>
    <t>KH 5086 PY</t>
  </si>
  <si>
    <t>R-02937453</t>
  </si>
  <si>
    <t>LX150CEWR1771</t>
  </si>
  <si>
    <t>KH 5031 PY</t>
  </si>
  <si>
    <t>R-02937399</t>
  </si>
  <si>
    <t>LX150CEWP9793</t>
  </si>
  <si>
    <t>KH 5009 PY</t>
  </si>
  <si>
    <t>R-02937377</t>
  </si>
  <si>
    <t>LX150CEWR2657</t>
  </si>
  <si>
    <t>KH 5007 PY</t>
  </si>
  <si>
    <t>R-02937375</t>
  </si>
  <si>
    <t>LX150CEWP9787</t>
  </si>
  <si>
    <t>KH5017 PY</t>
  </si>
  <si>
    <t>R-02937385</t>
  </si>
  <si>
    <t>LX150CEWP9780</t>
  </si>
  <si>
    <t>KH 5010 PY</t>
  </si>
  <si>
    <t>R-02937378</t>
  </si>
  <si>
    <t>LX150CEWP9790</t>
  </si>
  <si>
    <t>KH 5008 PY</t>
  </si>
  <si>
    <t>R-02937376</t>
  </si>
  <si>
    <t>LX150CEWR1432</t>
  </si>
  <si>
    <t>KH 5043 PY</t>
  </si>
  <si>
    <t>R-02937411</t>
  </si>
  <si>
    <t>LX150CEWR0253</t>
  </si>
  <si>
    <t>KH 5021 PY</t>
  </si>
  <si>
    <t>R-02937389</t>
  </si>
  <si>
    <t>LX150CEWR1482</t>
  </si>
  <si>
    <t>KH 5030 PY</t>
  </si>
  <si>
    <t>R-02937398</t>
  </si>
  <si>
    <t>LX150CEWR3367</t>
  </si>
  <si>
    <t>KH 5060 PY</t>
  </si>
  <si>
    <t>R-02937427</t>
  </si>
  <si>
    <t>LX150CEWP5164</t>
  </si>
  <si>
    <t>KH 5078 PY</t>
  </si>
  <si>
    <t>R-02937445</t>
  </si>
  <si>
    <t>LX150CEWR2461</t>
  </si>
  <si>
    <t>KH 5006 PY</t>
  </si>
  <si>
    <t>R-02937374</t>
  </si>
  <si>
    <t>LX150CEWR2652</t>
  </si>
  <si>
    <t>KH 5059 PY</t>
  </si>
  <si>
    <t>R-02937426</t>
  </si>
  <si>
    <t>LX150CEWR1427</t>
  </si>
  <si>
    <t>KH 5039 PY</t>
  </si>
  <si>
    <t>R-02937407</t>
  </si>
  <si>
    <t>LX150CEWR2650</t>
  </si>
  <si>
    <t>KH 5087 PY</t>
  </si>
  <si>
    <t>R-02937454</t>
  </si>
  <si>
    <t>LX150CEWR1468</t>
  </si>
  <si>
    <t>KH 5028 PY</t>
  </si>
  <si>
    <t>R-02937396</t>
  </si>
  <si>
    <t>LX150CEWP7937</t>
  </si>
  <si>
    <t>KH 5080 PY</t>
  </si>
  <si>
    <t>R-02937447</t>
  </si>
  <si>
    <t>LX150CEWR2474</t>
  </si>
  <si>
    <t>KH 5063 PY</t>
  </si>
  <si>
    <t>R-02937430</t>
  </si>
  <si>
    <t>MH4LX1506MJP89219</t>
  </si>
  <si>
    <t>LX150CEWR0210</t>
  </si>
  <si>
    <t>KH 5019 PY</t>
  </si>
  <si>
    <t>R-02937387</t>
  </si>
  <si>
    <t>000081</t>
  </si>
  <si>
    <t>LX150CEWR2465</t>
  </si>
  <si>
    <t>KH 5095 PY</t>
  </si>
  <si>
    <t>R-02937462</t>
  </si>
  <si>
    <t>LX150CEWR1437</t>
  </si>
  <si>
    <t>KH 5046 PY</t>
  </si>
  <si>
    <t>R-02937414</t>
  </si>
  <si>
    <t>LX150CEWR1443</t>
  </si>
  <si>
    <t>KH 5052 PY</t>
  </si>
  <si>
    <t>R-02937419</t>
  </si>
  <si>
    <t>LX150CEWR2471</t>
  </si>
  <si>
    <t>KH 5093 PY</t>
  </si>
  <si>
    <t>R-02937460</t>
  </si>
  <si>
    <t>LX150CEWR1435</t>
  </si>
  <si>
    <t>KH 5045 PY</t>
  </si>
  <si>
    <t>R-02937413</t>
  </si>
  <si>
    <t>000086</t>
  </si>
  <si>
    <t>LX150CEWR0901</t>
  </si>
  <si>
    <t>KH 5057 PY</t>
  </si>
  <si>
    <t>R-02937424</t>
  </si>
  <si>
    <t>LX150CEWR0674</t>
  </si>
  <si>
    <t>KH 5022 PY</t>
  </si>
  <si>
    <t>R-02937390</t>
  </si>
  <si>
    <t>000088</t>
  </si>
  <si>
    <t>LX150CEWR3088</t>
  </si>
  <si>
    <t>KH 5062 PY</t>
  </si>
  <si>
    <t>R-02937429</t>
  </si>
  <si>
    <t>LX150CEWP9799</t>
  </si>
  <si>
    <t>KH 5012 PY</t>
  </si>
  <si>
    <t>R-02937380</t>
  </si>
  <si>
    <t>LX150CEWR1783</t>
  </si>
  <si>
    <t>KH 5032 PY</t>
  </si>
  <si>
    <t>R-02937400</t>
  </si>
  <si>
    <t>LX150CEWR1469</t>
  </si>
  <si>
    <t>KH 5029 PY</t>
  </si>
  <si>
    <t>R-02937397</t>
  </si>
  <si>
    <t>LX150CEWR1779</t>
  </si>
  <si>
    <t>KH 5036 PY</t>
  </si>
  <si>
    <t>R-02937404</t>
  </si>
  <si>
    <t>LX150CEWP9792</t>
  </si>
  <si>
    <t>KH 5013 PY</t>
  </si>
  <si>
    <t>R-02937381</t>
  </si>
  <si>
    <t>KD11E1082011</t>
  </si>
  <si>
    <t>KH 4835 PY</t>
  </si>
  <si>
    <t>P-06104314</t>
  </si>
  <si>
    <t>Motor Trail</t>
  </si>
  <si>
    <t>KD11E1081982</t>
  </si>
  <si>
    <t>KH 4843 PY</t>
  </si>
  <si>
    <t>P-06104322</t>
  </si>
  <si>
    <t>KD11E1082226</t>
  </si>
  <si>
    <t>KH 4830 PY</t>
  </si>
  <si>
    <t>P-06104309</t>
  </si>
  <si>
    <t>KD11E1082027</t>
  </si>
  <si>
    <t>KH 4836 PY</t>
  </si>
  <si>
    <t>P-06104315</t>
  </si>
  <si>
    <t>LX150CEWR1780</t>
  </si>
  <si>
    <t>KH 5038 PY</t>
  </si>
  <si>
    <t>R-02937406</t>
  </si>
  <si>
    <t>LX150CEWR1104</t>
  </si>
  <si>
    <t>KH 5055 PY</t>
  </si>
  <si>
    <t>R-02937422</t>
  </si>
  <si>
    <t>LX150CEWR2470</t>
  </si>
  <si>
    <t>KH 5091 PY</t>
  </si>
  <si>
    <t>R-02937458</t>
  </si>
  <si>
    <t>LX150CEWP8316</t>
  </si>
  <si>
    <t>KH 5076 PY</t>
  </si>
  <si>
    <t>R-02937443</t>
  </si>
  <si>
    <t>LX150CEWP6126</t>
  </si>
  <si>
    <t>KH 5081 PY</t>
  </si>
  <si>
    <t>R-02937448</t>
  </si>
  <si>
    <t>MH1JF3117AK176796</t>
  </si>
  <si>
    <t>JF71E0175993</t>
  </si>
  <si>
    <t>KH 2648 PY</t>
  </si>
  <si>
    <t>H-06859657 M</t>
  </si>
  <si>
    <t>penanggulangan bencana</t>
  </si>
  <si>
    <t>000106</t>
  </si>
  <si>
    <t>MH8BF45DA8J-209141</t>
  </si>
  <si>
    <t>F496-ID-258042</t>
  </si>
  <si>
    <t>KH 2513 PY</t>
  </si>
  <si>
    <t>F 4847951 M</t>
  </si>
  <si>
    <t>Shogun Hitam Biru</t>
  </si>
  <si>
    <t>000107</t>
  </si>
  <si>
    <t>KD11E1083666</t>
  </si>
  <si>
    <t>KH 4849 PY</t>
  </si>
  <si>
    <t>P-06104327</t>
  </si>
  <si>
    <t>000108</t>
  </si>
  <si>
    <t>KD11E1082004</t>
  </si>
  <si>
    <t>KH 4850 PY</t>
  </si>
  <si>
    <t>P-06104328</t>
  </si>
  <si>
    <t>KD11E1082006</t>
  </si>
  <si>
    <t>KH 4840 PY</t>
  </si>
  <si>
    <t>P-06104319</t>
  </si>
  <si>
    <t>KD11E1081988</t>
  </si>
  <si>
    <t>KH 4842 PY</t>
  </si>
  <si>
    <t>P-06104321</t>
  </si>
  <si>
    <t>KD11E1083658</t>
  </si>
  <si>
    <t>KH 4846 PY</t>
  </si>
  <si>
    <t>P-06104324</t>
  </si>
  <si>
    <t>KD11E1082213</t>
  </si>
  <si>
    <t>KH 4831 PY</t>
  </si>
  <si>
    <t>P-06104310</t>
  </si>
  <si>
    <t>KD11E1082010</t>
  </si>
  <si>
    <t>KH 4841 PY</t>
  </si>
  <si>
    <t>P-06104320</t>
  </si>
  <si>
    <t>KD11E1082002</t>
  </si>
  <si>
    <t>KH 4839 PY</t>
  </si>
  <si>
    <t>P-06104318</t>
  </si>
  <si>
    <t>MH1KD1118KK082930</t>
  </si>
  <si>
    <t>KD11E1082216</t>
  </si>
  <si>
    <t>KH 4847 PY</t>
  </si>
  <si>
    <t>P-06104325</t>
  </si>
  <si>
    <t>KD11E1083585</t>
  </si>
  <si>
    <t>KH 4848 PY</t>
  </si>
  <si>
    <t>P-06104326</t>
  </si>
  <si>
    <t>KD11E1082219</t>
  </si>
  <si>
    <t>KH 4845 PY</t>
  </si>
  <si>
    <t>P-06104323</t>
  </si>
  <si>
    <t>KD11E1081995</t>
  </si>
  <si>
    <t>KH 4838 PY</t>
  </si>
  <si>
    <t>P-06104317</t>
  </si>
  <si>
    <t>KD11E1082024</t>
  </si>
  <si>
    <t>KH 4833 PY</t>
  </si>
  <si>
    <t>P-06104312</t>
  </si>
  <si>
    <t>000120</t>
  </si>
  <si>
    <t>KD11E1083672</t>
  </si>
  <si>
    <t>KH 4837 PY</t>
  </si>
  <si>
    <t>P-06104316</t>
  </si>
  <si>
    <t>KD11E1146417</t>
  </si>
  <si>
    <t>KH 4933 PY</t>
  </si>
  <si>
    <t>Q-08281410</t>
  </si>
  <si>
    <t>000122</t>
  </si>
  <si>
    <t>KD11E1082018</t>
  </si>
  <si>
    <t>KH 4834 PY</t>
  </si>
  <si>
    <t>P-06104313</t>
  </si>
  <si>
    <t>KD11E1082161</t>
  </si>
  <si>
    <t>KH 4832 PY</t>
  </si>
  <si>
    <t>P-06104311</t>
  </si>
  <si>
    <t>KAWASAKI KLX 150 S / KAWASAKI KLX 150 S</t>
  </si>
  <si>
    <t>MH4LX150CFJP27964</t>
  </si>
  <si>
    <t>LX150CEPM5037</t>
  </si>
  <si>
    <t>KH 2123 PY</t>
  </si>
  <si>
    <t>MOTOR TRAIL ( HIBAH BNPB ) ex B 6781 TQC</t>
  </si>
  <si>
    <t>LX150CEWR0924</t>
  </si>
  <si>
    <t>KH 5024 PY</t>
  </si>
  <si>
    <t>R-02937392</t>
  </si>
  <si>
    <t>LX150CEWR1785</t>
  </si>
  <si>
    <t>KH 5034 PY</t>
  </si>
  <si>
    <t>R-02937402</t>
  </si>
  <si>
    <t>LX150CEWR2648</t>
  </si>
  <si>
    <t>KH 5088 PY</t>
  </si>
  <si>
    <t>R-02937455</t>
  </si>
  <si>
    <t>LX150CEWR2643</t>
  </si>
  <si>
    <t>KH 5089 PY</t>
  </si>
  <si>
    <t>R-02937456</t>
  </si>
  <si>
    <t>LX150CEWR1773</t>
  </si>
  <si>
    <t>KH 5026 PY</t>
  </si>
  <si>
    <t>R-02937394</t>
  </si>
  <si>
    <t>LX150CEWR1442</t>
  </si>
  <si>
    <t>KH 5051 PY</t>
  </si>
  <si>
    <t>R-02937418</t>
  </si>
  <si>
    <t>LX150CEWP8315</t>
  </si>
  <si>
    <t>KH 5077 PY</t>
  </si>
  <si>
    <t>R-02937444</t>
  </si>
  <si>
    <t>LX150CEWP5166</t>
  </si>
  <si>
    <t>KH 5079 PY</t>
  </si>
  <si>
    <t>R-02937446</t>
  </si>
  <si>
    <t>LX150CEWP7511</t>
  </si>
  <si>
    <t>KH 5082 PY</t>
  </si>
  <si>
    <t>R-02937449</t>
  </si>
  <si>
    <t>000135</t>
  </si>
  <si>
    <t>LX150CEWP9782</t>
  </si>
  <si>
    <t>KH 5085 PY</t>
  </si>
  <si>
    <t>R-02937452</t>
  </si>
  <si>
    <t>000136</t>
  </si>
  <si>
    <t>LX150CEWR1467</t>
  </si>
  <si>
    <t>KH 5025 PY</t>
  </si>
  <si>
    <t>R-02937393</t>
  </si>
  <si>
    <t>000137</t>
  </si>
  <si>
    <t>LX150CEWR3084</t>
  </si>
  <si>
    <t>KH 5061 PY</t>
  </si>
  <si>
    <t>R-02937428</t>
  </si>
  <si>
    <t>000138</t>
  </si>
  <si>
    <t>LX150CEWR0202</t>
  </si>
  <si>
    <t>KH 5023 PY</t>
  </si>
  <si>
    <t>R-02937391</t>
  </si>
  <si>
    <t>000139</t>
  </si>
  <si>
    <t>LX150CEWR2642</t>
  </si>
  <si>
    <t>KH 5090 PY</t>
  </si>
  <si>
    <t>R-02937457</t>
  </si>
  <si>
    <t>000140</t>
  </si>
  <si>
    <t>LX150CEWR0906</t>
  </si>
  <si>
    <t>KH 5056 PY</t>
  </si>
  <si>
    <t>R-02937423</t>
  </si>
  <si>
    <t>000141</t>
  </si>
  <si>
    <t>LX150CEWR2894</t>
  </si>
  <si>
    <t>KH 5001 PY</t>
  </si>
  <si>
    <t>R-02937370</t>
  </si>
  <si>
    <t>000142</t>
  </si>
  <si>
    <t>LX150CEWR1446</t>
  </si>
  <si>
    <t>KH 5054 PY</t>
  </si>
  <si>
    <t>R-02937421</t>
  </si>
  <si>
    <t>000143</t>
  </si>
  <si>
    <t>LX150CEWR2641</t>
  </si>
  <si>
    <t>KH 5092 PY</t>
  </si>
  <si>
    <t>R-02937459</t>
  </si>
  <si>
    <t>000144</t>
  </si>
  <si>
    <t>LX150CEWR1428</t>
  </si>
  <si>
    <t>KH 5042 PY</t>
  </si>
  <si>
    <t>R-02937410</t>
  </si>
  <si>
    <t>000145</t>
  </si>
  <si>
    <t>LX150CEWR1431</t>
  </si>
  <si>
    <t>KH 5041 PY</t>
  </si>
  <si>
    <t>R-02937409</t>
  </si>
  <si>
    <t>000146</t>
  </si>
  <si>
    <t>MH4LX150GNJP92861</t>
  </si>
  <si>
    <t>LX150CEWV1328</t>
  </si>
  <si>
    <t>KH 5132 PY</t>
  </si>
  <si>
    <t>Motor Trail Operasional Karhutla</t>
  </si>
  <si>
    <t>000147</t>
  </si>
  <si>
    <t>KH 5133 PY</t>
  </si>
  <si>
    <t>000148</t>
  </si>
  <si>
    <t>KH 5134 PY</t>
  </si>
  <si>
    <t>KH 5135 PY</t>
  </si>
  <si>
    <t>KH 5136 PY</t>
  </si>
  <si>
    <t>000151</t>
  </si>
  <si>
    <t>KH 5137 PY</t>
  </si>
  <si>
    <t>000152</t>
  </si>
  <si>
    <t>KH 5138 PY</t>
  </si>
  <si>
    <t>000153</t>
  </si>
  <si>
    <t>KH 5139 PY</t>
  </si>
  <si>
    <t>000154</t>
  </si>
  <si>
    <t>KH 5140 PY</t>
  </si>
  <si>
    <t>000155</t>
  </si>
  <si>
    <t>KH 5141 PY</t>
  </si>
  <si>
    <t>000156</t>
  </si>
  <si>
    <t>KH 5142 PY</t>
  </si>
  <si>
    <t>000157</t>
  </si>
  <si>
    <t>KH 5143 PY</t>
  </si>
  <si>
    <t>000158</t>
  </si>
  <si>
    <t>KH 5144 PY</t>
  </si>
  <si>
    <t>000159</t>
  </si>
  <si>
    <t>KH 5145 PY</t>
  </si>
  <si>
    <t>000160</t>
  </si>
  <si>
    <t>KH 5146 PY</t>
  </si>
  <si>
    <t>000161</t>
  </si>
  <si>
    <t>KH 5147 PY</t>
  </si>
  <si>
    <t>000162</t>
  </si>
  <si>
    <t>KH 5148 PY</t>
  </si>
  <si>
    <t>000163</t>
  </si>
  <si>
    <t>KH 5149 PY</t>
  </si>
  <si>
    <t>000164</t>
  </si>
  <si>
    <t>KH 5150 PY</t>
  </si>
  <si>
    <t>000165</t>
  </si>
  <si>
    <t>KH 5151 PY</t>
  </si>
  <si>
    <t>000166</t>
  </si>
  <si>
    <t>KH 5152 PY</t>
  </si>
  <si>
    <t>000167</t>
  </si>
  <si>
    <t>KH 5153 PY</t>
  </si>
  <si>
    <t>000168</t>
  </si>
  <si>
    <t>KH 5154 PY</t>
  </si>
  <si>
    <t>000169</t>
  </si>
  <si>
    <t>KH 5156 PY</t>
  </si>
  <si>
    <t>000170</t>
  </si>
  <si>
    <t>KH 5157 PY</t>
  </si>
  <si>
    <t>000171</t>
  </si>
  <si>
    <t>KH 5158 PY</t>
  </si>
  <si>
    <t>000172</t>
  </si>
  <si>
    <t>KH 5159 PY</t>
  </si>
  <si>
    <t>000173</t>
  </si>
  <si>
    <t>KH 5160 PY</t>
  </si>
  <si>
    <t>000174</t>
  </si>
  <si>
    <t>KH 5161 PY</t>
  </si>
  <si>
    <t>000175</t>
  </si>
  <si>
    <t>KH 5162 PY</t>
  </si>
  <si>
    <t>000176</t>
  </si>
  <si>
    <t>KH 5163 PY</t>
  </si>
  <si>
    <t>000177</t>
  </si>
  <si>
    <t>KH 5164 PY</t>
  </si>
  <si>
    <t>000178</t>
  </si>
  <si>
    <t>KH 5165 PY</t>
  </si>
  <si>
    <t>000179</t>
  </si>
  <si>
    <t>KH 5166 PY</t>
  </si>
  <si>
    <t>000180</t>
  </si>
  <si>
    <t>KH 5167 PY</t>
  </si>
  <si>
    <t>000181</t>
  </si>
  <si>
    <t>KH 5168 PY</t>
  </si>
  <si>
    <t>000182</t>
  </si>
  <si>
    <t>KH 5169 PY</t>
  </si>
  <si>
    <t>000183</t>
  </si>
  <si>
    <t>KH 5170 PY</t>
  </si>
  <si>
    <t>000184</t>
  </si>
  <si>
    <t>KH 5171 PY</t>
  </si>
  <si>
    <t>000185</t>
  </si>
  <si>
    <t>KH 5172 PY</t>
  </si>
  <si>
    <t>000186</t>
  </si>
  <si>
    <t>KH 5173 PY</t>
  </si>
  <si>
    <t>000188</t>
  </si>
  <si>
    <t>KH 5175 PY</t>
  </si>
  <si>
    <t>000189</t>
  </si>
  <si>
    <t>KH 5176 PY</t>
  </si>
  <si>
    <t>000190</t>
  </si>
  <si>
    <t>KH 5177 PY</t>
  </si>
  <si>
    <t>000191</t>
  </si>
  <si>
    <t>KH 5178 PY</t>
  </si>
  <si>
    <t>000192</t>
  </si>
  <si>
    <t>KH 5179 PY</t>
  </si>
  <si>
    <t>000193</t>
  </si>
  <si>
    <t>KH 5180 PY</t>
  </si>
  <si>
    <t>000194</t>
  </si>
  <si>
    <t>KH 5181 PY</t>
  </si>
  <si>
    <t>000195</t>
  </si>
  <si>
    <t>KH 5182 PY</t>
  </si>
  <si>
    <t>000196 s/d 000200</t>
  </si>
  <si>
    <t>honda / metic</t>
  </si>
  <si>
    <t>Motor Honda ADV 160 CBS</t>
  </si>
  <si>
    <t>W04DTRR68862</t>
  </si>
  <si>
    <t>KH 9040 PW</t>
  </si>
  <si>
    <t>P-02943157</t>
  </si>
  <si>
    <t>Mobil Water Suplly</t>
  </si>
  <si>
    <t>4000 L</t>
  </si>
  <si>
    <t>MJEC1J643K5178919</t>
  </si>
  <si>
    <t>W04DTRR68855</t>
  </si>
  <si>
    <t>KH 9042 PW</t>
  </si>
  <si>
    <t>P-02943159</t>
  </si>
  <si>
    <t>W04DTRR68852</t>
  </si>
  <si>
    <t>KH 9039 PW</t>
  </si>
  <si>
    <t>P-02943147</t>
  </si>
  <si>
    <t>MJEC1J643K5178904</t>
  </si>
  <si>
    <t>W04DTRR68853</t>
  </si>
  <si>
    <t>KH 9041 PW</t>
  </si>
  <si>
    <t>P-02943158</t>
  </si>
  <si>
    <t>4D56UAX1774</t>
  </si>
  <si>
    <t>KH 9044 PW</t>
  </si>
  <si>
    <t>P-02943188</t>
  </si>
  <si>
    <t>Mobil Slip On</t>
  </si>
  <si>
    <t>4D56UAX2493</t>
  </si>
  <si>
    <t>KH 9043 PW</t>
  </si>
  <si>
    <t>P-02943187</t>
  </si>
  <si>
    <t>4D56UAX9210</t>
  </si>
  <si>
    <t>KH 9046 PW</t>
  </si>
  <si>
    <t>P-02943190</t>
  </si>
  <si>
    <t>MMBJNKL30KH058196</t>
  </si>
  <si>
    <t>4D56UBA0629</t>
  </si>
  <si>
    <t>KH 9066 PW</t>
  </si>
  <si>
    <t>Q-08265310</t>
  </si>
  <si>
    <t>2,5 LSC</t>
  </si>
  <si>
    <t>4D56UBA0367</t>
  </si>
  <si>
    <t>KH 8190 PW</t>
  </si>
  <si>
    <t>Q-08265308</t>
  </si>
  <si>
    <t>Belanja Modal Pengadaan Mobil Peralatan Triton</t>
  </si>
  <si>
    <t>DARLEY PUM HM 250 / DARLEY PUM HM 250</t>
  </si>
  <si>
    <t>W04DTRR78749</t>
  </si>
  <si>
    <t>KH 9069 PW</t>
  </si>
  <si>
    <t>Q-08265313</t>
  </si>
  <si>
    <t>Pengadaan Mobil Pemadam Kebakaran Karhutla</t>
  </si>
  <si>
    <t>W04DTRR78748</t>
  </si>
  <si>
    <t>KH 9068 PW</t>
  </si>
  <si>
    <t>Q-08265312</t>
  </si>
  <si>
    <t>W04DTRR78747</t>
  </si>
  <si>
    <t>KH 9067 PW</t>
  </si>
  <si>
    <t>Q-08265311</t>
  </si>
  <si>
    <t>W04DTRR78755</t>
  </si>
  <si>
    <t>KH 9070 PW</t>
  </si>
  <si>
    <t>Q-08265314</t>
  </si>
  <si>
    <t>HINO DUTRO 130 HD / HINO DUTRO 130 HD</t>
  </si>
  <si>
    <t>W04DTRR85945</t>
  </si>
  <si>
    <t>KH 8212 PW</t>
  </si>
  <si>
    <t>S-00388617</t>
  </si>
  <si>
    <t>Mobil Water Suply</t>
  </si>
  <si>
    <t>W04DTRR86070</t>
  </si>
  <si>
    <t>KH 8213 PW</t>
  </si>
  <si>
    <t>S-00388618</t>
  </si>
  <si>
    <t>W04DTRR85950</t>
  </si>
  <si>
    <t>KH 8211 PW</t>
  </si>
  <si>
    <t>S-00388616</t>
  </si>
  <si>
    <t>W04DTRR86023</t>
  </si>
  <si>
    <t>KH 8210 PW</t>
  </si>
  <si>
    <t>S-00388615</t>
  </si>
  <si>
    <t>W04DTRR86061</t>
  </si>
  <si>
    <t>KH 8209 PW</t>
  </si>
  <si>
    <t>S-00388614</t>
  </si>
  <si>
    <t>W04DTRR86071</t>
  </si>
  <si>
    <t>KH 8208 PW</t>
  </si>
  <si>
    <t>S-00388613</t>
  </si>
  <si>
    <t>W04DTRR86073</t>
  </si>
  <si>
    <t>KH 8207 PW</t>
  </si>
  <si>
    <t>S-00388612</t>
  </si>
  <si>
    <t>Dhaihatsu  / Grand Max</t>
  </si>
  <si>
    <t>1495 cc</t>
  </si>
  <si>
    <t>MHKP3FA1JNK002705</t>
  </si>
  <si>
    <t>ZNR G884136</t>
  </si>
  <si>
    <t>Mobil Pickup Fire Karhutla</t>
  </si>
  <si>
    <t>MHKP3FA1JNK002706</t>
  </si>
  <si>
    <t>ZNR G884072</t>
  </si>
  <si>
    <t>MHKP3FA1JNK005842</t>
  </si>
  <si>
    <t>ZNR G902906</t>
  </si>
  <si>
    <t>000026 s/d 000027</t>
  </si>
  <si>
    <t>Daihatsu</t>
  </si>
  <si>
    <t>Hino DutroHD / 4x2 MT</t>
  </si>
  <si>
    <t>MJECCB2FXR5022075</t>
  </si>
  <si>
    <t>N04CWYJ32046</t>
  </si>
  <si>
    <t>KH 9008 PW</t>
  </si>
  <si>
    <t>V-00023044</t>
  </si>
  <si>
    <t>Mobil Water Supply 5000 L</t>
  </si>
  <si>
    <t>000029 s/d 000031</t>
  </si>
  <si>
    <t>Hino DutroHD</t>
  </si>
  <si>
    <t>02.02.01.06.063</t>
  </si>
  <si>
    <t>Monilog (Mobil Logistik/ Personil)</t>
  </si>
  <si>
    <t>Mitsubishi</t>
  </si>
  <si>
    <t>Mobil peralatan dan personil</t>
  </si>
  <si>
    <t>02.02.01.06.086</t>
  </si>
  <si>
    <t>Mobil Patroli</t>
  </si>
  <si>
    <t>Double Cabin</t>
  </si>
  <si>
    <t>4N15UHN7779</t>
  </si>
  <si>
    <t>KH 8201 PW</t>
  </si>
  <si>
    <t>S-00388578</t>
  </si>
  <si>
    <t>Mobil Patroli Karhutla</t>
  </si>
  <si>
    <t>4N15UHN7387</t>
  </si>
  <si>
    <t>KH 8202 PW</t>
  </si>
  <si>
    <t>S-00388579</t>
  </si>
  <si>
    <t>4N15UHL7019</t>
  </si>
  <si>
    <t>KH 8199 PW</t>
  </si>
  <si>
    <t>S-00388577</t>
  </si>
  <si>
    <t>4N15UHN7631</t>
  </si>
  <si>
    <t>KH 8198 PW</t>
  </si>
  <si>
    <t>S-00388576</t>
  </si>
  <si>
    <t>4N15UHN7639</t>
  </si>
  <si>
    <t>KH 8196 PW</t>
  </si>
  <si>
    <t>S-00388574</t>
  </si>
  <si>
    <t>4N15UHL6910</t>
  </si>
  <si>
    <t>KH 8197 PW</t>
  </si>
  <si>
    <t>S-00388575</t>
  </si>
  <si>
    <t>4N15UHL7058</t>
  </si>
  <si>
    <t>KH 8195 PW</t>
  </si>
  <si>
    <t>S-00388573</t>
  </si>
  <si>
    <t>4N15UHL7079</t>
  </si>
  <si>
    <t>KH 8194 PW</t>
  </si>
  <si>
    <t>S-00388572</t>
  </si>
  <si>
    <t>4N15UHL7295</t>
  </si>
  <si>
    <t>KH 8192 PW</t>
  </si>
  <si>
    <t>S-00388570</t>
  </si>
  <si>
    <t>4N15UHL7060</t>
  </si>
  <si>
    <t>KH 8193 PW</t>
  </si>
  <si>
    <t>S-00388571</t>
  </si>
  <si>
    <t>4N15UHN7894</t>
  </si>
  <si>
    <t>KH 8204 PW</t>
  </si>
  <si>
    <t>-S-00388581</t>
  </si>
  <si>
    <t>MMBJJKL10MH040529</t>
  </si>
  <si>
    <t>4N15UHN7653</t>
  </si>
  <si>
    <t>KH 8205 PW</t>
  </si>
  <si>
    <t>S-00388582</t>
  </si>
  <si>
    <t>4N15UHN7484</t>
  </si>
  <si>
    <t>KH 8203 PW</t>
  </si>
  <si>
    <t>S-00388580</t>
  </si>
  <si>
    <t>Mitsubishi Exceed MT Double Cabin / Jeep Comando</t>
  </si>
  <si>
    <t>MMBJJKKL10NH089033</t>
  </si>
  <si>
    <t>4N15 UJP3571</t>
  </si>
  <si>
    <t>Mobil Komando Karhutla</t>
  </si>
  <si>
    <t>MHFXW41G7D0055698</t>
  </si>
  <si>
    <t>1TR 7494095</t>
  </si>
  <si>
    <t>KH 1171 PU</t>
  </si>
  <si>
    <t>K-02558277 M</t>
  </si>
  <si>
    <t>DINAS PEMADAM KEBAKARAN DAN PENYELAMATAN</t>
  </si>
  <si>
    <t>KIJANG INNOVA / 2.0 G MT</t>
  </si>
  <si>
    <t>MHFJW8EM6R2414919</t>
  </si>
  <si>
    <t>1TR B264225</t>
  </si>
  <si>
    <t>KH 1338 PU</t>
  </si>
  <si>
    <t>V-04726912</t>
  </si>
  <si>
    <t>124.7 CC</t>
  </si>
  <si>
    <t>MH1JFV112GK254373</t>
  </si>
  <si>
    <t>JFV1E-1253874</t>
  </si>
  <si>
    <t>KH 4442 PY</t>
  </si>
  <si>
    <t>L-06967194 M</t>
  </si>
  <si>
    <t>SUJAD /SATPOLL PP</t>
  </si>
  <si>
    <t>MH1JF3115AK176764</t>
  </si>
  <si>
    <t>JF31E0175955</t>
  </si>
  <si>
    <t>KH 2642 PY</t>
  </si>
  <si>
    <t>H-06859663 M</t>
  </si>
  <si>
    <t xml:space="preserve"> SATPOL PP</t>
  </si>
  <si>
    <t>Honda / BeAT SPORTY CBS</t>
  </si>
  <si>
    <t>MH1JM8123PK824140</t>
  </si>
  <si>
    <t>JM81E2822782</t>
  </si>
  <si>
    <t>KH 5253 PY</t>
  </si>
  <si>
    <t>U-01973500</t>
  </si>
  <si>
    <t>MH1JM8120PK808168</t>
  </si>
  <si>
    <t>JM81E2808442</t>
  </si>
  <si>
    <t>KH 5256 PY</t>
  </si>
  <si>
    <t>U-01973503</t>
  </si>
  <si>
    <t>MH1JM8129PK824207</t>
  </si>
  <si>
    <t>JM81E2822750</t>
  </si>
  <si>
    <t>KH 5255 PY</t>
  </si>
  <si>
    <t>U-01973502</t>
  </si>
  <si>
    <t>MH1JM8125PK795546</t>
  </si>
  <si>
    <t>JM81E2795520</t>
  </si>
  <si>
    <t>KH 5254 PY</t>
  </si>
  <si>
    <t>U-01973501</t>
  </si>
  <si>
    <t>MITSUBISHI COLT DIESEL FE74HD / MITSUBISHI COLT DIESEL FE74HD</t>
  </si>
  <si>
    <t>49126173256</t>
  </si>
  <si>
    <t>MHMFE74P57K009616</t>
  </si>
  <si>
    <t>4D34T-C33280</t>
  </si>
  <si>
    <t>KH 9501 PW</t>
  </si>
  <si>
    <t>E 6400709 M</t>
  </si>
  <si>
    <t>UPTD Damkar D. Sembuluh</t>
  </si>
  <si>
    <t>MITSUBISHI FE 74 HD M/T / MITSUBISHI FE 74 HD M/T</t>
  </si>
  <si>
    <t>40126173250</t>
  </si>
  <si>
    <t>MHMFE7457K004071</t>
  </si>
  <si>
    <t>4D34T C98364</t>
  </si>
  <si>
    <t>KH 9505 PW</t>
  </si>
  <si>
    <t>UPTD DAMKAR KEC. HANAU</t>
  </si>
  <si>
    <t>MITSUBSHI FESHD AYAXX JA 3000 LITER COLT DIESEL FE / MITSUBSHI FESHD AYAXX JA 3000 LITER COLT DIESEL</t>
  </si>
  <si>
    <t>MHMFE75P6FK035186</t>
  </si>
  <si>
    <t>4D34TL32269</t>
  </si>
  <si>
    <t>KH 9017 PW</t>
  </si>
  <si>
    <t>L-06967927 M</t>
  </si>
  <si>
    <t>MHMFE75P6FK035181</t>
  </si>
  <si>
    <t>4D34TL32253</t>
  </si>
  <si>
    <t>KH 9018 PW</t>
  </si>
  <si>
    <t>L- 06967926 M</t>
  </si>
  <si>
    <t>AYAXX  JA 4000 / AYAXX  JA 4000</t>
  </si>
  <si>
    <t>MJEC1JG43G5140088</t>
  </si>
  <si>
    <t>W04DTRR33649</t>
  </si>
  <si>
    <t>KH 8150 PW</t>
  </si>
  <si>
    <t>L 09742981 M</t>
  </si>
  <si>
    <t>KEC. SERUYAN RAYA</t>
  </si>
  <si>
    <t>AYAXX JA 6000 / AYAXX JA 6000</t>
  </si>
  <si>
    <t>7684 CC</t>
  </si>
  <si>
    <t>MJEFG8JJ1GJB11323</t>
  </si>
  <si>
    <t>J08EUGJ52125</t>
  </si>
  <si>
    <t>KH 8149 PW</t>
  </si>
  <si>
    <t>L 09742980 M</t>
  </si>
  <si>
    <t xml:space="preserve">Pengguna/Pemakai </t>
  </si>
  <si>
    <t>J U M L A H   T O T A L</t>
  </si>
  <si>
    <t>NULL</t>
  </si>
  <si>
    <t>MROLE8CB8T6011208</t>
  </si>
  <si>
    <t>2GDL59D452</t>
  </si>
  <si>
    <t>KH 8256 PW</t>
  </si>
  <si>
    <t>149 cc</t>
  </si>
  <si>
    <t>109 cc</t>
  </si>
  <si>
    <t>1.987 CC</t>
  </si>
  <si>
    <t>LX150CEWR1441</t>
  </si>
  <si>
    <t>MH4LX1506MJP89101</t>
  </si>
  <si>
    <t>MH4LX1506MJP89557</t>
  </si>
  <si>
    <t>MH4LX1506MJP89444</t>
  </si>
  <si>
    <t>R 02937437 M</t>
  </si>
  <si>
    <t>R 02937403 M</t>
  </si>
  <si>
    <t>MH4LX150GMJP89601</t>
  </si>
  <si>
    <t>R 02937428 M</t>
  </si>
  <si>
    <t>MMBENKL30KH029072</t>
  </si>
  <si>
    <t>P 02943188 M</t>
  </si>
  <si>
    <t>MJEC1JG43M5196466</t>
  </si>
  <si>
    <t>S 00388614 M</t>
  </si>
  <si>
    <t>MJEC1JG43M5196491</t>
  </si>
  <si>
    <t>kh 8208 pw</t>
  </si>
  <si>
    <t>S 00388613 M</t>
  </si>
  <si>
    <t>Pengguna An. Sumantri (Koordinator Balai Penyuluhan Kb di Kec. Seruyan Hulu) BPKB terbakar pada saat kebakaran Kantor BKCSKB tahun 2005-2006</t>
  </si>
  <si>
    <t>EPRI PUJIANSON,S.Tr (Ka.UPTD PKB Asam Baru)</t>
  </si>
  <si>
    <t>Pratiwi Anggraeni, A.Md ( Bendahara Pengeluaran )</t>
  </si>
  <si>
    <t>Pemegang Kepala Bapperida an. Agung Setiawan</t>
  </si>
  <si>
    <t>An. Kasubbag Umum pemegang... penjaga siang (sdr. Romi)kendaraanRusak Ringan/ utk Operasional</t>
  </si>
  <si>
    <t>Pemegang/JPT an. Nurul Izzati</t>
  </si>
  <si>
    <t>Pemegang/Kabid Pemerintahan an. Dedy Hidayat</t>
  </si>
  <si>
    <t>Pemegang an Ponero (rencana Mutasi ke Kecamatan Serhiltim thn 2026)</t>
  </si>
  <si>
    <t>Pemegang/JPT an. Suriwati</t>
  </si>
  <si>
    <t>Pemegang/Bendahara Pengeluaran an. Subhannor</t>
  </si>
  <si>
    <t>Pemegang/Kabid Perekonomian an M.Yamani</t>
  </si>
  <si>
    <t>Pemegang/JPT an. Nindya stella</t>
  </si>
  <si>
    <t>Pemegang/JPT an. Budi Pramono</t>
  </si>
  <si>
    <t>Pemegang/JPT an. Suparman</t>
  </si>
  <si>
    <t>Pemegang/Pengurus barang an. Husaini</t>
  </si>
  <si>
    <t>Pemegang/JPT an. Haira Abdah</t>
  </si>
  <si>
    <t>Pemegang/Kabid Riset an. Eddy Fatahillah</t>
  </si>
  <si>
    <t>Pemegang/JPT an. Muthmainnah</t>
  </si>
  <si>
    <t>Pemegang/JPT an. Siti Choiriyah</t>
  </si>
  <si>
    <t>Pemegang/Kasubbag Penyusun Program dan Keuangan /an. Yunita</t>
  </si>
  <si>
    <t>Pemegang/Sekretaris an. Nordiansyah</t>
  </si>
  <si>
    <t>Pemegang/Kasubbag Umum Perlengkapan dan Kepagawaian an. Menteng Delpries</t>
  </si>
  <si>
    <t>Pemegang/JPT an. Desy Triana</t>
  </si>
  <si>
    <t>DARDI, S.I.P (Penelaah Teknis Kebijakan)</t>
  </si>
  <si>
    <t>SURNAWARSIH, S.E. (Bendahara Pengeluaran)</t>
  </si>
  <si>
    <t>PATHURAHMAN, S.E. ( Kasubbag. Penyusunan Program dan Keuangan)</t>
  </si>
  <si>
    <t>Kabid. Perencanaan, Pelayanan dan Penyuluhan  Pendapatan Daerah</t>
  </si>
  <si>
    <t>ANNISA RISDALIANI, S.I.P., M.M. (Kabid. Pendataan, Penilaian dan  Penetapan Pajak Daerah)</t>
  </si>
  <si>
    <t>Abdul Basyid,S.Kom., M.A.P.</t>
  </si>
  <si>
    <t>BUCHARIE MUSLIM</t>
  </si>
  <si>
    <t>SUPARDI A, Md (Kasubag Kuangan)</t>
  </si>
  <si>
    <t>MUHYAJID SUWARDI (ANJANG)</t>
  </si>
  <si>
    <t>TRI ASTUTI (BAG.HUKUM)</t>
  </si>
  <si>
    <t>ZAENAL ABIDIN (BAG.UMUM)</t>
  </si>
  <si>
    <t>NURHALIMAH</t>
  </si>
  <si>
    <t>kawasaki klx</t>
  </si>
  <si>
    <t>KAWASAKI KLX</t>
  </si>
  <si>
    <t>MOBIL RANSUS PICK UP DAMKAR</t>
  </si>
  <si>
    <t xml:space="preserve">MITSUBSHI </t>
  </si>
  <si>
    <t>Mobil Ransus Pick Up Damkar</t>
  </si>
  <si>
    <t>KARTU INVENTARIS BARANG (KIB)</t>
  </si>
  <si>
    <t>A.  TANAH</t>
  </si>
  <si>
    <t>No.</t>
  </si>
  <si>
    <t>Jenis barang/</t>
  </si>
  <si>
    <t>Luas</t>
  </si>
  <si>
    <t>Letak/</t>
  </si>
  <si>
    <t>Nama barang</t>
  </si>
  <si>
    <t>Kode</t>
  </si>
  <si>
    <t>(M2)</t>
  </si>
  <si>
    <t>penga-</t>
  </si>
  <si>
    <t>alamat</t>
  </si>
  <si>
    <t>Hak</t>
  </si>
  <si>
    <t>Sertifikat</t>
  </si>
  <si>
    <t>penggunaan</t>
  </si>
  <si>
    <t>daan</t>
  </si>
  <si>
    <t>Tanggal</t>
  </si>
  <si>
    <t>Tanah Bangunan Pendidikan Dan Latihan</t>
  </si>
  <si>
    <t>01.01.01.04.002</t>
  </si>
  <si>
    <t xml:space="preserve"> Desa Ayawan  Kecamatan Seruyan Tengah</t>
  </si>
  <si>
    <t>Hak Pakai</t>
  </si>
  <si>
    <t xml:space="preserve"> Gedung Sekolah</t>
  </si>
  <si>
    <t xml:space="preserve"> Nilai Pasar</t>
  </si>
  <si>
    <t>sdn 1 ayawan</t>
  </si>
  <si>
    <t>Gedung Sekolah</t>
  </si>
  <si>
    <t xml:space="preserve"> Desa BIII Sukamandang  Kecamatan Seruyan Tengah</t>
  </si>
  <si>
    <t>15.11.02.26.4.00014</t>
  </si>
  <si>
    <t>sdn 1 batu agung</t>
  </si>
  <si>
    <t xml:space="preserve"> Desa Bukit Buluh  Kecamatan Seruyan Tengah</t>
  </si>
  <si>
    <t>sdn 1 bukit buluh</t>
  </si>
  <si>
    <t xml:space="preserve"> Desa GII Sukamandang  Kecamatan Seruyan Tengah</t>
  </si>
  <si>
    <t>sdn 1 bumi jaya</t>
  </si>
  <si>
    <t xml:space="preserve"> Desa Durian Tunggal  Kecamatan Seruyan Tengah</t>
  </si>
  <si>
    <t>sdn 1 durian tunggal</t>
  </si>
  <si>
    <t xml:space="preserve"> Desa Gantung Pengayuh  Kecamatan Seruyan Tengah</t>
  </si>
  <si>
    <t>sdn 1 gantung pengayuh</t>
  </si>
  <si>
    <t xml:space="preserve"> Desa Mugi Penyuhu  Kecamatan Seruyan Tengah</t>
  </si>
  <si>
    <t>sdn 1 mugi penyuhu</t>
  </si>
  <si>
    <t xml:space="preserve"> Desa DT I Sukamandang  Kecamatan Seruyan Tengah</t>
  </si>
  <si>
    <t>sdn 1 panca jaya</t>
  </si>
  <si>
    <t xml:space="preserve"> Desa Pangke  Kecamatan Seruyan Tengah</t>
  </si>
  <si>
    <t>sdn 1 pangke</t>
  </si>
  <si>
    <t xml:space="preserve"> Desa Panyumpa  Kecamatan Seruyan Tengah</t>
  </si>
  <si>
    <t>15.11.02.10.4.00013</t>
  </si>
  <si>
    <t>sdn 1 panyumpa</t>
  </si>
  <si>
    <t>15.11.02.10.4.00017</t>
  </si>
  <si>
    <t>Tanah Bangunan Rumah Negara Tanpa Golongan</t>
  </si>
  <si>
    <t>01.01.01.01.004</t>
  </si>
  <si>
    <t>Jl. Tajudin Kusuma Rantau Pulut Seruyan Tengah</t>
  </si>
  <si>
    <t>15.11.02.16.2.00001</t>
  </si>
  <si>
    <t>Perumahan Guru SDN I Rantau Pulut</t>
  </si>
  <si>
    <t>Berdasarkan Keputusan Bupati Seruyan No.100.3.3.2/720/2024</t>
  </si>
  <si>
    <t>sdn 1 rantau pulut</t>
  </si>
  <si>
    <t xml:space="preserve"> Jalan Sajudin Kusuma</t>
  </si>
  <si>
    <t>15.11.02.16.2.00003</t>
  </si>
  <si>
    <t>15.11.02.16.2.00010</t>
  </si>
  <si>
    <t xml:space="preserve"> Desa DT II Sukamandang  Kecamatan Seruyan Tengah</t>
  </si>
  <si>
    <t>15.11.02.22.4.00034</t>
  </si>
  <si>
    <t>sdn 1 ringin agung</t>
  </si>
  <si>
    <t xml:space="preserve"> Desa BI Sukamandang  Kecamatan Seruyan Tengah</t>
  </si>
  <si>
    <t>sdn 1 suka maju</t>
  </si>
  <si>
    <t xml:space="preserve"> Desa B II Sukamandang  Kecamatan Seruyan Tengah</t>
  </si>
  <si>
    <t>sdn 1 suka makmur</t>
  </si>
  <si>
    <t xml:space="preserve"> Desa BIV Sukamandang  Kecamatan Seruyan Tengah</t>
  </si>
  <si>
    <t>sdn 1 sukajaya</t>
  </si>
  <si>
    <t xml:space="preserve"> Desa Sukamandang  Kecamatan Seruyan Tengah</t>
  </si>
  <si>
    <t>sdn 1 sukamandang</t>
  </si>
  <si>
    <t xml:space="preserve"> Desa G1 Sukamandang  Kecamatan Seruyan Tengah</t>
  </si>
  <si>
    <t>sdn 1 sukorejo</t>
  </si>
  <si>
    <t xml:space="preserve"> Desa Tangga Batu  Kecamatan Seruyan Tengah</t>
  </si>
  <si>
    <t>15.11.02.12.4.00009</t>
  </si>
  <si>
    <t>sdn 1 tangga batu</t>
  </si>
  <si>
    <t xml:space="preserve"> Desa Teluk Bayur  Kecamatan Seruyan Tengah</t>
  </si>
  <si>
    <t>sdn 1 teluk bayur</t>
  </si>
  <si>
    <t xml:space="preserve"> Desa Tumbang Bai  Kecamatan Seruyan Tengah</t>
  </si>
  <si>
    <t>sdn 1 tumbang bai</t>
  </si>
  <si>
    <t>sdn 2 ayawan</t>
  </si>
  <si>
    <t xml:space="preserve"> Desa Rantau Pulut</t>
  </si>
  <si>
    <t>15.11.02.16.2.00005</t>
  </si>
  <si>
    <t>sdn 2 rantau pulut</t>
  </si>
  <si>
    <t>15.11.02.16.2.00007</t>
  </si>
  <si>
    <t xml:space="preserve"> Jalan Serai Wangi Kec. Seruyan Tengah</t>
  </si>
  <si>
    <t>15.11.02.16.2.00013</t>
  </si>
  <si>
    <t>sdn 2 sukamandang</t>
  </si>
  <si>
    <t>Tanah Bangunan Kantor Pemerintah</t>
  </si>
  <si>
    <t>01.01.01.04.001</t>
  </si>
  <si>
    <t>Rantau Pulut</t>
  </si>
  <si>
    <t>UPTD</t>
  </si>
  <si>
    <t>uptd disdik kecamatan seruyan tengah</t>
  </si>
  <si>
    <t xml:space="preserve"> Gedung UPTD</t>
  </si>
  <si>
    <t>JL. AREN, DESA BAHAUR</t>
  </si>
  <si>
    <t>100.3.3.2  / 245 /2025</t>
  </si>
  <si>
    <t>PERUMDIS SDN 1 BAHAUR</t>
  </si>
  <si>
    <t>sdn 1 bahaur</t>
  </si>
  <si>
    <t xml:space="preserve"> Desa Bahaur  Kecamatan Hanau</t>
  </si>
  <si>
    <t>1511.000001374.0</t>
  </si>
  <si>
    <t>Jl. Aren Bahaur Hanau</t>
  </si>
  <si>
    <t>Gedung Sekolah (SDN 1 BAHAUR)</t>
  </si>
  <si>
    <t xml:space="preserve"> Desa Derangga  Kecamatan Hanau</t>
  </si>
  <si>
    <t>sdn 1 derangga</t>
  </si>
  <si>
    <t xml:space="preserve"> Desa Parang Batang  Kecamatan Hanau</t>
  </si>
  <si>
    <t>sdn 1 parang batang</t>
  </si>
  <si>
    <t>JL. DESA PARING RAYA PERUMDIS SDN 1 PARING RAYA</t>
  </si>
  <si>
    <t>sdn 1 paring raya</t>
  </si>
  <si>
    <t xml:space="preserve"> Desa Pembuang Hulu I  Kecamatan Hanau</t>
  </si>
  <si>
    <t>sdn 1 pembuang hulu i</t>
  </si>
  <si>
    <t>1511.000001140.0</t>
  </si>
  <si>
    <t>Pembuang Hulu Kec. Hanau</t>
  </si>
  <si>
    <t xml:space="preserve"> Desa Pembuang Hulu II  Kecamatan Hanau</t>
  </si>
  <si>
    <t>sdn 1 pembuang hulu ii</t>
  </si>
  <si>
    <t xml:space="preserve"> Desa Tanjung Hanau  Kecamatan Hanau</t>
  </si>
  <si>
    <t>sdn 1 tanjung hanau</t>
  </si>
  <si>
    <t>1511.000001375.0</t>
  </si>
  <si>
    <t>sdn 2 bahaur</t>
  </si>
  <si>
    <t>Gedung Sekolah (SDN 2 BAHAUR)</t>
  </si>
  <si>
    <t>sdn 2 derangga</t>
  </si>
  <si>
    <t>sdn 2 parang batang</t>
  </si>
  <si>
    <t>1511.000001152.0</t>
  </si>
  <si>
    <t>sdn 2 pembuang hulu i</t>
  </si>
  <si>
    <t>1511.000001193.0</t>
  </si>
  <si>
    <t>sdn 2 pembuang hulu ii</t>
  </si>
  <si>
    <t>1511.000001192.0</t>
  </si>
  <si>
    <t>JL. DESA BAHAUR</t>
  </si>
  <si>
    <t>PERUMDIS SDN 3 BAHAUR</t>
  </si>
  <si>
    <t>PERUMDIS SDN 3 BAHAUR, JL. DESA BAHAUR</t>
  </si>
  <si>
    <t>sdn 3 bahaur</t>
  </si>
  <si>
    <t xml:space="preserve"> Desa Manggana  Kecamatan Hanau</t>
  </si>
  <si>
    <t>sdn 3 pembuang hulu ii</t>
  </si>
  <si>
    <t>Jl.Bakrie Entong Pembuang Hulu I</t>
  </si>
  <si>
    <t>1511.000001141.0</t>
  </si>
  <si>
    <t>Gedung Sekolah TK Negeri Pembina</t>
  </si>
  <si>
    <t>Keputusan Bupati Seruyan No.100.3.3.2/720/2024</t>
  </si>
  <si>
    <t>tkn pembina hanau</t>
  </si>
  <si>
    <t xml:space="preserve"> Kec. Hanau  Kabupaten Seruyan</t>
  </si>
  <si>
    <t>uptd disdik kecamatan hanau</t>
  </si>
  <si>
    <t>15.11.03.04.2.00002</t>
  </si>
  <si>
    <t>Desa Kartika Bhakti Jl. Kuala Pembuang-Telaga Pulang</t>
  </si>
  <si>
    <t>15.11.06.03.4.00027</t>
  </si>
  <si>
    <t>Gedung UPTD Kec. Seruyan Hilir Timur</t>
  </si>
  <si>
    <t>Harga Sementara</t>
  </si>
  <si>
    <t>UPTD DISDIK KECAMATAN SERUYAN HILIR TIMUR</t>
  </si>
  <si>
    <t xml:space="preserve"> Desa Kartika Bakti  Kecamatan Seruyan Hilir</t>
  </si>
  <si>
    <t>SDN 1 KARTIKA BHAKTI</t>
  </si>
  <si>
    <t>15.11.06.03.4.00011</t>
  </si>
  <si>
    <t>15.11.06.03.4.00012</t>
  </si>
  <si>
    <t>SDN 2 KARTIKA BHAKTI</t>
  </si>
  <si>
    <t xml:space="preserve"> Desa Bangun Harja  Kecamatan Seruyan Hilir</t>
  </si>
  <si>
    <t>15.11.06.05.4.00023</t>
  </si>
  <si>
    <t>SDN 1 BANGUN HARJA</t>
  </si>
  <si>
    <t>15.11.06.05.4.00022</t>
  </si>
  <si>
    <t xml:space="preserve"> Desa Halimaung Jaya  Kecamatan Seruyan Hilir</t>
  </si>
  <si>
    <t>15.11.06.04.4.00038</t>
  </si>
  <si>
    <t>SDN 1 HALIMAUNG JAYA</t>
  </si>
  <si>
    <t xml:space="preserve"> Desa Mekar Indah  Kecamatan Seruyan Hilir</t>
  </si>
  <si>
    <t>SDN 1 MEKAR INDAH</t>
  </si>
  <si>
    <t>15.11.06.06.4.00031</t>
  </si>
  <si>
    <t>15.11.06.06.4.00030</t>
  </si>
  <si>
    <t>SDN 2 MEKAR INDAH</t>
  </si>
  <si>
    <t xml:space="preserve"> Desa Pematang Panjang  Kecamatan Seruyan Hilir</t>
  </si>
  <si>
    <t>15.11.06.02.4.00004</t>
  </si>
  <si>
    <t>SDN 1 PEMATANG PANJANG</t>
  </si>
  <si>
    <t>SDN 2 PEMATANG PANJANG</t>
  </si>
  <si>
    <t>SDN 1 SUNGAI BAKAU</t>
  </si>
  <si>
    <t xml:space="preserve"> Desa Sungai Bakau  Kecamatan Seruyan Hilir</t>
  </si>
  <si>
    <t>UPTD DISDIK KECAMATAN SERUYAN HULU</t>
  </si>
  <si>
    <t xml:space="preserve"> Desa Tumbang Manjul  Kecamatan Seruyan Tengah</t>
  </si>
  <si>
    <t>SDN 1 TUMBANG MANJUL</t>
  </si>
  <si>
    <t xml:space="preserve"> Desa Tumbang Manjul II  Kecamatan Seruyan Hulu</t>
  </si>
  <si>
    <t>SDN 2 TUMBANG MANJUL</t>
  </si>
  <si>
    <t xml:space="preserve"> Desa Tumbang Darap  Kecamatan Seruyan Hulu</t>
  </si>
  <si>
    <t>SDN 1 TUMBANG DARAP</t>
  </si>
  <si>
    <t xml:space="preserve"> Desa Tumbang Kalam  Kecamatan Seruyan Hulu</t>
  </si>
  <si>
    <t>SDN 1 TUMBANG KALAM</t>
  </si>
  <si>
    <t xml:space="preserve"> Desa Tumbang Bahan  Kecamatan Seruyan Hulu</t>
  </si>
  <si>
    <t>SDN 1 TUMBANG BAHAN</t>
  </si>
  <si>
    <t xml:space="preserve"> Desa Tumbang Laku  Kecamatan Seruyan Hulu</t>
  </si>
  <si>
    <t>SDN 1 TUMBANG LAKU</t>
  </si>
  <si>
    <t xml:space="preserve"> Desa Rantau Panjang  Kecamatan Seruyan Hulu</t>
  </si>
  <si>
    <t>SDN 1 RANTAU PANJANG</t>
  </si>
  <si>
    <t xml:space="preserve"> Desa Mojang Baru  Kecamatan Seruyan Hulu</t>
  </si>
  <si>
    <t>SDN 1 MOJANG BARU</t>
  </si>
  <si>
    <t xml:space="preserve"> Desa Sepundu Hantu Kecamatan Seruyan Hulu</t>
  </si>
  <si>
    <t>SDN 1 SEPUNDU HANTU</t>
  </si>
  <si>
    <t xml:space="preserve"> Desa Tumbang Suei  Kecamatan Seruyan Hulu</t>
  </si>
  <si>
    <t>SDN 1 TUMBANG SUEI</t>
  </si>
  <si>
    <t xml:space="preserve"> Desa Riam Batang  Kecamatan Seruyan Hulu</t>
  </si>
  <si>
    <t>SDN 1 RIAM BATANG</t>
  </si>
  <si>
    <t xml:space="preserve"> Desa Tanjung  Paku  Kecamatan Seruyan Hulu</t>
  </si>
  <si>
    <t>SDN 1 TANJUNG PAKU</t>
  </si>
  <si>
    <t xml:space="preserve"> Desa Tumbang Kasai  Kecamatan Seruyan Hulu</t>
  </si>
  <si>
    <t>SDN 1 TUMBANG KASAI</t>
  </si>
  <si>
    <t xml:space="preserve"> Desa Tumbang Kubang  Kecamatan Seruyan Hulu</t>
  </si>
  <si>
    <t>SDN 1 TUMBANG KUBANG</t>
  </si>
  <si>
    <t xml:space="preserve"> Desa Tusuk Belawan  Kecamatan Seruyan Hulu</t>
  </si>
  <si>
    <t>SDN 1 TUSUK BELAWAN</t>
  </si>
  <si>
    <t xml:space="preserve"> Desa Mogoh Juoi  Kecamatan Seruyan Hulu</t>
  </si>
  <si>
    <t>SDN 1 MONGOH JUOI</t>
  </si>
  <si>
    <t xml:space="preserve"> Desa Tumbang Setawai  Kecamatan Seruyan Hulu</t>
  </si>
  <si>
    <t>SDN 1 TUMBANG SETAWAI</t>
  </si>
  <si>
    <t xml:space="preserve"> Desa Marandang  Kecamatan Seruyan Hulu</t>
  </si>
  <si>
    <t>SDN 1 MARANDANG</t>
  </si>
  <si>
    <t xml:space="preserve"> Desa Nusa Tujuh  Kecamatan Seruyan Hulu</t>
  </si>
  <si>
    <t>SDN 2 BUNTUT SAPAU</t>
  </si>
  <si>
    <t xml:space="preserve"> Desa Buntut Sapau  Kecamatan Seruyan Hulu</t>
  </si>
  <si>
    <t>SDN 1 BUNTUT SAPAU</t>
  </si>
  <si>
    <t>Jl.Jendral Sudirman Km. 69 Sampit-P.bun</t>
  </si>
  <si>
    <t>Gedung UPTD Disdikpora Kec. Seruyan Raya</t>
  </si>
  <si>
    <t>UPTD DISDIK KECAMATAN SERUYAN RAYA</t>
  </si>
  <si>
    <t xml:space="preserve"> Desa Bangkal  Kecamatan Danau Sembuluh</t>
  </si>
  <si>
    <t>SDN 1 BANGKAL</t>
  </si>
  <si>
    <t xml:space="preserve"> Desa Bangkal  Kecamatan Seruyan Raya</t>
  </si>
  <si>
    <t>15.11.07.01.4.00010</t>
  </si>
  <si>
    <t xml:space="preserve"> Desa Sembuluh I  Kecamatan Danau Sembuluh</t>
  </si>
  <si>
    <t>SDN 1 LANPASA</t>
  </si>
  <si>
    <t>Jl. Jend Sudirman Selunuk Seruyan Raya</t>
  </si>
  <si>
    <t>15.11.000001470.0</t>
  </si>
  <si>
    <t>SDN 1 Selunuk</t>
  </si>
  <si>
    <t>SDN 1 SELUNUK</t>
  </si>
  <si>
    <t>SDN 1 TABIKU</t>
  </si>
  <si>
    <t xml:space="preserve"> Desa Terawan  Kecamatan Danau Sembuluh</t>
  </si>
  <si>
    <t>SDN 1 TERAWAN</t>
  </si>
  <si>
    <t xml:space="preserve"> Desa Terawan  Kecamatan Seruyan Raya</t>
  </si>
  <si>
    <t>SDN 2 BANGKAL</t>
  </si>
  <si>
    <t>SDN 2 LANPASA</t>
  </si>
  <si>
    <t>Bangkal Seruyan Raya</t>
  </si>
  <si>
    <t>SDN 3 Bangkal</t>
  </si>
  <si>
    <t>SDN 3 BANGKAL</t>
  </si>
  <si>
    <t>Jl. Hantantiring Asam Baru</t>
  </si>
  <si>
    <t>Gedung UPTD Dikpora Kec. D.Seluluk</t>
  </si>
  <si>
    <t>Harga sementara</t>
  </si>
  <si>
    <t>UPTD KECAMATAN DANAU SELULUK</t>
  </si>
  <si>
    <t xml:space="preserve"> Desa Asam Baru  Kecamatan Hanau</t>
  </si>
  <si>
    <t>SDN 1 ASAM BARU</t>
  </si>
  <si>
    <t>Jl. Asam baru- Sandul Panimba Raya Danau Seluluk</t>
  </si>
  <si>
    <t>15.11.08.05.4.00010</t>
  </si>
  <si>
    <t>Perumahan Guru</t>
  </si>
  <si>
    <t>SDN 1 PANIMBA RAYA</t>
  </si>
  <si>
    <t xml:space="preserve"> Desa Tanjung Paring  Kecamatan Hanau</t>
  </si>
  <si>
    <t xml:space="preserve"> Desa Tanjung Hara  Kecamatan Hanau</t>
  </si>
  <si>
    <t>SDN 1 TANJUNG HARA</t>
  </si>
  <si>
    <t>SDN 1 TANJUNG PARING</t>
  </si>
  <si>
    <t xml:space="preserve"> Desa Tanjung Rangas II  Kecamatan Hanau</t>
  </si>
  <si>
    <t>SDN 1 TANJUNG RANGAS II</t>
  </si>
  <si>
    <t>SDN 2 ASAM BARU</t>
  </si>
  <si>
    <t>Desa Sandul</t>
  </si>
  <si>
    <t>15.11.09.02.4.00012</t>
  </si>
  <si>
    <t>Gedung UPTD Dikpora Kec. Batu Ampar</t>
  </si>
  <si>
    <t>UPTD DISDIK KECAMATAN BATU AMPAR</t>
  </si>
  <si>
    <t xml:space="preserve"> Desa Derawa  Kecamatan Seruyan Tengah</t>
  </si>
  <si>
    <t>SDN 1 DERAWA</t>
  </si>
  <si>
    <t xml:space="preserve"> Desa Batu Menangis  Kecamatan Seruyan Tengah</t>
  </si>
  <si>
    <t>SDN 1 BATU MENANGIS</t>
  </si>
  <si>
    <t xml:space="preserve"> Desa Sahabu Kecamatan Seruyan Tengah</t>
  </si>
  <si>
    <t>SDN 1 SAHABU</t>
  </si>
  <si>
    <t xml:space="preserve"> Desa Durian Kait  Kecamatan Seruyan Tengah</t>
  </si>
  <si>
    <t>SDN 1 DURIAN KAIT</t>
  </si>
  <si>
    <t xml:space="preserve"> Desa Kalang  Kecamatan Seruyan Tengah</t>
  </si>
  <si>
    <t>15.11.09.05.4.00012</t>
  </si>
  <si>
    <t>SDN 1 KALANG</t>
  </si>
  <si>
    <t>Desa Sandul  Kecamatan Seruyan Tengah</t>
  </si>
  <si>
    <t>SDN 1 SANDUL</t>
  </si>
  <si>
    <t xml:space="preserve"> Desa Sebabi  Kecamatan Seruyan Tengah</t>
  </si>
  <si>
    <t>SDN 1 SEBABI</t>
  </si>
  <si>
    <t xml:space="preserve"> Desa CII Sukamandang  Kecamatan Seruyan Tengah</t>
  </si>
  <si>
    <t>SDN 1 SUKAMULYA</t>
  </si>
  <si>
    <t>15.11.0904.4.00020</t>
  </si>
  <si>
    <t xml:space="preserve"> Desa  C III Sukamandang  Kecamatan Seruyan Tengah</t>
  </si>
  <si>
    <t>15.11.09.03.4.00002</t>
  </si>
  <si>
    <t>SDN 1 WANATIRTA</t>
  </si>
  <si>
    <t>Jl. Batu Lampang T.Langkai</t>
  </si>
  <si>
    <t>Gedung UPTD Kec. Suling Tambun</t>
  </si>
  <si>
    <t>UPTD DISDIK KECAMATAN SULING TAMBUN</t>
  </si>
  <si>
    <t xml:space="preserve"> Desa Tumbang Gugup  Kecamatan Seruyan Hulu</t>
  </si>
  <si>
    <t>SDN 1 TUMBANG GUGUP</t>
  </si>
  <si>
    <t xml:space="preserve"> Desa Tumbang Langkai  Kecamatan Seruyan Hulu</t>
  </si>
  <si>
    <t>SDN 1 TUMBANG LANGKAI</t>
  </si>
  <si>
    <t xml:space="preserve"> Desa Tumbang Setoli  Kecamatan Seruyan Hulu</t>
  </si>
  <si>
    <t>SDN 1 TUMBANG SETOLI</t>
  </si>
  <si>
    <t xml:space="preserve"> Desa Rangkang Munduk  Kecamatan Seruyan Hulu</t>
  </si>
  <si>
    <t>SDN 1 RANGKANG MUNDUK</t>
  </si>
  <si>
    <t xml:space="preserve"> Desa Tumbang Salu  Kecamatan  Seruyan Hulu</t>
  </si>
  <si>
    <t>SDN 1 TUMBANG SALAU</t>
  </si>
  <si>
    <t xml:space="preserve"> Desa Tanjung Tungkal  Kecamatan Seruyan Hulu</t>
  </si>
  <si>
    <t>SDN 1 TANJUNG TUKAL</t>
  </si>
  <si>
    <t xml:space="preserve"> Desa Tumbang Magin  Kecamatan Seruyan Hulu</t>
  </si>
  <si>
    <t>SDN 1 TUMBANG MAGIN</t>
  </si>
  <si>
    <t>Desa Rantau Betung Kec. Suling Tambun</t>
  </si>
  <si>
    <t>SDN 1 RANTAU BETUNG</t>
  </si>
  <si>
    <t>Tanah Bangunan Puskesmas/Posyandu</t>
  </si>
  <si>
    <t>01.01.01.04.006</t>
  </si>
  <si>
    <t>Jl. Pratama, RT. 02 RW. 01 Desa Asam Baru Kec Danau Seluluk</t>
  </si>
  <si>
    <t>Bangunan Sarana Kesehatan</t>
  </si>
  <si>
    <t>Tanah Bangunan Pustu Desa Asam Baru</t>
  </si>
  <si>
    <t>PUSKESMAS ASAM BARU</t>
  </si>
  <si>
    <t>Belakang Listrik Desa RT. I, Desa Tanjung Rangas II, Kec. Danau Seluluk</t>
  </si>
  <si>
    <t>Tanah Bangunan Poskesdes Tanjung Rangas II</t>
  </si>
  <si>
    <t>Jl. Padat Karya RT. 03 Desa Tanjung Hara</t>
  </si>
  <si>
    <t>Tanah Bangunan Poskesdes Tanjung Hara</t>
  </si>
  <si>
    <t>Jl. Jendral sudirman KM. 105 Sampit- Pangkalan Bun Desa Rungau Raya Kec. Danau Seluluk</t>
  </si>
  <si>
    <t>Bangunan Poskesdes</t>
  </si>
  <si>
    <t>Tanah Bangunan Poskesdes Rungau Raya</t>
  </si>
  <si>
    <t>Desa Tanjung Rangas II, Kec. Danau Seluluk</t>
  </si>
  <si>
    <t>Bangunan Polindes</t>
  </si>
  <si>
    <t>Jl. Padat Karya Desa Panimba Raya, Kecamatan Hanau</t>
  </si>
  <si>
    <t>15.11.08.05.4.00011</t>
  </si>
  <si>
    <t>Bangunan Pustu Panimba Raya</t>
  </si>
  <si>
    <t>Tanah Bangunan Pustu Panimba Raya, (Surat Pernyataan Tanah)</t>
  </si>
  <si>
    <t>Desa Tanjung Paring, Kecamatan Hanau</t>
  </si>
  <si>
    <t>593.21/015/Pem</t>
  </si>
  <si>
    <t>Bangunan Polindes Desa Tanjung Paring</t>
  </si>
  <si>
    <t>Tanah Bangunan Polindes Desa Tanjung Paring, (Surat PernyataanHibah Tanah)</t>
  </si>
  <si>
    <t>Jalan Pratama Desa Asam Baru, Kec. Danau Seluluk</t>
  </si>
  <si>
    <t xml:space="preserve"> Bangunan  Puskesmas</t>
  </si>
  <si>
    <t>Tanah Bangunan Puskesmas Asam Baru</t>
  </si>
  <si>
    <t>Jl. Jendral Sudirman KM. 120 RT09/RW. 03 Desa Asam Baru Kec. Danau Seluluk</t>
  </si>
  <si>
    <t>Bangunan Puskesmas</t>
  </si>
  <si>
    <t>Tanah Bangunan Puskesmas Asam Baru II</t>
  </si>
  <si>
    <t>Panimba Raya Danau Seluluk</t>
  </si>
  <si>
    <t>pustu</t>
  </si>
  <si>
    <t>Tanah Bangunan Rumah Negara Golongan III</t>
  </si>
  <si>
    <t>01.01.01.01.003</t>
  </si>
  <si>
    <t>Jl. SDN I Rantau Pulut, Kecamatan Seruyan Tengah</t>
  </si>
  <si>
    <t>15.11.000000853.0</t>
  </si>
  <si>
    <t>Bangunan Polindes Rantau Pulut</t>
  </si>
  <si>
    <t>Tanah Bangunan Polindes Rantau Pulut, (Sertifikat)</t>
  </si>
  <si>
    <t>PUSKESMAS RANTAU PULUT I</t>
  </si>
  <si>
    <t xml:space="preserve"> Ds. Rantau Pulut I , Kec. Seruyan Tengah</t>
  </si>
  <si>
    <t>15.11.000000994.0</t>
  </si>
  <si>
    <t>Puskesmas Rantau Pulut I</t>
  </si>
  <si>
    <t>Tanah Puskesmas Rantau Pulut I</t>
  </si>
  <si>
    <t>Jl. Kedua Ke Rantau Pulut RT. V RW.II Desa Ayawan Kec. Seruyan Tengah</t>
  </si>
  <si>
    <t>Tanah Bangunan Poskesdes Desa Ayawan (SKH Tanah No. 140/002/Pem-DA/I/2016)</t>
  </si>
  <si>
    <t>Desa Tumbang Bai, Kec. Seruyan Tengah</t>
  </si>
  <si>
    <t>192/I/Pem-TB/VI/2007</t>
  </si>
  <si>
    <t>Bangunan Poskesdes Desa Tumbang Bai</t>
  </si>
  <si>
    <t>Desa Panyumpa Kecamatan Seruyan Tengah</t>
  </si>
  <si>
    <t>15.11.02.10.4.00007</t>
  </si>
  <si>
    <t>Bangunan Pustu Desa Panyumpa</t>
  </si>
  <si>
    <t>Tanah Bangunan Pustu Desa Panyumpa, (Surat Keterangan Tanah)</t>
  </si>
  <si>
    <t>Desa teluk Bayur, Kecamatan Seruyan Tengah</t>
  </si>
  <si>
    <t>Bangunan Pustu Desa Teluk Bayur</t>
  </si>
  <si>
    <t>Tanah Bangunan Pustu Desa Teluk Bayur, (Surat Hibah Tanah)</t>
  </si>
  <si>
    <t>Desa Tangga Batu Kecamatan seruyan Tengah</t>
  </si>
  <si>
    <t>Bangunan Pustu</t>
  </si>
  <si>
    <t>Tanah Bangunan Pustu Desa Tangga Batu</t>
  </si>
  <si>
    <t>Desa Tangga Batu, Kecamatan Seruyan Tengah</t>
  </si>
  <si>
    <t>593.21/Pem</t>
  </si>
  <si>
    <t>Bangunan Poskesdes Desa Tangga batu</t>
  </si>
  <si>
    <t>Tanah Bangunan Poskesdes Desa Tangga batu, (Surat Keterangan penyerahan Tanah)</t>
  </si>
  <si>
    <t>Desa Gantung Pengayuh Kecamatan Seruyan Tengah</t>
  </si>
  <si>
    <t>593.21/014/TNH/HBH/DS-GP/Pemdes/X/2013</t>
  </si>
  <si>
    <t>Tanah Bangunan Poskesdes Desa Gantung Pengayuh</t>
  </si>
  <si>
    <t>Jl. Dwima Jaya Desa Tumbang Bai Kec. Seruyan Tengah</t>
  </si>
  <si>
    <t>Bangunan Pustu/Poskesdes</t>
  </si>
  <si>
    <t>Rencana Bangunan Pustu/Poskesdes Desa Tumbang Bai</t>
  </si>
  <si>
    <t>Jalan Batu Haramang RT. 05 Rantau Pulut I Seruyan Tengah</t>
  </si>
  <si>
    <t>Polindes Rantau Pulut I</t>
  </si>
  <si>
    <t>Desa Sukorejo, Kecamatan Seruyan Tengah</t>
  </si>
  <si>
    <t>15.11.02.23.4.00004</t>
  </si>
  <si>
    <t>Bangunan Pustu Sukorejo</t>
  </si>
  <si>
    <t>Tanah Bangunan Pustu Sukorejo, (Surat Pernyataan Tanah)</t>
  </si>
  <si>
    <t>PUSKESMAS RANTAU PULUT II</t>
  </si>
  <si>
    <t>Desa Ringin Agung Kecamatan Seruyan Tengah</t>
  </si>
  <si>
    <t>05/DS.RA/Pem/II/2010</t>
  </si>
  <si>
    <t>Tanah Bangunan Pustu Desa Ringin Agung</t>
  </si>
  <si>
    <t>Jl. Poros Desa Panca Jaya (DT-I), Kecamatan Seruyan Tengah</t>
  </si>
  <si>
    <t>Bangunan Pustu Desa Panca Jaya</t>
  </si>
  <si>
    <t>Tanah Bangunan Pustu Desa Panca Jaya, (Surat Hibah Tanah)</t>
  </si>
  <si>
    <t>Desa Suka Mulya, Kecamatan Seruyan Tengah</t>
  </si>
  <si>
    <t>15.11.09.04.4.00016</t>
  </si>
  <si>
    <t>Bangunan Pustu Desa Suka Mulya</t>
  </si>
  <si>
    <t>Tanah Bangunan Pustu Desa Suka Mulya, (Surat Pernyataan Hibah)</t>
  </si>
  <si>
    <t>Desa Suka Maju, Kecamatan Seruyan Tengah</t>
  </si>
  <si>
    <t>B-37/05.SMJ/IV/2004</t>
  </si>
  <si>
    <t>Bangunan Pustu Desa Suka Maju</t>
  </si>
  <si>
    <t>Tanah Bangunan Pustu Desa Suka Maju, (Surat Keterangan Hibah)</t>
  </si>
  <si>
    <t>Desa Batu Agung Rantau Pulut Kec. Seruyan Tengah</t>
  </si>
  <si>
    <t>15.11.02.26.4.00010</t>
  </si>
  <si>
    <t xml:space="preserve"> Tanah Puskesmas Rantau Pulut II</t>
  </si>
  <si>
    <t>Jl. Poros Rantau Pulut Desa Suka Jaya RT. 01 RW. 01 Kec. Seruyan Tengah</t>
  </si>
  <si>
    <t>Tanah Bangunan Poskesdes Desa Suka Jaya Surat Keterangan Tanah No. 001/SKT/SKJ/III/2016</t>
  </si>
  <si>
    <t>Desa Ringin Agung RT. 07 RW. 03 Kec Seruyan Tengah</t>
  </si>
  <si>
    <t>Tanah Bangunan Poskesdes Desa Ringin Agung (BAP Tanah No. 001/593.21/RA/Pem/2016)</t>
  </si>
  <si>
    <t>Desa Tumbang Setawai Kec. Seruyan Hulu</t>
  </si>
  <si>
    <t>Tanah Bangunan Pustu Desa Tumbang Setawai Kec. Seruyan Hulu</t>
  </si>
  <si>
    <t>PUSKESMAS TUMBANG MANJUL</t>
  </si>
  <si>
    <t>Jl. Titoi Bunut Desa Tanjung Paku Kec. Seruyan Hulu</t>
  </si>
  <si>
    <t>Tanah Bangunan Pustu Desa Tanjung Paku Kec. Seruyan Hulu</t>
  </si>
  <si>
    <t>Desa Buntut Sapau RT. 02 Kec. Seruyan Hulu</t>
  </si>
  <si>
    <t>Tanah Bangunan Pustu Desa Buntut Sapau (Surat Keterangan Hibah Tanah No. 041/05/SH/I/2017)</t>
  </si>
  <si>
    <t>Jl. Rawing Desa Marandang Kec Seruyan Hulu</t>
  </si>
  <si>
    <t>15.11.000000861.0</t>
  </si>
  <si>
    <t>Tanah Bangunan Pustu Desa Marandang Kec Seruyan Hulu</t>
  </si>
  <si>
    <t>Desa Tumbang Manjul Kec. Seruyan Hulu Kabupaten Seruyan Propinsi Kalimatan Tengah</t>
  </si>
  <si>
    <t xml:space="preserve"> Gedung Puskesmas</t>
  </si>
  <si>
    <t>Tanah Puskesmas Tumbang Manjul</t>
  </si>
  <si>
    <t>Desa Mongoh Juoi,Kecamatan Seruyan Hulu</t>
  </si>
  <si>
    <t>Bangunan Pustu Desa Mongoh Juoi</t>
  </si>
  <si>
    <t>Tanah Bangunan Pustu Desa Mongoh Juoi, (Surat Keterangan Hibah)</t>
  </si>
  <si>
    <t>Desa Tumbang Gugup, Kecamatan Suling Tambun</t>
  </si>
  <si>
    <t>Bangunan Pustu Desa Tumbang Darap</t>
  </si>
  <si>
    <t>Tanah Bangunan Pustu Desa Tumbang Darap, (Surat Keterangan Penyerahan Hibah Tanah)</t>
  </si>
  <si>
    <t>Desa Tumbang Kalam Kec. Seruyan Hulu</t>
  </si>
  <si>
    <t>36/SPT/TK-SH/XI/2011</t>
  </si>
  <si>
    <t>Tanah Bangunan Pustu Desa Tumbang Kalam</t>
  </si>
  <si>
    <t>Desa Tumbang Kasai, Kecamatan Seruyan Hulu</t>
  </si>
  <si>
    <t>Bangunan Poskesdes Tumbang Kasai</t>
  </si>
  <si>
    <t>Tanah Bangunan Poskesdes Tumbang Kasai, (Surat Hibah Tanah)</t>
  </si>
  <si>
    <t>Desa Tusuk Belawan Kecamatan Seruyan Hulu</t>
  </si>
  <si>
    <t>Rencana Bangunan Pustu Desa Tusuk Belawan</t>
  </si>
  <si>
    <t>Merandang Seruyan Hulu</t>
  </si>
  <si>
    <t>Pustu Merandang</t>
  </si>
  <si>
    <t>Desa Tumbang Magin Kecamatan Suling Tambun</t>
  </si>
  <si>
    <t>001/Pem/SKH/TM-ST/VIII/2012</t>
  </si>
  <si>
    <t>Tanah Bangunan Pustuu Desa Tumbang Magin</t>
  </si>
  <si>
    <t>PUSKESMAS TUMBANG LANGKAI</t>
  </si>
  <si>
    <t>Jl. Poros Desa Rantau Betung Kecamatan Suling Tambun</t>
  </si>
  <si>
    <t>Tanah Bangunan Poskesdes Desa Rantau Betung</t>
  </si>
  <si>
    <t>Desa Tumbang Langkai, Kecamatan Suling Tambun</t>
  </si>
  <si>
    <t>Bangunan Puskesmas Tumbang Langkai</t>
  </si>
  <si>
    <t>Tanah Bangunan Puskesmas Tumbang Langkai, (Surat Pernyataan Hibah Tanah)</t>
  </si>
  <si>
    <t>Jl. Macan Saruh II, Desa Sepundu Hantu, Kec. Seruyan Hulu</t>
  </si>
  <si>
    <t>Tanah Bangunan Pustu Desa Sepundu Hantu</t>
  </si>
  <si>
    <t>Jl. Batu Antang Sebelah Barat Kecamatan Suling Tambun</t>
  </si>
  <si>
    <t>Tanah Bangunan Pustu Tumbang Salau</t>
  </si>
  <si>
    <t>Desa Tumbang Hentas Kec. Suling Tambun</t>
  </si>
  <si>
    <t>Tanah Bangunan Pustu Desa Tumbang Hentas (Surat Keterangan Hibah Tanah No. 05/SKHT/TH-ST/2015)</t>
  </si>
  <si>
    <t>Jl. Macan Nanjan, RT. 03 Desa Tumbang Gugup Kec. Suling Tambun</t>
  </si>
  <si>
    <t>Tanah Bangunan PustuTumbang Gugup Kec. Suling Tambun</t>
  </si>
  <si>
    <t>Jl. Antang Teluk Malaban RT. 02 Desa Tanjung Tukal Kec. Suling Tambun</t>
  </si>
  <si>
    <t>Tanah Bangunan Pustu Desa Tanjung Tukal</t>
  </si>
  <si>
    <t>Jl. Bakri Entong Desa Pembuang Hulu I Kecamatan Hanau</t>
  </si>
  <si>
    <t>15.11.03.05.4.00031</t>
  </si>
  <si>
    <t>Kantor UPTD Ketenagakerjaan</t>
  </si>
  <si>
    <t>Tanah Bangunan UPTD Ketenagakerjaan</t>
  </si>
  <si>
    <t>DINAS TENAGA KERJA DAN TRANSMIGRASI</t>
  </si>
  <si>
    <t>Ds. Kartika Bhakti Kec. Seruyan Hilir Timur</t>
  </si>
  <si>
    <t xml:space="preserve"> AB 849745</t>
  </si>
  <si>
    <t>Bangunan Gedung</t>
  </si>
  <si>
    <t>Sertifikat masih nama pemilik untuk sertifikat an. pemkab masih dalam Proses, tanah tersebut terdiri dari 3 sertifikat yaitu AB 849745, AC 635284, dan AC 635293 dengan luas @10.000 M2</t>
  </si>
  <si>
    <t>Ds.Kartika Bhakti Kec. Seruyan Hilir Timur</t>
  </si>
  <si>
    <t>AL 238414</t>
  </si>
  <si>
    <t>Gedung Bangunan</t>
  </si>
  <si>
    <t>Sertfikat  masih nama pemilik untuk sertifikat an. pemkab masih dalam proses</t>
  </si>
  <si>
    <t>Jl. GM. Firdaus Rt./Rw. 01/01 Desa Telaga Pulang</t>
  </si>
  <si>
    <t>593.21/139/SPPT-DS/PEM/2018</t>
  </si>
  <si>
    <t>Kantor UPTD P3AP2KB Kec. Danau Sembuluh</t>
  </si>
  <si>
    <t>Tanah Bangunan Kantor UPTD P3AP2KB di Kec. Danau Sembuluh. Dasar Surat Pernyataan Penguasaan Tanah (SPPT) Nomor Pendaftaran Tanah : 593.21/139/SPPT-DS/PEM/2018</t>
  </si>
  <si>
    <t>Jl. Jend. Sudirman KM. 69/KM.74</t>
  </si>
  <si>
    <t>15.11.07.02.4.00005</t>
  </si>
  <si>
    <t>Kantor UPTD P3AP2KB di Kec. Seruyan Raya</t>
  </si>
  <si>
    <t>Tanah Bangunan Kantor UPTD P3AP2KB di Kec. Seruyan Raya. Dasar SPPT Nomor Pendaftaran Nomor 593.21/50/SPPT-KSR/XI/2018 Tgl. 22 Nopember 2018</t>
  </si>
  <si>
    <t>Jl. Bhakri Entong RT. 012 RW. 02 Desa Pembuang Hulu I</t>
  </si>
  <si>
    <t>15.11.03.05.4.00040</t>
  </si>
  <si>
    <t>Kantor UPTD DP3AP2KB D di Kec. Hanau</t>
  </si>
  <si>
    <t>Tanah Bangunan Kantor UPTD DP3AP2KB di Kecamatan Hanau. Dasar SPPT Nomor Terdaftar Kecamatan Hanau : 593.21/367/SPPT-Kec. Hanau/IX/2018 Tanggal 28 September 2018.</t>
  </si>
  <si>
    <t>Jl. Putri Junjung RT. 3 RW. I Kartika Bhakti</t>
  </si>
  <si>
    <t>Hak Milik</t>
  </si>
  <si>
    <t>15.11.06.03.4.00009</t>
  </si>
  <si>
    <t>Kantor UPTD P3AP2KB di Kec. Seruyan Hilir Timur</t>
  </si>
  <si>
    <t>Tanah Bangunan Kantor UPTD P3AP2KB di Kec. Seruyan Hilir Timur. Dasar Surat Penyerahan Hibah Tanah dari Usni (A.n. Pemdes Kartika Bhakti Kepada Unit Pengelolaan Teknis Badan (UPTB) PLKB Nomor Terdaftar : 593.21/48/SPHT/KB-SHT/XI/2018 Tgl. 05 Oktober 2018</t>
  </si>
  <si>
    <t>Jl. Let. Jendl. S. Parman Rt. 03/02 Desa Persil Raya</t>
  </si>
  <si>
    <t>593.83/14/SKPT-PR/2013</t>
  </si>
  <si>
    <t>Kantor UPTD P3AP2KB di Kec. Seruyan Hilir</t>
  </si>
  <si>
    <t>Tanah Bangunan Kantor UPTD P3AP2KB di Kec. Seruyan Hilir. Dasar Surat Keterangan Penyerahan Tanah (Hibah) Registrasi Nomor : 593.83/14/SKPT-PR/2013 Tgl. 02 Juli 2013. SPPT dalam proses</t>
  </si>
  <si>
    <t>Jln. Hasan Kec. Seruyan Hilir Desa Kuala Pembuang I</t>
  </si>
  <si>
    <t>15.08.05.01.4.00024</t>
  </si>
  <si>
    <t>Kantor dan Rumah Dinas</t>
  </si>
  <si>
    <t>Tanah Kantor SDK/BKPH Ser.Hilir dan Rumah Dinas</t>
  </si>
  <si>
    <t>Tanah Bangunan Gudang</t>
  </si>
  <si>
    <t>01.01.01.02.003</t>
  </si>
  <si>
    <t>Jl. Pelita Kuala Pembuang</t>
  </si>
  <si>
    <t>Surat menyurat tanah masih dalam proses penyelesaian</t>
  </si>
  <si>
    <t>Jl.Soekarno Hatta Lingkar kota Kel.Kuala Pembuang I</t>
  </si>
  <si>
    <t>593.21/12-SKPT/2008</t>
  </si>
  <si>
    <t>Bangunan Lumbung Pangan</t>
  </si>
  <si>
    <t>Jalur 5 Ds.Mekar Indah</t>
  </si>
  <si>
    <t>593.2/72/SKPT-MK/2009</t>
  </si>
  <si>
    <t>Jl.P.Junjung Buih RT 4/RW2 Kartika Bhakti Kec.Seruyan Hilir Timur</t>
  </si>
  <si>
    <t>15.11.06.03.4.00021</t>
  </si>
  <si>
    <t>Bangunan Lumbung Pangan Desa Kartika Bhakti Kec. Seruyan Hilir Timur</t>
  </si>
  <si>
    <t>Desa Tumbang Sue Kec.Seruyan Hulu</t>
  </si>
  <si>
    <t>Jl.Bakri Entong Pemb.Hulu I</t>
  </si>
  <si>
    <t>15.11.03.05.4.00036</t>
  </si>
  <si>
    <t>Lumbung Pangan desa Pembuang Hulu 1</t>
  </si>
  <si>
    <t>Desa Tumbang Langkai Kec.Suling Tambun</t>
  </si>
  <si>
    <t>Desa Asam Baru Kec.Danau Seluluk</t>
  </si>
  <si>
    <t>593.21/334/Pem</t>
  </si>
  <si>
    <t>Jl. Antang Patahu RT 001 Desa Bangkal Kec. Seruyan Raya</t>
  </si>
  <si>
    <t>0371.DS/BKL-V/Pem-93</t>
  </si>
  <si>
    <t>Gedung BPP Telaga Pulang</t>
  </si>
  <si>
    <t>Surat Penyerahan Tanah Asli</t>
  </si>
  <si>
    <t>Desa Rantau Pulut Kec. Seruyan Tengah</t>
  </si>
  <si>
    <t>15.11.02.16.4.00016</t>
  </si>
  <si>
    <t>Gedung BPP Rantau Pulut</t>
  </si>
  <si>
    <t>BPP Rantau Pulut Kec. Seruyan Tengah</t>
  </si>
  <si>
    <t>Rantau Pulut Kec. Seruyan tengah</t>
  </si>
  <si>
    <t>BPP Rantau Pulut</t>
  </si>
  <si>
    <t>Jl. Mahang Dua Beriut RT 17 Desa Kuala Peembuang I Kec. Seruyan Hilir</t>
  </si>
  <si>
    <t>Gedung BPP Kuala Pembuang</t>
  </si>
  <si>
    <t>593/188/Sh.SP/1999 (Surat Keterangan penyerahan tanah fotocopy)</t>
  </si>
  <si>
    <t>Jl. Soekarno Hatta Kec. Seruyan Hilir</t>
  </si>
  <si>
    <t>UPTD Puskeswan</t>
  </si>
  <si>
    <t>Surat menyurat masih dalam proses penyelesaian</t>
  </si>
  <si>
    <t>Desa Tumbang Langkai Kec. Suling Tambun</t>
  </si>
  <si>
    <t>593.21/22/TL/Ur.Pem</t>
  </si>
  <si>
    <t>Gedung Perkantoran</t>
  </si>
  <si>
    <t>(Surat Keterangan Penyerahan Tanah FotoCopy)</t>
  </si>
  <si>
    <t>Jl. Mahang Kuala Pembuang</t>
  </si>
  <si>
    <t>Lahan BPP</t>
  </si>
  <si>
    <t>(Hibah Kotim)</t>
  </si>
  <si>
    <t>Hamdil Makmur/Hamdil Masa Malang I/Desa Pematang Limau Kuala Pambuang</t>
  </si>
  <si>
    <t>Tanah Percontohan</t>
  </si>
  <si>
    <t xml:space="preserve"> Rantau Pulut Kec.Seruyan Tengah</t>
  </si>
  <si>
    <t>Jl. Antang Perahu Desa Bangkal Kec.Danau Sembuluh</t>
  </si>
  <si>
    <t>Jl. Udara Kuala Pambuang Kec.Seruyan Hilir</t>
  </si>
  <si>
    <t>Tanah Peruntukan</t>
  </si>
  <si>
    <t>Handi Beriut</t>
  </si>
  <si>
    <t>BBP Kuala Pembuang</t>
  </si>
  <si>
    <t>Kuala Pembuang Kec. Seruyan Hilir</t>
  </si>
  <si>
    <t>BBP Padi Kuala Pembuang</t>
  </si>
  <si>
    <t>Jl. Persil Raya RT 21 Kel. Kuala Pembuang I</t>
  </si>
  <si>
    <t>Rumah jagal dan tempat pemotongan</t>
  </si>
  <si>
    <t>Desa Asam Baru Kecamatan Hanau</t>
  </si>
  <si>
    <t>15.11.08.01.4.00042</t>
  </si>
  <si>
    <t>Kantor BPP</t>
  </si>
  <si>
    <t>Kantor BPP Desa Asam Baru</t>
  </si>
  <si>
    <t>Jl. A. Yani Km 147 Kec. Hanau</t>
  </si>
  <si>
    <t>BBP Hortikultura</t>
  </si>
  <si>
    <t>Jln. Bakri Entong RT IX RW 02 Desa Pembuang Hulu Kec. Hanau</t>
  </si>
  <si>
    <t>15.11.03.05.4.00035</t>
  </si>
  <si>
    <t>Gedung BPP dan Perumahan Pembuang Hulu</t>
  </si>
  <si>
    <t>Gedung BPP dan Perumahan Pembuang Hulu Kec. Hanau</t>
  </si>
  <si>
    <t>Desa Kartika Bhakti RT 04 Kec. Seruyan Hilir Timur</t>
  </si>
  <si>
    <t>15.11.06.03.4.00022</t>
  </si>
  <si>
    <t>Gedung Penggilingan Padi</t>
  </si>
  <si>
    <t>Gedung Penggilingan Padi Desa Kartika Bhakti Kec. Seruyan Hilir Timur</t>
  </si>
  <si>
    <t>Jln. Matahari RT 13 RW 04 Desa Bangun Harja Kec. Seruyan Hilir Timur</t>
  </si>
  <si>
    <t>15.11.06.05.4.00021</t>
  </si>
  <si>
    <t>Gedung BPP Seruyan Hilir Timur</t>
  </si>
  <si>
    <t>Gedung BPP Seruyan Hilir Timur ( Serifikat )</t>
  </si>
  <si>
    <t>Bangun Harja Seruyan Hilir Timur</t>
  </si>
  <si>
    <t>15.11.06.05.4.00014</t>
  </si>
  <si>
    <t>Poskeswan</t>
  </si>
  <si>
    <t>Tanah Bangunan Bangunan Pembibitan</t>
  </si>
  <si>
    <t>01.01.01.04.013</t>
  </si>
  <si>
    <t>Jln. Sudirman Km. 113 Kec. Danau Seluluk Desa Asam Baru</t>
  </si>
  <si>
    <t>Kebun</t>
  </si>
  <si>
    <t>Tanah Pembibitan Tanaman Perkebunan dan Kehutanan</t>
  </si>
  <si>
    <t>Tanah Kosong Yang Sudah Diperuntukkan</t>
  </si>
  <si>
    <t>01.01.02.02.002</t>
  </si>
  <si>
    <t>Jl.Makmur sekunder II P.Limau</t>
  </si>
  <si>
    <t>'593.83/21/SKPT-DPL/2013</t>
  </si>
  <si>
    <t>NJOP Tgl 03 Oktober 2013</t>
  </si>
  <si>
    <t>Jl. A. Yani Desa Sandul Kec. Batu Ampar</t>
  </si>
  <si>
    <t>15.11.09.02.4.000183</t>
  </si>
  <si>
    <t>Kantor BP3K Kec. Batu Ampar</t>
  </si>
  <si>
    <t>Jl.Jinu Raya Ds.Tumbang Kalam Kec.Seruyan Hulu</t>
  </si>
  <si>
    <t>594/09/SHT/IV/2013</t>
  </si>
  <si>
    <t>Desa Tanjung Paku Kec. Seruyan Hulu</t>
  </si>
  <si>
    <t>Perolehan Tahun 2010. Penilaian harga NJOP pada Tahun 2013</t>
  </si>
  <si>
    <t>Jl.Agung Ds.Derangga</t>
  </si>
  <si>
    <t>'593.21/15/Pem</t>
  </si>
  <si>
    <t>Perolehan Tahun 2011. Penilaian harga NJOP pada Tahun 2013</t>
  </si>
  <si>
    <t>Desa Tumbang Gugup Kec.Suling Tambun</t>
  </si>
  <si>
    <t>Desa Mojang Baru Kec.Seruyan Hulu</t>
  </si>
  <si>
    <t>Jl.Abu Hasan RT 1 Desa Derangga</t>
  </si>
  <si>
    <t>Perolehan Tahun 2009. Penilaian harga NJOP pada Tahun 2013</t>
  </si>
  <si>
    <t>Jl.Poros Desa Halimaung Jaya</t>
  </si>
  <si>
    <t>15.11.06.04.4.00034</t>
  </si>
  <si>
    <t>Bangunan Lumbung Pangan Desa Halimaung Jaya</t>
  </si>
  <si>
    <t>Jl.T.Pulang-K.Pembuang RT 13 RW 02 Desa Bangun Harja Kec.Seruyan Hilir Timur</t>
  </si>
  <si>
    <t>15.11.06.05.4.00020</t>
  </si>
  <si>
    <t>Gudang Pangan</t>
  </si>
  <si>
    <t>Gudang Pangan Desa Bangun Harja</t>
  </si>
  <si>
    <t>Handil Makmur Desa Pematang Limau Kec.Seruyan Hilir</t>
  </si>
  <si>
    <t>593.83/02/SPKT/DPL/2014</t>
  </si>
  <si>
    <t>Lantai Jemur Padi</t>
  </si>
  <si>
    <t>NJOP Tanggal 03 September 2014</t>
  </si>
  <si>
    <t>Jl.Pendawa RT 02 Desa Cempaka Baru Kec.Danau Sembuluh</t>
  </si>
  <si>
    <t>141/98/PEM-CB/SKPT/I/2014</t>
  </si>
  <si>
    <t>Tanah Kebun Percobaan</t>
  </si>
  <si>
    <t>01.01.02.03.003</t>
  </si>
  <si>
    <t>SCREN HOUSE Jl. Pemuda</t>
  </si>
  <si>
    <t>Pengurukan Tanaman TOGA</t>
  </si>
  <si>
    <t>Tanah untuk Jalan lainnya</t>
  </si>
  <si>
    <t>01.01.03.07.011</t>
  </si>
  <si>
    <t>DESA HALIMAUNG JAYA</t>
  </si>
  <si>
    <t>593.31/001/SKHT-HJY/2014</t>
  </si>
  <si>
    <t>dkpp</t>
  </si>
  <si>
    <t>REHABILITASI JALAN USAHA TANI</t>
  </si>
  <si>
    <t>DESA BANGUN HARJA</t>
  </si>
  <si>
    <t>593.21/02/Pem</t>
  </si>
  <si>
    <t>PEMBUATAN IRIGASI AIR TANAH (tidak ada no surat)</t>
  </si>
  <si>
    <t>DESA BANGUN HARJA JALUR 8</t>
  </si>
  <si>
    <t>Petani</t>
  </si>
  <si>
    <t>PENINGKATAN KAPASITAS JALAN USAHA TANI  ( Nomor Surat tidak ada karena yang memberi hibah dari petani langsung An. JUMENI tanggal 21 Juli 2014</t>
  </si>
  <si>
    <t>DESA BANGUN HARJA JALUR 9</t>
  </si>
  <si>
    <t>16/BPD-MID/VIII/2014</t>
  </si>
  <si>
    <t>PENINGKATAN KAPASITAS JALAN USAHA TANI</t>
  </si>
  <si>
    <t>KEL. KUALA PEMBUANG II (SEGINTUNG)</t>
  </si>
  <si>
    <t>100/58/SKT-DTL/SH/XI/2014</t>
  </si>
  <si>
    <t>PEMBUATAN JALAN USAHA TANI (tidak ada no surat)</t>
  </si>
  <si>
    <t>DESA PEMATANG LIMAU</t>
  </si>
  <si>
    <t>DESA MEKAR INDAH JALUR 1</t>
  </si>
  <si>
    <t>DESA MEKAR INDAH JALUR 7</t>
  </si>
  <si>
    <t>15/BPD-MID/VIII/2014</t>
  </si>
  <si>
    <t>DESA CEMPAKA BARU</t>
  </si>
  <si>
    <t>PEMBUATAN JALAN USAHA TANI</t>
  </si>
  <si>
    <t>DESA KARTIKA BHAKTI</t>
  </si>
  <si>
    <t>DESA TUMBANG LAKU</t>
  </si>
  <si>
    <t>DESA GANTUNG PENGAYUH</t>
  </si>
  <si>
    <t>PEMBUATAN JALAN USAHA TANI ( Nomor Surat tidak ada karena pemberi hibah dari petani langsung An. SAIDMINTO tanggal 7 juli 2014</t>
  </si>
  <si>
    <t>DESA TUMBANG GUGUP</t>
  </si>
  <si>
    <t>DESA TUMBANG LANGKAI</t>
  </si>
  <si>
    <t>DESA ASAM BARU</t>
  </si>
  <si>
    <t>DESA PEMATANG PANJANG</t>
  </si>
  <si>
    <t>...../II PPJ/XI/2014</t>
  </si>
  <si>
    <t>593.31/38/SKHT-BHJ/2014</t>
  </si>
  <si>
    <t>REHABILITASI JALAN USAHA TANI (P: 2500meter L: 10 meter)</t>
  </si>
  <si>
    <t>DESA BANGKAL</t>
  </si>
  <si>
    <t>DESA TUMBANG MANJUL</t>
  </si>
  <si>
    <t>Tanah Untuk Bangunan Air Irigasi</t>
  </si>
  <si>
    <t>01.01.03.08.001</t>
  </si>
  <si>
    <t>DESA TANJUNG RANGAS 1</t>
  </si>
  <si>
    <t>PEMBUATAN IRIGASI AIR TANAH DANGKAL (tidak ada no surat)</t>
  </si>
  <si>
    <t xml:space="preserve"> 593.31/38/SKHT-BHJ/2014</t>
  </si>
  <si>
    <t>PEMBUATAN IRIGASI AIR TANAH DANGKAL</t>
  </si>
  <si>
    <t>DESA MEKAR INDAH (GAPOKTAN MEKAR INDAH)</t>
  </si>
  <si>
    <t>PEMBUATAN DAM PARIT (tidak ada no surat)</t>
  </si>
  <si>
    <t>PEMBUATAN IRIGASI AIR TANAH ( Nomor Suarat tidak ada karena yang memberi hibah dari petani langsung An. SUPRIYADI tanggal 18 Juli 2014</t>
  </si>
  <si>
    <t>DESA MEKAR INDAH</t>
  </si>
  <si>
    <t>no. 14/BPD/41D/VIII/2014</t>
  </si>
  <si>
    <t>PEMBUATAN DAM PARIT</t>
  </si>
  <si>
    <t>DESA HALIMAUNG JAYA (GAPOKTAN HALIMAUNG JAYA)</t>
  </si>
  <si>
    <t>593.31/002/SKHT-HJY/2014</t>
  </si>
  <si>
    <t>Desa Mekar indah jalur 5</t>
  </si>
  <si>
    <t>196/MID/SHT/VIII/2014</t>
  </si>
  <si>
    <t>Pembuatan Irigasi Air Tanah Dangkal</t>
  </si>
  <si>
    <t>Desa Mekar indah jalur 7</t>
  </si>
  <si>
    <t>195/MID/SHT/VIII/2014</t>
  </si>
  <si>
    <t>lapangan lainnya lainnya (dst)</t>
  </si>
  <si>
    <t>01.01.03.19.001</t>
  </si>
  <si>
    <t>Desa Kartika Bhakti</t>
  </si>
  <si>
    <t>Pembibitan sapi potong</t>
  </si>
  <si>
    <t>Jl. Cilik Riwut (Pematang Buluh) Kuala Pembuang</t>
  </si>
  <si>
    <t>15.11.05.01.2.00030</t>
  </si>
  <si>
    <t>Work Shop</t>
  </si>
  <si>
    <t>Tanah Work Shop (Sertifikat)</t>
  </si>
  <si>
    <t>DINAS LINGKUNGAN HIDUP DAN KEHUTANAN</t>
  </si>
  <si>
    <t>Jln. Mahang Kecamatan Seruyan Hilir Desa Kuala Pembuang I</t>
  </si>
  <si>
    <t>Pembibitan</t>
  </si>
  <si>
    <t>Tanah Kebun Pembibitan Kehutanan dengan Surat Pernyataan Kepala Dinas Kehutanan dan Perkebunan Nomor : 522.0/230/800/I/2006 Tanggal 16 Januari 2006 asal usul sesuai surat pernyataan tanah tersebut merupakan tanah negara yang dikuasai sejak tahun 1981</t>
  </si>
  <si>
    <t>Tanah Bangunan Tempat Kerja Lainnya (dst)</t>
  </si>
  <si>
    <t>01.01.01.04.026</t>
  </si>
  <si>
    <t>Jl. Gajah Mada, Kuala Pembuang</t>
  </si>
  <si>
    <t>15.11.05.02.4.00052</t>
  </si>
  <si>
    <t>Gudang Kebersihan</t>
  </si>
  <si>
    <t>Tanah Kosong untuk Pembangunan Gudang Kebersihan Sertifikat)</t>
  </si>
  <si>
    <t>Tanah Lapangan Penimbunan Pembuangan Sampah</t>
  </si>
  <si>
    <t>01.01.03.03.003</t>
  </si>
  <si>
    <t>Jl. Kuala Pembuang - Sampit (Pematang Panjang)</t>
  </si>
  <si>
    <t>230.500.42.2009</t>
  </si>
  <si>
    <t>Tempat Pembuangan Akhir (TPA)</t>
  </si>
  <si>
    <t>Tanah Untuk TPA (Surat Keterangan/Proses Sertifikasi)</t>
  </si>
  <si>
    <t>Tanah Untuk Bangunan Instalasi Pengolahan Limbah</t>
  </si>
  <si>
    <t>01.01.03.09.007</t>
  </si>
  <si>
    <t>Jln. Kuala Pembuang - Sampit (Lokasi Dekat TPA)  PEMATANG PANJANG</t>
  </si>
  <si>
    <t>GEDUNG SAMPAH</t>
  </si>
  <si>
    <t>PEMBANGUNAN GEDUNG SAMPAH dengan Surat Pernyataan Hibah Nomor : 492/YPP.NZ/TU/IV/2009 Tanggal 6 April 2009</t>
  </si>
  <si>
    <t>Jl. Rantau Pulut Rt.01 Kecamatan Seruyan Tengah</t>
  </si>
  <si>
    <t>593.21/44/Pem</t>
  </si>
  <si>
    <t>Bangunan Kantor UPTD Dukcapil Kec. Seruyan Tengah</t>
  </si>
  <si>
    <t>Surat Hibah Tanah</t>
  </si>
  <si>
    <t>Jl. Padat Karya Desa Telaga Pulang</t>
  </si>
  <si>
    <t>519.2/94/EK/2008</t>
  </si>
  <si>
    <t>Bangunan Kantor UPTD Dukcapil Kec. Danau Sembuluh</t>
  </si>
  <si>
    <t>Jl. Manjul Raya No.01 RT.07 /Rw.03 Tumbang Manjul</t>
  </si>
  <si>
    <t>594.1/08/SKT/III/2013</t>
  </si>
  <si>
    <t>Bangunan Kantor UPTD Kec. Seruyan Hulu</t>
  </si>
  <si>
    <t>Tanah Persil Lainnya</t>
  </si>
  <si>
    <t>01.01.01.07.001</t>
  </si>
  <si>
    <t>Jl. Akhmad Yani Kuala Pembuang I Kecamatan Seruyan Hilir</t>
  </si>
  <si>
    <t xml:space="preserve"> 15.05.09.01.4.00018</t>
  </si>
  <si>
    <t>RUMAH BETANG / KANTOR POS</t>
  </si>
  <si>
    <t>HIBAH KOTIM</t>
  </si>
  <si>
    <t>Daerah Sempadan Sumber Air</t>
  </si>
  <si>
    <t>01.01.02.01.009</t>
  </si>
  <si>
    <t>JL. EX. PT. INTRADO JAYA KM. 0,5 KELURAHAN RANTAU PULUT</t>
  </si>
  <si>
    <t>15.11.02.16.4.00018</t>
  </si>
  <si>
    <t>KEGIATAN LAMYAMSANG</t>
  </si>
  <si>
    <t>SURAT HIBAH TANAH  LAMYAMSANG</t>
  </si>
  <si>
    <t>Tanah Bangunan Terminal Darat</t>
  </si>
  <si>
    <t>01.01.01.02.007</t>
  </si>
  <si>
    <t>Jalan Pangkalanbun Sampit Km 116 Rungau Raya</t>
  </si>
  <si>
    <t>15.11.05.15.2.00002</t>
  </si>
  <si>
    <t>Bangunan Terminal Asam Baru dan Bangunan Pengujiaa</t>
  </si>
  <si>
    <t>Tanah Terminal Darat  Asam Baru</t>
  </si>
  <si>
    <t>jl. Sukarno Hatta Desa Persil Raya</t>
  </si>
  <si>
    <t>15.11.05.15.2.00001</t>
  </si>
  <si>
    <t>Tanah Terminal dan Dermaga Sei Mitak</t>
  </si>
  <si>
    <t>Tanah terminal sungai mitak dan dermaga  sungai sei mitak</t>
  </si>
  <si>
    <t>15.11.02.16.2.00012</t>
  </si>
  <si>
    <t>Lapangan Olahraga/TERMINAL RANTAU PULUT</t>
  </si>
  <si>
    <t>Tanah Bangunan Terminal Laut</t>
  </si>
  <si>
    <t>01.01.01.02.008</t>
  </si>
  <si>
    <t>Jln. Racing Desa Mojang Baru Kec. Seruyan Hulu</t>
  </si>
  <si>
    <t>Dermaga Desa</t>
  </si>
  <si>
    <t>Surat Pernyataan Hibah a.n IYAR.R (copy)</t>
  </si>
  <si>
    <t>RT.03 Desa Gantung Pengayuh Kec. Seruyan Tengah</t>
  </si>
  <si>
    <t>Dermaga Gantung Pengayuh II</t>
  </si>
  <si>
    <t>Surat Pernyataan Hibah Asli a.n SUPIANSYAH</t>
  </si>
  <si>
    <t>Jln. Aren Desa Bahaur Kec. Hanau</t>
  </si>
  <si>
    <t>Dermaga Desa Bahaur</t>
  </si>
  <si>
    <t>Surat Keterangan Penyerahan Tanah a.n MATSUM(Fotocopy)</t>
  </si>
  <si>
    <t>Desa Bukit Buluh</t>
  </si>
  <si>
    <t>Dermaga Bukit Buluh</t>
  </si>
  <si>
    <t>Surat Pernyataan Hibah a.n H.JAHRI.M TAHER (Alm) (copy)</t>
  </si>
  <si>
    <t>Jln. Seruyan RT.01 Desa Sebabi Kec. Batu Ampar</t>
  </si>
  <si>
    <t>Surat Pernyataan Hibah a.n HATNI ANCAH (copy)</t>
  </si>
  <si>
    <t>Jln. Poros Desa Durian Tunggal RT 01 Kec. Seruyan Tengah</t>
  </si>
  <si>
    <t>Dermaga Desa Durian Tunggal</t>
  </si>
  <si>
    <t>Surat Hibah Tanah Asli a.n SURIN (copy)</t>
  </si>
  <si>
    <t>Desa Penyompa Kec. Seruyan Tengah</t>
  </si>
  <si>
    <t>Dermaga Desa Penyompa</t>
  </si>
  <si>
    <t>Surat Perjanjian Hibah a.n MUIN SENDUI (copy)</t>
  </si>
  <si>
    <t>Desa Derawa Kec. Seruyan Tengah</t>
  </si>
  <si>
    <t>Dermaga Desa Derawa</t>
  </si>
  <si>
    <t>Surat Pernyataan Hibah Asli a.n SILIN</t>
  </si>
  <si>
    <t>Jln . Pratama RT. 03 RW 01 Desa Asam Baru Kec. Danau Seluluk</t>
  </si>
  <si>
    <t>Dermaga Desa Asam Baru</t>
  </si>
  <si>
    <t>Surat Pernyataan Tanah Asli a.n ARBALIN</t>
  </si>
  <si>
    <t>Jln. Putri Junjung Buih RT/RW. 01/01 Desa Tangga Batu Kec. Seruyan Tengah</t>
  </si>
  <si>
    <t>Dermaga Tambatan Perahu</t>
  </si>
  <si>
    <t>Surat Pernyataan Hibah a.n MARDIANSYAH S.Pd (Asli)</t>
  </si>
  <si>
    <t>Desa Sandul Kec. Batu Ampar</t>
  </si>
  <si>
    <t>Surat Pernyataan Hibah a.n IHAK (copy)</t>
  </si>
  <si>
    <t>Desa Marandang Kec. Seruyan Hulu</t>
  </si>
  <si>
    <t>Dermaga Desa Marandang</t>
  </si>
  <si>
    <t>Surat Pernyataan Hibah a.n I L A ABEN (copy)</t>
  </si>
  <si>
    <t>Desa Sungai Perlu Kec. Seruyan Hilir</t>
  </si>
  <si>
    <t>Dermaga Sungai Perlu</t>
  </si>
  <si>
    <t>Surat Pernyataan Hibah a.n RAMLI (copy)</t>
  </si>
  <si>
    <t>RT.002 RW.001 Desa Sukamandang Kec. Seruyan Tengah</t>
  </si>
  <si>
    <t>Dermaga Suka Mandang II</t>
  </si>
  <si>
    <t>Surat Pernyataan Hibah Asli a.n SINGKONG</t>
  </si>
  <si>
    <t>Surat Pernyataan a.n MARSEN (copy)</t>
  </si>
  <si>
    <t>Jln. Padat Karya Desa Tanjung Paring Kec. Danau Seluluk</t>
  </si>
  <si>
    <t>15.11.08.03.4.00001</t>
  </si>
  <si>
    <t>Surat Pernyataan Hibah a.n SYAHRANI (asli)</t>
  </si>
  <si>
    <t>Jln. Sayuman Desa Telaga Pulang Kec. Danau Sembuluh</t>
  </si>
  <si>
    <t>15.11.04.01.4.00006</t>
  </si>
  <si>
    <t>Dermaga Desa Telaga Pulang</t>
  </si>
  <si>
    <t>Surat Penyerahan Tanah (Fotocopy)</t>
  </si>
  <si>
    <t>Jln. Seruyan RT.005 RW.001 Desa Pembuang Hulu I Kec. Hanau</t>
  </si>
  <si>
    <t>Dermaga Hanau</t>
  </si>
  <si>
    <t>Surat Pernyataan Hibah a.n SUPIANSYAH (asli)</t>
  </si>
  <si>
    <t>Tanah Bangunan Pos Jaga/Menara Jaga</t>
  </si>
  <si>
    <t>01.01.01.04.018</t>
  </si>
  <si>
    <t>Jln. GM. Firdaus RT 01 RW 01 Desa Telaga Pulang Kec. Danau Sembuluh</t>
  </si>
  <si>
    <t>Pos Jaga Dihubkominfo</t>
  </si>
  <si>
    <t>Surat Keterangan Hibah Tanah Asli a.n JOYO</t>
  </si>
  <si>
    <t>Jl. Ais Nasution Kuala Pembuang</t>
  </si>
  <si>
    <t>15.11.05.01.1.00035</t>
  </si>
  <si>
    <t>Dermaga Kuala Pembuang dan Pos KP3</t>
  </si>
  <si>
    <t>Tanah Lapangan Terbang Komersial</t>
  </si>
  <si>
    <t>01.01.03.06.002</t>
  </si>
  <si>
    <t>Tjilik riwut ( Bandara)</t>
  </si>
  <si>
    <t>Tanah Bandara</t>
  </si>
  <si>
    <t>Tanah Bandara Kuala Pembuang (SPPT No:593.21/1052/SPPT-SHR/XII/2015)</t>
  </si>
  <si>
    <t>Tanah Untuk Bangunan Jaringan Komunikasi</t>
  </si>
  <si>
    <t>01.01.03.10.002</t>
  </si>
  <si>
    <t>Desa Penyumpa</t>
  </si>
  <si>
    <t>593.21/166/SPPT-KST/PEM/IX/2018</t>
  </si>
  <si>
    <t>Hibah Tanah Desa Penyumpa untuk pembangunan Tower, SPPT Nomor SPPT-KST/PEM/IX/2018, Tanggal 24 September 2018</t>
  </si>
  <si>
    <t>Jl, Binaan, RT 02 Tusuk Belawan</t>
  </si>
  <si>
    <t>Hibah Tanah dari Desa Tusuk Belawan Kec. Seruyan Hulu untuk Pembangunan Tower, SPPT Nomor : 593.21/02/SPPT-TB-SH/IV/2019, Tanggal  02 April 2019</t>
  </si>
  <si>
    <t>Desa Pangke</t>
  </si>
  <si>
    <t>15.11.02.11.4.00004</t>
  </si>
  <si>
    <t>Hibah Tanah dari Morisno Desa Pangke untuk Pembangunan Tower, SPPT Nomor : 593.21/008/DT-ST/SPPT/V/2019</t>
  </si>
  <si>
    <t>Jl. Kapten Markasan RT 02 Desa Tumbang Laku</t>
  </si>
  <si>
    <t>15.11.01.17.4.00001</t>
  </si>
  <si>
    <t>Jalan Negara Desa Mojang Baru</t>
  </si>
  <si>
    <t>Hibah Tanah dari SUPRIADI Desa Mojang Baru untuk pembangunan Tower, SPPT Nomor : 593.21/433/SPPT-MB/VIII/2020</t>
  </si>
  <si>
    <t>Desa Tumbang Kasai, RT 01</t>
  </si>
  <si>
    <t>Hibah Tanah dari ABANG SYAMSUDIN Desa Tumbang Kasai Kec. Seruyan Hulu untuk pembangunan Tower, SPPT Nomor : 593.21/25/SPPT-SH/V/2019 Tanggal 05 Mei 2019</t>
  </si>
  <si>
    <t>Jln. Jinu Raya</t>
  </si>
  <si>
    <t>Hibah Tanah dari HARIYONO Desa Tumbang Kalam untuk pembangunan Tower, SPPT Nomor : 593.21/SPPT/PMDTK-SH/V/2019 Tanggal 06 Mei 2019</t>
  </si>
  <si>
    <t>Jln. Bendang Tarung Tarung RT 01 RW 01 Tumbang Magin</t>
  </si>
  <si>
    <t>SPPT Nomor : 593.21/09/SPPT-TM/1/2019</t>
  </si>
  <si>
    <t>Hibah Tanah dari HENDRIK, S.Pd Desa Tumbang Magin untuk Pembangunan Tower</t>
  </si>
  <si>
    <t>Jln. Biduran S. RT 01 Tumbang Taberau</t>
  </si>
  <si>
    <t>Hibah Tanah dari MARDIUS J. Desa Tumbang Taberau Kec. Seruyan Hulu untuk pembangunan Tower, SPPT Nomor : 593.21/04/SPPT-TTB-SH/V/2019 Tanggal 03 Mei 2019</t>
  </si>
  <si>
    <t>Jln. Landai Tumbang Gugup</t>
  </si>
  <si>
    <t>Hibah Tanah dari DOSEN, SH Desa Tumbang Gugup Kec. Suling Tambun untuk pemabangunan Tower</t>
  </si>
  <si>
    <t>Jln. Kawoi Gamat Rantau Betung</t>
  </si>
  <si>
    <t>Hibah Tanah dari SANDINTO Desa Rantau Betung untuk pembangunan Tower, SPPT Nomor : 593.21/07/SPPT-RB/I/2019 Tanggal 28 Januari 2019</t>
  </si>
  <si>
    <t>Jln. Batu Lampang Tumbang Langkai</t>
  </si>
  <si>
    <t>Hibah Tanah dari WILIYANSON Desa Tumbang Langkai untuk Pembangunan Tower, SPPT Nomor : 593.83/04/SPPPT-TL/I/2019 Tanggal 29 Januari 2019</t>
  </si>
  <si>
    <t>Desa Tanjung Rangas Kecamatan Seruyan Hilir</t>
  </si>
  <si>
    <t>593.83/006/SPPPT-TJR-SH/XII/2020</t>
  </si>
  <si>
    <t>Pembangunan Tower</t>
  </si>
  <si>
    <t>Tanah Pembanguan Tower</t>
  </si>
  <si>
    <t>JL. Desa Tumbang Salau RT. 02 Desa Tumbang Salau Kecamatan Suling Tambun</t>
  </si>
  <si>
    <t>593.21/01/SPPPT/TSI-ST/II/2021</t>
  </si>
  <si>
    <t>Pembanguan Tower</t>
  </si>
  <si>
    <t>UPT. Tanggul Harapan ( Unit 5 ) Desa Pematang Limau Kecamatan Seruyan Hilir</t>
  </si>
  <si>
    <t>593.831/03/SPPPT-DPL/I/2021</t>
  </si>
  <si>
    <t>Hibah Tanah Tempat Pembangunan Tower</t>
  </si>
  <si>
    <t>Tanah Bangunan Pasar</t>
  </si>
  <si>
    <t>01.01.01.02.001</t>
  </si>
  <si>
    <t>Jln. Penghubung Kel. Rantau Pulut Desa Durian Tunggal Kec. Seruyan Tengah</t>
  </si>
  <si>
    <t>622.3/27/Bang</t>
  </si>
  <si>
    <t>PASAR</t>
  </si>
  <si>
    <t>SKPT</t>
  </si>
  <si>
    <t>DINAS KOPERASI, USAHA KECIL DAN MENENGAH, PERINDUSTRIAN DAN PERDAGANGAN</t>
  </si>
  <si>
    <t>Jl. Batu Belitung Kec. Seruyan Tengah</t>
  </si>
  <si>
    <t>15.11.02.16.2.00006</t>
  </si>
  <si>
    <t>Gedung Pasar</t>
  </si>
  <si>
    <t>Sertifikat Asli</t>
  </si>
  <si>
    <t>15.11.05.03.4.00002</t>
  </si>
  <si>
    <t>Jln. AIS. Nasution Kuala Pembuang Kec. Seruyan Hilir</t>
  </si>
  <si>
    <t>15.11.05.02.1.00049  &amp; 15.11.05.02.4.00058</t>
  </si>
  <si>
    <t>Nomor : 15.11.05.02.1.00049 Tanggal : 10/06/2007 dan Nomor : 15.11.05.02.4.00058 Tanggal : 20/01/2022</t>
  </si>
  <si>
    <t>Jl. Jenderal Sudirman Km. 80 Desa Selunuk Kec. Seruyan Raya Kab. Seruyan</t>
  </si>
  <si>
    <t>06/X/SLK-2008</t>
  </si>
  <si>
    <t>Jl. PLN Tumbang Manjul Kec. Seruyan Hulu</t>
  </si>
  <si>
    <t>Surat Hibah Tanah Asli</t>
  </si>
  <si>
    <t>Desa Pematang Limau</t>
  </si>
  <si>
    <t>15.11.05.05.4.00002</t>
  </si>
  <si>
    <t>Pasar Desa Pematang Limau</t>
  </si>
  <si>
    <t>Jl. Desa RT.1 Desa Tumbang Kasai Kec. Seruyan Hulu</t>
  </si>
  <si>
    <t>'01/SPT/Pem/2009</t>
  </si>
  <si>
    <t>Gedung Basari Rotan</t>
  </si>
  <si>
    <t>Surat Keterangan Penyerahan Tanah Asli</t>
  </si>
  <si>
    <t>Jl. Pejuang Desa Tumbang Kubang RT.1 Kec. Seruyan Hulu</t>
  </si>
  <si>
    <t>'004/SPPT/TK/II/2009</t>
  </si>
  <si>
    <t>Surat Pernyataan Penguasan Asli</t>
  </si>
  <si>
    <t>Jln. Desa Derangga Kec. Hanau Kab. Seruyan</t>
  </si>
  <si>
    <t>NIB. 15.11.000001960.0</t>
  </si>
  <si>
    <t>Pasar Desa (Milik Pemkab)</t>
  </si>
  <si>
    <t>Jl. Jend. Sudirman Desa Derangga Kec. Hanau</t>
  </si>
  <si>
    <t>'593,21/206/Pem/2010</t>
  </si>
  <si>
    <t>Berita Acara Penyerahan Tanah Asli</t>
  </si>
  <si>
    <t>JL. SERUYAN (bantaran kali Seruyan) Desa Pembuang Hulu I Kec. Hanau</t>
  </si>
  <si>
    <t>15.11.03.05.4.00034</t>
  </si>
  <si>
    <t>PASAR SAIK</t>
  </si>
  <si>
    <t>Desa Batu Agung RT.07 RW.01 Kec. Seruyan Tengah</t>
  </si>
  <si>
    <t>02/Pem/Des/BA/II/2011</t>
  </si>
  <si>
    <t>Desa Pematang Panjang</t>
  </si>
  <si>
    <t>15.11.05.03.4.00003</t>
  </si>
  <si>
    <t>SERTIFIKAT</t>
  </si>
  <si>
    <t>Dusun Lanpasa RT. 1 Desa Sembuluh 1 Kec. danau Sembuluh</t>
  </si>
  <si>
    <t>Surat Pernyataan Kepala Desa Sembuluh I a.n Wahyudi, SE</t>
  </si>
  <si>
    <t>Desa Sembuluh 1 Kec. Danau Sembuluh</t>
  </si>
  <si>
    <t>009/SPH/Pj.SBL-I/X/2012</t>
  </si>
  <si>
    <t>Surat Pernyataan Hibah Tanah Asli</t>
  </si>
  <si>
    <t>JALAN BAKRI ENTONG DESA. PEMBUANG HULU I KEC. HANAU</t>
  </si>
  <si>
    <t>593.21/806/Pem</t>
  </si>
  <si>
    <t>PEMBANGUNAN PASAR</t>
  </si>
  <si>
    <t>PASAR DESA PEMBUANG HULU</t>
  </si>
  <si>
    <t>Jl. Desa wanatirta, Desa Wanatirta Kecamatan Batu Ampar</t>
  </si>
  <si>
    <t>15.11.09.03.4.00009</t>
  </si>
  <si>
    <t>Bangunan Pasar Desa (Disperindagkop)</t>
  </si>
  <si>
    <t>HIBAH</t>
  </si>
  <si>
    <t>Tanah Bangunan Pasar Desa (Nilai NJOP)</t>
  </si>
  <si>
    <t>Desa Lanpasa, Kecamatan Seruyan Raya</t>
  </si>
  <si>
    <t>28/SHST/DS/LPS/VI/2009</t>
  </si>
  <si>
    <t>Bangunan Pasar</t>
  </si>
  <si>
    <t>Tanah Bangunan Pasar di Desa Lanpasa Kecamatan Seruyan Raya (berdasarkan SK. Bupati Nomor : 188/45/252/2022)</t>
  </si>
  <si>
    <t>Jln. Seruyan Desa Pembuang Hulu I Kecamatan Hanau</t>
  </si>
  <si>
    <t xml:space="preserve"> 15.11.03.05.4.00038</t>
  </si>
  <si>
    <t>Bangunan Pasar Saik</t>
  </si>
  <si>
    <t>Bangunan Pasar Saik di Desa Pembuang Hulu (berdasarkan SK. Bupati  Nomor : 188.45/252/2022)</t>
  </si>
  <si>
    <t>Jln. Karya Mufakat Rt. 03 Desa Terawan Kecamatan Seruyan Raya</t>
  </si>
  <si>
    <t>15.11.07.02.4.00004</t>
  </si>
  <si>
    <t>Bangunan Pasar di Desa Terawan (berdasarkan SK. Bupati Nomor : 188.45/252/2022)</t>
  </si>
  <si>
    <t>Jln. Demang Djungan Rt. 02 Desa Tumbang Langkai Kecamatan Suling Tambun</t>
  </si>
  <si>
    <t>593.21/04/SKT/TL-ST/XI/2013</t>
  </si>
  <si>
    <t>Bangunan Pasar Desa Tumbang Langkai Kecamatan Suling Tambun (berdasarkan SK Bupati Nomor : 88.45/334/2022)</t>
  </si>
  <si>
    <t>Jl. Ais Nasution RT.01/RW.00 Kel. Kuala Pembuang II Kec.Seruyan Hilir</t>
  </si>
  <si>
    <t>NIB. 15.11.000001963.0</t>
  </si>
  <si>
    <t>Tanah Bangunan Pasar Tengah</t>
  </si>
  <si>
    <t>Tanah Bangunan Pasar Tengah alamat Jl. Ais Nasution RT.01/RW.00 Kel. Kuala Pembuang II Kec.Seruyan Hilir</t>
  </si>
  <si>
    <t>NIB. 15.11.000001964.0</t>
  </si>
  <si>
    <t>Tanah Bangunan Bangunan Pasar (PPS)</t>
  </si>
  <si>
    <t>Tanah Bangunan Pasar  Pusat Pembelanjaan Seruyan (PPS) Jl. Ais Nasution RT.01/RW.00 Kel. Kuala Pembuang II Kec.Seruyan Hilir</t>
  </si>
  <si>
    <t>Jl. Ais Nasution Desa Sungai Undang</t>
  </si>
  <si>
    <t>Senta IKM</t>
  </si>
  <si>
    <t>Tanah Hibah Sentra IKM Pengolahan Ikan dan Pakan Ikan</t>
  </si>
  <si>
    <t>Tanah Bangunan Perdagangan lainnya (dst)</t>
  </si>
  <si>
    <t>01.01.01.02.015</t>
  </si>
  <si>
    <t>DESA TANJUNG HARA</t>
  </si>
  <si>
    <t>15.11.08.02.4.00047</t>
  </si>
  <si>
    <t>GUDANG SEMBAKO</t>
  </si>
  <si>
    <t>BANGUNAN GUDANG PENYIMPAN SEMBAKO DESA TANJUNG HARA</t>
  </si>
  <si>
    <t>Tanah Bangunan Industri Alat RT</t>
  </si>
  <si>
    <t>01.01.01.03.003</t>
  </si>
  <si>
    <t>Desa Rantau Pulut Kecamatan Seruyan Tengah</t>
  </si>
  <si>
    <t>15.11.02.16.4.00020 &amp; 15.11.02.16.4.00019</t>
  </si>
  <si>
    <t>UPT ROTAN</t>
  </si>
  <si>
    <t>Nomor : 15.11.02.16.4.00020Tanggal : 19/05/2023 dan
Nomor : 15.11.02.16.4.00019 Tanggal : 19/05/2023</t>
  </si>
  <si>
    <t>Tanah Bangunan Industri lainnya (dst)</t>
  </si>
  <si>
    <t>01.01.01.03.024</t>
  </si>
  <si>
    <t>Desa Bangun Harja Kec. Seruyan Hilir Timur Jl. Simpang Telaga Pulang</t>
  </si>
  <si>
    <t>15-11- 06-05-4-00004</t>
  </si>
  <si>
    <t>Tanah Bangunan Sentra IKM</t>
  </si>
  <si>
    <t>Tanah Bangunan Industri Lainnya Sentra IKM Desa Bangun Harja Kec. Seruyan Hilir Timur Jl. Simpang Telaga Pulang Desa Bangun Harja RT.013/RW.04 Kec. Seruyan Hilir Timur No Sertifikat : 15-11- 06-05-4-00004 Tanggal, 19 Agustus 2020</t>
  </si>
  <si>
    <t>Jl. MT. Haryono Kuala Pembuang I Kecamatan Seruyan Hilir</t>
  </si>
  <si>
    <t>15.05.09.01.4.00003</t>
  </si>
  <si>
    <t>DINAS PENANAMAN MODAL DAN PELAYANAN TERPADU SATU P</t>
  </si>
  <si>
    <t>Jl. Akhmad Yani No. 29 Kuala Pembuang I Kecamatan Seruyan Hilir</t>
  </si>
  <si>
    <t>15.05.09.01.4.00001</t>
  </si>
  <si>
    <t>KANTOR KPPT</t>
  </si>
  <si>
    <t>jl. imam bonjol no 55 kuala pembuang</t>
  </si>
  <si>
    <t xml:space="preserve"> 15.08.05.02.4.00423</t>
  </si>
  <si>
    <t>kantor Dishutbun</t>
  </si>
  <si>
    <t>Tanah Knator dan Rumah Dinas</t>
  </si>
  <si>
    <t>Jln. Imam Bonjol No. 55 Kuala Pembuang</t>
  </si>
  <si>
    <t>15.08.05.02.4.00423</t>
  </si>
  <si>
    <t>Kantor Dishutbun</t>
  </si>
  <si>
    <t>15.11.05.02.2.00050</t>
  </si>
  <si>
    <t>Tanah Lapangan Taman lainnya</t>
  </si>
  <si>
    <t>01.01.03.13.003</t>
  </si>
  <si>
    <t>Sei. Bakau Seruyan Hilir Timur</t>
  </si>
  <si>
    <t>15.11.05.04.2.00001</t>
  </si>
  <si>
    <t>Tempat Wisata</t>
  </si>
  <si>
    <t>15.11.05.04.2.00003</t>
  </si>
  <si>
    <t>Sertifikat dalam Proses</t>
  </si>
  <si>
    <t>Danau Seluluk,Ds. Derangga, Kec.Hanau</t>
  </si>
  <si>
    <t>593.82/357/PEM/DRG/XI/2013</t>
  </si>
  <si>
    <t>Pembangunan Panggung Hiburan</t>
  </si>
  <si>
    <t>BA Penyerahan Tanah Hibah</t>
  </si>
  <si>
    <t>Rantau Pulut Kec. Seruyan Tengah</t>
  </si>
  <si>
    <t xml:space="preserve"> 15.11.02.16.4.00017</t>
  </si>
  <si>
    <t>Pembangunan Tiang Pantar</t>
  </si>
  <si>
    <t>Tanah Pembangunan Altar Tiang Pantar / Surat Perjanjian Hibah</t>
  </si>
  <si>
    <t>Tanah Gang Inpres Kuala Pembuang II</t>
  </si>
  <si>
    <t>593.2/983/SP-KP-II/2005</t>
  </si>
  <si>
    <t>Pembangunan Rumah Dinas</t>
  </si>
  <si>
    <t>Berdasarkan Surat Keterangan Penyerahan Tanah</t>
  </si>
  <si>
    <t>Jalan Teluk Dalam RT 05 RW 02 Desa Pembuang Hulu II Kecamatan Hanau Kabupaten Seruyan</t>
  </si>
  <si>
    <t>593.21/62/Pem</t>
  </si>
  <si>
    <t>Pos Penyuluh Perikanan</t>
  </si>
  <si>
    <t>Berdasarkan Surat Keterangan Penyerahan Hibah Tanah</t>
  </si>
  <si>
    <t>Muara Kalua Desa Pematang Limau</t>
  </si>
  <si>
    <t>593.21/57-SKPT/2003</t>
  </si>
  <si>
    <t>Bangunan Stasiun Ikan Belida (Kalua)</t>
  </si>
  <si>
    <t>Tanah Dempond Tambak (Kuala Pembuang II)</t>
  </si>
  <si>
    <t>593/159/SP-SKPT/2003</t>
  </si>
  <si>
    <t>Pembangunan Dempond Tambak</t>
  </si>
  <si>
    <t>Surat Keterangan Penyerahan Tanah</t>
  </si>
  <si>
    <t>Jalan Darwan Ali  Kecamatan Danau Sembuluh</t>
  </si>
  <si>
    <t>Bangunan Pabrik Es</t>
  </si>
  <si>
    <t>Surat Keterangan Pembebasan Tanah</t>
  </si>
  <si>
    <t>Jalan Swadaya Desa Telaga Pulang Kecamatan Danau Sembuluh (Titik Koordinat X642204 Y9682875)</t>
  </si>
  <si>
    <t>593.2/175/EK/VII/2015</t>
  </si>
  <si>
    <t>Balai Benih Ikan (BBI)</t>
  </si>
  <si>
    <t>Jalan Seribu Cemara RT 002 RW 002 Desa Sungai Bakau Kecamatan Seruyan Hilir Timur</t>
  </si>
  <si>
    <t>593.83/07-SKHT/2011</t>
  </si>
  <si>
    <t>Pos Pemantau Perikanan</t>
  </si>
  <si>
    <t>Berdasarkan Surat Keterangan Hibah Tanah</t>
  </si>
  <si>
    <t>Jalan Jenderal Sudirman  (Kompleks Tambak Rakyat Jalur VII) Desa Sungai Undang Kecamatan Seruyan Hilir</t>
  </si>
  <si>
    <t>593.83/08.a/SKPT-SHR/2013</t>
  </si>
  <si>
    <t>Sarana Penanganan Hasil Tambak</t>
  </si>
  <si>
    <t>Jl. KI Hajar Dewantara Kuala Pembuang II Kec. Seruyan Hilir</t>
  </si>
  <si>
    <t>15.11.000001724.0</t>
  </si>
  <si>
    <t>RUMAH DINAS PERIKANAN</t>
  </si>
  <si>
    <t>Jl. DI Panjaitan RT.001/ RW.00 Kuala Pembuang Dua Seruyan Hilir</t>
  </si>
  <si>
    <t>Perumah Samsat</t>
  </si>
  <si>
    <t>Tanah Perumahan Samsat Jl. DI Panjaitan RT.001/ RW.00 Kuala Pembuang Dua Seruyan Hilir</t>
  </si>
  <si>
    <t>Jl. Akhmad Yani Kuala Pembuang II</t>
  </si>
  <si>
    <t>Komplek Islamic center</t>
  </si>
  <si>
    <t>Mutasi  Keluar ( Tanah)</t>
  </si>
  <si>
    <t>Tanah Bangunan Rumah LP</t>
  </si>
  <si>
    <t>01.01.01.01.008</t>
  </si>
  <si>
    <t>Desa Mekar Indah RT.012 RW.03 Kecamatan seruyan Hilir Timur</t>
  </si>
  <si>
    <t>15.11.06.06.4.00056</t>
  </si>
  <si>
    <t>Lembaga Kemasyarakatan (LP)</t>
  </si>
  <si>
    <t>Tanah Lembaga Kemasyarakatan (LP) Hibah dari Pemerintah Desa Mekar Indah (SPPT Nomor : 593.21/138/SPPT-MID/IV/2021 Tanggal 5 April 2021</t>
  </si>
  <si>
    <t>Daerah Jl. M.Arsyad RT.001 RW.001 Desa Pembuang Hulu I</t>
  </si>
  <si>
    <t>593.21/122/SPPPT-PH 1/X/2022</t>
  </si>
  <si>
    <t>Bangunan LP</t>
  </si>
  <si>
    <t>S.K. Bupati Seruyan Nomor 188.45/334 /2022</t>
  </si>
  <si>
    <t>Pembuang Hulu</t>
  </si>
  <si>
    <t>1511.000001151.0</t>
  </si>
  <si>
    <t>Pos Cukai dan Rumah Dinas</t>
  </si>
  <si>
    <t>Pasar Depan RSUD</t>
  </si>
  <si>
    <t>Kantor,Rumah Dinas,Pos</t>
  </si>
  <si>
    <t>Tanah Kantor, Rumah Dinas, Pos</t>
  </si>
  <si>
    <t>1511.000001139.0</t>
  </si>
  <si>
    <t>Pos Cukai dan Kantor</t>
  </si>
  <si>
    <t>Pos Cukai dan Kantor( Retribusi)</t>
  </si>
  <si>
    <t>Jln. Ais Nasution Kec. Seruyan Hilir Desa Kuala Pembuang I</t>
  </si>
  <si>
    <t>Tanah Kantor RPH Sei Sigintung dan Rumah Dinas</t>
  </si>
  <si>
    <t>Kec. Danau Sembuluh Desa Telaga Pulang</t>
  </si>
  <si>
    <t>15.08.04.01.2.00005</t>
  </si>
  <si>
    <t>Kantor Rumah Dinas</t>
  </si>
  <si>
    <t>Tanah Pos Cukai dan Rumah Dinas</t>
  </si>
  <si>
    <t>Kec. Danau Sembuluh Desa Telang Pulang</t>
  </si>
  <si>
    <t>15.08.04.01.2.00004</t>
  </si>
  <si>
    <t>Tanah Pos Cukai Sei Sembuluh dan Kantor</t>
  </si>
  <si>
    <t>Jln. Abdul Rasyid Kec. Hanau desa Pembuang Hulu II</t>
  </si>
  <si>
    <t>15.11.03.05.2.00005</t>
  </si>
  <si>
    <t>Tanah Kantor SDK/BKPH Ser.Tengah dan Rumah Dinas</t>
  </si>
  <si>
    <t>Jl. Soekarno Hatta Desa Persil Raya</t>
  </si>
  <si>
    <t>15.08.05.01.4.00025</t>
  </si>
  <si>
    <t>PDAM KUALA PEMBUANG</t>
  </si>
  <si>
    <t>Kec. Seruyan Hilir Desa Pematang Limau</t>
  </si>
  <si>
    <t>15.11.05.05.2.00001</t>
  </si>
  <si>
    <t>Pos Cukai</t>
  </si>
  <si>
    <t>Tanah Pos Cukai</t>
  </si>
  <si>
    <t>Jl. Akhmad Yani Desa Sungai Undang</t>
  </si>
  <si>
    <t>BANGUNAN GEDUNG KANTOR</t>
  </si>
  <si>
    <t>Tanah Bangunan Balai Sidang/Pertemuan</t>
  </si>
  <si>
    <t>01.01.01.04.004</t>
  </si>
  <si>
    <t>Kec. Seruyan raya Desa Selonok Jl. Sampit - Pangkalan Bun</t>
  </si>
  <si>
    <t>15.11.04.11.2.00001</t>
  </si>
  <si>
    <t>BALAI DESA SELONOK</t>
  </si>
  <si>
    <t>Jln. DI.Panjaitan Kec.Seruyan Hilir Desa Kuala Pembuang I</t>
  </si>
  <si>
    <t>Rumah PPA dan Tempat Pembibitan</t>
  </si>
  <si>
    <t>Tanah Rumah PPA dan Tempat Pembibitan</t>
  </si>
  <si>
    <t>Jl. Bakri Entong RT 10 RW 2 Pembuang Hulu I</t>
  </si>
  <si>
    <t>1511.000001142.0</t>
  </si>
  <si>
    <t>Bangunan Damkar</t>
  </si>
  <si>
    <t>Bangunan Damkar Jl. Bakri Entong RT 10 RW 2 Pembuang Hulu I</t>
  </si>
  <si>
    <t>15.05.09.01.4.00010</t>
  </si>
  <si>
    <t>Kantor Koramil /Dokter Gigi</t>
  </si>
  <si>
    <t>Jl. AIS. Nasution - Desa Sungai Undang Kuala Pembuang II</t>
  </si>
  <si>
    <t>15.05.09.02.4.00028</t>
  </si>
  <si>
    <t>POS TNI ANGKATAN LAUT BANJARMASIN</t>
  </si>
  <si>
    <t>37</t>
  </si>
  <si>
    <t>Kantor Dishub</t>
  </si>
  <si>
    <t>38</t>
  </si>
  <si>
    <t>39</t>
  </si>
  <si>
    <t>Bundaran Tiga</t>
  </si>
  <si>
    <t>40</t>
  </si>
  <si>
    <t>41</t>
  </si>
  <si>
    <t>42</t>
  </si>
  <si>
    <t>46</t>
  </si>
  <si>
    <t>Tanah Kosong</t>
  </si>
  <si>
    <t>47</t>
  </si>
  <si>
    <t>59</t>
  </si>
  <si>
    <t>63</t>
  </si>
  <si>
    <t>Tanah Lapangan Pemancar TV/Radio/Radar</t>
  </si>
  <si>
    <t>01.01.03.04.001</t>
  </si>
  <si>
    <t>Jl. DI Panjaitan RT.000/RW.00 Kuala Pembuang Dua Seruyan Hilir</t>
  </si>
  <si>
    <t>Pemancar Digital</t>
  </si>
  <si>
    <t>Tanah Pemancar Digital Jl. DI Panjaitan RT.000/RW.00 Kuala Pembuang Dua Seruyan Hilir</t>
  </si>
  <si>
    <t>Tanah Untuk Bangunan Instalasi Listrik</t>
  </si>
  <si>
    <t>01.01.03.09.005</t>
  </si>
  <si>
    <t>15.11.06.02.4.00007</t>
  </si>
  <si>
    <t>Lokasi PLTU Desa Pematang Panjang</t>
  </si>
  <si>
    <t>PLTU Desa Pematang Panjang</t>
  </si>
  <si>
    <t>Tanah Bangunan Rumah Negara Golongan I</t>
  </si>
  <si>
    <t>01.01.01.01.001</t>
  </si>
  <si>
    <t>Jl. Akhmad Yani Kuala Pembuang Kec. Seruyan Hilir</t>
  </si>
  <si>
    <t>24/10/2003</t>
  </si>
  <si>
    <t>593.21/161/SP-SKPT/2003</t>
  </si>
  <si>
    <t>Rumah Jabatan Ketua DPRD</t>
  </si>
  <si>
    <t>Mutasi tanah</t>
  </si>
  <si>
    <t>Jl. Akhmad yani Kuala Pembuang II Kec. Seruyan Hilir</t>
  </si>
  <si>
    <t>08/04/2004</t>
  </si>
  <si>
    <t>593.2/115/SP-SKPT/2004</t>
  </si>
  <si>
    <t>Rujab Bupati dan Wakil Bupati</t>
  </si>
  <si>
    <t>Tanah Bangunan Mess/Wisma/Asrama</t>
  </si>
  <si>
    <t>01.01.01.01.005</t>
  </si>
  <si>
    <t>Jl. A. Yani No.</t>
  </si>
  <si>
    <t>29/01/2008</t>
  </si>
  <si>
    <t>15.11.05.02.1.00051</t>
  </si>
  <si>
    <t>Mess Pemda</t>
  </si>
  <si>
    <t>Jl. MT. HARYONO (Ex.Jl.Musyawarah Kelurahan Kuala Pembuang I)</t>
  </si>
  <si>
    <t>25/06/2007</t>
  </si>
  <si>
    <t>15.11.05.01.2.00026</t>
  </si>
  <si>
    <t>Gedung Serba Guna</t>
  </si>
  <si>
    <t>30/03/1992</t>
  </si>
  <si>
    <t>15.05.09.01.4.00019</t>
  </si>
  <si>
    <t>RUMAH BETANG</t>
  </si>
  <si>
    <t>Jln. Batu Beliung</t>
  </si>
  <si>
    <t>15.11.02.16.2.00008</t>
  </si>
  <si>
    <t>Tanah Rujab</t>
  </si>
  <si>
    <t>Rumah Jabatan Camat Seruyan Tengah</t>
  </si>
  <si>
    <t>Jln. Tadjudin Kusuma</t>
  </si>
  <si>
    <t xml:space="preserve"> 15.11.02.16.2.00009</t>
  </si>
  <si>
    <t>Gedung Kantor Camat,Pagar,Jalan</t>
  </si>
  <si>
    <t>Jl. Naga RT.11 Kel. Rantau Pulut  S. Tengah</t>
  </si>
  <si>
    <t>23/09/2013</t>
  </si>
  <si>
    <t>593.21/799.1/pem/I/X/2013</t>
  </si>
  <si>
    <t>Kantor UPTB PLKB</t>
  </si>
  <si>
    <t>Jl. Naga Kusuma Kel. Rantau Pulut Kec. Seruyan Tengah</t>
  </si>
  <si>
    <t>Gedung Kantor Kelurahan</t>
  </si>
  <si>
    <t>Tanah Kantor Kelurahan Rantau pulut</t>
  </si>
  <si>
    <t>Rantau Pulut I</t>
  </si>
  <si>
    <t>04/06/2007</t>
  </si>
  <si>
    <t>15.11.02.16.2.00004</t>
  </si>
  <si>
    <t>Tanah Untuk Bangunan Gedung Sarana Olah Raga Terbuka</t>
  </si>
  <si>
    <t>01.01.01.05.002</t>
  </si>
  <si>
    <t>Jalam Umum III</t>
  </si>
  <si>
    <t>Stadion</t>
  </si>
  <si>
    <t>jalan A Toepak</t>
  </si>
  <si>
    <t>28/05/2007</t>
  </si>
  <si>
    <t>Tanah Kantor Rujab Camat</t>
  </si>
  <si>
    <t>Jalan A Toepak</t>
  </si>
  <si>
    <t>Tanah Kantor Camat</t>
  </si>
  <si>
    <t>28/05/2005</t>
  </si>
  <si>
    <t>Jalan Bakrie Entong</t>
  </si>
  <si>
    <t>15.11.03.04.2.00003</t>
  </si>
  <si>
    <t>Rujab Camat Hanau</t>
  </si>
  <si>
    <t>Tanah Rujab Camat Hanau (Lama)</t>
  </si>
  <si>
    <t>20/01/2022</t>
  </si>
  <si>
    <t>15.11.03.05.4.00033</t>
  </si>
  <si>
    <t>Kantor Camat Hanau</t>
  </si>
  <si>
    <t>Tanah Kantor Camat Hanau</t>
  </si>
  <si>
    <t>Tanah Lapangan Sepak Bola</t>
  </si>
  <si>
    <t>01.01.03.01.005</t>
  </si>
  <si>
    <t>15.11.03.05.4.00032</t>
  </si>
  <si>
    <t>Stadion Olah Raga</t>
  </si>
  <si>
    <t>Tanah lapangan Olah Raga (Surat Hibah)</t>
  </si>
  <si>
    <t>JALAN A.YANI</t>
  </si>
  <si>
    <t>15.08.04.01.2.00046</t>
  </si>
  <si>
    <t>RUJAB</t>
  </si>
  <si>
    <t>RUMAH JABATAN CAMAT</t>
  </si>
  <si>
    <t>JALAN.A.YANI KUALA PEMBUANG I</t>
  </si>
  <si>
    <t>15.08.04.01.2.00045</t>
  </si>
  <si>
    <t>BANGUNAN KANTOR</t>
  </si>
  <si>
    <t>TANAH KECAMATAN LAMA ( BUNDARAN 1 )</t>
  </si>
  <si>
    <t>Jalan Letjend S. Parman RT. 12</t>
  </si>
  <si>
    <t>22/05/2025</t>
  </si>
  <si>
    <t>15.11.000001984.0</t>
  </si>
  <si>
    <t>Gedung Kantor</t>
  </si>
  <si>
    <t>Gedung Kantor Kelurahan KP.1</t>
  </si>
  <si>
    <t xml:space="preserve"> DI PANJAITAN KELURAHAN KUALA PEMBUANG II</t>
  </si>
  <si>
    <t>15.11.05.02.2.00047</t>
  </si>
  <si>
    <t>Gedung Kantor Kelurahan Kp.11</t>
  </si>
  <si>
    <t>KELURAHAN KUALA PEMBUANG II</t>
  </si>
  <si>
    <t>Jalan S Parman (simpang Persil)</t>
  </si>
  <si>
    <t>16/12/2021</t>
  </si>
  <si>
    <t>15.11.05.15.4.00004</t>
  </si>
  <si>
    <t>Kantor Kecamatan</t>
  </si>
  <si>
    <t>Tanah Bangunan Rumah Penjaga</t>
  </si>
  <si>
    <t>01.01.01.01.007</t>
  </si>
  <si>
    <t>JL.Manjul Raya</t>
  </si>
  <si>
    <t>15.11.01.03.4.00011</t>
  </si>
  <si>
    <t>Rujab Camat</t>
  </si>
  <si>
    <t>Sudah Bersertipikat</t>
  </si>
  <si>
    <t>Jl. Manjul Raya Kec. Seruyan Hulu</t>
  </si>
  <si>
    <t>15.11.01.03.4.00010</t>
  </si>
  <si>
    <t>Kantor UPTB PP Kec. Seruyan Hulu</t>
  </si>
  <si>
    <t>Surat Tanah Hibah</t>
  </si>
  <si>
    <t>15.11.01.03.4.00009</t>
  </si>
  <si>
    <t>Kantor camat</t>
  </si>
  <si>
    <t>Jl. Tjilik Riwut Tumbang Manjul Seruyan Hulu</t>
  </si>
  <si>
    <t>15.11.01.03.4.00008</t>
  </si>
  <si>
    <t>Gedung Serbaguna &amp; LPTQ</t>
  </si>
  <si>
    <t>Berdasarkan Keputusan Bupati Seruyan No.100.3.3.2/720/2024  Gedung Serbaguna &amp; LPTQ</t>
  </si>
  <si>
    <t>Jl. A. Yani Ds. Sandul</t>
  </si>
  <si>
    <t>15.11.09.02.4.00010</t>
  </si>
  <si>
    <t>KANTOR UPTB PLKB KEC. BATU AMPAR</t>
  </si>
  <si>
    <t>Jl. Ahmad Yani Kecamatan Batu Ampar</t>
  </si>
  <si>
    <t>15.11.09.02.4.00011</t>
  </si>
  <si>
    <t>Kantor Camat Batu Ampar</t>
  </si>
  <si>
    <t>SKPT No.593.21/01/Pem/2012 Tanggal 13 Oktober 2011</t>
  </si>
  <si>
    <t>Jl. Sampit - Pangkalanbun km.119</t>
  </si>
  <si>
    <t>593.21/211/pem</t>
  </si>
  <si>
    <t>UPTB PLKB D. Seluluk</t>
  </si>
  <si>
    <t>Desa Kartika Bakti, Kecamatan Seruyan Hilir Timur</t>
  </si>
  <si>
    <t>Tanah Gedung Kantor Kecamatan Seruyan Hilir Timur</t>
  </si>
  <si>
    <t>Tanah Kantor Kecamatan Seruyan Hilir Timur</t>
  </si>
  <si>
    <t>JL.Batu lampang No.1 T. Langkai</t>
  </si>
  <si>
    <t>641.6/  /BA-ST/VIII/2014</t>
  </si>
  <si>
    <t>KANTOR UPTB SUling Tambun</t>
  </si>
  <si>
    <t>Jln. Tjilik Riwut, Kuala Pembuang Satu, Seruyan Hilir, Kab. Seruyan</t>
  </si>
  <si>
    <t>593.2/160/SKPT/2003</t>
  </si>
  <si>
    <t>Rencana lokasi Gedung Legiun Veteran</t>
  </si>
  <si>
    <t>Bukti Kepemilikan belum atas nama Pemkab Seruyan (SKPT Nomor : 593.2/160/SKPT/2003)</t>
  </si>
  <si>
    <t>15.05.09.01.4.00002</t>
  </si>
  <si>
    <t>PEMADAM KEBAKARAN (I)</t>
  </si>
  <si>
    <t>Jl. Adam Malik Kuala Pembuang I Kecamatan Seruyan Hilir</t>
  </si>
  <si>
    <t>15.05.09.02.4.00034</t>
  </si>
  <si>
    <t>UPTD PEMADAM KEBAKARAN (2)</t>
  </si>
  <si>
    <t>UPTD PEMADAM KEBAKARAN 2</t>
  </si>
  <si>
    <t>JL. KUALA PEMBUANG - BANGKAL, DESA KARTIKA BHAKTI</t>
  </si>
  <si>
    <t>S.K. 100.3.3.2  / 245 /2025</t>
  </si>
  <si>
    <t>BANGUNAN PENGAWAS PENGAIRAN DINAS PUPR</t>
  </si>
  <si>
    <t>JL. KUALA PEMBUANG - BANGKAL, DESA KARTIKA BHAKTI (BANGUNAN PENGAWAS PENGAIRAN DINAS PUPR)</t>
  </si>
  <si>
    <t>Jl. Akhmad Yani Kuala Pembuang I Kec. Seruyan Hilir</t>
  </si>
  <si>
    <t>13/AB834666</t>
  </si>
  <si>
    <t>LAPANGAN GAGAH LURUS</t>
  </si>
  <si>
    <t>15/AB834667</t>
  </si>
  <si>
    <t>14/AB834668</t>
  </si>
  <si>
    <t>Tanah Untuk Jalan Propinsi</t>
  </si>
  <si>
    <t>01.01.03.07.002</t>
  </si>
  <si>
    <t>Jl.  Poros Desa Mugi Penyuhu Kec. Seruyan Tengah</t>
  </si>
  <si>
    <t>188.45/238/2016</t>
  </si>
  <si>
    <t>Jalan Poros Desa Mugi Penyuhu</t>
  </si>
  <si>
    <t>Tanah Untuk Jalan Kabupaten</t>
  </si>
  <si>
    <t>01.01.03.07.003</t>
  </si>
  <si>
    <t>Jl.  Poros Desa Palingkau Kec. Danau Sembuluh</t>
  </si>
  <si>
    <t>Jalan Poros Desa Palingkau</t>
  </si>
  <si>
    <t>Jl.  Poros Desa Bangun Harja Kec. Seruyan Hilir Timur</t>
  </si>
  <si>
    <t>Jalan Poros Desa Bangun Harja</t>
  </si>
  <si>
    <t>Jl.  Sejahtera Pematang Limau Kec. Seruyan Hilir</t>
  </si>
  <si>
    <t>Jalan Sejahtera Pematang Limau</t>
  </si>
  <si>
    <t>Jl.  Poros Desa Cempaka Baru Kec. Danau Sembuluh</t>
  </si>
  <si>
    <t>Jalan Poros Desa Cempaka Baru</t>
  </si>
  <si>
    <t>Jl.  Poros Desa Halimaung Jaya Kec. Seruyan Hilir Timur</t>
  </si>
  <si>
    <t>Jalan Poros Desa Halimaung Jaya</t>
  </si>
  <si>
    <t>Jl.  Poros Desa Kalang  Kec. Batu Ampar</t>
  </si>
  <si>
    <t>Jalan Poros Desa Kalang</t>
  </si>
  <si>
    <t>Jl.  Poros Desa Parang Batang Kec. Hanau</t>
  </si>
  <si>
    <t>Jalan Poros Desa Parang Batang</t>
  </si>
  <si>
    <t>Jl.  Poros Desa Ulak Batu Kec. Danau Sembuluh</t>
  </si>
  <si>
    <t>Jalan Poros Desa Ulak Batu</t>
  </si>
  <si>
    <t>Jl.  Poros Desa Tanjung Hanau Kec. Hanau</t>
  </si>
  <si>
    <t>Jalan Poros Desa Tanjung Hanau</t>
  </si>
  <si>
    <t>Jl.  Poros Desa Tanggul Harapan Kec. Seruyan Hilir Timur</t>
  </si>
  <si>
    <t>Jalan Poros Desa Tanggul Harapan</t>
  </si>
  <si>
    <t>Jl.  Pematang Limau - Desa Makmur Kec. Seruyan Hilir</t>
  </si>
  <si>
    <t>Jalan Pematang Limau - Desa Makmur</t>
  </si>
  <si>
    <t>Jl.  Poros Desa Kartika Bhakti Kec. Seruyan Hilir Timur</t>
  </si>
  <si>
    <t>Jalan Poros Desa Kartika Bhakti</t>
  </si>
  <si>
    <t>Jl.  Poros Desa Mekar Indah Kec. Seruyan Hilir Timur</t>
  </si>
  <si>
    <t>Jalan Poros Desa Mekar Indah</t>
  </si>
  <si>
    <t>Jl.  Sungai Undang - Siamuk Kec. Seruyan Hilir</t>
  </si>
  <si>
    <t>Jalan Sungai Undang - Siamuk</t>
  </si>
  <si>
    <t>Jl.  Sentosa Kec. Seruyan Hilir</t>
  </si>
  <si>
    <t>Jalan Sentosa</t>
  </si>
  <si>
    <t>Jl.  Tusuk Belawan - Tumbang Kalam Kec. Seruyan Hulu</t>
  </si>
  <si>
    <t>Jalan Tusuk Belawan - Tumbang Kalam</t>
  </si>
  <si>
    <t>Jl.  Poros Desa Sukamandang Kec. Seruyan Tengah</t>
  </si>
  <si>
    <t>Jalan Poros Desa Sukamandang</t>
  </si>
  <si>
    <t>Jl.  Lingkar Desa Bahaur - Manggana Kec. Hanau</t>
  </si>
  <si>
    <t>Jalan Lingkar Desa Bahaur - Manggana</t>
  </si>
  <si>
    <t>Jl.  Poros Desa Bahaur Kec. Hanau</t>
  </si>
  <si>
    <t>1511.000001148.0</t>
  </si>
  <si>
    <t>Jalan Poros Desa Bahaur</t>
  </si>
  <si>
    <t>Jalan Poros Bahaur (Pada tanah tersebut terbit sebanyak 23 Sertifikat)</t>
  </si>
  <si>
    <t>Jl.  Bundaran 3 - Sei Undang Kec. Seruyan Hilir</t>
  </si>
  <si>
    <t>Jalan Bundaran 3 - Sei Undang</t>
  </si>
  <si>
    <t>Jl.  Sei Mitak Bawah Kec. Seruyan Hilir</t>
  </si>
  <si>
    <t>Jalan Sei Mitak Bawah</t>
  </si>
  <si>
    <t>Jl.  Tumbang Manjul - Tusuk Belawan Kec. Seruyan Hulu</t>
  </si>
  <si>
    <t>Jalan Tumbang Manjul - Tusuk Belawan</t>
  </si>
  <si>
    <t>Jl.  Tumbang Kalam - Tumbang Bahan Kec. Seruyan Hulu</t>
  </si>
  <si>
    <t>Jalan Tumbang Kalam - Tumbang Bahan</t>
  </si>
  <si>
    <t>Jl.  Wisata Sei. Siamuk Kec. Seruyan Hilir</t>
  </si>
  <si>
    <t>Jalan Wisata Sei. Siamuk</t>
  </si>
  <si>
    <t>Jl.  Tumbang Manjul - Rantau Panjang Kec. Seruyan Hulu</t>
  </si>
  <si>
    <t>Jalan Tumbang Manjul - Rantau Panjang</t>
  </si>
  <si>
    <t>Jl.  Pematang Kelapa Pematang Panjang Kec. Seruyan Hilir Timur</t>
  </si>
  <si>
    <t>Jalan Pematang Kelapa Pematang Panjang</t>
  </si>
  <si>
    <t>Jl.  Pematang Anglai Kec. Seruyan Hilir</t>
  </si>
  <si>
    <t>Jalan Pematang Anglai</t>
  </si>
  <si>
    <t>Jl.  Mahang Kec. Seruyan Hilir</t>
  </si>
  <si>
    <t>Jalan Mahang</t>
  </si>
  <si>
    <t>Jl.  Malang I Kec. Seruyan Hilir</t>
  </si>
  <si>
    <t>Jalan Malang I</t>
  </si>
  <si>
    <t>Jl.  Beringin - Lingkar Kota Kec. Seruyan Hilir</t>
  </si>
  <si>
    <t>Jalan Beringin - Lingkar Kota</t>
  </si>
  <si>
    <t>Jl.  Tumbang Langkai - Tumbang Magin Kec. Seruyan Hulu</t>
  </si>
  <si>
    <t>Jalan Tumbang Langkai - Tumbang Magin</t>
  </si>
  <si>
    <t>Jl.  Aromani Kec. Seruyan Hilir</t>
  </si>
  <si>
    <t>Jalan Aromani</t>
  </si>
  <si>
    <t>Jl.  Pembuang Hulu - Derangga Kec. Hanau</t>
  </si>
  <si>
    <t>1511.000001184.0</t>
  </si>
  <si>
    <t>Jalan Pembuang Hulu - Derangga</t>
  </si>
  <si>
    <t>Jalan Poros Pembuang Hulu - Derangga (Pada tanah tersebut terbit sebanyak 11 Sertifikat)</t>
  </si>
  <si>
    <t>Jl.  Tumbang Manjul - Desa Mongoh Joui Kec. Seruyan Hulu</t>
  </si>
  <si>
    <t>Jalan Tumbang Manjul - Desa Mongoh Joui</t>
  </si>
  <si>
    <t>Jl.  Tumbang Bahan - Tumbang Darap Kec. Seruyan Hulu</t>
  </si>
  <si>
    <t>Jalan Tumbang Bahan - Tumbang Darap</t>
  </si>
  <si>
    <t>Jl.  Seroja Kec. Seruyan Hilir</t>
  </si>
  <si>
    <t>Jalan Seroja</t>
  </si>
  <si>
    <t>Jl.  Wisata Sembuluh Kec. Danau Sembuluh</t>
  </si>
  <si>
    <t>Jalan Wisata Sembuluh</t>
  </si>
  <si>
    <t>Jl.  SMK Sembuluh Kec. Danau Sembuluh</t>
  </si>
  <si>
    <t>Jalan SMK Sembuluh</t>
  </si>
  <si>
    <t>Jl.  Rukun Kec. Seruyan Hilir</t>
  </si>
  <si>
    <t>Jalan Rukun</t>
  </si>
  <si>
    <t>Jl.  Sukamandang - Rantau Pulut Kec. Seruyan Tengah</t>
  </si>
  <si>
    <t>Jalan Sukamandang - Rantau Pulut</t>
  </si>
  <si>
    <t>Jl.  Swadaya Kec. Seruyan Hilir</t>
  </si>
  <si>
    <t>Jalan Swadaya</t>
  </si>
  <si>
    <t>Jl.  Muhajirrin Kec. Seruyan Hilir</t>
  </si>
  <si>
    <t>Jalan Muhajirrin</t>
  </si>
  <si>
    <t>Jl.  Pariwisata Sei. Bakau Kec. Seruyan Hilir Timur</t>
  </si>
  <si>
    <t>Jalan Pariwisata Sei. Bakau</t>
  </si>
  <si>
    <t>Jl.  Pematang Panjang Kec. Seruyan Hilir Timur</t>
  </si>
  <si>
    <t>Jalan Pematang Panjang</t>
  </si>
  <si>
    <t>Jl.  Poros Desa Pematang Panjang Kec. Seruyan Hilir Timur</t>
  </si>
  <si>
    <t>Jalan Poros Desa Pematang Panjang</t>
  </si>
  <si>
    <t>Jl.  Sandul - Sukamandang Kec. Batu Ampar</t>
  </si>
  <si>
    <t>Jalan Sandul - Sukamandang</t>
  </si>
  <si>
    <t>Jl.  Budi Utomo Kec. Seruyan Hilir</t>
  </si>
  <si>
    <t>Jalan Budi Utomo</t>
  </si>
  <si>
    <t>Jl.  Asam Baru - Arah Komplek Perkantoran Kec. Danau Seluluk</t>
  </si>
  <si>
    <t>Jalan Asam Baru - Arah Komplek Perkantoran</t>
  </si>
  <si>
    <t>Jl.  Mandang Raya Kec. Danau Seluluk</t>
  </si>
  <si>
    <t>Jalan Mandang Raya</t>
  </si>
  <si>
    <t>Jl.  Tumbang Manjul - Tumbang Langkai Kec. Seruyan Hulu</t>
  </si>
  <si>
    <t>Jalan Tumbang Manjul - Tumbang Langkai</t>
  </si>
  <si>
    <t>Jl.  RA. Kartini Kec. Seruyan Hilir</t>
  </si>
  <si>
    <t>Jalan RA. Kartini</t>
  </si>
  <si>
    <t>Jl.  Patimura Kec. Seruyan Hilir</t>
  </si>
  <si>
    <t>Jalan Patimura</t>
  </si>
  <si>
    <t>Jl.  Poros Desa Asam Baru Kec. Danau Seluluk</t>
  </si>
  <si>
    <t>Jalan Poros Desa Asam Baru</t>
  </si>
  <si>
    <t>Jl.  Gajah Mada - Lingkar Kota Kec. Seruyan Hilir</t>
  </si>
  <si>
    <t>Jalan Gajah Mada - Lingkar Kota</t>
  </si>
  <si>
    <t>Jl.  Pematang Kambat Kec. Seruyan Hilir Timur</t>
  </si>
  <si>
    <t>Jalan Pematang Kambat</t>
  </si>
  <si>
    <t>Jl.  Panimba Raya Kec. Danau Seluluk</t>
  </si>
  <si>
    <t>Jalan Panimba Raya</t>
  </si>
  <si>
    <t>Jl.  Piere Tendean Kec. Seruyan Hilir</t>
  </si>
  <si>
    <t>Jalan Piere Tendean</t>
  </si>
  <si>
    <t>Jl.  Kertayuda Kec. Seruyan Hilir</t>
  </si>
  <si>
    <t>Jalan Kertayuda</t>
  </si>
  <si>
    <t>Jl.  D. Diponegoro Kec. Seruyan Hilir</t>
  </si>
  <si>
    <t>Jalan D. Diponegoro</t>
  </si>
  <si>
    <t>Jl.  MT. Haryono Kec. Seruyan Hilir</t>
  </si>
  <si>
    <t>Jalan MT. Haryono</t>
  </si>
  <si>
    <t>Jl.  Gatot Subroto Kec. Seruyan Hilir</t>
  </si>
  <si>
    <t>Jalan Gatot Subroto</t>
  </si>
  <si>
    <t>Jl.  Brigjen Katamso Kec. Seruyan Hilir</t>
  </si>
  <si>
    <t>Jalan Brigjen Katamso</t>
  </si>
  <si>
    <t>Jl.  Poros Desa Telaga Pulang Kec. Danau Sembuluh</t>
  </si>
  <si>
    <t>Jalan Poros Desa Telaga Pulang</t>
  </si>
  <si>
    <t>Jl.  Samudin Kec. Seruyan Hilir</t>
  </si>
  <si>
    <t>Jalan Samudin</t>
  </si>
  <si>
    <t>Jl.  Poros Desa Sembuluh Kec. Danau Sembuluh</t>
  </si>
  <si>
    <t>Jalan Poros Desa Sembuluh</t>
  </si>
  <si>
    <t>Jl.  Cilik Riwut Kuala Pembuang Kec. Seruyan Hilir</t>
  </si>
  <si>
    <t>Jalan Cilik Riwut Kuala Pembuang</t>
  </si>
  <si>
    <t>Jl.  Ki Hajar Dewantara Kec. Seruyan Hilir</t>
  </si>
  <si>
    <t>Jalan Ki Hajar Dewantara</t>
  </si>
  <si>
    <t>Jl.  Suprapto Kec. Seruyan Hilir</t>
  </si>
  <si>
    <t>Jalan Suprapto</t>
  </si>
  <si>
    <t>Jl.  Cut Nyak Dien Kec. Seruyan Hilir</t>
  </si>
  <si>
    <t>Jalan Cut Nyak Dien</t>
  </si>
  <si>
    <t>Jl.  Kuala Pembuang - Telaga Pulang Kec. Seruyan Hilir</t>
  </si>
  <si>
    <t>Jalan Kuala Pembuang - Telaga Pulang</t>
  </si>
  <si>
    <t>Jl.  Poros Desa Teluk Bayur Kec. Seruyan Tengah</t>
  </si>
  <si>
    <t>Jalan Poros Desa Teluk Bayur</t>
  </si>
  <si>
    <t>Jl.  Poros Desa Derawa Kec. Seruyan Tengah</t>
  </si>
  <si>
    <t>Jalan Poros Desa Derawa</t>
  </si>
  <si>
    <t>Jl.  Imam Bonjol Kec. Seruyan Hilir</t>
  </si>
  <si>
    <t>Jalan Imam Bonjol</t>
  </si>
  <si>
    <t>Jl.  Poros Desa Tangga Batu Kec. Seruyan Tengah</t>
  </si>
  <si>
    <t>Jalan Poros Desa Tangga Batu</t>
  </si>
  <si>
    <t>Jl.  Rungau Raya Kec. Seruyan Raya</t>
  </si>
  <si>
    <t>Jalan Rungau Raya</t>
  </si>
  <si>
    <t>Jl.  Pemuda Kec. Seruyan Hilir</t>
  </si>
  <si>
    <t>Jalan Pemuda</t>
  </si>
  <si>
    <t>Jl.  Sigintung - Desa Sei. Perlu Kec. Seruyan Hilir</t>
  </si>
  <si>
    <t>Jalan Sigintung - Desa Sei. Perlu</t>
  </si>
  <si>
    <t>Jl.  Poros Desa Gantung Pangayuh Kec. Seruyan Tengah</t>
  </si>
  <si>
    <t>Jalan Poros Desa Gantung Pangayuh</t>
  </si>
  <si>
    <t>Jl.  Poros Desa Batu Menangis Kec. Seruyan Tengah</t>
  </si>
  <si>
    <t>Jalan Poros Desa Batu Menangis</t>
  </si>
  <si>
    <t>Jl.  Kuala Pembuang - Pembuang Hulu Kec. Seruyan Hilir</t>
  </si>
  <si>
    <t>Jalan Kuala Pembuang - Pembuang Hulu</t>
  </si>
  <si>
    <t>Jl.  Asam Baru - Sandul Kec. Batu Ampar</t>
  </si>
  <si>
    <t>Jalan Asam Baru - Sandul</t>
  </si>
  <si>
    <t>Jl.  Nur Hidayah Pembuang Hulu Kec. Hanau</t>
  </si>
  <si>
    <t>1511.000001144.0</t>
  </si>
  <si>
    <t>Jalan Nur Hidayah Pembuang Hulu</t>
  </si>
  <si>
    <t>Pada tanah tersebut terbit sebanyak 16 Sertifikat</t>
  </si>
  <si>
    <t>Jl.  Jenderal Sudirman Kec. Seruyan Hilir</t>
  </si>
  <si>
    <t>Jalan Jenderal Sudirman</t>
  </si>
  <si>
    <t>Jl.  Poros Desa Durian Kait Kec. Seruyan Tengah</t>
  </si>
  <si>
    <t>Jalan Poros Desa Durian Kait</t>
  </si>
  <si>
    <t>Jl.  DI. Panjaitan Kec. Seruyan Hilir</t>
  </si>
  <si>
    <t>Jalan DI. Panjaitan</t>
  </si>
  <si>
    <t>Jl.  Rantau Pulut - Desa Tahinting Kec. Seruyan Tengah</t>
  </si>
  <si>
    <t>Jalan Rantau Pulut - Desa Tahinting</t>
  </si>
  <si>
    <t>Jl.  Poros Desa Ayawan Kec. Seruyan Tengah</t>
  </si>
  <si>
    <t>Jalan Poros Desa Ayawan</t>
  </si>
  <si>
    <t>Jl.  Kuala Pembuang - Teluk Segitung Kec. Seruyan Hilir</t>
  </si>
  <si>
    <t>Jalan Kuala Pembuang - Teluk Segitung</t>
  </si>
  <si>
    <t>Jl.  Poros Desa Panyompa Kec. Seruyan Tengah</t>
  </si>
  <si>
    <t>Jalan Poros Desa Panyompa</t>
  </si>
  <si>
    <t>Jl.  Adam Malik Kec. Seruyan Hilir</t>
  </si>
  <si>
    <t>Jalan Adam Malik</t>
  </si>
  <si>
    <t>Jl.  Poros Desa Durian Tunggal -Simpang 4 Rantau Pulut Kec. Seruyan Tengah</t>
  </si>
  <si>
    <t>Jalan Poros Desa Durian Tunggal -Simpang 4 Rantau</t>
  </si>
  <si>
    <t>Jl.  Poros Desa Pangke Kec. Seruyan Tengah</t>
  </si>
  <si>
    <t>Jalan Poros Desa Pangke</t>
  </si>
  <si>
    <t>Jl.  Ais Nasution Kec. Seruyan Hilir</t>
  </si>
  <si>
    <t>Jalan Ais Nasution</t>
  </si>
  <si>
    <t>Jl.  Poros Desa Rantau Pulut Kec. Seruyan Tengah</t>
  </si>
  <si>
    <t>Jalan Poros Desa Rantau Pulut</t>
  </si>
  <si>
    <t>Jl.  Bakri Entong Kec. Hanau</t>
  </si>
  <si>
    <t>1511.000001149.0</t>
  </si>
  <si>
    <t>Jalan Bakri Entong</t>
  </si>
  <si>
    <t>Jalan Bakri Entong (Pada tanah tersebut terbit sebanyak 37 Sertifikat)</t>
  </si>
  <si>
    <t>Jl.  Poros Desa Sukerejo - Desa Suka Makmur Kec. Seruyan Tengah</t>
  </si>
  <si>
    <t>Jalan Poros Desa Sukerejo - Desa Suka Makmur</t>
  </si>
  <si>
    <t>Jl.  Poros Desa Suka Maju - Suka Jaya Kec. Seruyan Tengah</t>
  </si>
  <si>
    <t>Jalan Poros Desa Suka Maju - Suka Jaya</t>
  </si>
  <si>
    <t>Jl.  Bangkal - Telaga Pulang Kec. Seruyan Raya</t>
  </si>
  <si>
    <t>Jalan Bangkal - Telaga Pulang</t>
  </si>
  <si>
    <t>Jl.  Poros Desa Sukorejo - Desa Tumbang Bai Kec. Seruyan Tengah</t>
  </si>
  <si>
    <t>Jalan Poros Desa Sukorejo - Desa Tumbang Bai</t>
  </si>
  <si>
    <t>Jl.  A. Yani Kec. Seruyan Hilir</t>
  </si>
  <si>
    <t>Jalan A. Yani</t>
  </si>
  <si>
    <t>Jl.  Somad - Tumbang Manjul Kec. Seruyan Tengah</t>
  </si>
  <si>
    <t>Jalan Somad - Tumbang Manjul</t>
  </si>
  <si>
    <t>Jl.  Rantau Pulut - HPH Somat Kec. Seruyan Tengah</t>
  </si>
  <si>
    <t>Jalan Rantau Pulut - HPH Somat</t>
  </si>
  <si>
    <t>JALAN MULYONO</t>
  </si>
  <si>
    <t>SK. 100.3.3.2/ 539/2023</t>
  </si>
  <si>
    <t>Jalan Kabupaten</t>
  </si>
  <si>
    <t>Jalan Kabupaten Jalan Mulyono</t>
  </si>
  <si>
    <t>JALAN S. PARMAN</t>
  </si>
  <si>
    <t>Jalan Kabupaten Jalan S. Parman</t>
  </si>
  <si>
    <t>JALAN ABADI</t>
  </si>
  <si>
    <t>Jalan Kabupaten Jalan Abadi</t>
  </si>
  <si>
    <t>JALAN UNTUNG SUROPATI</t>
  </si>
  <si>
    <t>Jalan Kabupaten Jalan Untung Suropati</t>
  </si>
  <si>
    <t>JALAN MOH. HATTA</t>
  </si>
  <si>
    <t>Jalan Kabupaten Jalan Moh. Hatta</t>
  </si>
  <si>
    <t>JALAN ADYAKSA</t>
  </si>
  <si>
    <t>Jalan Kabupaten Jalan Adyaksa</t>
  </si>
  <si>
    <t>JALAN LINGKAR KOTA KUALA PEMBUANG</t>
  </si>
  <si>
    <t>Jalan Kabupaten Jalan Lingkar Kota Kuala Pembuang</t>
  </si>
  <si>
    <t>JALAN TANAH HAMBAU</t>
  </si>
  <si>
    <t>1511.000001187.0</t>
  </si>
  <si>
    <t>Jalan Kabupaten Jalan Tanah Hambau (Pada tanah tersebut terbit sebanyak 3 Sertifikat)</t>
  </si>
  <si>
    <t>JALAN WISATA DANAU SELULUK</t>
  </si>
  <si>
    <t>Jalan Kabupaten Jalan Wisata Danau Seluluk</t>
  </si>
  <si>
    <t>JALAN POROS DESA TERAWAN</t>
  </si>
  <si>
    <t>Jalan Kabupaten Jalan Poros Desa Terawan</t>
  </si>
  <si>
    <t>JALAN KALIMANTAN DESA DERANGGA</t>
  </si>
  <si>
    <t>Jalan Kabupaten Jalan Kalimantan Desa Derangga</t>
  </si>
  <si>
    <t>JALAN SERUYAN</t>
  </si>
  <si>
    <t>1511.000001150.0</t>
  </si>
  <si>
    <t>Jalan Kabupaten Jalan Seruyan (Pada tanah tersebut terbit sebanyak 52 Sertifikat)</t>
  </si>
  <si>
    <t>JALAN ABDUL KADIR</t>
  </si>
  <si>
    <t>1511.000001177.0</t>
  </si>
  <si>
    <t>Jalan Kabupaten Jalan Adbdul Kadir (Pada tanah tersebut terbit sebanyak 6 Sertifikat)</t>
  </si>
  <si>
    <t>JALAN POROS DESA RINGIN AGUNG</t>
  </si>
  <si>
    <t>Jalan Kabupaten Jalan Poros Desa Ringin Agung</t>
  </si>
  <si>
    <t>JALAN POROS DESA PANCA JAYA</t>
  </si>
  <si>
    <t>Jalan Kabupaten Jalan Poros Desa Panca Jaya</t>
  </si>
  <si>
    <t>JALAN H. DARWAN ALI KUALA PEMBUANG</t>
  </si>
  <si>
    <t>Jalan Kabupaten Jalan H. Darwan Ali Kuala Pembuang</t>
  </si>
  <si>
    <t>JALAN UYUP ALIP</t>
  </si>
  <si>
    <t>1511.000001181.0</t>
  </si>
  <si>
    <t>Jalan Kabupaten Jalan Uyup Alip (Pada tanah tersebut terbit sebanyak 31 Sertifikat)</t>
  </si>
  <si>
    <t>JALAN PUTRI JUNJUNG BUIH HANAU</t>
  </si>
  <si>
    <t>1511.000001188.0</t>
  </si>
  <si>
    <t>Jalan Kabupaten Jalan Putri Junjung Buih Hanau (Pada tanah tersebut terbit sebanyak 3 Sertifikat)</t>
  </si>
  <si>
    <t>JALAN ABDUL RASYID</t>
  </si>
  <si>
    <t>1511.000001176.0</t>
  </si>
  <si>
    <t>Jalan Kabupaten Jalan Abdul Rasyid (Pada tanah tersebut terbit sebanyak 23 Sertifikat)</t>
  </si>
  <si>
    <t>JALAN BUKIT BATU DESA BANGKAL</t>
  </si>
  <si>
    <t>Jalan Kabupaten Jalan Bukit Batu Desa Bangkal</t>
  </si>
  <si>
    <t>JALAN BJ HABIBIE</t>
  </si>
  <si>
    <t>Jalan Kabupaten Jalan BJ Habibie</t>
  </si>
  <si>
    <t>JALAN MASRI SEGAP</t>
  </si>
  <si>
    <t>Jalan Kabupaten Jalan Masri Segap</t>
  </si>
  <si>
    <t>JALAN BINA SAMAKTA</t>
  </si>
  <si>
    <t>1511.000001183.0</t>
  </si>
  <si>
    <t>Jalan Kabupaten Jalan Bina Samakta (Pada tanah tersebut terbit sebanyak 13 Sertifikat)</t>
  </si>
  <si>
    <t>JALAN AKASIA</t>
  </si>
  <si>
    <t>1511.000001182.0</t>
  </si>
  <si>
    <t>Jalan Kabupaten Jalan Akasia (Pada tanah tersebut terbit sebanyak 15 Sertifikat)</t>
  </si>
  <si>
    <t>JALAN SWAKARYA</t>
  </si>
  <si>
    <t>1511.000001180.0</t>
  </si>
  <si>
    <t>Jalan Kabupaten Jalan Swakarya (Pada tanah tersebut terbit sebanyak 5 Sertifikat)</t>
  </si>
  <si>
    <t>JALAN SUNDA KELAPA</t>
  </si>
  <si>
    <t>1511.000001179.0</t>
  </si>
  <si>
    <t>Jalan Kabupaten Jalan Sunda Kelapa (Pada tanah tersebut terbit sebanyak 2 Sertifikat)</t>
  </si>
  <si>
    <t>JALAN UNI BUNTAL</t>
  </si>
  <si>
    <t>1511.000001178.0</t>
  </si>
  <si>
    <t>Jalan Kabupaten Jalan Uni Buntal (Pada tanah tersebut terbit sebanyak 3 Sertifikat)</t>
  </si>
  <si>
    <t>JALAN PAMERAN</t>
  </si>
  <si>
    <t>1511.000001147.0</t>
  </si>
  <si>
    <t>Jalan Kabupaten Jalan Pameran (Pada tanah tersebut terbit sebanyak 19 Sertifikat)</t>
  </si>
  <si>
    <t>JALAN HARAPAN</t>
  </si>
  <si>
    <t>1511.000001143.0</t>
  </si>
  <si>
    <t>Jalan Kabupaten Jalan Harapan (Pada tanah tersebut terbit sebanyak 37 Sertifikat)</t>
  </si>
  <si>
    <t>JALAN DATU SINGGAH</t>
  </si>
  <si>
    <t>1511.000001146.0</t>
  </si>
  <si>
    <t>Jalan Kabupaten Jalan Datu Singgah (Pada tanah tersebut terbit sebanyak 1 Sertifikat)</t>
  </si>
  <si>
    <t>JALAN PAM HANAU</t>
  </si>
  <si>
    <t>1511.000001145.0</t>
  </si>
  <si>
    <t>Jalan Kabupaten Jalan PAM Hanau (Pada tanah tersebut terbit sebanyak 15 Sertifikat)</t>
  </si>
  <si>
    <t>JALAN POROS DESA SANDUL</t>
  </si>
  <si>
    <t>Jalan Kabupaten Jalan Poros Desa Sandul</t>
  </si>
  <si>
    <t>JALAN PEMATANG KUPANG</t>
  </si>
  <si>
    <t>Jalan Kabupaten Jalan Pematang Kupang</t>
  </si>
  <si>
    <t>JALAN PEMATANG RAMBAI</t>
  </si>
  <si>
    <t>Jalan Kabupaten Jalan Pematang Rambai</t>
  </si>
  <si>
    <t>JALAN PEMATANG MANGGIS</t>
  </si>
  <si>
    <t>Jalan Kabupaten Jalan Pematang Manggis</t>
  </si>
  <si>
    <t>JALAN PEMATANG GUMPUNG</t>
  </si>
  <si>
    <t>Jalan Kabupaten Jalan Pematang Gumpung</t>
  </si>
  <si>
    <t>JALAN PEMATANG SARAI</t>
  </si>
  <si>
    <t>Jalan Kabupaten Jalan Pematang Sarai</t>
  </si>
  <si>
    <t>JALAN SEGINTAI</t>
  </si>
  <si>
    <t>Jalan Kabupaten Jalan Segintai</t>
  </si>
  <si>
    <t>JALAN PUTRA JUNJUNG BUIH DESA KARTIKA BHAKTI</t>
  </si>
  <si>
    <t>Jalan Kabupaten Jalan Putra junjung Buih Desa Kartika Bhakti</t>
  </si>
  <si>
    <t>JALAN MANJUL RAYA</t>
  </si>
  <si>
    <t>Jalan Kabupaten Jalan Manjul Raya</t>
  </si>
  <si>
    <t>JALAN KERANJI</t>
  </si>
  <si>
    <t>Jalan Kabupaten Jalan Kerani</t>
  </si>
  <si>
    <t>JL. SAMPING MASJID AL-AZHAR, KUALA PEMBUANG SATU</t>
  </si>
  <si>
    <t>JL. SAMPING MASJID AL-AZHAR</t>
  </si>
  <si>
    <t>JL. MAYJEND SUTOYO, KUALA PEMBUANG SATU</t>
  </si>
  <si>
    <t>JL. MAYJEND SUTOYO</t>
  </si>
  <si>
    <t>JL. WAHIDIN SUDIRO HUSODO, KUALA PEMBUANG SATU</t>
  </si>
  <si>
    <t>JL. WAHIDIN SUDIRO HUSODO</t>
  </si>
  <si>
    <t>Jalan Samping Mesjid Nurul Yaqin</t>
  </si>
  <si>
    <t>Jalan Lingkungan</t>
  </si>
  <si>
    <t>Jalan Lingkungan yang terletak di Kelurahan Kuala Pembuang I</t>
  </si>
  <si>
    <t>Gang PKB DR. Adam Malik</t>
  </si>
  <si>
    <t>Jalan Samping Taman Makam Pahlawan</t>
  </si>
  <si>
    <t>Simpang Jalan Katamso</t>
  </si>
  <si>
    <t>Simpang Jalan Piere Tendean</t>
  </si>
  <si>
    <t>Jalan Piere Tendean RT 3 Kuala Pembuang</t>
  </si>
  <si>
    <t>Jalan Piere Tendean Gg. Pemangkih RT 28 RW 01 Kelurahan Kuala Pembuang I Kec. Seruyan Hilir</t>
  </si>
  <si>
    <t>Simpang Jalan Samudin</t>
  </si>
  <si>
    <t>Gang Kauman</t>
  </si>
  <si>
    <t>SDN V Kuala Pembuang</t>
  </si>
  <si>
    <t>Gang Kamboja Kelurahan Kuala Pembuang I Kec. Seruyan Hilir</t>
  </si>
  <si>
    <t>Jalan Belakang Rumah Sakit</t>
  </si>
  <si>
    <t>Samping Masjid Al-Jihad Kuala Pembuang</t>
  </si>
  <si>
    <t>di Pematang Jambu RT 30 RW 02 Kelurahan Kuala Pembuang I</t>
  </si>
  <si>
    <t>Jalan Pematang Jambu</t>
  </si>
  <si>
    <t>Pematang Jambu</t>
  </si>
  <si>
    <t>Gg. Basuki Lingkungan RT. 15 RW. 02 Kuala Pembuang I</t>
  </si>
  <si>
    <t>Jalan Rembang KP.I Sec. Seruyan Hilir</t>
  </si>
  <si>
    <t>Gg. Bahagia RT. 22 Kuala Pembuang I</t>
  </si>
  <si>
    <t>Gg. Diponegoro I RT. 26/01 Kuala Pembuang I Kec. Seruyan hilir</t>
  </si>
  <si>
    <t>Jalan Swadaya Permai III</t>
  </si>
  <si>
    <t>Jalan Swadaya Indah Kuala Pembuang I</t>
  </si>
  <si>
    <t>Jalan Swadaya Permai II Kuala Pembuang</t>
  </si>
  <si>
    <t>Jl. Swadaya Permai IV Dalam Kota Kuala Pembuang</t>
  </si>
  <si>
    <t>Jl. Swadaya Permai V Dalam Kota Kuala Pembuang</t>
  </si>
  <si>
    <t>Gg. Stadion Mini Kuala Pembuang</t>
  </si>
  <si>
    <t>Jalan Al Iman Gatot Subroto Kuala Pembuang I</t>
  </si>
  <si>
    <t>Gg. Karang Paci 1 dan 2 RT.02 Kuala Pembuang</t>
  </si>
  <si>
    <t>Gg.TK Tunas Mekar Kuala</t>
  </si>
  <si>
    <t>Gg. Family Jl. Gatot Subroto RT 22 Seruyan Hilir</t>
  </si>
  <si>
    <t>Gg. Sawo Jl. Patimura KP I</t>
  </si>
  <si>
    <t>Jalan Muliono Gg. PDAM Kuala Pembuang I Kec. Seruyan Hilir Timur</t>
  </si>
  <si>
    <t>Jalan Gg. PDAM RT. 21 Kuala Pembuang I Kec. Seruyan Hilir</t>
  </si>
  <si>
    <t>Gg. Kembar Jalan Patimura RT . 12 Kuala Pembuang I</t>
  </si>
  <si>
    <t>Simpang Patimura Gang Terate</t>
  </si>
  <si>
    <t>Jalan Masuk Bandara Kuala Pembuang</t>
  </si>
  <si>
    <t>Gg. margo rukun RT-31 Kuala Pembuang I</t>
  </si>
  <si>
    <t>Jalan Mahang Gg. Karet</t>
  </si>
  <si>
    <t>Jl Mahang Gg Karet RT 01 RW 02 Kelurahan Kuala Pembuang I Kec Seruyan Hilir</t>
  </si>
  <si>
    <t>Gg. Mulyono Kelurahan KP I Kec. Seruyan Hilir</t>
  </si>
  <si>
    <t>Jalan Mahang Gg. Indah II Kuala Pembuang I</t>
  </si>
  <si>
    <t>gg. Sawit Kuala Pembuang I Kec Seruyan Hilir</t>
  </si>
  <si>
    <t>Jalan RT 08 RW 02 Kelurahan Kuala Pembuang I (Samping Kantor Banwaslu) Kec. Seruyan Hilir</t>
  </si>
  <si>
    <t>H. Bramsyah</t>
  </si>
  <si>
    <t>Gg. Nasri RT.29 Kuala Pembuang I</t>
  </si>
  <si>
    <t>Gg Ilalang Rt. 13 Mahang Kuala Pembuang I Kec Seruyan Hilir</t>
  </si>
  <si>
    <t>Gg. Kelurahan RT. 11</t>
  </si>
  <si>
    <t>Jalan Lingkungan yang terletak di Kelurahan Rantau Pulut</t>
  </si>
  <si>
    <t>Jalan Km. 09</t>
  </si>
  <si>
    <t>Jalan batu Haramaung</t>
  </si>
  <si>
    <t>Gg. Jannah</t>
  </si>
  <si>
    <t>Gg. Said Anwar</t>
  </si>
  <si>
    <t>Gg. Masid Nurul Iman</t>
  </si>
  <si>
    <t>Jalan Puskesmas</t>
  </si>
  <si>
    <t>Jalan Durian / Basah Hasan</t>
  </si>
  <si>
    <t>Gg. Masid Nurul Iman/Gg. Hudri Jamhe RT. 10</t>
  </si>
  <si>
    <t>Jalan Menuju Rujab Camat</t>
  </si>
  <si>
    <t>Samping Rujab Camat</t>
  </si>
  <si>
    <t>SMP I</t>
  </si>
  <si>
    <t>Jalan Makam Umum</t>
  </si>
  <si>
    <t>Jalan Kuburan Kaharingan</t>
  </si>
  <si>
    <t>Jalan Sandil</t>
  </si>
  <si>
    <t>Jalan Simpang SMA</t>
  </si>
  <si>
    <t>Jalan Wisata menuju Sahai Pahal</t>
  </si>
  <si>
    <t>Jalan Tajudin Kusuma</t>
  </si>
  <si>
    <t>Jalan Tjilik Riwut G. Fitnes RT. 19 Kuala Pembuang II Kec. Seruyan Hilir</t>
  </si>
  <si>
    <t>Jalan Lingkungan yang terletak di Kelurahan Kuala Pembuang II</t>
  </si>
  <si>
    <t>Gg. H.Amir Kuala Pembuang II Kec Seruyan Hilir</t>
  </si>
  <si>
    <t>Jl. Matlima Gg. Kenanga RT. 04/02 Kuala Pembuang II</t>
  </si>
  <si>
    <t>JL. Udi Masaro Gg. H. Nasar KP II Kec. Seruyan Hilir</t>
  </si>
  <si>
    <t>Jalan Simpang Udi Masaro</t>
  </si>
  <si>
    <t>Jalan Belakang Bea Cukai</t>
  </si>
  <si>
    <t>Simpang Jalan AIS Nasution Kuala Pembuang II</t>
  </si>
  <si>
    <t>Gg. Onggo KP II</t>
  </si>
  <si>
    <t>Jalan Gg. Sukamandang Kampung Godang Kuala Pembuang II</t>
  </si>
  <si>
    <t>Gang Pelindo</t>
  </si>
  <si>
    <t>Simpang  Segintung  RT.33 Kelurahan Kuala Pembuang II Kec. Seruyan Hilir</t>
  </si>
  <si>
    <t>Jalan Jalur Tatah I Segintung Kuala Pembuang 2 kec. Seruyan Hilir</t>
  </si>
  <si>
    <t>jl. Masuk Kantor PWI</t>
  </si>
  <si>
    <t>Jl. Lurus Kec. Seruyan Hilir</t>
  </si>
  <si>
    <t>Gg. Nusa Indah 2 Kuala Pembuang II</t>
  </si>
  <si>
    <t>Gg. Pematang Laka Kuala Pembuang II Kec Seruyan Hilir</t>
  </si>
  <si>
    <t>Jalan Wijaya Indah Kuala Pembuang II Kec. Seruyan Hilir</t>
  </si>
  <si>
    <t>Gg.H.Nasrun RT.24 RW.03 Kuala Pembuang II</t>
  </si>
  <si>
    <t>belakang SMK ( Jalan BJ. HABIBIE ) Kuala Pembuang II Kec Seruyan Hilir</t>
  </si>
  <si>
    <t>Jalan Gg. SMK 3 Kelurahan KP II Kec Seruyan Hilir</t>
  </si>
  <si>
    <t>Jalan dan Siring Gg. Laka Jl. Ki Hajar Dewantara Kuala Pembuang II</t>
  </si>
  <si>
    <t>Jalan Kihajar Dewantara Gang SMK II Kec. Seruyan Hilir</t>
  </si>
  <si>
    <t>Jalan Ki Hajar Dewantara Gang SMKN I RT. 24 Kuala Pembuang II Kec. Seruyan Hilir</t>
  </si>
  <si>
    <t>GG. H.Matlim Kuala Pembuang</t>
  </si>
  <si>
    <t>Gg. Ahmad Sa'ad Samping TPU Komplek Pelabuhan Kuala Pembuang II Kec Seruyan Hilir</t>
  </si>
  <si>
    <t>Gang Famili</t>
  </si>
  <si>
    <t>Gg. H. Anang Alus Kp-2</t>
  </si>
  <si>
    <t>Jalan Muhajirin Gg. Nangka RT. 12 RW. 03 Kuala Pembuang II Kec. Seruyan Hilir</t>
  </si>
  <si>
    <t>Gg. Samping Muhajirin Kuala Pembuang</t>
  </si>
  <si>
    <t>Simpang Jalan Muhajirin</t>
  </si>
  <si>
    <t>Jalan Abadi 2 Seruyan Hilir</t>
  </si>
  <si>
    <t>jl. lingkungan Gg. Abadi  III Kuala Pembuang</t>
  </si>
  <si>
    <t>Gg. Jambu RT. 28 Kuala Pembuang, Titik Awal ( S 03' 22.122 - E 112 ' 32.801 ) Titik Akhir ( S 03' 23.147' - E 112' 32.766 )</t>
  </si>
  <si>
    <t>Jalan dan Siring Timbunan Jl. Imam Bonjol Gg. Haji Anang Ganal RT. 25 RW 03 Kp II Kec. Seruyan Hilir</t>
  </si>
  <si>
    <t>Gang Anang Ganal RT.29 RW.03 Kuala Pembuang II Kec. Seruyan Hilir</t>
  </si>
  <si>
    <t>Jalan Cut Nyak Dien Gg. Mangga RT. 25 Kuala Pembuang</t>
  </si>
  <si>
    <t>Gang Mangga I</t>
  </si>
  <si>
    <t>Gang Cemara</t>
  </si>
  <si>
    <t>Gg. Damai Rt 28 Kuala Pembuang II Kec. Seruyan Hilir</t>
  </si>
  <si>
    <t>Gg. Pelita 5 Rt. 28 Rw. 2 Kuala Pembuang II Kec. Seruyan Hilir</t>
  </si>
  <si>
    <t>Pelita VI Kuala Pembuang II Kec Seruyan Hilir</t>
  </si>
  <si>
    <t>Gg Pelita IV Jl. DI Panjaitan Kuala Pembuang</t>
  </si>
  <si>
    <t>Pembuatan  Gg. Pelita VI di Jalan D.I. Panjaitan Kelurahan Kuala Pembuang II di Belakang BPD</t>
  </si>
  <si>
    <t>Jala Panjaitan Gg. Pelita V Kec. Seruyan Hilir</t>
  </si>
  <si>
    <t>Semenenisasi Jalan Salak RT. 27 Kuala Pembuang II Kec. Seruyan Hilir (Lanjutan )</t>
  </si>
  <si>
    <t>Gg. Salak Kuala Pembuang</t>
  </si>
  <si>
    <t>Gg. Kebun Jeruk Jl Pemuda RT 26 RW 01 Kelurahan Kuala Pembuang II Kec Seruyan Hilir</t>
  </si>
  <si>
    <t>Gang Pemuda I</t>
  </si>
  <si>
    <t>Gg. Setia Kec. Seruyan Hilir</t>
  </si>
  <si>
    <t>Jln. Kedondong Kuala Pembuang II</t>
  </si>
  <si>
    <t>Gg. Muslim I dan II RT. 20 Kuala Pembuang II</t>
  </si>
  <si>
    <t>Gang Ilmi RT. 24 RW. 03 Kuala Pembuang II Kec. Seruyan Hilir</t>
  </si>
  <si>
    <t>Jalan Budi Utomo III (Belakang SMA 1 Kuala Pembuang II)</t>
  </si>
  <si>
    <t>Jalan Budi Utomo Gang Akad RT.27 Kuala Pembuang II Kec. Seruyan Hilir</t>
  </si>
  <si>
    <t>Gg. Harmoni Jl. Gajah Mada Kuala Pembuang (DDL)</t>
  </si>
  <si>
    <t>Jalan RT.027 RW,002 ( Belakang Kantor Perpustakaan Daerah Seruyan ) Kuala Pembuang II Kec. Seruyan Hilir</t>
  </si>
  <si>
    <t>Jl. Pematang Beringin Gg. Pematang Beringin Kel. Kuala Pembuang II Kec. Seruyan Hilir</t>
  </si>
  <si>
    <t>SD / IT Qurata A'yun Kuala pembuang</t>
  </si>
  <si>
    <t>Gang Akad Kuala Pembuang</t>
  </si>
  <si>
    <t>Gg. Fitri Kelurahan Kuala Pembuang II Kec. Seruyan Hilir</t>
  </si>
  <si>
    <t>Gang Budi Utomo</t>
  </si>
  <si>
    <t>GG. Akasia Jl. Budi Utomo RT. 20 Kuala Pembuang</t>
  </si>
  <si>
    <t>Jalan Budi Utomo II Kuala Pembuang II</t>
  </si>
  <si>
    <t>Gang Agus Jalan Budi Utomo RT 20 Kuala Pembuang</t>
  </si>
  <si>
    <t>Budi Utomo Gg H.Iril RT.27 Kuala Pembuang II Kec. Seruyan Hilir</t>
  </si>
  <si>
    <t>Gang Mufakat Jalan Pematang Buluh RT. 20 Kuala Pembuang</t>
  </si>
  <si>
    <t>Jalan Budi Utomo Gg.Swakarsa Kuala Pembuang II Kec Seruyan Hilir</t>
  </si>
  <si>
    <t>Jl. Budi Utomo Gg. Mufakat Kel. Kuala Pembuang II Kec. Seruyan Hilir</t>
  </si>
  <si>
    <t>Jalan Budi Utomo Gg. Ali Imran Kuala Pembuang II</t>
  </si>
  <si>
    <t>Gg. Swakarya Jl. Budi Utomo (DDL)</t>
  </si>
  <si>
    <t>Gg. Budi Utomo II, Kelurahan Kuala Pembuang II Kec. Seruyan Hilir</t>
  </si>
  <si>
    <t>Gang Victoria</t>
  </si>
  <si>
    <t>Jalan Cilik Riwut Gang Fitnes RT. 19 Kelurahan Kuala Pembuang II Kec. Seruyan Hilir</t>
  </si>
  <si>
    <t>JL. PELABUHAN, KUALA PEMBUANG DUA</t>
  </si>
  <si>
    <t>JL. PELABUHAN</t>
  </si>
  <si>
    <t>JL. ABADI IV, KUALA PEMBUANG DUA</t>
  </si>
  <si>
    <t>JL. ABADI IV</t>
  </si>
  <si>
    <t>JL. PELANTAN RAYA,  KUALA PEMBUANG DUA</t>
  </si>
  <si>
    <t>JL. PELANTAN RAYA</t>
  </si>
  <si>
    <t>JL. SWADAYA PERMAI I, KUALA PEMBUANG SATU</t>
  </si>
  <si>
    <t>JL. SWADAYA PERMAI I</t>
  </si>
  <si>
    <t>JL. HAJI UNAN, KUALA PEMBUANG DUA</t>
  </si>
  <si>
    <t>JL. HAJI UNAN</t>
  </si>
  <si>
    <t>JL. SWADAYA PERMAI II, KUALA PEMBUANG SATU</t>
  </si>
  <si>
    <t>JL. SWADAYA PERMAI II</t>
  </si>
  <si>
    <t>JL. HASAN, KUALA PEMBUANG SATU</t>
  </si>
  <si>
    <t>JL. HASAN</t>
  </si>
  <si>
    <t>JL. KUA, KUALA PEMBUANG DUA</t>
  </si>
  <si>
    <t>JL. KUA</t>
  </si>
  <si>
    <t>tanah untuk bangunan jaringan lainnya (dst)</t>
  </si>
  <si>
    <t>01.01.03.10.005</t>
  </si>
  <si>
    <t>Danau Sembuluh</t>
  </si>
  <si>
    <t>188.45/275/2016</t>
  </si>
  <si>
    <t>DIR. Palingkau Sekunder</t>
  </si>
  <si>
    <t>Hanau</t>
  </si>
  <si>
    <t>DIR. Tanjung Hanau Tersier</t>
  </si>
  <si>
    <t>Seruyan Hilir Timur</t>
  </si>
  <si>
    <t>DIR. Cempaka Baru Primer</t>
  </si>
  <si>
    <t>DIR. Palingkau Primer</t>
  </si>
  <si>
    <t>DIR. Tanjung Hanau Primer</t>
  </si>
  <si>
    <t>Danau Seluluk</t>
  </si>
  <si>
    <t>DIR. Tanjung Paring Sekunder</t>
  </si>
  <si>
    <t>DIR. Tanjung Hanau Sekunder</t>
  </si>
  <si>
    <t>DIR. Cempaka Baru Sekunder</t>
  </si>
  <si>
    <t>Batu Ampar</t>
  </si>
  <si>
    <t>DIR. Desa Sebabi SekunderDIR. Desa Sebabi Sekunder</t>
  </si>
  <si>
    <t>DIR. Tanjung rangas Sekunder</t>
  </si>
  <si>
    <t>Seruyan Hilir</t>
  </si>
  <si>
    <t>DIR. Pematang Buluh  Primer</t>
  </si>
  <si>
    <t>DIR. Sembuluh Sekunder</t>
  </si>
  <si>
    <t>DIR. Pematang Buluh  Kolektor</t>
  </si>
  <si>
    <t>DIR. Sembuluh Tersier</t>
  </si>
  <si>
    <t>DIR. Seruyan I Tersier</t>
  </si>
  <si>
    <t>DIR. Tanjung rangas Primer</t>
  </si>
  <si>
    <t>DIR. Poktan Harapan Makmur Derangga Sekunder</t>
  </si>
  <si>
    <t>Seruyan Raya</t>
  </si>
  <si>
    <t>DIR. Bangkal Sekunder</t>
  </si>
  <si>
    <t>DIR. Bangkal Tersier</t>
  </si>
  <si>
    <t>Seruyan Tengah</t>
  </si>
  <si>
    <t>DIR. Ayap Batu Harimaung Sekunder</t>
  </si>
  <si>
    <t>DIR. Pematang Buluh  Tersier</t>
  </si>
  <si>
    <t>DIR. Bangkal Primer</t>
  </si>
  <si>
    <t>DIR. Seruyan II Kolektor</t>
  </si>
  <si>
    <t>DIR. Keramat  Tersier</t>
  </si>
  <si>
    <t>DIR. Seruyan IV Kolektor</t>
  </si>
  <si>
    <t>DIR. Tambak Buntus Primer</t>
  </si>
  <si>
    <t>DIR. Panimba Raya Sekunder</t>
  </si>
  <si>
    <t>DIR. Sembuluh Primer</t>
  </si>
  <si>
    <t>DIR. Ayap Agung Permai Sekunder</t>
  </si>
  <si>
    <t>DIR. Ayap Sepeda Sekunder</t>
  </si>
  <si>
    <t>DIR. Sei Bakau Sekunder</t>
  </si>
  <si>
    <t>DIR. Asam Baru Sekunder</t>
  </si>
  <si>
    <t>DIR. Panimba Raya Primer</t>
  </si>
  <si>
    <t>DIR. Pematang Limau  Kolektor</t>
  </si>
  <si>
    <t>DIR. Seruyan V Tersier</t>
  </si>
  <si>
    <t>DIR. Ayap Batu Harimaung Primer</t>
  </si>
  <si>
    <t>DIR. Pematang Limau  Tersier</t>
  </si>
  <si>
    <t>DIR. Sebulu Primer</t>
  </si>
  <si>
    <t>DIR. Sebulu Sekunder</t>
  </si>
  <si>
    <t>DIR. Rantau Pulut Primer</t>
  </si>
  <si>
    <t>DIR. Sei. Undang Primer</t>
  </si>
  <si>
    <t>DIR. Seruyan IV Primer</t>
  </si>
  <si>
    <t>DIR. Seruyan III Kolektor</t>
  </si>
  <si>
    <t>DIR. Ayap Sepeda Tersier</t>
  </si>
  <si>
    <t>DIR. Seruyan V Primer</t>
  </si>
  <si>
    <t>DIR. Pematang Buluh  Sekunder</t>
  </si>
  <si>
    <t>DIR. Seruyan II Primer</t>
  </si>
  <si>
    <t>DIR. Ayap Sepeda Primer</t>
  </si>
  <si>
    <t>DIR. Ayap Agung Permai Primer</t>
  </si>
  <si>
    <t>DIR. Seruyan V Kolektor</t>
  </si>
  <si>
    <t>DIR. Keramat  Kolektor</t>
  </si>
  <si>
    <t>DIR. Sei Bakau Primer</t>
  </si>
  <si>
    <t>DIR. Pematang Kambat  Primer</t>
  </si>
  <si>
    <t>DIR. Seruyan III Primer</t>
  </si>
  <si>
    <t>DIR. Seruyan V Sekunder</t>
  </si>
  <si>
    <t>DIR. Seruyan I Primer</t>
  </si>
  <si>
    <t>DIR. Seruyan III Sekunder</t>
  </si>
  <si>
    <t>DIR. Seruyan I Sekunder</t>
  </si>
  <si>
    <t>DIR. Seruyan II Sekunder</t>
  </si>
  <si>
    <t>DIR. Pematang Kambat  Sekunder</t>
  </si>
  <si>
    <t>DIR. Seruyan IV Sekunder</t>
  </si>
  <si>
    <t>DIR. Keramat  Sekunder</t>
  </si>
  <si>
    <t>DIR. Pasipu Primer</t>
  </si>
  <si>
    <t>DIR. Pematang Limau  Sekunder</t>
  </si>
  <si>
    <t>DIR. Pematang Limau  Primer</t>
  </si>
  <si>
    <t>1511.000001513.0</t>
  </si>
  <si>
    <t>DIR. Pembuang Hulu I Primer</t>
  </si>
  <si>
    <t>Irigasi (Pada tanah tersebut terbit sebanyak 4 Sertifikat)</t>
  </si>
  <si>
    <t>DIR. Asam Baru Primer</t>
  </si>
  <si>
    <t>DIR. Bakung Permai Sekunder</t>
  </si>
  <si>
    <t>1511.000001729.0</t>
  </si>
  <si>
    <t>DIR. Pembuang Hulu I Sekunder</t>
  </si>
  <si>
    <t>Irigasi Bahaur (Pada tanah tersebut terbit sebanyak 8 Sertifikat)</t>
  </si>
  <si>
    <t>DIR. Keramat  Primer</t>
  </si>
  <si>
    <t>DIR. Bakung Permai Primer</t>
  </si>
  <si>
    <t>DIR. Pasipu Sekunder</t>
  </si>
  <si>
    <t>Tanah Kaveling (dst)</t>
  </si>
  <si>
    <t>01.01.01.01.012</t>
  </si>
  <si>
    <t>jl. Pembangunan Natai Manjangan Tanjung Paring Kecamatan Danau Seluluk</t>
  </si>
  <si>
    <t>15.11.08.03.4.00003</t>
  </si>
  <si>
    <t>Tanah Pembangunan Rumah Khusus beserta  sarana, Prasarana dan fasilitas Umum ( Hibah dari Syahrani Selaku Kepala Desa Tanjung paring)</t>
  </si>
  <si>
    <t>DINAS PERUMAHAN, KAWASAN PEMUKIMAN DAN PERTANAHAN</t>
  </si>
  <si>
    <t>Jalan Natai Amang Tanjung Paring Kecamatan Danau seluluk</t>
  </si>
  <si>
    <t>15.11.08.03.4.00002</t>
  </si>
  <si>
    <t>Tanah Pembangunan Relokasi terdampak Bencana  ( hibah  dari masyarakat Lasmiati )</t>
  </si>
  <si>
    <t>RT. 01 Tumbang Kubang Kecamatan Seruyan Hulu Kab. Seruyan</t>
  </si>
  <si>
    <t>SP Hibah Tanah : 140/565/SPHT/PEM/DTK-SH/XI/2021</t>
  </si>
  <si>
    <t>Tanah Pembangunan Rumah Khusus beserta  sarana, Prasarana dan fasilitas Umum ( Hibah dari Imanuel, S.Pd Selaku Kepala Desa Tumbang Kubang)</t>
  </si>
  <si>
    <t>100.3.3.2/245/2025</t>
  </si>
  <si>
    <t>Sekolah Rakyat</t>
  </si>
  <si>
    <t>Tanah Untuk Makam Pahlawan</t>
  </si>
  <si>
    <t>01.01.03.12.001</t>
  </si>
  <si>
    <t>593.2/97/SP-KP-II/2006</t>
  </si>
  <si>
    <t>Rencana Taman Makam Pahlawan</t>
  </si>
  <si>
    <t>SKPT hanya fotocopy</t>
  </si>
  <si>
    <t>Jln. Diponegoro, Kuala Pembuang Dua, Seruyan Hilir, Kab. Seruyan</t>
  </si>
  <si>
    <t>15.11.05.02.4.00057</t>
  </si>
  <si>
    <t>Dinas Sosial</t>
  </si>
  <si>
    <t>Tanah Makam Pahlawan Pasir Kencana dari Saudara Tabrani (Akta Tukar Menukar Tahun 1993)</t>
  </si>
  <si>
    <t>Jl. Uyup Alip Desa Pembuang Hulu II Kecamatan Hanau</t>
  </si>
  <si>
    <t>15.11.03.07.4.00037</t>
  </si>
  <si>
    <t>makam Pahlawan (Dinas sosial)</t>
  </si>
  <si>
    <t>Tanah Makam Pahlawan (NJOP)</t>
  </si>
  <si>
    <t>Jl. Kapten Mulyono Desa Tumbang Manjul Kec. Seruyan Hulu</t>
  </si>
  <si>
    <t>15.11.01.03.4.00013</t>
  </si>
  <si>
    <t>Tanah Makam Pahlawan (Nilai NJOP)</t>
  </si>
  <si>
    <t>Jl. Bakrie entong</t>
  </si>
  <si>
    <t>Jl. akhamd Yani</t>
  </si>
  <si>
    <t>Jl. Aromani RT.13/RW.IV Kuala Pembuang II Kecamatan Seruyan Hilir</t>
  </si>
  <si>
    <t>15.05.09.02.4.00007</t>
  </si>
  <si>
    <t>PUSKESMAS KUALA PEMBUANG I</t>
  </si>
  <si>
    <t>Jl. AIS. Nasution RT.7/RW.2 - Desa Sungai Undang Kuala Pembuang II</t>
  </si>
  <si>
    <t>15.05..09.02.4.00025</t>
  </si>
  <si>
    <t>POSKESDES DESA SUNGAI UNDANG</t>
  </si>
  <si>
    <t>Jl. Bridjen Katamso Kuala Pembuang I Kecamatan Seruyan Hilir</t>
  </si>
  <si>
    <t>15.05.09.01.4.00017</t>
  </si>
  <si>
    <t>RUMAH DINAS (2) dr. ABAS</t>
  </si>
  <si>
    <t>15.05.09.01.4.00016</t>
  </si>
  <si>
    <t>RUMAH DINAS (1) dr. SOLIHIN</t>
  </si>
  <si>
    <t>Jl Jenderal Sudirman km69</t>
  </si>
  <si>
    <t>Kantor Camat Seruyan Raya</t>
  </si>
  <si>
    <t>Surat Hibah Tanah Atas nama Empol dengan Registrasi Kantor Camat Seruyan Raya 593.21/1.569/SPPT-KSR/VIII/2017 Tanggal 31 Agustus 2017.</t>
  </si>
  <si>
    <t>Jl. Bakrie Entong</t>
  </si>
  <si>
    <t>Jl. Bakri Entong Kec. Hanau Pembuang Hulu I</t>
  </si>
  <si>
    <t>Kantor P &amp; K Kecamatan Hanau</t>
  </si>
  <si>
    <t>NILAI PASAR</t>
  </si>
  <si>
    <t>15.05.09.02.4.00012</t>
  </si>
  <si>
    <t>PERUMAHAN GURU SDN 3 KP I</t>
  </si>
  <si>
    <t>Desa Persil Raya, Kecamatan Seruyan Hilir</t>
  </si>
  <si>
    <t>Tanah Gedung PKBM</t>
  </si>
  <si>
    <t>Nilai Pasar</t>
  </si>
  <si>
    <t xml:space="preserve"> Jalan Ahmad Yani  Kecamatan Seruyan Hilir</t>
  </si>
  <si>
    <t xml:space="preserve"> Kantor Dinas  Dikpora</t>
  </si>
  <si>
    <t xml:space="preserve"> 15.05.09.02.4.00022</t>
  </si>
  <si>
    <t>PERUMAHAN GURU (1) SDN 4 KUALA PEMBUANG II</t>
  </si>
  <si>
    <t>15.05.09.02.4.00023</t>
  </si>
  <si>
    <t xml:space="preserve"> GURUSDN 4 KUALA PEMBUANG</t>
  </si>
  <si>
    <t>15.05.09.02.4.00015</t>
  </si>
  <si>
    <t>SDN 3 KUALA PEMBUANG I</t>
  </si>
  <si>
    <t>15.05.09.02.4.00016</t>
  </si>
  <si>
    <t>SDN 3 KUALA PEMBUANG II</t>
  </si>
  <si>
    <t>Jl. Aromani RT.13/RW/IV Kuala Pembuang II Kecamatan Seruyan Hilir</t>
  </si>
  <si>
    <t>15.05.09.02.4.00020</t>
  </si>
  <si>
    <t>SDN 4 KUALA PEMBUANG II</t>
  </si>
  <si>
    <t>Jl. D.I. Panjaitan Kuala Pembuang II Kecamatan Seruyan Hilir</t>
  </si>
  <si>
    <t>15.05.09.02.4.00010</t>
  </si>
  <si>
    <t>PERUMAHAN DINAS (1) UPTD DISDIKPORA</t>
  </si>
  <si>
    <t>15.05.04.02.4.00026</t>
  </si>
  <si>
    <t>PERUMAHAN GURU (1) SDN 5 SUNGAI UNDANG KP II</t>
  </si>
  <si>
    <t>15.05.09.02.4.00009</t>
  </si>
  <si>
    <t>PERUMAHAN DINAS (2) UPTD DISDIKPORA</t>
  </si>
  <si>
    <t>15.05.09.02.4.00011</t>
  </si>
  <si>
    <t>Jl. Tajudin Kusuma- Kec. Seruyan Tengah</t>
  </si>
  <si>
    <t>15.11.02.16.2.00011</t>
  </si>
  <si>
    <t>SMU PGRI II RANTAU PULUT</t>
  </si>
  <si>
    <t>15.05.09.02.4.00024</t>
  </si>
  <si>
    <t>PERUMAHAN GURU (2) SDN 4 KUALA PEMBUANG II</t>
  </si>
  <si>
    <t>15.05.09.02.4.00021</t>
  </si>
  <si>
    <t xml:space="preserve"> 15.05.09.02.4.00014</t>
  </si>
  <si>
    <t>15.05.09.02.4.00013</t>
  </si>
  <si>
    <t>PERUMAHAN GURU SDN 3 KUALA PEMBUANG I</t>
  </si>
  <si>
    <t>Jl. KI Hajar Dewantara Kuala Pembuang II Kecamatan Seruyan Hilir</t>
  </si>
  <si>
    <t>15.05.09.02.4.00019</t>
  </si>
  <si>
    <t>PERUMAHAN GURU (3) SDN 3 KP II</t>
  </si>
  <si>
    <t>15.05.09.02.4.00018</t>
  </si>
  <si>
    <t>PERUMAHAN GURU (1) SDN 3 KP II</t>
  </si>
  <si>
    <t>15.05.09.02.4.00017</t>
  </si>
  <si>
    <t>PERUMAHAN GURU (2) SDN 3  KP II</t>
  </si>
  <si>
    <t>Desa Tebiku,Kecamatan Danau Sembuluh</t>
  </si>
  <si>
    <t>Bangunan Pustu Desa Tebiku</t>
  </si>
  <si>
    <t>Tanah Bangunan Pustu Desa Tebiku, (Surat Pernyataan Pembebasan Tanah)</t>
  </si>
  <si>
    <t>PUSKESMAS DANAU SEMBULUH</t>
  </si>
  <si>
    <t>Jl. Desa Sembuluh II, Kec. Danau Sembuluh</t>
  </si>
  <si>
    <t>03/SK-DS.II/2001</t>
  </si>
  <si>
    <t>Bangunan Pustu Desa Sembuluh II</t>
  </si>
  <si>
    <t>Jalan Dahlia  Kec. Danau Sembuluh</t>
  </si>
  <si>
    <t>017/SKT/PEM.SBL-1/III/2013</t>
  </si>
  <si>
    <t xml:space="preserve"> Bangunan  Pusk. D. Sembuluh</t>
  </si>
  <si>
    <t xml:space="preserve"> Tanah Bangunan Puskesmas Danau Sembuluh</t>
  </si>
  <si>
    <t>Jl. Darlan Aceh Rt. 04/ Rw. 02 Desa Sembuluh II Kec. Danau Sembuluh</t>
  </si>
  <si>
    <t>0612/SKHT/Pemdes.SBL-II/IX/2014</t>
  </si>
  <si>
    <t>Sarana Puskesmas</t>
  </si>
  <si>
    <t>Tanah Bangunan Poskesdes Desa sembuluh II</t>
  </si>
  <si>
    <t>Desa Tabiku RT. 001 Kec. Danau Sembulu</t>
  </si>
  <si>
    <t>593.83/    /SKH-KSR/2015</t>
  </si>
  <si>
    <t>Tanah Bangunan Pustu Desa Tabiku RT. 001 Kec. Danau Sembuluh</t>
  </si>
  <si>
    <t>Jl. Aromani RT. 13, RW. 02, Kelurahan Kuala pembuamg II Kecamatan Seruyan Hilir</t>
  </si>
  <si>
    <t>593.2/299/SP-SHR/2008</t>
  </si>
  <si>
    <t>Bangunan Rumah DinasParamedisn Puskesmas KP I</t>
  </si>
  <si>
    <t>Tanah Bangunan Rumah DinasParamedisn Puskesmas KP I, (Surat Pernyataan)</t>
  </si>
  <si>
    <t>Jl. Budi Utomo, Kuala pembuang Kec. Seryan Hilir</t>
  </si>
  <si>
    <t>Untuk Bangunan Perumahan</t>
  </si>
  <si>
    <t>Perumahan Paramedis PK Kuala pembuang I</t>
  </si>
  <si>
    <t>Jl. Bahagia, RT. 02, RW. 01, Desa pematang Limau Kecamatan Seruyan Hilir</t>
  </si>
  <si>
    <t>09/SKDPL-I/2011</t>
  </si>
  <si>
    <t>Bangunan Poskesdes Pematang Limau</t>
  </si>
  <si>
    <t>Tanah Bangunan Poskesdes Pematang Limau, (Surat Keterangan)</t>
  </si>
  <si>
    <t>Jl. Sukarno Hatta, RT. 19 Keluurahan Kuala Pembuang I, Kecamatan Seruyan Hilir</t>
  </si>
  <si>
    <t>593-21/299-SKPT/2007</t>
  </si>
  <si>
    <t>Bangunan PolindesKelurahan Kuala Pembuang I</t>
  </si>
  <si>
    <t>Tanah Bangunan PolindesKelurahan Kuala Pembuang I, ( Surat KeteranganPenyerahan Tanah)</t>
  </si>
  <si>
    <t>Jl. A. Romanie  Kel. Kuala Pembuang I  Kec. Seruyan Hilir</t>
  </si>
  <si>
    <t>Puskesmas  Kuala Pembauan I</t>
  </si>
  <si>
    <t>Tanah Puskesmas Kuala Pembuang I</t>
  </si>
  <si>
    <t>Jl. Bahagia, RT. 1 RW. 1, Desa Pematang Limau Kecamatan Seruyan Hilir</t>
  </si>
  <si>
    <t>Bangunan Pustu  Desa Pematang Limau</t>
  </si>
  <si>
    <t>Desa Sungai Undang, Kecamatan Seruyan Hilir</t>
  </si>
  <si>
    <t>Bangunan Pustu Sungai Undang</t>
  </si>
  <si>
    <t>Tanah Bangunan Pustu Sungai Undang</t>
  </si>
  <si>
    <t>Desa Sungai Perlu, Kecamatan Seruyan Hilir</t>
  </si>
  <si>
    <t>Bangunan Pustu Sungai Perlu</t>
  </si>
  <si>
    <t>Tanah Bangunan Pustu Sungai Perlu</t>
  </si>
  <si>
    <t>Desa Bangun Harja Kecamatan Seruyan Hilir Timur</t>
  </si>
  <si>
    <t>15.06.05.4.00024</t>
  </si>
  <si>
    <t>Bangunan Pustu Desa Bangun Harja</t>
  </si>
  <si>
    <t>Tanah Bangunan Pustu Desa Bangun Harja, (Keterangan Wakaf)</t>
  </si>
  <si>
    <t>PUSKESMAS KUALA PEMBUANG II</t>
  </si>
  <si>
    <t>Jl. Putri Junjung Buih,RT. 04,RW. 02, Desa Kartika Bakti, Kecamatan Seruyan Hilir Timur</t>
  </si>
  <si>
    <t>15.11.0.03.4.00018</t>
  </si>
  <si>
    <t>Bangunan Poskesdes Desa Kartika Bakti</t>
  </si>
  <si>
    <t>Tanah Bangunan Poskesdes Desa Kartika Bakti, (Surat Pernyataan Hibah)</t>
  </si>
  <si>
    <t>Jl. Kelapa, RT. 07, RW02 Desa Bangun Harja, Kecamatan Seruyan Hilir Timur</t>
  </si>
  <si>
    <t>15.11.06.05.4.00025</t>
  </si>
  <si>
    <t>Bangunan Puskesdes Desa Bangun Harja</t>
  </si>
  <si>
    <t>Tanah Bangunan Puskesdes Desa Bangun Harja, (Surat Keterangan Asli</t>
  </si>
  <si>
    <t xml:space="preserve"> Jl. Pematang Kambat  Kec. Seruyan Hilir</t>
  </si>
  <si>
    <t>Bangunan Puskesmas Kuala pembuang II</t>
  </si>
  <si>
    <t xml:space="preserve"> Tanah Bangunan Puskesmas Kuala Pembuang II</t>
  </si>
  <si>
    <t>Jl. Pembangunan RT. 07,RW. 02, Desa Pematang Panjang Kecamatan Seruyan Hilir Timur</t>
  </si>
  <si>
    <t>593.21/531/SH-SP/2007</t>
  </si>
  <si>
    <t>Bangunan Puskesmas Pematang Panjang</t>
  </si>
  <si>
    <t>Tanah Bangunan Puskesmas Pematang Panjang, (Surat Keterangan Penyerahan Tanah)</t>
  </si>
  <si>
    <t>RT. 03 RW. 01 Desa Tanjung Rangas Kecamatan Seruyan Hilir Timur</t>
  </si>
  <si>
    <t>Tanah Bangunan Pustu Desa Tanjung Rangas</t>
  </si>
  <si>
    <t>Jl. Raya Pematang Panjang,RT. 07, RW. IV, Desa Pematang Panjang, Kecamatan Seruyan Hilir Timur</t>
  </si>
  <si>
    <t>Bangunan Poskesdes Desa Pematang Panjang</t>
  </si>
  <si>
    <t>Tanah Bangunan Poskesdes Desa Pematang Panjang, Surat Pernyataan Hibah</t>
  </si>
  <si>
    <t>Desa Pematang Panjang, Kecamatan Seruyan Hilir Timur</t>
  </si>
  <si>
    <t>Bangunan Puskesmas  Kuala Pembuang II</t>
  </si>
  <si>
    <t>Tanah Bangunan Puskesmas Pembantu Pematang Panjang Kuala Pembuang II, (Surat Penghibahan Tanah a.n usyadat Haitami)</t>
  </si>
  <si>
    <t>Jl. Cendana No. 2 Desa Halimaung Jaya Kecamatan Seruyan Hilir Timur</t>
  </si>
  <si>
    <t>15.11.06.04.4.00037</t>
  </si>
  <si>
    <t xml:space="preserve"> Bangunan Pustu Desa Halimaung Jaya</t>
  </si>
  <si>
    <t>Jl. Putri Junjung Buih,RT. 03,RW. 01, Desa Kartika Bakti, Kecamatan Seruyan Hilir Timur</t>
  </si>
  <si>
    <t>15.11.0.03.4.00016</t>
  </si>
  <si>
    <t>Tanah Bangunan Pustu Desa Kartika Bhakti</t>
  </si>
  <si>
    <t>Desa Mekar Indah Kecamatan Seruyan Hilir Timur</t>
  </si>
  <si>
    <t>15.11.06.06.4.00023</t>
  </si>
  <si>
    <t>Tanah Bangunan Pustu / Poskesdes Desa Mekar Indah</t>
  </si>
  <si>
    <t>Desa Muara Dua RT. 1 RW. 1 Kecamatan Seruyan Hilir Timur</t>
  </si>
  <si>
    <t>01/SHT/MD-SH/XI/2013</t>
  </si>
  <si>
    <t>Tanah Bangunan Pustu Desa Muara Dua</t>
  </si>
  <si>
    <t>15.11.06.04.4.00036</t>
  </si>
  <si>
    <t>Tanah Bangunan Poskesdes Desa Halimaung Jaya</t>
  </si>
  <si>
    <t>Tanah Bangunan Flat/Rumah Susun</t>
  </si>
  <si>
    <t>01.01.01.01.010</t>
  </si>
  <si>
    <t>Jln. A Toepak No. 8 Desa Telaga Pulang, Kec. Danau Sembuluh</t>
  </si>
  <si>
    <t>Tempat Tinggal</t>
  </si>
  <si>
    <t>Rumah Paramedis 	Desa Telaga Pulang, Kec. Danau Sembuluh</t>
  </si>
  <si>
    <t>PUSKESMAS TELAGA PULANG</t>
  </si>
  <si>
    <t>Desa Cempaka Baru Kec. Danau Sembuluh</t>
  </si>
  <si>
    <t>Tanah Bangunan Pustu Cempaka Baru</t>
  </si>
  <si>
    <t>Desa Cempaka Baru , Kec. Danau Sembuluh</t>
  </si>
  <si>
    <t xml:space="preserve"> Gedung Poskesdes</t>
  </si>
  <si>
    <t>Puskesdes Cempaka Baru</t>
  </si>
  <si>
    <t>Rt 02 Desa Benua Usang, Kec. Danau Sembuluh</t>
  </si>
  <si>
    <t xml:space="preserve"> Gedung Pustu</t>
  </si>
  <si>
    <t xml:space="preserve"> Pustu Benua Usang Kec. Danau Sembuluh</t>
  </si>
  <si>
    <t>Desa Ulak Batu, Kec. Danau Sembuluh</t>
  </si>
  <si>
    <t xml:space="preserve"> Pustu Ulak Batu</t>
  </si>
  <si>
    <t>Jln. Kasturi Desa Paren, Kec. Danau Sembuluh</t>
  </si>
  <si>
    <t xml:space="preserve"> Pustu Paren Kec. Danau Sembuluh</t>
  </si>
  <si>
    <t xml:space="preserve"> Puskesmas Telaga Pulang ( Lama )Desa Telaga Pulang, Kec. Danau Sembuluh</t>
  </si>
  <si>
    <t>Jln. Yatim Umar ,Desa telaga pulang, Kec. Danau Sembuluh</t>
  </si>
  <si>
    <t xml:space="preserve"> Puskesmas Telaga Pulang ( Baru ) Desa telaga pulang, Kec. Danau Sembuluh</t>
  </si>
  <si>
    <t>Jl. Padat Karya Desa Terawan Kecamatan Seruyan Raya</t>
  </si>
  <si>
    <t>Tanah Bangunan Poskesdes Desa Terawan</t>
  </si>
  <si>
    <t>PUSKESMAS TERAWAN</t>
  </si>
  <si>
    <t>Jl. Antang Patahu, Desa Bangkal RT. 07/RW. 03 Kec, Seruyan raya</t>
  </si>
  <si>
    <t>312/SKPT/K.SR/X/2014</t>
  </si>
  <si>
    <t>Tanah Bangunan Pustu Muara Bangkal</t>
  </si>
  <si>
    <t>Jl. Antang Patahu Desa Bangkal, Kecamatan Seruyan Raya</t>
  </si>
  <si>
    <t>100/SPH/PEMDES-BK/2009</t>
  </si>
  <si>
    <t>Bangunan Poskesdes Desa Bangkal</t>
  </si>
  <si>
    <t>Tanah Bangunan Poskesdes Desa Bangkal, (Surat Perjanjian Hibah)</t>
  </si>
  <si>
    <t>Jl. Jend. Sudirman, KM 69 Kec. Seruyan Raya</t>
  </si>
  <si>
    <t>15.11.07.02.400002</t>
  </si>
  <si>
    <t>Bangunan Puskesmas Desa terawan</t>
  </si>
  <si>
    <t xml:space="preserve"> Tanah Bangunan Puskesmas Terawan</t>
  </si>
  <si>
    <t>Jln. Mayjen Suprapto ex Jln. Aban Kec. Seruyan Hilir Desa Kuala Pembuang I</t>
  </si>
  <si>
    <t>15.11.05.01.2.00028</t>
  </si>
  <si>
    <t>Tanah eks Kantor SDK/BKPH Ser Hilir dan Rumah Dinas (samping pegadaian)</t>
  </si>
  <si>
    <t>RUMAH SAKIT UMUM DAERAH KUALA PEMBUANG</t>
  </si>
  <si>
    <t>27/AX466381</t>
  </si>
  <si>
    <t>Exs. BPN/Pemadam Kebakaran</t>
  </si>
  <si>
    <t>Tanah Bangunan Rumah Sakit</t>
  </si>
  <si>
    <t>01.01.01.04.003</t>
  </si>
  <si>
    <t>Jl. A. Yani No. 30 Kuala Pembuang I</t>
  </si>
  <si>
    <t>15.11.000001989.0</t>
  </si>
  <si>
    <t>Bangunan RSUD Kuala Pembuang</t>
  </si>
  <si>
    <t>Tanah RSUD Kuala Pembuang gabungan dari 9 SKPT yang dikuasai sejak tahun 2004</t>
  </si>
  <si>
    <t>15.05.09.01.4.00009</t>
  </si>
  <si>
    <t>RUMAH SAKIT (RSUD)</t>
  </si>
  <si>
    <t>15.05.09.01.4.00008</t>
  </si>
  <si>
    <t>15.05.09.01.4.00011</t>
  </si>
  <si>
    <t>RUMAH SAKIT</t>
  </si>
  <si>
    <t>15.05.09.01.4.00007</t>
  </si>
  <si>
    <t>15.05.09.01.4.00021</t>
  </si>
  <si>
    <t>15.05.09.01.4.00022</t>
  </si>
  <si>
    <t>Jl. AKHMAD YANI KUALA PEMBUANG I KAB SERUYAN</t>
  </si>
  <si>
    <t>15.05.09.01.4.00020</t>
  </si>
  <si>
    <t>RSUD Kuala Pembuang (Lahan Parkir)</t>
  </si>
  <si>
    <t>15.05.09.01.4.00012</t>
  </si>
  <si>
    <t xml:space="preserve"> Kec. Danau Sembuluh</t>
  </si>
  <si>
    <t>UPTD DISDIK KECAMATAN DANAU SEMBULUH</t>
  </si>
  <si>
    <t xml:space="preserve"> Desa Banua Usang  Kecamatan Danau Sembuluh</t>
  </si>
  <si>
    <t>SDN 1 BANUA USANG</t>
  </si>
  <si>
    <t xml:space="preserve"> Desa Cempaka Baru  Kecamatan Danau Sembuluh</t>
  </si>
  <si>
    <t>SDN 1 CEMPAKA BARU</t>
  </si>
  <si>
    <t xml:space="preserve"> Desa Palingkau  Kecamatan Danau Sembuluh</t>
  </si>
  <si>
    <t>SDN 1 PALINGKAU</t>
  </si>
  <si>
    <t xml:space="preserve"> Desa Paren  Kecamatan Danau Sembuluh</t>
  </si>
  <si>
    <t>SDN 1 PAREN</t>
  </si>
  <si>
    <t>SDN 1 SEMBULUH I</t>
  </si>
  <si>
    <t xml:space="preserve"> Desa Sembuluh II  Kecamatan Danau Sembuluh</t>
  </si>
  <si>
    <t>SDN 1 SEMBULUH II</t>
  </si>
  <si>
    <t xml:space="preserve"> Telaga Pulang  Kecamatan Danau Sembuluh</t>
  </si>
  <si>
    <t>SDN 1 TELAGA PULANG</t>
  </si>
  <si>
    <t xml:space="preserve"> Desa Ulak Batu  Kecamatan Danau Sembuluh</t>
  </si>
  <si>
    <t>SDN 1 ULAK BATU</t>
  </si>
  <si>
    <t>SDN 2 SEMBULUH I</t>
  </si>
  <si>
    <t>SDN 2 TELAGA PULANG</t>
  </si>
  <si>
    <t xml:space="preserve"> Kec. Seruyan Hilir  Kabupaten Seruyan</t>
  </si>
  <si>
    <t>Gedung UPTD</t>
  </si>
  <si>
    <t>UPTD DISDIK KECAMATAN SERUYAN HILIR</t>
  </si>
  <si>
    <t>2/8343399</t>
  </si>
  <si>
    <t xml:space="preserve"> Desa Baung  Kecamatan Seruyan Hilir</t>
  </si>
  <si>
    <t>SDN 1 BAUNG</t>
  </si>
  <si>
    <t xml:space="preserve"> Desa Jahitan  Kecamatan Seruyan Hilir</t>
  </si>
  <si>
    <t>SDN 1 JAHITAN</t>
  </si>
  <si>
    <t>JL. A. YANI SAMPING RSUD KP</t>
  </si>
  <si>
    <t>PERUMDIS SDN 1 KP 1</t>
  </si>
  <si>
    <t>JL. A. YANI SAMPING RSUD KP, PERUMDIS SDN 1 KP 1</t>
  </si>
  <si>
    <t>SDN 1 KUALA PEMBUANG I</t>
  </si>
  <si>
    <t xml:space="preserve"> Desa Kuala Pembuang I  Kecamatan Seruyan Hilir</t>
  </si>
  <si>
    <t xml:space="preserve"> Desa Kuala Pembuang II  Kecamatan Seruyan Hilir</t>
  </si>
  <si>
    <t>SDN 1 KUALA PEMBUANG II</t>
  </si>
  <si>
    <t xml:space="preserve"> Desa Muara Dua  Kecamatan Seruyan Hilir</t>
  </si>
  <si>
    <t>SDN 1 MUARA DUA</t>
  </si>
  <si>
    <t xml:space="preserve"> Desa Pematang Limau  Kecamtan Seruyan  Hilir</t>
  </si>
  <si>
    <t>SDN 1 PEMATANG LIMAU</t>
  </si>
  <si>
    <t>SDN 1 PERSIL RAYA</t>
  </si>
  <si>
    <t xml:space="preserve"> Desa Sungai Perlu  Kecamatan Seruyan Hilir</t>
  </si>
  <si>
    <t>SDN 1 SUNGAI PERLU</t>
  </si>
  <si>
    <t>SDN 1 SUNGAI UNDANG</t>
  </si>
  <si>
    <t xml:space="preserve"> Desa Tanjung Rangas  Kecamatan Seruyan Hilir</t>
  </si>
  <si>
    <t>SDN 1 TANJUNG RANGAS</t>
  </si>
  <si>
    <t>SDN 2 KUALA PEMBUANG I</t>
  </si>
  <si>
    <t>15.11.05.02.4.00056</t>
  </si>
  <si>
    <t>SDN 2 KUALA PEMBUANG II</t>
  </si>
  <si>
    <t xml:space="preserve"> Desa Belanti  Kecamatan Seruyan Hilir</t>
  </si>
  <si>
    <t>SDN 2 MUARA DUA</t>
  </si>
  <si>
    <t xml:space="preserve"> Desa Tanggul Harapan  Kecamatan Seruyan Hilir</t>
  </si>
  <si>
    <t>SDN 2 PEMATANG LIMAU</t>
  </si>
  <si>
    <t xml:space="preserve"> Desa Kuala Pembuang  I  Kecamatan Seruyan Hilir</t>
  </si>
  <si>
    <t>15.11.05.15.4.00003</t>
  </si>
  <si>
    <t>SDN 2 PERSIL RAYA</t>
  </si>
  <si>
    <t xml:space="preserve"> Jl. A. Yani  Kec. Seruyan Hilir</t>
  </si>
  <si>
    <t>TK PEMBINA</t>
  </si>
  <si>
    <t>JL. DESA PARING RAYA</t>
  </si>
  <si>
    <t>PERUMDIS SMP SATAP 3 HANAU PARING RAYA</t>
  </si>
  <si>
    <t>JL. DESA PARING RAYA, PERUMDIS SMP SATAP 3 HANAU PARING RAYA</t>
  </si>
  <si>
    <t>SMP SATAP 3 HANAU</t>
  </si>
  <si>
    <t xml:space="preserve"> Kecamatan Seruyan Tengah</t>
  </si>
  <si>
    <t>SMPN 1 BATU AMPAR</t>
  </si>
  <si>
    <t>Kec. Hanau</t>
  </si>
  <si>
    <t>15.08.03.07.4.00001</t>
  </si>
  <si>
    <t>SMPN 1 DANAU SELULUK</t>
  </si>
  <si>
    <t xml:space="preserve"> Kecamatan Danau Sembuluh</t>
  </si>
  <si>
    <t>SMPN 1 DANAU SEMBULUH</t>
  </si>
  <si>
    <t xml:space="preserve"> Kecamatan Hanau</t>
  </si>
  <si>
    <t>SMPN 1 HANAU</t>
  </si>
  <si>
    <t xml:space="preserve"> Jalan A. Yani  Kec. Seruyan Hilir</t>
  </si>
  <si>
    <t>SMPN 1 KUALA PEMBUANG</t>
  </si>
  <si>
    <t xml:space="preserve"> Kec. Seruyan Hilir timur</t>
  </si>
  <si>
    <t>SMPN 1 SERUYAN HILIR TIMUR</t>
  </si>
  <si>
    <t xml:space="preserve"> Kecamatan Seruyan Hulu</t>
  </si>
  <si>
    <t>SMPN 1 SERUYAN HULU</t>
  </si>
  <si>
    <t>SMPN 1 SERUYAN RAYA</t>
  </si>
  <si>
    <t xml:space="preserve"> Kecamatan Seruyan Raya</t>
  </si>
  <si>
    <t xml:space="preserve"> Kel. Rantau Pulut  Kecamatan Seruyan Tengah</t>
  </si>
  <si>
    <t>SMPN 1 SERUYAN TENGAH</t>
  </si>
  <si>
    <t>SMPN 1 SULING TAMBUN</t>
  </si>
  <si>
    <t xml:space="preserve"> Desa Hanau  Kecamatan Hanau</t>
  </si>
  <si>
    <t>SMPN 2 DANAU SELULUK</t>
  </si>
  <si>
    <t xml:space="preserve"> Jalan KI Hajar Dewantara  Kec.  Seruyan Hilir</t>
  </si>
  <si>
    <t>SMPN 2 KUALA PEMBUANG</t>
  </si>
  <si>
    <t>SMPN 2 SERUYAN HILIR TIMUR</t>
  </si>
  <si>
    <t>15.11.06.06.4.00022</t>
  </si>
  <si>
    <t>15.08.01.19.4.00001</t>
  </si>
  <si>
    <t>SMPN 2 SERUYAN HULU</t>
  </si>
  <si>
    <t>SMPN 2 SERUYAN RAYA</t>
  </si>
  <si>
    <t>SMPN 2 SERUYAN TENGAH</t>
  </si>
  <si>
    <t>SMPN 2 SULING TAMBUN</t>
  </si>
  <si>
    <t>SMP Bangun Harja (SMPN 3 Seruyan Hilir Timur)</t>
  </si>
  <si>
    <t>SMPN 3 SERUYAN HILIR TIMUR</t>
  </si>
  <si>
    <t>15.11.000001469.0</t>
  </si>
  <si>
    <t>SMPN 03 Seruyan Raya</t>
  </si>
  <si>
    <t>SMPN 3 SERUYAN RAYA</t>
  </si>
  <si>
    <t>15.11.02.26.4.00018</t>
  </si>
  <si>
    <t>SMPN 3 SERUYAN TENGAH</t>
  </si>
  <si>
    <t>15.11.09.03.4.00007</t>
  </si>
  <si>
    <t>SMPN 4 SERUYAN TENGAH</t>
  </si>
  <si>
    <t>SMPN 5 SERUYAN TENGAH</t>
  </si>
  <si>
    <t>SMPN 2 DANAU SEMBULUH</t>
  </si>
  <si>
    <t>Desa Tanjung Hanau, Kecamatan Hanau</t>
  </si>
  <si>
    <t>Bangunan Pustu Tanjung Hanau</t>
  </si>
  <si>
    <t>Tanah Bangunan Pustu Tanjung Hanau, (Surat Hibah Tanah)</t>
  </si>
  <si>
    <t>PUSKESMAS PEMBUANG HULU - HANAU</t>
  </si>
  <si>
    <t>Jl. Tanah Hambau,RT. 09,RW. 02, Desa Pembuamg Hulu II, Kecamatan Hanau</t>
  </si>
  <si>
    <t>1511.000001189.0</t>
  </si>
  <si>
    <t>Bangunan Pustu Pembuang Hulu II</t>
  </si>
  <si>
    <t>Tanah Bangunan Pustu Pembuang Hulu II, (Surat Pernyataan Hibah)</t>
  </si>
  <si>
    <t>Jl. Sunda Kelapa RT.05/ 01 Desa Pembuang Hulu II Kec. Hanau</t>
  </si>
  <si>
    <t>1511.000001190.0</t>
  </si>
  <si>
    <t>Tanah Bangunan Poskesdes Pembuang Hulu II</t>
  </si>
  <si>
    <t>Jl. Jendral Soeharto Desa Parang Batang Kecamatan Hanau</t>
  </si>
  <si>
    <t>Tanah Bangunan Polindes Desa Parang Batang</t>
  </si>
  <si>
    <t xml:space="preserve"> Jl. H. Abdul Rasyid RT/RW. 008/002 Desa Pembuang HuluII  Kec. Hanau</t>
  </si>
  <si>
    <t>1511.000001191.0</t>
  </si>
  <si>
    <t xml:space="preserve"> Bangunan Pusk. Pembuan Hulu</t>
  </si>
  <si>
    <t>Tanah Puskesmas Pembuang Hulu</t>
  </si>
  <si>
    <t>POSKESDES BAHAUR</t>
  </si>
  <si>
    <t>JL. DESA BAHAUR, POSKESDES BAHAUR</t>
  </si>
  <si>
    <t>PUSTU BAHAUR</t>
  </si>
  <si>
    <t>PUSTU BAHAUR, JL. DESA BAHAUR</t>
  </si>
  <si>
    <t>JL. PEMBUANG HULU II</t>
  </si>
  <si>
    <t>PUSTU DEKAT SMP 1 HANAU</t>
  </si>
  <si>
    <t>PUSTU DEKAT SMP 1 HANAU, JL. PEMBUANG HULU II</t>
  </si>
  <si>
    <t>DESA PEMBUANG HULU I</t>
  </si>
  <si>
    <t>PUSTU PAM,JL. PAM</t>
  </si>
  <si>
    <t>PUSTU PAM,JL. PAM, DESA PEMBUANG HULU I</t>
  </si>
  <si>
    <t>PUSTU PARING RAYA</t>
  </si>
  <si>
    <t>PUSTU PARING RAYA, JL. DESA PARING RAYA</t>
  </si>
  <si>
    <t>JL. SERUYAN RT. 01/001, DESA PEMBUANG HULU I</t>
  </si>
  <si>
    <t>PUSTU TAJUR</t>
  </si>
  <si>
    <t>PUSTU TAJUR, JL. SERUYAN RT. 01/001, DESA PEMBUANG HULU I</t>
  </si>
  <si>
    <t>Desa Kalang Kecamatan Batu Ampar</t>
  </si>
  <si>
    <t>Bangunan Pustu Desa Kalang</t>
  </si>
  <si>
    <t>Tanah Bangunan Pustu Desa Kalang, (Surat Hibah Tanah)</t>
  </si>
  <si>
    <t>PUSKESMAS BATU AMPAR</t>
  </si>
  <si>
    <t>Jl. Menuja Trans Sukamandang B3 Desa Durian Kait Kecamatan Batu Ampar</t>
  </si>
  <si>
    <t>Bangunan Pustu Desa Durian Kait</t>
  </si>
  <si>
    <t>Tanah Bangunan Pustu Desa Durian Kait, (Sutat Hibah)</t>
  </si>
  <si>
    <t>Desa Sebabi Kecamatan Batu Ampar</t>
  </si>
  <si>
    <t>593/190/DSD/VII/2013</t>
  </si>
  <si>
    <t>Tanah Bangunan Pustu Desa Sebabi</t>
  </si>
  <si>
    <t>Jl. Ahmad Yani RT. 05 RW. 03 Desa Sandul Kec Batu Ampar</t>
  </si>
  <si>
    <t>108/DS/X/2014</t>
  </si>
  <si>
    <t>Tanah Bangunan Puskesmas Desa Sandul</t>
  </si>
  <si>
    <t>Suka Mulya Batu Ampar</t>
  </si>
  <si>
    <t>15.11.09.04.4.00017</t>
  </si>
  <si>
    <t>Polindes</t>
  </si>
  <si>
    <t>KARTU INVENTARIS BARANG (KIB C)</t>
  </si>
  <si>
    <t>GEDUNG DAN BANGUNAN</t>
  </si>
  <si>
    <t>No. Urut</t>
  </si>
  <si>
    <t>Jenis Barang/Nama Barang</t>
  </si>
  <si>
    <t>Kondisi bangunan (B,KB,RB)</t>
  </si>
  <si>
    <t>Luas Lantai (M2)</t>
  </si>
  <si>
    <t>Letak/Lokasi Alamat</t>
  </si>
  <si>
    <t xml:space="preserve"> </t>
  </si>
  <si>
    <t>Bertingkat</t>
  </si>
  <si>
    <t>Beton/</t>
  </si>
  <si>
    <t>Status Tanah</t>
  </si>
  <si>
    <t>kode tanah</t>
  </si>
  <si>
    <t>Asal Usul</t>
  </si>
  <si>
    <t>Ket.</t>
  </si>
  <si>
    <t>barang</t>
  </si>
  <si>
    <t>Tidak</t>
  </si>
  <si>
    <t>tidak</t>
  </si>
  <si>
    <t>Bangunan Gedung Pendidikan Permanen</t>
  </si>
  <si>
    <t>03.01.01.10.001</t>
  </si>
  <si>
    <t>Baik</t>
  </si>
  <si>
    <t xml:space="preserve"> Desa Bahaur, Kecamatan Hanau</t>
  </si>
  <si>
    <t>Tanah Milik Pemda</t>
  </si>
  <si>
    <t>Rumah Negara Golongan I Tipe E Permanen</t>
  </si>
  <si>
    <t>03.01.02.01.013</t>
  </si>
  <si>
    <t xml:space="preserve"> Desa Derangga, Kecamatan Hanau</t>
  </si>
  <si>
    <t>Beton</t>
  </si>
  <si>
    <t>JL. H. Abu Hasan</t>
  </si>
  <si>
    <t>027/696/DISDIK/SD/VII/2022</t>
  </si>
  <si>
    <t>Pembangunan Ruang Kelas Baru (RKB) beserta perabotnya SD NEGERI 1 DERANGGA DAK Fisik 2022</t>
  </si>
  <si>
    <t>Bangunan Gedung Perpustakaan Permanen</t>
  </si>
  <si>
    <t>03.01.01.16.001</t>
  </si>
  <si>
    <t>050/1656/Sek/VIII/2010</t>
  </si>
  <si>
    <t>1 Unit Perpustakaan SDN - Derangga, Hanau, Seruyan</t>
  </si>
  <si>
    <t>Pagar Permanen</t>
  </si>
  <si>
    <t>03.04.01.04.001</t>
  </si>
  <si>
    <t>Desa Derangga - Kecamatan Hanau</t>
  </si>
  <si>
    <t>000.3.2/570/DISDIK/SD/VIII/2025</t>
  </si>
  <si>
    <t xml:space="preserve"> Pekerjaan Pembangunan Pagar Keliling SDN 1 Desa Derangga</t>
  </si>
  <si>
    <t xml:space="preserve"> Desa Parang  Batang Kecamatan Hanau</t>
  </si>
  <si>
    <t xml:space="preserve"> Desa Parang Batang, Kecamatan Hanau</t>
  </si>
  <si>
    <t>247/D/PPK-DISDIKPORA/X/2013</t>
  </si>
  <si>
    <t>Desa Parang Batang, Kecamatan Hanau</t>
  </si>
  <si>
    <t>337/PPK-DISDIKPORA/XI/2013</t>
  </si>
  <si>
    <t>Pembangunan Rumah Dinas Guru SDN - 1 Parang Batang Kec. Hanau Kabupaten Seruyan</t>
  </si>
  <si>
    <t xml:space="preserve"> Desa Pembuang Hulu I, Kecamatan Hanau</t>
  </si>
  <si>
    <t>07/421.2/PPK-DISDIK.DAS/VIII/2</t>
  </si>
  <si>
    <t xml:space="preserve"> Pembangunan RKB SDN 1 Pembuang Hulu I</t>
  </si>
  <si>
    <t>Bangunan Tmpt Pendidikan Lain-lain (dst)</t>
  </si>
  <si>
    <t>03.01.01.10.005</t>
  </si>
  <si>
    <t>'027/063/PPK-DISDIKPORA/I/2016</t>
  </si>
  <si>
    <t>Pembangunan WC SDN 1 Pembuang Hulu I</t>
  </si>
  <si>
    <t xml:space="preserve"> Desa Pembuang Hulu II, Kecamatan Hanau</t>
  </si>
  <si>
    <t>'027/064/PPK-DISDIKPORA/I/2016</t>
  </si>
  <si>
    <t>Pekerjaan Pembangunan WC SDN 1 Pembuang Hulu II</t>
  </si>
  <si>
    <t>Rumah Negara Golongan II Tipe D Permanen</t>
  </si>
  <si>
    <t>03.01.02.02.010</t>
  </si>
  <si>
    <t xml:space="preserve"> Jl. Putri Junjung Buih. Desa Pembuang Hulu II - Kecamatan Hanau</t>
  </si>
  <si>
    <t xml:space="preserve"> 000.3.2/1148/DISDIK/SD/IX/2024</t>
  </si>
  <si>
    <t>Pembangunan Rumah Dinas Guru SDN 1 Pembuang Hulu II</t>
  </si>
  <si>
    <t>027/461/PPK-DISDIKPORA/V/2015</t>
  </si>
  <si>
    <t>Pembangunan Pagar SDN 1 Pembuang Hulu II</t>
  </si>
  <si>
    <t xml:space="preserve"> Desa Tanjung Hanau Kecamatan Hanau</t>
  </si>
  <si>
    <t>Desa Tanjung Hanau - Kecamatan Hanau</t>
  </si>
  <si>
    <t>000.3.2/507/DISDIK/SD/VIII/2025</t>
  </si>
  <si>
    <t>Pek Penambahan Lokal Ruang Belajar SDN 1 Desa Tanjung Hanau, Kecamatan Hanau</t>
  </si>
  <si>
    <t>027/281/PPK-DISDIKPORA/V/2015</t>
  </si>
  <si>
    <t>Pembangunan WC SDN 1 Tanjung Hanau</t>
  </si>
  <si>
    <t xml:space="preserve"> Desa Tanjung Hanau</t>
  </si>
  <si>
    <t>246/D/PPK-DISDIKPORA/X/2013</t>
  </si>
  <si>
    <t>245/D/PPK-DISDIKPORA/X/2013</t>
  </si>
  <si>
    <t>Jl. H. Abu Hasan Gang Balimau RT.01 RW.01 NO. 24, Derangga - Kecamatan Hanau</t>
  </si>
  <si>
    <t>000.3.3/734/DISDIK/SD/VII/2024</t>
  </si>
  <si>
    <t>Pekerjaan Pembangunan Ruang Kelas Baru (RKB) Beserta Perabotnya SD Negeri 2 Derangga (DAK Fisik SD)</t>
  </si>
  <si>
    <t>Jl. H. Abu Hasan Desa Derangga - Kecamatan Hanau</t>
  </si>
  <si>
    <t>000.3.2/700/DISDIK/SD/VII/2024</t>
  </si>
  <si>
    <t>Pekerjaan Pembangunan Ruang UKS Beserta Perabotnya_30203145 SD Negeri 2 Derangga</t>
  </si>
  <si>
    <t>000.3.3/551/DISDIK/SD/VI/2024</t>
  </si>
  <si>
    <t>Pekerjaan Pembangunan Ruang Guru Beserta Perabotnya SD Negeri 2 Derangga (DAK Fisik SD)</t>
  </si>
  <si>
    <t>000.3.3/549/DISDIK/SD/VI/2024</t>
  </si>
  <si>
    <t>Pek. Pembangunan Ruang Lab Komputer Beserta Perabotnya SDN 2 Derangga (DAK Fisik SD)</t>
  </si>
  <si>
    <t>Desa Derangga, Kecamatan Hanau</t>
  </si>
  <si>
    <t>073/D/PPK-DISDIKPORA/IX/2013</t>
  </si>
  <si>
    <t>Pembangunan Rumah Dinas Guru SDN 2 Derangga Kec. Hanau Kabupaten Seruyan</t>
  </si>
  <si>
    <t>Rumah Negara Golongan II Tipe E Permanen</t>
  </si>
  <si>
    <t>03.01.02.02.013</t>
  </si>
  <si>
    <t>027/402/PPK-DISDIKPORA/IV/2016</t>
  </si>
  <si>
    <t xml:space="preserve"> Pembangunan RDG SDN 2 Derangga</t>
  </si>
  <si>
    <t xml:space="preserve"> Desa Parang Batang Kecamatan Hanau</t>
  </si>
  <si>
    <t>parang batang</t>
  </si>
  <si>
    <t>027/537/DISDIK/SD/VII/2022</t>
  </si>
  <si>
    <t>Pembangunan Ruang Guru beserta perabotnya SD NEGERI 2 PARANG BATANG DAK Fisik 2022</t>
  </si>
  <si>
    <t>248/D/PPK-DISDIKPORA/X/2013</t>
  </si>
  <si>
    <t>Bangunan Gedung Kantor Permanen</t>
  </si>
  <si>
    <t>03.01.01.01.001</t>
  </si>
  <si>
    <t>027/194/PPK-DISDIK/DIKDAS/VII/</t>
  </si>
  <si>
    <t>Pembangunan Kantor Guru SDN 2 Pembuang Hulu I</t>
  </si>
  <si>
    <t>Jln. Bakri Entong_x000D_
Desa Pembuang Hulu I_x000D_
Kec. Hanau</t>
  </si>
  <si>
    <t>425.11/020/DAK-SD-DISDIK.I/V/2</t>
  </si>
  <si>
    <t>SDN 2 Pembuang Hulu I (3 Ruang) (DAK SD 2019) Revitalisasi</t>
  </si>
  <si>
    <t>16/421.2/SPK-DISDIK.DAS/IX/201</t>
  </si>
  <si>
    <t>Pembangunan WC SDN 2 Pembuang Hulu I</t>
  </si>
  <si>
    <t>Jl. Bakri Entong, Desa Pembuang Hulu I - Kecamatan Hanau</t>
  </si>
  <si>
    <t>000.3.2/699/DISDIK/SD/VII/2024</t>
  </si>
  <si>
    <t xml:space="preserve"> Pembangunan Ruang UKS Beserta Perabotnya_30203152 SD Negeri 2 Pembuang Hulu I</t>
  </si>
  <si>
    <t>000.3.3/902/DISDIK/SD/VII/2024</t>
  </si>
  <si>
    <t>Pembangunan Ruang Laboratorium Komputer Beserta Perabotnya SD Negeri 2 Pembuang Hulu I</t>
  </si>
  <si>
    <t>34.5</t>
  </si>
  <si>
    <t>Jl. Bakri Entong,Pembuang Hulu I,Hanau</t>
  </si>
  <si>
    <t>027/1660/DISDIK/SD/VIII/2023</t>
  </si>
  <si>
    <t>Pekerjaan Pembangunan Rumah Dinas Guru Beserta Perabotnya SDN 2 Pembuang Hulu I</t>
  </si>
  <si>
    <t>'027/411/PPK-DISDIKPORA/IV/201</t>
  </si>
  <si>
    <t xml:space="preserve"> Pekerjaan Pembangunan pagar SDN II Pembuang Hulu II</t>
  </si>
  <si>
    <t>Jln. H. Abdul Rasyid_x000D_
Desa Pembuang Hulu II_x000D_
Kec. Hanau</t>
  </si>
  <si>
    <t>425.11/033/DIKDAS-DISDIK.I/IV/</t>
  </si>
  <si>
    <t>Pembangunan rumah dinas guru 30203050 - SD NEGERI 2 PEMBUANG HULU II</t>
  </si>
  <si>
    <t>Desa Pembuang Hulu II, Kecamatan Hanau</t>
  </si>
  <si>
    <t>'027/331/PPK-DISDIKPORA/IV/201</t>
  </si>
  <si>
    <t>Pagar SDN 3 Pembuang Hulu</t>
  </si>
  <si>
    <t>64.8</t>
  </si>
  <si>
    <t>Jl. Aromani,Kuala Pembuang ,Seruyan Hilir</t>
  </si>
  <si>
    <t>027/3195/DISDIK/SD/XII/2023</t>
  </si>
  <si>
    <t>Pekerjaan Pembangunan Pagar SDN 2 Pembuang Hulu II</t>
  </si>
  <si>
    <t>Desa Manggana, Kecamatan Hanau</t>
  </si>
  <si>
    <t xml:space="preserve"> Desa Manggana, Kecamatan Hanau</t>
  </si>
  <si>
    <t>263/D/PPK-DISDIKPORA/X/2013</t>
  </si>
  <si>
    <t>244/D/PPK-DISDIKPORA/X/2013</t>
  </si>
  <si>
    <t>027/367/D/PPK-DISDIKPORA/IX/20</t>
  </si>
  <si>
    <t>Pembangunan RDG SDN Manggana</t>
  </si>
  <si>
    <t>Rumah Negara Golongan II Tipe E Semi Permanen</t>
  </si>
  <si>
    <t>03.01.02.02.014</t>
  </si>
  <si>
    <t>027/228/PPK-DISDIK/VII/2017</t>
  </si>
  <si>
    <t>027/865/DISDIK/SD/VII/2022</t>
  </si>
  <si>
    <t>Pembangunan Ruang Kelas Baru (RKB) beserta perabotnya SD NEGERI 3 PEMBUANG HULU II DAK Fisik 2022</t>
  </si>
  <si>
    <t>027/869/DISDIK/SD/VII/2022</t>
  </si>
  <si>
    <t>Pembangunan Ruang Laboratorium Komputer beserta perabotnya SD NEGERI 3 PEMBUANG HULU II DAK Fisik 2022</t>
  </si>
  <si>
    <t>pembuang hulu</t>
  </si>
  <si>
    <t>027/946/DISDIK/SD/VII/2022</t>
  </si>
  <si>
    <t>Pembangunan Toilet (Jamban) beserta sanitasinya SD NEGERI 3 PEMBUANG HULU II DAK Fisik 2022</t>
  </si>
  <si>
    <t xml:space="preserve"> Pembuang Hulu II</t>
  </si>
  <si>
    <t>243/D/PPK-DISDIKPORA/X/2013</t>
  </si>
  <si>
    <t>Pembuang Hulu, Kecamatan Hanau</t>
  </si>
  <si>
    <t>027/370/D/PPK-DISDIKPORA/IX/20</t>
  </si>
  <si>
    <t>Pembangunan RDG SDN 4 Pembuang Hulu II</t>
  </si>
  <si>
    <t>027/761/DISDIK/SD/VII/2022</t>
  </si>
  <si>
    <t>Pembangunan Rumah Dinas Guru beserta perabotnya SD Negeri 3 Pembuang Hulu II DAK Fisik 2022</t>
  </si>
  <si>
    <t>027/434/PPK-DISDIKPORA/V/2015</t>
  </si>
  <si>
    <t>Pembangunan Pagar SDN 4 Pembuang Hulu II</t>
  </si>
  <si>
    <t>104.5</t>
  </si>
  <si>
    <t>Jl. Komp Lapangan Gagah Lurus, Desa Pembuang Hulu II - Kecamatan Hanau</t>
  </si>
  <si>
    <t>000.3.2/644/DISDIK/SD/VI/2024</t>
  </si>
  <si>
    <t>Pembangunan Pagar Sekolah_30203056 SD Negeri 3 Pembuang Hulu II</t>
  </si>
  <si>
    <t>Desa Paring Raya</t>
  </si>
  <si>
    <t>027/152/PPK-DISDIK/V/2017</t>
  </si>
  <si>
    <t xml:space="preserve">   Pembangunan RDG SDN Paring Raya</t>
  </si>
  <si>
    <t>sdn paring raya</t>
  </si>
  <si>
    <t>JL BAKRI ENTONG KEC.HANAU</t>
  </si>
  <si>
    <t>027/1200/DISDIK.II/VII/2021</t>
  </si>
  <si>
    <t>Pembangunan Ruang Guru dan kepala Sekolah  TK PEMBINA HANAU</t>
  </si>
  <si>
    <t>027/4413/PPK-DISDIK/IX/2017</t>
  </si>
  <si>
    <t>TKN Pembina Hanau Kecamatan_x000D_
Hanau</t>
  </si>
  <si>
    <t>140/CV.KBP-KP/X/2022</t>
  </si>
  <si>
    <t>Pembangunan Ruang UKS TKN Pembina Hanau</t>
  </si>
  <si>
    <t>Desa Pembuang Hulu I - Kecamatan Hanau</t>
  </si>
  <si>
    <t>000.3.2/607/DISDIK/P3NF/IX/2025</t>
  </si>
  <si>
    <t>Kanopi - Pek Pembangunan Kanopi Panjang 40 x 10 M di TK Negeri Pembina Hanau</t>
  </si>
  <si>
    <t>Bangunan Fasilitas Umum lainnya</t>
  </si>
  <si>
    <t>03.01.01.32.005</t>
  </si>
  <si>
    <t>JL. BAKRI ENTONG PEMBUANG HULU</t>
  </si>
  <si>
    <t>027/1201.22/DISDIK.II/VII/2021</t>
  </si>
  <si>
    <t>TKN PEMBINA HANAU</t>
  </si>
  <si>
    <t>027/485/DISDIK/P3NF/VII/2019</t>
  </si>
  <si>
    <t>Pemagaran TK Negeri Pembina Hanau Kec. Hanau</t>
  </si>
  <si>
    <t xml:space="preserve"> Pembuang Hulu, Kec. Hanau, Kabupaten Seruyan</t>
  </si>
  <si>
    <t>027/161/PPK-DISDIK/SKT/VIII/20</t>
  </si>
  <si>
    <t>Pembangunan Rumah Dinas UPTD Pendidikan Kecamatan Hanau</t>
  </si>
  <si>
    <t>Pembuang Hulu, Kec. Hanau Kabupaten Seruyan</t>
  </si>
  <si>
    <t>083/R/PPK-DISDIKPORA/IX/2013</t>
  </si>
  <si>
    <t>Pembangunan Pagar UPTD Disdikpora Hanau Kec. Hanau Kabupaten Seruyan</t>
  </si>
  <si>
    <t>Desa Ayawan, Kecamatan Seruyan Tengah</t>
  </si>
  <si>
    <t xml:space="preserve"> Desa Ayawan, Kecamatan Seruyan Tengah, Kabupaten Seruyan</t>
  </si>
  <si>
    <t>232/D/PPK-DISDIKPORA/X/2013</t>
  </si>
  <si>
    <t>076/D/PPK-DISDIKPORA/IX/2013</t>
  </si>
  <si>
    <t>Pembangunan Rumah Dinas Guru 1 Ayawan kec. Seruyan Tengah Kabupaten Seruyan</t>
  </si>
  <si>
    <t>027/366/D/PPK-DISDIKPORA/IX/20</t>
  </si>
  <si>
    <t>Pembangunan RDG SDN 1 Ayawan</t>
  </si>
  <si>
    <t>Desa BIII Sukamandang, Kecamatan Seruyan Tengah</t>
  </si>
  <si>
    <t>325/PPK-DISDIKPORA/X/2013</t>
  </si>
  <si>
    <t>Pembangunan Rumah Dinas Guru SDN B - III Sukamandang Kec. Seruyan Tengah Kabupaten Seruyan</t>
  </si>
  <si>
    <t>Desa Bukit Buluh, Kecamatan Seruyan Tengah</t>
  </si>
  <si>
    <t xml:space="preserve"> Desa Bukit Buluh, Kecamatan Seruyan Tengah</t>
  </si>
  <si>
    <t>239/D/PPK-DISDIKPORA/X/2013</t>
  </si>
  <si>
    <t>Desa Bukit Buluh Kec. Seruyan Tengah</t>
  </si>
  <si>
    <t>027/74/PPK-DISDIK/DIKDAS/VII/2</t>
  </si>
  <si>
    <t>Pembangunan Rumah Dinas Guru (RDG) SDN Bukit Buluh</t>
  </si>
  <si>
    <t xml:space="preserve"> Desa G II Sukamandang, Kecamatan Seruyan Tengah</t>
  </si>
  <si>
    <t xml:space="preserve"> Desa GII Sukamandang, Kecamatan Seruyan Tengah</t>
  </si>
  <si>
    <t>Pembangunan Perpustakaan SDN G II Sukamandang (Silpa DAK tambahan pendd SD 2013)</t>
  </si>
  <si>
    <t>Jln. Ratu Ulin Jalur I Rt. 02 Rw. 01_x000D_
Desa Bumi Jaya_x000D_
Kec. Seruyan Tengah</t>
  </si>
  <si>
    <t>425.11/032/DIKDAS-DISDIK.I/IV/</t>
  </si>
  <si>
    <t>Pembangunan rumah dinas guru 30203038 - SD NEGERI 1 BUMI JAYA</t>
  </si>
  <si>
    <t>Desa Durian Tunggal, Kecamatan Seruyan Tengah</t>
  </si>
  <si>
    <t>Jln. Asran Desa Durian Tunggal Kec. Seruyan Tengah</t>
  </si>
  <si>
    <t>4251/180/DIKDAS-DISDIK/V/202</t>
  </si>
  <si>
    <t>'Pembangunan ruang UKS 30203030 - SD NEGERI DURIAN TUNGGAL  (DAK SD REGULER 2020)  1 Ruang</t>
  </si>
  <si>
    <t>Bangunan Gedung Perpustakaan Semi Permanen</t>
  </si>
  <si>
    <t>03.01.01.16.002</t>
  </si>
  <si>
    <t>Desa DURIAN TUNGGAL</t>
  </si>
  <si>
    <t>425.11/040/DIKDAS-DISDIK.I/V/2</t>
  </si>
  <si>
    <t>Rumah Dinas Guru (2 unit) 30203030 - SD NEGERI DURIAN TUNGGAL  (DAK AFIRMASI 2020)</t>
  </si>
  <si>
    <t>69.1</t>
  </si>
  <si>
    <t>Jl. Asran,Durian Tunggal,Seruyan Tengah</t>
  </si>
  <si>
    <t>027/3191/DISDIK/SD/XII/2023</t>
  </si>
  <si>
    <t>Pekerjaan Pembangunan Pagar SDN 1 Durian Tunggal</t>
  </si>
  <si>
    <t xml:space="preserve"> Desa Gantung Pengayuh, Kecamatan Seruyan Tengah</t>
  </si>
  <si>
    <t>Desa Gantung Pangayuh, Kecamatan Seruyan Tengah</t>
  </si>
  <si>
    <t>077/PPK-DISDIKPORA/IX/2013</t>
  </si>
  <si>
    <t>Pembangunan Rumah Dinas Guru SDN 1 Gantung Pengayuh Kec. Seruyan Tengah Kabupaten Seruyan</t>
  </si>
  <si>
    <t>Desa Gantung Pengayuh</t>
  </si>
  <si>
    <t>027/77/PPK-DISDIK/DIKDAS/VII/2</t>
  </si>
  <si>
    <t>Pembangunan Rumah Dinas Guru (RDKS) SDN 1 Gantung Pengayuh</t>
  </si>
  <si>
    <t>Desa Gantung Pengayuh,Seruyan Tengah</t>
  </si>
  <si>
    <t>027/1659/DISDIK/SD/VIII/2023</t>
  </si>
  <si>
    <t xml:space="preserve"> Pembangunan Pagar SDN 1 Gantung Pengayuh</t>
  </si>
  <si>
    <t>Desa Mugi Penyuhu, Kecamatan Seruyan Tengah</t>
  </si>
  <si>
    <t>Desa Mugi Panyuhu Kec. Seruyan Tengah</t>
  </si>
  <si>
    <t>4251/181/DIKDAS-DISDIK.I/V/202</t>
  </si>
  <si>
    <t>'Pembangunan ruang UKS 30203042 - SD NEGERI MUGI PANYUHU  (DAK SD REGULER 2020)  1 Ruang</t>
  </si>
  <si>
    <t>'027/061/PPK-DISDIKPORA/I/2016</t>
  </si>
  <si>
    <t>Pekerjaan Pembangunan WC SDN 1 Mugi Panyuhu</t>
  </si>
  <si>
    <t>Desa Mugi Penyuhu</t>
  </si>
  <si>
    <t>'027/150/PPK-DISDIK/DIKDAS/VII</t>
  </si>
  <si>
    <t>Pembangunan Rumah Dinas Guru (RDG) SDN 1 Mugi Penyuhu</t>
  </si>
  <si>
    <t>Desa Panca Jaya/DT I Sukamandang, Kecamatan Seruyan Tengah</t>
  </si>
  <si>
    <t>027/266/D/PPK-DISDIKPORA/IX/20</t>
  </si>
  <si>
    <t>Pembangunan Perpustakaan  SDN DT I Sukamandang</t>
  </si>
  <si>
    <t xml:space="preserve"> Desa Pangke, Kecamatan Seruyan Tengah</t>
  </si>
  <si>
    <t>050/1796.12.3/II/DIKDAS/2011</t>
  </si>
  <si>
    <t>1 Paket Pembangunan Gedung SD SMP Satu Atap 1 Pangke</t>
  </si>
  <si>
    <t>Bangunan Gedung Kantor Semi Permanen</t>
  </si>
  <si>
    <t>03.01.01.01.002</t>
  </si>
  <si>
    <t>Desa Panyumpa, Kecamatan Seruyan Tengah</t>
  </si>
  <si>
    <t>027/193/PPK-DISDIK/DIKDAS/VII/</t>
  </si>
  <si>
    <t>Pembangunan Gedung Kantor SDN 1 Panyumpa</t>
  </si>
  <si>
    <t xml:space="preserve"> Desa Panyumpa, Kecamatan Seruyan Tengah</t>
  </si>
  <si>
    <t>238/D/PPK-DISDIKPORA/X/2013</t>
  </si>
  <si>
    <t>326/PPK-DISDIKPORA/XI/2013</t>
  </si>
  <si>
    <t>Pembangunan Rumah Dinas Guru SDN Panyumpa Kec. Seruyan Tengah Kabupaten Seruyan</t>
  </si>
  <si>
    <t xml:space="preserve"> Desa Rantau Pulut, Kecamatan Seruyan Tengah</t>
  </si>
  <si>
    <t xml:space="preserve"> Kelurahan Rantau Pulut, Kecamatan Seruyan Tengah</t>
  </si>
  <si>
    <t>241/D/PPK-DISDIKPORA/X/2013</t>
  </si>
  <si>
    <t>Rantau Pulut - Kecamatan Seruyan Tengah</t>
  </si>
  <si>
    <t>000.3.2/621/DISDIK/SD/VI/2024</t>
  </si>
  <si>
    <t>Pekerjaan Pembangunan Rumah Dinas Guru SDN 1 Rantau Pulut</t>
  </si>
  <si>
    <t>027/089/PPK-DISDIK/SKT/V/2018</t>
  </si>
  <si>
    <t xml:space="preserve"> Pembangunan Rumah Dinas Guru (RDG) SDN 1 Rantau Pulut</t>
  </si>
  <si>
    <t>027/435/PPK-DISDIKPORA/V/2015</t>
  </si>
  <si>
    <t>Pembangunan Pagar SDN 1 Rantau Pulut</t>
  </si>
  <si>
    <t>Desa DT II Sukamandang, Kecamatan Seruyan Tengah</t>
  </si>
  <si>
    <t>Jl. Lintas Trans Sukamandang,Ringin Agung,Seruyan Tengah</t>
  </si>
  <si>
    <t>027/985/DISDIK/SD/VII/2023</t>
  </si>
  <si>
    <t>"PEMBANGUNAN RUANG LABORATORIUM KOMPUTER
BESERTA PERABOTNYA SD NEGERI 1 RINGIN AGUNG"</t>
  </si>
  <si>
    <t>027/928/DISDIK/SD/VII/2023</t>
  </si>
  <si>
    <t>"PEMBANGUNAN RUANG GURU BESERTA PERABOTNYA 
SD NEGERI 1 RINGIN AGUNG"</t>
  </si>
  <si>
    <t>Desa Sukamandang, Kecamatan Seruyan Tengah</t>
  </si>
  <si>
    <t>027/267/D/PPK-DISDIKPORA/IX/20</t>
  </si>
  <si>
    <t>Pembangunan Perpustakaan SDN DT II Sukamandang</t>
  </si>
  <si>
    <t>Sukamandang, Kecamatan Seruyan Tengah</t>
  </si>
  <si>
    <t>315/D/PPK-DISDIKPORA/X/2013</t>
  </si>
  <si>
    <t>Pembangunan Rumah Dinas Guru SDN DT - II Sukamandang Kec. Seruyan Tengah Kabupaten Seruyan</t>
  </si>
  <si>
    <t>Jln. Lintas Trans Sukamandang Desa Ringin AgungKec. Seruyan Tengah</t>
  </si>
  <si>
    <t>027/148/PPK-DISDIK/DIKDAS/VIII</t>
  </si>
  <si>
    <t>Pembangunan Rumah Dinas Guru (RDG) SDN 1 Ringin Agung</t>
  </si>
  <si>
    <t>Desa Sukamaju/B I Sukamandang, Kecamatan Seruyan Tengah</t>
  </si>
  <si>
    <t>Suka Maju Kec. Seruyan Tengah</t>
  </si>
  <si>
    <t>027/543/DISDIK/DIKDAS/IX/2021</t>
  </si>
  <si>
    <t>Pembanguna Toilet ( Jamban ) SDN 1 SUKA MAJU</t>
  </si>
  <si>
    <t>027/265/D/PPK-DISDIKPORA/IX/20</t>
  </si>
  <si>
    <t>Pembangunan Perpustakaan  SDN B-I Sukamandang</t>
  </si>
  <si>
    <t>Jln. Lintas Trans Sukamandang B1, Suka Maju, Seruyan Tengah</t>
  </si>
  <si>
    <t>027/614/DISDIK/DIKDAS/IX/2021</t>
  </si>
  <si>
    <t xml:space="preserve"> Pembangunan rumah dinas Guru _x000D_
SDN 1 SUKA MAJU</t>
  </si>
  <si>
    <t>80.8</t>
  </si>
  <si>
    <t>Jln. Lintas Trans Sukamandang B1,Suka Maju Seruyan Tengah</t>
  </si>
  <si>
    <t>027/3192/DISDIK/SD/XII/2023</t>
  </si>
  <si>
    <t>Pekerjaan Pembangunan Pagar SDN 1 Sukamaju</t>
  </si>
  <si>
    <t>Desa Suka Makmur/B II Sukamandang, Kecamatan Seruyan Tengah</t>
  </si>
  <si>
    <t>Jln. Lintas Trans Sukamandang B - 2 Desa Suka Makmur - Kecamatan Seruyan Tengah</t>
  </si>
  <si>
    <t>000.3.2/2422/DISDIK/SD/XI/2024</t>
  </si>
  <si>
    <t>Pembangunan Ruang Kelas Baru SD Negeri 1 Suka Makmur</t>
  </si>
  <si>
    <t>Desa Suka Makmur - Kec. Seruyan Tengah</t>
  </si>
  <si>
    <t>000.3.2/509/DISDIK/SD/VIII/2025</t>
  </si>
  <si>
    <t>Pekerjaan Lanjutan Pembangunan RKB SD Negeri 1 Suka Makmur</t>
  </si>
  <si>
    <t>027/275/D/PPK-DISDIKPORA/IX/20</t>
  </si>
  <si>
    <t>Pembangunan Perpustakaan  B II Sukamandang</t>
  </si>
  <si>
    <t>027/363/D/PPK-DISDIKPORA/IX/20</t>
  </si>
  <si>
    <t>Pembangunan RDG SDN B II Sukamandang</t>
  </si>
  <si>
    <t>000.3.3/2258/DISDIK/SD/XI/2024</t>
  </si>
  <si>
    <t xml:space="preserve"> Pekerjaan Pembangunan Pagar SDN 1 Suka Makmur</t>
  </si>
  <si>
    <t xml:space="preserve"> Desa BIV Sukamandang, Kecamatan Seruyan Tengah</t>
  </si>
  <si>
    <t>027/282/PPK-DISDIK/VII/2017</t>
  </si>
  <si>
    <t>Pembangunan RDG SDN B-IV Sukamandang</t>
  </si>
  <si>
    <t xml:space="preserve"> Desa Sukamandang, Kecamatan Seruyan Tengah</t>
  </si>
  <si>
    <t>027/088/PPK-DISDIK/SKT/V/2018</t>
  </si>
  <si>
    <t>Pembangunan Rumah Dinas Guru (RDG) SDN 1 Sukamandang</t>
  </si>
  <si>
    <t xml:space="preserve"> Desa G1 Sukamandang, Kecamatan Seruyan Tengah</t>
  </si>
  <si>
    <t>Jln. Poros Trans Sukamandang_x000D_
Desa Sukorejo Kec. Seruyan Tengah</t>
  </si>
  <si>
    <t>425.11/149/DIKDAS-DISDIK.I/V/2</t>
  </si>
  <si>
    <t>Pembangunan (Toilet) jamban siswa/guru beserta sanitasinya Jenjang SD 30203037 - SD NEGERI 1 SUKOREJO (DAK SD REGULER 2020)</t>
  </si>
  <si>
    <t>Jl. Poros Trans Sukamandang</t>
  </si>
  <si>
    <t>027/660/DISDIK/SD/VII/2022</t>
  </si>
  <si>
    <t>Pembangunan Toilet (Jamban) beserta sanitasinya SD NEGERI 1 SUKOREJO DAK Fisik 2022</t>
  </si>
  <si>
    <t>JL. Poros trans kalimantan</t>
  </si>
  <si>
    <t>027/947/DISDIK/SD/VII/2022</t>
  </si>
  <si>
    <t>Pembangunan Ruang UKS beserta perabotnya SD NEGERI 1 SUKOREJO DAK Fisik 2022</t>
  </si>
  <si>
    <t>327/PPK-DISDIKPORA/X/2013</t>
  </si>
  <si>
    <t>Pembangunan Rumah Dinas Guru SDN G - I Sukamandang Kec. Seruyan Tengah Kabupaten Seruyan</t>
  </si>
  <si>
    <t>Jln. Poros Trans Sukamandang Desa Sukorejo Kec. Seruyan Tengah</t>
  </si>
  <si>
    <t>425.11/031/DIKDAS-DISDIK.I/IV/</t>
  </si>
  <si>
    <t>Pembangunan rumah dinas guru  30203037 - SD NEGERI 1 SUKOREJO</t>
  </si>
  <si>
    <t>Desa Tangga Batu Kec. Seruyan Tengah</t>
  </si>
  <si>
    <t>027/223/PPK-DISDIK/DIKDAS/IX/2</t>
  </si>
  <si>
    <t>Pembangunan WC SDN 1 Tangga Batu</t>
  </si>
  <si>
    <t xml:space="preserve"> Desa Tangga Batu, Kecamatan Seruyan Tengah</t>
  </si>
  <si>
    <t>333/PPK-DISDIKPORA/X/2013</t>
  </si>
  <si>
    <t>Pembangunan Rumah Dinas Guru SDN - 1 Tangga Batu Kec. Seruyan Tengah Kabupaten Seruyan</t>
  </si>
  <si>
    <t xml:space="preserve"> Desa Teluk Bayur, Kecamatan Seruyan Tengah</t>
  </si>
  <si>
    <t>Desa Teluk Bayur, Kecamatan Seruyan Tengah</t>
  </si>
  <si>
    <t>027/287/D/PPK-DISDIKPORA/IX/20</t>
  </si>
  <si>
    <t>Pembangunan RKB SDN-1 Teluk Bayur (1 Ruang)</t>
  </si>
  <si>
    <t>Bangunan Gedung Pendidikan Semi Permanen</t>
  </si>
  <si>
    <t>03.01.01.10.002</t>
  </si>
  <si>
    <t>027/086/PPK-DISDIK/DIKDAS/V/20</t>
  </si>
  <si>
    <t>Pembangunan RKB SDN 1 Teluk Bayur</t>
  </si>
  <si>
    <t>Jl.Todang Desa Teluk Bayur Kec. Seruyan Tengah Kab. Seruyan</t>
  </si>
  <si>
    <t>027/1163/DISDIK/SD/VII/2023</t>
  </si>
  <si>
    <t>"PEMBANGUNAN RUANG LABORATORIUM KOMPUTER
BESERTA PERABOTNYA SD NEGERI TELUK BAYUR"</t>
  </si>
  <si>
    <t>027/1102/DISDIK/SD/VII/2023</t>
  </si>
  <si>
    <t>"PEMBANGUNAN RUANG UKS BESERTA PERABOTNYA SD
NEGERI TELUK BAYUR"</t>
  </si>
  <si>
    <t>027/927/DISDIK/SD/VII/2023</t>
  </si>
  <si>
    <t>"PEMBANGUNAN RUANG PERPUSTAKAAN BESERTA
PERABOTNYA SD NEGERI TELUK BAYUR"</t>
  </si>
  <si>
    <t xml:space="preserve"> 027/929/DISDK/SD/VII/2023</t>
  </si>
  <si>
    <t>"PEMBANGUNAN RUANG GURU BESERTA PERABOTNYA
SD NEGERI TELUK BAYUR"</t>
  </si>
  <si>
    <t>316/D/PPK-DISDIKPORA/XI/2013</t>
  </si>
  <si>
    <t>Pembangunan Rumah Dinas Guru SDN - 1 Teluk Bayur Kec. Seruyan Tengah Kabupaten Seruyan</t>
  </si>
  <si>
    <t>Desa Teluk Bayur Kec. Seruyan Tengah</t>
  </si>
  <si>
    <t>027/76/PPK-DISDIK/DIKDAS/VII/2</t>
  </si>
  <si>
    <t>Pembangunan Rumah Dinas Guru (RDG) SDN 1 Teluk Bayur</t>
  </si>
  <si>
    <t xml:space="preserve"> Desa Tumbang Bai, Kecamatan Seruyan Tengah</t>
  </si>
  <si>
    <t>240/D/PPK-DISDIKPORA/X/2013</t>
  </si>
  <si>
    <t>Desa Tumbang Bai, Kecamatan Seruyan Tengah</t>
  </si>
  <si>
    <t>324/PPK-DISDIKPORA/XI/2013</t>
  </si>
  <si>
    <t>Pembangunan Rumah Dinas Guru SDN  Tumbang Bai Kec. Seruyan Tengah Kabupaten Seruyan</t>
  </si>
  <si>
    <t>Desa Tumbang Bai Kec. Seruyan Tengah</t>
  </si>
  <si>
    <t>027/73/PPK-DISDIK/DIKDAS/VII/2</t>
  </si>
  <si>
    <t>Pembangunan Rumah Dinas Guru (RDG) SDN 1 Tumbang Bai</t>
  </si>
  <si>
    <t>Desa Tumbang Bai - Kecamatan Seruyan Tengah</t>
  </si>
  <si>
    <t>000.3.2/510/DISDIK/SD/VIII/2025</t>
  </si>
  <si>
    <t>Pekerjaan Pembangunan Pagar SDN 1 Tumbang Bai</t>
  </si>
  <si>
    <t>ayawan</t>
  </si>
  <si>
    <t>027/951/DISDIK/SD/VII/2022</t>
  </si>
  <si>
    <t>Pembangunan Ruang UKS SDN 2 Ayawan DAK Fisik 2022</t>
  </si>
  <si>
    <t>027/1020/DISDIK/SD/VII/2022</t>
  </si>
  <si>
    <t>Pembangunan Toilet (Jamban) Beserta Sanitasinya SDN 2 Ayawan DAK Fisik 2022</t>
  </si>
  <si>
    <t>317/D/PPK-DISDIKPORA/X/2013</t>
  </si>
  <si>
    <t>Pembangunan Rumah Dinas Guru SDN - 2 Ayawan Kec. Seruyan Tengah Kabupaten Seruyan</t>
  </si>
  <si>
    <t>027/695/DISDIK/SD/VII/2022</t>
  </si>
  <si>
    <t>Pembangunan Rumah Dinas Guru beserta perabotnya SDN 2 Ayawan (DAK Fisik SD 2022)</t>
  </si>
  <si>
    <t>72.9</t>
  </si>
  <si>
    <t>Jalan Poros Kabupaten Seruyan,Ayawan,Seruyan Tengah</t>
  </si>
  <si>
    <t>027/1667/DISDIK/SMP/VIII/2023</t>
  </si>
  <si>
    <t>Pembangunan Pagar SDN 2 Ayawan</t>
  </si>
  <si>
    <t>Rantau Pulut Kecamatan Seruyan Tengah</t>
  </si>
  <si>
    <t>USB SDN-2 Rantau Pulut</t>
  </si>
  <si>
    <t>027/122/PPK-DISDIK/DIKDAS/VI/2</t>
  </si>
  <si>
    <t>Pembangunan WC SDN 2 Rantau Pulut</t>
  </si>
  <si>
    <t>Jalan Tajudin Kusuma No. 40,Rantau Pulut,Seruyan Tengah</t>
  </si>
  <si>
    <t>027/930/DISDIK/SD/VII/2023</t>
  </si>
  <si>
    <t>Pembangunan Ruang Labolatorium Komputer Beserta Perabotnya SDN 2 Rantau Pulut</t>
  </si>
  <si>
    <t>Rantau Pulut, Kecamatan Seruyan Tengah</t>
  </si>
  <si>
    <t>335/PPK-DISDIKPORA/X/2013</t>
  </si>
  <si>
    <t>Pembangunan Rumah Dinas Guru SDN - 2 Rantau Puluh Kec. Seruyan Tengah Kabupaten Seruyan</t>
  </si>
  <si>
    <t>Jalan Tajudin Kusuma No. 40 _x000D_
Kelurahan Rantau Pulut Kec. Seruyan Tengah</t>
  </si>
  <si>
    <t>'425.11/036/DIKDAS-DISDIK.I/V/</t>
  </si>
  <si>
    <t>Pembangunan rumah dinas guru (2 unit) 30203153 - SD NEGERI 2 RANTAU PULUT</t>
  </si>
  <si>
    <t>027/79/PPK-DISDIK/DIKDAS/VII/2</t>
  </si>
  <si>
    <t>Pembangunan Rumah Dinas Guru (RDG) SDN 2 Rantau Pulut</t>
  </si>
  <si>
    <t>Konstruksi (Pembangunan Pagar SDN 2 Rantau Pulut)</t>
  </si>
  <si>
    <t>Desa SUkamandang Kec. Seruyan Tengah</t>
  </si>
  <si>
    <t>027/541/DISDIK/DIKDAS/IX/2021</t>
  </si>
  <si>
    <t>Pembangunan Toilet ( jamban ) SDN 2 SUKAMANDANG</t>
  </si>
  <si>
    <t>Desa Sukamandang, Seruyan Tengah</t>
  </si>
  <si>
    <t>027/593/DISDIK/DIKDAS/IX/2021</t>
  </si>
  <si>
    <t xml:space="preserve"> Pembangunan rumah dinas Guru _x000D_
SDN 2 SUKAMANDANG</t>
  </si>
  <si>
    <t>027/229/PPK-DISDIK/VII/2017</t>
  </si>
  <si>
    <t>Pembangunan RDG SDN 2 Sukamandang</t>
  </si>
  <si>
    <t>Jln. Montrado Jaya_x000D_
Dusun. Bukit Tahinting Kelurahan Rantau Pulut Kec. Seruyan Tengah</t>
  </si>
  <si>
    <t>425.11/178/DIKDAS-DISDIK"I/V/2</t>
  </si>
  <si>
    <t>Pembangunan ruang guru 30204484 - SD NEGERI 3 RANTAU PULUT  (DAK SD REGULER 2020)  1 Ruang</t>
  </si>
  <si>
    <t>sdn 3 rantau pulut</t>
  </si>
  <si>
    <t>Desa Bukit Tahinting Kecamatan Seruyan Tengah</t>
  </si>
  <si>
    <t>Pembangunan USB</t>
  </si>
  <si>
    <t>'421.2/2181/DIKDAS-DISDIKPORA/</t>
  </si>
  <si>
    <t>Pekerjaan Pembangunan RKB SDN Bukit Tahinting (2 Ruang)</t>
  </si>
  <si>
    <t>Rantau Pulut, Kec. Seruyan Tengah</t>
  </si>
  <si>
    <t>Jalan Jend. A. Yani No. 1 Kuala Pembuang Kabupaten Seruyan</t>
  </si>
  <si>
    <t>22/10/2014</t>
  </si>
  <si>
    <t>800.5/49/PPK-BKD/X/2014</t>
  </si>
  <si>
    <t>Papan Nama Beton Kantor Badan Kepegawaian Daerah Kab. Seruyan</t>
  </si>
  <si>
    <t>Jl. A. Yani, K. Pembuang</t>
  </si>
  <si>
    <t>20/02/2012</t>
  </si>
  <si>
    <t>641.6/04/II/CK.2012</t>
  </si>
  <si>
    <t>Kantor Badan Kepegawaian Daerah</t>
  </si>
  <si>
    <t>Bangunan Gedung Tempat Ibadah Permanen</t>
  </si>
  <si>
    <t>03.01.01.08.001</t>
  </si>
  <si>
    <t>Jalan Ahmad Yani Kuala Pembuang</t>
  </si>
  <si>
    <t>18/10/2017</t>
  </si>
  <si>
    <t>800.5/107/PA-BKPSDM/X/2017</t>
  </si>
  <si>
    <t>Pembanguanan Musholla Kantor BKPSDM</t>
  </si>
  <si>
    <t>Bangunan Gedung Pertemuan Permanen</t>
  </si>
  <si>
    <t>03.01.01.09.001</t>
  </si>
  <si>
    <t>13/11/2020</t>
  </si>
  <si>
    <t>800.5/10/PA-BKPSDM/VI/2020</t>
  </si>
  <si>
    <t>Pembangunan Gedung Pertemuan BKPSDM</t>
  </si>
  <si>
    <t>Gedung Garasi/Pool Permanen</t>
  </si>
  <si>
    <t>03.01.01.14.001</t>
  </si>
  <si>
    <t>30/10/2014</t>
  </si>
  <si>
    <t>800.5/53/PPK-BKD/X/2014</t>
  </si>
  <si>
    <t>Garasi/Tempat Parkir Kantor Badan Kepegawaian Daerah Kab. Seruyan</t>
  </si>
  <si>
    <t>11/07/2017</t>
  </si>
  <si>
    <t>800.5/54/PA-BKPSDM/VII/2017</t>
  </si>
  <si>
    <t>Pembangunan garasi kendaraan roda empat kantor BKPSDM</t>
  </si>
  <si>
    <t>02/09/2024</t>
  </si>
  <si>
    <t>27/SP-BKPSDM/IX/2024</t>
  </si>
  <si>
    <t>PENGADAAN GEDUNG KANTOR ATAU BANGUNAN LAINNYA (KANTIN)</t>
  </si>
  <si>
    <t>Bangunan Parkir Terbuka Permanen</t>
  </si>
  <si>
    <t>03.01.01.33.001</t>
  </si>
  <si>
    <t>25/SPK-BKPSDM/IX/2024</t>
  </si>
  <si>
    <t>BELANJA MODAL GEDUNG DAN BANGUNAN (GARASI)</t>
  </si>
  <si>
    <t>Taman Permanen</t>
  </si>
  <si>
    <t>03.01.01.36.001</t>
  </si>
  <si>
    <t>Jalan Ahkmad Yani Kuala Pembuang</t>
  </si>
  <si>
    <t>16/11/2021</t>
  </si>
  <si>
    <t>800.5/20/PA-BKPSDM/XI/2021</t>
  </si>
  <si>
    <t>Paping lingkungan aula BKPSDM</t>
  </si>
  <si>
    <t>Bangunan gedung Tempat Kerja Lainnya</t>
  </si>
  <si>
    <t>03.01.01.37.001</t>
  </si>
  <si>
    <t>Jalan Akhmad Yani Kuala Pembuang</t>
  </si>
  <si>
    <t>Saluran air lingkungan aula</t>
  </si>
  <si>
    <t>tugu lainnya (dst)</t>
  </si>
  <si>
    <t>03.02.01.02.004</t>
  </si>
  <si>
    <t>09/11/2016</t>
  </si>
  <si>
    <t>800.5/96/PA-BKD/XI/2016</t>
  </si>
  <si>
    <t>Karangka Baleho</t>
  </si>
  <si>
    <t>Jalan Ahmad Yani Kuala Pembuang Kabupaten Seruyan</t>
  </si>
  <si>
    <t>10/05/2016</t>
  </si>
  <si>
    <t>800.5/23/PA-BKD/III/2016</t>
  </si>
  <si>
    <t>Bangunan Pagar Kantor BKD (Panjang 93,50 meter)</t>
  </si>
  <si>
    <t>Jl. A. Yani Kuala Pembuang II</t>
  </si>
  <si>
    <t>01/09/2003</t>
  </si>
  <si>
    <t>641.6/31//CK/2003</t>
  </si>
  <si>
    <t>Bangunan Kantor Dinas Pendapatan Daerah</t>
  </si>
  <si>
    <t>Jl. A.Yani kuala Pembuang II</t>
  </si>
  <si>
    <t>17/07/2010</t>
  </si>
  <si>
    <t>01.032/503/DIPENDA/VII/2010</t>
  </si>
  <si>
    <t>Pembangunan Ruang Rapat T A. 2010   Rp. 396.600.000,-
Perencanaan Pembangunan Ruang Rapat  Tahun A.2011 Rp. 26.000.000,-
Review Desain Lanjutan Pembangunan Aula Kantor TA. 2013 Rp. 9.900.000,-
Lanjuta</t>
  </si>
  <si>
    <t>Jl. Sampit Pangkalan Bun Desa Pembuang Hulu I</t>
  </si>
  <si>
    <t>01/01/2020</t>
  </si>
  <si>
    <t>SK Bupati No. 188.45/381/2019</t>
  </si>
  <si>
    <t>Kantor Pos Retribusi</t>
  </si>
  <si>
    <t>02/08/2011</t>
  </si>
  <si>
    <t>01.032/386/DIPENDA/VIII/2011</t>
  </si>
  <si>
    <t>Perencanaan Pembangunan Loket Pelayanan Pajak Dan Retribusi Rp. 11.450.000
Pembangunan Loket Pelayanan Pajak &amp; Retribusi Rp. 166.100.000
Pengawasan Pembangunan Loket Pelayanan Pajak Dan Retribusi Rp.</t>
  </si>
  <si>
    <t>Bangunan Gedung Kantor Lain-lain</t>
  </si>
  <si>
    <t>03.01.01.01.005</t>
  </si>
  <si>
    <t>Kantor DISPENDA Jalan Akhmad Yani Kec. Seruyan Hilir</t>
  </si>
  <si>
    <t>30/09/2013</t>
  </si>
  <si>
    <t>602.2/65/BLH/IX/2013</t>
  </si>
  <si>
    <t>TPS TUNGGAL 16 Unit</t>
  </si>
  <si>
    <t>Bangunan Gudang Tertutup Permanen</t>
  </si>
  <si>
    <t>03.01.01.02.001</t>
  </si>
  <si>
    <t>Jl. A. Yani  Kuala Pembuang II</t>
  </si>
  <si>
    <t>16/08/2011</t>
  </si>
  <si>
    <t>Perencanaan Gudang Arsip Rp. 12.800.000
Pembangunan Gudang Arsip Rp. 185.200.000
Pengawasan Gudang Arsip Rp. 7.500.000</t>
  </si>
  <si>
    <t>Bangunan Gudang Terbuka Permanen</t>
  </si>
  <si>
    <t>03.01.01.02.004</t>
  </si>
  <si>
    <t>Jl. A. Yani Kuala Pembuang</t>
  </si>
  <si>
    <t>11/11/2013</t>
  </si>
  <si>
    <t>027/532.b/DIPENDA/XI/2013</t>
  </si>
  <si>
    <t>Rumah Genset</t>
  </si>
  <si>
    <t>Jl. A. Yani Kuala Pembuang  II</t>
  </si>
  <si>
    <t>23/06/2011</t>
  </si>
  <si>
    <t>01.032/305/DIPENDA/VI/2011</t>
  </si>
  <si>
    <t>Perencanaan Pembangunan Mushola Kantor Rp. 13.350.000
Pembangunan Mushola Kantor Rp. 193.085.800
Pengawasan Pembangunan Mushola Kantor Rp. 7.850.000</t>
  </si>
  <si>
    <t>Jl. a. Yani  Kuala Pembuang  II</t>
  </si>
  <si>
    <t>01.032/388/DIPENDA/VIII/2011</t>
  </si>
  <si>
    <t>Perencanaan Perluasan Tempat Parkir Rp. 10.100.000
Perluasan Tempat Parkir Rp. 146.500.000
Pengawasan Perluasan Tempat Parkir Rp. 5.900.000</t>
  </si>
  <si>
    <t>Bangunan Gedung Tempat Kerja Lainnya Permanen</t>
  </si>
  <si>
    <t>03.01.01.30.001</t>
  </si>
  <si>
    <t>Jl. A.Yani Kuala Pembuang II</t>
  </si>
  <si>
    <t>15/11/2010</t>
  </si>
  <si>
    <t>01.032/813/DIPENDA/XI/2010</t>
  </si>
  <si>
    <t>Perencanaan  Pembangunan Kantin Kantor Nilai Kontrak  Rp 2.950.000
pekerjaan Pembangunan Kantin Kantor Nilai Kontrak  Rp 54.600.000</t>
  </si>
  <si>
    <t>20/05/2011</t>
  </si>
  <si>
    <t>01.032/266/DIPENDA/V/2011</t>
  </si>
  <si>
    <t>Taman dan Halaman Kantor</t>
  </si>
  <si>
    <t>Rumah Negara Golongan III Tipe E Permanen</t>
  </si>
  <si>
    <t>03.01.02.03.013</t>
  </si>
  <si>
    <t>12/11/2007</t>
  </si>
  <si>
    <t>5.2/124/PSPA/Dipenda/2007</t>
  </si>
  <si>
    <t>Bangunan Rumah Jaga 2 Pintu</t>
  </si>
  <si>
    <t>01.032/506/DIPENDA/VII/2010</t>
  </si>
  <si>
    <t>Belanja Jasa Perencanaan Rumah Jaga Nilai Kontrak 12.500.000
Pekerjaan Rumah Jaga Nilai Kontrak Rp. 176.865.700
Pengawasan pekerjaan Rumah Jaga Rp. 7.100.000</t>
  </si>
  <si>
    <t>Jl. Gajah Mada Kuala Pembuang II</t>
  </si>
  <si>
    <t>03/06/2010</t>
  </si>
  <si>
    <t>PBB/036/DIPENDA/VI/2010</t>
  </si>
  <si>
    <t xml:space="preserve"> BESI BALEHO 1 X 2 M  - Biaya Pungutan Pajak dan Retribusi Tahun  2010</t>
  </si>
  <si>
    <t>BESI BALEHO 1 X 2 M  - Biaya Pungutan Pajak dan Retribusi Tahun  2010</t>
  </si>
  <si>
    <t>Jl. Sukarno Hatta Desa Persil Raya</t>
  </si>
  <si>
    <t>23/07/2010</t>
  </si>
  <si>
    <t>PBB/081/DIPENDA/VII/2010</t>
  </si>
  <si>
    <t>Jl. A. Yani (Kantor DIPENDA)</t>
  </si>
  <si>
    <t>16/10/2015</t>
  </si>
  <si>
    <t>027/491/DIPENDA/X/2015</t>
  </si>
  <si>
    <t>Belanja Modal Pengadaan Rangka Baliho Kantor</t>
  </si>
  <si>
    <t>Jln Sejahtera/Desa pematang limau</t>
  </si>
  <si>
    <t>20/05/2014</t>
  </si>
  <si>
    <t>027/264/DIPENDA/ V/2014</t>
  </si>
  <si>
    <t>Papan Baliho ( 1 m x 2 m ) /Intensifikasi Penerimaan Pajak 
dan Retribusi Daerah Thn 2014</t>
  </si>
  <si>
    <t>Jln Gajah Mada/Kuala Pembuang II</t>
  </si>
  <si>
    <t>027/264/DIPENDA/V/2014</t>
  </si>
  <si>
    <t>Papan Baliho ( 1 m x 2 m )/ Intensifikasi Penerimaan Pajak
dan Retribusi Daerah Tahun 2014</t>
  </si>
  <si>
    <t>KEC.SERUYAN HILIR TIMUR</t>
  </si>
  <si>
    <t>25/08/2010</t>
  </si>
  <si>
    <t>PBB/072/DIPENDA/VIII/2010</t>
  </si>
  <si>
    <t>BESI BALEHO 2 X4 M  - Biaya Pungutan Pajak dan Retribusi Tahun  2010</t>
  </si>
  <si>
    <t>BESI BALEHO 4 X 6 M  - Biaya Pungutan Pajak dan Retribusi Tahun  2010</t>
  </si>
  <si>
    <t xml:space="preserve"> BESI BALEHO 4 X 6 M  - Biaya Pungutan Pajak dan Retribusi Tahun  2010</t>
  </si>
  <si>
    <t>12/10/2011</t>
  </si>
  <si>
    <t>PBB/547/DIPENDA/X/2011</t>
  </si>
  <si>
    <t>BESI BALEHO 2 X4 M  - Biaya Pungutan Pajak dan Retribusi Tahun  2011</t>
  </si>
  <si>
    <t>Jl. S. Parman  KP.I (Kantor Kelurahan KP.I)</t>
  </si>
  <si>
    <t>15/04/2015</t>
  </si>
  <si>
    <t>027/209/DIPENDA/IV/2015</t>
  </si>
  <si>
    <t>Belanja Modal Pengadaan papan Baliho ukuran 4 X 6 M</t>
  </si>
  <si>
    <t>Jl. Puri junjung Buih Desa Kartika Bakti (Dekat Jembatan Tinggi)</t>
  </si>
  <si>
    <t>Brigjend. Katamso/Kp II</t>
  </si>
  <si>
    <t>11/07/2014</t>
  </si>
  <si>
    <t>027/357/DIPENDA/VIII/2014</t>
  </si>
  <si>
    <t>Belanja Modal Pengadaan Papan Baliho 4 x 6</t>
  </si>
  <si>
    <t>BESI BALEHO 4 X 6 M  - Biaya Pungutan Pajak dan Retribusi Tahun  2011</t>
  </si>
  <si>
    <t>Jl. Tjilik Riwut Kuala Pembuang I</t>
  </si>
  <si>
    <t>BESI BALEHO 4 X 6 M  - Biaya Pungutan Pajak dan Retribusi Tahun  2011 PINTU MASUK BANDARA</t>
  </si>
  <si>
    <t>Jl. A. Yani Kuala Pembuang I</t>
  </si>
  <si>
    <t>16/10/2012</t>
  </si>
  <si>
    <t>01.032/753/DIPENDA/X/2012</t>
  </si>
  <si>
    <t>BESI BALEHO 2 X 4 M  - Biaya Pungutan Pajak dan Retribusi Tahun  2012</t>
  </si>
  <si>
    <t>Jl. A. Yani Kuala pembuang II</t>
  </si>
  <si>
    <t>Jl. Pirdaus Kec. Seruyan Hilir Timur</t>
  </si>
  <si>
    <t>BESI BALEHO 4 X 6 M  - Biaya Pungutan Pajak dan Retribusi Tahun  2012</t>
  </si>
  <si>
    <t>26/08/2010</t>
  </si>
  <si>
    <t>001.32/613/DIPENDA/VIII/2010</t>
  </si>
  <si>
    <t>Pembangunan Pagar Samping Kanan-Kiri</t>
  </si>
  <si>
    <t>Jln. A.Yani KP</t>
  </si>
  <si>
    <t>31/12/2008</t>
  </si>
  <si>
    <t>Jl. A. Yani</t>
  </si>
  <si>
    <t>23/10/2018</t>
  </si>
  <si>
    <t>780/28.6/INSP/X/2018</t>
  </si>
  <si>
    <t>Belanja Modal Pengadaan Ruangan Genset</t>
  </si>
  <si>
    <t>Jln. Jendral Ahmad Yani</t>
  </si>
  <si>
    <t>22/07/2019</t>
  </si>
  <si>
    <t>780/20/INSP/VII/2019</t>
  </si>
  <si>
    <t>Pengadaan Bangunan Kantor (Pengadaan Papan Nama Kantor)</t>
  </si>
  <si>
    <t>Jl. A Yani KP</t>
  </si>
  <si>
    <t>12/04/2008</t>
  </si>
  <si>
    <t>141/BAWASDA/IV/2008</t>
  </si>
  <si>
    <t>Bangunan Rumah Jaga</t>
  </si>
  <si>
    <t>11/11/2019</t>
  </si>
  <si>
    <t>780/24/INSP/IX/2019</t>
  </si>
  <si>
    <t>Pengadaan Gudang Arsip</t>
  </si>
  <si>
    <t>Jalan A. Yani Kuala Pembuang</t>
  </si>
  <si>
    <t>21/08/2024</t>
  </si>
  <si>
    <t>780/25/PPKom-INSP/VIII/2024</t>
  </si>
  <si>
    <t>Bangunan Gudang Arsip Inspektorat</t>
  </si>
  <si>
    <t>Jl. A. Yani, KP. II</t>
  </si>
  <si>
    <t>18/08/2014</t>
  </si>
  <si>
    <t>641.6/81/KONTRAK-CK/VIII/2014</t>
  </si>
  <si>
    <t>Pembangunan Aula Inspektorat Kabupaten Seruyan ( DAU+DAK )</t>
  </si>
  <si>
    <t>Gedung Pos Jaga Permanen</t>
  </si>
  <si>
    <t>03.01.01.13.001</t>
  </si>
  <si>
    <t>33.75</t>
  </si>
  <si>
    <t>780/26/PPKom-INSP/VIII/2024</t>
  </si>
  <si>
    <t>Bangunan Pos Jaga Inspektorat</t>
  </si>
  <si>
    <t>Jl.A Yani KP</t>
  </si>
  <si>
    <t>151/BAWASDA/IV/2008</t>
  </si>
  <si>
    <t>17/12/2019</t>
  </si>
  <si>
    <t>780/35/INSP/XI/2019</t>
  </si>
  <si>
    <t>PEMBANGUNAN GARASI, PENGAWASAN DAN PERENCANAAN</t>
  </si>
  <si>
    <t>Bangunan Tempat Parkir</t>
  </si>
  <si>
    <t>03.01.01.32.001</t>
  </si>
  <si>
    <t>123.55</t>
  </si>
  <si>
    <t>29/11/2024</t>
  </si>
  <si>
    <t>780/79/PPKom-INSP/XI/2024</t>
  </si>
  <si>
    <t>03/05/2018</t>
  </si>
  <si>
    <t>780/18/INSP/V/ 2018</t>
  </si>
  <si>
    <t>Belanja Modal Pengadaan Taman Kantor</t>
  </si>
  <si>
    <t>Kec.Seruyan Hilir Kab. Seruyan 
X: 671569 Y:9623078</t>
  </si>
  <si>
    <t>30/08/2018</t>
  </si>
  <si>
    <t>640/034.1/ADD-CK-GK/DPUPR/X/20</t>
  </si>
  <si>
    <t>Pembangunan Pagar Kantor Inspektorat Kab. Seruyan</t>
  </si>
  <si>
    <t>Bangunan Kantor Kec. Danau Sembuluh</t>
  </si>
  <si>
    <t>Rusak Berat</t>
  </si>
  <si>
    <t>Gues House Danau Sembuluh (Kebakaran)</t>
  </si>
  <si>
    <t>Ds. Tlg. Pulang Kec. Danau Sembuluh</t>
  </si>
  <si>
    <t>11/06/2009</t>
  </si>
  <si>
    <t>07/ADPUM-SETDA/VI/2009</t>
  </si>
  <si>
    <t>Gedung Serbaguna Tlaga Pulang</t>
  </si>
  <si>
    <t>Bangunan Gedung Pertemuan Semi Permanen</t>
  </si>
  <si>
    <t>03.01.01.09.002</t>
  </si>
  <si>
    <t>Kebakaran (tahun dirubah dari 2006 ke 2008)</t>
  </si>
  <si>
    <t>Gedung Olah Raga Tetutup Permanen</t>
  </si>
  <si>
    <t>03.01.01.11.001</t>
  </si>
  <si>
    <t>28/08/2012</t>
  </si>
  <si>
    <t>No. 643.1/86/KONTRAK-CK/VIII/2</t>
  </si>
  <si>
    <t>GOR Bulutangkis Danau Sembuluh</t>
  </si>
  <si>
    <t>Gedung Garasi/Pool Semi Permanen</t>
  </si>
  <si>
    <t>03.01.01.14.002</t>
  </si>
  <si>
    <t>Kantor Kecamatan Danau sembuluh</t>
  </si>
  <si>
    <t>30/07/2012</t>
  </si>
  <si>
    <t>Jl. A. Toepak Kec. Danau Sembuluh Telaga Pulang</t>
  </si>
  <si>
    <t>01/11/2019</t>
  </si>
  <si>
    <t>197/SPMK-DS/XI/2019</t>
  </si>
  <si>
    <t>Bangunan Gedung Garasi/Pool</t>
  </si>
  <si>
    <t>Rumah Negara Golongan II Tipe C Permanen</t>
  </si>
  <si>
    <t>03.01.02.02.007</t>
  </si>
  <si>
    <t>Rumah Negara Golongan III Tipe E Semi Permanen</t>
  </si>
  <si>
    <t>03.01.02.03.014</t>
  </si>
  <si>
    <t>Kebakaran (Tahun dirubah dari 2004 ke 2008)</t>
  </si>
  <si>
    <t>Kebakaran  (Tahun dirubah dari 2004 ke 2008)</t>
  </si>
  <si>
    <t>Jalan Bakrie Entong Desa Pembuang Hulu I Kecamatan Hanau</t>
  </si>
  <si>
    <t>06/09/2019</t>
  </si>
  <si>
    <t>SK Bupati No. 188.45/382/2019</t>
  </si>
  <si>
    <t>Ruang Rekam KTP</t>
  </si>
  <si>
    <t>Jl. Bakri Entong Kec. Hanau Kabupaten Seruyan Propinsi Kalimantan Tengah</t>
  </si>
  <si>
    <t>Bangunan Kantor Camat Hanau Baru</t>
  </si>
  <si>
    <t>Ds. Pembuang Hulu I Kec. Hanau</t>
  </si>
  <si>
    <t>01/ADPUM-SETDA/VI/2009</t>
  </si>
  <si>
    <t>Guest House Kecamatan  Hanau</t>
  </si>
  <si>
    <t>06/09/2020</t>
  </si>
  <si>
    <t>Kantor Aula Kecamatan Hanau</t>
  </si>
  <si>
    <t>Bangunan Gedung Serbaguna</t>
  </si>
  <si>
    <t>Pembuang Hulu, Hanau</t>
  </si>
  <si>
    <t>13/07/2012</t>
  </si>
  <si>
    <t>No. 621.5/61/SPMK-CK/VII/2012</t>
  </si>
  <si>
    <t>GOR Bulutangkis Pembuang Hulu</t>
  </si>
  <si>
    <t>Bangunan Olah Raga Terbuka Semi Permanen</t>
  </si>
  <si>
    <t>03.01.01.11.005</t>
  </si>
  <si>
    <t>Bangunan Tribun Sepak Bola</t>
  </si>
  <si>
    <t>Gedung Pertokoan/Koperasi/Pasar Permanen</t>
  </si>
  <si>
    <t>03.01.01.12.001</t>
  </si>
  <si>
    <t>Jalan Sampit - Pangkalan Bun Desa Pembuang Hulu I</t>
  </si>
  <si>
    <t>Pasar Simpang Hanau I</t>
  </si>
  <si>
    <t>Pasar Simpang Hanau II</t>
  </si>
  <si>
    <t>KOMPLEK KANTOR CAMAT, KECAMATAN HANAU</t>
  </si>
  <si>
    <t>Garasi M-PLIK</t>
  </si>
  <si>
    <t>Bangunan Rujab Camat Lama</t>
  </si>
  <si>
    <t>Bangunan Rujab Camat Baru</t>
  </si>
  <si>
    <t>Flat/rumah Lain-lain (dst)</t>
  </si>
  <si>
    <t>03.01.02.08.003</t>
  </si>
  <si>
    <t>08/08/2012</t>
  </si>
  <si>
    <t xml:space="preserve"> 641.6/66/KONTRAK-CK/VIII/2012</t>
  </si>
  <si>
    <t>Guest House Kec. Hanau</t>
  </si>
  <si>
    <t>Kec. Hanau - Kab Seruyan
X: 0625164 Y: 09724496</t>
  </si>
  <si>
    <t>14/04/2016</t>
  </si>
  <si>
    <t>621.6/018/KONTRAK-CK/IV/2016</t>
  </si>
  <si>
    <t>Pembangunan Pagar Gues House Pembuang Hulu</t>
  </si>
  <si>
    <t>Kec.Hanau Kab. Seruyan
X:06'25.110 Y:97'24.457' X:06'25.074' Y:97'24.506'</t>
  </si>
  <si>
    <t>17/07/2017</t>
  </si>
  <si>
    <t>621.6/016/KONTRAK-CK/VII/2017</t>
  </si>
  <si>
    <t>Pembangunan Pagar Guest House Pembuang Hulu</t>
  </si>
  <si>
    <t>Jl.S.Parman Kelurahan Kuala Pembuang I</t>
  </si>
  <si>
    <t>31/12/2007</t>
  </si>
  <si>
    <t>Kantor Kelurahan Kuala Pembuang 1</t>
  </si>
  <si>
    <t>JL. DI PANJAITAN KELURAHAN KUALA PEMBUANG II</t>
  </si>
  <si>
    <t>KANTOR KELURAHAN KUALA PEMBUANG II</t>
  </si>
  <si>
    <t>Jl. S Parman Kuala Pembuang</t>
  </si>
  <si>
    <t>Kantor Kecamatan Seruyan Hilir</t>
  </si>
  <si>
    <t>Halaman  Kantor Kelurahan Kuala Pembuang II Kec. Seruyan Hilir_x000D_
X : 0671951  Y : 9625656</t>
  </si>
  <si>
    <t>05/12/2016</t>
  </si>
  <si>
    <t>641.6/065/KONTRAK-CK/XII/2016</t>
  </si>
  <si>
    <t xml:space="preserve"> Halaman  Kantor Kelurahan Kuala Pembuang II Kec. Seruyan Hilir</t>
  </si>
  <si>
    <t>Kec. Seruyan Hilir Kab. Seruyan 	_x000D_
S: 323748806 E:112325232284</t>
  </si>
  <si>
    <t>620/013/KONTRAK-CK-PI/DPUPR/VI</t>
  </si>
  <si>
    <t>Pembangunan Tempat Parkir dan Pemasangan Paving Halaman Kantor Kelurahan Kuala Pembuang II Kec. Seruyan Hilir Timur</t>
  </si>
  <si>
    <t>Kec. Seruyan Hilir Kab. Seruyan 	_x000D_
S:3372809 E:11255049</t>
  </si>
  <si>
    <t>29/07/2019</t>
  </si>
  <si>
    <t>640/026/KONTRAK-CK/DPUPR/VII/2</t>
  </si>
  <si>
    <t>Pembangunan Tempat Parkir dan Pemasangan Paving Halaman kantor Kelurahan KP.I</t>
  </si>
  <si>
    <t>22/05/2023</t>
  </si>
  <si>
    <t>02/SPK-KP.II/V/2023</t>
  </si>
  <si>
    <t>POS JAGA KP II</t>
  </si>
  <si>
    <t>29/10/2024</t>
  </si>
  <si>
    <t>03/SPK-KPII/2024</t>
  </si>
  <si>
    <t>Taman lainnya</t>
  </si>
  <si>
    <t>03.01.01.36.003</t>
  </si>
  <si>
    <t>13/10/2009</t>
  </si>
  <si>
    <t>140/PPAB/DOSTAMBEN/2015</t>
  </si>
  <si>
    <t>Taman Halaman kantor Kecamatan seruyan hilir</t>
  </si>
  <si>
    <t>Rumah Negara Golongan III Tipe A Semi Permanen</t>
  </si>
  <si>
    <t>03.01.02.03.002</t>
  </si>
  <si>
    <t>SP</t>
  </si>
  <si>
    <t>jl. S. Parman kula pembuang I</t>
  </si>
  <si>
    <t>22/11/2017</t>
  </si>
  <si>
    <t>160/serhil/XI/2017</t>
  </si>
  <si>
    <t>Pembangunan pagar kantor kecamatan seruyan hilir</t>
  </si>
  <si>
    <t>06/11/2012</t>
  </si>
  <si>
    <t>641.2/208/SPMK-CK/XI/2012</t>
  </si>
  <si>
    <t>Pagar Rujab Camat Seruyan Hilir</t>
  </si>
  <si>
    <t>30/10/2012</t>
  </si>
  <si>
    <t xml:space="preserve"> 641.6/202/SPMK-CK/X/2012</t>
  </si>
  <si>
    <t>Pagar Kantor Camat Seruyan Hilir</t>
  </si>
  <si>
    <t>Jl. Pelita Kuala Pembuang II</t>
  </si>
  <si>
    <t>07/07/2009</t>
  </si>
  <si>
    <t>51/ADPUM-SETDA/VII/2009</t>
  </si>
  <si>
    <t>Pagar Kantor Lurah Kp. II</t>
  </si>
  <si>
    <t>Tugu/tanda batas lainnya</t>
  </si>
  <si>
    <t>03.04.01.05.001</t>
  </si>
  <si>
    <t>31/08/2021</t>
  </si>
  <si>
    <t>47/KP.II/VIII/2021</t>
  </si>
  <si>
    <t>Tiang batas RT/RW KP II</t>
  </si>
  <si>
    <t>000187</t>
  </si>
  <si>
    <t>000196</t>
  </si>
  <si>
    <t>000197</t>
  </si>
  <si>
    <t>000198</t>
  </si>
  <si>
    <t>000199</t>
  </si>
  <si>
    <t>000200</t>
  </si>
  <si>
    <t>Kec. Seruyan Tengah Kab. Seruyan	_x000D_
S:553668597 E:1127466045</t>
  </si>
  <si>
    <t>05/08/2019</t>
  </si>
  <si>
    <t>640/031/KONTRAK-CK-GK/DPUPR/VI</t>
  </si>
  <si>
    <t>Pengalihan Status Penggunaan Barang Milik Daerah DPUPR ke Kec. Seruyan Tengah</t>
  </si>
  <si>
    <t>Jalan Tadjudin Kusuma RT 11 Kelurahan Rantau Pulut</t>
  </si>
  <si>
    <t>pagar kantor camat</t>
  </si>
  <si>
    <t>Jalan Tsdjudin Kusuma RT 11 Kelurahan Rantau Pulut</t>
  </si>
  <si>
    <t>Gedung Kantor Camat 603.841.000,</t>
  </si>
  <si>
    <t>tempat parkir</t>
  </si>
  <si>
    <t>Jalan Naga Kusuma RT 11 Kelurahan Rantau Pulut</t>
  </si>
  <si>
    <t>kantor lurah</t>
  </si>
  <si>
    <t>Jalan Umum III RT 11 Kelurahan Rantau Pulut</t>
  </si>
  <si>
    <t>Grean hause kecamatan</t>
  </si>
  <si>
    <t>Jalan Tadjudin Kusuma RT 09 Kelurahan Rantau Pulut</t>
  </si>
  <si>
    <t>gedung serba guna</t>
  </si>
  <si>
    <t>Jalan Batu Baliung RT 01 Kelurahan Rantau Pulut</t>
  </si>
  <si>
    <t>mess kantor</t>
  </si>
  <si>
    <t>rujab</t>
  </si>
  <si>
    <t>gudang arsaip</t>
  </si>
  <si>
    <t>Jl.Tadjudin Kusuma No.1 Rantau Pulut</t>
  </si>
  <si>
    <t>01/10/2020</t>
  </si>
  <si>
    <t>810/246/SER-TENG/X/2020</t>
  </si>
  <si>
    <t>Bangunan Nama Instansi</t>
  </si>
  <si>
    <t>Jl. Tadjudin Kusuma No.1 Rantau Pulut</t>
  </si>
  <si>
    <t>810/322/SER-TENG/XI/2019</t>
  </si>
  <si>
    <t>Pengadaan Sarana dan Prasarana Olahraga Kelurahan Rantau Pulut</t>
  </si>
  <si>
    <t>Bangunan Olah Raga Terbuka Permanen</t>
  </si>
  <si>
    <t>03.01.01.11.004</t>
  </si>
  <si>
    <t>Seruyan Tengah	_x000D_
S : 15524702332 E:11256897232</t>
  </si>
  <si>
    <t>12/08/2019</t>
  </si>
  <si>
    <t>640/005/KONTRAK-CK-SOR/DPUPR/V</t>
  </si>
  <si>
    <t>JL.Tadjudin Kusuma No.01 Rantau Pulut</t>
  </si>
  <si>
    <t>810/231/SER-TENG/X/2020</t>
  </si>
  <si>
    <t>Bangunan Gedung Garasi</t>
  </si>
  <si>
    <t>Mess/Wisma/Bungalow/Tempat Peristirahatan Semi Permanen</t>
  </si>
  <si>
    <t>03.01.02.04.002</t>
  </si>
  <si>
    <t>Jl. Batu Beliung Rantau Pulut</t>
  </si>
  <si>
    <t>02/12/2021</t>
  </si>
  <si>
    <t>810/83/serteng/XII/2021</t>
  </si>
  <si>
    <t>Bangunan Gazebo</t>
  </si>
  <si>
    <t>Tugu Pembangunan</t>
  </si>
  <si>
    <t>03.02.01.02.002</t>
  </si>
  <si>
    <t>. DsRantau Pulut  Ke. Seruyan Tengah</t>
  </si>
  <si>
    <t>Bunadaran/Tugu Rantau Pulut</t>
  </si>
  <si>
    <t>Jl. Tajdjudin Kusuma No.1 Rantau Pulut Kec. Seruyan Tengah</t>
  </si>
  <si>
    <t>15/04/2019</t>
  </si>
  <si>
    <t>810/044/SER-TENG/IV/2019</t>
  </si>
  <si>
    <t>Papan Pengumuman Baleho</t>
  </si>
  <si>
    <t>01/11/2020</t>
  </si>
  <si>
    <t>810/250/SER-TENG/XI/2020</t>
  </si>
  <si>
    <t>Papan Pengumuman (Reklame)</t>
  </si>
  <si>
    <t>Kec. Seruyan Tengah</t>
  </si>
  <si>
    <t>18/08/2009</t>
  </si>
  <si>
    <t>91/ADPUM-SETDA/VIII/2009</t>
  </si>
  <si>
    <t>Pagar Guest House Kec. Seruyan Tengah</t>
  </si>
  <si>
    <t>14/07/2008</t>
  </si>
  <si>
    <t>641.6/39/VII/CK.2011</t>
  </si>
  <si>
    <t>Pembangunan Selasar Penghubung Bangunan</t>
  </si>
  <si>
    <t>Kec. Seruyan Hilir - Kab. Seruyan</t>
  </si>
  <si>
    <t>21/09/2015</t>
  </si>
  <si>
    <t>641.2/255/KONTRAK-CK/IX/2015</t>
  </si>
  <si>
    <t>Pembangunan Rumah Tamu Rujab WKDH</t>
  </si>
  <si>
    <t>04/11/2015</t>
  </si>
  <si>
    <t>641.6/319/KONTRAK-CK/XI/2015</t>
  </si>
  <si>
    <t>Pengalihan Status Penggunaan Barang Milik Daerah DPUPR ke Sekretariat Daerah</t>
  </si>
  <si>
    <t>Jl. Ahmad Yani No. I Komp. Kantor Bupati Kuala Pembuang Kp. II</t>
  </si>
  <si>
    <t>21/06/2016</t>
  </si>
  <si>
    <t>421/PPKOM-SETDA/VI/2016</t>
  </si>
  <si>
    <t>Gedung Santelda</t>
  </si>
  <si>
    <t>Ds. Sembuluh Kec. Danau Sembuluh</t>
  </si>
  <si>
    <t>06/07/2009</t>
  </si>
  <si>
    <t>81/ADPUM-SETDA/VII/2009</t>
  </si>
  <si>
    <t>Kantor Camat Sembuluh Raya</t>
  </si>
  <si>
    <t>Jl. A. Yani Kuala Pembuang II  Kec. Seruyan Hilir</t>
  </si>
  <si>
    <t>10/06/2009</t>
  </si>
  <si>
    <t>11/BU-SETDA/VI/2009</t>
  </si>
  <si>
    <t>Kantor Bupati Seruyan</t>
  </si>
  <si>
    <t>Jl. A. Yani , Komp Rujab WDH</t>
  </si>
  <si>
    <t>10/10/2014</t>
  </si>
  <si>
    <t>966/PPKOM/SETDA/X/2014</t>
  </si>
  <si>
    <t>Pembuatan Taman Rujab. WKDH</t>
  </si>
  <si>
    <t>08/12/2021</t>
  </si>
  <si>
    <t>640/081/KTR-CK-BL/PUPR/12/2021</t>
  </si>
  <si>
    <t>Pembangunan Tempat Pencucian Mobil Rujab Bupati Seruyan</t>
  </si>
  <si>
    <t>Jl. Ahmadyani No.1 (Komp. Kantor Bupati) Kp. II</t>
  </si>
  <si>
    <t>06/06/2014</t>
  </si>
  <si>
    <t>456/PPKOM-SETDA/VI/2014</t>
  </si>
  <si>
    <t>Gudang Persediaan dan Arsip</t>
  </si>
  <si>
    <t>Jl. Pemuda Komplek Perumahan Dinas Kabag.</t>
  </si>
  <si>
    <t>25/04/2009</t>
  </si>
  <si>
    <t>74/BU-SETDA/IV/2009</t>
  </si>
  <si>
    <t>Pembangunan Dapur &amp; Kamar Mandi Gudang Perlengkapan</t>
  </si>
  <si>
    <t>Jl. PEMUDA KUALA PEMBUANG II</t>
  </si>
  <si>
    <t>22/06/2017</t>
  </si>
  <si>
    <t>476/PPKOM-SETDA/VI/2017</t>
  </si>
  <si>
    <t>Bangunan Gudang Belakang Rujab Sekda</t>
  </si>
  <si>
    <t>Bangunan Gudang Terbuka Semi Permanen</t>
  </si>
  <si>
    <t>03.01.01.02.005</t>
  </si>
  <si>
    <t>Jl. A.Yani Kuala Pembuang</t>
  </si>
  <si>
    <t>07/06/2004</t>
  </si>
  <si>
    <t>641.6/381/CK/2004</t>
  </si>
  <si>
    <t>Sesuai Tahun Appraisel</t>
  </si>
  <si>
    <t>Bangunan Gedung Instalasi lain-lain</t>
  </si>
  <si>
    <t>03.01.01.04.006</t>
  </si>
  <si>
    <t>Desa Batu Agung Kecamatan Seruyan Tengah</t>
  </si>
  <si>
    <t>03/09/2009</t>
  </si>
  <si>
    <t>93/PPAB-DISTAMBEN</t>
  </si>
  <si>
    <t>Gedung Sentral Listrik</t>
  </si>
  <si>
    <t>07/09/2010</t>
  </si>
  <si>
    <t>106/PPAB-DISTAMBEN/2010</t>
  </si>
  <si>
    <t>Bangunan Gardu Mesin Genset Emergensi Rujab Wakil Bupati</t>
  </si>
  <si>
    <t>Jl. Pemuda Kuala Pembuang</t>
  </si>
  <si>
    <t>107/PPAB-DISTAMBEN/2010</t>
  </si>
  <si>
    <t>Bangunan Gardu Mesin Genset Emergensi Rujab Sekda</t>
  </si>
  <si>
    <t>Jl. A. YAni Kuala Pembuang</t>
  </si>
  <si>
    <t>105.1/PPAB-DISTAMBEN/2010</t>
  </si>
  <si>
    <t>Bangunan Gardu Mesin Genset Emergensi Rujab Bupati</t>
  </si>
  <si>
    <t>Jl. Ahmad Yani No. 1 Komp. Kantor Bupati Kuala pembuang I</t>
  </si>
  <si>
    <t>13/06/2013</t>
  </si>
  <si>
    <t>49/PPKOM-SETDA/VI/2013</t>
  </si>
  <si>
    <t>Musholla Setda</t>
  </si>
  <si>
    <t>Jl. MT. Haryono Kuala Pembuang I</t>
  </si>
  <si>
    <t>10/11/2009</t>
  </si>
  <si>
    <t xml:space="preserve"> 48/BU-SETDA/XI/2009</t>
  </si>
  <si>
    <t>Bangunan Gedung Serba Guna</t>
  </si>
  <si>
    <t>Jl. Ahmad Yani Kuala Pembuang I</t>
  </si>
  <si>
    <t>Tribun Stadion Mini Gagah Lurus</t>
  </si>
  <si>
    <t>Jl. MT. Haryono Kuala Pembuang</t>
  </si>
  <si>
    <t>14/09/2009</t>
  </si>
  <si>
    <t>14/09/2009	99/BU-SETDA/IX/2009</t>
  </si>
  <si>
    <t>Pembangunan Pos Jaga Gedung Serba Guna</t>
  </si>
  <si>
    <t>Jl. A. yani Kuala Pembuang</t>
  </si>
  <si>
    <t>Tahun Sesuai Affreasel</t>
  </si>
  <si>
    <t>27/04/2009</t>
  </si>
  <si>
    <t>34/BU-SETDA/IV/2009</t>
  </si>
  <si>
    <t>Pembangunan Pos Jaga Rumah Jabatan Bupati</t>
  </si>
  <si>
    <t>Jl. Pemuda Komplek Perumahan  Dinas    Kuala Pembuang</t>
  </si>
  <si>
    <t>28/05/2009</t>
  </si>
  <si>
    <t>07/BU-SETDA/V/2009</t>
  </si>
  <si>
    <t>Pembangunan Pos Jaga Lingkungan Rujab Sekda.</t>
  </si>
  <si>
    <t>Jl. A. Yani Komp. Kantor Bupati</t>
  </si>
  <si>
    <t>12/08/2013</t>
  </si>
  <si>
    <t>362/PPKOM-SETDA/VIII/2013</t>
  </si>
  <si>
    <t>Pembangunan Pos Jaga Kantor</t>
  </si>
  <si>
    <t>Jl. Pemuda Komp. Perumahan Dinas Kp. II</t>
  </si>
  <si>
    <t>18/11/2016</t>
  </si>
  <si>
    <t>855/PPKOM-SETDA/XI/2016</t>
  </si>
  <si>
    <t>Pos Jaga Rjb. Sekda</t>
  </si>
  <si>
    <t>29/07/2021</t>
  </si>
  <si>
    <t>640/003/KONTRAK-CK-GK/DPUPR/VI</t>
  </si>
  <si>
    <t>Pembangunan Pos Jaga Rujab Wakil Bupati Seruyan</t>
  </si>
  <si>
    <t>29/06/2021</t>
  </si>
  <si>
    <t>640/004/KONTRAK-CK-BL/DPUPR/VI /2021</t>
  </si>
  <si>
    <t>Pembangunan Pos Jaga Rujab Bupati Seruyan</t>
  </si>
  <si>
    <t>Jl. Pemuda, Komplek Perumahan Dinas Kuala Pembuang II</t>
  </si>
  <si>
    <t>Garasi Rujab Sekda I</t>
  </si>
  <si>
    <t>Jl. Pemuda , Komplek Perumahan Dinas, Kuala Pembuang II</t>
  </si>
  <si>
    <t>Garasi Rujab Sekda II</t>
  </si>
  <si>
    <t>Komplek Mess Pemda Jl.A.Yani Kuala Pembuang II</t>
  </si>
  <si>
    <t>Garasi Mess Pemda, Tahun Menurut Appreassel</t>
  </si>
  <si>
    <t>Komplek kantor Bupati. Jl A.Yani No.1 Kuala Pembuang II</t>
  </si>
  <si>
    <t>Tempat Parkir Motor Setda.</t>
  </si>
  <si>
    <t>Jl. A. Yani No. 01 Komp. Kantor Bupati Kp. II</t>
  </si>
  <si>
    <t>03/06/2015</t>
  </si>
  <si>
    <t>297/PPKOM-SETDA/VI/2015</t>
  </si>
  <si>
    <t>Pembangunan Tempat Parkir Kantor Setda.</t>
  </si>
  <si>
    <t>Jl. A. Yani Komp. kantor Bupati</t>
  </si>
  <si>
    <t>1102/PPKOM-SETDA/X/2014</t>
  </si>
  <si>
    <t>Area Parkir Kantor SETDA</t>
  </si>
  <si>
    <t>Rujab WKDH Jl. A. Yani Kuala Pembuang</t>
  </si>
  <si>
    <t>21/11/2011</t>
  </si>
  <si>
    <t>213/PPKOM-SETDA/XI/2011</t>
  </si>
  <si>
    <t>Pembangunan Garasi Rujab Wakil Bupati</t>
  </si>
  <si>
    <t>Jl. Pemuda Komp. Perumahan Dinas.</t>
  </si>
  <si>
    <t>16/05/2017</t>
  </si>
  <si>
    <t>350/PPKOM-SETDA/V/2017</t>
  </si>
  <si>
    <t>Bangunan Garasi Rujab Sekda</t>
  </si>
  <si>
    <t>JL. Budi Utomo Komplrk Perumahan Dinas</t>
  </si>
  <si>
    <t>29/11/2021</t>
  </si>
  <si>
    <t>01.463/PPKOM-SETDA/XI/2021</t>
  </si>
  <si>
    <t>Diaya Pembuatan Garasi Rujab Sekda.</t>
  </si>
  <si>
    <t>39/BU-SETDA/IV/2009</t>
  </si>
  <si>
    <t>Pembangunan Tambahan Tempat Parkir Ktr. Perpustakaan. (Sdh. Tdk. ada/di bongkar)</t>
  </si>
  <si>
    <t>Jl. Ahmad Yani No...</t>
  </si>
  <si>
    <t>10/01/2020</t>
  </si>
  <si>
    <t>1220/PPKOM-SETDA/X/2019</t>
  </si>
  <si>
    <t>Kanopi/Garasi Rujab KDH</t>
  </si>
  <si>
    <t>Jl. Ahmad Yani No. 01 Komp. kantor Bupati Kp. II</t>
  </si>
  <si>
    <t>02/08/2016</t>
  </si>
  <si>
    <t>654/PPKOM-SETDA/VIII/2016</t>
  </si>
  <si>
    <t>Pembangunan Tempat Parkir Kantor Setda</t>
  </si>
  <si>
    <t>Jl. A. Yani Komp. Kantor Bupati. Kp. II</t>
  </si>
  <si>
    <t>09/03/2017</t>
  </si>
  <si>
    <t>125/PPKOM-SETDA/III/2017</t>
  </si>
  <si>
    <t>Pembangunan Tempat parkir kantor SETDa</t>
  </si>
  <si>
    <t>Jl. A. Yani Komp. Kantor Bupati K. Pembuang II</t>
  </si>
  <si>
    <t>01/10/2018</t>
  </si>
  <si>
    <t>889/PPKOM-SETDA/X/2018</t>
  </si>
  <si>
    <t>Pembangunan Garasi/Kanopi Kantor Setda</t>
  </si>
  <si>
    <t>Bangunan Tempat Kerja Lain-lain (dst)</t>
  </si>
  <si>
    <t>03.01.01.30.005</t>
  </si>
  <si>
    <t>Mess Pemda Jl. A. Yani Kp. II</t>
  </si>
  <si>
    <t>08/10/2014</t>
  </si>
  <si>
    <t>1030/PPKOM-SETDA/X/2014</t>
  </si>
  <si>
    <t>Konstruksi Knock Down</t>
  </si>
  <si>
    <t>Jl. A. Yani Kuala Pembuang - II</t>
  </si>
  <si>
    <t>641.6/362/VII/CK.2010</t>
  </si>
  <si>
    <t>Halaman dan Taman Kantor Bupati</t>
  </si>
  <si>
    <t>Rumah Negara Golongan I Tipe A Permanen</t>
  </si>
  <si>
    <t>03.01.02.01.001</t>
  </si>
  <si>
    <t>07/10/2014</t>
  </si>
  <si>
    <t>641.2/192/KONTRAK-CK/X/2014</t>
  </si>
  <si>
    <t>Pembangunan Kanopi Pendopo Rujab Bupati (DDL)</t>
  </si>
  <si>
    <t>Jl. A. Yani, Komp. Rujab WKDH</t>
  </si>
  <si>
    <t>17/09/2013</t>
  </si>
  <si>
    <t>474/PPKOM-SETDA/IX/2013</t>
  </si>
  <si>
    <t>Pembangunan Pagar Slasar/Titian Kolam Rujab WKDH</t>
  </si>
  <si>
    <t>Kec. Seruyan Hilir Kab. Seruyan</t>
  </si>
  <si>
    <t>12/04/2019</t>
  </si>
  <si>
    <t>640/002/KONTRAK-CK-RMJ/DPUPR/I</t>
  </si>
  <si>
    <t>16/07/2014</t>
  </si>
  <si>
    <t>641.2/32/KONTRAK-CK/VII/2014</t>
  </si>
  <si>
    <t>27/10/2017</t>
  </si>
  <si>
    <t>1045/PPKOM-SETDA/X/2017</t>
  </si>
  <si>
    <t>Sesuai Tanggal Appraisel</t>
  </si>
  <si>
    <t>Jl. A. yani Kala Pembuang</t>
  </si>
  <si>
    <t>28/11/2008</t>
  </si>
  <si>
    <t>641.6/140/XI/CK/2011</t>
  </si>
  <si>
    <t>Rumah Jabatan KDH</t>
  </si>
  <si>
    <t>Jl. A. Yani, Komp. Rujab KDH</t>
  </si>
  <si>
    <t>31/12/2011</t>
  </si>
  <si>
    <t>63/PPKOM-SETDA/XI/2011</t>
  </si>
  <si>
    <t>Konstruksi Tandon Air Panas</t>
  </si>
  <si>
    <t>Halaman Rujab Bupati dan Wakil Bupati
S 03'23.369024 E 112'32.23.0028'</t>
  </si>
  <si>
    <t>13/11/2017</t>
  </si>
  <si>
    <t>641.2/001/KONTRAK-CK/XI/2017</t>
  </si>
  <si>
    <t>Penataan Halaman di Depan Halaman Rujab Bupati dan Wakil Bupati</t>
  </si>
  <si>
    <t>Kec. Seruyan Hilir Kab. Seruyan 	_x000D_
S:-324295718 E: 112323718563</t>
  </si>
  <si>
    <t>03/10/2019</t>
  </si>
  <si>
    <t>640/007/KONTRAK-CK-RMJ/DPUPR/X</t>
  </si>
  <si>
    <t>Penataan Halaman Rumah Jabatan Wakil Bupati Seruyan</t>
  </si>
  <si>
    <t>Kec. Seruyan Hilir Kab. Seruyan_x000D_
S:3233858958 E:112322403271</t>
  </si>
  <si>
    <t>19/11/2019</t>
  </si>
  <si>
    <t>640/013/KONTRAK-CK-RMJ/DPUPR/X</t>
  </si>
  <si>
    <t>Paving Dan Timbunan Halaman Rumah Jabatan Bupati</t>
  </si>
  <si>
    <t>jl. ahmad yani</t>
  </si>
  <si>
    <t>08/06/2020</t>
  </si>
  <si>
    <t>640/002/KONTRAK-CK-RJ/VI/2020</t>
  </si>
  <si>
    <t>Penataan Taman Halaman Rumah Jabatan Wakil Bupati Seruyan</t>
  </si>
  <si>
    <t>Jln. Ahmad Yani</t>
  </si>
  <si>
    <t>28/08/2020</t>
  </si>
  <si>
    <t>640/004/KONTRAK-CK-RJ/VI/2020</t>
  </si>
  <si>
    <t>Penataan Taman Halaman Rumah Jabatan Bupati Seruyan</t>
  </si>
  <si>
    <t>640/007/KONTRAK-CK-BL/DPUPR/VI /2021</t>
  </si>
  <si>
    <t>Penataan Halaman Pendopo Rujab Bupati Seruyan</t>
  </si>
  <si>
    <t>Rumah Negara Golongan II Tipe A Permanen</t>
  </si>
  <si>
    <t>03.01.02.02.001</t>
  </si>
  <si>
    <t>Komplek Perumahan Dinas , Kuala Pembuang</t>
  </si>
  <si>
    <t>23/12/2019</t>
  </si>
  <si>
    <t>214/PPKOM-SETDA/IV/2014</t>
  </si>
  <si>
    <t>Rumah Jabatan Sekda,</t>
  </si>
  <si>
    <t>Jl. Ahmad Yani Kuala Pembuang II</t>
  </si>
  <si>
    <t>22/04/2014</t>
  </si>
  <si>
    <t>Belanja Modal Pembangunan kamar Mandi 5.83 M2 dan Toilet 10.66 M2 Rujab WKDH</t>
  </si>
  <si>
    <t>Rumah Negara Golongan II Tipe B Permanen</t>
  </si>
  <si>
    <t>03.01.02.02.004</t>
  </si>
  <si>
    <t>Komplek Perumahan Dinas Kuala Pembuang</t>
  </si>
  <si>
    <t>26/11/2020</t>
  </si>
  <si>
    <t>Rumah Jabatan Asisten II</t>
  </si>
  <si>
    <t>Rumah Jabatan Asisten III</t>
  </si>
  <si>
    <t>Omplek Perumahan Dinas Kuala Pembuang</t>
  </si>
  <si>
    <t>Rumah Jabatan Asisten I</t>
  </si>
  <si>
    <t>Desa Sembuluh, Kec. Danau Sembuluh</t>
  </si>
  <si>
    <t>03/ADPUM-SETDA/VI/2009</t>
  </si>
  <si>
    <t>Rumah Dinas Camat Sembuluh Raya</t>
  </si>
  <si>
    <t>Mess/Wisma/Bungalow/Tempat Peristirahatan Permanen</t>
  </si>
  <si>
    <t>03.01.02.04.001</t>
  </si>
  <si>
    <t>Kec. Seruyan Hilir Kab. Seruyan 	_x000D_
S: 3392760 E: 11253992</t>
  </si>
  <si>
    <t>19/12/2019</t>
  </si>
  <si>
    <t>640/006/PUPR.CK-AB/DPUPR/XII/2</t>
  </si>
  <si>
    <t>Kamar VIP I Mess Pemda, Tahun menurut Appreassel</t>
  </si>
  <si>
    <t>Kamar VIP II Mess Pemmda, Tahun Menurut Appreassal</t>
  </si>
  <si>
    <t>Aula Mess Pemda Tahun Menurut Appreassel</t>
  </si>
  <si>
    <t>10/04/2013</t>
  </si>
  <si>
    <t>196/PPKOM-SETDA/IV/2013</t>
  </si>
  <si>
    <t>Bangunan Mess Pemda</t>
  </si>
  <si>
    <t>640/001/KONTRAK-CK-RJ/VI/2020</t>
  </si>
  <si>
    <t>Pembangunan Rumah Karyawan Rujab Wakil Bupati Seruyan</t>
  </si>
  <si>
    <t>HALAMAN MESS PEMDA</t>
  </si>
  <si>
    <t>JL. A. YANI, KOMP. KANTOR BUPATI</t>
  </si>
  <si>
    <t>22/05/2013</t>
  </si>
  <si>
    <t>621/60/SPMK-CK/V/2013</t>
  </si>
  <si>
    <t>Rumah Jaga Lingkungan Kantor Bupati</t>
  </si>
  <si>
    <t>Tugu Peringatan Lainnya</t>
  </si>
  <si>
    <t>03.02.01.02.003</t>
  </si>
  <si>
    <t>Jl. Sampit-Pakalanbun Kec.Hanau/Danau Seluluk.</t>
  </si>
  <si>
    <t>11/10/2013</t>
  </si>
  <si>
    <t>419/PPKOM-SETDA/X/2013</t>
  </si>
  <si>
    <t>Pembangunan 1 Tugu Batas Kecamatan (Kec Danau Seluluk dan Kec. Hanau</t>
  </si>
  <si>
    <t>17/10/2011</t>
  </si>
  <si>
    <t>641.6/148/X/CK.2011</t>
  </si>
  <si>
    <t>Tempat Baleho/Spanduk (Kontruksi Kayu)</t>
  </si>
  <si>
    <t>641.6/149/X/CK.2011</t>
  </si>
  <si>
    <t>Tempat Baleho/Spanduk (Kontruksi Besi)</t>
  </si>
  <si>
    <t>Bangunan Menara Telpon</t>
  </si>
  <si>
    <t>03.03.01.03.001</t>
  </si>
  <si>
    <t>Jl. A. Yani Komp. Kantor Bupati.</t>
  </si>
  <si>
    <t>08/10/2009</t>
  </si>
  <si>
    <t>050.12/40/Bang/IX/2009</t>
  </si>
  <si>
    <t>Tower Pemancar Wireless WAN</t>
  </si>
  <si>
    <t>30/05/2009</t>
  </si>
  <si>
    <t>30/05/2009	03/BU-SETDA/V/2009</t>
  </si>
  <si>
    <t>Pembangunan Pagar Rumah Jabatan Wkil Bupati</t>
  </si>
  <si>
    <t>Kantor Bupai Jl. A. Yani Kuala Pembuang</t>
  </si>
  <si>
    <t>Pembangunan  Pagar  Kantor Bupati</t>
  </si>
  <si>
    <t>113.84</t>
  </si>
  <si>
    <t>Jl. Pemuda Komp. Perumahan Dinas</t>
  </si>
  <si>
    <t>23/05/2022</t>
  </si>
  <si>
    <t>14.03/PA-SETDA/V/2022</t>
  </si>
  <si>
    <t>01.01.01.01.004._x000D_0001</t>
  </si>
  <si>
    <t>Pembuatan Pagar Rujab. Sekda.</t>
  </si>
  <si>
    <t>Pagar Lain-lain (dst)</t>
  </si>
  <si>
    <t>03.04.01.04.004</t>
  </si>
  <si>
    <t>Jl. A. Yani KOmp. Kantor Bupati</t>
  </si>
  <si>
    <t>94/BU-SETDA/IX/2009</t>
  </si>
  <si>
    <t>Pengadaan Pagar Besi/Stailess Stell Kantor Setda</t>
  </si>
  <si>
    <t>Jl. Ahmad Yani Komp. Rujab. KDH</t>
  </si>
  <si>
    <t>05/03/2019</t>
  </si>
  <si>
    <t>73/PPKOM-SETDA/III/2019</t>
  </si>
  <si>
    <t>Pembangunan Tempat Tunggu dan Portal Pintu Masuk Rujab KDH</t>
  </si>
  <si>
    <t>JL. A. YANI</t>
  </si>
  <si>
    <t>06/11/2010</t>
  </si>
  <si>
    <t>602.3/B.140/SET-DPRD/X/2010</t>
  </si>
  <si>
    <t>- Bang. Rujab Ket DPRD RP.  730,538,000 
- Penambahan Ruangan di bangunan Parkir rujab ketua DPRD Rp.  96,700,000 
- Lanj Js Peren. SDA  Rp.  2,150,000 
- Lanj Js Peng SDA Rp.  1,250,000
- Lanjutan Be</t>
  </si>
  <si>
    <t>Jl. A. YANI</t>
  </si>
  <si>
    <t>Bangunan Rujab Wakil Ketua I DPRD</t>
  </si>
  <si>
    <t>Bangunan Rujab Wakil Ketua II DPRD</t>
  </si>
  <si>
    <t>Jl. Jend.Sudirman</t>
  </si>
  <si>
    <t>11/05/2020</t>
  </si>
  <si>
    <t>Kantor Sekretariat DPRD</t>
  </si>
  <si>
    <t>jln. A. Yani</t>
  </si>
  <si>
    <t>26/05/2016</t>
  </si>
  <si>
    <t>12/SPK-SETWAN/V/2016</t>
  </si>
  <si>
    <t>Penataan Halaman Rujab Ketua DPRD Kabupaten Seruyan</t>
  </si>
  <si>
    <t>Jln. A. Yani</t>
  </si>
  <si>
    <t>030/SPK-SETWAN/XI/2017</t>
  </si>
  <si>
    <t>Pembangunan Rumah Dinas Kopel Rujab Ketua DPRD</t>
  </si>
  <si>
    <t>03/09/2020</t>
  </si>
  <si>
    <t>054/SPK-SETWAN/IX/2020</t>
  </si>
  <si>
    <t>Pembuatan Kopel Rujab Waka I</t>
  </si>
  <si>
    <t>18/04/2019</t>
  </si>
  <si>
    <t>010/SPK-SETWAN/IV/2019</t>
  </si>
  <si>
    <t>Pembuatan Gedung Tenaga Ahli</t>
  </si>
  <si>
    <t>Jln. Pemuda</t>
  </si>
  <si>
    <t>28/10/2019</t>
  </si>
  <si>
    <t>045/SPK-SETWAN/X/2019</t>
  </si>
  <si>
    <t>Pembuatan Kopel Rujab Waka II 199.737.000; +perencanaan 13.810.000; +pengawasan 7.920.000;</t>
  </si>
  <si>
    <t>Jl. Perkantoran, K. Pembuang</t>
  </si>
  <si>
    <t>641.6 / 366 / VII / CK. 2010</t>
  </si>
  <si>
    <t>Aula DPRD</t>
  </si>
  <si>
    <t>Jalan Pemuda No Kuala Pembuang</t>
  </si>
  <si>
    <t>27/10/2023</t>
  </si>
  <si>
    <t>70/SPK-SETWAN/VIII/2023</t>
  </si>
  <si>
    <t>Halaman Rumah Jabatan Wakil Ketua I DPRD Rp. 149.700.000,- Perencanaan Rp. 10.472.850,- Pengawasan Rp. 5.938.500,-</t>
  </si>
  <si>
    <t>Jl. JENDRAL SUDIRMAN</t>
  </si>
  <si>
    <t>25/06/2012</t>
  </si>
  <si>
    <t>602.2/30/SETWAN/VI/2012</t>
  </si>
  <si>
    <t>- Belanja Pembuatan Tempat Penumpukan dan Pembakaran Sampah Rp.  14,897,000 
- Belanja Jasa Perencanaan Pembuatan SDA Rp.  1,000,000 
- Belanja Jasa Pengawasan Pembuatan SDA Rp.  575,000</t>
  </si>
  <si>
    <t>25/05/2016</t>
  </si>
  <si>
    <t>10/SPK-SETWAN/V/2016</t>
  </si>
  <si>
    <t>Pembuatan Taman Rujab ketua DPRD Kabupaten Seruyan</t>
  </si>
  <si>
    <t>08/09/2011</t>
  </si>
  <si>
    <t>602.3/053/SETWAN/IX/2011</t>
  </si>
  <si>
    <t>- Belanja Pembuatan Pot-pot Bunga Halaman Kantor dan Taman Rp.  174,100,000 
- Belanja  Jasa  Perencanaan SDA Rp.  48,500,000 
-  Belanja Jasa Pengawasan SDA Rp. 6,930,000 
(33,90 m3)</t>
  </si>
  <si>
    <t>602.3/068/SETWAN/IX/2011</t>
  </si>
  <si>
    <t>- Belanja Pemasangan Paving Halaman dan Penanaman Rumput Jepang Rp.  140,777,000 
- Belanja Jasa Pengawasan SDA Rp.  6,690,000 
- Blnj Lanj.  Pem. Paving Hal. Kntor Rp.  97,715,000 
- Blnj Js Peng lan</t>
  </si>
  <si>
    <t>25/09/2012</t>
  </si>
  <si>
    <t>602.2/60/SETWAN/IX/2012</t>
  </si>
  <si>
    <t>-Belanja Langsung Pembuatan Kolam Air Mancur Halaman Kantor DPRD Rp.  42,957,000 
-Belanja Jasa Perencanaan SDA Rp. 2,900,000
- Belanja Jasa Pengawasan SDA Rp.  950,000</t>
  </si>
  <si>
    <t>Jln. Jend. Sudirman</t>
  </si>
  <si>
    <t>602.2/60.1/SETWAN/IX/2012</t>
  </si>
  <si>
    <t>-Belanja Pembangunan Tower Air dan Perlaengkapannya Kantor DPRD Rp.  168,731,000 
-  Belanja Jasa  Perencanaan  SDA Rp. 13,000,000 
- Belanja Jasa Pengawasan SDA Rp.  7,450,000 
(22,00 m)</t>
  </si>
  <si>
    <t>13/08/2020</t>
  </si>
  <si>
    <t>050/SPK-SETWAN/VIII/2020</t>
  </si>
  <si>
    <t>Pembuatan MCK Rujab Waka II</t>
  </si>
  <si>
    <t>Jln. A. Ayani</t>
  </si>
  <si>
    <t>30/04/2020</t>
  </si>
  <si>
    <t>015/SPK-SETWAN/IV/2020</t>
  </si>
  <si>
    <t>Pembuatan MCK dan Wc Kamar Tamu Rujab Ketua DPRD</t>
  </si>
  <si>
    <t>016/SPK-SETWAN/IV/2020</t>
  </si>
  <si>
    <t>Pembuatan Dapur Umum Rujab Ketua DPRD</t>
  </si>
  <si>
    <t>21/06/2021</t>
  </si>
  <si>
    <t>059/SPK-SETWAN/VI/2021</t>
  </si>
  <si>
    <t>Pembuatan Dapur Umum Rujab Waka I</t>
  </si>
  <si>
    <t>Jl. A. YAni</t>
  </si>
  <si>
    <t>060/SPK-SETWAN/VI/2021</t>
  </si>
  <si>
    <t>Pembuatan Dapur Umum Rujab Waka II</t>
  </si>
  <si>
    <t>09/07/2021</t>
  </si>
  <si>
    <t>063/SPK-SETWAN/XI/2021</t>
  </si>
  <si>
    <t>Pembuatan Halaman dan Taman Gedung Aula Paripurna</t>
  </si>
  <si>
    <t>072/SPK-SETWAN/VII/2021</t>
  </si>
  <si>
    <t>Pemasangan Paving Halaman Belakang Kantor DPRD</t>
  </si>
  <si>
    <t>jl. A. Yani</t>
  </si>
  <si>
    <t>06/09/2011</t>
  </si>
  <si>
    <t>602.3/056/SETWAN/IX/2011</t>
  </si>
  <si>
    <t>Pembuatan Taman Halaman  Rujab Ketua DPRD Rp.  151,734,468 
- Belanja  Jasa Perencanan Pembuatan Taman Halaman  Rujab Ketua DPRD Rp.  10,700,000 
- Jasa Pengawasan Pembuatan Taman Halaman Rujab Ketua</t>
  </si>
  <si>
    <t>05/07/2011</t>
  </si>
  <si>
    <t>602.2/028/SETWAN/VII/2011</t>
  </si>
  <si>
    <t>Belanja Pembuatan Tempat Baleho</t>
  </si>
  <si>
    <t>JL. A. YANI KUALA PEMBUANG</t>
  </si>
  <si>
    <t>13/12/2022</t>
  </si>
  <si>
    <t>168.12/CV.BC-SPT/XII/2022</t>
  </si>
  <si>
    <t>BANGUNAN BALIHO RUJAB KETUA DPRD</t>
  </si>
  <si>
    <t>175/    /SETWAN/XII/2022</t>
  </si>
  <si>
    <t>HALAMAN RUJAB WAKIL KETUA 2 DPRD</t>
  </si>
  <si>
    <t>Jl. MOHAMMAD HATTA</t>
  </si>
  <si>
    <t>03/11/2022</t>
  </si>
  <si>
    <t>288/SPK-SETWAN/XI/2022</t>
  </si>
  <si>
    <t>Bangunan Tempat Baleho Kantor DPRD Rp. 49.900.000,- Perencanaan Rp. 3.418.800,- Pengawasan Rp. 1.953.600</t>
  </si>
  <si>
    <t>-Jalan Moh Hatta No 02 Kuala Pembuang</t>
  </si>
  <si>
    <t>02/12/2024</t>
  </si>
  <si>
    <t>178/SPK-SETWAN/XII/2024</t>
  </si>
  <si>
    <t>Pembangunan Tower Air</t>
  </si>
  <si>
    <t>10/06/2010</t>
  </si>
  <si>
    <t>602.3/B.047/SET-DPRD/2010</t>
  </si>
  <si>
    <t>Pembangunan tempat genset perlengkapan dan pemasangannya</t>
  </si>
  <si>
    <t>Bangunan Gudang Lain-lain (dst)</t>
  </si>
  <si>
    <t>03.01.01.02.014</t>
  </si>
  <si>
    <t>23/04/2019</t>
  </si>
  <si>
    <t>020/SPK-SETWAN/IV/2019</t>
  </si>
  <si>
    <t>Pembuatan Gudang Berkas 199.750.000; +perencanaan 13.948.000; +pengawasan 7.900.000;</t>
  </si>
  <si>
    <t>011/SPK-SETWAN/IV/2019</t>
  </si>
  <si>
    <t>Pembuatan Gudang Peralatan 199.860.000; +perencanaan 13.948.000; +pengawasan 7.900.000</t>
  </si>
  <si>
    <t>16/09/2009</t>
  </si>
  <si>
    <t>176.C/SET-DPRD/IX/2009</t>
  </si>
  <si>
    <t>- Pembangunan Musholla dan Perlengkapannya Rp.  176,000,000 
- Pembangunan Musholla  tahap II Rp.  104,130,000</t>
  </si>
  <si>
    <t>18/05/2017</t>
  </si>
  <si>
    <t>009/SPK-SETWAN/V/2017</t>
  </si>
  <si>
    <t>Mushola Rujab Wakil Ketua I DPRD</t>
  </si>
  <si>
    <t>18/11/2020</t>
  </si>
  <si>
    <t>069/SPK-SETWAN/XI/2020</t>
  </si>
  <si>
    <t>Pengadaan Sarana dan Prasarana Olah Raga (Sepak Bola Takraw)</t>
  </si>
  <si>
    <t>20/03/2019</t>
  </si>
  <si>
    <t>003/SPK-SETWAN/III/2019</t>
  </si>
  <si>
    <t>Pembuatan Pos Jaga Satpam 1</t>
  </si>
  <si>
    <t>Pembuatan Pos Jaga Satpam 2</t>
  </si>
  <si>
    <t>602.3/059/SETWAN/IX/2011</t>
  </si>
  <si>
    <t>- Pembuatan Pos Jaga Rumah Jabatan Pimpinan DPRD Rp.  125,897,800 
- Jasa Perencanan SDA Rp.  9,200,000 
- Jasa Pengawasan SDA Rp.  5,200,000 
- Pembayaran 5% Pembuatan SDA Rp.  6,626,200 
- Benj  Pen</t>
  </si>
  <si>
    <t>03/06/2021</t>
  </si>
  <si>
    <t>042/SPK-SETWAN/VI/2021</t>
  </si>
  <si>
    <t>Pembuatan Pos Satpam Rujab Waka I</t>
  </si>
  <si>
    <t>051/SPK-SETWAN/VI/2021</t>
  </si>
  <si>
    <t>Pembuatan Pos Satpam Rujab Ketua DPRD</t>
  </si>
  <si>
    <t>041/SPK-SETWAN/VI/2021</t>
  </si>
  <si>
    <t>Pembuatan Pos Satpam Rujab Waka II</t>
  </si>
  <si>
    <t>09/06/2016</t>
  </si>
  <si>
    <t>15/SPK-SETWAN/VI/2016</t>
  </si>
  <si>
    <t>Pembangunan Garasi Rujab Ketua DPRD Kabupaten Seruyan</t>
  </si>
  <si>
    <t>22/06/2009</t>
  </si>
  <si>
    <t>113.K/SET-DPRD/VI/2009</t>
  </si>
  <si>
    <t>- Bangunan Garasi Mobil Rp.  118,663,000 
- Garasi Mobil Rp.  183,934,000 
- Garasi  Mobil Tahap II Rp.  34,796,174</t>
  </si>
  <si>
    <t>Jl. Jend. Sudirman</t>
  </si>
  <si>
    <t>602.1/030/SET-DPRD/VIII/2010</t>
  </si>
  <si>
    <t>Garasi Sepeda Motor</t>
  </si>
  <si>
    <t>30/10/2019</t>
  </si>
  <si>
    <t>030/SPK-SETWAN/VIII/2019</t>
  </si>
  <si>
    <t>Pembuatan Gedung Perpustakaan +perencanaan +pengawasan</t>
  </si>
  <si>
    <t>13/09/2011</t>
  </si>
  <si>
    <t>641.6/136/IX/CK.2011</t>
  </si>
  <si>
    <t>Pagar dan Taman Rujab Ketua DPRD</t>
  </si>
  <si>
    <t>175/536/SETWAN/XII/2022</t>
  </si>
  <si>
    <t>Guest House no.1 Rujab Ketua DPRD Fisik Rp. 58.214.000, Perencanaan Rp. 4.014.500 dan Pengawasan Rp. 2.314.350</t>
  </si>
  <si>
    <t>Rumah Khusus</t>
  </si>
  <si>
    <t>03.01.02.12.003</t>
  </si>
  <si>
    <t>Jl.Mohammad  Hatta</t>
  </si>
  <si>
    <t>Pembangunan Rumah Marbot Kantor DPRD Rp.148.039.000,- Perencanaan Rp. 10.328.550, Pengawasan Rp. 5.966.250</t>
  </si>
  <si>
    <t>07/10/2009</t>
  </si>
  <si>
    <t>07/10/2009,   19/BU-SETDA/X/20</t>
  </si>
  <si>
    <t>Pembangunan Pagar Sekwan</t>
  </si>
  <si>
    <t>836</t>
  </si>
  <si>
    <t>Jl. A Yani Kuala Pembuang</t>
  </si>
  <si>
    <t>Kantor Disnakertranspar</t>
  </si>
  <si>
    <t>371</t>
  </si>
  <si>
    <t>Kartika Bhakti</t>
  </si>
  <si>
    <t>096/PPK-NAKTRAN/2010</t>
  </si>
  <si>
    <t>Gedung Transito</t>
  </si>
  <si>
    <t>2</t>
  </si>
  <si>
    <t>Dinas Tenaga Kerja Transmigrasi dan Pariwisata, Jl. Akhmad Yani Kec. Seruyan Hilir</t>
  </si>
  <si>
    <t>Sungai Bakau</t>
  </si>
  <si>
    <t>142/PPA-NAKTRAN/2009</t>
  </si>
  <si>
    <t>Gazebo</t>
  </si>
  <si>
    <t>035/KG-PAR.1/2007</t>
  </si>
  <si>
    <t>Gazebo ( BA. Inventarisasi Disnakertranspar )</t>
  </si>
  <si>
    <t>10</t>
  </si>
  <si>
    <t>DISNAKERTRANS</t>
  </si>
  <si>
    <t>241/PA-DISNAKERTRANS/XII/2023</t>
  </si>
  <si>
    <t>BANGUNAN MENARA TANDON AIR</t>
  </si>
  <si>
    <t>Bangunan Gudang Tertutup Semi Permanen</t>
  </si>
  <si>
    <t>03.01.01.02.002</t>
  </si>
  <si>
    <t>60</t>
  </si>
  <si>
    <t>UPT. Tanggul Harapan</t>
  </si>
  <si>
    <t>135/PPA-DISNAKERTRANSPAR/X/201</t>
  </si>
  <si>
    <t>Belanja Modal Pembangunan Gudang</t>
  </si>
  <si>
    <t>Bangunan Gedung Hiburan/Kesenian Permanen</t>
  </si>
  <si>
    <t>03.01.01.09.004</t>
  </si>
  <si>
    <t>132</t>
  </si>
  <si>
    <t>81/Pem-KG/VII/2005</t>
  </si>
  <si>
    <t>Gedung Pentas Kesenian Danau Sembuluh</t>
  </si>
  <si>
    <t>Bangunan Gedung Pendidikan dan Latihan</t>
  </si>
  <si>
    <t>03.01.01.10.004</t>
  </si>
  <si>
    <t>56</t>
  </si>
  <si>
    <t>Khartika Bakti</t>
  </si>
  <si>
    <t>119/PA-DISNAKERTRANS/X/2024</t>
  </si>
  <si>
    <t>BANGUNAN GEDUNG KANTOR ( KELAS BLK)</t>
  </si>
  <si>
    <t>PEMBANGUNAN KELAS BLK</t>
  </si>
  <si>
    <t>Gedung Pos Jaga Semi Permanen</t>
  </si>
  <si>
    <t>03.01.01.13.002</t>
  </si>
  <si>
    <t>18</t>
  </si>
  <si>
    <t>22.2/Pem-Kg/IV/2005</t>
  </si>
  <si>
    <t>BA. Inventarisasi Disnakertranspar</t>
  </si>
  <si>
    <t>30</t>
  </si>
  <si>
    <t>244/PA-DISNAKERTRANS/XII/2023</t>
  </si>
  <si>
    <t>BANGUNAN GARASI MOTOR</t>
  </si>
  <si>
    <t>Belanja Modal  Bangunan Parkir</t>
  </si>
  <si>
    <t>Bangunan Gedung Tempat Kerja Lainnya Semi Permanen</t>
  </si>
  <si>
    <t>03.01.01.30.002</t>
  </si>
  <si>
    <t>36</t>
  </si>
  <si>
    <t>JL. Bakri Entong Desa Pembuang Hulu I Kec. Hanau</t>
  </si>
  <si>
    <t>216/BKCSKB/2006</t>
  </si>
  <si>
    <t>pembangunan gues house</t>
  </si>
  <si>
    <t>9</t>
  </si>
  <si>
    <t>Kuala Pembuang</t>
  </si>
  <si>
    <t>25/PPK-NAKTRAN/2008</t>
  </si>
  <si>
    <t>Baleho ( BA. Inventarisasi Disnakertranspar )</t>
  </si>
  <si>
    <t>8</t>
  </si>
  <si>
    <t>50</t>
  </si>
  <si>
    <t>Jl. Naga Rt. 11 Rw. 01. Kel. Rantau Pulut</t>
  </si>
  <si>
    <t>611.7/K-BPPKB/IX/2013</t>
  </si>
  <si>
    <t>Kantor UPTB S. Tengah</t>
  </si>
  <si>
    <t>Jl. Sampit Pangkalanbun Km.119</t>
  </si>
  <si>
    <t>611.5/K-BPPKB/IX/2013</t>
  </si>
  <si>
    <t>Kantor UPTB D. Seluluk</t>
  </si>
  <si>
    <t>Jl. Manjul Raya No. I Tumbang Manjul Kec. Seruyan Hulu</t>
  </si>
  <si>
    <t>611.9/K-BPPKB/IX/2013</t>
  </si>
  <si>
    <t>Kantor UPTB S. Hulu</t>
  </si>
  <si>
    <t>Jl. GM.FIRDAUS TELAGA PULANG</t>
  </si>
  <si>
    <t>611.3/K-BPPK/IX/2013</t>
  </si>
  <si>
    <t>Gedung Balai Penyuluhan KB di Kec. Danau Sembuluh</t>
  </si>
  <si>
    <t>Jl. Jnd. Sudirman</t>
  </si>
  <si>
    <t>416/K-BPPKB/VI/2014</t>
  </si>
  <si>
    <t>PEMB.GEDUNG OBAT DAN ALAT KONTRASEPSI</t>
  </si>
  <si>
    <t>12</t>
  </si>
  <si>
    <t>Jln. Sudirman, Kecamatan Seruyan Hilir, Kabupaten Seruyan</t>
  </si>
  <si>
    <t>740 /BPPKB/X/2012</t>
  </si>
  <si>
    <t>Pembangunan Rabat Beton Teras Kantor BPPKB + Perencanaan dan Pengawasan Pembagunan Rabat Beton Teras Kantor BPPKB.</t>
  </si>
  <si>
    <t>Kecamatan Seruyan Hilir</t>
  </si>
  <si>
    <t>611/K-BPPKB/IX/2013</t>
  </si>
  <si>
    <t>Gedung Balai Penyuluhan KB di Kec. Seruyan Hilir</t>
  </si>
  <si>
    <t>02/PPK-BPPKB/IX/2014</t>
  </si>
  <si>
    <t>Pembangunan UPTB PLKB Batu Ampar</t>
  </si>
  <si>
    <t>Pembangunan UPTB PLKB Suling Tambun</t>
  </si>
  <si>
    <t>450</t>
  </si>
  <si>
    <t>Jln. Jend. Sudirman, Kecamatan Seruyan Hilir, Kabupaten Seruyan</t>
  </si>
  <si>
    <t>Kantor BPPKB</t>
  </si>
  <si>
    <t>Jl. Hasan Seruyan Hilir</t>
  </si>
  <si>
    <t>Bangunan kantor SDK/BKPH (tahun dirubah dari 1980 ke 2008)</t>
  </si>
  <si>
    <t>48</t>
  </si>
  <si>
    <t>jl. Sudirman - Kuala Pembuang</t>
  </si>
  <si>
    <t>255.1/K-BPPPA/V/2016</t>
  </si>
  <si>
    <t>Sesuai Kontrak Nomor : 255.1/K-BPPPA/V/2016</t>
  </si>
  <si>
    <t>Jln. Jendral Sudirman Kuala Pembuang</t>
  </si>
  <si>
    <t>158/K-BPPKB/IX/2009</t>
  </si>
  <si>
    <t>Pembuatan Taman dan Halaman</t>
  </si>
  <si>
    <t>139/K-BPPKB/IX/2009</t>
  </si>
  <si>
    <t>Gedung Gudang</t>
  </si>
  <si>
    <t>Jln.Putri Junjung Buih Desa Kartika Bhakti Kec. Seruyan Hilir Timur</t>
  </si>
  <si>
    <t>776/K-BPPKB/XI/2012</t>
  </si>
  <si>
    <t>Gedung Balai Penyuluhan KB di Kec. Seruyan Hilir Timur</t>
  </si>
  <si>
    <t>Jl. Jenderal Sudirman Km. 69 Kec. Seruyan Raya</t>
  </si>
  <si>
    <t>778/K-BPPKB/XI/2012</t>
  </si>
  <si>
    <t>Gedung Balai Penyuluhan KB di Kec. Seruyan Raya</t>
  </si>
  <si>
    <t>Jl. Bakrie Entong Pembuang Hulu. Kec. Hanau</t>
  </si>
  <si>
    <t>774/K-BPPKB/XI/2012</t>
  </si>
  <si>
    <t>Gedung Balai Penyuluhan KB di Kec. Hanau</t>
  </si>
  <si>
    <t>Rumah Negara Golongan III Tipe A Permanen</t>
  </si>
  <si>
    <t>03.01.02.03.001</t>
  </si>
  <si>
    <t>70</t>
  </si>
  <si>
    <t>jalan hasan</t>
  </si>
  <si>
    <t>Bangunan Rumah dinas</t>
  </si>
  <si>
    <t>161/K-BPPKB/IX/2009</t>
  </si>
  <si>
    <t>Rangka Baleho 4x6, Tiang Bendera dan Tiang Umbul-Umbul</t>
  </si>
  <si>
    <t>027/282/SPB-DP3AP2KB/V/2024</t>
  </si>
  <si>
    <t>Kerangka Baleho 4 x 6 m</t>
  </si>
  <si>
    <t>42/K-PPK/DP3AP2KB/VII/2020</t>
  </si>
  <si>
    <t>PEMBANGUNAN PAGAR BALAI PENYULUHAN KB DI KEC. SERUYAN HILIR TIMUR</t>
  </si>
  <si>
    <t>44/K-PPK/DP3AP2KB/VII/2020</t>
  </si>
  <si>
    <t>BANGUNAN PAGAR BALAI PENYULUHAN KB DI KEC. DANAU SEMBULUH</t>
  </si>
  <si>
    <t>43/K-PPK/DP3AP2KB/VII/2020</t>
  </si>
  <si>
    <t>PEMBANGUNAN PAGAR BALAI PENYULUHAN KB DI KEC. HANAU</t>
  </si>
  <si>
    <t>UPTB Seruyan Raya</t>
  </si>
  <si>
    <t>027/014/PPK-BPPKB/XI/2015</t>
  </si>
  <si>
    <t>Pembangunan Pagar UPTB S.Raya</t>
  </si>
  <si>
    <t>90</t>
  </si>
  <si>
    <t>Jalan Batu Lampang Kec. Suling Tambun</t>
  </si>
  <si>
    <t>Pembangunan Gedung BPP Kec. Suling Tambun (Dokumen belum ditemukan)</t>
  </si>
  <si>
    <t>Kec. Seruyan Hilir</t>
  </si>
  <si>
    <t>Bangunan Gedung Kantor Permanen (Dokumen belum ditemukan)</t>
  </si>
  <si>
    <t>Kabupaten Seruyan</t>
  </si>
  <si>
    <t>Lain-lain (Dokumen belum ditemukan)</t>
  </si>
  <si>
    <t>80</t>
  </si>
  <si>
    <t>6</t>
  </si>
  <si>
    <t>120</t>
  </si>
  <si>
    <t>Asam Baru</t>
  </si>
  <si>
    <t>602.2/1094/TANAK/VI/2008</t>
  </si>
  <si>
    <t>Pembangunan Gedung BPP Kec. Hanau (Dokumen belum ditemukan)</t>
  </si>
  <si>
    <t>136</t>
  </si>
  <si>
    <t>Jalan Soekarno Hatta Kec. Seruyan Hilir</t>
  </si>
  <si>
    <t>96</t>
  </si>
  <si>
    <t>Desa Pembuang Hulu Kec.Hanau</t>
  </si>
  <si>
    <t>1069/BKPP/VI/2014</t>
  </si>
  <si>
    <t>Pembangunan Balai Pertemuan BP3K Kec.Hanau 197.700.000 Perencanaan 13.775.000 Pengawasan 7.900.000</t>
  </si>
  <si>
    <t>840/BKPP/IV/2014</t>
  </si>
  <si>
    <t>Pembangunan Gedung BP3K Kec.Hanau 197.769.000 Perencanaan 13.775.000 Pengawasan 7.900.000</t>
  </si>
  <si>
    <t>45</t>
  </si>
  <si>
    <t>Kecamatan Danau Seluluk</t>
  </si>
  <si>
    <t>144/PPK-DISHUTBUN/V/2014</t>
  </si>
  <si>
    <t>BANGUNAN KANTOR UPTD PEMBIBITAN</t>
  </si>
  <si>
    <t>21</t>
  </si>
  <si>
    <t>Desa Rantau Pulut Kec.Seruyan Tengah</t>
  </si>
  <si>
    <t>1579/BKPP/VII/2013</t>
  </si>
  <si>
    <t>Kantor BPP Rantau Pulut (Hibah Kotim)</t>
  </si>
  <si>
    <t>841/BKPP/IV/2014</t>
  </si>
  <si>
    <t>Pembangunan Balai Pertemuan BP3K Kec.Batu Ampar 197.500.000 Perencanaan 13.775.000 Pengawasan 7.900.000</t>
  </si>
  <si>
    <t>BP3K Kec. Danau Sembuluh</t>
  </si>
  <si>
    <t>602.2/155/TU/DKPP/VIII/2017</t>
  </si>
  <si>
    <t>Kantor BP3K Kec. Danau Sembuluh</t>
  </si>
  <si>
    <t>Pembuatan Gedung UPTD PUSKESWAN Hanau</t>
  </si>
  <si>
    <t>161</t>
  </si>
  <si>
    <t>Perbaikan dan pemenuhan sarana prasaran BPP Kuala Pembuang</t>
  </si>
  <si>
    <t>Jl. A.Yani Desa Sandul Kec. Batu Ampar</t>
  </si>
  <si>
    <t>Bangunan BPP 192.000.000 Perencanaan 13.000.000 Pengawasan 7.400.000</t>
  </si>
  <si>
    <t>55</t>
  </si>
  <si>
    <t>Jalan Junjung Buih, Kartika Bhakti, Seruyan Hilir Timur</t>
  </si>
  <si>
    <t>602.1/7838/TANAK/VIII/2012</t>
  </si>
  <si>
    <t>Pembangunan Bangunan Penggilingan Padi (RMU)</t>
  </si>
  <si>
    <t>85</t>
  </si>
  <si>
    <t>Jalan Raya Bangkal Kuala Pembuang, Seruyan Hilir Timur</t>
  </si>
  <si>
    <t>602.1/7831/TANAK/VIII/2012</t>
  </si>
  <si>
    <t>Pembangunan Gedung BPP Seruyan Hilir Timur</t>
  </si>
  <si>
    <t>14</t>
  </si>
  <si>
    <t>Jalan Soekarno Hatta, Persil Seruyan Hilir</t>
  </si>
  <si>
    <t>602.1/4316/TANAK/V/2012</t>
  </si>
  <si>
    <t>Pembangunan Papan Nama PUSKESWAN</t>
  </si>
  <si>
    <t>32</t>
  </si>
  <si>
    <t>Jalan Bakri Entong Kecamatan Hanau</t>
  </si>
  <si>
    <t>602.1/9138/TANAK/X/2012</t>
  </si>
  <si>
    <t>Pembangunan Rumah Dinas BPP Hanau</t>
  </si>
  <si>
    <t>601</t>
  </si>
  <si>
    <t>Jl. Untung Soerapati</t>
  </si>
  <si>
    <t>641.6/48/SPMK-CK/VI/2013</t>
  </si>
  <si>
    <t>Pembangunan Gedung Kantor Badan Ketahanan Pangan (DAK+DAU)</t>
  </si>
  <si>
    <t>Desa Bangkal Kec.Danau Sembuluh</t>
  </si>
  <si>
    <t>Kantor BPP Bangkal  (Hibah Kotim)</t>
  </si>
  <si>
    <t>57</t>
  </si>
  <si>
    <t>Jalan H. Abdul Rasyid, Pembuang Hulu II</t>
  </si>
  <si>
    <t>142.g/TU.420/IV/07</t>
  </si>
  <si>
    <t>Bangunan Rumah Mantri tani Hanau</t>
  </si>
  <si>
    <t>126</t>
  </si>
  <si>
    <t>Jalan A. Yani Km 147, Kecamatan Hanau</t>
  </si>
  <si>
    <t>170.1/TU.420/V/07</t>
  </si>
  <si>
    <t>Bangunan Kantor Balai Benih Hortikultura Hanau</t>
  </si>
  <si>
    <t>192</t>
  </si>
  <si>
    <t>Jalan Jenderal Soedirman KM 116, Asam Baru</t>
  </si>
  <si>
    <t>Bangunan Kantor BPP Hanau (Dokumen belum ditemukan)</t>
  </si>
  <si>
    <t>91</t>
  </si>
  <si>
    <t>Desa Tumbang Manjul Kec. Seruyan Hulu</t>
  </si>
  <si>
    <t>126.b/TU.420/III/2006</t>
  </si>
  <si>
    <t>Bangunan Kantor BPP/ Kantor BP3K Manjul</t>
  </si>
  <si>
    <t>Jalan Antang Patahu Seruyan Raya</t>
  </si>
  <si>
    <t>602.2/993/TANAK/VI/2008</t>
  </si>
  <si>
    <t>Pembangunan Gudang BPP Telaga Pulang</t>
  </si>
  <si>
    <t>Bangunan Kantor BPP (Dokumen belum ditemukan)</t>
  </si>
  <si>
    <t>22</t>
  </si>
  <si>
    <t>167.c/TU.420/V/2007</t>
  </si>
  <si>
    <t>Pembangunan Kantor Informasi Penyuluh</t>
  </si>
  <si>
    <t>Jalan Mahang, Kuala Pembuang</t>
  </si>
  <si>
    <t>Bangunan Kantor BPP Kuala Pembuang (Dokumen belum ditemukan)</t>
  </si>
  <si>
    <t>598</t>
  </si>
  <si>
    <t>Jl. Ahmad Yani kuala pembuang</t>
  </si>
  <si>
    <t>Bangunan Kantor Dinas Pertanian dan Peternakan (Dokumen belum ditemukan)</t>
  </si>
  <si>
    <t>Jalan Jend. Soedirman Asam Baru</t>
  </si>
  <si>
    <t>602.1/1998.d/TANAK/VIII/2009</t>
  </si>
  <si>
    <t>Pembuatan Rumah APPO Pembuang Hulu</t>
  </si>
  <si>
    <t>Jalan Jend. Soedirman, Asam Baru</t>
  </si>
  <si>
    <t>602.1/1856/TANAK/VII/2009</t>
  </si>
  <si>
    <t>Kantor BPP Hanau</t>
  </si>
  <si>
    <t>Jalan Mahang (BPP KUALA PEMBUANG)Kec. Seruyan Hilir</t>
  </si>
  <si>
    <t>601.1/1998.b/TANAK/VIII/2009</t>
  </si>
  <si>
    <t>Rumah APPO BPP Kuala Pembuang</t>
  </si>
  <si>
    <t>Jalan Lingkar Kota BERIUT, Seruyan Hilir</t>
  </si>
  <si>
    <t>601.1/1998.a/TANAK/VIII/2009</t>
  </si>
  <si>
    <t>Pembuatan Rumah APPO Balai Benih Pembantu (BBP) Padi Kuala Pembuang</t>
  </si>
  <si>
    <t>Tumbang Manjul Kec. Seruyan Hulu</t>
  </si>
  <si>
    <t>601.1/1998.f/TANAK/VIII/2009</t>
  </si>
  <si>
    <t>Rumah APPO BPP Tumbang Manjul</t>
  </si>
  <si>
    <t>Jalan Antang Patahu Telaga Pulang</t>
  </si>
  <si>
    <t>602.1/1998/TANAK/VIII/2009</t>
  </si>
  <si>
    <t>Pembuatan Rumah APPO di BPP Kecamatan Danau sembuluh</t>
  </si>
  <si>
    <t>Jalan Rantau Pulut II, Kec. Seruyan Tengah</t>
  </si>
  <si>
    <t>601.1/1998.e/TANAK/VIII/2009</t>
  </si>
  <si>
    <t>Rumah APPO BPP Rantau Pulut</t>
  </si>
  <si>
    <t>Pembangunan Gudang Alsintan di BPP Kec. Seruyan Hilir (Pembangunan Rumah Negara Type C Wilayah I)</t>
  </si>
  <si>
    <t>Jalan Soekano-Hatta</t>
  </si>
  <si>
    <t>Gedung Balai Benih Padi</t>
  </si>
  <si>
    <t>KM 113 ARAH SAMPIT PANGKALAN BUN</t>
  </si>
  <si>
    <t>027/548/ppk-dishutun/x/2015</t>
  </si>
  <si>
    <t>Pengadaan Papan  nama UPTD Pembibitan</t>
  </si>
  <si>
    <t>Jalan A. Yani Kuala Pembuang, Dinas Pertanian dan Peternakan</t>
  </si>
  <si>
    <t>602.1/3774/TANAK/XI/2010</t>
  </si>
  <si>
    <t>Pembuatan Taman/Halaman Kantor Tahap I</t>
  </si>
  <si>
    <t>Bangunan Gudang BPP (Dokumen belum ditemukan)</t>
  </si>
  <si>
    <t>Dinas Ketahanan Pangan dan Pertanian</t>
  </si>
  <si>
    <t>602.2/145.22/TU/DKPP/VIII/2017</t>
  </si>
  <si>
    <t>Pembangunan Selasar antara Gedung Utama dengan Gedung Sekretariat</t>
  </si>
  <si>
    <t>Belanja Pemeliharaan Bangunan Gedung-Bangunan Gedung tempat Kerja-Bangunan Gedung Tempat Pertemuan ( Pengurugan Pasir Halaman Kantor BPP Seruyan Hilir</t>
  </si>
  <si>
    <t>desa runggau raya kec danau seluluk km 114.</t>
  </si>
  <si>
    <t>Bangunan gudang minyak nilam</t>
  </si>
  <si>
    <t>Pembangunan Gudang Bahan Olah Karet di Hanau</t>
  </si>
  <si>
    <t>Jl. Jendral A. Yani No.   Kuala Pembuang Propinsi Kalimantan Tengah</t>
  </si>
  <si>
    <t>027/2210/TU/DKPP/XII/2019</t>
  </si>
  <si>
    <t>Pembangunan gudang pupuk UPTD Balai Produksi Benih TPHP Kec. Danau Seluluk</t>
  </si>
  <si>
    <t>167.d/TU.420/V/2007</t>
  </si>
  <si>
    <t>Bangunan Gudang Saprodi</t>
  </si>
  <si>
    <t>602.1/1089/TANAK/VI/2008</t>
  </si>
  <si>
    <t>Pembangunan Gudang Pupuk BBP Hortikultura</t>
  </si>
  <si>
    <t>Jalan D.I Panjaitan Kuala Pembuang II</t>
  </si>
  <si>
    <t>170.A/TU.420.V/2005</t>
  </si>
  <si>
    <t>Bangunan Gudang Alsintan</t>
  </si>
  <si>
    <t>58</t>
  </si>
  <si>
    <t>Jalur 5 Ds.Mekar Indah Kec.Ser.Hilir Timur</t>
  </si>
  <si>
    <t>410.23/249.c/KKP/VII/09</t>
  </si>
  <si>
    <t>Jl.P.Junjung Buih RT 4/RW2 Kartika Bhakti</t>
  </si>
  <si>
    <t>410.23/249.b/KKP/VII/09</t>
  </si>
  <si>
    <t>027/1111/K-KKP/VI/2010</t>
  </si>
  <si>
    <t>410.23/249.a/KKP/VII/09</t>
  </si>
  <si>
    <t>Desa Tumbang Langkai Kec.suling Tambun</t>
  </si>
  <si>
    <t>322.c/KKP/V/2011</t>
  </si>
  <si>
    <t>Desa Asam baru Kec.Danau Seluluk</t>
  </si>
  <si>
    <t>321.a/KKP/V/2011</t>
  </si>
  <si>
    <t>322.a/KKP/V/2011</t>
  </si>
  <si>
    <t>304.y/KKP/V/2012</t>
  </si>
  <si>
    <t>Gudang BPP Kecamatan Seruyan Hilir</t>
  </si>
  <si>
    <t>- Pembuatan Gudang Stok Brigade Obat-obatan di Kec. Hanau</t>
  </si>
  <si>
    <t>49</t>
  </si>
  <si>
    <t xml:space="preserve"> Pembuatan Gudang Gudang Alat Mesin Pertanian di UPTD BBP</t>
  </si>
  <si>
    <t>602.2/155.8/TU/DKPP/VIII/2017</t>
  </si>
  <si>
    <t>Gudang Aset dan Arsip</t>
  </si>
  <si>
    <t>33</t>
  </si>
  <si>
    <t>Desa Bangun harja Kec.Seruyan Hilir Timur</t>
  </si>
  <si>
    <t>1103/BKPP/VIII/2012</t>
  </si>
  <si>
    <t>Pembangunan Rumah jaga 99.300.000 Perencanaan 6.000.000 Pengawasan 3.900.000</t>
  </si>
  <si>
    <t>372</t>
  </si>
  <si>
    <t>Desa Bangun Harja Kec.Seruyan Hilir Timur</t>
  </si>
  <si>
    <t>100/BKPP/VIII/2012</t>
  </si>
  <si>
    <t>Pembangunan Gudang Pangan Kabupaten 600.000.000 Perencanaan 46.500.000 Pengawasan 26.900.000</t>
  </si>
  <si>
    <t>Desa Tumbang Kalam Kec.Seruyan Hulu</t>
  </si>
  <si>
    <t>1072/BKPP/V/2013</t>
  </si>
  <si>
    <t>Lumbung Pangan Desa Tumbang Kalam 164.000.000 Perencanaan 11.000.000 Pengawasan 6.300.000</t>
  </si>
  <si>
    <t>Desa Halimaung Jaya Kec.Seruyan Hilir Timur</t>
  </si>
  <si>
    <t>1089/BKPP/V/2013</t>
  </si>
  <si>
    <t>Lumbung Pangan Desa Halimaung Jaya 164.000.000 Perencanaan 11.000.000 Pengawasan 6.300.000</t>
  </si>
  <si>
    <t>Jl.Agung Desa Derangga Kec.Hanau</t>
  </si>
  <si>
    <t>1090/BKPP/V/2013</t>
  </si>
  <si>
    <t>Lumbung Pangan Desa Derangga 164.000.000 Perencanaan 11.000.000 Pengawasan 6.300.000</t>
  </si>
  <si>
    <t>1080/BKPP/V/2013</t>
  </si>
  <si>
    <t>Lumbung Pangan Desa Pematang Limau 164.269.515 Perencanaan 11.000.000 Pengawasan 6.300.000</t>
  </si>
  <si>
    <t>842/BKPP/IV/2014</t>
  </si>
  <si>
    <t>Pembangunan Lumbung Pangan Ds.Cempaka Baru (DAK) 197.700.000 Perencanaan 13.700.000 Pengawasan 7.900.000</t>
  </si>
  <si>
    <t>Kuala Pembuang Kab. Seruyan</t>
  </si>
  <si>
    <t>602.2/1059/TU/DKKP/VII/2019</t>
  </si>
  <si>
    <t>PEMBANGUNAN GUDANG ALSINTAN DKPP</t>
  </si>
  <si>
    <t>602.2 / 4865 / DKPP / X 2023</t>
  </si>
  <si>
    <t>Jl. Ahmad Yani</t>
  </si>
  <si>
    <t>Bangunan Screen House (Dokumen belum ditemukan)</t>
  </si>
  <si>
    <t>Jl. Ahmad Yani Kuala Pembuang</t>
  </si>
  <si>
    <t>482.f/PR.240/VIII/2005</t>
  </si>
  <si>
    <t>Bangunan Green House</t>
  </si>
  <si>
    <t>459.   /DISTANAK/VIII/08</t>
  </si>
  <si>
    <t>Bangunan Pembibitan di BBP Hortikultura</t>
  </si>
  <si>
    <t>Bangunan Gudang Saprodi (Dokumen belum ditemukan)</t>
  </si>
  <si>
    <t>232</t>
  </si>
  <si>
    <t>Jl.Soekarno Hatta Lingkar Kota Kel.Kuala Pembuang I</t>
  </si>
  <si>
    <t>1467/KKP/X/2010</t>
  </si>
  <si>
    <t>Pembangunan Siring Lumbung Pangan</t>
  </si>
  <si>
    <t>Jl.P.Junjung Buih RT 4/RW 2 Kartika Bhakti</t>
  </si>
  <si>
    <t>1472/KKP/X/2010</t>
  </si>
  <si>
    <t>Pembangunan lantai Jemur</t>
  </si>
  <si>
    <t>Jalur 5 Mekar Indah Kec.Seruyan Hilir Timur</t>
  </si>
  <si>
    <t>1442/KKP/X/2010</t>
  </si>
  <si>
    <t>Pembangunan Lantai Jemur</t>
  </si>
  <si>
    <t>Jl.Soekarno-Hatta Lingkar Kota Kuala Pembuang</t>
  </si>
  <si>
    <t>304.y/KKP/V/2011</t>
  </si>
  <si>
    <t>Pembangunan Lantai jemur</t>
  </si>
  <si>
    <t>325</t>
  </si>
  <si>
    <t>Desa Halimaung Jaya Kec. Seruyan Hilir Timur</t>
  </si>
  <si>
    <t>735/BKPP/IV/2014</t>
  </si>
  <si>
    <t>Pembangunan Lantai Jemur Lumbung Ds.Halimaung Jaya 164.000.000 Perencanaan 11.400.000 Pengawasan 6.500.000</t>
  </si>
  <si>
    <t>306</t>
  </si>
  <si>
    <t>Desa Pematang Limau Kec.Seruyan Hilir</t>
  </si>
  <si>
    <t>736/BKPP/IV/2014</t>
  </si>
  <si>
    <t>Pembangunan Lantai Jemur Lumbung Ds.Pematang Limau 164.000.000 Perencanaan 11.400.000 Pengawasan 6.500.000</t>
  </si>
  <si>
    <t>296</t>
  </si>
  <si>
    <t>Desa Derangga Kec. Hanau</t>
  </si>
  <si>
    <t>1070/BKPP/VI/2014</t>
  </si>
  <si>
    <t>Pembangunan Lantai Jemur Lumbung Pangan Ds.Derangga (DAK) 164.700.000 Perencanaan 11.400.000 Pengawasan 6.500.000</t>
  </si>
  <si>
    <t>15</t>
  </si>
  <si>
    <t>420/   DISTANAK/VIII/08</t>
  </si>
  <si>
    <t>Bangunan Screen House di BBP Hortikultura</t>
  </si>
  <si>
    <t>Bangunan Gudang (Dokumen belum ditemukan)</t>
  </si>
  <si>
    <t>Bangunan Rumah Sakit Umum</t>
  </si>
  <si>
    <t>03.01.01.06.001</t>
  </si>
  <si>
    <t>Jalan Pelita Kuala Pembuang II Kec. Seruyan Hilir</t>
  </si>
  <si>
    <t>Bangunan Rumah Sakit Umum (Dokumen belum ditemukan) Hibah Kotim</t>
  </si>
  <si>
    <t>Dinas Ketahanan Pangan dan Pertanian Kab. Seruyan</t>
  </si>
  <si>
    <t>602.2/202.13/TU/DKPP/XI/2017</t>
  </si>
  <si>
    <t>Pengadaan Bangunan Tempat Ibadah</t>
  </si>
  <si>
    <t>186</t>
  </si>
  <si>
    <t>170.c/TU.420/V/07</t>
  </si>
  <si>
    <t>Bangunan Aula Dinas Pertanian dan Peternakan</t>
  </si>
  <si>
    <t>27</t>
  </si>
  <si>
    <t>Desa Asam Baru Kecamatan Danau Seluluk</t>
  </si>
  <si>
    <t>602.2/1487/TU/DKPP/IX/2019</t>
  </si>
  <si>
    <t>Pembangunan Saung Tani/Balai Pertemuan Pertanian di Desa Asam Baru Kec. Danau Seluluk</t>
  </si>
  <si>
    <t>pos jaga</t>
  </si>
  <si>
    <t>Bangunan Gedung untuk Pos Jaga Lain-lain (dst)</t>
  </si>
  <si>
    <t>03.01.01.13.010</t>
  </si>
  <si>
    <t>66</t>
  </si>
  <si>
    <t>Desa Kartika Bhakti Kec. Seruyan Hilir Timur</t>
  </si>
  <si>
    <t>602.2/159.1/TU/DKPP/VIII/2018</t>
  </si>
  <si>
    <t>Pembangunan Rumah Jaga Pembibitan Sapi</t>
  </si>
  <si>
    <t>Kantor BKPP Kab.Seruyan Jl. Untung Surapati</t>
  </si>
  <si>
    <t>1934/BKPP/X/2014</t>
  </si>
  <si>
    <t>Pembangunan Garasi Kantor BKPP 194.395.100 Perencanaan 13.500.000 Pengawasan 7.700.000</t>
  </si>
  <si>
    <t>89</t>
  </si>
  <si>
    <t>602.2/203.6/TU/DKPP/XI/2017</t>
  </si>
  <si>
    <t>Garasi/ Semi Permanen/ 
Lahan Parkir+lanjutan</t>
  </si>
  <si>
    <t>Bangunan Untuk Kandang</t>
  </si>
  <si>
    <t>03.01.01.29.001</t>
  </si>
  <si>
    <t>1</t>
  </si>
  <si>
    <t>Pembuatan Sekat Kandang Pembibitan Ternak</t>
  </si>
  <si>
    <t>Ds. Kartika Bhakti</t>
  </si>
  <si>
    <t>Pekerjaan Pembangunan KANDANG TERNAK SAPI Desa Kartika Bhakti Kec.Seruyan Hilir Timur</t>
  </si>
  <si>
    <t>Jl.Untung Surapati Kuala Pembuang</t>
  </si>
  <si>
    <t>517/BKPP/III/2015</t>
  </si>
  <si>
    <t>Pembangunan Papan Nama Badan 74.575.000 Perencanaan 5.100.000</t>
  </si>
  <si>
    <t>Jl.A.Yani Rujab BUPATI</t>
  </si>
  <si>
    <t>1943/BKPP/X/2014</t>
  </si>
  <si>
    <t>Penunjang Pembangunan Green House Toga 44.500.000 Perencanaan 3.100.000 Pengawasan 1.800.000</t>
  </si>
  <si>
    <t>200</t>
  </si>
  <si>
    <t>1933/BKPP/X/2014</t>
  </si>
  <si>
    <t>Pembangunan Green House Toga 49.900.000 Perencanaan 3.400.000 Pengawasan 1.900.000</t>
  </si>
  <si>
    <t>Desa Runggau Raya Kec. Danau Seluluk</t>
  </si>
  <si>
    <t>601/PPK-DISHUTBUN/VIII/2016</t>
  </si>
  <si>
    <t>Pembayaran Pembangunan kebun UPTD Pembibitan</t>
  </si>
  <si>
    <t>Desa Runggau Raya.Kec Seruyan Raya</t>
  </si>
  <si>
    <t>598/PPK-DISHUTBUN/VIII/2016</t>
  </si>
  <si>
    <t>Pembayaran pondok Kerja</t>
  </si>
  <si>
    <t>Kandang Pembibibitan ternak Ds. Kartika Bhakti Kuala Pembuang</t>
  </si>
  <si>
    <t>602.2/7369/TANAK/XI/2013</t>
  </si>
  <si>
    <t>Pembangunan Rumah Profil Tank untuk Kandang Pembibibitan ternak</t>
  </si>
  <si>
    <t>BBP Hortikultura Kec. Hanau</t>
  </si>
  <si>
    <t>602.2/7707/TANAK/VII/2013</t>
  </si>
  <si>
    <t>Pembuatan Kebun Koleksi di BBP Hortikultura</t>
  </si>
  <si>
    <t>Jl. Ir. Soekarno - Hatta Kuala Pambuang  Kec.Seruyan Hilir</t>
  </si>
  <si>
    <t>Kuala Pambuang Kec.Seruyan Hilir</t>
  </si>
  <si>
    <t>Rumah Dinas Petugas (Hibah Kotim)</t>
  </si>
  <si>
    <t>UPTD Balai Keswan Kesmavet Kec. Hanau</t>
  </si>
  <si>
    <t>602.2/1744/TU/DKPP/IX/2020</t>
  </si>
  <si>
    <t>Hakaman UPTD Balai Keswan Kesmavet Kec. Hanau Rp. 18.646.000</t>
  </si>
  <si>
    <t>DKPP</t>
  </si>
  <si>
    <t>602.2/1839.3/TU/DKPP/XI/2019</t>
  </si>
  <si>
    <t>TAMAN DKPP</t>
  </si>
  <si>
    <t>602.2/107.2/TU/DKPP/VI/2018</t>
  </si>
  <si>
    <t>Pengurukan Halaman Belakang Kantor</t>
  </si>
  <si>
    <t>Rumah Negara Gol II Lain-lain</t>
  </si>
  <si>
    <t>03.01.02.02.016</t>
  </si>
  <si>
    <t>1580/BKPP/VII/2013</t>
  </si>
  <si>
    <t>Rumah Kepala BP3K Kec. Seruyan Hilir Timur 137.000.000 Perencanaan 9.200.000 Pengawasan 5.200.000</t>
  </si>
  <si>
    <t>54</t>
  </si>
  <si>
    <t>142.g/TU.420/IV/2007</t>
  </si>
  <si>
    <t>Bangunan Rumah Kepala BPP Asam Baru</t>
  </si>
  <si>
    <t>Bangunan Rujab Kepala Dinas (Dokumen belum ditemukan)</t>
  </si>
  <si>
    <t>JL.Sampit-P.bun Km.113</t>
  </si>
  <si>
    <t>641.6/2357/DISHUTBUN/2009</t>
  </si>
  <si>
    <t>bangunan rumah dinas</t>
  </si>
  <si>
    <t>Rumah Negara Golongan III Tipe B Semi Permanen</t>
  </si>
  <si>
    <t>03.01.02.03.005</t>
  </si>
  <si>
    <t>Jalan Mahang Kuala Pembuang I, Kabupaten Seruyan</t>
  </si>
  <si>
    <t>Bangunan Rumah Staf BPP (Dokumen belum ditemukan)</t>
  </si>
  <si>
    <t>Rumah Negara Golongan III Tipe D Permanen</t>
  </si>
  <si>
    <t>03.01.02.03.010</t>
  </si>
  <si>
    <t>302500</t>
  </si>
  <si>
    <t>Pembangunan Rumah Dinas Penyuluh Pertanian BPP Danau Seluluk Perencanaan Nilai Kontrak Rp. 149.500.000, Rp. 9.900.000_x000D_
Pengawasan Rp. 5.775.000</t>
  </si>
  <si>
    <t>027/1919.3/TU/DKPP/XI/2019</t>
  </si>
  <si>
    <t>Rumah Negara Golongan III Lain-lain</t>
  </si>
  <si>
    <t>03.01.02.03.016</t>
  </si>
  <si>
    <t>141.g/TU.420/IV/2007</t>
  </si>
  <si>
    <t>Bangunan Rumah Jaga Kantor Distanak</t>
  </si>
  <si>
    <t>Jl. Pelita</t>
  </si>
  <si>
    <t>Bangunan  Rumah Jaga (Dokumen belum ditemukan)</t>
  </si>
  <si>
    <t>Tugu/Tanda Batas Lain-lain (dst)</t>
  </si>
  <si>
    <t>03.04.01.01.012</t>
  </si>
  <si>
    <t>17</t>
  </si>
  <si>
    <t>Jalan. A. Yani Kuala Pembuang, Dinas Pertanian dan Peternakan</t>
  </si>
  <si>
    <t>602.1/3776.1/TANAK/XI/2010</t>
  </si>
  <si>
    <t>Papan nama dinas</t>
  </si>
  <si>
    <t>DESA SANDUL KEC. BATU AMPAR</t>
  </si>
  <si>
    <t>602.2/1070/TU/DKKP/VII/2019</t>
  </si>
  <si>
    <t>PENYEDIAAN PRASARANA LINGKUNGAN ( PAGAR/JALAN ) KANTOR BALAI PENYULUH PERTANIAN ( BPP ) DESA SANDUL KEC. BATU AMPAR</t>
  </si>
  <si>
    <t>620.2/1073/TU/DKPP/VII/2019</t>
  </si>
  <si>
    <t>Penyediaan Alat Bantu Penyuluh Pertanian Balai Penyuluh Pertanian (BPP) Kec. Suling Tambun</t>
  </si>
  <si>
    <t>79</t>
  </si>
  <si>
    <t>BPP KECAMATAN DANAU SEMBULUH</t>
  </si>
  <si>
    <t>620.2/1067/TU/DKPP/VII/2019</t>
  </si>
  <si>
    <t>Pagar Keliling Kantor BPP Danau Sembuluh</t>
  </si>
  <si>
    <t>BP3K Danau Seluluk</t>
  </si>
  <si>
    <t>Pembuatan Pagar BP3K Danau Seluluk</t>
  </si>
  <si>
    <t>Pagar Pembibitan Sapi Ds. Kartika Bhakti</t>
  </si>
  <si>
    <t>Jalan Lingkar Kota Beriut, Kuala Pembuang</t>
  </si>
  <si>
    <t>602.1/7827/TANAK/VIII/2012</t>
  </si>
  <si>
    <t>Pagar Keliling BBP Padi</t>
  </si>
  <si>
    <t>1108</t>
  </si>
  <si>
    <t>Pagar BBP Hortikultura (Dokumen belum ditemukan)</t>
  </si>
  <si>
    <t>4</t>
  </si>
  <si>
    <t>Pekerjaan Pembuatan Pagar Alat Pengukur Curah Hujan di 5 Kecamatan</t>
  </si>
  <si>
    <t>Jl Poros Desa Bangun Harja Kec. SH Timur</t>
  </si>
  <si>
    <t>Pembangunan Pagar Kantor BP3K SH Timur 177.100.000 Perencanaan 13.500.000 Pengawasan 7.700.000</t>
  </si>
  <si>
    <t>Kantor BP3K Kec Hanau di Pembuang Hulu</t>
  </si>
  <si>
    <t>1666.A/BKPP/XI/2015</t>
  </si>
  <si>
    <t>Pembangunan Pagar BP3K Kec Hanau 177.000.000  Perencanaan 13.500.000 Pengawasan 7.700.000</t>
  </si>
  <si>
    <t>1200</t>
  </si>
  <si>
    <t>621/ppk-dishutbun/XI/2015</t>
  </si>
  <si>
    <t>Bm. Pembangunan Halaman Tanam dan Areal Masuk</t>
  </si>
  <si>
    <t>Jl. Pemuda</t>
  </si>
  <si>
    <t>pagar rujab kepala dinas</t>
  </si>
  <si>
    <t>Desa Bangkal BPP Kec. Seruyan Raya</t>
  </si>
  <si>
    <t>602.2/2163/TU / DKPP / XI / 2021</t>
  </si>
  <si>
    <t>Belanja Modal Pembangunan Pagar BPP Kec. Seruyan Raya ( Rp. 134.455.234,- )</t>
  </si>
  <si>
    <t>1178</t>
  </si>
  <si>
    <t>641.6/35/CK.PU/2009</t>
  </si>
  <si>
    <t>Pengalihan Status Penggunaan Barang Milik Daerah DPUPR ke Dinas Lingkungan Hidup</t>
  </si>
  <si>
    <t>DINAS LINGKUNGAN HIDUP DAN PERTANIAN</t>
  </si>
  <si>
    <t>1169</t>
  </si>
  <si>
    <t>645.8/11/KONTRAK-CK/VI/2013</t>
  </si>
  <si>
    <t>Pembangunan Gedung Kantor Badan Lingkungan Hidup (DAK+DAU)</t>
  </si>
  <si>
    <t>Jl. S. Parman depan SD Persil / Madrasah Asseruyaniyah (S. 03'22''13,3'') (E. 112'33''12,0'')</t>
  </si>
  <si>
    <t>750/11/BLH/VIII/2012</t>
  </si>
  <si>
    <t>TPS Tiga Pintu</t>
  </si>
  <si>
    <t>600</t>
  </si>
  <si>
    <t>jln mahang kecamatan seruyan hilir</t>
  </si>
  <si>
    <t>PEMBUATAN  PERSEMAIAN,PEMBUATAN BEDENGAN,PEMBUATAN JALAN PEMERIKSAAN PERSEMAIAN</t>
  </si>
  <si>
    <t>348</t>
  </si>
  <si>
    <t>Jl. Kuala Pembuang - Sampit ( TPA Seberang )Seruyan Hilir Timur</t>
  </si>
  <si>
    <t>Bangunan Tempat Sampah Daur ulang</t>
  </si>
  <si>
    <t>Jl. Kuala Pembuang - Sampit Seruyan Hilir</t>
  </si>
  <si>
    <t>Rumah jaga TPA</t>
  </si>
  <si>
    <t>Jl. Jl. S.Parman Dekat Kantor Desa persil Raya ( S 30'21'43,5'' ) ( E 112'33'30,9'' )</t>
  </si>
  <si>
    <t>Jl. S. Parman Dekat Rumah H. Imin Persil ( S. 03'22''04,0'') ( E. 112'33''21,2'')</t>
  </si>
  <si>
    <t>Jl. S. Parman Dekat Gapura Kecamatan (S. 03'22''19,2'')  (E. 112'33''06,0")</t>
  </si>
  <si>
    <t>Jl. Pattimura Dekat Kelurahan KP 1 (S. 03'22''21,9") (E. 112'33''01,0")</t>
  </si>
  <si>
    <t>Jl. Pattimura Dekat Gudang Darji (S. 03'22''27,9'') (E. 112'32'50,8'')</t>
  </si>
  <si>
    <t>Jl. CJilik Riwut Samping Panti Asuhan H. Anang Acil (S.03'22''56,3'') (E. 112'32''42,7'')</t>
  </si>
  <si>
    <t>Jl. A.I.S. Nasution Samping Masjid AL ASHAR (S. 03'22''51,6'') (E. 112'33'11,5'')</t>
  </si>
  <si>
    <t>Jl. A.I.S. Nasution Sekolah Dasar Luar Biasa (S. 03'23''48,5'') (E. 112'32''14,2'')</t>
  </si>
  <si>
    <t>TPS Tiga Pintu ( 25 ) Buah</t>
  </si>
  <si>
    <t>Jl. Ki Hajar Dewantara samping Rumah  H. Ajak (S. 03'23''34,2'') (E. 112'32''54,5'')</t>
  </si>
  <si>
    <t>Jl. Ki Hajar Dewantara depan SD 1 KP 2 (S. 03'23''22,8'') (E. 112'33''01,0'')</t>
  </si>
  <si>
    <t>Jl. Cut Nya'Dien Samping Kuburan Cina (S. 03'23''21,4'') (E. 112'33''02,4'')</t>
  </si>
  <si>
    <t>Jl. D.I. Panjaitan Depan MMS / Swalayan Akong (S. 03'23''13,9'') (E. 112'32''47,8'')</t>
  </si>
  <si>
    <t>Jl. D.I. Panjaitan samping KUA (S. 03'23''06,2'') (E. 112'32''53,2'')</t>
  </si>
  <si>
    <t>Dekat Simpang 4 Jl. Adam Malik &amp; Jl. Imam Bonjol (S. 03'23''02,4) (E. 112'32''59,7)</t>
  </si>
  <si>
    <t>Jl. M.T. Haryono Depan SD 1 KP 1 (S. 03'22'02,4'') (E. 112'32''57,1'')</t>
  </si>
  <si>
    <t>Jl. M.T. Haryono samping Damkar (S. 03'22''49,4) (E. 112'33''10,2)</t>
  </si>
  <si>
    <t>Jl. Gatot Subroto Depan Masjid AL JIHAD (S. 03''22''40,2) (E. 112'33''08,3'')</t>
  </si>
  <si>
    <t>Jl. Pattimura Dekat Mushola AZ Zaitun (S. 03'22''38,1) (E. 112'32''50,8'')</t>
  </si>
  <si>
    <t>Jl. Pattimura Samping Rumah Betang (S. 03'22''48,1'') (E. 112'32''53,8'')</t>
  </si>
  <si>
    <t>Jl. Ahmad Yani Samping Rumah Pak SyamsulRizal (S. 03'22''51,9') (E. 112'32''51,9'')</t>
  </si>
  <si>
    <t>Jl. Ahmad Yani Depan Gudang yudi (S. 03'23''10,0) (E. 112'32''39,1)</t>
  </si>
  <si>
    <t>Jl. Ahmad Yani Samping Warung Bu Kani (S. 03''24''00,8'') (E. 112'32''30,3)</t>
  </si>
  <si>
    <t>Jl. D.I. Panjaitan Depan Polsek (S. 03''23''19,7'') (E. 112'32''42,6'')</t>
  </si>
  <si>
    <t>Jl.Cut Nya'Dien Dekat Masjid Muhajirin (S. 03'23''26,6'') (E. 112'33''04,4)</t>
  </si>
  <si>
    <t>SMPN - 1  Kuala Pembuang</t>
  </si>
  <si>
    <t>602.1/135/BLH/IX/2014</t>
  </si>
  <si>
    <t>Paket II</t>
  </si>
  <si>
    <t>SMPN - 4 Kuala Pembuang</t>
  </si>
  <si>
    <t>Paket III</t>
  </si>
  <si>
    <t>Kelurahan Kuala Pembuang I</t>
  </si>
  <si>
    <t>Paket IV</t>
  </si>
  <si>
    <t>Kecamatan HANAU</t>
  </si>
  <si>
    <t>Paket V</t>
  </si>
  <si>
    <t>SMAN - 2  kuala Pembuang</t>
  </si>
  <si>
    <t>602.1/135/BLH/X/2014</t>
  </si>
  <si>
    <t>Paket I</t>
  </si>
  <si>
    <t>7</t>
  </si>
  <si>
    <t>Jl. Moh Hatta No.   Kuala Pembuang</t>
  </si>
  <si>
    <t>021/42/PPK-DLH/V/2017</t>
  </si>
  <si>
    <t>Pembangunan Papan Plang Nama Kantor Dinas Lingkungan Hidup</t>
  </si>
  <si>
    <t>Jl. DI Panjaitan Kec. Seruyan Hilir</t>
  </si>
  <si>
    <t>TPS TUNGGAL</t>
  </si>
  <si>
    <t>Jl. Patimura Kec. Seruyan Hilir (Perumahan RSUD)</t>
  </si>
  <si>
    <t>Jl. Patimura Kec. Seruyan Hilir</t>
  </si>
  <si>
    <t>Jl. Cut Nyak Dien Kec. Seruyan Hilir</t>
  </si>
  <si>
    <t>Jl. Imam Bonjol Kec. Seruyan Hilir</t>
  </si>
  <si>
    <t>Taman Makam Pahlawan Jl. Diponegoro Kec. Seruyan Hilir</t>
  </si>
  <si>
    <t>Jl. Adam Malik Kec. Seruyan Hilir</t>
  </si>
  <si>
    <t>Jl. Cilik Riwut Kec. Seruyan Hilir</t>
  </si>
  <si>
    <t>Jl. Budi Utomo Kec. Seruyan Hilir (dekat SMAN 1 )</t>
  </si>
  <si>
    <t>Jl. AIS Nasution (pasar SAIK) Kec. Seruyan Hilir</t>
  </si>
  <si>
    <t>POLRES SERUYAN Jl. Akhmad Yani Kec. Seruyan Hilir</t>
  </si>
  <si>
    <t>354</t>
  </si>
  <si>
    <t>44/PPK-DLH/V/2017</t>
  </si>
  <si>
    <t>Belanja Modal Pembangunan Taman Depan Kantor DLH</t>
  </si>
  <si>
    <t>021/281/DLHK/X/2023</t>
  </si>
  <si>
    <t>Belanja Modal Pembangunan Dapur Kantor</t>
  </si>
  <si>
    <t>Bangunan Gudang Untuk Bengkel Lain-lain</t>
  </si>
  <si>
    <t>03.01.01.03.005</t>
  </si>
  <si>
    <t>Jl. Gajah Mada, K. Pembuang</t>
  </si>
  <si>
    <t>660.1/34/CK.PU/2009</t>
  </si>
  <si>
    <t>Gudang, Garasi, Mess dan Bengkel Kebersihan</t>
  </si>
  <si>
    <t>Desa Pematang Panjang ( Jl. Pematang Anglai )</t>
  </si>
  <si>
    <t>602.2/184/BLH/X/2014</t>
  </si>
  <si>
    <t>Belanja Pembangunan IPAL sederhana ( WC Umum )</t>
  </si>
  <si>
    <t>Bangunan Gedung Laboratorium Permanen</t>
  </si>
  <si>
    <t>03.01.01.05.001</t>
  </si>
  <si>
    <t>205</t>
  </si>
  <si>
    <t>Kec. Seruyan Hilir Timur - Kab. Seruyan
( S 03' 18.364" / E 112' 34.259" )</t>
  </si>
  <si>
    <t>641.2/219/KONTRAK-CK/IX/2015</t>
  </si>
  <si>
    <t>Kec. Seruyan Hilir Timur</t>
  </si>
  <si>
    <t>53/ADPUM-SETDA/VI/2009</t>
  </si>
  <si>
    <t>Gedung dan Bangunan (Rumah Negara Goliongan II Type D Permanen</t>
  </si>
  <si>
    <t>355</t>
  </si>
  <si>
    <t>Jl. A. Yani ( Sekitar Stadion Gagah Lurus )</t>
  </si>
  <si>
    <t>602.2/148/BLH/IX/2014</t>
  </si>
  <si>
    <t>Belanja modal pembangunan taman hijau</t>
  </si>
  <si>
    <t>Bangunan Gedung Garasi/Pool Lain-lain (dst)</t>
  </si>
  <si>
    <t>03.01.01.14.004</t>
  </si>
  <si>
    <t>35</t>
  </si>
  <si>
    <t>Jl. Jenderal Sudirman ( Kantor BLH Baru )</t>
  </si>
  <si>
    <t>602.2/56/BLH/XI/2015</t>
  </si>
  <si>
    <t>Bangunan Garasi Kantor Badan Lingkungan Hidup</t>
  </si>
  <si>
    <t>55.125</t>
  </si>
  <si>
    <t>Jl.Moh.Hatta No. , Kuala Pembuang (Kantor DLHK) Depan Kantor Setda/Bkad</t>
  </si>
  <si>
    <t>600.4/334.1/DLHK/XI/2024</t>
  </si>
  <si>
    <t>Belanja Modal Bangunan Gedung (Tempat Parkir Belakang Kantor) Lebar:4.50m,Panjang:12.25m.</t>
  </si>
  <si>
    <t>Jl. Aromani ( Dekat Puskesmas K.P. I )</t>
  </si>
  <si>
    <t>602.2/45/BLH/X/2011</t>
  </si>
  <si>
    <t>Papan Informasi</t>
  </si>
  <si>
    <t>Jl. A.I.S. Nasution ( Pasar Saik )</t>
  </si>
  <si>
    <t>Jl. A. Yani ( Depan Kantor Pos )</t>
  </si>
  <si>
    <t>Jl. Gajah Mada ( Belakang Perpustakaan )</t>
  </si>
  <si>
    <t>Papan Infomasi</t>
  </si>
  <si>
    <t>Jl. A. Yani ( Bundaran II )</t>
  </si>
  <si>
    <t>Jl. Budi Utomo ( SMA - 1 )</t>
  </si>
  <si>
    <t>Jl. A. Yani ( SMP - 1 )</t>
  </si>
  <si>
    <t>Jl. Ki Hajar Dewantara ( SMK - 1 )</t>
  </si>
  <si>
    <t>Jl. A.I.S. Nasution ( Sungai Undang / Dekat TPI )</t>
  </si>
  <si>
    <t>Jl. A. Yani ( di Area Rumah Sakit )</t>
  </si>
  <si>
    <t>Jl. Kuala Pembuang - Sampit ( Sungai Bakau )</t>
  </si>
  <si>
    <t>602.2/46/BLH/X/2011</t>
  </si>
  <si>
    <t>Jl. Sukarno Hatta ( Simpang Tiga Persil )</t>
  </si>
  <si>
    <t>Jl. Sukarno Hatta ( Pematang Panjang / Seberang Jembatan )</t>
  </si>
  <si>
    <t>Jl. Kuala Pembuang - Sampit ( Bundaran KB / Pematang Panjang )</t>
  </si>
  <si>
    <t>24</t>
  </si>
  <si>
    <t>Jl. A. Yani ( Kantor Lama Yg Kebakar )</t>
  </si>
  <si>
    <t>602.2/38/BLH/XI/2012</t>
  </si>
  <si>
    <t>Kerangka Baleho ( kayu )</t>
  </si>
  <si>
    <t>600.4/467/DLHK/XI/2023</t>
  </si>
  <si>
    <t>BELANJA MODAL ALAT KANTOR LAINNYA (TEMPAT PEMASANGAN BALEHO)</t>
  </si>
  <si>
    <t>786</t>
  </si>
  <si>
    <t>Jl. Kuala Pembuang-Sampit</t>
  </si>
  <si>
    <t>660/42/IX/UPTD-K/2011</t>
  </si>
  <si>
    <t>Jalan Jend. Sudirman No. 04 Kuala Pembuang</t>
  </si>
  <si>
    <t>No.470/361/DISDUKCAPIL/VI/2011</t>
  </si>
  <si>
    <t xml:space="preserve"> Bangunan Gedung Kantor
 Buck Up Data / Arsip 
 Bangunan Gedung Kantor Buck Up Data / Arsip</t>
  </si>
  <si>
    <t>264</t>
  </si>
  <si>
    <t>Jl. Moh. Hatta No 04 Kuala Pembuang</t>
  </si>
  <si>
    <t>No. 470/53/PL-DUKCAPIL/I/2016</t>
  </si>
  <si>
    <t>Belanja Modal Pengadaan Pembangunan Gedung Kantor Pelayanan Administrasi Kependudukan</t>
  </si>
  <si>
    <t>672</t>
  </si>
  <si>
    <t>Gedung Kantor DISDUKCAPIL Kab. Seruyan</t>
  </si>
  <si>
    <t>104</t>
  </si>
  <si>
    <t>Jl. Moh. Hatta No. 04 Komplek Perkantoran</t>
  </si>
  <si>
    <t>470/080/PL-DUKCAPIL/X/2020</t>
  </si>
  <si>
    <t>Pembangunan Gedung Pelayanan Dukcapil</t>
  </si>
  <si>
    <t>828</t>
  </si>
  <si>
    <t>No.470/223/DISDUKCAPIL/I/2009</t>
  </si>
  <si>
    <t>Pemeliharaan Taman (Biaya upah kebersihan taman kantor selama 1Thn)</t>
  </si>
  <si>
    <t>JL. MOHAMMAD HATTA</t>
  </si>
  <si>
    <t>470/174/DISDUKCAPIL/X/2021</t>
  </si>
  <si>
    <t>Pembangunan Mushola Disdukcapil</t>
  </si>
  <si>
    <t>53</t>
  </si>
  <si>
    <t>Jl. Muh. Hatta No.04 Kuala Pembuang</t>
  </si>
  <si>
    <t>No. 470/07/PL-DUKCAPIL/II/2016</t>
  </si>
  <si>
    <t>Belanja Modal Pembangunan Rumah Jaga</t>
  </si>
  <si>
    <t>-Jl. Moh Hatta Kuala Pembuang</t>
  </si>
  <si>
    <t>No. 470/138/PL-DUKCAPIL/X/2017</t>
  </si>
  <si>
    <t>Pembangunan Garasi/Tempat Parkir Kantor Diinas Kependudukan dan Pencatatan Sipil</t>
  </si>
  <si>
    <t>Jl. MOH. HATTA</t>
  </si>
  <si>
    <t>470/069/PL-Dukcapil/VII/2024</t>
  </si>
  <si>
    <t>Pembangunan Tempat Parkir</t>
  </si>
  <si>
    <t>Dokumen Di Aset</t>
  </si>
  <si>
    <t>JL.Manjul Raya No. 01 Rt.07/ Rw.03 Tumbang Manjul Seruyan Hulu</t>
  </si>
  <si>
    <t>997/PPK/BKCSKB/X/2007</t>
  </si>
  <si>
    <t>Kecamatan Seruyan Hulu</t>
  </si>
  <si>
    <t>JL. Rantau Pulut Rt.01 Kec. Seruyan Tengah</t>
  </si>
  <si>
    <t>Kecamatan Seruyan Tengah</t>
  </si>
  <si>
    <t>Bangunan Tempat Bermain Anak</t>
  </si>
  <si>
    <t>03.01.01.32.002</t>
  </si>
  <si>
    <t>JL. MOH.HATTA KOMPLEK PERKANTORAN DS. SUNGAI UNDANG KEC, SERUYAN HILIR KAB. SERUYAN</t>
  </si>
  <si>
    <t>470/177/DISDUKCAPIL/X/2021</t>
  </si>
  <si>
    <t>PEMBANGUNAN TEMPAT BERMAINAN ANAK</t>
  </si>
  <si>
    <t>Jl. Moh. Hatta</t>
  </si>
  <si>
    <t>470/516/PB-DUKCAPIL/XI/2019</t>
  </si>
  <si>
    <t>Pintu Pagar</t>
  </si>
  <si>
    <t>470/206/PL-DUKCPIL/XI/2024</t>
  </si>
  <si>
    <t>Pembangunan Pagar Beton dan Papan Nama</t>
  </si>
  <si>
    <t>900</t>
  </si>
  <si>
    <t>JL. JENDRAL SUDIRMAN</t>
  </si>
  <si>
    <t>140/14/PA-BPMDES/IV/2016</t>
  </si>
  <si>
    <t>PEMBANGUNAN DAN PENATAAN HALAMAN KANTOR BPMDES</t>
  </si>
  <si>
    <t>JL. JEND. SUDIRMAN KUALA PEMBUANG</t>
  </si>
  <si>
    <t>140/02/PA-BPMDES/I/2015</t>
  </si>
  <si>
    <t>BELANJA MODAL PEMBANGUNAN GEDUNG ARSIP DAN RUANG PNPM</t>
  </si>
  <si>
    <t>140/67/PA-BPMDES/X/2014</t>
  </si>
  <si>
    <t>PEMBANGUNAN GEDUNG ARSIP DAN RUANG PNPM</t>
  </si>
  <si>
    <t>340</t>
  </si>
  <si>
    <t>Seruyan</t>
  </si>
  <si>
    <t xml:space="preserve"> 641.6 / 291 / VI / CK.2010</t>
  </si>
  <si>
    <t>PKK dan Jalan Masuk Lingkungan</t>
  </si>
  <si>
    <t>770</t>
  </si>
  <si>
    <t>Jl. Jend. Sudirman, K. Pembuang</t>
  </si>
  <si>
    <t>641.6/03/II/CK.2012</t>
  </si>
  <si>
    <t>Kantor BPMDES</t>
  </si>
  <si>
    <t>26/PPK-BPMDES/IV/2013</t>
  </si>
  <si>
    <t>PEKERJAAN PEMBANGUNAN PAPAN NAMA KANTOR PADA BPMDES</t>
  </si>
  <si>
    <t>140/9/PA-BMPDes/V/2017</t>
  </si>
  <si>
    <t>Bangunan Gudang DPMD</t>
  </si>
  <si>
    <t>Bangunan Posyandu</t>
  </si>
  <si>
    <t>03.01.01.06.015</t>
  </si>
  <si>
    <t>DESA SELUNUK</t>
  </si>
  <si>
    <t>140/108/PA-BPMDES/XI/2013</t>
  </si>
  <si>
    <t>PEMBANGUNAN GEDUNG POSYANDU DESA SELUNUK KECAMATAN SERUYAN RAYA</t>
  </si>
  <si>
    <t>DESA RANGKANG MUNDUK</t>
  </si>
  <si>
    <t>140/112/PA-BPMDES/XI/2013</t>
  </si>
  <si>
    <t>PEMBANGUNAN GEDUNG POSYANDU DESA RANGKANG MUNDUK KECAMATAN SULING TAMBUN</t>
  </si>
  <si>
    <t>DESA TUMBANG MANJUL KECAMATAN SERUYAN HULU</t>
  </si>
  <si>
    <t>PEMBANGUNAN GEDUNG POSYANDU DESA TUMBANG MANJUL KECAMATAN SERUYAN HULU</t>
  </si>
  <si>
    <t>KELURAHAN RANTAU PULUT</t>
  </si>
  <si>
    <t>140/116/PA-BPMDES/XI/2013</t>
  </si>
  <si>
    <t>PEMBANGUNAN GEDUNG POSYANDU DI KELURAHAN RANTAU PULUT KEC. SERUYAN TENGAH</t>
  </si>
  <si>
    <t>DESA DURIAN KAIT KECAMATAN BATU AMPAR</t>
  </si>
  <si>
    <t>PEMBANGUNAN GEDUNG POSYANDU DESA DURIAN KAIT KECAMATAN BATU AMPAR</t>
  </si>
  <si>
    <t>180</t>
  </si>
  <si>
    <t>Jln. A. Yani, Kecamatan Seruyan Hilir, Kabupaten Seruyan</t>
  </si>
  <si>
    <t>Rumah Betang</t>
  </si>
  <si>
    <t>140/19/PPK-BPMDES/IV/2013</t>
  </si>
  <si>
    <t>PEKERJAAN PEMBANGUNAN TEMPAT PARKIR RODA DUA KANTOR BPMDES</t>
  </si>
  <si>
    <t>7200</t>
  </si>
  <si>
    <t>JL. AYANI GEDUNG PERPUSTAKAAN DAERAH</t>
  </si>
  <si>
    <t>083/TU-BPMDEs/VIII/2009</t>
  </si>
  <si>
    <t>243</t>
  </si>
  <si>
    <t>140/22/PPK-BPMDes/V/2013</t>
  </si>
  <si>
    <t>KANTIN KANTOR BPEMDES</t>
  </si>
  <si>
    <t>140/46/PPK-BPMDes/V/2013</t>
  </si>
  <si>
    <t>TIANG BENDERA KANTOR BPEMDES</t>
  </si>
  <si>
    <t>140/58/SPB/BPMDes/X/2016</t>
  </si>
  <si>
    <t>Pengadaan Tiang Baleho</t>
  </si>
  <si>
    <t>71</t>
  </si>
  <si>
    <t>Jln. A. Yani Lingkungan Kantor Dinas Perhubungan Kuala Pambuang</t>
  </si>
  <si>
    <t>22/030/K-PHBKI/VIII/2011</t>
  </si>
  <si>
    <t>Pembangunan, Perencanaan, dan Pengawasan taman halaman kantor</t>
  </si>
  <si>
    <t>Jln. A. Yani Lingkungan Kantor Dinas Perhubungan Komunikasi dan Informatika Kabupaten Seruyan</t>
  </si>
  <si>
    <t>027/013/SPK-PHBKI/VI/2014</t>
  </si>
  <si>
    <t>Pembangunan Gedung Media Center</t>
  </si>
  <si>
    <t>Jl. A. Yani Lingkungan Kantor Dishubkominfo Kab. Seruyan</t>
  </si>
  <si>
    <t>Bangunan Garasi Tempat Parkir</t>
  </si>
  <si>
    <t>951</t>
  </si>
  <si>
    <t>Jln. A. Yani Kuala Pembuang</t>
  </si>
  <si>
    <t>550/24.C/PPK-DISHUB/IV/2008</t>
  </si>
  <si>
    <t>Pembangunan Kantor Dinas Perhubungan</t>
  </si>
  <si>
    <t>Jl. Soekerno Hatta</t>
  </si>
  <si>
    <t>027/045/SPK-DISHUB/VI/2020</t>
  </si>
  <si>
    <t>Pembangunan Ruang Tunggu Dermaga Terminal Sungai Mitak Terpadu Perencanaan dan Pengawasan</t>
  </si>
  <si>
    <t>Jln. A. Yani Lingkungan Kantor Dishubkominfo Kab. Seruyan</t>
  </si>
  <si>
    <t>027/043/SPMK-PHBKI/VI/2012</t>
  </si>
  <si>
    <t>Pembangunan,perencanaan Dan Pengawasan garasi mobil</t>
  </si>
  <si>
    <t>Jln. Soekarno Hatta UPTD Terminal Sungai Mitak</t>
  </si>
  <si>
    <t>027/008/PHBKI-K/VI/2012</t>
  </si>
  <si>
    <t>Pembangunan,Perencanaan dan Pengawasan Pagar Terminal Terpadu Sungai Mitak KP I</t>
  </si>
  <si>
    <t>Jln. A. Yani Lingkungan Kantor Dishubkoninfo Kab. Seruyan</t>
  </si>
  <si>
    <t>027/37/K-PHBKI/X/2009</t>
  </si>
  <si>
    <t>Pembangunan Jembatan Gedung Kantor</t>
  </si>
  <si>
    <t>027/595/K-PHBKI/X/2009</t>
  </si>
  <si>
    <t>Pembuatan Papan Nama Kantor</t>
  </si>
  <si>
    <t xml:space="preserve"> 027/471/K-PHBKI/2009</t>
  </si>
  <si>
    <t>Pembangunan media pusat informasi desa</t>
  </si>
  <si>
    <t>93</t>
  </si>
  <si>
    <t>027/131/SPK-PHBKI/IV/2013</t>
  </si>
  <si>
    <t>Pembangunan Gudang Kantor</t>
  </si>
  <si>
    <t>84</t>
  </si>
  <si>
    <t>UPTD Terminal Asam Baru Km.115 Kec. Danau Seluluk</t>
  </si>
  <si>
    <t xml:space="preserve">  027/490/K-PHBKI/VIII/2009</t>
  </si>
  <si>
    <t>Pembangunan Rumah Jaga Terminal Asam Baru</t>
  </si>
  <si>
    <t>Jln. Cilikriwut Bandara Kuala Pembuang</t>
  </si>
  <si>
    <t>551.11/681/DISHUB/2007</t>
  </si>
  <si>
    <t>Pembangunan pos retribusi bandara</t>
  </si>
  <si>
    <t>Kecamatan Danau Sembuluh</t>
  </si>
  <si>
    <t>027/024/PHBKI-K/VIII/2012</t>
  </si>
  <si>
    <t>Pembangunan,Perencanaan,dan Pengawasan pos perhubungan</t>
  </si>
  <si>
    <t>81</t>
  </si>
  <si>
    <t>Lingkungan Pelabuhan Laut Teluk Segintung</t>
  </si>
  <si>
    <t>027/134/SPK-PHBKI/IV/2013</t>
  </si>
  <si>
    <t>Pembangunan Konstruksi Pos Keamanan</t>
  </si>
  <si>
    <t>Jl. Ayani Kuala Pembuang</t>
  </si>
  <si>
    <t>027/171/SP-PPK/VIII/2019</t>
  </si>
  <si>
    <t>Garasi Kantor Dishub</t>
  </si>
  <si>
    <t>Bangunan garasi (ponton) spead boat</t>
  </si>
  <si>
    <t>027/596/K-PHBKI/X/2009</t>
  </si>
  <si>
    <t>Pembangunan Garasi Bus</t>
  </si>
  <si>
    <t>Jln. Mayjend. Soeprapto Kuala Pembuang</t>
  </si>
  <si>
    <t xml:space="preserve">  552.2/309/DISHUB/2007</t>
  </si>
  <si>
    <t>Pembangunan rumah spead boat</t>
  </si>
  <si>
    <t>Jl Soekarno Kuala Pembuang</t>
  </si>
  <si>
    <t>027/116/SPK-PPK/IX/2021</t>
  </si>
  <si>
    <t>Pembangunan Garasi Speed Boat</t>
  </si>
  <si>
    <t>Bangunan Gedung Terminal/Pelabuhan/Bandara Permanen</t>
  </si>
  <si>
    <t>03.01.01.18.001</t>
  </si>
  <si>
    <t>822</t>
  </si>
  <si>
    <t>UPTD Terminal  Asam Baru Km 115 Kec. Danau Seluluk</t>
  </si>
  <si>
    <t>551.33/77.G/PPK-DISHUB/IV/2008</t>
  </si>
  <si>
    <t>Pembangunan Terminal Asam Baru</t>
  </si>
  <si>
    <t>498</t>
  </si>
  <si>
    <t>UPTD Terminal Asam Baru km 115 Kec. Danau Seluluk</t>
  </si>
  <si>
    <t>027/021/K-PHBKI/VIII/2011</t>
  </si>
  <si>
    <t>Pembangunan Pembuatan,Perencanaan ,dan Pengawasan pagar terminal asam baru</t>
  </si>
  <si>
    <t>Jln. Soekarno Hatta Lingkunagn UPTD Terminal Sungai Mitak</t>
  </si>
  <si>
    <t>027/022/PHBKI-K/VIII/2012</t>
  </si>
  <si>
    <t>Pembangunan,Perencanaan dan Pengawasan jalan masuk lingkungan terminal sungai mitak KP 1</t>
  </si>
  <si>
    <t>544</t>
  </si>
  <si>
    <t>027/009/PHBKI-K/2012</t>
  </si>
  <si>
    <t>Pembangunan sisi darat pelabuhan laut teluk segintung(meliputi pembangunan kantor otoritas pelabuhan/badan otoritas pelabuhan dan rumah dinas)</t>
  </si>
  <si>
    <t>1072</t>
  </si>
  <si>
    <t>Jln. Soekarno Hatta Desa Sungai Mitak</t>
  </si>
  <si>
    <t>027/048/PHBKI-K/IX/2012</t>
  </si>
  <si>
    <t>Pembangunan,Perencanaan dan PengawasanTerminal terpadu sungai mitak KP I</t>
  </si>
  <si>
    <t>2862</t>
  </si>
  <si>
    <t>Jl. Tajudin Kusuma RT. 003/ RW. Keluraha Rantau Pulut</t>
  </si>
  <si>
    <t>Bangunan Gedung Terminal Rantau Pulut</t>
  </si>
  <si>
    <t>Bangunan Gedung Terminal Lain-lain (dst)</t>
  </si>
  <si>
    <t>03.01.01.18.005</t>
  </si>
  <si>
    <t>Jln. Soekarno Hatta UPTD Terminal Sungai Mitak KP1</t>
  </si>
  <si>
    <t>027/136/SPK-PHBKI/IV/2013</t>
  </si>
  <si>
    <t>Rehab Jembatan Terminal Terpadu Sungai Mitak KP. I</t>
  </si>
  <si>
    <t>Bangunan Pengujian Kelaikan Permanen</t>
  </si>
  <si>
    <t>03.01.01.19.001</t>
  </si>
  <si>
    <t>752</t>
  </si>
  <si>
    <t>UPTD Pengujian Kendaraan Bermotor Desa Asam Baru Km 115 Kec. Danau Seluluk</t>
  </si>
  <si>
    <t>027/049/PHBKI-K/IX/2012</t>
  </si>
  <si>
    <t>Balai pengujian kendaraan bermotor(pembangunan lantai balai uji,instalasi kelistrikan,halaman parkir dan drainase balai uji)</t>
  </si>
  <si>
    <t>Bangunan Pengujian Kelaikan Lain-lain (dst)</t>
  </si>
  <si>
    <t>03.01.01.19.004</t>
  </si>
  <si>
    <t>UPTD Pengujian Kendaraan Bermotor Km. 115 Desa Asam Baru Kec. Danau Seluluk</t>
  </si>
  <si>
    <t>027/142/SPK-PHBJI/IV/2013</t>
  </si>
  <si>
    <t>Pembangunan Rumah Jaga Balai Pengujian Kendaraan Bermotor</t>
  </si>
  <si>
    <t>Jln. Sampit - P.Bun Km.115 Balai Pengujian Kendaraan Bermotor Desa Asam Baru Kec. Danau Seluluk</t>
  </si>
  <si>
    <t>550/88/PHBKI/VI/2016</t>
  </si>
  <si>
    <t>Penataan Halaman Parkir UPTD Balai Pengujian Kendaraan Bermotor Asam Baru</t>
  </si>
  <si>
    <t>Dana DAK</t>
  </si>
  <si>
    <t>1) Kecamatan Hanau.  2) Kecamatan Seruyan Hulu.  3) Kecamatan Seruyan Tengah.</t>
  </si>
  <si>
    <t>027/061/PHBKI/VI/2010</t>
  </si>
  <si>
    <t>Pengadan papan informasi (PM2L)</t>
  </si>
  <si>
    <t>Bangunan Stasiun Permanen</t>
  </si>
  <si>
    <t>03.01.01.35.001</t>
  </si>
  <si>
    <t>Desa Sungai Bakau Kecamatan Seruyan Hilir Timur</t>
  </si>
  <si>
    <t>027/013/SPK-PHBKI/III/2016</t>
  </si>
  <si>
    <t>Pembangunan Halte di Kecamatan Seruyan Hilir Timur (Lokasi II)</t>
  </si>
  <si>
    <t>Simpang Trans Kartika Bakti Kuala Pembuang Kecamatan Seruyan Hilir Timur</t>
  </si>
  <si>
    <t>027/012/SPK-PHBKI/III/2016</t>
  </si>
  <si>
    <t>Pembangunan Halte di Kecamatan Seruyan Hilir Timur (Lokasi I)</t>
  </si>
  <si>
    <t>Depan Pesantren Asseruyan Persil Raya Kecamatan Seruyan Hilir</t>
  </si>
  <si>
    <t>027/011/SPK-PHBKI/III/2016</t>
  </si>
  <si>
    <t>Pembangunan Halte di Kecamatan Seruyan Hilir</t>
  </si>
  <si>
    <t>Jl. Sudirman Depan Rumah Sakit Hanau Kecamatan Hanau</t>
  </si>
  <si>
    <t>027/005/SPK-PHBKI/II/2016</t>
  </si>
  <si>
    <t>Pembangunan Halte di Kecamatan Hanau</t>
  </si>
  <si>
    <t>Jl. Bakri Entong depan SMA MIFTAHULSALLAM Kecamatan Kanau</t>
  </si>
  <si>
    <t>Kecamatan Seruyan Raya</t>
  </si>
  <si>
    <t>027/004/SPK-PHBKI/II/2016</t>
  </si>
  <si>
    <t>Pembangunan Halte di Kecamatan Seruyan Raya</t>
  </si>
  <si>
    <t>UPTD Balai Pengujian Kendaraan Bermotor Desa Asam Baru km 115 Kec. Danau Seluluk</t>
  </si>
  <si>
    <t>027/141/SPK-PHBKI/IV/2013</t>
  </si>
  <si>
    <t>Pembangunan Rumah Dinas Ka. UPTD Balai Pengujian Kendaraan Bermotor</t>
  </si>
  <si>
    <t>Jln. Arah Pelabuhan Laut Teluk Segintung</t>
  </si>
  <si>
    <t>027/133/SPK-PHBKI/IV/2013</t>
  </si>
  <si>
    <t>Pembuatan Pelang Nama Selamat Datang di Kawasan Pelabuhan Laut Teluk Segintung</t>
  </si>
  <si>
    <t>16</t>
  </si>
  <si>
    <t>1) Desa Mojang Baru Kec. Seruyan Hulu, 2) Desa Rantau Betung Kec. Suling Tambun,  3)  Desa Tumbang Salau Kec. Suling Tambun</t>
  </si>
  <si>
    <t>027/053/SPK-PHBKI/III/2013</t>
  </si>
  <si>
    <t>Belanja Modal Pengadaan Papan Nama Infromasi (PM2L)</t>
  </si>
  <si>
    <t>550/219/DISHUB/XI/2017</t>
  </si>
  <si>
    <t>Belanja Modal Pengadaan Patok Tanah/Batas Tanah</t>
  </si>
  <si>
    <t>Pilar/Tugu/Tanda Lainnya Lain-lain (dst)</t>
  </si>
  <si>
    <t>03.04.01.03.004</t>
  </si>
  <si>
    <t>Terminal Sei Mitak</t>
  </si>
  <si>
    <t>550/237/DISHUB-SPK/XI/2017</t>
  </si>
  <si>
    <t>Belanja Modal Pengadaan Portal Jalan Masuk Menuju Dermaga Sungai Mitak</t>
  </si>
  <si>
    <t>027/114/BAST-DISHUB/XII/2023</t>
  </si>
  <si>
    <t>PEMBANGUNAN PAGAR KANTOR DISHUB TAHAP I</t>
  </si>
  <si>
    <t>210</t>
  </si>
  <si>
    <t>Jl. Perkantoran II, K. Pembuang</t>
  </si>
  <si>
    <t>621/43/KONTRAK-CK/VII/2012</t>
  </si>
  <si>
    <t>Kantor Kominfo</t>
  </si>
  <si>
    <t>Jln. Mohammad Hatta - Kuala Pembuang Kabupaten Seruyan (74212)</t>
  </si>
  <si>
    <t>020/02/DKIS-SPB/VI/2019</t>
  </si>
  <si>
    <t>BELANJA MODAL TIANG BALEHO (MEDIA REKLAME)</t>
  </si>
  <si>
    <t>DESA SUNGAI UNDANG</t>
  </si>
  <si>
    <t>11/Koperindag-Sekret/K/VII/2021</t>
  </si>
  <si>
    <t>PEMBANGUNAN GEDUNG KANTOR SENTRA IKM</t>
  </si>
  <si>
    <t>DINAS KOPERASI, USAHA MIKRO KECIL MENENGAH, PERINDUSTRIAN DAN PERDAGANGAN</t>
  </si>
  <si>
    <t>631</t>
  </si>
  <si>
    <t>JL. SUDIRMAN KUALA PEMBUANG</t>
  </si>
  <si>
    <t>641.6/183/CK.PU/2004</t>
  </si>
  <si>
    <t>KANTOR DISPERINDAGKOP DAN UMKM</t>
  </si>
  <si>
    <t>Dinas Perindustrian dan Perdagangan Jl. Akhmad Yani Kec. Seruyan Hilir</t>
  </si>
  <si>
    <t>JL. Sudirman No. 01 Kuala Pembuang I</t>
  </si>
  <si>
    <t>97/KOPERINDAG-SEK.1/K/XII/2017</t>
  </si>
  <si>
    <t>Belanja Modal Pengadaan Pembangunan Papan Nama Dinas/Badan/kantor</t>
  </si>
  <si>
    <t>JALAN AIS NASUTION PUSAT PERBELANJAAN SERUYAN (PPS) KUALA PEMBUANG</t>
  </si>
  <si>
    <t>20/Koperindag-Sekret/K/VII/2021</t>
  </si>
  <si>
    <t>PEMBANGUNAN TOILET/WC PUSAT PERBELANJAAN SERUYAN (PPS) KUALA PEMBUANG</t>
  </si>
  <si>
    <t>JL. Sudirman Kuala Pembuang</t>
  </si>
  <si>
    <t>87/IDKUMKM-SEK.I/K/IX/2011</t>
  </si>
  <si>
    <t>Pembangunan Taman dan Drainase Keliling pada Disperindagkop dan UMKM</t>
  </si>
  <si>
    <t>Jl. Sudirman No.1 Kuala Pembuang</t>
  </si>
  <si>
    <t>19/IDKUMKM-SEK.1/K/III/2016</t>
  </si>
  <si>
    <t>Pembangunan Aula Tempat Pertemuan</t>
  </si>
  <si>
    <t>DesaTumbang Darap</t>
  </si>
  <si>
    <t>693.J/INDAGKOP/TU.I/2006</t>
  </si>
  <si>
    <t>Bangunan Gudang Transit Tumbang Darap</t>
  </si>
  <si>
    <t>Desa Tumbang Kubang</t>
  </si>
  <si>
    <t>693.H/INDAGKOP/TU.I/2006</t>
  </si>
  <si>
    <t>Bangunan Gudang Transit Tumbang Kubang</t>
  </si>
  <si>
    <t>133</t>
  </si>
  <si>
    <t>Ds. Tanjung Hara</t>
  </si>
  <si>
    <t>259/IJDAGKOP/TU.I/2007</t>
  </si>
  <si>
    <t xml:space="preserve"> Bangunan Gudang Penyimpanan Sembako di Ds. Tanjung Hara</t>
  </si>
  <si>
    <t>DESA TANGGUL HARAPAN KEC.SERUYAN HILIR TIMUR</t>
  </si>
  <si>
    <t>104/IDKUMKM-SEK.I/K/XI/2014</t>
  </si>
  <si>
    <t>PEMBANGUNAN RUMAH PENGGILINGAN PADI DAN GUDANG BANGUNAN INDUK 36 METER,TERAS 2 METER,JEMBATAN 10X2 METER</t>
  </si>
  <si>
    <t>72</t>
  </si>
  <si>
    <t>Desa Tumbang Kasai</t>
  </si>
  <si>
    <t>252/IDKUMKM-SEK.I/K/XI/201O</t>
  </si>
  <si>
    <t>Pembangunan Bangsal Kerja Rotan Tumbang Kasai</t>
  </si>
  <si>
    <t>Jl. Sudirman Kuala Pembuang</t>
  </si>
  <si>
    <t>40/IDKUMKM-SEK.I/K/V/2012</t>
  </si>
  <si>
    <t>Pembuatan Gudang Barang dan Kantin Kantor</t>
  </si>
  <si>
    <t>754</t>
  </si>
  <si>
    <t>Desa Rantau Pulut</t>
  </si>
  <si>
    <t>31-INDAGKOP/VII/2005</t>
  </si>
  <si>
    <t>Bangunan UPT Rotan Kemetrologian Rantau Pulut</t>
  </si>
  <si>
    <t>Desa Sungai Undang Kecamatan Seruyan Hilir</t>
  </si>
  <si>
    <t>48/KOPERINDAG-SE K.1/K/VII/201</t>
  </si>
  <si>
    <t>Gudang Pengolahan Ikan Kering Sentra IKM, Perencanaan dan Pengawasan</t>
  </si>
  <si>
    <t>96.E/INDAGKOP/TU.I/2007</t>
  </si>
  <si>
    <t>Bangunan Rumah Produksi Penyulingan Nilam</t>
  </si>
  <si>
    <t>Desa Panca Jaya</t>
  </si>
  <si>
    <t>96.C/INDAGKOP/TU.I/2007</t>
  </si>
  <si>
    <t>Desa Sembuluh</t>
  </si>
  <si>
    <t>Rumah Produksi Penyulingan Nilam di Desa Sembuluh (tahun dirubah dari 2007 ke 2008)</t>
  </si>
  <si>
    <t>Jl. AIS. Nasution Kuala Pembuang</t>
  </si>
  <si>
    <t>365.A/INDAGKOP/DAG.I/IX/2005</t>
  </si>
  <si>
    <t>Bangunan Tempat Penumpukan Barang di Pasar Tengah</t>
  </si>
  <si>
    <t>Desa Sungai Undang</t>
  </si>
  <si>
    <t>59/KOPERINDAG-SEK.1/VII/2018</t>
  </si>
  <si>
    <t>Gudang genset Sentra IKM Pengolahan Ikan dan Pakan Ikan di Desa Sungai Undang Kecamatan Seruyan Hilir  Reklasifikasi dari KIB F ke KIB D sesuai dengan surat nomor 530/1139/KOPERINDAG-BID.II/XII/2020 tanggal 31 Desember 2020</t>
  </si>
  <si>
    <t>Pembangunan Rumah Praduksi</t>
  </si>
  <si>
    <t>Jl. Sudirman Kuala  Pembuang II</t>
  </si>
  <si>
    <t>32/IDKUMKM-SEK.1/K/V/2015</t>
  </si>
  <si>
    <t>Pembangunan Gudang Barang-Barang dan Arsip serta Pembuatan Rak Barang dan Arsip</t>
  </si>
  <si>
    <t>315</t>
  </si>
  <si>
    <t>Jl. Ais Nasution Komplek Pasar Saik</t>
  </si>
  <si>
    <t>50/IDKUMKM-SEK.1/K/IX/2015</t>
  </si>
  <si>
    <t>Pembangunan Gudang dan Jembatan Titian di Komplek Pasar Ikan (SAIK) Kuala Pembuang</t>
  </si>
  <si>
    <t>Jl. Ais Nasution Desa Sungai Undang Kec. Seuyan Hilir</t>
  </si>
  <si>
    <t>BANGUNAN TOWER PENAMPUNG AIR BERSIH SENTRA IKM</t>
  </si>
  <si>
    <t>JALAN AIS. NASUTION DESA SUNGAI UNDANG</t>
  </si>
  <si>
    <t>59/KOPERINDAG-SEK.1/K/VII/2018</t>
  </si>
  <si>
    <t>Sentra IKM Pengolahan Ikan dan Pakan Ikan di Desa Sungai Undang Kecamatan Seruyan Hilir  Reklasifikasi dari KIB F ke KIB C sesuai dengan surat nomor 530/1139/KOPERINDAG-BID.II/XII/2020 tanggal 31 Desember 2020</t>
  </si>
  <si>
    <t>Jl. Sudirman Kuala Pembuang II</t>
  </si>
  <si>
    <t>39/IDKUMKM-SEK.1/K/V/2015</t>
  </si>
  <si>
    <t>Pembangunan Mushola</t>
  </si>
  <si>
    <t>PEMBANGUNAN MUSHOLA SENTRA IKM</t>
  </si>
  <si>
    <t>Desa Terawan Kecamatan Seruyan Raya</t>
  </si>
  <si>
    <t>27/KOPERINDAG-SEK.1/K/VII/2019</t>
  </si>
  <si>
    <t>Pembangunan Pasar Desa Terawan Kecamatan Seruyan Raya</t>
  </si>
  <si>
    <t>Desa Warna Tirta di Kecamatan Batu Ampar</t>
  </si>
  <si>
    <t>26/KOPERINDAG-SEK.1/K/VII/201</t>
  </si>
  <si>
    <t>Pembangunan Pasar Desa Warna Tirta di Kecamatan Batu Ampar</t>
  </si>
  <si>
    <t>88</t>
  </si>
  <si>
    <t>85/IDKUMKM-SEK.I/K/X/2014</t>
  </si>
  <si>
    <t>pembangunan pasar di Desa Tanjung Paku Kec. Seruyan Hulu</t>
  </si>
  <si>
    <t>Desa Tumbang Langkai</t>
  </si>
  <si>
    <t>105/IDKUMKM-SEK.I/K/XI/2014</t>
  </si>
  <si>
    <t xml:space="preserve"> Pembangunan Pasar di Desa Langkai Kec. Suling Tambun</t>
  </si>
  <si>
    <t>DESA BANGUN HARJA KECAMATAN SERUYAN HILIR TIMUR</t>
  </si>
  <si>
    <t>89/IDKUMKM-SEK.I/K/X/2014</t>
  </si>
  <si>
    <t>PEMBUATAN LOS PASAR BUAH DI DESA BANGUN HARJA KECAMATAN SERUYAN HILIR TIMUR</t>
  </si>
  <si>
    <t>Desa Sandul Kecamatan Batu Ampar</t>
  </si>
  <si>
    <t>70/IDKUMKM-SEK.1/K/XI/2015</t>
  </si>
  <si>
    <t>Pembangunan Pasar Desa Sandul  Kecamatan Batu Ampar</t>
  </si>
  <si>
    <t>608</t>
  </si>
  <si>
    <t>Desa Pembuang Hulu Kecamatan Hanau</t>
  </si>
  <si>
    <t>63/IDKUMKM-SEK.1/K/X/2015</t>
  </si>
  <si>
    <t>Perluasan Bangunan Pasar Sayur dan Ikan (SAIK) Di Desa Pembuang Kecamatan Hanau</t>
  </si>
  <si>
    <t>515</t>
  </si>
  <si>
    <t>Jl. Jendral Sudirman Desa Selunuk Kec. Seruyan Raya Kab. Seruyan</t>
  </si>
  <si>
    <t>310.5/INDAGKOP/TU.I/2008</t>
  </si>
  <si>
    <t>Pembangunan Pasar Desa Danau Seluluk</t>
  </si>
  <si>
    <t>300</t>
  </si>
  <si>
    <t>262/INDAGKOP/TU.I/2007</t>
  </si>
  <si>
    <t>Bangunan Pasar Desa Pematang Panjang</t>
  </si>
  <si>
    <t>704</t>
  </si>
  <si>
    <t>DESA RANTAU PULUT</t>
  </si>
  <si>
    <t>84/INDAGKOP/TU.I/2007</t>
  </si>
  <si>
    <t>BANGUNAN PASAR DESA RANTAU PULUT</t>
  </si>
  <si>
    <t>186/IDKUMKM/SEK.I/2009</t>
  </si>
  <si>
    <t>Pembangunan Pasar Desa Pematang Limau</t>
  </si>
  <si>
    <t>196</t>
  </si>
  <si>
    <t>Desa Tumbang Manjul</t>
  </si>
  <si>
    <t>187/IDKUMKM/SEK.I/K/2009</t>
  </si>
  <si>
    <t>Pembangunan Pasar Desa Tumbang Manjul</t>
  </si>
  <si>
    <t>39200</t>
  </si>
  <si>
    <t>Desa pembuang Hulu</t>
  </si>
  <si>
    <t>120/IDKUMKM/SEK.I/K/IV/2009</t>
  </si>
  <si>
    <t>Pembangunan Pasar Desa Pembuang Hulu</t>
  </si>
  <si>
    <t>Desa Lampasa</t>
  </si>
  <si>
    <t>214/IDKUMKM/SEK.I/K/IV/2009</t>
  </si>
  <si>
    <t>Pembangunan Pasar Desa Lampasa</t>
  </si>
  <si>
    <t>566</t>
  </si>
  <si>
    <t>Jln. AIS Nasution Kuala Pembuang</t>
  </si>
  <si>
    <t>152/IDKUMKM/SEK.I/K/2009</t>
  </si>
  <si>
    <t>Pembangunan Pasar Daerah di Komplek Pasar SAIK Kuala Pembuang</t>
  </si>
  <si>
    <t>156</t>
  </si>
  <si>
    <t>68/IDKUMKM-SEK.I/VIII/2011</t>
  </si>
  <si>
    <t>Pembuatan Drainase, Siring, WC, dan Sarana Penunjang Lainnya Pasar Desa Lampasa</t>
  </si>
  <si>
    <t>52</t>
  </si>
  <si>
    <t>Desa Derangga</t>
  </si>
  <si>
    <t>83/IDKUMKM-SEK.I/K/VIII/2011</t>
  </si>
  <si>
    <t>Pembangunan Pasar Desa Derangga</t>
  </si>
  <si>
    <t>Desa Asam Baru</t>
  </si>
  <si>
    <t>70/IDKUMKM-SEK.I/K/VIII/2011</t>
  </si>
  <si>
    <t>Pembangunan Pasar Desa Asam Baru</t>
  </si>
  <si>
    <t>Desa Sukamandang</t>
  </si>
  <si>
    <t>69/IDKUMKM-SEK.I/K/VIII/2011</t>
  </si>
  <si>
    <t>Pembangunan Pasar Desa Sukamandang</t>
  </si>
  <si>
    <t>Desa Batu Agung Kecamatan Seruyan Hulu</t>
  </si>
  <si>
    <t>85/IDKUMKM-SEK.I/K/IX/2011</t>
  </si>
  <si>
    <t>Pembangunan Pasar Desa Batu Agung Kecamatan Seruyan Tengah</t>
  </si>
  <si>
    <t>162</t>
  </si>
  <si>
    <t>Desa Sembuluh I</t>
  </si>
  <si>
    <t>105.1/IDKUMKM-SEK.I/K/IX/2012</t>
  </si>
  <si>
    <t>Pembangunan Pasar Desa di Desa Sembuluh I</t>
  </si>
  <si>
    <t>JL. BAKRIE ENTONG PEMBUANG HULU I</t>
  </si>
  <si>
    <t>48/IDKUMKM-SEK.I/K/IX/2013</t>
  </si>
  <si>
    <t>PEMBANGUNAN PASAR HANAU DI PEMBUANG HULU</t>
  </si>
  <si>
    <t>154</t>
  </si>
  <si>
    <t>49/IDKUMKM-SEK.I/K/IX/2013</t>
  </si>
  <si>
    <t>PEMBANGUNAN PASAR DESA TUMBANG MANJUL</t>
  </si>
  <si>
    <t>DESA TANJUNG PARING KECAMATAN DANAU SELULUK</t>
  </si>
  <si>
    <t>87/IDKUMKM-SEK.I/K/X/2014</t>
  </si>
  <si>
    <t>PEMBANGUNAN PASAR DI DESA TANJUNG PARING KECAMATAN DANAU SELULUK</t>
  </si>
  <si>
    <t>Gedung Pertokoan/Koperasi/Pasar Semi Permanen</t>
  </si>
  <si>
    <t>03.01.01.12.002</t>
  </si>
  <si>
    <t>Desa Bangkal</t>
  </si>
  <si>
    <t>93.A/INDAGKOP/TU/I/2007</t>
  </si>
  <si>
    <t xml:space="preserve"> Bangunan Pasar Desa Bangkal</t>
  </si>
  <si>
    <t>280</t>
  </si>
  <si>
    <t>Jl. AIS NASUTION KUALA PEMBUANG</t>
  </si>
  <si>
    <t>475/INDAGKOP/TU.I/2005</t>
  </si>
  <si>
    <t>Bangunan Los Pasar SAIK Kuala Pembuang</t>
  </si>
  <si>
    <t>3830</t>
  </si>
  <si>
    <t>113/IDKUMKM-SEK.I/K/VI/2010</t>
  </si>
  <si>
    <t>Pembuatan Titian Jembatan Pasar Desa Bangkal</t>
  </si>
  <si>
    <t>Pembuang Hulu Kecamatan Hanau</t>
  </si>
  <si>
    <t>73/IDKUMKM-SEK.I/K/VIII/2010</t>
  </si>
  <si>
    <t>Pembangunan Pasar Sayur dan Ikan di Pembuang Hulu Kec. Hanau</t>
  </si>
  <si>
    <t>556</t>
  </si>
  <si>
    <t>73/IDKUMKM-SEK.I/K/VIII/2011</t>
  </si>
  <si>
    <t>Pemasangan Listrik, Plapon, Pembuatan WC, Rakit Tambat dan Sarana Penunjang Lainnya Pasar Sayur dan Ikan Pembuang Hulu</t>
  </si>
  <si>
    <t>Komplek Pasar SAIK Kuala Pembuang</t>
  </si>
  <si>
    <t>352.B/INDAGKOP-UMKM/TU.I/2008</t>
  </si>
  <si>
    <t>Bangunan Lantai Jemur Ikan Asin Sistem Knock Down</t>
  </si>
  <si>
    <t>Gedung Pertokoan/Koperasi/Pasar Darurat</t>
  </si>
  <si>
    <t>03.01.01.12.003</t>
  </si>
  <si>
    <t>13</t>
  </si>
  <si>
    <t>274.B/INDAGKOP-UMKM/TU.I/2008</t>
  </si>
  <si>
    <t>Bangunan Pasar Ramadhan</t>
  </si>
  <si>
    <t>120/IDKUMKM/SEK.I/IV/2009</t>
  </si>
  <si>
    <t>Pasar Ramadhan di Komplek SAIK Kuala Pembuang</t>
  </si>
  <si>
    <t>JL. AIS NASUTION KUALA PEMBUANG</t>
  </si>
  <si>
    <t>54/IDKUMKM-SEK.I/K/IX/2014</t>
  </si>
  <si>
    <t>PEMBUATAN PASAR DARURAT LOS/LAPAK SAYUR IKAN DI KOMPLEK PASAR SAIK KUALA PEMBUANG</t>
  </si>
  <si>
    <t>Bangunan Gedung Pertokoan Lain-lain (dst)</t>
  </si>
  <si>
    <t>03.01.01.12.004</t>
  </si>
  <si>
    <t>DESA SUNGAI UNDANG KEC.SERUYAN HILIR</t>
  </si>
  <si>
    <t>55/IDKUMKM-SEK.I/K/IX/2014</t>
  </si>
  <si>
    <t>PEMBANGUNAN LANTAI JEMUR IKAN</t>
  </si>
  <si>
    <t>521/INDAGKOP/TU.I/2005</t>
  </si>
  <si>
    <t>Bangunan Tempat Parkir Pasar Saik Kuala Pembuang</t>
  </si>
  <si>
    <t>Pengadaan Bangunan Pos Jaga Sentra IKM Desa Sungai Undang  Fisik Rp. 46,830,000 + Perencanaan Rp.4,048,743.73 + Pengawasan Rp. 2,336,308.20</t>
  </si>
  <si>
    <t>78/IDKUMKM-SEK.1/K/XI/2015</t>
  </si>
  <si>
    <t>Pembangunan Pos Jaga Di Komplek Pusat Perbelanjaan Seruyan (PPS) Kuala Pembuang Ket : Perencanaan Rp. 1.200.000 Pengawasan Rp. 800.000</t>
  </si>
  <si>
    <t>248</t>
  </si>
  <si>
    <t>Desa Sembuluh II Kecamatan Danau Sembuluh</t>
  </si>
  <si>
    <t>310.G/INDAGKOP/TU.I/2008</t>
  </si>
  <si>
    <t>Bangunan Pasar Desa Sembuluh</t>
  </si>
  <si>
    <t>Bangunan Lantai Jemur Permanen</t>
  </si>
  <si>
    <t>03.01.01.25.001</t>
  </si>
  <si>
    <t>Pembangunan Lantai Jemur Sentra IKM, Perencanaan, Pengawasan</t>
  </si>
  <si>
    <t>426</t>
  </si>
  <si>
    <t>530/1139/KOPERINDAG-BID.II/XII/2020</t>
  </si>
  <si>
    <t>Bangunan Lantai Jemur Semi Permanen</t>
  </si>
  <si>
    <t>03.01.01.25.002</t>
  </si>
  <si>
    <t>11.1/Koperindag-Sekret/K/VII/2021</t>
  </si>
  <si>
    <t>PEMBUATAN PLASTIK JEMUR DENGAN PLASTIK UV SENTRA IKM</t>
  </si>
  <si>
    <t>236</t>
  </si>
  <si>
    <t>Desa Bangun Harja Kecamatan Seruyan Hilir Timur (SumberDanaDAK)</t>
  </si>
  <si>
    <t>53/KOPERINDAG-SEK.1/K/VII/2017</t>
  </si>
  <si>
    <t>Belanja Modal Penyediaan Sarana dan Prasarana SentraI IKM di Desa Bangun Harja Kecamatan Seruyan Hilir Timur (SumberDanaDAK)</t>
  </si>
  <si>
    <t>Jl. Jendral Sudirman Kuala Pembuang Kantor Diskoperindag</t>
  </si>
  <si>
    <t>Papan Informasi Kantor Diskoperindag</t>
  </si>
  <si>
    <t>Pengadaan Bangunan Baliho/Spanduk dari Kayu Sentra IKM Desa Sungai Undang  Fisik Rp. 15,00,000 + Perencanaan Rp.1,296,743 + Pengawasan Rp. 748,337</t>
  </si>
  <si>
    <t>Jl. Ais Nasution RT.10/RW.02 Desa Sungai Undang Kec.Seruyan Hilir Komplek Sentra IKM Desa Sungai Undang</t>
  </si>
  <si>
    <t>530/2811.1DISKOPERINDAG/B/XI/2024/2024</t>
  </si>
  <si>
    <t>Pengadaan Bangunan Pembuangan Sampah Sentra IKM Desa Sungai Undang  Fisik Rp. 17,760,000 + Perencanaan Rp.1,535,344 + Pengawasan Rp.886,031</t>
  </si>
  <si>
    <t>Pengadaan Bangunan Toilet Umum Sentra IKM Desa Sungai Undang  Fisik Rp. 10,610,000 + Perencanaan Rp.917,229 + Pengawasan Rp. 529,323</t>
  </si>
  <si>
    <t>Bangunan Gedung Pabrik Permanen</t>
  </si>
  <si>
    <t>03.01.01.34.001</t>
  </si>
  <si>
    <t>Pabrik Es Lake Sentra IKM, Perencanaan dan Pengawasan</t>
  </si>
  <si>
    <t>Rumah Produksi Sentra IKM, Perencanaan dan Pengawasan</t>
  </si>
  <si>
    <t>576</t>
  </si>
  <si>
    <t>Gedung Produksi Sentra IKM Pengolahan Ikan dan Pakan Ikan di Desa Sungai Undang Kecamatan Seruyan Hilir  Reklasifikasi dari KIB F ke KIB C sesuai dengan surat nomor 530/1139/KOPERINDAG-BID.II/XII/2020 tanggal 31 Desember 2020</t>
  </si>
  <si>
    <t>240</t>
  </si>
  <si>
    <t>PEMBANGUNAN GEDUNG PRODUKSI SENTRA IKM</t>
  </si>
  <si>
    <t>PEMBANGUNAN GEDUNG PAKAN SENTRA IKM</t>
  </si>
  <si>
    <t>Desa Pematang Panjang Kec. Seruyan Hilir (Rumah Produksi Purun)</t>
  </si>
  <si>
    <t>BELANJA MODAL PEMBAYARAN PEMBANGUNAN RUMAH PRODUKSI PURUN FISIK  Rp. 104.900,000 + PERENCANAAN Rp.12.198,900 BELANJA PENGAWASAN PEMBANGUNAN RUMAH PRODUKSI PURUN Rp. 6.960,000</t>
  </si>
  <si>
    <t>Rumah Negara Golongan III Tipe B Permanen</t>
  </si>
  <si>
    <t>03.01.02.03.004</t>
  </si>
  <si>
    <t>Jl. Sudirman No. 01 Kuala Pembuang I</t>
  </si>
  <si>
    <t>16/KOPERINDAG-SEK.1/K/II/2017</t>
  </si>
  <si>
    <t>Pembangunan Rumah Jaga Kantor</t>
  </si>
  <si>
    <t>922</t>
  </si>
  <si>
    <t>Sentra IKM Pengolahan Ikan dan Pakan Ikan di Desa Sungai Undang Kecamatan Seruyan Hilir  Reklasifikasi dari KIB F ke KIB D sesuai dengan surat nomor 530/1139/KOPERINDAG-BID.II/XII/2020 tanggal 31 Desember 2020</t>
  </si>
  <si>
    <t>JL. MT. HARYONO KP. I</t>
  </si>
  <si>
    <t>641.6/118/Kontrak.CK/IX/2014</t>
  </si>
  <si>
    <t>Pembangunan Gedung Kantor Pelayanan Perijinan Terpadu (KPPT) (DAU+DAK)</t>
  </si>
  <si>
    <t>Jl. A. Yani No. 29 KP I</t>
  </si>
  <si>
    <t>882/SP2D/LS/IV/2011</t>
  </si>
  <si>
    <t>Kantor BPMPTSP Lama</t>
  </si>
  <si>
    <t>Jalan A.Yani Kuala Pembuang</t>
  </si>
  <si>
    <t>027/950/DPMPTSP/XI/2019</t>
  </si>
  <si>
    <t>Pembangunan Parkir Kantor Rp. 31.300.000, Pengawasan Rp. 1.155.000, Perencanaan Rp. 2.150.000</t>
  </si>
  <si>
    <t>Jl. M.T. Haryono Kuala Pembuang I</t>
  </si>
  <si>
    <t>979/390/BPMPTSP/XI/2016</t>
  </si>
  <si>
    <t>Jln. MT. Haryono KP. I</t>
  </si>
  <si>
    <t>027/52/DPMPTSP/XI/2018</t>
  </si>
  <si>
    <t>PENGADAAN KERANGKA BALEHO KAYU ULIN 3x6 METER</t>
  </si>
  <si>
    <t>KUALA PEMBUANG</t>
  </si>
  <si>
    <t>027/756/DPMPTSP/XI/2019</t>
  </si>
  <si>
    <t>Kerangka baleho</t>
  </si>
  <si>
    <t>3</t>
  </si>
  <si>
    <t>027/739/DPMPTSP/X/2019</t>
  </si>
  <si>
    <t>Pengadaan Pembuatan  Pagar Kantor</t>
  </si>
  <si>
    <t>JL. A. YANI KUALA PEMBUANG_x000D_
_x000D_
_x000D_
_x000D_
_x000D_
_x000D_
_x000D_
_x000D_
_x000D_
JL. MT. HARYONO KUALA PEMBUANG</t>
  </si>
  <si>
    <t>640/13/KONTRAK-PBG-CK/DPUPR/VII/2023</t>
  </si>
  <si>
    <t>Pembangunan Pagar Kantor Dinas Penanaman Modal dan Pelayanan Terpadu Satu Pintu</t>
  </si>
  <si>
    <t>jln. Imam Bonjol No. 55 Kuala Pembuang</t>
  </si>
  <si>
    <t>46/PPK-DISHUTBUN/IX/2013</t>
  </si>
  <si>
    <t>Pembangunan Ruang Sub Bagian</t>
  </si>
  <si>
    <t>152</t>
  </si>
  <si>
    <t>641.6/1628/DISHUTBUN/VII/2009</t>
  </si>
  <si>
    <t>Bangunan Kantor Bidang</t>
  </si>
  <si>
    <t>641.6/1629/DISHUTBUN/VII/2009</t>
  </si>
  <si>
    <t>173</t>
  </si>
  <si>
    <t>Bangunan Kantor Induk</t>
  </si>
  <si>
    <t>31</t>
  </si>
  <si>
    <t>46/KG-PAR.1/2006</t>
  </si>
  <si>
    <t>Bangunan Dermaga Perahu angsa ( BA. Inventarisasi Disnakertranspar )</t>
  </si>
  <si>
    <t>Sei Bakau</t>
  </si>
  <si>
    <t>54/KG-PAR.1/2006</t>
  </si>
  <si>
    <t>Paving Stone (tahun dirubah dari 2006 ke 2008)</t>
  </si>
  <si>
    <t>3280</t>
  </si>
  <si>
    <t>Desa  Sungai Bakau Kec. Seruyan Hilir Timur</t>
  </si>
  <si>
    <t>109/PPK-DISPORAPARBUD/IX/2020</t>
  </si>
  <si>
    <t>BELANJA PENATAAN LANDSCAPE PANTAI SUNGAI BAKAU</t>
  </si>
  <si>
    <t>jln. imam bonjol no.55 kuala pembuang</t>
  </si>
  <si>
    <t>571/PPK-HUTBUN/XI/2013</t>
  </si>
  <si>
    <t>Gudang Arsip</t>
  </si>
  <si>
    <t>28</t>
  </si>
  <si>
    <t>40/KG-PAR.1/2006</t>
  </si>
  <si>
    <t>Tempat Penyimpanan Meriam ( BA. Inventarisasi Disnakertranspar )</t>
  </si>
  <si>
    <t>Bangunan Gedung Instalasi Permanen</t>
  </si>
  <si>
    <t>03.01.01.04.007</t>
  </si>
  <si>
    <t>seruyan hilir</t>
  </si>
  <si>
    <t>bangunan garasi sped Sudah Tidak Ada (tahun dirubah dari 2005 ke 2008)</t>
  </si>
  <si>
    <t>121</t>
  </si>
  <si>
    <t>OBJEK WISATA DANAU SELULUK</t>
  </si>
  <si>
    <t>196/PPK-DISPORAPARBUD/VII/2019</t>
  </si>
  <si>
    <t>BELANJA PEMBANGUNAN TEMPAT IBADAH DI OBJEK WISATA DANAU SELULUK</t>
  </si>
  <si>
    <t>Bangunan Aula</t>
  </si>
  <si>
    <t>JL. IMAM BONJOL KUALA PEMBUANG II</t>
  </si>
  <si>
    <t>547/ppk-dishutbun/X/2015</t>
  </si>
  <si>
    <t>Pengadaan Bangunan Gedung Pertemuaan Saka Wana Bakti</t>
  </si>
  <si>
    <t>45/KG-PAR.1/2006</t>
  </si>
  <si>
    <t>Pesangrahan</t>
  </si>
  <si>
    <t>305</t>
  </si>
  <si>
    <t>Sei. Bakau</t>
  </si>
  <si>
    <t>27/KG-PAR.1/2006</t>
  </si>
  <si>
    <t>Panggung Hiburan Pantai Sungai Bakau</t>
  </si>
  <si>
    <t>274/PPA-DISNAKERTRANSPAR/X/201</t>
  </si>
  <si>
    <t>Panggung Hiburan Danau Seluluk Tahap IV (Selesai)</t>
  </si>
  <si>
    <t>26</t>
  </si>
  <si>
    <t>34/Pem-KG/V/2005</t>
  </si>
  <si>
    <t>WC dan Ruang Ganti Pakaian</t>
  </si>
  <si>
    <t>sungai bakau</t>
  </si>
  <si>
    <t>038/ppa-disnakertrans</t>
  </si>
  <si>
    <t>Pembangunan WC Umum sei bakau</t>
  </si>
  <si>
    <t>720</t>
  </si>
  <si>
    <t>jln.imam bonjol no.55 kuala pembuang</t>
  </si>
  <si>
    <t>426.21/185/ck.pu/2008</t>
  </si>
  <si>
    <t>Bangunan GOR tenis meja</t>
  </si>
  <si>
    <t>7750</t>
  </si>
  <si>
    <t>Jl. Pemuda Kuala Pembuang, Kecamatan Seruyan Hilir</t>
  </si>
  <si>
    <t>426.21/37/CK.PU/2009</t>
  </si>
  <si>
    <t>Gedung Tenis Indor</t>
  </si>
  <si>
    <t>902</t>
  </si>
  <si>
    <t>Jl. Imam Bonjol, K. Pembuang</t>
  </si>
  <si>
    <t xml:space="preserve"> 643.1/80/SPMK-CK/VII/2012</t>
  </si>
  <si>
    <t>GOR Indoor Tenis Meja Kuala Pembuang</t>
  </si>
  <si>
    <t>1770</t>
  </si>
  <si>
    <t>Kec. Seruyan Hilir Kab. Seruyan 
Titiki:1 X:06'70.990' Y:96'24.848' Titik II X:06'70.939' Y:96'24.821' Titik III :X:06'70.999' Y:96'24.838' Titik IV:X:06'70.995' E:96'24.821'</t>
  </si>
  <si>
    <t>621.1/009/KONTRAK-CK/XI/2017</t>
  </si>
  <si>
    <t>Penataan Lingkungan Disekitar Gor Tenis Indor Kuala Pembuang</t>
  </si>
  <si>
    <t>919</t>
  </si>
  <si>
    <t>Jl. Pemuda, K. Pembuang</t>
  </si>
  <si>
    <t>No. 643.1/100/KONTRAK-CK/IX/20</t>
  </si>
  <si>
    <t>Penataan Lapangan Bola Basket</t>
  </si>
  <si>
    <t>2808</t>
  </si>
  <si>
    <t xml:space="preserve"> 643.1/84/KONTRAK-CK/IX/2012</t>
  </si>
  <si>
    <t>Kolam Renang Sei Bakau</t>
  </si>
  <si>
    <t>44</t>
  </si>
  <si>
    <t>106/PPA-DISNAKERTRANSPAR/X/201</t>
  </si>
  <si>
    <t>Bangunan Sarana Outbond</t>
  </si>
  <si>
    <t>Sungai bakau</t>
  </si>
  <si>
    <t xml:space="preserve"> 017/ppk-disporaparbud/VII/201</t>
  </si>
  <si>
    <t>Belanja Pembangunan Plaza Pusat Jajanan/ Kuliner di Objek Wisata Sungai Bakau 24%</t>
  </si>
  <si>
    <t>PANTAI DESA SUNGAI BAKAU KEC.SERUYAN HILIR TIMUR</t>
  </si>
  <si>
    <t>98/IDKUMKM-SEK.I/K/X/2014</t>
  </si>
  <si>
    <t>PEMBANGUNAN KIOS/OUTLET KOPERASI</t>
  </si>
  <si>
    <t>OBJEK WISATA PANTAI SUNGAI BAKAU</t>
  </si>
  <si>
    <t>181/PPK-DISPORAPARBUD/VII/2019</t>
  </si>
  <si>
    <t>BELANJA PEMBANGUNAN KIOS CINDERAMATA DI OBJEK PANTAI SUNGAI BAKAU</t>
  </si>
  <si>
    <t>099/PPK/IX/2020</t>
  </si>
  <si>
    <t>BELANJA PEMBANGUNAN KIOS CINDERAMATA DANAU SELULUK</t>
  </si>
  <si>
    <t>Jl. imam Bonjol Kuala Pembuang I</t>
  </si>
  <si>
    <t>581/ppk-dishutbn/VII/2016</t>
  </si>
  <si>
    <t>pembayaran pembangunan gedung pos jaga</t>
  </si>
  <si>
    <t>Gedung Menara Peninjau Permanen</t>
  </si>
  <si>
    <t>03.01.01.13.004</t>
  </si>
  <si>
    <t>266</t>
  </si>
  <si>
    <t>190/PPK-DISPORAPARBUD/VII/2019</t>
  </si>
  <si>
    <t>BELANJA PEMBANGUNAN MENARA PANDANG (VIEWING DECK) OBJEK WISATA DANAU SEMBULUH ( BAHAN KAYU ULIN)</t>
  </si>
  <si>
    <t>7/PPK-HUTBUN/IV/2012</t>
  </si>
  <si>
    <t>bangunan garasi Sudah tidak ada</t>
  </si>
  <si>
    <t>410/ppk-dishutbun/X/2015</t>
  </si>
  <si>
    <t>Pengadaan Bangunan Garasi (Tempat Parkir ) Kantor</t>
  </si>
  <si>
    <t>jln.imam bonjol no.55. kuala pembuang</t>
  </si>
  <si>
    <t>027/2077/DISHUTBUN/2009</t>
  </si>
  <si>
    <t>Tempat kerangka baliho</t>
  </si>
  <si>
    <t>kecamatan hanau desa derangga</t>
  </si>
  <si>
    <t xml:space="preserve"> 014/ppk-disporaparbud/VII/201</t>
  </si>
  <si>
    <t>Belanja Pembangunan Ruang Ganti dan atau Toilet Objek Wisata Sungai Bakau</t>
  </si>
  <si>
    <t xml:space="preserve"> 011/ppk-disporaparbud/VII/201</t>
  </si>
  <si>
    <t>belanja pembangunan ruang ganti dan atau toilet objek wisata danau seluluk</t>
  </si>
  <si>
    <t>104/PPK-DISHUTBUN/VI/2008</t>
  </si>
  <si>
    <t>Bangunan Rujab Kepala Dinas</t>
  </si>
  <si>
    <t>179/PPK-DISPORAPARBUD/VII/2019</t>
  </si>
  <si>
    <t>BELANJA PEMBUATAN GAZEBO  KAYU ULIN DI OBJEK WISATA DANAU SEMBULUH</t>
  </si>
  <si>
    <t xml:space="preserve"> 020/ppk-disporaparbud/VII/201</t>
  </si>
  <si>
    <t>Belanja Pembuatan Gazebo Objek Wisata Sungai Bakau</t>
  </si>
  <si>
    <t>desa derangga kec hanau</t>
  </si>
  <si>
    <t xml:space="preserve"> 045/ppk-disporaparbud/IV/2018</t>
  </si>
  <si>
    <t>Belanja Modal Pembuatan Gazebo Objek Wisata Danau Seluluk Desa Derangga Kecamatan Hanau</t>
  </si>
  <si>
    <t>desa derangga kec hnau</t>
  </si>
  <si>
    <t>desa derngga kec, hanau</t>
  </si>
  <si>
    <t>Desa Sungai Bakau Kecamatan SeruyanHilir Timur</t>
  </si>
  <si>
    <t>104/ppk-disporaparbud/IX/2020</t>
  </si>
  <si>
    <t>PembangunanGazebo,Perencanaan dan Pengawasan</t>
  </si>
  <si>
    <t>104.1/PPK-Disporaparbud/IX/202</t>
  </si>
  <si>
    <t>Pembangunan Gazebo, Perencanaan dan Pengawasan</t>
  </si>
  <si>
    <t>111/PPA-DISNAKERTRANSPAR/IX/20</t>
  </si>
  <si>
    <t>Perbaikan Altar Tiang Pantar Rantau Pulut</t>
  </si>
  <si>
    <t>Makam Bersejarah</t>
  </si>
  <si>
    <t>03.02.01.03.004</t>
  </si>
  <si>
    <t>064/PPK-NAKTRAN/2009</t>
  </si>
  <si>
    <t>Makam Keramat Sungai Pujung</t>
  </si>
  <si>
    <t>064/PPA-NAKTRAN/2009</t>
  </si>
  <si>
    <t>Makam Keramat Rangkang</t>
  </si>
  <si>
    <t>9975</t>
  </si>
  <si>
    <t>Jalan Imam Bonjol Kuala Pembuang II</t>
  </si>
  <si>
    <t>193/PPK-DISHUTBUN/VII/2014</t>
  </si>
  <si>
    <t>BANGUNAN PAGAR KANTOR</t>
  </si>
  <si>
    <t>193/PPK-DISPORAPARBUD/VII/2019</t>
  </si>
  <si>
    <t>BELANJA PEMBUATAN PAGAR PEMBATAS PADA OBJEK WISATA PANTAI SUNGAI BAKAU</t>
  </si>
  <si>
    <t>Jln. A. Yani Kuala Pembuang II Kec. Seruyan Hilir Kabupaten Seruyan</t>
  </si>
  <si>
    <t>DINAS PERPUSTAKAAN DAN KEARSIPAN</t>
  </si>
  <si>
    <t>05/SPK-DISPURSIP/XI/2022</t>
  </si>
  <si>
    <t>Pemasangan Paving Halaman Kantor RP. 164.557.500, Pengawasan RP. 6.549.000, Perencanaan RP. 11.488.500</t>
  </si>
  <si>
    <t>Jl. A. Yani, Kuala Pembuang</t>
  </si>
  <si>
    <t>04/SPK-DPK/VII/2022</t>
  </si>
  <si>
    <t>Belanja Modal Bangunan Tempat Parkir</t>
  </si>
  <si>
    <t>SPIL Muara Kalua Desa Pematang Limau</t>
  </si>
  <si>
    <t>Bangunan Pembibitan BBI</t>
  </si>
  <si>
    <t>Bangunan Kantor BBI</t>
  </si>
  <si>
    <t>Jalan Ahmad Yani ( Kompleks Perkantoran )</t>
  </si>
  <si>
    <t>641.6/175/CK.PU/2004</t>
  </si>
  <si>
    <t>Bangunan Kantor Dinas Kelautan dan Perikanan</t>
  </si>
  <si>
    <t>Dinas Kelautan dan Perikanan Jl. Akhmad Yani Kec. Seruyan Hilir</t>
  </si>
  <si>
    <t>279</t>
  </si>
  <si>
    <t>Jalan Ahmad Yani (Kompleks Perkantoran)</t>
  </si>
  <si>
    <t>800.05/ 633 /DISLUTKAN/IX/2013</t>
  </si>
  <si>
    <t>Pembangunan Bak Pengujian / Penampungan Reservoir TA. 2009  (Rp. 368.048.700) - Bangunan Resevoir (Rp. 165.650.000) TA. 2013</t>
  </si>
  <si>
    <t>Jalan Ahmad Yani (Samping Kantor Dislutkan)</t>
  </si>
  <si>
    <t>800.05/358/DISLUTKAN/V/2012</t>
  </si>
  <si>
    <t>Pembangunan Gudang Kantor (Rp. 149.000.000), Perencanaan (Rp. 20.800.000) Pengawasan (Rp. 11.900.000) Tahun 2011, Lanjutan (Rp.49.600.000), Perencanaan (Rp.3.400.000), Pengawasan (Rp.1.950.000) Tahun</t>
  </si>
  <si>
    <t>Bangunan Gudang Pakan (BBI)</t>
  </si>
  <si>
    <t>Bangunan WC</t>
  </si>
  <si>
    <t>Bangunan Gudang BBI</t>
  </si>
  <si>
    <t>Jalan Darwan Ali Kecamatan Danau Sembuluh</t>
  </si>
  <si>
    <t>Bangunan Ginset</t>
  </si>
  <si>
    <t>800.05/625/DISLUTKAN/VIII/2010</t>
  </si>
  <si>
    <t>Pembangunan Rumah Koleksi Plasma Nuftah Sumberhayati (Tahun 2010)</t>
  </si>
  <si>
    <t>Bangunan Bengkel/Hanggar Permanen</t>
  </si>
  <si>
    <t>03.01.01.03.001</t>
  </si>
  <si>
    <t>Bangunan Ruang Genset (BBI)</t>
  </si>
  <si>
    <t>800.05/419.e/DISLUTKAN/VI/2010</t>
  </si>
  <si>
    <t>Pembangunan Gedung Laboratorium Tahun 2009 (Rp. 498.172.400,-) dan Lanjutan Tahun 2010 ( Rp. 99.500.000,-)</t>
  </si>
  <si>
    <t>Belanja Modal Pembangunan Kantor BBI</t>
  </si>
  <si>
    <t>Jalan Seribu Cemara Desa Sungai Bakau</t>
  </si>
  <si>
    <t>800.05/672.b/DISLUTKAN/VIII/20</t>
  </si>
  <si>
    <t>Pembangunan Pos Pengawas (Rp. 198.300.000), Perencanaan (Rp. 13.900.000), dan Pengawasan (Rp. 7.900.000)</t>
  </si>
  <si>
    <t>Jalan Raya Desa Sei Bakau</t>
  </si>
  <si>
    <t>800.05/UM/434/DISLUTKAN/VI/201</t>
  </si>
  <si>
    <t>Pembangunan Posko PSDKP (Tahun 2010)</t>
  </si>
  <si>
    <t>Jalan Teluk Dalam  Desa Pembuang Hulu II Kecamatan Hanau</t>
  </si>
  <si>
    <t>800.05/543/DISLUTKAN/VII/2011</t>
  </si>
  <si>
    <t>Pembangunan Pos Penyuluhan (Rp. 174.000.000), Perencanaan (Rp. 12.100.000), dan Pengawasan (Rp. 6.900.000)</t>
  </si>
  <si>
    <t>Belanja Modal Pengadaan Pembangunan Gedung Garasi / Pool T.A 2017</t>
  </si>
  <si>
    <t>Bangunan Parkir Motor</t>
  </si>
  <si>
    <t>Bangunan Peternakan/Perikanan Lain-lain (dst)</t>
  </si>
  <si>
    <t>03.01.01.29.004</t>
  </si>
  <si>
    <t>20</t>
  </si>
  <si>
    <t>Bangunan Kolam Beton (BBI)</t>
  </si>
  <si>
    <t>270</t>
  </si>
  <si>
    <t>SPIL Muara  Kalua Desa Pematang Limau</t>
  </si>
  <si>
    <t>400</t>
  </si>
  <si>
    <t>Desa Telaga Pulang Kecamatan Danau Sembuluh</t>
  </si>
  <si>
    <t>800.05/465.1/DISLUTKAN/IX/2016</t>
  </si>
  <si>
    <t>Pembagunan Balai Benih Ikan TA. 2016</t>
  </si>
  <si>
    <t>KECAMATAN TELAGA PULANG</t>
  </si>
  <si>
    <t>800.05/530/DISKAN/VIII/2017</t>
  </si>
  <si>
    <t>belanja modal pengadaan knstruksi pembangunan perikanan
- pembangunan balai benih ikan (BBI)</t>
  </si>
  <si>
    <t>Kompleks Tambak Rakyat Jalur 7 Desa Sungai Undang</t>
  </si>
  <si>
    <t>800.05/ 621.1/DISLUTKAN/IX/201</t>
  </si>
  <si>
    <t>Pembangunan tempat dan pengadaan sarana penangan hasil tambak udang TA.2013</t>
  </si>
  <si>
    <t>68</t>
  </si>
  <si>
    <t>Bangunan Rumah Jaga (BBI)</t>
  </si>
  <si>
    <t>Jalan Khi Hajar Dewantara Kuala Pembuang II</t>
  </si>
  <si>
    <t>Bangunan Rumah Dinas</t>
  </si>
  <si>
    <t>800.05/389.d/Dislutkan/V/2012</t>
  </si>
  <si>
    <t>Mess Karyawan Rp. 108.900.000,- Mes Karyawan SPIL Muara Kalua Rp. 79. 507.000,-, Perencanaan Mes Karyawan Rp. 5.500.000,- Pengawasan Mes Karyawan Rp. 3.100.000,-</t>
  </si>
  <si>
    <t>BBI Telaga Pulang Kec. Danau Sembuluh</t>
  </si>
  <si>
    <t>800.05/402/DISKAN/IX/2021</t>
  </si>
  <si>
    <t>Pembangunan Mess Karyawan BBI Telaga Pulang + Perencanaan dan Pengawasan TA 2021</t>
  </si>
  <si>
    <t>Dempond Tambak Dislutkan Desa Sungai Undang Kec. Seruyan Hilr</t>
  </si>
  <si>
    <t>SB1/TU.253/2005.K</t>
  </si>
  <si>
    <t>Bangunan Rumah Jaga Dempond (Tahun 2005)</t>
  </si>
  <si>
    <t>SB1/TU.639/2005.K</t>
  </si>
  <si>
    <t>Bangunan Rumah Jaga BBI (Tahun 2005)</t>
  </si>
  <si>
    <t>Tugu/Tanda Batas Administrasi Kepemilikan</t>
  </si>
  <si>
    <t>03.04.01.01.009</t>
  </si>
  <si>
    <t>Jalan Akhmad Yani (Depan Kantor Dislutkan)</t>
  </si>
  <si>
    <t>800.05/653/DISLUTKAN/X/2010</t>
  </si>
  <si>
    <t>Pembangunan Pagar/Taman Gedung Kantor (Tahun 2010)</t>
  </si>
  <si>
    <t>Jalan Pemuda  No. 008 Kuala Pembuang II</t>
  </si>
  <si>
    <t>800.05/121.b/DISLUTKAN/I/2012</t>
  </si>
  <si>
    <t>Pembangunan Pagar / Taman Rumah Dinas (Rp.98.799.900), Lanjutan (Rp.95.180.200) Tahun 2010, Lanjutan (Rp.49.650.000), Pengawasan (Rp.1.900.000) Tahun 2012</t>
  </si>
  <si>
    <t>Desa Telaga Pulang</t>
  </si>
  <si>
    <t>800.05/593/DISKAN/IX/2019</t>
  </si>
  <si>
    <t>Belanja Modal Pengadaan Pagar BBI</t>
  </si>
  <si>
    <t>JL. A. YANI KUALA PEMBUANG ( BAPPEDA KAB. SERUYAN )</t>
  </si>
  <si>
    <t>050.13/102.a/Bapp-Um/2012</t>
  </si>
  <si>
    <t>Belanja Modal Bangunan Parkir Bappeda Kab. Seruyan</t>
  </si>
  <si>
    <t>BADAN PERENCANAAN PEMBANGUNAN DAERAH PENELITIAN DAN PENGEMBANGAN</t>
  </si>
  <si>
    <t>1875</t>
  </si>
  <si>
    <t>641.6/02/CK.PU/2009</t>
  </si>
  <si>
    <t>Bangunan Gedung Bappeda Kab. Seruyan ( melalui DPA Dinas PU Kab. Seruyan )</t>
  </si>
  <si>
    <t>800/816/BAPPEDALITBANG/XI/2025</t>
  </si>
  <si>
    <t>Papan Nama Kantor Bapperida Kabupaten Seruyan</t>
  </si>
  <si>
    <t>JL.A.Yani Kuala Pembuang</t>
  </si>
  <si>
    <t>164/PPKom-Bapp/VII/2019</t>
  </si>
  <si>
    <t>Belanja Modal Pembangunan Gudang Genset Tahun Anggaran 2019</t>
  </si>
  <si>
    <t xml:space="preserve"> 087/PPK-BAPP/VIII/2020</t>
  </si>
  <si>
    <t>Belanja Modal Perencanaan Pembangunan Gudang Arsip Bappeda Tahun Anggaran 2020.</t>
  </si>
  <si>
    <t>64</t>
  </si>
  <si>
    <t>050.13/118/Bapp-Um/2012</t>
  </si>
  <si>
    <t>Belanja Modal Bangunan Musholla Bappeda Kab. Seruyan</t>
  </si>
  <si>
    <t>75</t>
  </si>
  <si>
    <t>000.3.2/1578/SEKRE/BAPPEDALITBANG/IX/2024</t>
  </si>
  <si>
    <t>Belanja Modal Bangunan Parkir fisik Rp.81.189.000/Perencanaan Rp.5.577.750/Pengawasan Rp.3.940.000 Tahun Anggaran 2024</t>
  </si>
  <si>
    <t>Taman Semi Permanen</t>
  </si>
  <si>
    <t>03.01.01.36.002</t>
  </si>
  <si>
    <t>JL. A. YANI .KUALA PEMBUANG ( BAPPEDA KAB. SERUYAN )</t>
  </si>
  <si>
    <t>050.13.1/140/Bapp-Um/2014</t>
  </si>
  <si>
    <t>Pembuatan Taman Kantor Bappeda Kabupaten Seruyan</t>
  </si>
  <si>
    <t>1000</t>
  </si>
  <si>
    <t>Jl. Akhmad Yani Kuala Pembuang</t>
  </si>
  <si>
    <t>050.13.1/76/Bapp-Um/2014</t>
  </si>
  <si>
    <t>Pembuatan Halaman Kantor Bappeda Kab Seruyan</t>
  </si>
  <si>
    <t>Kantor Bappeda Jl. A. Yani Kuala Pembuang</t>
  </si>
  <si>
    <t xml:space="preserve"> 050.13.I/206/Bapp-Um/X/2017</t>
  </si>
  <si>
    <t>Belanja Modal Pembangunan Pagar Halaman Kantor Bappeda( Fisik)</t>
  </si>
  <si>
    <t>684</t>
  </si>
  <si>
    <t>Kantor DPKAD Kab. Seruyan Jalan Akhmad Yani Kuala Pembuang</t>
  </si>
  <si>
    <t>641.6/89/CK.PU/2009</t>
  </si>
  <si>
    <t>Gedung Kantor DPKAD Kabupaten Seruyan</t>
  </si>
  <si>
    <t>665</t>
  </si>
  <si>
    <t>112/DPKAD/XI/2012</t>
  </si>
  <si>
    <t>Taman Kantor (Pembangunan = Rp. 197.583.200, Perencanaan = Rp. 13.700.000, Pengawasan = Rp. 7.800.000)</t>
  </si>
  <si>
    <t>111/DPKAD/X/2011</t>
  </si>
  <si>
    <t>Selokan/Got</t>
  </si>
  <si>
    <t>102</t>
  </si>
  <si>
    <t>09/PL-DPKAD/IX/2011</t>
  </si>
  <si>
    <t>Parkir Gedung Kantor (Pembayaran = Rp. 132.896.100, Perencanaan = Rp. 9.450.000, Pengawasan = Rp. 4.480.000)</t>
  </si>
  <si>
    <t>194</t>
  </si>
  <si>
    <t>96/DPKAD/XI/2010</t>
  </si>
  <si>
    <t>Tempat Parkir Belakang</t>
  </si>
  <si>
    <t>912</t>
  </si>
  <si>
    <t>11/DPKAD/VI/2010</t>
  </si>
  <si>
    <t>Paving Halaman Kantor</t>
  </si>
  <si>
    <t>23/DPKAD/VIII/2010</t>
  </si>
  <si>
    <t>Taman Kantor</t>
  </si>
  <si>
    <t>97</t>
  </si>
  <si>
    <t>7/DPKAD/VI/2010</t>
  </si>
  <si>
    <t>Rumah Jaga dan Genset</t>
  </si>
  <si>
    <t>128</t>
  </si>
  <si>
    <t>Siring dan Urugan</t>
  </si>
  <si>
    <t>1054</t>
  </si>
  <si>
    <t>16/PL-SPK-DPKAD/IX/2011</t>
  </si>
  <si>
    <t>Aula &amp; Gudang Arsip = Rp. 1.767.244.000, Lanjutan = Rp. 1.337.814.000</t>
  </si>
  <si>
    <t>65/DPKAD/VII/2011</t>
  </si>
  <si>
    <t>Ruang Dapur Rumah Jaga &amp; Genset Rp. 44.168.168, Perencanaan = Rp. 3.100.000, Pengawasan = Rp. 1.800.000)</t>
  </si>
  <si>
    <t>Jl. Ahmad yani Kuala pembuang II</t>
  </si>
  <si>
    <t>900/10/bpkad/X/2022</t>
  </si>
  <si>
    <t>kantin</t>
  </si>
  <si>
    <t>JL. A. YANI NO. 2 KUALA PEMBUANG</t>
  </si>
  <si>
    <t>900/855/DPKAD/X/2013</t>
  </si>
  <si>
    <t>GEDUNG ARSIP (Perencanaan Rp. 89.250.000, Pengawasan Tahap I Rp. 12.532.000, Pembangunan Tahap I Rp. 279.180.000)</t>
  </si>
  <si>
    <t>Jl. A. yani No.1 Kuala Pembuang</t>
  </si>
  <si>
    <t>35/DPKAD.2/IX/2016</t>
  </si>
  <si>
    <t>Bangunan Gudang Peralatan dan Mesin</t>
  </si>
  <si>
    <t>JL. A. Yani No. 1 Kuala Pembuang</t>
  </si>
  <si>
    <t>18/DPKAD/VII/2013</t>
  </si>
  <si>
    <t>Pos Jaga Kantor (Pembangunan = Rp. 123.000.000, Perencanaan = Rp. 8.600.000)</t>
  </si>
  <si>
    <t>jl. a. yani Kuala Pembuang</t>
  </si>
  <si>
    <t>74/BPKAD/VII/2019</t>
  </si>
  <si>
    <t>Belanja Modal Pengadaan Pos jaga</t>
  </si>
  <si>
    <t>13/PL-SPK-DPKAD/IX/2011</t>
  </si>
  <si>
    <t>Garasi Mobil (Pembayaran  Rp. 196.982.269, Perencanaan = Rp. 15.321.000, Pengawasan = Rp. 9.000.000)</t>
  </si>
  <si>
    <t>jl. a.yani Kuala Pembuang</t>
  </si>
  <si>
    <t>33/BPKAD/IV/2019</t>
  </si>
  <si>
    <t>Belanja Modal pembangunan tempat Parkir</t>
  </si>
  <si>
    <t>83/DPKAD/XI/2015</t>
  </si>
  <si>
    <t>Pembangunan Garasi</t>
  </si>
  <si>
    <t>Bangunan Parkir Tertutup Permanen</t>
  </si>
  <si>
    <t>03.01.01.33.004</t>
  </si>
  <si>
    <t>70/PPK-BKAD/XI/2024</t>
  </si>
  <si>
    <t>Pembangunan Area Parkir Kantor</t>
  </si>
  <si>
    <t>171</t>
  </si>
  <si>
    <t>12/DPKAD/X/2016</t>
  </si>
  <si>
    <t>Rumah Dinas Esselon II</t>
  </si>
  <si>
    <t>Rehab Rumah Dinas esselon II</t>
  </si>
  <si>
    <t>168</t>
  </si>
  <si>
    <t>40/DPKAD/XI/2013</t>
  </si>
  <si>
    <t>Pemeliharaan Rumah Instansi Golongan II No. 12 (Pemeliharaan = Rp. 136.000.000, Perencanaan = Rp. 9.590.000, Pengawasan = Rp. 5.480.000)</t>
  </si>
  <si>
    <t>Kantor DPKAD Kab. Seruyan Jalan A. Yani 
Kuala Pembuang</t>
  </si>
  <si>
    <t>107/DPKAD/X/2010</t>
  </si>
  <si>
    <t>Kerangka Baleho</t>
  </si>
  <si>
    <t>Bangunan Menara Telekomunikasi Lain-lain (dst)</t>
  </si>
  <si>
    <t>03.03.01.03.006</t>
  </si>
  <si>
    <t>07/PL-SPK-DPKAD/IX/2011</t>
  </si>
  <si>
    <t>Tower Air Kantor (Pembayaran = Rp. 186.846.000, Perencanaan = Rp. 12.870.000, Pengawasan = Rp. 7.600.000</t>
  </si>
  <si>
    <t>Jl. Pemuda Kuala Pembuang II</t>
  </si>
  <si>
    <t>05/BPKAD/IV/2018</t>
  </si>
  <si>
    <t>Bangunan Pagar Rumah Dinas Pejabat eselon II</t>
  </si>
  <si>
    <t>Rehabilitasi Pagar Gedung dharma wanita</t>
  </si>
  <si>
    <t>Pembangunan Pagar Rumah Dinas eselon II</t>
  </si>
  <si>
    <t>81/PPK-BKAD/XI/2024</t>
  </si>
  <si>
    <t>Bangunan Pagar/gapura di depan jalan masuk perben</t>
  </si>
  <si>
    <t>Pembuang Hulu (Hanau)</t>
  </si>
  <si>
    <t>Bangunan Pos Cukai (Tahun Dirubah dari 1980 jadi 2008)</t>
  </si>
  <si>
    <t>Sei teluluk</t>
  </si>
  <si>
    <t>Bangunan Kantor RPh Sei teluluk (Tahun Dirubah dari 1980 jadi 2008)</t>
  </si>
  <si>
    <t>jln.ais nasution</t>
  </si>
  <si>
    <t>bangunan kantor RPH sei sigintung</t>
  </si>
  <si>
    <t>Jl. PH BOBA RT. 006/ RW. Desa Sembuluh I Kecamatan Danau Sembuluh</t>
  </si>
  <si>
    <t>188.45/379/2019</t>
  </si>
  <si>
    <t>Penetapan Nilai dan Pencatatan Gedung dan Bangunan Gedung Serbaguna Desa Sembuluh I Kecamatan Danau Sembuluh</t>
  </si>
  <si>
    <t>320</t>
  </si>
  <si>
    <t>jln. abdul rasyid pembuang hulu</t>
  </si>
  <si>
    <t>Bangunan kantor SDK/BKPH Seruyan Tengah (Tahun dirubah dari 1980 ke 2008)</t>
  </si>
  <si>
    <t>Pematang Limau</t>
  </si>
  <si>
    <t>Bangunan pos cukai (Tahun Dirubah dari 1980 jadi 2008)</t>
  </si>
  <si>
    <t>Bangunan gudang kelapa dalam</t>
  </si>
  <si>
    <t>bagunan pndok kerja</t>
  </si>
  <si>
    <t>Jl. Bakrie Entong Desa Pembuang Hulu I Kec. Hanau</t>
  </si>
  <si>
    <t>100.3.3.2/ 524 /2023..</t>
  </si>
  <si>
    <t>S.K.TENTANG PENETAPAN NILAI DAN PENCATATAN TANAH DAN GEDUNG DAN BANGUNAN PADA BARANG PENGELOLA KABUPATEN SERUYANPos Damkar Hanau (Kantor)Jl. Bakrie Entong Desa Pembuang Hulu I Kec. Hanau</t>
  </si>
  <si>
    <t>PEMBUATAN KNOPI GARASI (GERAGE) RUMAH JABATAN</t>
  </si>
  <si>
    <t>Bangunan Rujab Inspektur</t>
  </si>
  <si>
    <t>Jl Pemuda</t>
  </si>
  <si>
    <t>Rumah Dinas Kadiskoperindag</t>
  </si>
  <si>
    <t>Jl. Pemuda Komplek Perumahan Dinas Kp. II</t>
  </si>
  <si>
    <t>Rumah Jabatan Kabag.</t>
  </si>
  <si>
    <t>Jl. Pemuda Komplek Perumahan Dinas Kuala Pembuang II</t>
  </si>
  <si>
    <t>Rumah Jabatan Kabag. Tahun Menurut Appreassal</t>
  </si>
  <si>
    <t>Rumah Jabatan Kabag. Tahun Menurut Appraessal</t>
  </si>
  <si>
    <t>S.K. TENTANG PENETAPAN NILAI DAN PENCATATAN TANAH DAN GEDUNG DAN BANGUNAN PADA BARANG PENGELOLA KABUPATEN SERUYANRumah Dinas Damkar I (Perumahan)Jl. Bakrie Entong Desa Pembuang Hulu I Kec. Hanau</t>
  </si>
  <si>
    <t>S.K. TENTANG PENETAPAN NILAI DAN PENCATATAN TANAH DAN GEDUNG DAN BANGUNAN PADA BARANG PENGELOLA KABUPATEN SERUYAN Rumah Dinas Damkar II (Perumahan) Jl. Bakrie Entong Desa Pembuang Hulu I Kec. Hanau</t>
  </si>
  <si>
    <t>JL.PEMUDA KUALA PEMBUANG</t>
  </si>
  <si>
    <t>050.13/311/Bapp-um/2008</t>
  </si>
  <si>
    <t>Data Dokumen belum diserahkan oleh dinas PU</t>
  </si>
  <si>
    <t>Jln. Pemuda No.  13 Kuala Pembuang</t>
  </si>
  <si>
    <t>Bangunan Rujab Kepala Dishubkominfo Kab. Seruyan</t>
  </si>
  <si>
    <t>641.6/401/CK.PU/2004</t>
  </si>
  <si>
    <t>Bangunan Rujab Kepala Dinas Pendapatan Daerah</t>
  </si>
  <si>
    <t>Rumah Negara Golongan III Tipe C Semi Permanen</t>
  </si>
  <si>
    <t>03.01.02.03.008</t>
  </si>
  <si>
    <t>Sembuluh</t>
  </si>
  <si>
    <t>Bangunan Rumah dinas KRPH sei sembuluh (tahun dirubah dari 1980 ke 2008)</t>
  </si>
  <si>
    <t>Sei Teluluk</t>
  </si>
  <si>
    <t>Bangunan Rumah KRPH sei teluluk</t>
  </si>
  <si>
    <t>Bangunan kantor Rumah dinas</t>
  </si>
  <si>
    <t>Pematang Limau Kec. seruyan hilir</t>
  </si>
  <si>
    <t>Bangunan rumah Dinas (Tahun Dirubah dari 1980 jadi 2008)</t>
  </si>
  <si>
    <t>JL. PEMUDA Kuala Pembuang</t>
  </si>
  <si>
    <t>114/IDKUMKM-SEK.I/K/X/2012</t>
  </si>
  <si>
    <t>Pembuatan Knopi Grasi Rumah Dinas</t>
  </si>
  <si>
    <t>780/93/INSP/V/2009</t>
  </si>
  <si>
    <t>Jl. Ir. Soekarno Kuala Pembuang</t>
  </si>
  <si>
    <t>360/635.d/BPBD/XI/2017</t>
  </si>
  <si>
    <t>PAPAN NAMA BADAN</t>
  </si>
  <si>
    <t>86</t>
  </si>
  <si>
    <t>Jln. Pematang Buluh, Kuala Pembuang 2</t>
  </si>
  <si>
    <t>027/367/Kesbang/2009</t>
  </si>
  <si>
    <t>Pembuatan Pagar LVRI
Lebar : 9,30 m
Panjang : 9,30 m</t>
  </si>
  <si>
    <t>Bangunan Gudang Kantor BPBD</t>
  </si>
  <si>
    <t>Desa Telaga Pulang Kabupaten Seruyan</t>
  </si>
  <si>
    <t>37.03/PPK-BPBD/VIII/2021</t>
  </si>
  <si>
    <t>Pos Jaga Karhutla Desa Telaga Pulang Kabupaten Seruyan</t>
  </si>
  <si>
    <t>34.03/PPK-BPBD/VII/2021</t>
  </si>
  <si>
    <t>Pos Jaga Karhutla Kecamatan Seruyan Raya</t>
  </si>
  <si>
    <t>76.5</t>
  </si>
  <si>
    <t>Kec. Batu Ampar</t>
  </si>
  <si>
    <t>40.03/PPK-BPBD/IX/2022</t>
  </si>
  <si>
    <t>Pos Jaga Karhutla Kec. Batu Ampar Rp. 299.650.000, Perencanaan Rp. 20.729.250, Pengawasan Rp. 11.777.100</t>
  </si>
  <si>
    <t>Kec. Danau Seluluk</t>
  </si>
  <si>
    <t>39.03/PPK-BPBD/IX/2022</t>
  </si>
  <si>
    <t>Pos Jaga Karhutla Kec. Danau Seluluk Rp. 299.139.000, Perencanaan Rp. 20.618.250, Pengawasan Rp. 11.877.000</t>
  </si>
  <si>
    <t>61.03/PPK-BPBD/IX/2022</t>
  </si>
  <si>
    <t>Pos Jaga Karhutla Kec. Hanau Rp. 299.500.000, Perencanaan Rp. 20.673.750, Pengawasan Rp. 11.877.000</t>
  </si>
  <si>
    <t>38.03/PPK-BPBD/IX/2022</t>
  </si>
  <si>
    <t>Pos Jaga Karhutla Kec. Seruyan Tengah Rp. 299.139.000, Perencanaan Rp. 20.704.275, Pengawasan Rp. 11.832.600</t>
  </si>
  <si>
    <t>Kec. Suling Tambun</t>
  </si>
  <si>
    <t>43.03/PPK-BPBD/IX/2022</t>
  </si>
  <si>
    <t>Pos Jaga Karhutla Kec. Suling Tambun Rp. 299.525.000, Perencanaan Rp. 20.704.275, Pengawasan Rp. 11.832.600</t>
  </si>
  <si>
    <t>Desa Tanggul Harapan</t>
  </si>
  <si>
    <t>68.03/PPK-BPBD/X/2022</t>
  </si>
  <si>
    <t>Pos Jaga Karhutla Desa Tanggul Harapan Rp. 298.500.000, Perencanaan Rp. 20.729.250, Pengawasan Rp. 11.877.000</t>
  </si>
  <si>
    <t>67</t>
  </si>
  <si>
    <t>Kec. Seruyan Hulu</t>
  </si>
  <si>
    <t>42.03/PPK-BPBD/IX/2022</t>
  </si>
  <si>
    <t>Pembangunan Pos Jaga Karhutla Kecamatan Seruyan Hulu Rp. 299.650.000,- Perencanaan Rp.20.704.275,- Pengawasan Rp.11.899.200,-</t>
  </si>
  <si>
    <t>17.03/PPK-BPBD/VII/2023</t>
  </si>
  <si>
    <t>Pembangunan Pos Jaga Karhutla Desa Ayawan</t>
  </si>
  <si>
    <t>18.03/PPK-BPBD/VII/2023</t>
  </si>
  <si>
    <t>Bangunan Pos Jaga Karhutla Desa Derangga</t>
  </si>
  <si>
    <t>Desa Cempaka Baru</t>
  </si>
  <si>
    <t>45.03/PPK-BPBD/IX/2022</t>
  </si>
  <si>
    <t>Pos Jaga Karhutla Desa Cempaka Baru Rp. 299.620.000, Perencanaan Rp. 20.673.750, Pengawasan Rp. 11.782.650</t>
  </si>
  <si>
    <t>Desa Tanjung Rangas</t>
  </si>
  <si>
    <t>44.03/PPK-BPBD/IX/2022</t>
  </si>
  <si>
    <t>Pos Jaga Karhutla Desa Tanjung Rangas Rp. 299.042.000, Perencanaan Rp. 20.729.250, Pengawasan Rp. 11.877.000</t>
  </si>
  <si>
    <t>Belanja Modal Pembuatan Pos Jaga Desa Sungai Perlu</t>
  </si>
  <si>
    <t>31.03/PPK-BPBD/VIII/2020</t>
  </si>
  <si>
    <t>DEsa Sungai Bakau</t>
  </si>
  <si>
    <t>30.03/PPK-BPBD/VIII/2020</t>
  </si>
  <si>
    <t>Pembuatan Pos Jaga Karhutla DEsa sungai Bakau</t>
  </si>
  <si>
    <t>Desa Sunagi Perlu</t>
  </si>
  <si>
    <t>33.03/PPK-BPBD/VIII/2020</t>
  </si>
  <si>
    <t>Belanja MOdal Pembuatan Pos Pantau DEsa Sungai Perlu</t>
  </si>
  <si>
    <t>Desa Sunagai Bakau</t>
  </si>
  <si>
    <t>32.03/PPK-BPBD/VIII/2020</t>
  </si>
  <si>
    <t>Belanja Modal Pengadaan Pembuatan Pos Pantau desa Sungai Bakau</t>
  </si>
  <si>
    <t>26.04/PPK-BPBD/VII/2024</t>
  </si>
  <si>
    <t>Tempat parkir</t>
  </si>
  <si>
    <t>Jalan Trans Kuala Pembuang - Sampit Desa Sungai Bakau</t>
  </si>
  <si>
    <t>31.03/PPK-BPBD/VIII/2021</t>
  </si>
  <si>
    <t>Halaman Pos Jaga dan Menara Pantau Desa Sungai Bakau</t>
  </si>
  <si>
    <t>Desa Sungai Perlu Kabupaten Seruyan</t>
  </si>
  <si>
    <t>30.03/PPK-BPBD/VIII/2021</t>
  </si>
  <si>
    <t>Halaman Pos Jaga dan Menara Pantau Desa Sungai Perlu</t>
  </si>
  <si>
    <t>Kec. Seruyan Raya</t>
  </si>
  <si>
    <t>34.03/PPK-BPBD/VIII/2022</t>
  </si>
  <si>
    <t>Halaman Pos Jaga dan Menara Pantau Karhutla Kec. Seruyan Raya Rp. 199.317.500, Perencanaan Rp. 13.928.578, Pengawasan Rp. 7.921.532</t>
  </si>
  <si>
    <t>32.03/PPK-BPBD/VIII/2022</t>
  </si>
  <si>
    <t>Taman Pos Jaga dan Menara Pantau Karhutla Desa Telaga Pulang Rp. 199.333.500, Perencanaan Rp. 13.940.044, Pengawasan Rp. 7.921.741</t>
  </si>
  <si>
    <t>Jl. IR. Soekarno Kuala Pembuang</t>
  </si>
  <si>
    <t>38.03/PPK-BPBD/X/2019</t>
  </si>
  <si>
    <t>Tiang / Rangka Baleho Permanen Kantor BPBD</t>
  </si>
  <si>
    <t>Bangunan Menara Pengawas Permanen</t>
  </si>
  <si>
    <t>03.03.01.04.001</t>
  </si>
  <si>
    <t>36.03/PPK-BPBD/VII/2021</t>
  </si>
  <si>
    <t>Menara Pantau Karhutla Desa Telaga Pulang</t>
  </si>
  <si>
    <t>33.03/PPK-BPBD/VIII/2021</t>
  </si>
  <si>
    <t>Menara Pantau Karhutla Kecamatan Seruyan Raya</t>
  </si>
  <si>
    <t>19.03/PPK-BPBD/VII/2023</t>
  </si>
  <si>
    <t>Bangunan Menara Pantau Karhutla Desa Pematang Limau ( Tanggul Harapan )</t>
  </si>
  <si>
    <t>20.03/PPK-BPBD/VII/2023</t>
  </si>
  <si>
    <t>Bangunan  Menara Pantau Karhutla Kecamatan Hanau</t>
  </si>
  <si>
    <t>Jl. Trans Kabupaten Seruyan Kuala Pembuang - Sampit Kotim</t>
  </si>
  <si>
    <t>29.03/PPK-BPBD/VIII/2021</t>
  </si>
  <si>
    <t>Pagar Pos Jaga dan Menara Pantau Desa Sungai Bakau</t>
  </si>
  <si>
    <t>Desa Sungai Perlu Kec. Seruyan Hilir Kab. Seruyan</t>
  </si>
  <si>
    <t>28.03/PPK-BPBD/VIII/2021</t>
  </si>
  <si>
    <t>Pagar Pos Jaga dan Menara Pantau Desa Sungai Perlu</t>
  </si>
  <si>
    <t>33.03/PPK-BPBD/VIII/2022</t>
  </si>
  <si>
    <t>Pagar Pos Jaga Karhutla Kec. Seruyan Raya Rp. 199.372.500, Perencanaan Rp. 13.932.422, Pengawasan Rp. 7.923.718</t>
  </si>
  <si>
    <t>31.03/PPK-BPBD/VIII/2022</t>
  </si>
  <si>
    <t>Pagar Pos Jaga dan Menara Pantau Karhutla Desa Telaga Pulang Rp. 199.378.000, Perencanaan Rp. 13.943.156, Pengawasan Rp. 7.923.509</t>
  </si>
  <si>
    <t>17.04/PPK-BPBD/VIII/2024</t>
  </si>
  <si>
    <t>Pembangunan Pagar Pos Jaga Karhutla Desa Pematang Limau (Tanggul Harapan)</t>
  </si>
  <si>
    <t>18.04/PPK-BPBD/VIII/2024</t>
  </si>
  <si>
    <t>Pembangunan Pagar Pos Jaga Karhutla Kecamatan Hanau</t>
  </si>
  <si>
    <t>20.04/PPK-BPBD/VIII/2024</t>
  </si>
  <si>
    <t>Pembangunan Pagar Pos Jaga Karhutla Kecamatan Suling Tambun</t>
  </si>
  <si>
    <t>19.04/PPK-BPBD/IX/2024</t>
  </si>
  <si>
    <t>Pembangunan Pagar Pos Jaga Karhutla Desa Tanjung Rangas</t>
  </si>
  <si>
    <t>141</t>
  </si>
  <si>
    <t>Jl. Mt Haryono Kual Pembuang I</t>
  </si>
  <si>
    <t>Bangunan Pemadam Kebakaran</t>
  </si>
  <si>
    <t>496</t>
  </si>
  <si>
    <t>Kec. Suling Tambun	
S:01;'59.955 E:111;29.648</t>
  </si>
  <si>
    <t>640/029/KONTRAK-CK-GK/DPUPR/VI</t>
  </si>
  <si>
    <t>Pengalihan Status Penggunaan Barang Milik Daerah DPUPR ke Kec. Suling Tambun</t>
  </si>
  <si>
    <t>495</t>
  </si>
  <si>
    <t>Jl. Batu Lampang Ds. Tb. Langkai Kec. Suling Tambun</t>
  </si>
  <si>
    <t>Kantor  Camat Suling Tambun</t>
  </si>
  <si>
    <t>408</t>
  </si>
  <si>
    <t>46/ADPUM-SETDA/VI/2009</t>
  </si>
  <si>
    <t>Rumah Dinas Camat Suling Tambun</t>
  </si>
  <si>
    <t>Kec. Suling Tambun, Kab. Seruyan</t>
  </si>
  <si>
    <t>641.6/KONTRAK-CK/IX/2015</t>
  </si>
  <si>
    <t>Pembangunan Mess Kecamatan Suling Tambun</t>
  </si>
  <si>
    <t>Jl. Batu Lampang No. 1 Tumbang Langkai Kec. Suling Tambun</t>
  </si>
  <si>
    <t>027/169/SPBJ-ST/XI/2018</t>
  </si>
  <si>
    <t>Papan Baleho</t>
  </si>
  <si>
    <t>Jl. Batu Lampang</t>
  </si>
  <si>
    <t>094/88/ST/X/2019</t>
  </si>
  <si>
    <t>Tower Jaringan Internet</t>
  </si>
  <si>
    <t>640/22/KONTRAK-PBG-CK/DPUPR/VIII/2023</t>
  </si>
  <si>
    <t>Pembangunan Papan Nama Kantor Kecamatan Seruyan Hilir Timur</t>
  </si>
  <si>
    <t>660</t>
  </si>
  <si>
    <t>Kab. Seruyan</t>
  </si>
  <si>
    <t>Bangunan Gedung BPG Kabupaten Seruyan</t>
  </si>
  <si>
    <t>640 / 49 / KONTRAK-PBG-CK /DPUPR/ X / 2023</t>
  </si>
  <si>
    <t>Aula Kantor Kecamatan Seruyan Hilir Timur</t>
  </si>
  <si>
    <t>16.47</t>
  </si>
  <si>
    <t>Kec. Seruyan Hilir Timur -Kab.Seruyan</t>
  </si>
  <si>
    <t>640/017/KONTRAK-CK-GK/DPUPR/IX/2022</t>
  </si>
  <si>
    <t>Penataan Halaman Kantor Kecamatan Seruyan Hilir Timur</t>
  </si>
  <si>
    <t>22500</t>
  </si>
  <si>
    <t>Kec. Danau Seluluk - Kab. Seruyan
X : 0636793  Y : 09736090</t>
  </si>
  <si>
    <t>641.6/047/KONTRAK-CK/VII/2016</t>
  </si>
  <si>
    <t>Pengalihan Status Penggunaan Barang Milik Daerah ke Kec. Danau Seluluk</t>
  </si>
  <si>
    <t>Kec.  Danau Seluluk</t>
  </si>
  <si>
    <t>Kantor  Camat Danau Seluluk</t>
  </si>
  <si>
    <t>345</t>
  </si>
  <si>
    <t>645.8/83/SPMK-CK-XI/2013</t>
  </si>
  <si>
    <t>Pembangunan Tribun Utama MTQ Kec. Danau Seluluk</t>
  </si>
  <si>
    <t>138</t>
  </si>
  <si>
    <t>Jl. sampit_ Pankalanbun Kec. D. Seluluk</t>
  </si>
  <si>
    <t>09/ADPUM-SETDA/VI/2009</t>
  </si>
  <si>
    <t>Rumah Dinas Camat D. Seluluk</t>
  </si>
  <si>
    <t>99</t>
  </si>
  <si>
    <t>641.6/44/KONTRAK-CK/VII/2012</t>
  </si>
  <si>
    <t>Rumah Dinas Staff Kecamatan Danau Seluluk</t>
  </si>
  <si>
    <t>Kec. Danau Seluluk - Kab. Seruyan
( S 02 20.462 / E 112 19.346 )</t>
  </si>
  <si>
    <t>641.2/412/KONTRAK-CK/XI/2015</t>
  </si>
  <si>
    <t>Pembangunan Mess Pegawai Kec. Danau Seluluk</t>
  </si>
  <si>
    <t>Jl. Jenderal Sudirman KM.119 ASAM BARU</t>
  </si>
  <si>
    <t>0007/SPB/D.SEL/III/2018</t>
  </si>
  <si>
    <t>KERANGKA BALEHO</t>
  </si>
  <si>
    <t>Danau Seluluk
S 02'387.340 E 112'231.121'</t>
  </si>
  <si>
    <t>641.6/031/KONTRAK-CK/X/2017</t>
  </si>
  <si>
    <t>268</t>
  </si>
  <si>
    <t>529</t>
  </si>
  <si>
    <t>Kec. Seruyan Raya Kab. Seruyan 
S: 02'23.235 E: 112.13.817</t>
  </si>
  <si>
    <t>640/014/KONTRAK-CK-GK/DPUPR/VI</t>
  </si>
  <si>
    <t>Pengalihan Status Penggunaan Barang Milik Daerah DPUPR ke Kec. Seruyan Raya</t>
  </si>
  <si>
    <t>641.6/226/SPMK-CK/XI/2012</t>
  </si>
  <si>
    <t>Rumah Jabatan Camat Seruyan Raya</t>
  </si>
  <si>
    <t>Jl. Sampit - Pangkalanbun, Kec. Seruyan Raya</t>
  </si>
  <si>
    <t>13/ADPUM-SETDA/VI/2009</t>
  </si>
  <si>
    <t>Rumah Dinas Camat Seruyan Raya</t>
  </si>
  <si>
    <t>Jl. Jenderal Sudirman KM 69 Kantor Camat Seruyan Raya</t>
  </si>
  <si>
    <t>85/SPB-KSR/III/2018</t>
  </si>
  <si>
    <t>406</t>
  </si>
  <si>
    <t>Ke. Batu Ampar</t>
  </si>
  <si>
    <t>Kantor  Camat Batu Ampar</t>
  </si>
  <si>
    <t>5</t>
  </si>
  <si>
    <t>Jl. Ahmad Yani No.1 Sandul Kecamatan Batu Ampar</t>
  </si>
  <si>
    <t>641.6/34/KASUBBAG PERENCANAAN/</t>
  </si>
  <si>
    <t>Papan Nama Kantor/Plang Kecamatan</t>
  </si>
  <si>
    <t>42/ADPUM-SETDA/VI/2009</t>
  </si>
  <si>
    <t>Rumah Jabatan Camat Batu Ampar</t>
  </si>
  <si>
    <t>Jl. Manjul Raya 74291</t>
  </si>
  <si>
    <t>641.6/23/CK.PU/2009</t>
  </si>
  <si>
    <t>Kantor LPTQ</t>
  </si>
  <si>
    <t>Kec. Seruyan Hulu	_x000D_
S:0118084 E:11154248</t>
  </si>
  <si>
    <t>640/027/KONTRAK-CK-GK/DPUPR/VI</t>
  </si>
  <si>
    <t>Pengalihan Status Penggunaan Barang Milik Daerah DPUPR ke Kec. Seruyan Hulu</t>
  </si>
  <si>
    <t>295</t>
  </si>
  <si>
    <t>Ds. Tumbang Manjul Kecamatan Seruyan Hulu</t>
  </si>
  <si>
    <t>Gues House Tumbang Manjul</t>
  </si>
  <si>
    <t>274</t>
  </si>
  <si>
    <t>JL. Manjul Raya 74291</t>
  </si>
  <si>
    <t>12730/SP2D/LS/1.03.01/12/2017.</t>
  </si>
  <si>
    <t>Komlek perkantoran kecamatan seruyan hulu</t>
  </si>
  <si>
    <t>Rumah Negara Golongan III Tipe C Permanen</t>
  </si>
  <si>
    <t>03.01.02.03.007</t>
  </si>
  <si>
    <t>252</t>
  </si>
  <si>
    <t>Kec. Seruyan Hulu Kab. Seruyan 	_x000D_
S 1181279983 E 11553307035</t>
  </si>
  <si>
    <t>640/050/KONTRAK-CK-GRG/DPUPR/X</t>
  </si>
  <si>
    <t>Kabupaten Seruyan 	_x000D_
S-118857686 E-111553432533</t>
  </si>
  <si>
    <t>640/053/KONTRAK-CK-GK/DPUPR/XI</t>
  </si>
  <si>
    <t>Seruyan Hulu</t>
  </si>
  <si>
    <t>645.8/617/X/CK. 2010</t>
  </si>
  <si>
    <t>Mess Kecamatan Seruyan Hulu</t>
  </si>
  <si>
    <t>78</t>
  </si>
  <si>
    <t>Kecamatan Seruyan Hulu
S -3'344'669' E 112'585.095'</t>
  </si>
  <si>
    <t>641.6/032/KONTRAK-CK/X/2017</t>
  </si>
  <si>
    <t>027/520/PPK-DISDIKPORA/VI/2015</t>
  </si>
  <si>
    <t>Pembangunan Gedung Kantor UPTD Dikpora Kec. Seruyan Hilir Timur</t>
  </si>
  <si>
    <t>908</t>
  </si>
  <si>
    <t>027/156/PPK-DISDIK/SKT/VIII/20</t>
  </si>
  <si>
    <t>Pemasangan Paving UPTD Pendidikan Kecamatan Seruyan Hilir Timur</t>
  </si>
  <si>
    <t>195</t>
  </si>
  <si>
    <t>425.11/029/DAK-SD-DISDIK.I/V/2</t>
  </si>
  <si>
    <t>Pembangunan WC SD Negeri 1 Kartika Bhakti (Silpa DAK Tahun 2017)</t>
  </si>
  <si>
    <t>61</t>
  </si>
  <si>
    <t>Desa Kartika Bhakti, Kecamatan Seruyan Hilir Timur</t>
  </si>
  <si>
    <t>027/264/D/PPK-DISDIKPORA/IX/20</t>
  </si>
  <si>
    <t>Pembangunan Perpustakaan  SDN 1 Kartika Bhakti</t>
  </si>
  <si>
    <t>027/147/PPK-DISDIK/V/2017</t>
  </si>
  <si>
    <t>Halaman SDN 1 Kartika Bhakti</t>
  </si>
  <si>
    <t>027/290PPK-DISDIKPORA/V/2015</t>
  </si>
  <si>
    <t xml:space="preserve"> Siring Halaman SDN 2 Kartika Bhakti  Kec. Seruyan Hilir Timur</t>
  </si>
  <si>
    <t>027/119/PPK-DISDIK/DIKDAS/VI/2</t>
  </si>
  <si>
    <t>Pembangunan WC SDN 2 Kartika Bhakti</t>
  </si>
  <si>
    <t>40/421.2/PPK-DISDIK.DAS/XI/201</t>
  </si>
  <si>
    <t>Pemasangan Paving SDN 2 Kartika Bhakti</t>
  </si>
  <si>
    <t>615.91</t>
  </si>
  <si>
    <t>Putra Junjung Buih,Kartika Bhakti,Seruyan Hilir Timur</t>
  </si>
  <si>
    <t>027/3188/DISDIK/SD/XII/2023</t>
  </si>
  <si>
    <t>Pekerjaan Pemasangan Paving SDN 2 Kartika Bakti</t>
  </si>
  <si>
    <t>421.2/146/PPK-DISDIK/V/2017</t>
  </si>
  <si>
    <t>Pembangunan Pagar SDN 2 Kartika bhakti</t>
  </si>
  <si>
    <t>225</t>
  </si>
  <si>
    <t>Desa Bangun Harja, Kecamatan Seruyan Hilir Timur</t>
  </si>
  <si>
    <t>Desa Halimaung Jaya, Kecamatan Seruyan Hilir Timur</t>
  </si>
  <si>
    <t>10.8</t>
  </si>
  <si>
    <t>Jl. Thamrin,Halimaung Jaya,Seruyan Hilir Timur</t>
  </si>
  <si>
    <t>027/1674/DISDIK/SD/VIII/2023</t>
  </si>
  <si>
    <t>Pembangunan Toilet (Jamban) Beserta Sanitasinya SDN 1 Halimaung Jaya,</t>
  </si>
  <si>
    <t>027/372/D/PPK-DISDIKPORA/IX/20</t>
  </si>
  <si>
    <t>Pembangunan RDG SDN 1 Halimaung Jaya</t>
  </si>
  <si>
    <t>Desa Mekar Indah, Kecamatan Seruyan Hilir Timur</t>
  </si>
  <si>
    <t xml:space="preserve"> Desa Mekar Indah, Kecamatan Seruyan Hilir</t>
  </si>
  <si>
    <t>253/D/PPK-DISDIKPORA/X/2013</t>
  </si>
  <si>
    <t>331/PPK-DISDIKPORA/XI/2013</t>
  </si>
  <si>
    <t>Pembangunan Rumah Dinas Guru SDN - 1 Mekar Indah Kec. Seruyan Hilir Timur Kabupaten Seruyan</t>
  </si>
  <si>
    <t>172</t>
  </si>
  <si>
    <t>332/PPK-DISDIKPORA/X/2013</t>
  </si>
  <si>
    <t>Pembangunan Rumah Dinas Guru SDN - 2 Mekar Indah Kec. Seruyan Hilir Timur Kabupaten Seruyan</t>
  </si>
  <si>
    <t>Jln. Kramat Raya,Desa Pematang Panjang, Kec. Seruyan Hilir Timur</t>
  </si>
  <si>
    <t>425.11/176/DIKDAS-DISDIK.I V/2</t>
  </si>
  <si>
    <t>Pembangunan ruang guru 30203151 - SD NEGERI 1 PEMATANG PANJANG (DAK SD REGULER 2020)  1 Ruang</t>
  </si>
  <si>
    <t>Jln. Kramat Raya,Desa Pematang Panjang,Kec. Seruyan Hilir Timur</t>
  </si>
  <si>
    <t>027/169/PPK-DISDIK/DIKDAS/IX/2</t>
  </si>
  <si>
    <t>Pembangunan Toilet/WC SDN 2 Pematang Panjang</t>
  </si>
  <si>
    <t>Jln. Kramat Raya,_x000D_
Desa Pematang Panjang,_x000D_
Kec. Seruyan Hilir Timur</t>
  </si>
  <si>
    <t>425.11/025/DAK-SD-DISDIK.I/V/2</t>
  </si>
  <si>
    <t>Pembangunan Toilet SDN 2 Pematang Panjang (DAK SD 2019)</t>
  </si>
  <si>
    <t>4251/187/DIKDAS-DISDIK/V/2020</t>
  </si>
  <si>
    <t>'Pembangunan ruang UKS 30203151 - SD NEGERI 1 PEMATANG PANJANG (DAK SD REGULER 2020)  1 Ruang</t>
  </si>
  <si>
    <t>'425.11/127/DIKDAS-DISDIK.I/V/</t>
  </si>
  <si>
    <t>Ruang Perpustakaan 30203151 - SD NEGERI 1 PEMATANG PANJANG (DAK SD Reguler 2020)</t>
  </si>
  <si>
    <t>Desa Pematang Panjang, Kec. S.Hilir Timur</t>
  </si>
  <si>
    <t>'027/262/PPK-DISDIKPORA/IV/201</t>
  </si>
  <si>
    <t>Pekerjaan Pemasangan Paving SDN 2 Pematang Panjang</t>
  </si>
  <si>
    <t>Jl. Kramat Raya, Desa Pematang Panjang Kec. Seruyan Hilir Timur</t>
  </si>
  <si>
    <t>027/505/DISDIK/DIKDAS/VIII/2021</t>
  </si>
  <si>
    <t>Pembangunan Pagar _x000D_
SDN 1 PEMATANG PANJANG</t>
  </si>
  <si>
    <t>74</t>
  </si>
  <si>
    <t>027/271/PPK-DISDIKPORA/V/2015</t>
  </si>
  <si>
    <t>Pembangunan Pembangunan Pagar SDN 2 Pematang Panjang</t>
  </si>
  <si>
    <t>229</t>
  </si>
  <si>
    <t>234</t>
  </si>
  <si>
    <t>027/276/PPK-DISDIKPORA/V/2015</t>
  </si>
  <si>
    <t>Pembangunan WC SDN 3 Pematang Panjang</t>
  </si>
  <si>
    <t>Jl. PEMATANG UBAR,Pematang panjang,seruyan hilir timur</t>
  </si>
  <si>
    <t>027/979/DISDIK/SD/VII/2023</t>
  </si>
  <si>
    <t>"PEMBANGUNAN RUANG LABORATORIUM KOMPUTER
BESERTA PERABOTNYA SD NEGERI 2 PEMATANG 
PANJANG"</t>
  </si>
  <si>
    <t>050/1932.15.52/PL/DIKDAS/VII/2</t>
  </si>
  <si>
    <t>1 Paket Gedung Perpustakaan SDN 3 Pematang Panjang</t>
  </si>
  <si>
    <t>Desa Pematang Panjang Kec. Seruyan Hiir Timur</t>
  </si>
  <si>
    <t>027/293/PPK-DISDIKPORA/V/2015</t>
  </si>
  <si>
    <t>Halaman SDN 2 Pematang Panjang</t>
  </si>
  <si>
    <t>SDN 3 PEMATANG PANJANG</t>
  </si>
  <si>
    <t>'027/260/PPK-DISDIKPORA/IV/201</t>
  </si>
  <si>
    <t>Pembangunan WC dan Tempat Wudhu SDN 4 Desa 
Pematang Panjang</t>
  </si>
  <si>
    <t>Jl. Raya Pematang Panjang, Kec. Seruyan Hilir Timur</t>
  </si>
  <si>
    <t>027/522/K/PPK-DISDIKPORA/X/201</t>
  </si>
  <si>
    <t>Pemasangan Paving SDN 4 Pematang Panjang</t>
  </si>
  <si>
    <t>338/PPK-DISDIKPORA/X/2013</t>
  </si>
  <si>
    <t>Pembangunan Rumah Dinas Guru SDN - 4 Pematang Panjang Kec. Seruyan Hilir Timur Kabupaten Seruyan</t>
  </si>
  <si>
    <t>'027/065/PPK-DISDIKPORA/IV/201</t>
  </si>
  <si>
    <t>Pembangunan Pagar SDN 4 Pematang Panjang Kec. Seruyan Hilir Timur</t>
  </si>
  <si>
    <t>Desa Sungai Bakau, Kecamatan Seruyan Hilir Timur</t>
  </si>
  <si>
    <t>Desa Sungai Bakau - Kecamatan Seruyan Hilir Timur</t>
  </si>
  <si>
    <t>000.3.2/590/DISDIK/SD/IX/2025</t>
  </si>
  <si>
    <t>Pekerjaan Pembangunan Toilet SD Negeri 1 Sungai Bakau</t>
  </si>
  <si>
    <t>050/1932.15.59/PL/DIKDAS/VII/2</t>
  </si>
  <si>
    <t>1 Paket Gedung Perpustakaan SDN 1  Sei Bakau</t>
  </si>
  <si>
    <t>Jl. Raya Sungai Bakau Kec. Seruyan Hilir Timur</t>
  </si>
  <si>
    <t>027/292/PPK-DISDIKPORA/V/2015</t>
  </si>
  <si>
    <t xml:space="preserve"> Halaman SDN 1 Sungai Bakau</t>
  </si>
  <si>
    <t>Jl. Raya Sungai Bakau</t>
  </si>
  <si>
    <t>421.3/1075/Dikdas/VI/2009</t>
  </si>
  <si>
    <t>1 Paket  Rumah Dinas SDN 1 Sei Bakau</t>
  </si>
  <si>
    <t>027/513/K/PPK-DISDIKPORA/X/201</t>
  </si>
  <si>
    <t>Konstruksi (Pembangunan RDG SDN 1 Sungai Bakau)</t>
  </si>
  <si>
    <t>Konstruksi (Pembangunan Pagar SDN 1 Sungai Bakau)</t>
  </si>
  <si>
    <t>Jl. Al Huda RT 002 RW 002, Desa Sungai Bakau - Kecamatan Seruyan Hilir Timur</t>
  </si>
  <si>
    <t>000.3.2/465/DISDIK/SD/VI/2024</t>
  </si>
  <si>
    <t>Pekerjaan Pembangunan Pagar Sekolah_30203168 SD Negeri 1 Sungai Bakau</t>
  </si>
  <si>
    <t>027/159/PPK-DISDIK/SKT/VIII/20</t>
  </si>
  <si>
    <t>Pembangunan Aula Kantor UPTD Pendidikan Kecamatan Seruyan Hulu</t>
  </si>
  <si>
    <t>027/355/PPK-DISDIK/IX/2017</t>
  </si>
  <si>
    <t>Pembangunan Pagar UPTD Pendidikan Kec. Seruyan Hulu</t>
  </si>
  <si>
    <t xml:space="preserve"> Desa Tumbang Manjul, Kecamatan Seruyan Tengah</t>
  </si>
  <si>
    <t>198</t>
  </si>
  <si>
    <t>260</t>
  </si>
  <si>
    <t>331.5</t>
  </si>
  <si>
    <t>Ds. Tumbang Manjul,Seruyan Hulu</t>
  </si>
  <si>
    <t>027/3187/DISDIK/SD/XII/2023</t>
  </si>
  <si>
    <t>Pekerjaan Pemasangan Paving SDN 1 Tumbang Manjul</t>
  </si>
  <si>
    <t>65</t>
  </si>
  <si>
    <t>Tumbang Manjul</t>
  </si>
  <si>
    <t>4251/083/DIKDAS-DISDIK/V/202</t>
  </si>
  <si>
    <t>Rumah Dinas Guru (2 unit) 30203824 -SD NEGERI 1 TUMBANG MANJUL</t>
  </si>
  <si>
    <t>235</t>
  </si>
  <si>
    <t xml:space="preserve"> Desa Tumbang Manjul II, Kecamatan Seruyan Hulu</t>
  </si>
  <si>
    <t>Desa Tumbang Manjul, Kecamatan Seruyan Hulu</t>
  </si>
  <si>
    <t>027/288/D/PPK-DISDIKPORA/IX/20</t>
  </si>
  <si>
    <t>Pembangunan RKB SDN-2 Tumbang Manjul (2 Ruang)</t>
  </si>
  <si>
    <t>Pembangunan RKB  SDN-2 Tumbang Manjul (2 Ruang)</t>
  </si>
  <si>
    <t>027/268/D/PPK-DISDIKPORA/IX/20</t>
  </si>
  <si>
    <t>Pembangunan Perpustakaan+Perabotanya SDN 2 Tumbang Manjul</t>
  </si>
  <si>
    <t>325.5</t>
  </si>
  <si>
    <t>Tumbang Manjul,Tumbang Manjul,Seruyan Hulu</t>
  </si>
  <si>
    <t>027/3189/DISDIK/SD/XII/2023</t>
  </si>
  <si>
    <t>Pekerjaan Pemasangan Paving SDN 2 Tumbang Manjul</t>
  </si>
  <si>
    <t>Desa Tumbang Darap, Kecamatan Seruyan Hulu</t>
  </si>
  <si>
    <t>421.2/761.49/DIKDAS/III/2011</t>
  </si>
  <si>
    <t>1 sek  RKB SDN Desa Tumbang Darap Kec. Seruyan Hulu</t>
  </si>
  <si>
    <t>16.5</t>
  </si>
  <si>
    <t>tumbang darap</t>
  </si>
  <si>
    <t>027/1021/DISDIK/SD/VII/2022</t>
  </si>
  <si>
    <t>Pembangunan Ruang UKS beserta perabotnya SD NEGERI 1 TUMBANG DARAP DAK Fisik 2022</t>
  </si>
  <si>
    <t>065/D/PPK-DISDIKPORA/IX/2013</t>
  </si>
  <si>
    <t>Pembangunan Rumah Dinas Guru SDN Tumbang Darap Kec. Seruyan Hulu Kabupaten Seruyan</t>
  </si>
  <si>
    <t>027/868/DISDIK/SD/VII/2022</t>
  </si>
  <si>
    <t>Pembangunan Ruang Guru beserta perabotnya SD NEGERI 1 TUMBANG KALAM DAK Fisik 2022</t>
  </si>
  <si>
    <t>Desa Tumbang Kalam, Kecamatan Seruyan Hulu</t>
  </si>
  <si>
    <t>027/289/D/PPK-DISDIKPORA/IX/20</t>
  </si>
  <si>
    <t>Pembangunan RKB SDN 1 Tumbang Kalam (2 ruang)</t>
  </si>
  <si>
    <t>tumbang kalam</t>
  </si>
  <si>
    <t>027/948/DISDIK/SD/VII/2022</t>
  </si>
  <si>
    <t>Pembangunan Ruang UKS beserta perabotnya SD NEGERI 1 TUMBANG KALAM DAK Fisik 2022</t>
  </si>
  <si>
    <t>76</t>
  </si>
  <si>
    <t>027/289/PPK-DISDIK/VII/2017</t>
  </si>
  <si>
    <t>Pembangunan RDG SDN Tumbang Kalam</t>
  </si>
  <si>
    <t>Desa Tumbang Bahan, Kecamatan Seruyan Hulu</t>
  </si>
  <si>
    <t>027/429/PPK-DISDIKPORA/V/2015</t>
  </si>
  <si>
    <t>Pembangunan RDG SDN-1 Tumbang Bahan</t>
  </si>
  <si>
    <t>Desa Tumbang Laku, Kecamatan Seruyan Hulu</t>
  </si>
  <si>
    <t>Desa Rantau Panjang, Kecamatan Seruyan Hulu</t>
  </si>
  <si>
    <t>146</t>
  </si>
  <si>
    <t>DESA RANTAU PANJANG</t>
  </si>
  <si>
    <t>'425.11/051/DIKDAS-DISDIK.I/V/</t>
  </si>
  <si>
    <t>Rumah Dinas Guru (1 unit) 30203045 - SD NEGERI 1 RANTAU PANJANG (DAK AFIRMASI 2020)</t>
  </si>
  <si>
    <t>Desa Mojang Baru, Kecamatan Seruyan Hulu</t>
  </si>
  <si>
    <t>027/036/PPK-DISDIK/SKT/V/2018</t>
  </si>
  <si>
    <t>Pembangunan Rumah Dinas Guru (RDG) SDN 1 Mojang Baru</t>
  </si>
  <si>
    <t>140</t>
  </si>
  <si>
    <t>Desa Sepundu Hantu, Kecamatan Seruyan Hulu</t>
  </si>
  <si>
    <t>027/620/PPK-DISDIKPORA/X/2015</t>
  </si>
  <si>
    <t>Pembangunan Perpustakaan SDN Sapundu Hantu (Silpa DAK SD 2014)</t>
  </si>
  <si>
    <t>027/425/PPK-DISDIKPORA/V2015</t>
  </si>
  <si>
    <t xml:space="preserve"> RDG SDN 1 Sepundu Hantu</t>
  </si>
  <si>
    <t>Desa Tumbang Suei, Kecamatan Seruyan Hulu</t>
  </si>
  <si>
    <t>Tumbang suei</t>
  </si>
  <si>
    <t>027/949/DISDIK/SD/VII/2022</t>
  </si>
  <si>
    <t>Pembangunan Ruang UKS beserta perabotnya SD NEGERI 1 TUMBANG SUEI DAK Fisik 2022</t>
  </si>
  <si>
    <t>311/D/PPK-DISDIKPORA/X/2013</t>
  </si>
  <si>
    <t>Pembangunan Rumah Dinas Guru SDN Tumbang Suei Kec. Seruyan Hulu Kabupaten Seruyan</t>
  </si>
  <si>
    <t>Desa Riam Batang, Kecamatan Seruyan Hulu</t>
  </si>
  <si>
    <t>027/618/PPK-DISDIKPORA/IX/2015</t>
  </si>
  <si>
    <t>Pembangunan RKB SDN 1 Riam batang, 1 Ruang (Silpa DAK SD 2014</t>
  </si>
  <si>
    <t>Rumah Negara Golongan I Tipe E Semi Permanen</t>
  </si>
  <si>
    <t>03.01.02.01.014</t>
  </si>
  <si>
    <t>027/430/PPK-DISDIKPORA/V/2015</t>
  </si>
  <si>
    <t>Pembangunan Rumah Dinas Guru (RDG) SDN 1 Riam Batang</t>
  </si>
  <si>
    <t>027/034/PPK-DISDIK/SKT/V/2018</t>
  </si>
  <si>
    <t xml:space="preserve"> Pembangunan Rumah Dinas Guru (RDG) SDN Riam Batang</t>
  </si>
  <si>
    <t>Desa Tanjung  Paku, Kecamatan Seruyan Hulu</t>
  </si>
  <si>
    <t>216</t>
  </si>
  <si>
    <t>Desa Tanjung Paku, Kecamatan Seruyan Hulu</t>
  </si>
  <si>
    <t>312/D/PPK-DISDIKPORA/X/2013</t>
  </si>
  <si>
    <t>Pembangunan Rumah Dinas Guru SDN Tanjung Paku Kec. Seruyan Hulu Kabupaten Seruyan</t>
  </si>
  <si>
    <t>027/033/PPK-DISDIK/SKT/V/2018</t>
  </si>
  <si>
    <t>Pembangunan RDG SDN 1 Tanjung Paku</t>
  </si>
  <si>
    <t>'027/323/PPK-DISDIKPORA/IV/201</t>
  </si>
  <si>
    <t>Pembangunan RDG  SDN 1 Tanjung Paku</t>
  </si>
  <si>
    <t>112</t>
  </si>
  <si>
    <t>62</t>
  </si>
  <si>
    <t xml:space="preserve"> Desa Tumbang Kasai, Kecamatan Seruyan Hulu</t>
  </si>
  <si>
    <t>237/D/PPK-DISDIKPORA/X/2013</t>
  </si>
  <si>
    <t>Desa Tumbang Kasai_x000D_
Kec. Seruyan Hulu</t>
  </si>
  <si>
    <t>425.11/037/DIKDAS-DISDIK.I/IV/</t>
  </si>
  <si>
    <t>Pembangunan rumah dinas guru (2 unit) 30203818 - SD NEGERI 1 TUMBANG KASAI</t>
  </si>
  <si>
    <t>'027/329/PPK-DISDIKPORA/IV/201</t>
  </si>
  <si>
    <t>Pekerjaan Pembangunan  RDG SDN 1 T. Kasai</t>
  </si>
  <si>
    <t>Desa Tumbang Kubang, Kecamatan Seruyan Hulu</t>
  </si>
  <si>
    <t>98</t>
  </si>
  <si>
    <t>Desa Tumbang Kubang Kec. Seruyan Hulu</t>
  </si>
  <si>
    <t>4251/183/DIKDAS-DISDIK.I/V/202</t>
  </si>
  <si>
    <t>'Pembangunan ruang UKS 30203093 - SD NEGERI 1 TUMBANG KUBANG (DAK SD REGULER 2020)  1 Ruang</t>
  </si>
  <si>
    <t xml:space="preserve"> Desa Tumbang Kubang, Kecamatan Seruyan Hulu</t>
  </si>
  <si>
    <t>236/D/PPK-DISDIKPORA/X/2013</t>
  </si>
  <si>
    <t>425.11/035/DIKDAS-DISDIK.I/IV/</t>
  </si>
  <si>
    <t>Pembangunan rumah dinas guru (2 unit) 30203093 - SD NEGERI 1 TUMBANG KUBANG</t>
  </si>
  <si>
    <t>027/290/PPK-DISDIK/VII/2017</t>
  </si>
  <si>
    <t>Pembangunan RDG SDN Tumbang Kubang</t>
  </si>
  <si>
    <t>Desa Tusuk Belawan, Kecamatan Seruyan Hulu</t>
  </si>
  <si>
    <t xml:space="preserve"> Desa Tusuk Belawan, Kecamatan Seruyan Hulu</t>
  </si>
  <si>
    <t>242/D/PPK-DISDIKPORA/X/2013</t>
  </si>
  <si>
    <t>Desa Tusuk Belawan</t>
  </si>
  <si>
    <t>'027/109/PPK-DISDIK/DIKDAS/VII</t>
  </si>
  <si>
    <t>Pembangunan Rumah Dinas Guru (RDG) SDN Tusuk Belawan</t>
  </si>
  <si>
    <t>Pembangunan RDG SDN-1 Tusuk Belawan</t>
  </si>
  <si>
    <t>Desa Mogoh Juoi, Kecamatan Seruyan Hulu</t>
  </si>
  <si>
    <t>Desa ongoh Juoi, Kecamatan Seruyan Hulu</t>
  </si>
  <si>
    <t>Pembangunan Perpustakaan  SDN 1 Mongoh Juoi</t>
  </si>
  <si>
    <t>Desa Mongoh Juoi, Kecamatan Seruyan Hulu</t>
  </si>
  <si>
    <t>309/D/PPK-DISDIKPORA/X/2013</t>
  </si>
  <si>
    <t>Pembangunan Rumah Dinas Guru SDN Mongoh Juoi Kec. Seruyan Hulu Kabupaten Seruyan</t>
  </si>
  <si>
    <t>27/325/PPK-DISDIKPORA/IV/2016</t>
  </si>
  <si>
    <t>Pembangunan RDG SDN  Mongoh Juoi</t>
  </si>
  <si>
    <t>027/035/PPK-DISDIK/SKT/V/2018</t>
  </si>
  <si>
    <t xml:space="preserve"> Pembangunan Rumah Dinas Guru (RDG) SDN Mongoh Juoi</t>
  </si>
  <si>
    <t>Desa Tumbang Setawai, Kecamatan Seruyan Hulu</t>
  </si>
  <si>
    <t>027/431/PPK-DISDIKPORA/V/2015</t>
  </si>
  <si>
    <t>Pembangunan Rumah Dinas Guru (RDG) SDN 1 Tumbang Setawai</t>
  </si>
  <si>
    <t>Desa Tumbang Setawai</t>
  </si>
  <si>
    <t>425.11/026/DAK-SD-DISDIK.I/V/2</t>
  </si>
  <si>
    <t>Pembangunan Rumah Dinas Guru (RDG) SDN 1 Tumbang Setawai (DAK AFIRMASI 2019)</t>
  </si>
  <si>
    <t>027/323/PPK-DISDIK/VII/2017</t>
  </si>
  <si>
    <t xml:space="preserve">   Pembangunan RDG SDN Tumbang Setawai</t>
  </si>
  <si>
    <t>Desa Marandang, Kecamatan Seruyan Hulu</t>
  </si>
  <si>
    <t>027/270/D/PPK-DISDIKPORA/IX/20</t>
  </si>
  <si>
    <t>Pembangunan Perpustakaan SDN 1 Marandang</t>
  </si>
  <si>
    <t>310/D/PPK-DISDIKPORA/X/2013</t>
  </si>
  <si>
    <t>Pembangunan Rumah Dinas Guru SDN Marandang Kec. Seruyan Hulu Kabupaten Seruyan</t>
  </si>
  <si>
    <t>Desa Marandang</t>
  </si>
  <si>
    <t>027/147/PPK-DISDIK/DIKDAS/VIII</t>
  </si>
  <si>
    <t>Pembangunan Rumah Dinas Guru (RDG) SDN 1 Marandang</t>
  </si>
  <si>
    <t>Desa Nusa Tujuh, Kecamatan Seruyan Hulu</t>
  </si>
  <si>
    <t>165</t>
  </si>
  <si>
    <t>Desa Buntut Sapau, Kecamatan Seruyan Hulu</t>
  </si>
  <si>
    <t>027/517/D/PPK-DISDIKPORA/X/201</t>
  </si>
  <si>
    <t>Konstruksi (Pembangunan RDG SDN Buntut Sapau)</t>
  </si>
  <si>
    <t>027/324/PPK-DISDIKPORA/IV/2016</t>
  </si>
  <si>
    <t>Pembangunan RDG SDN 1 Buntut Sapau</t>
  </si>
  <si>
    <t>Desa Tumbang Taberau, Kecamatan Seruyan Hulu</t>
  </si>
  <si>
    <t>027/375/D/PPK-DISDIKPORA/IX/20</t>
  </si>
  <si>
    <t>Pembangunan USB SDN 1 Tumbang Taberau (2 lokal )</t>
  </si>
  <si>
    <t>SDN 1 TUMBANG TABERAU</t>
  </si>
  <si>
    <t>'421.2/2182/DIKDAS-DISDIKPORA/</t>
  </si>
  <si>
    <t>Pekerjaan Pembangunan RKB SDN 1 Tumbang Taberau (2 Ruang) DAK 2016</t>
  </si>
  <si>
    <t>Desa Taberau</t>
  </si>
  <si>
    <t>425.11/038/DIKDAS-DISDIK. I/V/</t>
  </si>
  <si>
    <t>Pembangunan rumah dinas guru (2 unit) 69900883 - SD NEGERI 1 TUMBANG TABERAU (DAK AFIRMASI 2020)</t>
  </si>
  <si>
    <t>027/443/PPK-DISDIKPORA/V/2015</t>
  </si>
  <si>
    <t>Pembangunan RDG  SDN 1 Tumbang Taberau</t>
  </si>
  <si>
    <t>027/1267.11/DISDIK.II/VIII/2021</t>
  </si>
  <si>
    <t>Pembangunan Ruang Kelas Baru ( RKB ) TK Negeri Pembina Seruyan Hulu</t>
  </si>
  <si>
    <t>TKN Pembina Seruyan Hulu</t>
  </si>
  <si>
    <t>Tumbang Manjul Kec. Seruyan HUlu</t>
  </si>
  <si>
    <t>027/1268.11/DISDIK.II/VIII/2021</t>
  </si>
  <si>
    <t>Pembangunan WC ( TOILET ) TK Negeri Pembina Seruyan Hulu</t>
  </si>
  <si>
    <t>Desa Bangkal, Kecamatan Seruyan Raya</t>
  </si>
  <si>
    <t>027/248/K/PPK-DISDIKPORA/IX/20</t>
  </si>
  <si>
    <t>Konstruksi Pembangunan Gedung Kantor  UPTD Dikpora Kecamatan Seruyan Raya</t>
  </si>
  <si>
    <t>UPTD DISDIK KECAMATAN SERUYAN RAUA</t>
  </si>
  <si>
    <t>027/160/PPK-DISDIK/SKT/VIII/20</t>
  </si>
  <si>
    <t>Pembangunan Rumah Dinas UPTD Pendidikan Kecamatan Seruyan Raya</t>
  </si>
  <si>
    <t>027/873/PPK-DISDIKPORA/X/I2015</t>
  </si>
  <si>
    <t>Pekerjaan Pembangunan Pagar UPTD DIKPORA 
Kecamatan Seruyan Raya</t>
  </si>
  <si>
    <t>Bangkal</t>
  </si>
  <si>
    <t>027/917/DISDIK/SD/VII/2022</t>
  </si>
  <si>
    <t>Pembangunan Ruang Kelas Baru (RKB) beserta perabotnya SD NEGERI 1 BANGKAL DAK Fisik 2022</t>
  </si>
  <si>
    <t>027/278/PPK-DISDIKPORA/V/2015</t>
  </si>
  <si>
    <t>Pekerjaan WC SDN 1 Bangkal</t>
  </si>
  <si>
    <t>075/D/PPK-DISDIKPORA/IX/2013</t>
  </si>
  <si>
    <t>Pembangunan Rumah Dinas Guru SDN 1 Bangkal Kec. Seruyan Raya Kabupaten Seruyan</t>
  </si>
  <si>
    <t>177</t>
  </si>
  <si>
    <t>'027/409/PPK-DISDIKPORA/IV/201</t>
  </si>
  <si>
    <t>Pembangunan Pagar SDN 1 Bangkal</t>
  </si>
  <si>
    <t>Jln. H. Abdullah Rt. 03_x000D_
Desa Lanpasa Kec. Seruyan Raya</t>
  </si>
  <si>
    <t>'425.11/150/DIKDAS-DISDIK.I/V/</t>
  </si>
  <si>
    <t>Jl. H. ABDULLAH RT 03,Lanpasa,Seruyan Raya</t>
  </si>
  <si>
    <t>027/1097/DISDIK/SD/VII/2023</t>
  </si>
  <si>
    <t>027/983/DISDIK/SD/VII/2023</t>
  </si>
  <si>
    <t>027/1095/DISDIK/SD/VII/2023</t>
  </si>
  <si>
    <t>027/980/DISDIK/SD/VII/2023</t>
  </si>
  <si>
    <t>Jln. H. Abdullah Desa Lanpasa Kec. Seruyan Raya</t>
  </si>
  <si>
    <t>'425.11/191/DIKDAS-DISDIK,I/V/</t>
  </si>
  <si>
    <t>027/328/PPK-DISDIKPORA/IV/2016</t>
  </si>
  <si>
    <t>Jln. Jendral Sudirman Km. 79 Desa Selunuk Kec. Seruyan Raya</t>
  </si>
  <si>
    <t>425.11/112/DIKDAS.DISDIK.I/V/2</t>
  </si>
  <si>
    <t>Pembangunan Ruang Kelas Baru (RKB) 30205408 -SD NEGERI 1 SELUNUK</t>
  </si>
  <si>
    <t>Desa Selunuk, Kecamatan Seruyan Raya</t>
  </si>
  <si>
    <t>027/285/D/PPK-DISDIKPORA/IX/20</t>
  </si>
  <si>
    <t>Pembangunan RKB SDN 1 Selunuk ( 3 ruang)</t>
  </si>
  <si>
    <t>Desa Selunuk Kecamatan Seruyan Raya</t>
  </si>
  <si>
    <t>Jln.Jendral Sudirman Desa Selunuk,Seruyan Raya</t>
  </si>
  <si>
    <t>027/1575/DISDIK/SD/VIII/2023</t>
  </si>
  <si>
    <t>Pembangunan Ruang Kelas SDN 1 Selunuk</t>
  </si>
  <si>
    <t>027/282/PPK-DISDIKPORA/V/2015</t>
  </si>
  <si>
    <t>Pembangunan WC SDN I Selunuk</t>
  </si>
  <si>
    <t>4251/188/DIKDAS'DISDIKI/V/2020</t>
  </si>
  <si>
    <t>'Pembangunan ruang UKS 30205408 - SD NEGERI 1 SELUNUK" (DAK SD REGULER 2020)  1 Ruang</t>
  </si>
  <si>
    <t>Jln. Jendral Sudirman Km. 79_x000D_
Desa Selunuk Kec. Seruyan Raya</t>
  </si>
  <si>
    <t>153/DIKDAS-DISDIK.I/V/2020</t>
  </si>
  <si>
    <t>Pembangunan (Toilet) jamban siswa/guru beserta sanitasinya Jenjang 330205408 - SD NEGERI 1 SELUNUK (DAK SD REGULER 2020)</t>
  </si>
  <si>
    <t xml:space="preserve"> Desa Selunuk, Kecamatan Seruyan Raya</t>
  </si>
  <si>
    <t>250/D/PPK-DISDIKPORA/X/2013</t>
  </si>
  <si>
    <t>027/226/PPK-DISDIK/VII/2017</t>
  </si>
  <si>
    <t>Pembangunan RDG SDN 1 Selunuk</t>
  </si>
  <si>
    <t>027/1793/DISDIK/SD/IX/2023</t>
  </si>
  <si>
    <t>Pembangunan Rumah Dinas Guru Beserta Perabotnya SDN 1 Selunuk</t>
  </si>
  <si>
    <t>027/036/PPK-DISDIK/DIKDAS/IV/2</t>
  </si>
  <si>
    <t>Pembangunan Pagar SDN 1 Selunuk</t>
  </si>
  <si>
    <t>Desa Tabiku, Kecamatan Seruyan Raya</t>
  </si>
  <si>
    <t>293/PPK-DISDIKPORA/IX/2012</t>
  </si>
  <si>
    <t>'027/065/PPK-DISDIKPORA/I/2016</t>
  </si>
  <si>
    <t xml:space="preserve"> Pembangunan WC SDN 3 Sembuluh I</t>
  </si>
  <si>
    <t>Jl. Tabiku,Seruyan Raya</t>
  </si>
  <si>
    <t>027/935/DISDIK/SD/VII/2023</t>
  </si>
  <si>
    <t>"PEMBANGUNAN RUANG LABORATORIUM KOMPUTER
BESERTA PERABOTNYA SD NEGERI 1 TABIKU"</t>
  </si>
  <si>
    <t>027/936/DISDIK/SD/VII/2023</t>
  </si>
  <si>
    <t>"PEMBANGUNAN RUANG GURU BESERTA PERABOTNYA
SD NEGERI 1 TABIKU"</t>
  </si>
  <si>
    <t>027/1108/DISDIK/SD/VII/2023</t>
  </si>
  <si>
    <t>"PEMBANGUNAN TOILET (JAMBAN) BESERTA
SAN1TASINYA SD NEGERI 1 TABIKU"</t>
  </si>
  <si>
    <t xml:space="preserve"> Desa Tabiku, Kecamatan Seruyan Raya</t>
  </si>
  <si>
    <t>331/PPK-DISDIKPORA/IX/2012</t>
  </si>
  <si>
    <t>Jl. Tabiku, Desa Tabiku - Kecamatan Seruyan Raya</t>
  </si>
  <si>
    <t>000.3.2/1225/DISDIK/SD/IX/2024</t>
  </si>
  <si>
    <t>Pembangunan Rumah Dinas Guru SD Negeri 1 Tabiku</t>
  </si>
  <si>
    <t>182</t>
  </si>
  <si>
    <t>027/876/PPK-DISDIKPORA/XI/2015</t>
  </si>
  <si>
    <t>Pembangunan pagar SMPN SATAP 1 Seruyan Raya dan SDN 3 Sembuluh 1 Desa Tabiku Kec. Seruyan Raya</t>
  </si>
  <si>
    <t>104.4</t>
  </si>
  <si>
    <t>000.3.2/1458/DISDIK/SD/IX/2024</t>
  </si>
  <si>
    <t>Pembangunan Pagar Sekolah SD Negeri 1 Tabiku</t>
  </si>
  <si>
    <t>Desa Terawan, Kecamatan Seruyan Raya</t>
  </si>
  <si>
    <t>SDN I TERAWAN</t>
  </si>
  <si>
    <t>Desa Terawan</t>
  </si>
  <si>
    <t>62.5</t>
  </si>
  <si>
    <t>Jl. Pantar Sangaran,Bangkal,Seruyan Raya</t>
  </si>
  <si>
    <t>027/1656/DISDIK/SD/VIII/2023</t>
  </si>
  <si>
    <t>Pembangunan Pagar SDN 2 Bangkal</t>
  </si>
  <si>
    <t>220</t>
  </si>
  <si>
    <t>Desa Lanpasa</t>
  </si>
  <si>
    <t>027/594/DISDIK/DIKDAS/IX/2021</t>
  </si>
  <si>
    <t>Pembangunan Ruang Kelas - SDN 2 LANPASA</t>
  </si>
  <si>
    <t>Jl. H. ABDULLAH,Lanpasa,Seruyan Raya</t>
  </si>
  <si>
    <t>027/1098/DISDIK/SD/VII/2023</t>
  </si>
  <si>
    <t>Pekerjaan Pembangunan Toilet (Jamban) Beserta Sanitasinya SDN 2 Lanpasa</t>
  </si>
  <si>
    <t>027/1096/DISDIK/SD/VII/2023</t>
  </si>
  <si>
    <t>"PEMBANGUNAN RUANG UKS BESERTA SD 
NEGERI 2 LANPASA"</t>
  </si>
  <si>
    <t>027/981/DISDIK/SD/VII/2023</t>
  </si>
  <si>
    <t>"PEMBANGUNAN RUANG LABORATORIUM KOMPUTER
BESERTA PERABOTNYA SD NEGERI 2 LANPASA"</t>
  </si>
  <si>
    <t>027/982/DISDIK/SD/VII/2023</t>
  </si>
  <si>
    <t>"PEMBANGUNAN RUANG GURU BESERTA PERABOTNYA
SD NEGERI 2 LANPASA"</t>
  </si>
  <si>
    <t>51</t>
  </si>
  <si>
    <t>027/984/DISDIK/SD/VII/2023</t>
  </si>
  <si>
    <t>"PEMBANGUNAN RUANG PERPUSTAKAAN BESERTA
PERABOTNYA SD NEGERI 2 LANPASA"</t>
  </si>
  <si>
    <t xml:space="preserve"> Desa Lampasa</t>
  </si>
  <si>
    <t>251/D/PPK-DISDIKPORA/X/2013</t>
  </si>
  <si>
    <t>169</t>
  </si>
  <si>
    <t>027/619/PPK-DISDIKPORA/IX/2015</t>
  </si>
  <si>
    <t>Pembangunan RKB SDN 3 Bangkal, 2 Ruang (Silpa DAK SD 2014)</t>
  </si>
  <si>
    <t>027/374/D/PPK-DISDIKPORA/IX/20</t>
  </si>
  <si>
    <t>Pembangunan USB SDN 3 Bangkal (3 lokal) (DAK Harati 2014)</t>
  </si>
  <si>
    <t>Jl. Jendral Sudirman KM 65_x000D_
Desa Bangkal_x000D_
Kec. Seruyan Raya</t>
  </si>
  <si>
    <t>425.11/032/DAK-SD-DISDIK.I/V/2</t>
  </si>
  <si>
    <t>Pembangunan RKB SD Negeri 3 Bangkal, 2 Ruang (Silpa DAK Tahun 2017)</t>
  </si>
  <si>
    <t>Desa Bangkal, Kecamatam Seruyan Raya</t>
  </si>
  <si>
    <t>027/654/PPK-DISDIKPORA/X/2015</t>
  </si>
  <si>
    <t>Pembangunan WC SDN 3 Bangkal (Silpa DAK Tambahan Pendd SD 2013)</t>
  </si>
  <si>
    <t>Jl. Jendral Sudirman KM 65,Bangkal,Seruyan Raya</t>
  </si>
  <si>
    <t>027/859/DISDIK/SD/VII/2023</t>
  </si>
  <si>
    <t>"PEMB.ANGUNAN RUANG LABORATORIUM KOMPUTER
BESERTA FERABOTNYA SD NEGERI 3 BANGKAL"</t>
  </si>
  <si>
    <t>027/1107/DISDIK/SD/VII/2023</t>
  </si>
  <si>
    <t>"PEMBANGUNAN RUANG UKS BESERTA PERABOTNYA SD
NEGERI 3 BANGKAL"</t>
  </si>
  <si>
    <t>027/934/DISDIK/SD/VII/2023</t>
  </si>
  <si>
    <t>"PEMBANGUNAN RUANG GURU BESERTA PERABOTNYA
SD NEGERI 3 BANGKAL"</t>
  </si>
  <si>
    <t>027/1106/DISDIK/SD/VII/2023</t>
  </si>
  <si>
    <t>"PEMBANGUNAN TOILET (JAMBAN) BESERTA
SANITASINYA SD NEGERI 3 BANGKAL"</t>
  </si>
  <si>
    <t>Jl. Jendral Sudirman KM 65 Desa Bangkal Kec. Seruyan Raya</t>
  </si>
  <si>
    <t>'425.11/193/DIKDS-DISDIK.I/V/</t>
  </si>
  <si>
    <t>Pembangunan Ruang Perpustakaan 69920320 -SD NEGERI 3 BANGKAL (DAK SD REGULER 2020 )</t>
  </si>
  <si>
    <t>027/350/PPK-DISDIK/VIII/2017</t>
  </si>
  <si>
    <t xml:space="preserve"> Pembangunan RDG SDN 3 Bangkal</t>
  </si>
  <si>
    <t>80.9</t>
  </si>
  <si>
    <t>Jl. Mistar Cokrokusumo Rt. 13, Rw 01, Desa Bangkal - Kecamatan Seruyan Raya</t>
  </si>
  <si>
    <t>000.3.2/2167/DISDIK/SD/XI/2024</t>
  </si>
  <si>
    <t>Pekerjaan Lanjutan Pembangunan Pagar SDN 3 Bangkal</t>
  </si>
  <si>
    <t>Desa Asam Baru, Kecamatan Danau Seluluk</t>
  </si>
  <si>
    <t>027/247/K/PPK-DISDIKPORA/IX/20</t>
  </si>
  <si>
    <t>Konstruksi Pembangunan Gedung Kantor  UPTD Dikpora Kecamatan Danau Seluluk</t>
  </si>
  <si>
    <t>UPTD DISDIK KECAMATAN DANAU SELULUK</t>
  </si>
  <si>
    <t>Jln. Pratama Rt. 06 Rw. 03_x000D_
Desa Asam Baru_x000D_
Kec. Danau Seluluk</t>
  </si>
  <si>
    <t>425.11/024/DAK-SD-DISDIK.I/V/2</t>
  </si>
  <si>
    <t>Pembangunan Ruang Kelas Baru (RKB) SDN 1 Asam Baru (1 Ruang) (DAK SD 2019)</t>
  </si>
  <si>
    <t>Jl. Pratama Rt. 06 Rw. 03,Asam Baru,Danau Seluluk</t>
  </si>
  <si>
    <t>027/932/DISDIK/SD/VII/2023</t>
  </si>
  <si>
    <t>"PEMBANGUNAN RUANG GURU BESERTA PERABOTNYA
SD NEGERI 1 ASAM BARU"</t>
  </si>
  <si>
    <t>027/1105/DISDIK/SD/VII/2023</t>
  </si>
  <si>
    <t>Pekerjaan Pembangunan Toilet (Jamban) Beserta Sanitasinya SDN 1 Asam Baru</t>
  </si>
  <si>
    <t>027/933/DISDIK/SD/VII/2023</t>
  </si>
  <si>
    <t>"PEMBANGUNAN RUANG LABORATORIUM KOMPUTER 
BESERTA PERABOTNYA SD NEGERI 1 ASAM BARU"</t>
  </si>
  <si>
    <t>444</t>
  </si>
  <si>
    <t>Jl. Pratama Rt. 06 Rw. 03 Desa Asam Baru - Kecamatan Danau Seluluk</t>
  </si>
  <si>
    <t xml:space="preserve"> 000.3.2/2227/DISDIK/SD/XI/2024</t>
  </si>
  <si>
    <t xml:space="preserve"> Halaman SDN 1 Asam Baru</t>
  </si>
  <si>
    <t>Konstruksi (Pembangunan Pagar SDN 1 Asam Baru)</t>
  </si>
  <si>
    <t>61.3</t>
  </si>
  <si>
    <t>000.3.2/2168/DISDIK/SD/XI/2024</t>
  </si>
  <si>
    <t>Pembangunan Pagar SDN 1 Asam Baru</t>
  </si>
  <si>
    <t>Desa Tanjung Paring, Kecamatan Danau Seluluk</t>
  </si>
  <si>
    <t>249/D/PPK-DISDIKPORA/X/2013</t>
  </si>
  <si>
    <t>072/D/PPK-DISDIKPORA/IX/2013</t>
  </si>
  <si>
    <t>Pembangunan Rumah Dinas Guru SDN 2 Tanjung Paring Kec. Danau Seluluk Kabupaten Seruyan</t>
  </si>
  <si>
    <t>027/401/PPK-DISDIKPORA/IV/2016</t>
  </si>
  <si>
    <t>Pembangunan RDG SDN 2 Tanjung Paring Desa Panimba Raya</t>
  </si>
  <si>
    <t>027/765/DISDIK/SD/VII/2022</t>
  </si>
  <si>
    <t>Pembangunan Rumah Dinas Guru beserta perabotnya SD NEGERI 1 PANIMBA RAYA (DAK Fisik SD 2022)</t>
  </si>
  <si>
    <t>Jl. Seruyan Rt. 1 Rw 1 Desa Panimba Raya Kec. Danau Seluluk</t>
  </si>
  <si>
    <t>027/506/DISDIK/DIKDAS/VIII/2021</t>
  </si>
  <si>
    <t>Pembangunan Pagar _x000D_
SDN 1 PANIMBA RAYA</t>
  </si>
  <si>
    <t>Desa Rungau Raya Kecamatan Danau Seluluk</t>
  </si>
  <si>
    <t>027/286/D/PPK-DISDIKPORA/IX/20</t>
  </si>
  <si>
    <t>Pembangunan RKB SDN 1 Rungau Raya (2 ruang)</t>
  </si>
  <si>
    <t>SDN 1 RUNGAU RAYA</t>
  </si>
  <si>
    <t xml:space="preserve"> Jl. Jendral Sudirman Km. 102, Desa Rungau Raya - Kecamatan Danau Seluluk</t>
  </si>
  <si>
    <t>000.3.2/698/DISDIK/SD/VII/2024</t>
  </si>
  <si>
    <t>Pembangunan Ruang UKS Beserta Perabotnya_30204478 SD Negeri Rungau Raya</t>
  </si>
  <si>
    <t xml:space="preserve"> Desa Rungau Raya, Kecamatan Danau Seluluk</t>
  </si>
  <si>
    <t>234/D/PPK-DISDIKPORA/X/2013</t>
  </si>
  <si>
    <t xml:space="preserve"> 000.3.2/1139/DISDIK/SD/IX/2024</t>
  </si>
  <si>
    <t xml:space="preserve"> Pembangunan Rumah Dinas Guru SD Negeri Rungau Raya</t>
  </si>
  <si>
    <t>027/891/PPK-DISDIKPORA/XI/2015</t>
  </si>
  <si>
    <t>Pembangunan RDG SDN 1 Rungau Raya</t>
  </si>
  <si>
    <t>83</t>
  </si>
  <si>
    <t>Jl. Jendral Sudirman Km. 102,Rungau Raya,Danau Seluluk</t>
  </si>
  <si>
    <t>027/1658/DISDIK/SD/VIII/2023</t>
  </si>
  <si>
    <t>Pembangunan Pagar SDN 1 Rungau Raya</t>
  </si>
  <si>
    <t>Desa Tanjung Hara, Kecamatan Danau Seluluk</t>
  </si>
  <si>
    <t>127</t>
  </si>
  <si>
    <t>704.55</t>
  </si>
  <si>
    <t>Jl. Padat Karya,Tanjung Hara,Danau Seluluk</t>
  </si>
  <si>
    <t>027/3190/DISDIK/SD/XII/2023</t>
  </si>
  <si>
    <t>Pekerjaan Pemasangan Paving SDN 1 Tanjung Hara</t>
  </si>
  <si>
    <t>070/D/PPK-DISDIKPORA/IX/2013</t>
  </si>
  <si>
    <t>Pembangunan Rumah Dinas Guru SDN 1 Tanjung Hara Kec, Danau Seluluk Kabupaten Seruyan</t>
  </si>
  <si>
    <t>'027/410/PPK-DISDIKPORA/IV/201</t>
  </si>
  <si>
    <t>Pembangunan Pagar SDN Desa Tanjung Hara Kec. 
Danau Seluluk</t>
  </si>
  <si>
    <t>027/123/PPK-DISDIK/DIKDAS/VI/2</t>
  </si>
  <si>
    <t>Pembangunan RKB SDN 1 Tanjung Paring</t>
  </si>
  <si>
    <t>071/D/PPK-DISDIKPORA/IX/2013</t>
  </si>
  <si>
    <t>Pembangunan Rumah Dinas Guru SDN 1 Tanjung Paring Kec. Danau Seluluk Kabupaten Seruyan</t>
  </si>
  <si>
    <t>Desa Tanjung Rangas II, Kecamatan Danau Seluluk</t>
  </si>
  <si>
    <t>190</t>
  </si>
  <si>
    <t>027/087/PPK-DISDIK/SKT/V/2018</t>
  </si>
  <si>
    <t>Pembangunan Rumah Dinas Guru (RDG) SDN Tanjung Rangas II</t>
  </si>
  <si>
    <t>027/368/D/PPK-DISDIKPORA/IX/20</t>
  </si>
  <si>
    <t>Pembangunan RDG SDN 1 Tanjung Rangas II</t>
  </si>
  <si>
    <t>09/421.2/PPK-DISDIK/VII/2017</t>
  </si>
  <si>
    <t>Pembangunan Pagar SDN 1 Tanjung Rangas 2, Desa Tanjung Rangas 2 - Kecamatan Danau Seluluk</t>
  </si>
  <si>
    <t>JL. Pratama Gang Inpres Kec. Danau Seluluk</t>
  </si>
  <si>
    <t>027/231/DISDIK/DIKDAS/VII/2021</t>
  </si>
  <si>
    <t>Pembangunan ruang kelas baru (RKB) beserta perabotnya  ( Dak Fisik SD ) - SDN 2 ASAM BARU</t>
  </si>
  <si>
    <t>Jl. Pratama Gang Inpres,RT.002,RW.001, Desa Asam Baru - Kecamatan Danau Seluluk</t>
  </si>
  <si>
    <t>000.3.3/901/DISDIK/SD/VII/2024</t>
  </si>
  <si>
    <t>Pembangunan Ruang Laboratorium Komputer Beserta Perabotnya SD Negeri 2 Asam Baru</t>
  </si>
  <si>
    <t>224</t>
  </si>
  <si>
    <t>000.3.3/2169/DISDIK/SD/XI/2024</t>
  </si>
  <si>
    <t>Pemasangan Paving SDN 2 Asam Baru</t>
  </si>
  <si>
    <t>027/286/PPK-DISDIK/VII/2017</t>
  </si>
  <si>
    <t xml:space="preserve">   Pembangunan RDG SDN 2 Asam Baru</t>
  </si>
  <si>
    <t>027/890/PPK-DISDIKPORA/XI/2015</t>
  </si>
  <si>
    <t>Pembangunan RDG SDN 2 Asam Baru Kec. Danau Seluluk</t>
  </si>
  <si>
    <t>83.68</t>
  </si>
  <si>
    <t>000.3.2/1490/DISDIK/SD/IX/2024</t>
  </si>
  <si>
    <t>Pembangunan Pagar Sekolah SD Negeri 2 Asam Baru</t>
  </si>
  <si>
    <t>Asam Baru Kec. Danau Seluluk</t>
  </si>
  <si>
    <t>421.11/010/DISDIK.II/V/2019</t>
  </si>
  <si>
    <t>Pembangunan RKB TK Negeri Pembina Danau Seluluk (DAK SKB 2019)</t>
  </si>
  <si>
    <t>TKN PEMBINA DANAU SELULUK</t>
  </si>
  <si>
    <t>Desa Asam Baru Kec. Danau Seluluk</t>
  </si>
  <si>
    <t>027/412/PPK-DISDIK/IX/2017</t>
  </si>
  <si>
    <t>Pembangunan Ruang Kelas Baru (RKB) TKN Pembina Danau Seluluk</t>
  </si>
  <si>
    <t>027/1509/DISDIK/P3NF/VIII/2023</t>
  </si>
  <si>
    <t>Pembangunan Toilet/Jamban TK Negeri Pembina Danau Seluluk</t>
  </si>
  <si>
    <t>Jl. PRATAMA RT 04 RW 02, Desa Asam Baru - Kecamatan Danau Seluluk</t>
  </si>
  <si>
    <t>000.3.3/557/DISDIK/P3NF/VI/2024</t>
  </si>
  <si>
    <t>Pembangunan Ruang Guru/Kepala Sekolah Bsrta Perabotnya TK Negeri Pembina D. Seluluk</t>
  </si>
  <si>
    <t>129</t>
  </si>
  <si>
    <t>027/488/DISDIK/P3NF/VII/2019</t>
  </si>
  <si>
    <t>Pemagaran TK Negeri Pembina Danau Seluluk Kec. Danau Seluluk</t>
  </si>
  <si>
    <t>Jl. Pratama, Desa Asam Baru Kec. Danau seluluk</t>
  </si>
  <si>
    <t>1244/PPK-DINKES/X/2015</t>
  </si>
  <si>
    <t>Pembangunan Gedung/ Rumah Genset Puskesmas Asam Baru</t>
  </si>
  <si>
    <t>Bangunan Klinik/Puskesmas</t>
  </si>
  <si>
    <t>03.01.01.06.010</t>
  </si>
  <si>
    <t>Pemb. Poskesdes Desa Panimba Raya</t>
  </si>
  <si>
    <t>Tanjung Paring, Asam Baru</t>
  </si>
  <si>
    <t>Pemb. Poskesdes Tanjung Paring Raya</t>
  </si>
  <si>
    <t xml:space="preserve"> 466/PPK-JAMSARKES/VIII/2016</t>
  </si>
  <si>
    <t>Pembangunan Poskesdes Desa Tanjung Rangas II</t>
  </si>
  <si>
    <t>Desa Tanjung Hara Kec. Danau Seluluk</t>
  </si>
  <si>
    <t>374/PPK-SDK/DINKES/VIII/2015</t>
  </si>
  <si>
    <t>Pembangunan Poskesdes Tanjung Hara</t>
  </si>
  <si>
    <t>Desa Panimba Raya Kecamatan Danau Seluluk</t>
  </si>
  <si>
    <t>492/PPK DINKES/IX/2014</t>
  </si>
  <si>
    <t>Pembangunan Pustu Desa Panimba Raya</t>
  </si>
  <si>
    <t>Jl. Jendral Sudirman Desa Rungau Raya Kec. Danau Seluluk</t>
  </si>
  <si>
    <t>502./PPK DINKES/IX/2014</t>
  </si>
  <si>
    <t>Pembangunan Pustu Desa Rungau Raya</t>
  </si>
  <si>
    <t>Bangunan Pustu Asam Baru</t>
  </si>
  <si>
    <t>Desa Tanjung Paring Kecamatan Danau Seluluk</t>
  </si>
  <si>
    <t>Bangunan Pustu Tanjung Paring</t>
  </si>
  <si>
    <t>Desa Tanjung Hara Kecamatan Danau Seluluk</t>
  </si>
  <si>
    <t>Bangunan Pustu Tanjung Hara</t>
  </si>
  <si>
    <t>Jl. Pratama Kecamatan Danau Seluluk</t>
  </si>
  <si>
    <t>Bangunan Puskesmas Asam Baru</t>
  </si>
  <si>
    <t>Desa Tanjung Rangas, Kecamatan Danau Seluluk</t>
  </si>
  <si>
    <t>Polindes Tanjung Rangas</t>
  </si>
  <si>
    <t>Pemb. Gudang Logistik P2M PKM Asam Baru</t>
  </si>
  <si>
    <t>Jl. Jendral Soedirman KM. 120 Desa Asam Baru Kec. Danau Seluluk</t>
  </si>
  <si>
    <t>766/P2HP-DINKES/XI/2017</t>
  </si>
  <si>
    <t>Pembangunan Ruang Laboratorium Puskesmas Asam Baru</t>
  </si>
  <si>
    <t>Jl. Jendral sudirman KM.120 Kecamatan Danau Seluluk</t>
  </si>
  <si>
    <t xml:space="preserve"> 59.A/PPK-DINKES/  VIII/2012</t>
  </si>
  <si>
    <t>Relokasi Pembangunan Puskesmas Asam Baru</t>
  </si>
  <si>
    <t>Jl. Padat Karya, Desa Tanjung Hara Kecamatan Danau Seluluk</t>
  </si>
  <si>
    <t>5236/PPK-DINKES/IX/2019</t>
  </si>
  <si>
    <t>Pembangunan Relokasi Puskesmas Pembantu Desa Tanjung Hara</t>
  </si>
  <si>
    <t>1725/PPK/SDMK-DINKES/V/2017</t>
  </si>
  <si>
    <t>Pembangunan Ruang Persalinan Puskesmas Asam Baru</t>
  </si>
  <si>
    <t xml:space="preserve"> 1723/PPK/SDMK-DINKES/V/2017</t>
  </si>
  <si>
    <t>Pembangunan Ruang IGD/UGD Puskesmas Asam Baru</t>
  </si>
  <si>
    <t>Bangunan Puskesmas Pembantu</t>
  </si>
  <si>
    <t>03.01.01.06.012</t>
  </si>
  <si>
    <t>Jl. Jendral Sudirman, KM. 109, Kecamatan, Danau Seluluk</t>
  </si>
  <si>
    <t>188.44/81/2011</t>
  </si>
  <si>
    <t>Pembangunan Pustu Rungau Raya, hibah dari Dinas Kesehatan Provinsi Kalimantan Tengah</t>
  </si>
  <si>
    <t>Pemb. Tempat Parkir PKM Asam Baru</t>
  </si>
  <si>
    <t xml:space="preserve"> 60.C/PPK-DINKES/  VIII/2012</t>
  </si>
  <si>
    <t>Pembangunan Rumah Dinas Dokter PKM Asam Baru</t>
  </si>
  <si>
    <t>Bangunan Rumah Dinas Paramedis Asam Baru</t>
  </si>
  <si>
    <t>Bangunan Rumah Dinas Dokter Asam Baru</t>
  </si>
  <si>
    <t>Pemb. Rumdin Paramedis PKM Asam Baru</t>
  </si>
  <si>
    <t>61.C/PPK-DINKES/VIII/2012</t>
  </si>
  <si>
    <t>Pembangunan Rumah Dinas Paramedis Couple 2 PKM Asam Baru</t>
  </si>
  <si>
    <t>171.A/PPK DINKES/VII/2014</t>
  </si>
  <si>
    <t>Pembangunan Rumah Dinas Paramedis Puskesmas Asam Baru</t>
  </si>
  <si>
    <t>0945/PPK-DINKES/IV/2018</t>
  </si>
  <si>
    <t>Pembangunan Pagar Puskesmas Asam Baru</t>
  </si>
  <si>
    <t>Jl. Jendral Sudirman KM. 120, Desa Asam Baru Kec. Danau Seluluk</t>
  </si>
  <si>
    <t>000.3.2/0975/PPK-DINKES/IX/2024</t>
  </si>
  <si>
    <t>Belanja Modal Pembangunan Pagar Puskesmas Asam Baru</t>
  </si>
  <si>
    <t>Desa Rantau Pulut I, Kec. Seruyan Tengah</t>
  </si>
  <si>
    <t>94.A/PPK DINKES/X/2012</t>
  </si>
  <si>
    <t>Pemasangan Paving Halaman  Puskesmas Rantau Pulut I</t>
  </si>
  <si>
    <t>PUSKESMAS RANTAU PULIT I</t>
  </si>
  <si>
    <t>670</t>
  </si>
  <si>
    <t>Jl. Poros Rantau Pulut-Tumbang Manjul KM. 9 RT. 006/RW.002 Kec. Seruyan Tengah</t>
  </si>
  <si>
    <t>3965/PPK-DINKES/VII/2019</t>
  </si>
  <si>
    <t>Pembangunan Puskesmas Rantau PulutI (DAK FISIK PELAYANAN DASAR)</t>
  </si>
  <si>
    <t>Desa Tangga Batu</t>
  </si>
  <si>
    <t>296.a/DINKES/IX/2011</t>
  </si>
  <si>
    <t>Pembangunan Poskesdes Desa Tangga Batu</t>
  </si>
  <si>
    <t>Desa Teluk Bayur</t>
  </si>
  <si>
    <t>261/DISKES/VIII/2011</t>
  </si>
  <si>
    <t>Pembangunan Poskesdes Desa Teluk Bayur</t>
  </si>
  <si>
    <t>Pemb. Poskesdes Desa Durian Tunggal</t>
  </si>
  <si>
    <t>Desa Rantau Pulut I</t>
  </si>
  <si>
    <t>Pemb. Gudang Logistik P2M PKM R. Pulut I</t>
  </si>
  <si>
    <t>Pemb. Ruang rawat inap PKM R. Pulut I</t>
  </si>
  <si>
    <t>Desa Tumbang Bai</t>
  </si>
  <si>
    <t>116/Sarkes/VI/2010</t>
  </si>
  <si>
    <t>Pembangunan Poskesdes Desa Tumbang Bai</t>
  </si>
  <si>
    <t>Desa Gatung Pengayuh Kec. Seruyan Tengah</t>
  </si>
  <si>
    <t>323/PPK-SDK/DINKES/VII/2015</t>
  </si>
  <si>
    <t>Pembangunan Poskesdes Desa Gantung Pengayuh</t>
  </si>
  <si>
    <t>Desa Tangga Batu Kecamatan Seruyan Tengah</t>
  </si>
  <si>
    <t>695/PPK DINKES/X/2014</t>
  </si>
  <si>
    <t>Pembangunan Pustu Desa Tangga Batu</t>
  </si>
  <si>
    <t>Desa Suka Mandang, Rantau Pulut I</t>
  </si>
  <si>
    <t>Polindes Desa Suka Mandang</t>
  </si>
  <si>
    <t>Tahiting, Rantau Pulut</t>
  </si>
  <si>
    <t>Pemb. Pustu Tahiting</t>
  </si>
  <si>
    <t>Desa Panyumpa Rantau Pulut I Kec. Seruyan Tengah</t>
  </si>
  <si>
    <t>Bangunan Pustu Penyumpa</t>
  </si>
  <si>
    <t>Polindes Desa Rantau Pulut I</t>
  </si>
  <si>
    <t>Desa Ayawan Rantau Pulut I Kec. Seruyan Tengah</t>
  </si>
  <si>
    <t>Bangunan Pustu Ayawan</t>
  </si>
  <si>
    <t>Ds. Rantau Pulut I Kec. Seruyan Tengah</t>
  </si>
  <si>
    <t>Bangunan Gedung Puskesmas Rantau Pulut I</t>
  </si>
  <si>
    <t>Desa Bukit Buluh Rantau Pulut I Kec. Seruyan Tengah</t>
  </si>
  <si>
    <t>Bangunan Pustu Bukit Buluh</t>
  </si>
  <si>
    <t>Desa Suka Mandang Rantau Pulut II Kec. Seruyan Tengah</t>
  </si>
  <si>
    <t>Bangunan Pustu Sukamandang</t>
  </si>
  <si>
    <t>Desa Mugi Panyuhu  Rantau Pulut I Kec. seruyan Tengah</t>
  </si>
  <si>
    <t>Bangunan Pustu Mugi Panyuhu</t>
  </si>
  <si>
    <t>Jl. Poros Rantau Pulut Tumbang Manjul, Kecamatan Seruyan Tengah</t>
  </si>
  <si>
    <t>1189/PPK-DINKES/VII/2022</t>
  </si>
  <si>
    <t>Pembangunan Ruang Puskesmas MAPU PONED Puskesmas  Rantau Pulut I (Perencanaan Rp. 148.814.600, Pembangunan Fisik Rp. 1.220.715.000 dan Pengawasan Rp. 89.910.000)</t>
  </si>
  <si>
    <t>000.3.2/0979/PPK-DINKES/IX/2024</t>
  </si>
  <si>
    <t>Bangunan Pustu Gantung Pengayuh</t>
  </si>
  <si>
    <t>000.3.2/0444/PPK-DIKES/VII/2025</t>
  </si>
  <si>
    <t>Belanja Modal Pembangunan Fisik Rumah Dinas Paramedis Puskesmas Rantau Pulut I</t>
  </si>
  <si>
    <t>Bangunan Rumah Medis (Kepala Puskesmas)</t>
  </si>
  <si>
    <t>Bangunan Rumah Medis</t>
  </si>
  <si>
    <t>Pemb. Rumdin Paramedis PKM Rantau Pulut I</t>
  </si>
  <si>
    <t>Ds. Rantau Pulut I</t>
  </si>
  <si>
    <t>Bangunan Rumah Paramedis (Bidan)</t>
  </si>
  <si>
    <t>Bangunan Rumah Paramedis (Perawat)</t>
  </si>
  <si>
    <t>Jl. Poros Rantau Pulut-Tumbang Manjul Kec. Seruyan Tengah</t>
  </si>
  <si>
    <t>6341/PPK-DINKES/X/2019</t>
  </si>
  <si>
    <t>Pembangunan Rumah Dinas Tenaga Kesehatan Puskesmas Rantau Pulut I (PAD)</t>
  </si>
  <si>
    <t>Puskesmas Rantau Pulut Desa Rantau Pulut Kec. Seruyan Tengah</t>
  </si>
  <si>
    <t>554/PPK-DINKES/VII/2015</t>
  </si>
  <si>
    <t>Pengadaan Kontruksi Tiang Baliho (4 lokasi)</t>
  </si>
  <si>
    <t>Pemb. Pagar PKM R.Pulut I</t>
  </si>
  <si>
    <t xml:space="preserve"> 0094/PPK/DINKES/II/2018</t>
  </si>
  <si>
    <t>Pembangunan Gudang Puskesmas Rantau Pulut II</t>
  </si>
  <si>
    <t>Desa Batu Agung Kec. Seruyan Tengah</t>
  </si>
  <si>
    <t>Bangunan Gedung Puskesmas</t>
  </si>
  <si>
    <t>Desa Panca Jaya Kecamatan Seruyan Tengah</t>
  </si>
  <si>
    <t>526/PPK DINKES/IX/2014</t>
  </si>
  <si>
    <t>Pembangunan Poskesdes Panca Jaya</t>
  </si>
  <si>
    <t>Desa Bumi Jaya Kecamatan Seruyan Tengah</t>
  </si>
  <si>
    <t>530/PPK DINKES/IX/2014</t>
  </si>
  <si>
    <t>Pembangunan Poskesdes Bumi Jaya</t>
  </si>
  <si>
    <t>486/PPK-JAMSARKES/X/2016</t>
  </si>
  <si>
    <t>Pembangunan Ruang Pelayanan Laboratorium Puskesmas Rantau Pulut II</t>
  </si>
  <si>
    <t>Desa Suka Jaya Kec. Sruyan Tengah</t>
  </si>
  <si>
    <t>3185/PPK/SDMK-DINKES/VIII/2017</t>
  </si>
  <si>
    <t>Pembangunan Poskesdes Suka Jaya</t>
  </si>
  <si>
    <t>Desa Suka Jaya, Kecamatan Batu Ampar</t>
  </si>
  <si>
    <t>699/DISKES/VII/2010</t>
  </si>
  <si>
    <t>Bangunan Pustu Suka Jaya</t>
  </si>
  <si>
    <t>Desa Ringin Agung. Kecamatan Batu Ampar</t>
  </si>
  <si>
    <t>698/DISKES/VII/2010</t>
  </si>
  <si>
    <t>Bangunan Pustu Ringin Agung</t>
  </si>
  <si>
    <t>Desa Batu Agung, Kec. Seruyan Tengah</t>
  </si>
  <si>
    <t>871/DINKES/IX/2010</t>
  </si>
  <si>
    <t>Bangunan Ruang Rawat Inap Puskesmas Rantau Pulut II</t>
  </si>
  <si>
    <t>Desa Sukorejo, Kec. Seruyan Tengah</t>
  </si>
  <si>
    <t>827/Dinkes/IX/2010</t>
  </si>
  <si>
    <t>Polindes Sukorejo menjadi Poskesdes</t>
  </si>
  <si>
    <t>873/Dinkes/IX/2010</t>
  </si>
  <si>
    <t>Pembangunan UGD Puskesmas Rantau Pulut II</t>
  </si>
  <si>
    <t>Desa Batu Agung</t>
  </si>
  <si>
    <t>251/DINKES/VIII/2011</t>
  </si>
  <si>
    <t>Pembangunan Selasar Puskesmas Rantau Pulut II</t>
  </si>
  <si>
    <t>1781/PPK-DINKES/II/2018</t>
  </si>
  <si>
    <t>Pembangunan Ruang Rawat Inap Anak Puskesmas Rantau Pulut II</t>
  </si>
  <si>
    <t>1783/PPK-DINKES/VI/2018</t>
  </si>
  <si>
    <t>Pembangunan Ruang Persalinan Puskesmas Rantau Pulut II</t>
  </si>
  <si>
    <t>Desa Sukamakmur, Kecamatan Seruyan Tengah</t>
  </si>
  <si>
    <t>188.44/61/2012</t>
  </si>
  <si>
    <t>Bangunan Pustu Desa Suka Makmur, Hibah Pelepasan Pemerintah Provinsi Kalimantan Tengah</t>
  </si>
  <si>
    <t>Rantau Pulut II</t>
  </si>
  <si>
    <t>Pemb. Garasi PKm Rantau Pulut II</t>
  </si>
  <si>
    <t>Desa Rantau Pulut II Kec. Seruyan Tengah</t>
  </si>
  <si>
    <t>Bangunan Rumah Dinas (Alfi)</t>
  </si>
  <si>
    <t>Desa Rantau Pulut II Kec. SeruyanTengah</t>
  </si>
  <si>
    <t>Bangunan Rumah Dinas (Bidan Suhai)</t>
  </si>
  <si>
    <t>Pemb. Rumdin Doter PKM Rantau Pulut II</t>
  </si>
  <si>
    <t>Pemb. Rumdin Paramedis PKM Rantau Pulut II</t>
  </si>
  <si>
    <t>Bangunan Rumah Dinas Dokter</t>
  </si>
  <si>
    <t>170.b/PPK DINKES/VII/2014</t>
  </si>
  <si>
    <t>Pembangunan Rumah Dinas Paramedis Puskesmas RantauPulut II</t>
  </si>
  <si>
    <t>Pemb. Pagar PKM Rantau Pulut II</t>
  </si>
  <si>
    <t>1245/PPK-DINKES/X/2015</t>
  </si>
  <si>
    <t>Pembangunan Gedung/ Rumah Genset Puskesmas Tumbang Manjul</t>
  </si>
  <si>
    <t>Desa Buntut Sapau Kec. Seruyan Hulu</t>
  </si>
  <si>
    <t>0102/PPK/DINKES/II/2018</t>
  </si>
  <si>
    <t>Poskesdes Desa Buntut Sapau</t>
  </si>
  <si>
    <t>Desa Tumbang Salau Kec. Seruyan Hulu</t>
  </si>
  <si>
    <t>5001/PPK/SDMK-DINKES/X/2017</t>
  </si>
  <si>
    <t>Pembangunan Poskesdes Desa Tumbang Salau</t>
  </si>
  <si>
    <t>Desa Tumbang Taberau Kec. Seruyan Hulu</t>
  </si>
  <si>
    <t>925/PPK/SDMK-DINKES/II/2017</t>
  </si>
  <si>
    <t>Pembangunan Puskesmas Pembantu Desa Tumbang Taberau</t>
  </si>
  <si>
    <t>Desa Tumbang Setawai, Kec. Seruyan Hulu</t>
  </si>
  <si>
    <t xml:space="preserve"> 927/PPK/SDMK-DINKES/II/2017</t>
  </si>
  <si>
    <t>Pembangunan Puskesmas Pembantu Desa Tumbang Setawai</t>
  </si>
  <si>
    <t xml:space="preserve"> 929/PPK/SDMK-DINKES/II/2017</t>
  </si>
  <si>
    <t>Pembangunan Puskesmas Pembantu Desa Buntut Sapau</t>
  </si>
  <si>
    <t>Desa Tanjung Paku Kec, Seruyan Hulu</t>
  </si>
  <si>
    <t xml:space="preserve"> 202/PPK-DINKES/III/2016</t>
  </si>
  <si>
    <t>Pembangunan Puskesmas Pembantu Desa Tanjung Paku</t>
  </si>
  <si>
    <t>Desa Tusuk Belawan Kec. Seruyan Hulu</t>
  </si>
  <si>
    <t>558/PPK-SDK/DINKES/IV/2015</t>
  </si>
  <si>
    <t>Pembangunan Pustu Desa Tusuk Belawan</t>
  </si>
  <si>
    <t xml:space="preserve"> 094/PPK/DINKES/II/2018</t>
  </si>
  <si>
    <t>Pembangunan Ruang Perawatan Isolasi Puskesmas Tumbang Manjul Manjul</t>
  </si>
  <si>
    <t>Desa Mojang Baru Kecamatan Seruyan Hulu</t>
  </si>
  <si>
    <t>1997/PPK-Dinkes/VI/2018</t>
  </si>
  <si>
    <t>Pembangunan Poskesdes Desa Mojang Baru</t>
  </si>
  <si>
    <t xml:space="preserve"> 923/PPK/SDMK-DINKES/II/2017</t>
  </si>
  <si>
    <t>Pembangunan Puskesmas Pembantu Desa Marandang</t>
  </si>
  <si>
    <t>Desa Tumbang Sepan Kec. Seruyan Hulu</t>
  </si>
  <si>
    <t>100/PPK/DINKES/II/2018</t>
  </si>
  <si>
    <t>Pembangunan Puskesmas Pembantu Desa Tumbang  Sepan</t>
  </si>
  <si>
    <t>Desa Kalam, Kec. Seruyan Hulu</t>
  </si>
  <si>
    <t xml:space="preserve"> 57.A/PPK-DINKES/  VIII/2012</t>
  </si>
  <si>
    <t>Pembangunan Poskesdes Desa Kalam</t>
  </si>
  <si>
    <t>874/Dinkes/IX/2010</t>
  </si>
  <si>
    <t>Pembangunan Laboratorium Puskesmas Tumbang Manjul</t>
  </si>
  <si>
    <t>Jl. Sigarang Desa Tumbang manjul Kec. Seruyan Hulu</t>
  </si>
  <si>
    <t xml:space="preserve"> 425/PPK-DINKES/VIII/2016</t>
  </si>
  <si>
    <t>Pembangunan Ruang Pelayanan IGD Puskesmas Tumbang Manjul</t>
  </si>
  <si>
    <t>Desa Tumbang Gugup, Kec. Seruyan Hulu</t>
  </si>
  <si>
    <t>5000/PPK/SDMK-DINKES/X/2017</t>
  </si>
  <si>
    <t>Pembangunan Poskesdes Desa Tumbang Gugup</t>
  </si>
  <si>
    <t>Desa Tumbang Sue Kecamatan Seruyan Hulu</t>
  </si>
  <si>
    <t>690/PPK-JAMSARKES/X/2016</t>
  </si>
  <si>
    <t>Pembangunan Pustu Desa Tumbang Suei</t>
  </si>
  <si>
    <t>Desa Tumbang Bahan Kec. Seruyan Hulu</t>
  </si>
  <si>
    <t>320/PPK-PSDK/DINKES/VII/2015</t>
  </si>
  <si>
    <t>Pembangunan Pustu Desa Tumbang Bahan</t>
  </si>
  <si>
    <t>Desa Tumbang Darap Tumbang Manjul Kec. Seruyan Hulu</t>
  </si>
  <si>
    <t>Bangunan Pustu Tumbang Darap</t>
  </si>
  <si>
    <t>Bangunan Rawat Inap</t>
  </si>
  <si>
    <t>Desa Mojang Baru Tumbang Manjul Kec. Seruyan Hulu</t>
  </si>
  <si>
    <t>Bangunan Pustu Mojang Baru</t>
  </si>
  <si>
    <t>Desa Riam Batang Tumbang Manjul Kec. Seruyan Hulu</t>
  </si>
  <si>
    <t>Bangunan Pustu Riam Batang</t>
  </si>
  <si>
    <t>166</t>
  </si>
  <si>
    <t>Pemb. Rawat Inap  PKM Tumbang Manjul</t>
  </si>
  <si>
    <t>236.5</t>
  </si>
  <si>
    <t>Jl. Desa Tumbang Manjul, Kecamatan Seruyan Hulu</t>
  </si>
  <si>
    <t>1108/PPK-DINKES/VII/2022</t>
  </si>
  <si>
    <t>Pembangunan Ruang Puskesmas MAPU PONED Puskesmas  Tumbang Manjul (Perencanaan Rp. 173.584.400, Pembangunan Fisik Rp. 1.424.673.000 dan Pengawasan Rp. 99.234.000)</t>
  </si>
  <si>
    <t>Garasi</t>
  </si>
  <si>
    <t>Jl. Sagarang, Desa Tumbang Manjul Kec. Seruyan Hulu</t>
  </si>
  <si>
    <t>552/PPK-DINKES/VII/2015</t>
  </si>
  <si>
    <t>Pembangunan Rumah Dinas Paramedis Puskesmas Tumbang Manjul  + Perencanaan dan Pengawasan</t>
  </si>
  <si>
    <t>Bangunan Rumah Dokter</t>
  </si>
  <si>
    <t>Bangunan Paramedis</t>
  </si>
  <si>
    <t>Pemb. Rumdin Paramedis PKM Tumbang Manjul</t>
  </si>
  <si>
    <t>Bangunan Rumah Bidan</t>
  </si>
  <si>
    <t>Puskesmas Tumbang Manjul Kec. Seruyan Hulu</t>
  </si>
  <si>
    <t>1342/PPK-DINKES/X/2015</t>
  </si>
  <si>
    <t>Pembangunan/Pengadaan Kontruksi Tiang Baliho Promosi Kesehatan (4 lokasi)</t>
  </si>
  <si>
    <t>250</t>
  </si>
  <si>
    <t>Pemb. Pagar Beton PKM Tumbang Manjul</t>
  </si>
  <si>
    <t>0096/PPK/DINKES/II/2018</t>
  </si>
  <si>
    <t>Pembangunan Gudang Puskesmas Tumbang Langkai</t>
  </si>
  <si>
    <t>Desa Tumbang Setoli Kec. Suling Tambun</t>
  </si>
  <si>
    <t>322/PPK-PSDK/DINKES/VII/2015</t>
  </si>
  <si>
    <t>Pembangunan Puskesmas Pembantu Tumbang Setoli</t>
  </si>
  <si>
    <t>Desa Tanjung Tukal Kec. Suling Tambun</t>
  </si>
  <si>
    <t>688/PPK-JAMSARKES/X/2016</t>
  </si>
  <si>
    <t>Pembangunan Pustu Tanjung Tukal</t>
  </si>
  <si>
    <t>Desa Rantau Betung Kecamatan Seruyan Hulu</t>
  </si>
  <si>
    <t>517/PPK DINKES/IX/2014</t>
  </si>
  <si>
    <t>Pembangunan Pustu Desa Rantau Betung</t>
  </si>
  <si>
    <t>Desa Tumbang Hentas Kec, Suling Tambun</t>
  </si>
  <si>
    <t>321/PPK-PSDK/DINKES/VII/2015</t>
  </si>
  <si>
    <t>Pembangunan Puskesmas Pembantu Tumbang Hentas</t>
  </si>
  <si>
    <t>Desa Tumbang Salau, Kecamatan Seruyan Hulu</t>
  </si>
  <si>
    <t>51.A/PPK-DINKES/VI/2013</t>
  </si>
  <si>
    <t>Pembangunan Pustu Tumbang Salau</t>
  </si>
  <si>
    <t>Desa Sepundu Hantu, Kecamatan Suling Tambun</t>
  </si>
  <si>
    <t>54.A/PPK-DINKES/VI/2013</t>
  </si>
  <si>
    <t>Pembangunan Pustu Sepundu Hantu</t>
  </si>
  <si>
    <t>Desa Rangkang Munduk, Kecamatan Seruyan Hulu</t>
  </si>
  <si>
    <t>50.A/PPK-DINKES/VI/2013</t>
  </si>
  <si>
    <t>Pembangunan Pustu Rangkang Munduk</t>
  </si>
  <si>
    <t>242/PPK DINKES/VIII/2014</t>
  </si>
  <si>
    <t>Puskesmas Tumbang Langkai</t>
  </si>
  <si>
    <t>953/PPK/SDMK-DINKES/II/2017</t>
  </si>
  <si>
    <t>Pembangunan Ruang Laboratorium Puskesmas Tumbang Langkai</t>
  </si>
  <si>
    <t>Desa Magin, Kec. Seruyan Hulu</t>
  </si>
  <si>
    <t xml:space="preserve"> 58.A/PPK-DINKES/  VIII/2012</t>
  </si>
  <si>
    <t>Pembangunan Poskesdes Desa Magin</t>
  </si>
  <si>
    <t>55.A/PPK-DINKES/VI/2013</t>
  </si>
  <si>
    <t>Pembangunan Pustu Tumbang Laku</t>
  </si>
  <si>
    <t>Desa Rangkang Munduk Kec. Suling Tambun</t>
  </si>
  <si>
    <t>4872/PPK-DINKES/VIII/2019</t>
  </si>
  <si>
    <t>Pembangunan Poskesdes Desa Rangkang Munduk</t>
  </si>
  <si>
    <t>5008/PPK/SDMK-DINKES/X/2017</t>
  </si>
  <si>
    <t>Pembangunan Ruang UGD Puskesmas Tumbang Langkai</t>
  </si>
  <si>
    <t>82</t>
  </si>
  <si>
    <t>Desa Tumbang Langkai Kecc. Suling Tambun</t>
  </si>
  <si>
    <t xml:space="preserve"> 943/PPK/SDMK-DINKES/II/2017</t>
  </si>
  <si>
    <t>Pembangunan Ruang Perawatan Puskesmas Tumbang Langkai</t>
  </si>
  <si>
    <t>Desa Tumbang Kubang Tumbang Manjul Kec. Seruyan Hulu</t>
  </si>
  <si>
    <t>Bangunan Pustu Tumbang Kubang</t>
  </si>
  <si>
    <t>Desa Tumbang Gugup Tumbang Manjul Kec. Seruyan Hulu</t>
  </si>
  <si>
    <t>Bangunan Pustu Tumbang Gugup</t>
  </si>
  <si>
    <t>Desa Tumbang Laku Tumbang Manjul Kec. Seruyan Hulu</t>
  </si>
  <si>
    <t>Bangunan Pustu Tumbang Laku</t>
  </si>
  <si>
    <t>Puskesmas Tumbang Langkai Kec. Suling Tambun</t>
  </si>
  <si>
    <t>000.3.2/0404/PPK-DINKES/VII/2025</t>
  </si>
  <si>
    <t>Bangunan Fisik Penambahan Ruang/ Renovasi Puskesmas Tumbang Langkai</t>
  </si>
  <si>
    <t>Desa Tumbang Langkai Kec. SulingTambun</t>
  </si>
  <si>
    <t>951/PPK/SDMK-DINKES/II/2017</t>
  </si>
  <si>
    <t>Penambahan Bangunan Rumah Dinas Tenaga Kesehatan Puskesmas Tumbang Langkai</t>
  </si>
  <si>
    <t>945/PPK/SDMK-DINKES/II/2017</t>
  </si>
  <si>
    <t>Pembangunan Rumah Dinas Perawat (Couple) Puskesmas Tumbang Langkai</t>
  </si>
  <si>
    <t>947/PPK/SDMK-DINKES/II/2017</t>
  </si>
  <si>
    <t>Pembangunan Rumah Dinas Bidan (Couple) Puskesmas Tumbang Langkai</t>
  </si>
  <si>
    <t>Desa Tumbang Langkai Kec. Sulinng Tambun</t>
  </si>
  <si>
    <t xml:space="preserve"> 949/PPK/SDMK-DINKES/II/2017</t>
  </si>
  <si>
    <t>Pembangunan Rumah Dinas Dokter Puskesmas Tumbang Langkai</t>
  </si>
  <si>
    <t>Desa Tumbang Langkai Kecamatan Suling Tambun</t>
  </si>
  <si>
    <t>Rumah Dokter Puskesmas Tumbang Langkai</t>
  </si>
  <si>
    <t>243/PPK DINKES/VIII/2014</t>
  </si>
  <si>
    <t>Pembangunan Rumah Dinas Paramedis Puskesmas Tumbang Langkai</t>
  </si>
  <si>
    <t>827/PPK-JAMSARKES/XI/2016</t>
  </si>
  <si>
    <t>Rumah Dinas Tenaga Kesehatan Puskesmas Tumbang Langkai (Couple)</t>
  </si>
  <si>
    <t>Desa Sandul, Kecamatan Batu Ampar</t>
  </si>
  <si>
    <t>027/246/K/PPK-DISDIKPORA/IX/20</t>
  </si>
  <si>
    <t>Konstruksi Pembangunan Gedung Kantor UPTD Dikpora Kecamatan Batu Ampar</t>
  </si>
  <si>
    <t>419</t>
  </si>
  <si>
    <t>027/157/PPK-DISDIK/SKT/VIII/20</t>
  </si>
  <si>
    <t>Pembangunan Paving UPTD Pendidikan Kec. Batu Ampar</t>
  </si>
  <si>
    <t>027/114/PPK-DISDIK/V/2017</t>
  </si>
  <si>
    <t xml:space="preserve"> Pembangunan Pagar UPTD Pendidikan Kec. Batu Ampar</t>
  </si>
  <si>
    <t>Desa Derawa, Kecamatan Batu Ampar</t>
  </si>
  <si>
    <t>Kec. Batu Ampar, Kab. Seruyan</t>
  </si>
  <si>
    <t>027/601/DISDIK/SD/VII/2022</t>
  </si>
  <si>
    <t>Pembangunan Ruang Kelas Baru (RKB) beserta perabotnya SD NEGERI-1 DERAWA DAK Fisik 2022</t>
  </si>
  <si>
    <t>027/274/D/PPK-DISDIKPORA/IX/20</t>
  </si>
  <si>
    <t>Pembangunan Perpustakaan SDN 1 Derawa</t>
  </si>
  <si>
    <t>050/1934.12.17/II/DIKDAS/VII/2</t>
  </si>
  <si>
    <t>1 Sek SDN Derawa Kec. Seruyan Tengah</t>
  </si>
  <si>
    <t>027/067/PPK-DISDIK/SKT/V/2018</t>
  </si>
  <si>
    <t>Pembangunan Rumah Dinas Guru (RDG) SDN Derawa</t>
  </si>
  <si>
    <t>Desa Batu Menangis, Kecamatan Batu Ampar</t>
  </si>
  <si>
    <t>175</t>
  </si>
  <si>
    <t>Batu Menangis,Batu Ampar</t>
  </si>
  <si>
    <t>027/858/DISDIK/SD/VII/2023</t>
  </si>
  <si>
    <t>"PEMBANGUNAN RUANG LABORATORIUM KOMPUTER
BESERTA PERABOTNYA SD NEGERI BATU MENANGIS"</t>
  </si>
  <si>
    <t>027/1103/DISDIK/SD/VII/2023</t>
  </si>
  <si>
    <t>"PEMBANGUNAN RUANG UKS BESERTA PERABOTNYA SD
NEGERI BATU MENANGIS"</t>
  </si>
  <si>
    <t>57.5</t>
  </si>
  <si>
    <t>JL. Piere Tendean RT 003/RW 002 Kuala Pembuang</t>
  </si>
  <si>
    <t>"PEMBANGUNAN RUANG PERPUSTAKAAN BESERTA
PERABOTNYA</t>
  </si>
  <si>
    <t>"PEMBANGUNAN RUANG PERPUSTAKAAN BESERTA
PERABOTNYA SD NEGERI BATU MENANGIS"</t>
  </si>
  <si>
    <t>Desa Batu Menangis</t>
  </si>
  <si>
    <t>425.11/039/DIKDAS-DISDIK.I/V/2</t>
  </si>
  <si>
    <t>Pembangunan rumah dinas guru (1 unit)- SD NEGERI BATU MENANGIS  (DAK AFIRMASI 2020)</t>
  </si>
  <si>
    <t>027/227/PPK-DISDIK/VII/2017</t>
  </si>
  <si>
    <t>Pembangunan RDG SDN 1 Batu Menangis</t>
  </si>
  <si>
    <t>147</t>
  </si>
  <si>
    <t>Desa Sahabu, Kecamatan Batu Ampar</t>
  </si>
  <si>
    <t>Sahabu</t>
  </si>
  <si>
    <t>027/867/DISDIK/SD/VII/2022</t>
  </si>
  <si>
    <t>Pembangunan Ruang Guru beserta perabotnya SD NEGERI - 1 SAHABU DAK Fisik 2022</t>
  </si>
  <si>
    <t>Desa Sahabu Kec. Batu Ampar.</t>
  </si>
  <si>
    <t>190/DIKDAS-DISDIK.I/V/2020</t>
  </si>
  <si>
    <t>Pembangunan Ruang Perpustakaan beserta 30203046 -SD NEGERI - I SAHABU DAK SD REGULER 2020 )</t>
  </si>
  <si>
    <t>Desa Durian Kait, Kecamatan Batu Ampar</t>
  </si>
  <si>
    <t>Desa Durian Kait Kec. Batu Ampar</t>
  </si>
  <si>
    <t>027/75/PPK-DISDIK/DIKDAS/VII/2</t>
  </si>
  <si>
    <t>Pembangunan Ruang Kelas Baru (RKB) SDN 1 Durian Kait</t>
  </si>
  <si>
    <t>Durian Kait,Batu Ampar</t>
  </si>
  <si>
    <t>027/1104/DISDIK/SD/VII/2023</t>
  </si>
  <si>
    <t>"PEMBANGUNAN RUANG UKS BESERTA PERABOTNYA SD
NEGERI DURIAN KATT"</t>
  </si>
  <si>
    <t>027/857/DISDIK/SD/VII/2023</t>
  </si>
  <si>
    <t>"PEMBANGUNAN RUANG LABORATORIUM KOMPUTER
BESERTA PERABOTNYA SD NEGERI DURIAN KAIT"</t>
  </si>
  <si>
    <t>050/1638/Sek/VII/2010</t>
  </si>
  <si>
    <t>1 Unit RDG SDN - 1 Durian Kait Kec. Seruyan Tengah</t>
  </si>
  <si>
    <t>Desa Kalang, Kecamatan Batu Ampar</t>
  </si>
  <si>
    <t>191</t>
  </si>
  <si>
    <t>027/6155PPK-DISDIKPORA/IX/2015</t>
  </si>
  <si>
    <t>Pembangunan RKB SDN 1 Kalang, 2 Ruang (Silpa DAK SD 2014)</t>
  </si>
  <si>
    <t>11</t>
  </si>
  <si>
    <t>'027/060//PPK-DISDIKPORA/I/201</t>
  </si>
  <si>
    <t>Pekerjaan Pembangunan WC SDN 1 Kalang</t>
  </si>
  <si>
    <t>kalang</t>
  </si>
  <si>
    <t>027/950/DISDIK/SD/VII/2022</t>
  </si>
  <si>
    <t>Pembangunan Ruang UKS beserta perabotnya SD NEGERI 1 KALANG DAK Fisik 2022</t>
  </si>
  <si>
    <t>235/D/PPK-DISDIKPORA/X/2013</t>
  </si>
  <si>
    <t>314/D/PPK-DISDIKPORA/XI/2013</t>
  </si>
  <si>
    <t>Pembangunan Rumah Dinas Guru SDN - 1 Kalang Kec. Batu Ampar Kabupaten Seruyan</t>
  </si>
  <si>
    <t>Desa Kalang Kec. Batu AMpar</t>
  </si>
  <si>
    <t>027/80/PPK-DISDIK/DIKDAS/VII/2</t>
  </si>
  <si>
    <t>Pembangunan Rumah Dinas Guru (RDG) SDN 1 Kalang</t>
  </si>
  <si>
    <t>Pembangunan WC SDN 1 Sandul</t>
  </si>
  <si>
    <t>027/307/PPK-DISDIK/DIKDAS/IX/2</t>
  </si>
  <si>
    <t>Pembangunan Jamban/WC SDN 1 Sandul</t>
  </si>
  <si>
    <t>JL. Imam Bonjol RT 003/RW 001 Kuala Pembuang II</t>
  </si>
  <si>
    <t>027/931/DISDIK/SD/VII/2023</t>
  </si>
  <si>
    <t>"PEMBANGUNAN RUANG LABORATORIUM KOMPUTER
BESERTA PERABOTNYA SD NEGERI 1 SANDUL"</t>
  </si>
  <si>
    <t>Sandul,Batu Ampar</t>
  </si>
  <si>
    <t>027/1101/DISDIK/SD/VII/2023</t>
  </si>
  <si>
    <t>"PEMBANGUNAN TOILET (JAMBAN) BESERTA
SANITASINYA SD NEGERI 1 SANDUL"</t>
  </si>
  <si>
    <t>050/1934.12.13/II/DIKDAS/VII/2</t>
  </si>
  <si>
    <t>1 Sek SDN 1 Sandul Kec. Batu Ampar</t>
  </si>
  <si>
    <t>027/159/PPK-DISDIK/DIKDAS/VII/</t>
  </si>
  <si>
    <t>Pembangunan Pagar SDN 1 Sandul</t>
  </si>
  <si>
    <t>JL. Karya Mandiri Kec. Batu Ampar</t>
  </si>
  <si>
    <t>027/399/DISDIK/DIKDAS/VII/2021</t>
  </si>
  <si>
    <t>Pembangunan ruang guru beserta perabotnya ( Dak Fisik SD ) SDN 1 SEBABI</t>
  </si>
  <si>
    <t>Bangunan Rumah Sakit Lain-lain dst</t>
  </si>
  <si>
    <t>03.01.01.06.019</t>
  </si>
  <si>
    <t>Jl. Karya Mandiri Desa Sebabi Kab.Seruyan</t>
  </si>
  <si>
    <t>027/403/DISDIK/DIKDAS/VII/2021</t>
  </si>
  <si>
    <t>Pembangunan ruang UKS beserta perabotnya ( DAK FISIK SD )</t>
  </si>
  <si>
    <t>Desa Sebabi, Kecamatan Batu Ampar</t>
  </si>
  <si>
    <t xml:space="preserve"> Desa Sebabi, Kecamatan Batu Ampar</t>
  </si>
  <si>
    <t>233/D/PPK-DISDIKPORA/X/2013</t>
  </si>
  <si>
    <t>074/D/PPK-DISDIKPORA/IX/2013</t>
  </si>
  <si>
    <t>Pembangunan Rumah Dinas Guru SDN-1 Sebabi Kecamatan Batu Ampar Kabupaten Seruyan</t>
  </si>
  <si>
    <t>027/065/PPK-DISDIK/SKT/V/2018</t>
  </si>
  <si>
    <t xml:space="preserve"> Pembangunan Rumah Dinas Guru (RDG) SDN 1 Sebabi</t>
  </si>
  <si>
    <t xml:space="preserve"> Jl. Karya Mandiri Desa Sebabi - Kecamatan Seruyan Raya</t>
  </si>
  <si>
    <t>000.3.3/2259/DISDIK/SD/XI/2024</t>
  </si>
  <si>
    <t xml:space="preserve"> Pekerjaan Pembangunan Pagar Beton SDN 1 Sebabi</t>
  </si>
  <si>
    <t>Desa Sukamulya/CII Sukamandang, Kecamatan Batu Ampar</t>
  </si>
  <si>
    <t>Jl.Teratai No.1,Batu Ampar</t>
  </si>
  <si>
    <t>027/926/DISDIK/SD/VII/2023</t>
  </si>
  <si>
    <t>"PEMBANGUNAN RUANG LABORATORIUM KOMPUTER
BESERTA PERABOTNYA SD NEGERI 1 SUKA MULYA"</t>
  </si>
  <si>
    <t>027/362/D/PPK-DISDIKPORA/IX/20</t>
  </si>
  <si>
    <t>Pembangunan Perpustakaan SDN C II Sukamandang</t>
  </si>
  <si>
    <t>027/153/PPK-DISDIK/V/2017</t>
  </si>
  <si>
    <t xml:space="preserve">   Pembangunan RDG SDN C -II Sukamandang</t>
  </si>
  <si>
    <t>114</t>
  </si>
  <si>
    <t>Desa Wana Tirta/CIII Sukamandang, Kecamatan Batu Ampar</t>
  </si>
  <si>
    <t>313/D/PPK-DISDIKPORA/X/2013</t>
  </si>
  <si>
    <t>Pembangunan Rumah Dinas Guru SDN C - III Sukamandang Kec. Batu Ampar kabupaten Seruyan</t>
  </si>
  <si>
    <t>027/154/PPK-DISDIK/V/2017</t>
  </si>
  <si>
    <t xml:space="preserve">   Pembangunan RDG SDN C -III Sukamandang</t>
  </si>
  <si>
    <t>Jl, Asia Baru Rt.003 Rw.002, Desa Sandul - Kecamatan Batu Ampar</t>
  </si>
  <si>
    <t>000.3.3/555/DISDIK/P3NF/VI/2024</t>
  </si>
  <si>
    <t xml:space="preserve"> Ruang Kelas Baru (RKB) TK Negeri Pembina Batu Ampar</t>
  </si>
  <si>
    <t>TKN PEMBINA BATU AMPAR</t>
  </si>
  <si>
    <t>000.3.3/556/DISDIK/P3NF/VI/2024</t>
  </si>
  <si>
    <t>Ruang Guru/Kepala Sekolah TK Negeri Pembina Batu Ampar</t>
  </si>
  <si>
    <t>027/245/K/PPK-DISDIKPORA/IX/20</t>
  </si>
  <si>
    <t>Konstruksi Pembangunan Gedung Kantor  UPTD Dikpora Kecamatan Suling Tambun</t>
  </si>
  <si>
    <t>027/354/PPK-DISDIK/VIII/207</t>
  </si>
  <si>
    <t>Pembangunan Rumah Dinas UPTD Pendidikan Kecamatan Suling Tambun</t>
  </si>
  <si>
    <t>Desa Tumbang Gugup Kec. Suling Tambun</t>
  </si>
  <si>
    <t>027/132/PPK-DISDIK/DIKDAS/VIII</t>
  </si>
  <si>
    <t>Pembangunan Rumah Dinas Guru (RDG) SDN Tumbang Gugup</t>
  </si>
  <si>
    <t>027/437/PPK-DISDIKPORA/V/2015</t>
  </si>
  <si>
    <t>Pembangunan RKB SDN-1 Tumbang Langkai, Tumbang Hentas</t>
  </si>
  <si>
    <t>4251/081/DIKDAS-DISDIK/V/2020</t>
  </si>
  <si>
    <t>Rumah Dinas Guru (2 unit) 30203820 -SD NEGERI 1 TUMBANG LANGKAI</t>
  </si>
  <si>
    <t>Desa Tumbang Setoli, Kecamatan Suling Tambun</t>
  </si>
  <si>
    <t>027/272/D/PPK-DISDIKPORA/IX/20</t>
  </si>
  <si>
    <t>Pembangunan Perpustakaan SDN 1 Tumbang Setoli</t>
  </si>
  <si>
    <t>027/109/PPK-DISDIK/SKT/VI/2018</t>
  </si>
  <si>
    <t xml:space="preserve"> Pembangunan Rumah Dinas Guru (RDG) SDN Tumbang Setoli</t>
  </si>
  <si>
    <t>Desa Rangkang Munduk, Kecamatan Suling Tambun</t>
  </si>
  <si>
    <t>027/290/D/PPK-DISDIKPORA/IX/20</t>
  </si>
  <si>
    <t>Pembangunan RKB SDN Rangkang Munduk (2 Ruang)</t>
  </si>
  <si>
    <t>027/273/D/PPK-DISDIKPORA/IX/20</t>
  </si>
  <si>
    <t>Pembangunan Perpustakaan SDN 1 Rangkang Munduk</t>
  </si>
  <si>
    <t>308/D/PPK-DISDIKPORA/XI/2013</t>
  </si>
  <si>
    <t>Pembangunan Rumah Dinas Guru SDN 1 Rangkang Munduk</t>
  </si>
  <si>
    <t>Desa Rangkang Munduk</t>
  </si>
  <si>
    <t>027/110/PPK-DISDIK/DIKDAS/VIII</t>
  </si>
  <si>
    <t>Pembangunan Rumah Dinas Guru (RDG) SDN 1 Rangkang Munduk</t>
  </si>
  <si>
    <t>Desa Tumbang Salu, Kecamatan Suling Tambun</t>
  </si>
  <si>
    <t>Desa Tumbang Salau, Kecamatan Suling Tambun</t>
  </si>
  <si>
    <t>027/271/D/PPK-DISDIKPORA/IX/20</t>
  </si>
  <si>
    <t>Pembangunan Perpustakaan SDN I Tumbang Salau</t>
  </si>
  <si>
    <t>027/230/PPK-DISDIK/VII/2017</t>
  </si>
  <si>
    <t>Pembangunan RDG SDN Tumbang Salau</t>
  </si>
  <si>
    <t xml:space="preserve"> Desa Tanjung Tukal, Kecamatan Suling Tambun</t>
  </si>
  <si>
    <t>264/D/PPK-DISDIKPORA/X/2013</t>
  </si>
  <si>
    <t>Desa Tanjung Tungkal, Kecamatan Suling Tambun</t>
  </si>
  <si>
    <t>027/283/PPK-DISDIK/VII/2017</t>
  </si>
  <si>
    <t>Pembangunan  RDG SDN Tanjung Tukal</t>
  </si>
  <si>
    <t>Desa Tumbang Magin, Kecamatan Suling Tambun</t>
  </si>
  <si>
    <t>027/283/D/PPK-DISDIKPORA/IX/20</t>
  </si>
  <si>
    <t>Pembangunan RKB SDN 1 Tumbang Magin ( 1 ruang)</t>
  </si>
  <si>
    <t>027/277/D/PPK-DISDIKPORA/IX/20</t>
  </si>
  <si>
    <t>Pembangunan Perpustakaan SDN Tumbang Magin</t>
  </si>
  <si>
    <t>307/D/PPK-DISDIKPORA/X/2013</t>
  </si>
  <si>
    <t>Pembangunan Rumah Dinas Guru SDN Tumbang Magin Kec. Suling Tambun Kabupaten Seruyan</t>
  </si>
  <si>
    <t>Desa Tumbang Magin</t>
  </si>
  <si>
    <t>425.11/028/DAK-SD-DISDIK.I/V/2</t>
  </si>
  <si>
    <t>Pembangunan Rumah Dinas Guru (RDG) SDN 1 Tumbang Magin (DAK AFIRMASI 2019)</t>
  </si>
  <si>
    <t>027/037/PPK-DISDIK/SKT/V/2018</t>
  </si>
  <si>
    <t xml:space="preserve">  Pembangunan Rumah Dinas Guru (RDG) SDN Tumbang Magin</t>
  </si>
  <si>
    <t>Desa Rantau Betung, Kecamatan Suling Tambun</t>
  </si>
  <si>
    <t>027/278/D/PPK-DISDIKPORA/IX/2</t>
  </si>
  <si>
    <t>Pembangunan RKB SDN Rantau Betung ( 1 ruang)</t>
  </si>
  <si>
    <t>027/616/PPK-DISDIKPORA/IX/2015</t>
  </si>
  <si>
    <t>Pembangunan RKB SDN 1 Rantau Betung, 2 Ruang (Silpa DAK SD 2014)</t>
  </si>
  <si>
    <t>'027/057/PPK-DISDIKPORA/I/2016</t>
  </si>
  <si>
    <t>Pekerjaan Pembangunan WC SDN 1 Rantau Betung</t>
  </si>
  <si>
    <t>Desa Rantau Betung</t>
  </si>
  <si>
    <t>425.11/027/DAK-SD-DISDIK.I/V/2</t>
  </si>
  <si>
    <t>Pembangunan Rumah Dinas Guru (RDG) SDN 1 Rantau Betung (DAK AFIRMASI 2019)</t>
  </si>
  <si>
    <t>027/371/D/PPK-DISDIKPORA/IX/20</t>
  </si>
  <si>
    <t>Pembangunan RDG SDN Rantau Betung</t>
  </si>
  <si>
    <t>619</t>
  </si>
  <si>
    <t>Jln. Jend. Sudirman Kec. Seruyan Hilir</t>
  </si>
  <si>
    <t>Bangunan Kantor badan Kesbangpol Linmas
Panjang : 40 m
Lebar : 15 m</t>
  </si>
  <si>
    <t>119</t>
  </si>
  <si>
    <t>Kuala Pembuang II</t>
  </si>
  <si>
    <t>027/363/Kesbang/VII/2009</t>
  </si>
  <si>
    <t>Pembuatan Selasar dan Drynase
P : 119,2 m
L : 1 m</t>
  </si>
  <si>
    <t>KUALA PEMBUANG II</t>
  </si>
  <si>
    <t>027/198/Kesbang/2009</t>
  </si>
  <si>
    <t>PEMBUATAN PLANG NAMA BADAN BETON
P : 2,2 m
L : 4, 10 m</t>
  </si>
  <si>
    <t>jln Muhamad Hatta Kuala Pembuang</t>
  </si>
  <si>
    <t>027/126/Kesbangpol/V/2018</t>
  </si>
  <si>
    <t>Pembuatan Tempat Pembakaran Sampah</t>
  </si>
  <si>
    <t>Jl. Moh. Hatta Kuala Pembuang</t>
  </si>
  <si>
    <t>027/031/PPK/Kesbangpol/V/2017</t>
  </si>
  <si>
    <t>PEMBANGUNAN GUDANG KANTOR</t>
  </si>
  <si>
    <t>Kuala Pembuang Kecamatan Seruyan Hilir</t>
  </si>
  <si>
    <t>027/212.3/Kesbang/IV/2011</t>
  </si>
  <si>
    <t>Pembangunan Tahap I : Rp. 165.500.000 ; Perencanaan Tahap I : Rp. 31.350.000 ; Pengawasan Tahap I : Rp. 6.600.000
Panjang : 10,20 m
Lebar : 16, 60 m</t>
  </si>
  <si>
    <t>Jln. Jend. sudirman Kec. Seruyan Hilir</t>
  </si>
  <si>
    <t>Bangunan Parkir Motor 2
P : 9,30 m
L : 7, 30 m</t>
  </si>
  <si>
    <t>Bangunan parkir Motor 1
P : 7,30 m
L : 9, 30 m</t>
  </si>
  <si>
    <t>JL. Moh Hatta Kuala Pembuang</t>
  </si>
  <si>
    <t>027/127/Kesbangpol/V/2018</t>
  </si>
  <si>
    <t>Taman dan Halaman Aula</t>
  </si>
  <si>
    <t>1444</t>
  </si>
  <si>
    <t xml:space="preserve"> 641.6/198/SPMK-CK/X/2012</t>
  </si>
  <si>
    <t>Taman dan Halaman Gedung Kantor  Badan Kesbangpol</t>
  </si>
  <si>
    <t>JL. Jend. Sudirman Kuala Pembuang</t>
  </si>
  <si>
    <t>027/346/Kesbang/VI/2010</t>
  </si>
  <si>
    <t>Pengadaan Baleho/Konstruksi Rangka
P : 8,10 m 
L : 4 m</t>
  </si>
  <si>
    <t>156.4/Kesbanglinmas/VI/2015</t>
  </si>
  <si>
    <t>pengadaan rangka baliho</t>
  </si>
  <si>
    <t>Jl. A. Yani No. 30 Kuala Pembuang 1</t>
  </si>
  <si>
    <t>445/994.A/PPK/RSUD-BLUD/XI/2021</t>
  </si>
  <si>
    <t>Bangunan Oksigen Generator</t>
  </si>
  <si>
    <t>Jl. A. Yani No. 30, Kuala Pembuang 1</t>
  </si>
  <si>
    <t>445/292/PPK/RSUDKP-BLUD/III/2023</t>
  </si>
  <si>
    <t>Bangunan TPS B3</t>
  </si>
  <si>
    <t>Jl. A. Yani No. 30 Kuala Pembuang 1 (RSUD Kuala Pembuang)</t>
  </si>
  <si>
    <t>445/815/PPK/RSUD-3/XI/2020</t>
  </si>
  <si>
    <t>Bangunan Gudang Oksigen</t>
  </si>
  <si>
    <t>Selasar</t>
  </si>
  <si>
    <t>03.01.01.25.004</t>
  </si>
  <si>
    <t>92.5</t>
  </si>
  <si>
    <t>445/291/PPK/RSUDKP-BLUD/III/2023</t>
  </si>
  <si>
    <t>Selasar CSSD/Kamar Mayat</t>
  </si>
  <si>
    <t>87.2</t>
  </si>
  <si>
    <t>445/293.A/PPK/RSUDKP-BLUD/III/2023</t>
  </si>
  <si>
    <t>Selasar NICU-PICU</t>
  </si>
  <si>
    <t>Jl. A. Yani No. 30, Kuala Pembuang I</t>
  </si>
  <si>
    <t>445/829/PPK/RSUDKP-BLUD/VII/2024</t>
  </si>
  <si>
    <t>Bangunan Parkir lainnya (dst)</t>
  </si>
  <si>
    <t>03.01.01.33.007</t>
  </si>
  <si>
    <t>401</t>
  </si>
  <si>
    <t>445/1102/PPK/RSUDKP-BLUD/VIII/2024</t>
  </si>
  <si>
    <t>Tempat Parkir Terbuka (Selatan Gedung Poliklinik)</t>
  </si>
  <si>
    <t>445/763/PPK/RSUD-3/XI/2020</t>
  </si>
  <si>
    <t>Pintu Pagar Belakang (dekat kamar mayat) dan Pintu masuk depan Rg. SIMRS</t>
  </si>
  <si>
    <t>Kel. Rantau Pulut Kab. Seruyan</t>
  </si>
  <si>
    <t>690/19/SPK-UPTD.AB/DPUPR/VIII/</t>
  </si>
  <si>
    <t>Pengadaan Bangunan Gedung Intalasi SPAM IKK Rantau Pulut</t>
  </si>
  <si>
    <t>Kec. Seruyan Hilir Kab. Seruyan	S:341305 E:11254549</t>
  </si>
  <si>
    <t>640/017/KONTRAK-CK-GK/DPUPR/VI</t>
  </si>
  <si>
    <t>Pembangunan Tempat Parkir Kantor PUPR Kab. Seruyan</t>
  </si>
  <si>
    <t>Kec. Seruyan Tengah - Kab. Seruyan
X: 0624557  Y:09786189</t>
  </si>
  <si>
    <t>621/11.2/SPK-AB/IV/2016</t>
  </si>
  <si>
    <t>Pembangunan Gedung Kantor SPAM IKK Rantau Pulut</t>
  </si>
  <si>
    <t>Kec. Seruyan Hilir Timur 
X : 0633278  Y : 9745037</t>
  </si>
  <si>
    <t>690/03/SPK-AB/IV/2016</t>
  </si>
  <si>
    <t>Pembangunan Gedung Kantor SPAM IKK Kartika Bhakti</t>
  </si>
  <si>
    <t>Rumah/Kantor Pengamat Pengairan Desa Pembuang Hulu Kec. Hanau
Point-A : S 02'29.611 E 112'06.589 Point-D : S 02'29.605 E 112'06.598</t>
  </si>
  <si>
    <t>610/131/SPK/SDA/VII/2016</t>
  </si>
  <si>
    <t>Pembangunan Rumah/Kantor Pengamat Pengairan Desa Pembuang Hulu Kec. Hanau</t>
  </si>
  <si>
    <t>Desa Sembuluh Kec. Danau Sembuluh
X : 0652722  Y : 09698700</t>
  </si>
  <si>
    <t>690/05/SPK-AB/IV/2016</t>
  </si>
  <si>
    <t>Pembangunan Gedung Kantor SPAM IKK Danau Sembuluh</t>
  </si>
  <si>
    <t>Kec. Hanau - Kab. Seruyan
X : 0625690  Y : 09724170</t>
  </si>
  <si>
    <t>690/01/SPK-AB/IV/2016</t>
  </si>
  <si>
    <t>Pembangunan Gedung Kantor SPAM IKK Pembuang Hulu</t>
  </si>
  <si>
    <t>189</t>
  </si>
  <si>
    <t>Kec. Seruyan Tengah - Kab. Seruyan
( S 02' 16.815' / E 112' 09.722" )     ( S 02' 52.542' / E 112' 15.822" )</t>
  </si>
  <si>
    <t>641.6/120.1/KONTRAK-CK/VII/201</t>
  </si>
  <si>
    <t>Pembangunan Gedung Pertemuan Kelurahan Rantau Pulut</t>
  </si>
  <si>
    <t>645.8/08/SPMK-CK/IV/2012</t>
  </si>
  <si>
    <t>Pagar Gedung Kantor</t>
  </si>
  <si>
    <t>2875</t>
  </si>
  <si>
    <t>Jl. A. Yani K. Pembuang</t>
  </si>
  <si>
    <t xml:space="preserve"> 641.6/216/SPMK-CK/XI/2012</t>
  </si>
  <si>
    <t>Kantor Dinas Pekerjaan Umum</t>
  </si>
  <si>
    <t>Sembuluh Raya</t>
  </si>
  <si>
    <t>640/123/Kontrak-PKP/VIII/2012</t>
  </si>
  <si>
    <t>Kantor Pemadam Kebakaran Sektor Sembuluh Raya</t>
  </si>
  <si>
    <t>610/156/IX/ SDA.2011</t>
  </si>
  <si>
    <t>Kantor dan Rumah Pengamat Pengairan Seruyan Hilir</t>
  </si>
  <si>
    <t>856</t>
  </si>
  <si>
    <t>610/156/IX/SDA.2011</t>
  </si>
  <si>
    <t>Gedung Kantor / Rumah Pengamat Pengairan  Kec.Seruyan Hilir Timur</t>
  </si>
  <si>
    <t>641.6/102/IX/CK.2011</t>
  </si>
  <si>
    <t>Box Culvert dan Rehab Pagar Kantor SPAM IKK Danau Sembuluh</t>
  </si>
  <si>
    <t>Jl. Ais Nasution Ds. Sei Undang Kp. II</t>
  </si>
  <si>
    <t>028/05.4/BAST/IX/2017</t>
  </si>
  <si>
    <t>Kantor Desa Sei Undang</t>
  </si>
  <si>
    <t>kec. Seruyan Hilir Timur</t>
  </si>
  <si>
    <t>Usulan Pengalihan Setatus Penggunaan BMD KIB. C</t>
  </si>
  <si>
    <t>231</t>
  </si>
  <si>
    <t>641.6 / 293 / VI / CK.2010</t>
  </si>
  <si>
    <t>Kantor pelayanan terpadu</t>
  </si>
  <si>
    <t>57.6975</t>
  </si>
  <si>
    <t>640/020/SPK-CK-GK/DPUPR/IX/2022</t>
  </si>
  <si>
    <t>Lanjutan Rehab. Kantor Kecamatan Seruyan Hilir Timur, Rehab Plafon dan Atap Rp. 99.800.000,-, Perencanaan 49.772.400,00, Pengawasan 49.672.500,00</t>
  </si>
  <si>
    <t>600.1.15.2/52/SPK-RBG-CK/DPUPR/XI/2024</t>
  </si>
  <si>
    <t>Peningkatan Teras Kantor Bupati Seruyan</t>
  </si>
  <si>
    <t>Ds. Asam Baru Kec. Danau Seluluk</t>
  </si>
  <si>
    <t>600.1.15.2/38/SPK-RBG-CK/DPUPR/X/2024</t>
  </si>
  <si>
    <t>Rehab Bangunan Damkar Asam Baru Kec. Danau Seluluk</t>
  </si>
  <si>
    <t>600.1.15.2/SPK-RBG-CK/DPUPR/IX/2024</t>
  </si>
  <si>
    <t>Rehab Rujab Camat Seruyan Raya</t>
  </si>
  <si>
    <t>Lanjutan Pembangunan Ruang Server Diskominfosandi Kab. Seruyan</t>
  </si>
  <si>
    <t>Gedung Kantor Diskominfosandi Kab. Seruyan</t>
  </si>
  <si>
    <t>641.6/259/X/CK.2011</t>
  </si>
  <si>
    <t>Stand Pameran</t>
  </si>
  <si>
    <t>621.5/168/SPMK-CK/X/2012</t>
  </si>
  <si>
    <t>Siring Halaman Depan Kantor BKD (KIB D ke KIB C)</t>
  </si>
  <si>
    <t>2814</t>
  </si>
  <si>
    <t>Kec. Seruiyan Hilir Kab. Seruyan 
X:670926 Y:9622490</t>
  </si>
  <si>
    <t>640/011/KONTRAK-CK-GK/DPUPR/V/</t>
  </si>
  <si>
    <t>Pengurukan Belakang Kantor Kejaksaan Seruyan</t>
  </si>
  <si>
    <t>1344</t>
  </si>
  <si>
    <t>Kec. Seruyan Hilir Kab. Seruyan	S:032445,9 E:1123244,1</t>
  </si>
  <si>
    <t>640/016/KONTRAK-CK-GK/DPUPR/VI</t>
  </si>
  <si>
    <t>Halaman Parkir Alat Berat Dinas PU</t>
  </si>
  <si>
    <t>Pembangunan Kantin DPUPR Kab. Seruyan Seruyan</t>
  </si>
  <si>
    <t>IPLT Kabupaten Seruyan</t>
  </si>
  <si>
    <t>Kec. Seruyan Hilir Timur Kab. Seruyan 	S; 33402329 E11259654</t>
  </si>
  <si>
    <t>690/80/KONTRAK-UPTD.AB/DPUPR/I</t>
  </si>
  <si>
    <t>Pembangunan Gedung Bahan Kimia SPAM Kartika Bhakti Kec. Seruyan Hilir Timur</t>
  </si>
  <si>
    <t>640/4/KONTRAK-JAM-CK/DPUPR/IX/2023</t>
  </si>
  <si>
    <t>Pembangunan Gudang Bahan Kimia Spam IKK Danau Sembuluh</t>
  </si>
  <si>
    <t>Kec. Seruyan Hilir - Kab. Seruyan
( S 03' 21.622' E 112' 37.912'' )</t>
  </si>
  <si>
    <t>641.6/320/KONTRAK-CK/XI/2015</t>
  </si>
  <si>
    <t>Pembangunan Garasi Alat Berat</t>
  </si>
  <si>
    <t>Sei Undang</t>
  </si>
  <si>
    <t>641.6/58/CK.PU/2009</t>
  </si>
  <si>
    <t>Penunjang Masjid Sei Undang</t>
  </si>
  <si>
    <t>430</t>
  </si>
  <si>
    <t>645.8 / 301 / VI / CK.2010</t>
  </si>
  <si>
    <t>Rehab Mesjid Tumbang Manjul</t>
  </si>
  <si>
    <t>Pembuang Hulu II</t>
  </si>
  <si>
    <t>645.8/164/SPMK-CK/X/2012</t>
  </si>
  <si>
    <t>Musholla Al Barkah</t>
  </si>
  <si>
    <t>Pematang Kambat, Seruyan Hilir Timur</t>
  </si>
  <si>
    <t>641.6/90/KONTRAK-CK/VIII/2012</t>
  </si>
  <si>
    <t>Mesjid Pematang Kambat</t>
  </si>
  <si>
    <t>645.8/81/KONTRAK-CK/IX/2012</t>
  </si>
  <si>
    <t>Langgar Darul Muslim</t>
  </si>
  <si>
    <t xml:space="preserve"> 645.8/78/KONTRAK-CK/IX/2012</t>
  </si>
  <si>
    <t>Langgar Al Karamah</t>
  </si>
  <si>
    <t>645.8/39/KONTRAK-CK/V/2014</t>
  </si>
  <si>
    <t>Perencanaan Teknis Masjid Pembuang Hulu</t>
  </si>
  <si>
    <t>645.8/77/KONTRAK-CK/VIII/2014</t>
  </si>
  <si>
    <t>Belanja Perencanaan Teknis Mesjid Nurul Iman Rantau Pulut</t>
  </si>
  <si>
    <t>103</t>
  </si>
  <si>
    <t>Ds. Sungai Bakau</t>
  </si>
  <si>
    <t>645.8/263/KONTRAK-CK/X/2014</t>
  </si>
  <si>
    <t>Pembangunan Mushola Lokasi Wisata Pantai Sungai Bakau</t>
  </si>
  <si>
    <t>640/30/KONTRAK-PBL-CK/DPUPR/VII/2023</t>
  </si>
  <si>
    <t>Pembangunan Mushola Rujab Wakil Bupati Kecamatan Seruyan Hilir</t>
  </si>
  <si>
    <t>Kec. Batu Ampar - Kab. Seruyan</t>
  </si>
  <si>
    <t>641.6/257/KONTRAK-CK/IX/2015</t>
  </si>
  <si>
    <t>Pembangunan Aula Serba Guna Kecamatan Batu Ampar</t>
  </si>
  <si>
    <t>sseruyan</t>
  </si>
  <si>
    <t>640/004/KONTRAK-CK-GK/DPUPR/IV</t>
  </si>
  <si>
    <t>Lanjutan Pembangunan Aula Gedung Kantor Dinas PUPR</t>
  </si>
  <si>
    <t>600.1.15.2/28/SPMK-PBG-CK/DPUPR/IX/2024</t>
  </si>
  <si>
    <t>Pembangunan Aula Kantor Kecamatan Seruyan Hilir</t>
  </si>
  <si>
    <t>600.1.15.2/31/SPK-RBG-CK/DPUPR/IX/2024</t>
  </si>
  <si>
    <t>Rehab Aula Kecamatan Seruyan Raya</t>
  </si>
  <si>
    <t>600.1.15.2/35/SPK-RBG-CK/DPUPR/IX/2024</t>
  </si>
  <si>
    <t>Rehab Gedung Serba Guna Kec. Hanau</t>
  </si>
  <si>
    <t>Pembangunan Aula Kelurahan Kuala Pembuang II Kec Seruyan Hilir</t>
  </si>
  <si>
    <t>Pembangunan Aula Kelurahan Kuala Pembuang I Kec Seruyan Hilir</t>
  </si>
  <si>
    <t>Desa Bangun Harja, Kecamatan Seruyan Hilir Timur Kabupaten Seruyan</t>
  </si>
  <si>
    <t>412.10/BA/Dc/2025</t>
  </si>
  <si>
    <t>Sawung Meeting 1 Unit Desa Bangun Harja, Kecamatan Seruyan Hilir Timur Kabupaten Seruyan</t>
  </si>
  <si>
    <t>645.8/172/KONTRAK-CK/X/2014</t>
  </si>
  <si>
    <t>Pembangunan Astaka (Knok Down) (DDL)</t>
  </si>
  <si>
    <t>202</t>
  </si>
  <si>
    <t>645.8/160/KONTRAK-CK/X/2014</t>
  </si>
  <si>
    <t>Pembangunan Panggung Kafilah (Knok Down) (DDL)</t>
  </si>
  <si>
    <t>645.8/277/KONTRAK-CK/XI/2015</t>
  </si>
  <si>
    <t>Pembuatan Rangka Besi ( KNOCK DOWN ) Tower Air Untuk Kegiatan MTQ</t>
  </si>
  <si>
    <t>486</t>
  </si>
  <si>
    <t xml:space="preserve"> 645.8 / 396 / VII / CK.2010</t>
  </si>
  <si>
    <t>MTQ Tumbang Manjul</t>
  </si>
  <si>
    <t>1608</t>
  </si>
  <si>
    <t>645.8/18/III/CK.2011</t>
  </si>
  <si>
    <t>Bangunan MTQ Hanau</t>
  </si>
  <si>
    <t>641.6/21/SPMK-CK/IV/2012</t>
  </si>
  <si>
    <t>Stand KALTENG EXPO 2012</t>
  </si>
  <si>
    <t xml:space="preserve"> 645.8/05/SPMK-CK/III/2012</t>
  </si>
  <si>
    <t>Bangunan MTQ Tahun 2012</t>
  </si>
  <si>
    <t>645.8/06/SPMK-CK/II/2013</t>
  </si>
  <si>
    <t>Pembangunan Pasar Rakyat MTQ 2013</t>
  </si>
  <si>
    <t>645.8/04/SPMK-CK/II/2013</t>
  </si>
  <si>
    <t>Pembangunan Mimbar MTQ 2013</t>
  </si>
  <si>
    <t>645.8/05/SPMK-CK/II/2013</t>
  </si>
  <si>
    <t>Pembangunan Astaka MTQ 2013</t>
  </si>
  <si>
    <t>23940</t>
  </si>
  <si>
    <t>645.8/07/SPMK-CK/II/2013</t>
  </si>
  <si>
    <t>Penataan Lingkungan MTQ 2013</t>
  </si>
  <si>
    <t>768</t>
  </si>
  <si>
    <t>645.8/04/SPMK-CK/III/2014</t>
  </si>
  <si>
    <t>Aksesoris Astaka MTQ</t>
  </si>
  <si>
    <t>288</t>
  </si>
  <si>
    <t>645.8/05/SPMK-CK/III/2014</t>
  </si>
  <si>
    <t>Panggung Mimbar MTQ</t>
  </si>
  <si>
    <t>257</t>
  </si>
  <si>
    <t>Kab.Seruyan</t>
  </si>
  <si>
    <t>645.8/03/SPMK-CK/III/2014</t>
  </si>
  <si>
    <t>Belanja Modal Pengadaan Panggung Astaka MTQ</t>
  </si>
  <si>
    <t>645.8/161/KONTRAK-CK/X/2014</t>
  </si>
  <si>
    <t>Pengadaan Aksesories Panggung MTQ (DDL)</t>
  </si>
  <si>
    <t>645.8/276/KONTRAK-CK/XI/2015</t>
  </si>
  <si>
    <t>Perencanaan Teknis Mimbar Astaka MTQ 2016</t>
  </si>
  <si>
    <t>Wisata Sungai Bakau
X : 0587456, Y : 9876205</t>
  </si>
  <si>
    <t>645.1 / 010 / KONTRAK-CK / III</t>
  </si>
  <si>
    <t>Pembangunan Toilet Umum Lokasi Wisata Sungai Bakau (KIB D ke KIB C)</t>
  </si>
  <si>
    <t>1104</t>
  </si>
  <si>
    <t>Ds. Danau Sembuluh</t>
  </si>
  <si>
    <t>643.1/95/KONTRAK-CK/IX/2014</t>
  </si>
  <si>
    <t>Pembangunan GOR Bulu Tangkis Danau Sembuluh (DDL)</t>
  </si>
  <si>
    <t>640/25/KONTRAK-PBG-CK/DPUPR/VIII/2023</t>
  </si>
  <si>
    <t>Lanjutan Pembangunan GOR Indoor Kuala Pembuang</t>
  </si>
  <si>
    <t>Kec. Seruyan Hilir Kab. Seruyan_x000D_
S:21050501 E:1123204113</t>
  </si>
  <si>
    <t>640/009/KONTRAK-CK-SOR/DPUPR/X</t>
  </si>
  <si>
    <t>Pembangunan Lapangan Tembak Perbakin Kabupaten Seruyan</t>
  </si>
  <si>
    <t>600.1.15.2/18/SPK-RGB-CK/DPUPR/VIII/2024</t>
  </si>
  <si>
    <t>Rehab Stadion Kertapati Danau Sembuluh Kec. Danau Sembuluh</t>
  </si>
  <si>
    <t>Rehab Stadion Gagah Lurus Kuala Pembuang</t>
  </si>
  <si>
    <t>Pembangunan Lapangan Volly di Kuala Pembuang</t>
  </si>
  <si>
    <t>645.8/06/SPMK-CK/III/2014</t>
  </si>
  <si>
    <t>Pengadaan Tenda Pasar Rakyat MTQ</t>
  </si>
  <si>
    <t>Kec. Seruyan Hilir Kab. Seruyan
S:3'24'21.0429'' E:112'33'30.6501''</t>
  </si>
  <si>
    <t>640/021/KONTRAK-CK-RG/DPUPR/IX</t>
  </si>
  <si>
    <t>Rehab Pos TNI AL Kec. Seruyan Hilir</t>
  </si>
  <si>
    <t>600.1.17.3/001/SPK-CK-PSPP/DPUPR/X/2024</t>
  </si>
  <si>
    <t>Pembangunan Pos Jaga TPA Kabupaten Seruyan</t>
  </si>
  <si>
    <t>Kec. Danau Sembuluh</t>
  </si>
  <si>
    <t>600.1.15.2/29/SPK-RBG-CK/DPUPR/IX/2024</t>
  </si>
  <si>
    <t>Pembangunan Pos DAMKAR Kec. Danau Sembuluh</t>
  </si>
  <si>
    <t>Pos Jaga Kantor DPUPR Kab. Seruyan</t>
  </si>
  <si>
    <t>Pembangunan Siring Halaman Pos POLAIRUD Kab. Seruyan</t>
  </si>
  <si>
    <t>640/037/KONTRAK-CK-GK/DPUPR/VI</t>
  </si>
  <si>
    <t>Pembangunan Garasi alat berat Dinas PUPR Kab. Seruyan Tahap II + Pembangunan Garasi Alat Berat Dinas PU Kab. Seruyan ( 399.250.000 + 189.644.000 )</t>
  </si>
  <si>
    <t>640/020.1/ADDENDUM KONTRAK-CK-</t>
  </si>
  <si>
    <t>Pembangunan Garasi Pemadam Kebakaran Kec. Danau Sembuluh</t>
  </si>
  <si>
    <t>Pembangunan Parkir Kantor DPUPR Kab. Seruyan</t>
  </si>
  <si>
    <t>640/11/KONTRAK-PBL-CK/DPUPR/VI/2023</t>
  </si>
  <si>
    <t>640/16/KONTRAK-PBL-CK/DPUPR/VI/2023</t>
  </si>
  <si>
    <t>Lanjutan Penataan Halaman Taman Rujab Wakil Bupati Seruyan</t>
  </si>
  <si>
    <t>640 / 51 / KONTRAK-PBG-CK /DPUPR/ X / 2023</t>
  </si>
  <si>
    <t>Peningkatan Halaman Dinas Pekerjaan Umum dan Penataan Ruang Kabupaten Seruyan</t>
  </si>
  <si>
    <t>600.1.15.2/47/KONTRAK-RBG-CK/DPUPR/XI/2024</t>
  </si>
  <si>
    <t>Lanjutan Penataan Halaman Kantor Bupati Seruyan</t>
  </si>
  <si>
    <t>600.1.15.2/8/KONTRAK-RBG-CK/DPUPR/V/2024</t>
  </si>
  <si>
    <t>Lanjutan Peningkatan dan Penataan Halaman Kantor Bupati Seruyan</t>
  </si>
  <si>
    <t>Halaman Kantor LABKESDA Kab. Seruyan (PU-CK)</t>
  </si>
  <si>
    <t>600.1.15.3/39/SPK-RBG-CK/DPUPR/X/2024</t>
  </si>
  <si>
    <t>Lanjutan Pembangunan Perumahan di Rujab Wakil Ketua II Kuala Pembuang II Kec. Seruyan Hilir</t>
  </si>
  <si>
    <t>621.5/167/KONTRAK-CK/X/2012</t>
  </si>
  <si>
    <t>Siring Rujab Kejari</t>
  </si>
  <si>
    <t>Kabupaten Seruyan _x000D_
S: 0323409 E: 11232217</t>
  </si>
  <si>
    <t>640/009/KONTRAK-CK-RMJ/DPUPR/X</t>
  </si>
  <si>
    <t>Pembangunan Ruang kamar tamu Rujab Wakil Ketua DPRD Kab. Seruyan</t>
  </si>
  <si>
    <t>Jl. Gg. Pemuda, K. Pembuang</t>
  </si>
  <si>
    <t>645.8/222/SPMK-CK/X/2012</t>
  </si>
  <si>
    <t>Rumah Jabatan Kepala Dinas Pekerjaan Umum</t>
  </si>
  <si>
    <t>600.1.15.3/34.1/SPK-RPG-CK/DPUPR/X/2024</t>
  </si>
  <si>
    <t>Rehab Rumah Dinas Sekda Kab. Seruyan</t>
  </si>
  <si>
    <t>Rehab Rumah Dinas Camat Batu Ampar Kec Batu Ampar</t>
  </si>
  <si>
    <t>500</t>
  </si>
  <si>
    <t>Kec. Danau Sembuluh
X : 0653245        Y : 9697918</t>
  </si>
  <si>
    <t>621.2/06/KONTRAK-PR/V/2016</t>
  </si>
  <si>
    <t>Pembangunan Sarana dan Prasarana Rumah Dinas DAMKAR Kec. Danau Sembuluh</t>
  </si>
  <si>
    <t>641.6/63/VII/CK.2011</t>
  </si>
  <si>
    <t>Rumah Jabatan Kepala SPAM IKK Kec. Hanau</t>
  </si>
  <si>
    <t>Mess PNS Kec. Batu Ampar
X : 0628527  Y : 09748774</t>
  </si>
  <si>
    <t>641.2/015/KONTRAK-PR/IV/2016</t>
  </si>
  <si>
    <t>Pembangunan Mess PNS Kec. Batu Ampar</t>
  </si>
  <si>
    <t>641</t>
  </si>
  <si>
    <t>kab. seruyan</t>
  </si>
  <si>
    <t>640/003/KONTRAK-CK-RMD/VI/2020</t>
  </si>
  <si>
    <t>Lanjutan Pembangunan Rumah Untuk ODGJ/Orang Terlantar</t>
  </si>
  <si>
    <t>Pembangunan Mess pegawai Kantor Kecamatan Batu Ampar</t>
  </si>
  <si>
    <t>600.1.15.2/SPK-PBG-CK/DPUPR/IX/2024</t>
  </si>
  <si>
    <t>Rehab Mess Kecamatan Danau Sembuluh (Eks. Kantor Camat ) Desa Telaga Pulang Kecamatan Danau Sembuluh</t>
  </si>
  <si>
    <t>Pembangunan Mess TNI AL Kuala Pembuang</t>
  </si>
  <si>
    <t>Asrama Permanen</t>
  </si>
  <si>
    <t>03.01.02.05.001</t>
  </si>
  <si>
    <t>641.6/82/KONTRAK-CK/IX/2012</t>
  </si>
  <si>
    <t>Asrama Polisi Kec. Seruyan Hilir</t>
  </si>
  <si>
    <t>Jl. Sampit- K. Pembuang Ds. Pematang Kambat Kec. Hilir Timur</t>
  </si>
  <si>
    <t>249</t>
  </si>
  <si>
    <t>33/PAN/SETDA/KAB-SER/2006</t>
  </si>
  <si>
    <t>1734</t>
  </si>
  <si>
    <t>Jln.Ahmad Yani Kuala Pembuang</t>
  </si>
  <si>
    <t>600/300/Sekret-PU/VIII/2014</t>
  </si>
  <si>
    <t>Belanja Modal Pengadaan Kontruksi Besi Baleho Dinas PU</t>
  </si>
  <si>
    <t>640/068/KONTRAK-CK-PP/DPUPR/IX/2023</t>
  </si>
  <si>
    <t>Rehab Bundaran II ( Jalan A.yani-Jalan Gajah Mada) Kecamatan Seruyan Hilir</t>
  </si>
  <si>
    <t>640/060/KONTRAK-CK-PP/DPUPR/VIII/2023</t>
  </si>
  <si>
    <t>Rehab Bundaran I (Jalan A.yani-Jalan adam Malik-Jalan Cilik Riwut) Kecamatan Seruyan Hilir</t>
  </si>
  <si>
    <t>640/057/KONTRAK-CK-PP/DPUPR/VIII/2023</t>
  </si>
  <si>
    <t>Bundaran KB Pematang Kambat Kecamatan Seruyan Hilir Timur</t>
  </si>
  <si>
    <t>Kec. Hanau Kab. Seruyan
Titik Awal  ( S 02' 20.319' - E 112 ' 07.005' ) Titik Akhir  ( S 02' 29.309'' - E 112' 06.594' )</t>
  </si>
  <si>
    <t>645.8 / 236 / KONTRAK-CK / VII</t>
  </si>
  <si>
    <t>TPU Kec. Hanau (Pagar Tahap II)</t>
  </si>
  <si>
    <t>Kec. Seruyan Tengah - Kab. Seruyan
 ( S 01'55'.335 / E 112 06.667' )</t>
  </si>
  <si>
    <t>645.8/166/KONTRAK-CK/VII/2015</t>
  </si>
  <si>
    <t>Makam Umum Kelurahan Rantau Pulut Kec. Seruyan Tengah (Lanjutan Pagar)</t>
  </si>
  <si>
    <t>Tugu/Tanda Batas Administrasi Kabupaten</t>
  </si>
  <si>
    <t>03.04.01.01.003</t>
  </si>
  <si>
    <t>Tugu Tanda batas Administrasi Kabupaten</t>
  </si>
  <si>
    <t>Jl. Cilik Riwut (Arah Segintung), KP. II</t>
  </si>
  <si>
    <t>645.8/270/KONTRAK-CK/X/2014</t>
  </si>
  <si>
    <t>Pembangunan Pagar Kuburan Kristen Kuala Pembuang II Tahap II (DDL)</t>
  </si>
  <si>
    <t>1075</t>
  </si>
  <si>
    <t>Ds. Pembuang Hulu, Hanau</t>
  </si>
  <si>
    <t>641.6/128/KONTRAK-CK/IX/2014</t>
  </si>
  <si>
    <t>Pembangunan Pagar SPAM IKK Hanau ( DAU )</t>
  </si>
  <si>
    <t>Kec. Seruyan Hilir - Kab. Seruyan
( S 03' 21'426  E 112 33'313 ) - ( S 03' 21'433  E 112 33'309 ) -( S 03' 21'420  E 112 33'302 ) -( S 03' 21'429  E 112 33'296 )</t>
  </si>
  <si>
    <t>641.6/128/KONTRAK-CK/VI/2015</t>
  </si>
  <si>
    <t>Pembangunan Pagar Kantor Desa Persil Raya</t>
  </si>
  <si>
    <t>246</t>
  </si>
  <si>
    <t>645.8/16/SPMK-CK/2013</t>
  </si>
  <si>
    <t>Pembangunan Pagar Kuburan Kristen Kuala Pembuang</t>
  </si>
  <si>
    <t>11826</t>
  </si>
  <si>
    <t>Kec. Hanau Kab. Seruyan	_x000D_
S:22940647 E:11263741346</t>
  </si>
  <si>
    <t>640/030/KONTRAK-CK-GK/DPUPR/VI</t>
  </si>
  <si>
    <t>Pembuatan Pagar Keliling Kantor Camat Hanau Jalan Bakrie Entong Pembuang Hulu I Kec. Hanau</t>
  </si>
  <si>
    <t>Jl. Cilik Riwut</t>
  </si>
  <si>
    <t>640/014/KONTRAK-CK-AL/DPUPR/VIII/2022</t>
  </si>
  <si>
    <t>Pembangunan Pagar Halaman IPLT Kab. Seruyan</t>
  </si>
  <si>
    <t xml:space="preserve"> Kec. Hanau - Kab. Seruyan
Titik Awal S 02' 29.4232' E 112' 08.007'' Titik Akhir S 02' 29.219  E 112' 08.013''</t>
  </si>
  <si>
    <t>645.8/137/KONTRAK-CK/X/2015</t>
  </si>
  <si>
    <t>Pembangunan Pagar Makam Muslimin Pembuang Hulu</t>
  </si>
  <si>
    <t>69</t>
  </si>
  <si>
    <t>Kec. Seruyan Hilir Kab. Seruyan
Titik Awal ( S 03' 22.364 - E 112 33.095' )</t>
  </si>
  <si>
    <t>645.8/144/KONTRAK-CK/VI/2015</t>
  </si>
  <si>
    <t>Pembangunan Pagar TPU Muslimin Jalan Gatot Subroto Kuala Pembuang</t>
  </si>
  <si>
    <t>Kec. Hanau - Kab. Seruyan
( S 02' 29.428' / E 112' 07.560" )     ( S 02' 29.418' / E 112' 07.562" )</t>
  </si>
  <si>
    <t>645.8/138/KONTRAK-CK/VI/2015</t>
  </si>
  <si>
    <t>Pembangunan Pagar Kuburan Muslimin Pembangunan Hulu I</t>
  </si>
  <si>
    <t>Kec. Hanau - Kab. Seruyan
( S 02' 29.319' / E 112' 08.061" )  ( S 02' 29.329' / E 112' 08.049" ) ( S 02' 29.311' / E 112' 08.032" )  ( S 02' 29.031' / E 112' 08.039" )  ( S 02' 29.305' / E 112' 08.047</t>
  </si>
  <si>
    <t>645.8/139/KONTRAK-CK/VI/2015</t>
  </si>
  <si>
    <t>Pembangunan Pagar Kuburan Muslimin Masjid At - Taqwa Pembuang Hulu I</t>
  </si>
  <si>
    <t>1880</t>
  </si>
  <si>
    <t>Jl. AIS. Nasution, K. Pembuang</t>
  </si>
  <si>
    <t>641.6/88/CK .PU/2009</t>
  </si>
  <si>
    <t>Pagar dan Pintu Gerbang Kuburan Cina</t>
  </si>
  <si>
    <t>645.8/102/IX/CK.2011</t>
  </si>
  <si>
    <t>Pagar dan Pintu Gerbang Kuburan Muslimin</t>
  </si>
  <si>
    <t>207</t>
  </si>
  <si>
    <t>Pembuang Hulu I</t>
  </si>
  <si>
    <t xml:space="preserve"> 645.8/88/KONTRAK-CK/VIII/2012</t>
  </si>
  <si>
    <t>Pagar Kuburan Desa Pembuang Hulu I</t>
  </si>
  <si>
    <t>Jl. Mulyono, KP. I</t>
  </si>
  <si>
    <t>645.8/71/SPMK-CK/VII/2013</t>
  </si>
  <si>
    <t>Pembangunan Pagar Kuburan Miftahul Khair</t>
  </si>
  <si>
    <t>645.8/82/KONTRAK-CK/V/2015</t>
  </si>
  <si>
    <t>Perencanaan Pagar Makam Umum di Asam Baru Kec. Danau Seluluk</t>
  </si>
  <si>
    <t>611</t>
  </si>
  <si>
    <t>Jl. Perkantoran III, K. Pembuang</t>
  </si>
  <si>
    <t>641.6 / 356 / VII / CK. 2010</t>
  </si>
  <si>
    <t>Kantor DISTAMBEN</t>
  </si>
  <si>
    <t>Jln. Mohammad Hatta No 05 kuala Pembuang</t>
  </si>
  <si>
    <t>042.2/PPK-PERKIMTAN/X/2018</t>
  </si>
  <si>
    <t>Pengadaan Papan Nama Disperkimtan, Koordinat : x 0671095 y 9622648</t>
  </si>
  <si>
    <t>83/PPK-DISTAMBEN/IX/2014</t>
  </si>
  <si>
    <t>Pembuatan Gudang Kantor Distamben</t>
  </si>
  <si>
    <t>Jl. Muhammad hatta</t>
  </si>
  <si>
    <t>49.2/FISIKIPPK/IX/2019</t>
  </si>
  <si>
    <t>Pembangunan Gedung Kantor Dinas Perumahan, Kawasan Permukiman Dan Pertanahan</t>
  </si>
  <si>
    <t>84/PPK-DISTAMEN/IX/2014</t>
  </si>
  <si>
    <t>Parkir Sebelah Kanan Disperkimtan, Koordinat : x 0671116 y 9622713</t>
  </si>
  <si>
    <t>Parkir Sebelah Kiri Disperkimtan, Koordinat : x 0671067 y 9622707 (eks. Distamben)</t>
  </si>
  <si>
    <t>Jln. Mohammad Hatta No. 5 Kuala Pembuang</t>
  </si>
  <si>
    <t>18.2/PPK/DISPERKIMTAN/X/2022</t>
  </si>
  <si>
    <t>Bangunan Gazebo Disperkimtan Kab. Seruyan</t>
  </si>
  <si>
    <t>Jl. Budi Utomo</t>
  </si>
  <si>
    <t>53.2/FISIK-PPK/X/2019</t>
  </si>
  <si>
    <t>Belanja Modal Pengadaan Pagar Gedung Kantor</t>
  </si>
  <si>
    <t>664</t>
  </si>
  <si>
    <t>Jln. Moh. Hatta, Kuala Pembuang 2, Kecamatan Seruyan Hilir, Kabupaten Seruyan</t>
  </si>
  <si>
    <t>641.6/06/Kontrak-CK/II/.2012</t>
  </si>
  <si>
    <t>Kantor Dinas Sosial</t>
  </si>
  <si>
    <t>Jalan Moh. Hatta</t>
  </si>
  <si>
    <t>623.3/DINSOS/XI/2019</t>
  </si>
  <si>
    <t>Belanja Pembuatan Papan Nama Dinas</t>
  </si>
  <si>
    <t>66/PPABJ-DINSOS/IX/2009</t>
  </si>
  <si>
    <t>Gudang Logistik Bencana</t>
  </si>
  <si>
    <t>Jln. Moh. Hatta, Kelurahan Kuala Pembuang 2, Kecamatan Seruyan Hilir, Kab. seruyan</t>
  </si>
  <si>
    <t>027/18/SPMK-DINSOS/VI/2010</t>
  </si>
  <si>
    <t>Rumah Jaga Gudang</t>
  </si>
  <si>
    <t>Bangunan Lantai Jemur Lain-lain (dst)</t>
  </si>
  <si>
    <t>03.01.01.25.005</t>
  </si>
  <si>
    <t>Jl. Moh. Hatta Kuala Pembuang Dua</t>
  </si>
  <si>
    <t>460/437/DINSOS/XI/2015</t>
  </si>
  <si>
    <t>Lantai dan Tiang Bendera Permanen</t>
  </si>
  <si>
    <t>1232</t>
  </si>
  <si>
    <t>Jl. Moh. Hatta Kuala Pembuang dua</t>
  </si>
  <si>
    <t>122/SPK-DINSOS/X/2015</t>
  </si>
  <si>
    <t>Pembangunan Taman dan Halaman Kantor Dinas Sosial</t>
  </si>
  <si>
    <t>Asrama Lain-lain (dst)</t>
  </si>
  <si>
    <t>03.01.02.05.005</t>
  </si>
  <si>
    <t>Jalan Adiyaksa, Kelurahan Kuala Pembuang 2, Kecamatan Seruyan Hilir, Kab. Seruyan</t>
  </si>
  <si>
    <t>027/42/K.DINSOS/X/2010</t>
  </si>
  <si>
    <t>Dapur Umum Asrama Panti</t>
  </si>
  <si>
    <t>Jalan Adiyaksa, Kelurahan Kuala Pembuang 2, Kecamatan Seruyan Hilir, Kab, Seruyan</t>
  </si>
  <si>
    <t>027/40/K.DINSOS/X/2010</t>
  </si>
  <si>
    <t>Rumah Pengasuh Panti Putri 1</t>
  </si>
  <si>
    <t>jalan Adiyaksa, Kelurahan Kuala Pembuang 2, Kecamatan Seruyan Hilir, Kab. Seruyan</t>
  </si>
  <si>
    <t>027/46/K.DINSOS/X/2010</t>
  </si>
  <si>
    <t>Rumah Pengasuh Panti Putra 1</t>
  </si>
  <si>
    <t>027/03/K-DINSOS/III/2010</t>
  </si>
  <si>
    <t>Rumah Pengasuh Panti Putri 2</t>
  </si>
  <si>
    <t>13.1/DINSOS/IV/2011</t>
  </si>
  <si>
    <t>Rumah Pengasuh Panti Putra 2</t>
  </si>
  <si>
    <t>960</t>
  </si>
  <si>
    <t>TUMBANG MANJUL</t>
  </si>
  <si>
    <t>TUGU MAKAM PAHLAWAN ( TUMBANG MANJUL )
Panjang : 44, 60 m
Lebar : 21, 54 m</t>
  </si>
  <si>
    <t>TUGU MAKAM PAHLAWAN
Lebar : 7,30 m
Panjang : 5,30 m
SIRING BETON
Panjang : 156,40 m
Lebar : 70 m</t>
  </si>
  <si>
    <t>JL. Uyup Urip RT.III/001 Pembuang Hulu II</t>
  </si>
  <si>
    <t>460/        /DINSOS/V/2020</t>
  </si>
  <si>
    <t>TMP di Hanau : Rp. 176.991.000 ; Perencanaan : Rp. 12.210.000 ; Pengawasan : Rp. 7.000.000</t>
  </si>
  <si>
    <t>460/181.1/SPK-DINSOS/V/2016</t>
  </si>
  <si>
    <t>Pondasi Pagar UPKS</t>
  </si>
  <si>
    <t>Ds. Tb. Kubang Kec. Seruyan Hulu</t>
  </si>
  <si>
    <t>05/ADPUM-SETDA/VI/2009</t>
  </si>
  <si>
    <t>Kantor Camat Sepan Biha</t>
  </si>
  <si>
    <t>Ds. Batu Agung/Durian Kait Kec. Seruyan Tengah</t>
  </si>
  <si>
    <t>11/ADPUM-SETDA/VI/2009</t>
  </si>
  <si>
    <t xml:space="preserve"> Kantor Camat Natai Kelampai</t>
  </si>
  <si>
    <t>Ds. Tb. Darap Kec. Seruyan Hulu</t>
  </si>
  <si>
    <t>107/ADPUM-SETDA/VI/2009</t>
  </si>
  <si>
    <t>Kantor Camat Seruyan Hulu Utara</t>
  </si>
  <si>
    <t>Jl. Ayani, Kuala Pembuang</t>
  </si>
  <si>
    <t>Bangunan Gudang P2M</t>
  </si>
  <si>
    <t>Bangunan Gedung Farmasi</t>
  </si>
  <si>
    <t>700</t>
  </si>
  <si>
    <t>Bangunan Dinas Kesehatan</t>
  </si>
  <si>
    <t>297/DINKES/IX/2011</t>
  </si>
  <si>
    <t>Pembangunan Gedung Kantor UPTD Balai Data Surveilent dan Promkes Dinas Kesehatan</t>
  </si>
  <si>
    <t>Jl. A. Yani, Kuala Pembuang Dua, Kec. Seruyan Hilir Kab Seruyan</t>
  </si>
  <si>
    <t>2310/PPK-DINKES/IX/2020</t>
  </si>
  <si>
    <t>Belanja pembangunan Papan Nama Kantor Dinas Kesehatan</t>
  </si>
  <si>
    <t>Dinas Kesehatan Jl. Akmad Yani Kec. Seruyan Hilir</t>
  </si>
  <si>
    <t>Taman Kantor Dinas Kesehatan</t>
  </si>
  <si>
    <t>Jl. A. Yani, Kuala Pembuang, Kecamatan Seruyan Hilir</t>
  </si>
  <si>
    <t>73.A/PPK DINKES/IX/2012</t>
  </si>
  <si>
    <t xml:space="preserve"> Pemasangan  Paving Halaman   Dinkes</t>
  </si>
  <si>
    <t>408/PPK-JAMSARKES/VIII/2016</t>
  </si>
  <si>
    <t>Pembangunan Gudang Arsip/ Dokumen dan Alat Kesehatan</t>
  </si>
  <si>
    <t>Jl. A. Yani Kuala Pembuang Kec Seruyan Hilir</t>
  </si>
  <si>
    <t>380/PPK-PSDK/DINKES/VIII/2015</t>
  </si>
  <si>
    <t>Pembangunan UPTD Laboratorium Kesehatan Daerah (LABKESDA)</t>
  </si>
  <si>
    <t>413.25</t>
  </si>
  <si>
    <t>421/PPK/DINKES-LAB/VII/2023</t>
  </si>
  <si>
    <t>Belanja modal pembangunan gedung labkesda BSL-2</t>
  </si>
  <si>
    <t>Pembangunan Musholla Dinkes</t>
  </si>
  <si>
    <t>Jl. A. Yani Kuala Pembuang Dua</t>
  </si>
  <si>
    <t>4958/PPK-DINKES/VIII/2019</t>
  </si>
  <si>
    <t>Pembangunan Pos Jaga/portal Kantor Dinkes</t>
  </si>
  <si>
    <t>Jl. A. Yani Kuala Pembuang Kecamatan Seruyan Hilir</t>
  </si>
  <si>
    <t>733/PPK DINKES/X/2014</t>
  </si>
  <si>
    <t>Pembangunan Tempat parkir Kendaraan Kantor Dinas Kesehatan (Tempat Parkir Mobil)</t>
  </si>
  <si>
    <t>Jl. A. Yani Kuala Pembuang Kec. Seruyan Hilir</t>
  </si>
  <si>
    <t>Pembangunan Tempat parkir Kendaraan Kantor Dinas Kesehatan (Tempat Parkir Sepeda Motor)</t>
  </si>
  <si>
    <t>182/SARKES/VI/2010</t>
  </si>
  <si>
    <t>Garasi Dinas Kesehatan</t>
  </si>
  <si>
    <t>Pembangunan Parkir Kantor Dinkes</t>
  </si>
  <si>
    <t>384</t>
  </si>
  <si>
    <t>6344/PPK-DINKES/X/2019</t>
  </si>
  <si>
    <t>Pembangunan Parkir belakang Kantor Dinkes</t>
  </si>
  <si>
    <t>Pembangunan Kantin Dinkes</t>
  </si>
  <si>
    <t>Pembuatan Pemasangan Tempat Baliho</t>
  </si>
  <si>
    <t>Desa Tb. Darap Kec. Seruyan Hulu</t>
  </si>
  <si>
    <t>Rumah Dinas Kecamatan Seruyan hulu Utara</t>
  </si>
  <si>
    <t>Desa Tb. Kubang, Kec. Seruyan Hulu</t>
  </si>
  <si>
    <t>40/ADPUM-SETDA/VI/2009</t>
  </si>
  <si>
    <t>Rumah Dinas Camat Sepan Biha</t>
  </si>
  <si>
    <t>Ds. Batu Agung Kec. Seruyan Tengah</t>
  </si>
  <si>
    <t>48/ADPUM-SETDA/VI/2009</t>
  </si>
  <si>
    <t>Rumah Dinas Camat Natai Kelampai</t>
  </si>
  <si>
    <t>Jl. Kesehatan, Kuala Pembuang I</t>
  </si>
  <si>
    <t>153/DISKES/VIII/2011</t>
  </si>
  <si>
    <t>Pembangunan Rumah Dinas Dokter KP I (dpr)</t>
  </si>
  <si>
    <t>Jl. A Yani, Kuala Pembuang</t>
  </si>
  <si>
    <t>Pemb. Pagar Gudang Instalasi Farmasi Kabupaten</t>
  </si>
  <si>
    <t xml:space="preserve"> Jl. Ahmad Yani Kuala Pembuang</t>
  </si>
  <si>
    <t>Areal Jalan Masuk Kantor</t>
  </si>
  <si>
    <t>Bangunan Kantor (s/d 2008) + Penyekatan (2010)</t>
  </si>
  <si>
    <t>027/150/K/PPK-DISDIKPORA/IX/20</t>
  </si>
  <si>
    <t>Pembangunan Dapur Kantor Disdikpora Kab. Seruyan</t>
  </si>
  <si>
    <t>027/872/PPK-DISDIKPORA/XI/2015</t>
  </si>
  <si>
    <t xml:space="preserve"> Pekerjaan Pembangunan Gapura dan Papan Nama Kantor DISDIKPORA</t>
  </si>
  <si>
    <t>209</t>
  </si>
  <si>
    <t>027/584/PPK-DISDIKPORA/IX/2015</t>
  </si>
  <si>
    <t>Pembangunan Gedung Kantor  Dikpora Kab. Seruyan</t>
  </si>
  <si>
    <t>027/252/PPK-DISDIKPORA/IV/2016</t>
  </si>
  <si>
    <t>pembangunan Gedung  Kantor Disdikpora Kab. Seruyan</t>
  </si>
  <si>
    <t>Jl. Ahmad Yani, Kuala Pembuang</t>
  </si>
  <si>
    <t>027/1651/DISDIK/SKT/VIII/2023</t>
  </si>
  <si>
    <t>Pekerjaan Pembangunan Gedung Kantor Baru Dinas Pendidikan Kabupaten Seruyan</t>
  </si>
  <si>
    <t>27.1</t>
  </si>
  <si>
    <t>027/1675/DISDIK/SKT/VIII/2023</t>
  </si>
  <si>
    <t>Pembangunan  Gazebo Dinas Pendidikan Kabupaten Seruyan</t>
  </si>
  <si>
    <t>Jl. Ahmad Yani Kuala Pembuang II - Kecamatan Seruyan Hilir</t>
  </si>
  <si>
    <t xml:space="preserve"> 000.3.2/2166/DISDIK/SKT/XI/2024</t>
  </si>
  <si>
    <t>Pembangunan Tandon Air Ruang Baru</t>
  </si>
  <si>
    <t>Jl A Yani Kuala Pembuang</t>
  </si>
  <si>
    <t>140.5</t>
  </si>
  <si>
    <t xml:space="preserve"> 000.3.3/1441/DISDIK/SKT/IX/2024</t>
  </si>
  <si>
    <t>Pekerjaan Pembangunan Gudang Kantor Dinas Pendidikan Kabupaten Seruyan</t>
  </si>
  <si>
    <t>Kec. Seruyan Tengah - Kab. Seruyan
( S 01'55.387 - E 112 06.998 )</t>
  </si>
  <si>
    <t>645.8/168./KONTRAK-CK/VII/2015</t>
  </si>
  <si>
    <t>Pembangunan Mushola SMPN I Rantau Pulut</t>
  </si>
  <si>
    <t>Kuala Pembuang, Kecamatan Seruyan Hilir</t>
  </si>
  <si>
    <t>Gedung PKBM</t>
  </si>
  <si>
    <t>Desa Pembuang Hulu - Kecamatan Hanau</t>
  </si>
  <si>
    <t>000.3.3/797/DISDIK/SD/XI/2025</t>
  </si>
  <si>
    <t>Gedung Kelas - Pek Pembangunan Gedung Sekolah Dasar Di Natai Tabuk Desa P. Hulu, Kec. Hanau</t>
  </si>
  <si>
    <t>027/253/PPK-DISDIKPORA/IV/2016</t>
  </si>
  <si>
    <t>Pembangunan WC Disdikpora Kab. Seruyan</t>
  </si>
  <si>
    <t>Kec. Seruyan hilir - Kab. Seruyan
S. 03 22 466 E. 112 32 575</t>
  </si>
  <si>
    <t>645.1/005/KONTRAK-CK/III/2016</t>
  </si>
  <si>
    <t>Pengalihan Status Penggunaan Barang Milik Daerah DPUPR ke Dinas Pendidikan</t>
  </si>
  <si>
    <t>SD-5 Kuala Pembuang II
X : 0672837  Y : 9623412</t>
  </si>
  <si>
    <t>645/017/KONTRAK-CK/XI/2016</t>
  </si>
  <si>
    <t>Lingkungan SMP Negeri I Kuala Pembuang 
x : 0671791, Y : 09626105</t>
  </si>
  <si>
    <t>645.1/009/KONTRAK-CK/III/2016</t>
  </si>
  <si>
    <t>Kec. Seruyan hilir Timur- Kab. Seruyan
X : 0671943   Y : 09626080</t>
  </si>
  <si>
    <t>645.1/012/KONTRAK-CK/III/2016</t>
  </si>
  <si>
    <t>Kec. Seruyan hilir - Kab. Seruyan
X : 03.22.45.6  Y : 112.32.57.6</t>
  </si>
  <si>
    <t>645.1/011/KONTRAK-CK/III/2016</t>
  </si>
  <si>
    <t>Kec. Seruyan Hilir - Kab. Seruyan
X : 0672277  Y : 9624047</t>
  </si>
  <si>
    <t>621.5/018/KONTRAK-CK/XI/2016</t>
  </si>
  <si>
    <t>Kec.Seruyan Hilir- Kab Seruyan	X:0671889 Y:9626109</t>
  </si>
  <si>
    <t>645.1/001/KONTRAK-CK/IV/2017</t>
  </si>
  <si>
    <t>Gedung Fitnes</t>
  </si>
  <si>
    <t>Jl. Pemuda, Kuala Pembuang</t>
  </si>
  <si>
    <t>Garasi Rujab Kepala Dinas</t>
  </si>
  <si>
    <t>027/042/PPK-DISDIKPORA/I/2016</t>
  </si>
  <si>
    <t>Pembangunan Pembangunan Garasi Kantor Disdikpora Kab. Seruyan</t>
  </si>
  <si>
    <t>Kantin</t>
  </si>
  <si>
    <t>000.3.3/1037/DISDIK/SKT/VIII/2024</t>
  </si>
  <si>
    <t>Pembangunan Tempat Terbuka (Area Duduk Santai)</t>
  </si>
  <si>
    <t>728</t>
  </si>
  <si>
    <t>027/019/PPK-DISDIK/SKT/IV/2018</t>
  </si>
  <si>
    <t>Pemasangan Paving Halaman Kantor Dinas Pendidikan Kabupaten Seruyan</t>
  </si>
  <si>
    <t>Halaman Depan Kantor Dinas Pendidikan Kab. Seruyan</t>
  </si>
  <si>
    <t>Rumah Jaga</t>
  </si>
  <si>
    <t xml:space="preserve"> Jl. Pemuda, Kuala Pembuang</t>
  </si>
  <si>
    <t>Tower</t>
  </si>
  <si>
    <t>91.15</t>
  </si>
  <si>
    <t xml:space="preserve"> 000.3.3/1447/DISDIK/SKT/IX/2024</t>
  </si>
  <si>
    <t>Gerbang dan Pagar Depan Kantor Dinas Pendidikan</t>
  </si>
  <si>
    <t>Desa Danau Sembuluh Kec. Danau Sembuluh</t>
  </si>
  <si>
    <t>0090/PPK/DINKES/II/2018</t>
  </si>
  <si>
    <t>Pembangunan Gudang Puskesmas Danau Sembuluh</t>
  </si>
  <si>
    <t>Jl. Dahlia, Desa Danau Sembuluh Kecamatan Danau Sembuluh</t>
  </si>
  <si>
    <t>187/PPK-JAMSARKES/V/2016</t>
  </si>
  <si>
    <t>Pembangunan Ruang Pelayanan IGD Puskesmas Danau Sembuluh</t>
  </si>
  <si>
    <t>870/Dinkes/IX/2010</t>
  </si>
  <si>
    <t>Bangunan Laboratorium Puskesmas Danau Sembuluh</t>
  </si>
  <si>
    <t>Desa Danau Sembuluh I</t>
  </si>
  <si>
    <t>287/DINKES/IX/2011</t>
  </si>
  <si>
    <t>Pembangunan Poskesdes Sembuluh I</t>
  </si>
  <si>
    <t>2481/PPK/SDMK-DINKES/VII/2017</t>
  </si>
  <si>
    <t>Pembangunan Ruang Persalinan Puskesmas Danau Sembuluh</t>
  </si>
  <si>
    <t>Pemb. Gudang Logistik P2M PKM Danau Sembuluh</t>
  </si>
  <si>
    <t>Desa Tabiku Kec. Danau Sembuluh</t>
  </si>
  <si>
    <t>Bangunan Pustu Desa Tabiku</t>
  </si>
  <si>
    <t>Jl. Dahlia Kec. Danau Sembuluh</t>
  </si>
  <si>
    <t>Bangunan Gedung Puskesmas Danau Sembuluh</t>
  </si>
  <si>
    <t>KN.02.07/l.3/672/2022</t>
  </si>
  <si>
    <t>Ruang Rawat Inap Hibah Barang Milik Negara yang berasal dari Dana Tugas Pembantuan Direktorat Jendral Pelayanan Kesehatan</t>
  </si>
  <si>
    <t>Pembangunan Garasi PKM Danau Sembuluh</t>
  </si>
  <si>
    <t>Desa Danau Sembuluh Kecamatan Danau Sembuluh</t>
  </si>
  <si>
    <t>240/PPK DINKES/VIII/2014</t>
  </si>
  <si>
    <t>Pembangunan Rumah Dinas Paramedis Puskesmas Danau Sembuluh</t>
  </si>
  <si>
    <t>Pemb. Rumdin Dokter PKM Danau Sembuluh</t>
  </si>
  <si>
    <t>Pemb. Rumdin Paramedis PKM Danau Sembuluh</t>
  </si>
  <si>
    <t>Bangunan Rumah Dinas Dokter (lama)</t>
  </si>
  <si>
    <t>Bangunan Rumah Dinas Paramedis</t>
  </si>
  <si>
    <t>Desa Danau Sembuluh Kec. Danau sembuluh</t>
  </si>
  <si>
    <t>Bangunan Polindes Danau Sembuluh I</t>
  </si>
  <si>
    <t>848/SARKES/IV/2008</t>
  </si>
  <si>
    <t>Bangunan Rumah Pustu (lama)</t>
  </si>
  <si>
    <t>Jl. Dahlia Desa Sembuluh Kec. Danau Sembuluh</t>
  </si>
  <si>
    <t>303</t>
  </si>
  <si>
    <t>Desa Danauu Sembuluh Kec, Telaga Pulang</t>
  </si>
  <si>
    <t>Pemb. Pagar PKm Danau Sembuluh</t>
  </si>
  <si>
    <t>Desa Persil Kel. Kuala Pembuang I Kec. Seruyan Hilir</t>
  </si>
  <si>
    <t>Bangunan Pustu Persil</t>
  </si>
  <si>
    <t>Desa Sei Undang Kel. Kuala Pembuang I Kec. Seruyan Hilir</t>
  </si>
  <si>
    <t>Bangunan Pustu Sei Undang</t>
  </si>
  <si>
    <t>Desa Pematau Limau Kel. Kuala Pembuang I Kec. Seruyan Hilir</t>
  </si>
  <si>
    <t>Bangunan Pustu Pematang Limau</t>
  </si>
  <si>
    <t>Jl. A. Romanie Kel. Kuala Pembuang I Kec. Seruyan Hilir</t>
  </si>
  <si>
    <t>Jl. A. Romanie Kel. Kuala pembuang I Kec. Seruyan Hilir</t>
  </si>
  <si>
    <t>Bangunan Ruang Pelayanan Puskesmas</t>
  </si>
  <si>
    <t>Jl. Arum Mani Kuala Pembuang Kec. Seruyan Hilir</t>
  </si>
  <si>
    <t>1965/PPK/SDMK-DINKES/VI/2017</t>
  </si>
  <si>
    <t>Pembangunan Ruang Laboratorium Puskesmas Kuala Pembuang I</t>
  </si>
  <si>
    <t xml:space="preserve"> Jl. Bahagia, RT. 1 RW. 1, Desa Pematang Limau Kecamatan Seruyan Hilir</t>
  </si>
  <si>
    <t>1924/PPK-DINKES/V/2018</t>
  </si>
  <si>
    <t>Pembangunan Pustu Pematang Limau</t>
  </si>
  <si>
    <t>296/DINKES/IX/2011</t>
  </si>
  <si>
    <t>Pembangunan Poskesdes Pematang Limau</t>
  </si>
  <si>
    <t>653/PPK-DINKES/VIII/2015</t>
  </si>
  <si>
    <t>Bangunan Ruang KIA Puskesmas Kuala Pembuang I</t>
  </si>
  <si>
    <t>Jl. Ais Nasution, Desa Sei Undang, Kec, Seruyan Hilir</t>
  </si>
  <si>
    <t>188.44/67/2012</t>
  </si>
  <si>
    <t>Bangunan Puskesmas Pembantu Sei Undang, hibah dari Dinas Kesehatan Provinsi Kalaimantan Tengah</t>
  </si>
  <si>
    <t>Jl. A. Romani, Kuala Pembuang II Kec. Seruyan Hilir</t>
  </si>
  <si>
    <t>4467/UPTD.PKM-KP.I/XI/2022</t>
  </si>
  <si>
    <t>01.01.01.04.006._x000D_0003</t>
  </si>
  <si>
    <t>BOS/JKN</t>
  </si>
  <si>
    <t>Belanja Modal Bangunan Parkir Puskesmas Kuala Pembuang I</t>
  </si>
  <si>
    <t>Kuala Pembuang  I</t>
  </si>
  <si>
    <t>Pemb. Rumdin Paramedis PKM Kuala Pembuang I</t>
  </si>
  <si>
    <t>Pemb. Rumdin Paramedis  Kuala Pembuang I</t>
  </si>
  <si>
    <t>Pemb. Rumdin Dokter KP I</t>
  </si>
  <si>
    <t>Jl. A. Romanie Kel Kuala Pembuang I Kec. Seruyan Hilir</t>
  </si>
  <si>
    <t>231/SARKES/IV/2008</t>
  </si>
  <si>
    <t>Jl. A. Romanie Kel. Kuala Pembuang I Kec Seruyan Hilir</t>
  </si>
  <si>
    <t>Jl. Ais Nasution, Desa Sungai Undang Kec. Seruyan Hilir</t>
  </si>
  <si>
    <t>732/PPK DINKES/X/2014</t>
  </si>
  <si>
    <t>Pengadaan Standard Billboard Baliho (4 Lokasi) Poskesdes Sungai Undang</t>
  </si>
  <si>
    <t xml:space="preserve"> 933/PPK/SDMK-DINKES/II/2017</t>
  </si>
  <si>
    <t>Pembangunan Pagar Poskesdes Sungai Undang</t>
  </si>
  <si>
    <t>Jl. Soekarno Hatta, Desa Persil Raya Kec. Seruyan Hilir</t>
  </si>
  <si>
    <t xml:space="preserve"> 935/PPK/SDMK-DINKES/II/2017</t>
  </si>
  <si>
    <t>Pembangunan Pagar Pustu Persil Raya (Sungai Mitak)</t>
  </si>
  <si>
    <t>Pembangunan Pagar PKM KP I</t>
  </si>
  <si>
    <t>Desa Pematang Limau Kec. Seruyan Hilir</t>
  </si>
  <si>
    <t>145/PPK-DINKES/VI/2015</t>
  </si>
  <si>
    <t>Pembangunan Pagar Poskesdes Desa Pematang Limau</t>
  </si>
  <si>
    <t>Desa sungai Bakau Kec. Seruyan Hilir Timur</t>
  </si>
  <si>
    <t>572/PPK-PSDK/DINKES/X/2015</t>
  </si>
  <si>
    <t>Pekerjaan Semenisasi Halaman Poskesdes Sungai Bakau</t>
  </si>
  <si>
    <t>Jalan Raya Pematang panjang Desa Pematang Panjang</t>
  </si>
  <si>
    <t xml:space="preserve"> 931/PPK/SDMK-DINKES/II/2017</t>
  </si>
  <si>
    <t>Urugan dan Pemasangan Paving Poskesdes Desa Pematang Panjang</t>
  </si>
  <si>
    <t>Jl. Pematang Kambat Raya, Kec. Seruyan Hilir Timur</t>
  </si>
  <si>
    <t xml:space="preserve"> 937/PPK/SDMK-DINKES/II/2017</t>
  </si>
  <si>
    <t>Pembangunan Gudang Puskesmas Kuala Pembuang II</t>
  </si>
  <si>
    <t>Jl. Pematang Kambat Raya, Kec Seruyan Hilir Timur</t>
  </si>
  <si>
    <t xml:space="preserve"> 752/PPK-JAMSARKES/X/2016</t>
  </si>
  <si>
    <t>Pembangunan Penambahan/ Ruang Laboratorium Puskesmas Kuala Pembuang II</t>
  </si>
  <si>
    <t>Jl. Pematang Kambat Raya, Kecamatan</t>
  </si>
  <si>
    <t>864/Sarkes/XI/2010</t>
  </si>
  <si>
    <t>Bangunan UGD Puskesmas KP II</t>
  </si>
  <si>
    <t>Desa Sungai Bakau</t>
  </si>
  <si>
    <t>299/DINKES/IX/2011</t>
  </si>
  <si>
    <t xml:space="preserve"> Poskesdes Sungai Bakau</t>
  </si>
  <si>
    <t>Desa Tanggul Harapan, Kecamatan Seruyan Hilir Timur</t>
  </si>
  <si>
    <t>124.A/PPK-DINKES/VII/2013</t>
  </si>
  <si>
    <t>Pembangunan Poskesdes Tanggul Harapan</t>
  </si>
  <si>
    <t>Desa Halimaung Jaya</t>
  </si>
  <si>
    <t>865/Dinkes/IX/2010</t>
  </si>
  <si>
    <t>Pembangunan Polindes Halimaung Jaya menjadi Poskesdes</t>
  </si>
  <si>
    <t>695/Sarkes/VII/2010</t>
  </si>
  <si>
    <t>Bangunan Pustu Tanggul Harapan</t>
  </si>
  <si>
    <t>3628/PPK-DINKES/VII/2019</t>
  </si>
  <si>
    <t>Pembangunan/PenambahanRuang pelayanan/Ruang Rapat Puskesmas Kuala Pembuang II</t>
  </si>
  <si>
    <t>Jl. H. Ahmad Desa Sungai Bakau Kec. Seruyan Hilir Timur</t>
  </si>
  <si>
    <t>5577/PPK-DINKES/IX/2019</t>
  </si>
  <si>
    <t>Pembangunan Pustu Desa Sungai Bakau</t>
  </si>
  <si>
    <t>Desa Muara Dua Kec. Seruyan Hilir Timur</t>
  </si>
  <si>
    <t>4442/PPK/SDMK-DINKES/X/2017</t>
  </si>
  <si>
    <t>Pembangunan Poskesdes Desa Muara Dua</t>
  </si>
  <si>
    <t>Desa Pematang Panjang Kec. Seruyan Hilir Timur</t>
  </si>
  <si>
    <t>Bangunan Polindes Pematang Panjang</t>
  </si>
  <si>
    <t>Desa Tanhung Rangas Kec. Seruyan Hilir Timur</t>
  </si>
  <si>
    <t>Bangunan Pustu Tanjung Rangas</t>
  </si>
  <si>
    <t>Bangunan Pustu Muara Dua</t>
  </si>
  <si>
    <t>Desa Halimung Jaya Kec. Seruyan Hilir Timur</t>
  </si>
  <si>
    <t>Banguna Pustu Halimung Jaya</t>
  </si>
  <si>
    <t>Desa Sei Bakau Kec. Seruyan Hilir Timur</t>
  </si>
  <si>
    <t>Bangunan Pustu Sei Bakau</t>
  </si>
  <si>
    <t>Desa Bangun Harja Kec. Seruyan Hilir Timur</t>
  </si>
  <si>
    <t>Bangunan Pustu bangun Harja</t>
  </si>
  <si>
    <t>Bangunan Pustu Kartika Bhakti</t>
  </si>
  <si>
    <t>Jl. Pematang Kambat Kec. Seruyan Hilir</t>
  </si>
  <si>
    <t>Desa Mekar Indah Kec. Seruyan Hilir Timur</t>
  </si>
  <si>
    <t>Bangunan Pustu Mekar Indah</t>
  </si>
  <si>
    <t>Desa Baung Kec. Seruyan Hilir Timur</t>
  </si>
  <si>
    <t>Bangunan Pustu Baung</t>
  </si>
  <si>
    <t>Pematang Kambat</t>
  </si>
  <si>
    <t>Pemb. Gudang Alkes dan Logistik P2M PKM Pematang Kambat</t>
  </si>
  <si>
    <t>202/SARKES/IV/2008</t>
  </si>
  <si>
    <t>Bangunan Gedung Puskesmas (Administrasi)</t>
  </si>
  <si>
    <t>Desa Jahitan Kec. Seruyan Hilir Timur</t>
  </si>
  <si>
    <t>Bangunan Pustu Jahitan</t>
  </si>
  <si>
    <t>Pemb. Garasi PKM Pematang Kambat</t>
  </si>
  <si>
    <t>234/SARKES/IV/2008</t>
  </si>
  <si>
    <t>233/SARKES/IV/2008</t>
  </si>
  <si>
    <t>226/SARKES/IV/2008</t>
  </si>
  <si>
    <t>Pemb. Rumdin Paramedis PKM Pematang Kambat</t>
  </si>
  <si>
    <t>Jl. Pematang Kambat Raya Desa Pematang Kambat Kec. Seruyan Hilir Timur</t>
  </si>
  <si>
    <t>Pengadaan Standard Billboard Baliho (4 Lokasi) Puskesmas Kuala Pembuang II</t>
  </si>
  <si>
    <t>Desa Sungai Bakau Kec. Seruyan Hilir Timur</t>
  </si>
  <si>
    <t>601/PPK-PSDK/DINKES/X/2015</t>
  </si>
  <si>
    <t>Pembangunan Pagar Poskesdes Sungai Bakau</t>
  </si>
  <si>
    <t>Desa Pematang Panjang Kecamatan Seruyan Hilir Timur, Kab. Seruyan</t>
  </si>
  <si>
    <t xml:space="preserve"> 183/PPK-JAMSARKES/V/2016</t>
  </si>
  <si>
    <t>Pembangunan Pagar Poskesdes Desa Pematang Panjang</t>
  </si>
  <si>
    <t>Pemb.Pagar PKM  Pemtang Kambat</t>
  </si>
  <si>
    <t>DESA TELAGA PULANG KECAMATAN DANAU SEMBULUH</t>
  </si>
  <si>
    <t>298/PPK-DINKES/V/2019</t>
  </si>
  <si>
    <t>GUDANG OBAT PUSKESMAS TELAGA PEMBUANG</t>
  </si>
  <si>
    <t>Desa Telaga Pulang Kec. Danau Sembuluh</t>
  </si>
  <si>
    <t>Banguna Puskesmas (lama)</t>
  </si>
  <si>
    <t>Desa Ulak Batu Telaga Pulang Kec. Danau Sembuluh</t>
  </si>
  <si>
    <t>Bangunan Pustu Ulak Batu</t>
  </si>
  <si>
    <t>Desa Banua Usang Telaga Pulang Kec. Danau Sembuluh</t>
  </si>
  <si>
    <t>Bangunan Pustu Danua Usang</t>
  </si>
  <si>
    <t>Desa Cempaka Baru Telaga Pulang Kec. Danau Sembuluh</t>
  </si>
  <si>
    <t>Bangunan Pustu Cempaka Baru</t>
  </si>
  <si>
    <t>Bangunan Puskesmas Telaga Pulang Baru</t>
  </si>
  <si>
    <t xml:space="preserve"> 5010/PPK/SDMK-DINKES/X/2017</t>
  </si>
  <si>
    <t>Pembangunan Poskesdes Desa Cempaka Baru</t>
  </si>
  <si>
    <t>Jl. Yatim Umar, Desa Telaga Pulang Kec. Danau Sembuluh</t>
  </si>
  <si>
    <t>1963/PPK/SDMK-DINKES/VI/2017</t>
  </si>
  <si>
    <t>Pembangunan Ruang Persalinan Puskesmas Telaga Pulang</t>
  </si>
  <si>
    <t>2072/PPK-DINKES/VI/2018</t>
  </si>
  <si>
    <t>Pembangunan Ruang RawatInap Anak Puskesmas Telaga Pulang</t>
  </si>
  <si>
    <t>1705/PPK-DINKES/V/2018</t>
  </si>
  <si>
    <t>Pembangunan Ruang Laboratorium Puskesmas Telaga Pulang</t>
  </si>
  <si>
    <t>Jl. A. Toepak, Kecamatan Telaga Pulang</t>
  </si>
  <si>
    <t>866/DINKES/IX/2010</t>
  </si>
  <si>
    <t>Bangunan Laboratorium Pusk. Telaga Pulang</t>
  </si>
  <si>
    <t>Desa paren Telaga Pulang Kec. danau Sembuluh</t>
  </si>
  <si>
    <t>Bangunan Pustu Paren</t>
  </si>
  <si>
    <t xml:space="preserve"> 421/PPK-JAMSARKES/VIII/2016</t>
  </si>
  <si>
    <t>Pembangunan Ruang Pelayanan IGD Puskesmas Telaga Pulang</t>
  </si>
  <si>
    <t>Jl. Yatim Umar, No. 081, RT. 004, Desa Telaga Pulang, Kecamatan Danau Sembuluh</t>
  </si>
  <si>
    <t>Desa Palingkau Kec. Danau Sembuluh</t>
  </si>
  <si>
    <t>0436/PPK-DINKES/V/2023</t>
  </si>
  <si>
    <t>Pembangunan Puskesmas Pembantu Desa Palingkau</t>
  </si>
  <si>
    <t>Telaga Pulang</t>
  </si>
  <si>
    <t>Pemb. Garasi PKM Telaga Pulang</t>
  </si>
  <si>
    <t>Bangunan Rumah Paramedis (lama)</t>
  </si>
  <si>
    <t>Pemb. Rumdin Paramedis PKM Telaga Pulang</t>
  </si>
  <si>
    <t>Desa telaga Pulang Kec. Danau sembuluh</t>
  </si>
  <si>
    <t>Bangunan Rumah Paramedis</t>
  </si>
  <si>
    <t>Desa Telaga Pulang Kec. Dananau Sembuluh</t>
  </si>
  <si>
    <t>Jl. Yatim Umar Desa Telaga Pulang Kec Danau Sembuluh</t>
  </si>
  <si>
    <t>Pemb. Pagar PKM Telaga Pulang</t>
  </si>
  <si>
    <t>Desa Lanpasa Kec. Seruyan Raya</t>
  </si>
  <si>
    <t>Bangunan Pustu Desa Lanpasa</t>
  </si>
  <si>
    <t>Desa Terawan KM 69 Kec. Seruyan Raya</t>
  </si>
  <si>
    <t>Bangunan Puskesmas Terawan</t>
  </si>
  <si>
    <t>Desa Bangkal Kec. Seruyan Raya</t>
  </si>
  <si>
    <t>Bangunan Pustu Bangkal</t>
  </si>
  <si>
    <t>Jl. Jendral Sudirman KM. 69 Kec. Seruyan Raya</t>
  </si>
  <si>
    <t>Pemb./Penambahan Ruangan Perawan dan UGD PKM KM 69</t>
  </si>
  <si>
    <t>Jl. Jendral Soedirman KM. 69 Sampit- Pangkalanbun</t>
  </si>
  <si>
    <t xml:space="preserve"> 2631/PPK/SDMK-DINKES/VII/2017</t>
  </si>
  <si>
    <t>Pembangunan Ruangan Rapat Puskesmas Terawan</t>
  </si>
  <si>
    <t>4560/PPK-DINKES/VIII/2019</t>
  </si>
  <si>
    <t>Pembangunan Puskesmas Pembantu Desa Terawan</t>
  </si>
  <si>
    <t>133/DINKES/VIII/2011</t>
  </si>
  <si>
    <t>Pembangunan Selasar Puskesmas Perawatan Terawan</t>
  </si>
  <si>
    <t>Jl. Jend Sudirman, Kecamatan Seruyan Raya.</t>
  </si>
  <si>
    <t>867/DINKES/IX/2010</t>
  </si>
  <si>
    <t>Bangunan Laboratorim Puskesmas Terawan</t>
  </si>
  <si>
    <t>868/DINKES/IX/2010</t>
  </si>
  <si>
    <t>Bangunan Ruang Rawat Inap PKM Terawan</t>
  </si>
  <si>
    <t>Jl. Jendral Sudirman KM. 69 Terawan</t>
  </si>
  <si>
    <t>700/PPK-DINKES/X/2016</t>
  </si>
  <si>
    <t>Pembangunan Penambahan Ruang Pelayanan Poned KIA Puskesmas Terawan</t>
  </si>
  <si>
    <t>Desa Bangkal Kecamatan Seruyan Raya</t>
  </si>
  <si>
    <t>Pembangunan Pustu Desa Muara Bangkal</t>
  </si>
  <si>
    <t xml:space="preserve"> 56.C/PPK-DINKES/  VII/2012</t>
  </si>
  <si>
    <t>Pembangunan Poskesdes Desa Terawan</t>
  </si>
  <si>
    <t>239</t>
  </si>
  <si>
    <t>Jl. Jendral Sudirman KM. 69 Kecamatan Seruyan Raya</t>
  </si>
  <si>
    <t>01.01.01.04.006._x000D_0004</t>
  </si>
  <si>
    <t>Pembangunan Ruang Puskesmas MAPU PONED Puskesmas Terawan (Perencanaan Rp. 173.721.900, Pembangunan Fisik Rp. 1.425.400.000 dan Pengawasan Rp. 99.400.500)</t>
  </si>
  <si>
    <t>Jl. JENDRAL SUDIRMAN, DESA SALUNUK KEC. SERUYAN RAYA</t>
  </si>
  <si>
    <t>000.3.2/0388/PPK-DINKES/VI/2024</t>
  </si>
  <si>
    <t>Bangunan Pustu Salunuk</t>
  </si>
  <si>
    <t>Pemb. Tempat Parkir PKm KM. 69</t>
  </si>
  <si>
    <t>Pemb. Rumdin Paramedis PKm KM. 69</t>
  </si>
  <si>
    <t>253/PPK DINKES/VIII/2014</t>
  </si>
  <si>
    <t>Pembangunan Rumah Dinas Paramedis Puskesmas Terawan</t>
  </si>
  <si>
    <t>Jl. Jend Sudirman KM. 69 Kecamatan Seruyan Raya</t>
  </si>
  <si>
    <t>Pengadaan Standard Billboard Baliho (4 Lokasi) Puskesmas Terawan</t>
  </si>
  <si>
    <t>350</t>
  </si>
  <si>
    <t>Pemb. Pagar PKM  Terawan KM. 69</t>
  </si>
  <si>
    <t>Jl. Ahmad Yani No.30 Kuala Pembuang</t>
  </si>
  <si>
    <t>445/15/TU-4/PPK/VII/2011</t>
  </si>
  <si>
    <t>Pembangunan Bangsal Irna Kls III (Kenanga)</t>
  </si>
  <si>
    <t>Jl. Ahmad Yani ( di  area Rumah Sakit )</t>
  </si>
  <si>
    <t>602.2/25/BLH/X/2012</t>
  </si>
  <si>
    <t>Tempat Area Smooking Room</t>
  </si>
  <si>
    <t>1316</t>
  </si>
  <si>
    <t>641.6/42/KONTRAK-CK/VII/2012</t>
  </si>
  <si>
    <t>Bangunan Administrasi dan Poliklinik</t>
  </si>
  <si>
    <t>RSUD Kuala Pembuang</t>
  </si>
  <si>
    <t>445/43/TU-4/PPK/VII/2012</t>
  </si>
  <si>
    <t>Gedung IGD Tambahan</t>
  </si>
  <si>
    <t>445/39/TU-4/PPK/VII/2012</t>
  </si>
  <si>
    <t>IRNA Anggrek Re</t>
  </si>
  <si>
    <t>412</t>
  </si>
  <si>
    <t>Jl. A.Yani No. 30, Kuala Pembuang I</t>
  </si>
  <si>
    <t>445/366/PPK/RSUD-3/VII/2019</t>
  </si>
  <si>
    <t>Gedung Rawat Inap Kelas I &amp; VIP</t>
  </si>
  <si>
    <t>Jl. Ahmad Yani No. 30 Kuala Pembuang 1</t>
  </si>
  <si>
    <t>445/10/TU-4/PPK/V/2017</t>
  </si>
  <si>
    <t>Pembangunan Central Sterile Supply Departement (CSSD)</t>
  </si>
  <si>
    <t>Bangunan Rumah Dinas TD</t>
  </si>
  <si>
    <t>081/RSUD-KP/SP3/IV/2008</t>
  </si>
  <si>
    <t>Bangunan Tower Air</t>
  </si>
  <si>
    <t>090/RSUD-KP/SP3/IV/2008</t>
  </si>
  <si>
    <t>Pembangunan Pagar</t>
  </si>
  <si>
    <t>445/077/TU-4/PPK/V/2009</t>
  </si>
  <si>
    <t>Bangunan Tempat Generator</t>
  </si>
  <si>
    <t>Bekas Puskesmas</t>
  </si>
  <si>
    <t>Bangunan Selasar TD</t>
  </si>
  <si>
    <t>Bangunan Rumah dinas TD</t>
  </si>
  <si>
    <t>Bangunan Garasi TD</t>
  </si>
  <si>
    <t>Mushola</t>
  </si>
  <si>
    <t>Bangunan Gedung Eks UGD</t>
  </si>
  <si>
    <t>161/RSUD_KP/SP3/SP3/X/2008</t>
  </si>
  <si>
    <t>Bangunan Laboratorium</t>
  </si>
  <si>
    <t>Jl. A. Yani No.30, Kuala Pembuang 1</t>
  </si>
  <si>
    <t>KN.02.07/I/2339/2018</t>
  </si>
  <si>
    <t>Bangunan Rontgen (Hibah Kemenkes 2006-2008 NPH KN.02.07/I/2339/2018)</t>
  </si>
  <si>
    <t>163/RSUD_KP/SP3/X/2008</t>
  </si>
  <si>
    <t>Bangunan Dapur dan Pagar Rumah Dinas</t>
  </si>
  <si>
    <t>445/047/TU-4/PPK/V/2009</t>
  </si>
  <si>
    <t>Bangunan Instalasi Laundry</t>
  </si>
  <si>
    <t>445/050/TU-4/PPK/V/2009</t>
  </si>
  <si>
    <t>bangunan IPRS</t>
  </si>
  <si>
    <t>445/046/TU-4/PPK/V/2009</t>
  </si>
  <si>
    <t>Bangunan Dapur RS</t>
  </si>
  <si>
    <t>445/026/TU-1/VII/2010</t>
  </si>
  <si>
    <t>Pembangunan Kamar Mayat</t>
  </si>
  <si>
    <t>Bangunan Operasi (Hibah Kemenkes 2006-2008 NPH KN.02.07/I/2339/2018)</t>
  </si>
  <si>
    <t>NPH KN.02.07/I/2339/2018</t>
  </si>
  <si>
    <t>Poli Umum Lama (Hibah Kemenkes 2006-2008 NPH KN.02.07/I/2339/2018)</t>
  </si>
  <si>
    <t>445/589/PPK/RSUDKP-DAK/VI/2022</t>
  </si>
  <si>
    <t>Bangunan PICU (Dok. Perencanaan 445/10/PPK/RSUDKP-DAK/I/2022 sebesar Rp. 69.512.850 dan Dok Pengawasan  sebesar Rp. 39.416.100)</t>
  </si>
  <si>
    <t>445/588/PPK/RSUDKP-DAK/VI/2022</t>
  </si>
  <si>
    <t>Bangunan NICU (Dok. Perencanaan 445/08/PPK/RSUDKP-DAK/I/2022 Sebesar Rp. 69.512.850 dan Dok. Pengawasan 445/593/PPK/RSUDKP-DAK/VI/2022 sebesar Rp. 39.349.500</t>
  </si>
  <si>
    <t>445/833/PPK/RSUDKP-DAK/VII/2024</t>
  </si>
  <si>
    <t>Bangunan CT Scan</t>
  </si>
  <si>
    <t>445/877/PPK/RSUDKP-DAK/VII/2024</t>
  </si>
  <si>
    <t>Bangunan Sitostatik</t>
  </si>
  <si>
    <t>242</t>
  </si>
  <si>
    <t>445/1466/PPK/RSUDKP-DAU/IX/2025.</t>
  </si>
  <si>
    <t>Bangunan Layanan HD + Bangunan RO (Luas 25 m2)</t>
  </si>
  <si>
    <t>Jl. A. Yani, No. 30, Kuala Pembuang</t>
  </si>
  <si>
    <t>445/1233/RSUDKP-DAK/VII/2025.</t>
  </si>
  <si>
    <t>Bangunan RANAP (standar KRIS)</t>
  </si>
  <si>
    <t>445/1384/PPK/RSUDKP-DAK/VIII/2025</t>
  </si>
  <si>
    <t>Bangunan Cathlab</t>
  </si>
  <si>
    <t>445/052/TU-4/PPK/IX/2009</t>
  </si>
  <si>
    <t>Pembangunan Gedung Bangsal IRNA Kelas III (Melati)</t>
  </si>
  <si>
    <t>445/078/TU-4/PPK/V/2009</t>
  </si>
  <si>
    <t>Pagar</t>
  </si>
  <si>
    <t>34</t>
  </si>
  <si>
    <t>Area RSUD Seruyan Hilir</t>
  </si>
  <si>
    <t>Ipal Rumah Sakit (Tempat Pembuangan Limbah)</t>
  </si>
  <si>
    <t>Gedung IGD lama (Hibah Kemenkes 2006-2008 NPH KN.02.07/I/2339/2018)</t>
  </si>
  <si>
    <t>083/RSUD-KP/SP3/IV/2008</t>
  </si>
  <si>
    <t>Bangunan ICU (Intensive Care Unit)</t>
  </si>
  <si>
    <t>378</t>
  </si>
  <si>
    <t>555/RSUD-KP/SP3/V/2007</t>
  </si>
  <si>
    <t>Bangunan Kebidanan</t>
  </si>
  <si>
    <t>Jl. Ahmad Yani No.30</t>
  </si>
  <si>
    <t>445/50/TU-40/PA/IX/2014</t>
  </si>
  <si>
    <t>Gedung Rawat Inap Bedah (ASOKA)</t>
  </si>
  <si>
    <t>445/1658/TU-4/PPK/XI/2015</t>
  </si>
  <si>
    <t>Gedung UTDRS</t>
  </si>
  <si>
    <t>445/98/TU-4/PPK/VII/2015</t>
  </si>
  <si>
    <t>Rawat Inap Mawar (Baru)</t>
  </si>
  <si>
    <t>445/048/TU-4/PPK/V/2009</t>
  </si>
  <si>
    <t>Jl.Ahmad Yani No.30 Kuala Pembuang</t>
  </si>
  <si>
    <t>445/37/TU-4/PPK/IX/2011</t>
  </si>
  <si>
    <t>445/174/TU-4/PPK/XI/2015</t>
  </si>
  <si>
    <t>Papan Nama Praktek Dokter</t>
  </si>
  <si>
    <t>Jl. A. Yani, KP. I</t>
  </si>
  <si>
    <t>641.6/79/KONTRAK-CK/VIII/2014</t>
  </si>
  <si>
    <t>Pembangunan Pagar RSUD Kuala Pembuang ( DAU +DAK)</t>
  </si>
  <si>
    <t>Jln. Pemuda, Kecamatan Seruyan Hilir, Kabupaten Seruyan</t>
  </si>
  <si>
    <t>Pembangunan Gedung DWP Tahap I + Pembangunan Gedung DWP Tahap II + Pembangunan Pagar Gedung DWP</t>
  </si>
  <si>
    <t>SATUAN POLISI PAMONG PRAJA</t>
  </si>
  <si>
    <t>116/K-BPPKB/VIII/2008</t>
  </si>
  <si>
    <t>Gedung PKK</t>
  </si>
  <si>
    <t>Jl. Pemuda Kompl. Perumahan Dinas Kabag,</t>
  </si>
  <si>
    <t>110.1/KESRA-SETDA/V/2010</t>
  </si>
  <si>
    <t>Posyandu Percontohan Lansia</t>
  </si>
  <si>
    <t>Gudang Buku UPTD Kec. Seruyan Hilir</t>
  </si>
  <si>
    <t>131</t>
  </si>
  <si>
    <t>Konstruksi Pembangunan Pagar UPTD Dikpora Kecamatan Seruyan Hilir</t>
  </si>
  <si>
    <t xml:space="preserve"> Desa Baung, Kec. Seruyan Hilir</t>
  </si>
  <si>
    <t xml:space="preserve"> Desa Jahitan, Kec. Seruyan Hilir</t>
  </si>
  <si>
    <t>Desa Jahitan</t>
  </si>
  <si>
    <t>'027/240/PPK-DISDIK/DIKDAS/VII</t>
  </si>
  <si>
    <t>Pembangunan Ruang Kelas Baru (RKB) SDN 1 Jahitan</t>
  </si>
  <si>
    <t>Jln. Nunung, Desa Jahitan Kec. Seruyan Hilir</t>
  </si>
  <si>
    <t>425.11/111/DIKDAS-DISDIK.I/V/2</t>
  </si>
  <si>
    <t>'Pembangunan Ruang Kelas Baru (RKB) 2 ruang 30203109 -SD NEGERI 1 JAHITAN DAK 2020</t>
  </si>
  <si>
    <t>Jln. Nunung,_x000D_
Desa Jahitan Kec. Seruyan Hilir</t>
  </si>
  <si>
    <t>154/DIKDAS-DISDIK.I/V/2020</t>
  </si>
  <si>
    <t>Pembangunan (Toilet) jamban siswa/guru beserta sanitasinya Jenjang 30203109-SD NEGERI 1 JAHITAN (DAK SD REGULER 2020)</t>
  </si>
  <si>
    <t>95</t>
  </si>
  <si>
    <t>Desa Jahitan Kec. Seruyan Hilir</t>
  </si>
  <si>
    <t>027/051/PPK-DISDIKPORA/ I/2016</t>
  </si>
  <si>
    <t>Pembangunan RDG SDN 1 Jahitan</t>
  </si>
  <si>
    <t xml:space="preserve"> Desa Kuala Pembuang I</t>
  </si>
  <si>
    <t>'421.2/2180/DIKDAS-DISDIKPORA/</t>
  </si>
  <si>
    <t>Pekerjaan Pembangunan RKB SDN 1 Kuala Pembuang I Tahap I (2 Ruang) DAK 2016</t>
  </si>
  <si>
    <t>Jln. MT. Haryono 39,Kelurahan Kuala Pembuang I, Kec. Seruyan Hilir</t>
  </si>
  <si>
    <t>4251/185/DIKDASDISDIK.I/V/2020</t>
  </si>
  <si>
    <t>'Pembangunan ruang UKS 30203113 - SD NEGERI 1 KUALA PEMBUANG I  (DAK SD REGULER 2020)  1 Ruang</t>
  </si>
  <si>
    <t>'027/257/PPK-DISDIKPORA/IV/201</t>
  </si>
  <si>
    <t xml:space="preserve"> Pembangunan WC SDN 1 Kuala Pembuang I</t>
  </si>
  <si>
    <t>9.6</t>
  </si>
  <si>
    <t>Jl. MT. Haryono 39,Kuala Pembuang Satu,Seruyan Hilir</t>
  </si>
  <si>
    <t>027/1100/DISDIK/SD/VII/2023</t>
  </si>
  <si>
    <t>"PEMBANGUNAN TOILET (JAMBAN) BESERTA
SANITASINYA SD NEGERI 1 KUALA PEMBUANG I"</t>
  </si>
  <si>
    <t>36.8</t>
  </si>
  <si>
    <t>027/917/DISDIK/SD/VII/2023</t>
  </si>
  <si>
    <t>"PEMBANGUNAN RUANG LABORATORIUM KOMPUTER
BESERTA PERABOTNYA SD NEGERI 1 KUALA PEMBUANG I"</t>
  </si>
  <si>
    <t>165.12</t>
  </si>
  <si>
    <t>Jl. M.T. Haryono Kuala Pembuang I - Kecamatan Seruyan Hilir</t>
  </si>
  <si>
    <t>000.3.2/1059/DISDIK/SD/VIII/2024</t>
  </si>
  <si>
    <t xml:space="preserve"> Halaman Sekolah SD Negeri 1 Kuala Pembuang I</t>
  </si>
  <si>
    <t>33.47</t>
  </si>
  <si>
    <t>Jl. MT. Haryono 39,Kuala Pembuang I,Seruyan Hilir</t>
  </si>
  <si>
    <t>027/3193/DISDIK/SD/XII/2023</t>
  </si>
  <si>
    <t>Pekerjaan Pembangunan Pagar SDN 1 Kuala Pembuang I</t>
  </si>
  <si>
    <t>000.3.2/1060/DISDIK/SD/VIII/2024</t>
  </si>
  <si>
    <t>Desa Kuala Pembuang II, Kec. Seruyan Hilir</t>
  </si>
  <si>
    <t>027/346/PPK-DISDIK/VIII/2017</t>
  </si>
  <si>
    <t>Pembangunan Kantor SDN 1 Kuala Pembuang II</t>
  </si>
  <si>
    <t>027/279/D/PPK-DISDIKPORA/IX/20</t>
  </si>
  <si>
    <t>Pembangunan RKB SDN 1 Kuala Pembuang II (1 ruang)</t>
  </si>
  <si>
    <t>421.2/2180/DIKDAS-DISDIKPORA/X</t>
  </si>
  <si>
    <t xml:space="preserve"> Pekerjaan Pembangunan RKB SDN 1 Kuala Pembuang I Tahap I (2 Ruang) DAK 2016</t>
  </si>
  <si>
    <t>027/191/PPK-DISDIK/DIKDAS/VII/</t>
  </si>
  <si>
    <t>Pembangunan WC/Jamban SDN 1 Kuala Pembuang II</t>
  </si>
  <si>
    <t>027/272/PPK-DISDIKPORA/V/2015</t>
  </si>
  <si>
    <t>Pembangunan WC SDN 1 Kuala Pembuang II</t>
  </si>
  <si>
    <t>027/886/PPK-DISDIKPORA/XI/2015</t>
  </si>
  <si>
    <t>Pembangunan pagar dan pemasangan Paving SDN 1 K. Pembuang II</t>
  </si>
  <si>
    <t xml:space="preserve"> Desa Muara Dua, Kec. Seruyan Hilir</t>
  </si>
  <si>
    <t>Jln. Mat Sanang, Desa Muara Dua Kec. Seruyan Hilir</t>
  </si>
  <si>
    <t>'425.11/192/DIKDAS-DISDIK I/V/</t>
  </si>
  <si>
    <t>Pembangunan Ruang Perpustakaan 30203116 - SD NEGERI 1 MUARA DUA (DAK SD REGULER 2020 )</t>
  </si>
  <si>
    <t>Desa Muara Dua Kec. Seruyan Hilir</t>
  </si>
  <si>
    <t>027/131/PPK-DISDIK/SKT/VII/201</t>
  </si>
  <si>
    <t>Pembangunan Rumah Dinas Guru (RDG) SDN Muara Dua</t>
  </si>
  <si>
    <t>027/054/PPK-DISDIKPORA/ I/2016</t>
  </si>
  <si>
    <t>Pembangunan RDG SDN Desa Muara Dua</t>
  </si>
  <si>
    <t>425.11/030/DAK-SD-DISDIK.I/V/2</t>
  </si>
  <si>
    <t>Pembangunan Gedung Kantor SD Negeri 1 Pematang Limau (Silpa DAK Tahun 2017)</t>
  </si>
  <si>
    <t>206</t>
  </si>
  <si>
    <t>Desa Pematang Limau, Kec. Seruyan Hilir</t>
  </si>
  <si>
    <t>204</t>
  </si>
  <si>
    <t>027/617/PPK-DISDIKPORA/IX/2015</t>
  </si>
  <si>
    <t>Pembangunan RKB SDN 1 Pematang Limau (Silpa DAK SD 2014)</t>
  </si>
  <si>
    <t>027/058/PPK-DISDIKPORA/I/2016</t>
  </si>
  <si>
    <t>Pembangunan WC SDN 1 Pematang Limau</t>
  </si>
  <si>
    <t>Konstruksi (Pembangunan Garasi SDN 1 Pematang Limau)</t>
  </si>
  <si>
    <t>Desa pematang limau</t>
  </si>
  <si>
    <t>'027/322/PPK-DISDIKPORA/IV/201</t>
  </si>
  <si>
    <t>Pekerjaan Pemasangan Paving SDN I Pematang Limau</t>
  </si>
  <si>
    <t>81.3</t>
  </si>
  <si>
    <t>Jl. Bahagia Desa Pematang Limau - Kecamatan Seruyan Hilir</t>
  </si>
  <si>
    <t>000.3.2/1061/DISDIK/SD/VIII/2024</t>
  </si>
  <si>
    <t>Pembangunan Pagar Keliling SDN 1 Desa Pematang Limau</t>
  </si>
  <si>
    <t xml:space="preserve"> Desa Kuala Pembuang II</t>
  </si>
  <si>
    <t>Pembangunan WC/Jamban SDN 2 Kuala Pembuang I</t>
  </si>
  <si>
    <t>027/1160/DISDIK/SD/VII/2023</t>
  </si>
  <si>
    <t>"PEMBANGUNAN RUANG LABORATORIUM KOMPUTER
BESERTA PERABOTNYA SD NEGERI 1 PERSIL RAYA"</t>
  </si>
  <si>
    <t>Kuala Pembuang I, Kecamatan Seruyan Hilir</t>
  </si>
  <si>
    <t>Kuala Pembuang-Kec. Seruyan Hilir</t>
  </si>
  <si>
    <t>027/885/PPK-DISDIKPORA/XI/2015</t>
  </si>
  <si>
    <t>pemasangan paving SDN 2 K. Pembuang  I</t>
  </si>
  <si>
    <t>027/510/D/PPK-DISDIKPORA/X/201</t>
  </si>
  <si>
    <t>Pembangunan Pagar SDN 2 Kuala Pembuang I</t>
  </si>
  <si>
    <t>261</t>
  </si>
  <si>
    <t>Desa Sei Gintung Kec. Seruyan Hilir</t>
  </si>
  <si>
    <t>027/465/PPK-DISDIKPORA/VI/2016</t>
  </si>
  <si>
    <t>Pembangunan USB SDN Sei Gintung</t>
  </si>
  <si>
    <t>SDN 1 SEI GINTUNG</t>
  </si>
  <si>
    <t>Desa Sei Gintung</t>
  </si>
  <si>
    <t>027/349/PPK-DISDIK/VIII/2017</t>
  </si>
  <si>
    <t xml:space="preserve">   Pembangunan RDG SDN Sei Gintung</t>
  </si>
  <si>
    <t xml:space="preserve"> Desa Sungai Perlu, Kec. Seruyan Hilir</t>
  </si>
  <si>
    <t>Sungai Perlu,Seruyan Hilir</t>
  </si>
  <si>
    <t>027/1576/DISDIK/SD/VIII/2023</t>
  </si>
  <si>
    <t>Pembangunan Ruang Kelas Baru Beserta Oerabotnya SDN Sungai Perlu</t>
  </si>
  <si>
    <t>Desa Sungai Perlu (Segintung) - Kecamatan Seruyan Hilir</t>
  </si>
  <si>
    <t>000.3.3/2298/DISDIK/SD/XI/2024</t>
  </si>
  <si>
    <t>Pekerjaan Lanjutan Pembangunan RKB SDN 1 Sungai Perlu</t>
  </si>
  <si>
    <t>130</t>
  </si>
  <si>
    <t>'027/059/PPK-DISDIKPORA/I/2016</t>
  </si>
  <si>
    <t>Pembangunan WC SDN 5 Kuala Pembuang II</t>
  </si>
  <si>
    <t>13.11</t>
  </si>
  <si>
    <t>Jl. Ais Nasution,Kuala Pembuang Dua,Seruyan Hilir</t>
  </si>
  <si>
    <t>027/1099/DISDIK/SD/VII/2023</t>
  </si>
  <si>
    <t>"PEMBANGUNAN RUANG UKS BESERTA PERABOTNYA SD
NEGERI 1 SUNGAI UNDANG"</t>
  </si>
  <si>
    <t>027/1159/DISDIK/SD/VII/2023</t>
  </si>
  <si>
    <t>"PEMBANGUNAN RUANG LABORATORIUM KOMPUTER
BESERTA PERABOTNYA SD NEGERI 1 SUNGAI UNDANG"</t>
  </si>
  <si>
    <t>34.8</t>
  </si>
  <si>
    <t>027/925/DISDIK/SD/VII/2023</t>
  </si>
  <si>
    <t>"PEMBANGUNAN RUANG GURU BESERTA PERABOTNYA
SD NEGERI 1 SUNGAI UNDANG"</t>
  </si>
  <si>
    <t>027/514/D/PPK-DISDIKPORA/X/201</t>
  </si>
  <si>
    <t>Konstruksi (Pembangunan RDG SDN 5 Kuala Pembuang II)</t>
  </si>
  <si>
    <t>'027/258/PPK-DISDIKPORA/VI/201</t>
  </si>
  <si>
    <t>Pekerjaan pembangunan Pagar SDN-5 Kuala Pembuang II</t>
  </si>
  <si>
    <t>Desa Tanjung Rangas, Kec. Seruyan Hilir</t>
  </si>
  <si>
    <t>Jl. Tanjung Rangas, Desa Tanjung Rangas - Kecamatan Seruyan Hilir</t>
  </si>
  <si>
    <t>000.3.3/881/DISDIK/SD/VII/2024</t>
  </si>
  <si>
    <t>Pekerjaan Pembangunan Ruang Kelas Baru (RKB) Beserta Perabotnya SD Negeri 1 Tanjung Rangas (DAK Fisik SD)</t>
  </si>
  <si>
    <t>000.3.3/553/DISDIK/SD/VI/2024</t>
  </si>
  <si>
    <t>Pembangunan Ruang Lab Komputer Beserta Perabotnya SDN 1 Tanjung Rangas I</t>
  </si>
  <si>
    <t>027/086/PPK-DISDIK/SKT/V/2018</t>
  </si>
  <si>
    <t xml:space="preserve"> Pembangunan Rumah Dinas Guru (RDG) SDN 1 Tanjung Rangas</t>
  </si>
  <si>
    <t>214</t>
  </si>
  <si>
    <t>Desa Baung, Kecamatan Seruyan Hilir</t>
  </si>
  <si>
    <t>SDN 2 BAUNG</t>
  </si>
  <si>
    <t>Desa Baung, Kecamatan Seruyan Hiilr</t>
  </si>
  <si>
    <t>027/281/D/PPK-DISDIKPORA/IX/20</t>
  </si>
  <si>
    <t>Pembangunan RKB SDN 2 Baung (2 Ruang)</t>
  </si>
  <si>
    <t>027/881/PPK-DISDIKPORA/XI/2015</t>
  </si>
  <si>
    <t>Pembangunan RKB SDN 2 baung</t>
  </si>
  <si>
    <t>027/279/PPK-DISDIKPORA/V/2015</t>
  </si>
  <si>
    <t xml:space="preserve"> Pekerjaan Pembangunan WC SDN 2 Baung</t>
  </si>
  <si>
    <t>Desa Baung Kec. Seruyan Hilir</t>
  </si>
  <si>
    <t>027/052/PPK-DISDIKPORA/ I/2016</t>
  </si>
  <si>
    <t>Pembangunan RDG SDN 2 Baung</t>
  </si>
  <si>
    <t>027/373/D/PPK-DISDIKPORA/IX/20</t>
  </si>
  <si>
    <t>Desa Kuala Pembuang I, Kec. Seruyan Hilir</t>
  </si>
  <si>
    <t>027/270/PPK-DISDIKPORA/V/2015</t>
  </si>
  <si>
    <t>Pembangunan Gedung Kantor SDN 3 Kuala Pembuang I</t>
  </si>
  <si>
    <t>027/874/PPK-DISDIKPORA/XI/2015</t>
  </si>
  <si>
    <t>Pembangunan RKB SDN 3 Kuala Pembuang I</t>
  </si>
  <si>
    <t>Jln. A. Yani, Kelurahan. Kuala Pembuang I Kec. Seruyan Hilir</t>
  </si>
  <si>
    <t>4251/186/DIKDAS-DISDIK./V/2020</t>
  </si>
  <si>
    <t>'Pembangunan ruang UKS 30203142 - SD NEGERI 2 KUALA PEMBUANG I (DAK SD REGULER 2020)  1 Ruang</t>
  </si>
  <si>
    <t>027/875/PPK-DISDIKPORA/XI/2015</t>
  </si>
  <si>
    <t>Pembangunan WC Sekolah SDN 3 Kuala Pembuang I</t>
  </si>
  <si>
    <t>027/606/DISDIK/SD/VII/2022</t>
  </si>
  <si>
    <t>Pembangunan Ruang Laboratorium Komputer beserta perabotnya SD NEGERI 2 KUALA PEMBUANG I DAK Fisik 2022</t>
  </si>
  <si>
    <t>KEC. SERUYAN HILIR</t>
  </si>
  <si>
    <t>027/295/PPK-DISDIKPORA/V/2015</t>
  </si>
  <si>
    <t>Halaman SDN 2 Kuala Pembuang I</t>
  </si>
  <si>
    <t>027/294/PPK-DISDIKPORA/V/2015</t>
  </si>
  <si>
    <t>'Pembangunan Pagar SDN 3 Kuala Pembuang I</t>
  </si>
  <si>
    <t xml:space="preserve"> Desa Kuala Pembuang II, Kecamatan Seruyan Hilir</t>
  </si>
  <si>
    <t>Desa Kuala Pembuang II, Kecamatan Seruyan Hilir</t>
  </si>
  <si>
    <t>Jl. Aromani, Kuala Pembuang II - Kecamatan Seruyan Hilir</t>
  </si>
  <si>
    <t>000.3.3/1113/DISDIK/SD/VIII/2024</t>
  </si>
  <si>
    <t>Pembangunan Ruang Laboratorium Komputer Beserta Perabotnya SD Negeri 2 Kuala Pembuang II</t>
  </si>
  <si>
    <t>027/273/PPK-DISDIKPORA/V/2015</t>
  </si>
  <si>
    <t>Pembangunan WC SDN 2 Kuala Pembuang II</t>
  </si>
  <si>
    <t>027/945/DISDIK/SD/VII/2022</t>
  </si>
  <si>
    <t>Pembangunan Rumah Dinas Guru beserta perabotnya SD NEGERI 2 KUALA PEMBUANG II DAK Fisik 2022</t>
  </si>
  <si>
    <t>Konstruksi (Pembangunan Pagar SDN 2 Kuala Pembuang II)</t>
  </si>
  <si>
    <t>Desa Belanti, Kecamatan Seruyan Hilir</t>
  </si>
  <si>
    <t>027/284/D/PPK-DISDIKPORA/IX/2</t>
  </si>
  <si>
    <t>Pembangunan RKB SDN 1 Belanti (1 ruang)</t>
  </si>
  <si>
    <t>Desa Tanggul Harapan, Kec. Seruyan Hilir</t>
  </si>
  <si>
    <t>027/282/D/PPK-DISDIKPORA/IX/20</t>
  </si>
  <si>
    <t>Pembangunan  SDN 1 Tanggul Harapan ( 3 ruang)</t>
  </si>
  <si>
    <t>000.3.3/2254/DISDIK/SD/XI/2024</t>
  </si>
  <si>
    <t>WC SDN 2 Pematang Limau</t>
  </si>
  <si>
    <t>kuala pembuang</t>
  </si>
  <si>
    <t>027/901/DISDIK/SD/VII/2022</t>
  </si>
  <si>
    <t>Pembangunan Ruang UKS beserta perabotnya SD NEGERI 2 PERSIL RAYA DAK Fisik 2022</t>
  </si>
  <si>
    <t>46.5</t>
  </si>
  <si>
    <t>Kuala Pembuang, Kec. Seruyan Hilir</t>
  </si>
  <si>
    <t>027/605/DISDIK/SD/VII/2022</t>
  </si>
  <si>
    <t>Pembangunan Ruang Guru beserta perabotnya SD NEGERI 2 PERSIL RAYA DAK Fisik 2022</t>
  </si>
  <si>
    <t>Pembangunan Perpustakaan SDN 4 Kuala Pembuang I</t>
  </si>
  <si>
    <t>JL. KIHAJAR DEWANTARA K.PEMBUANG</t>
  </si>
  <si>
    <t>027/887/PPK-DISDIKPORA/X/2015</t>
  </si>
  <si>
    <t>pemasangan paving SDN 4 K. Pembuang I</t>
  </si>
  <si>
    <t>050/1640/Sek/VII/2010</t>
  </si>
  <si>
    <t>1 Unit RDG SDN -4 Kel. Pembuang-1</t>
  </si>
  <si>
    <t>1 Unit RDG SDN -4 Kel. Pembuang-1 Beton, Seruyan</t>
  </si>
  <si>
    <t>027/344/PPK-DISDIK/VIII/2017</t>
  </si>
  <si>
    <t>Pembangunan Pagar SDN 4 Kuala Pembuang I</t>
  </si>
  <si>
    <t>'027/487/PPK-DISDIKPORA/VII/20</t>
  </si>
  <si>
    <t>Pembangunan Gedung Kantor SDN 5 Kuala 
Pembuang I</t>
  </si>
  <si>
    <t>027/118/PPK-DISDIK/DIKDAS/VI/2</t>
  </si>
  <si>
    <t>Pembangunan WC SDN 5 Kuala Pembuang I</t>
  </si>
  <si>
    <t>Jln. Patimura,Kelurahan Kuala Pembuang I Kec. Seruyan Hilir</t>
  </si>
  <si>
    <t>4251/182/DIKDAS-DISDIK.I/V/202</t>
  </si>
  <si>
    <t>'Pembangunan ruang UKS 30203058 - SD NEGERI 3 KUALA PEMBUANG I (DAK SD REGULER 2020)  1 Ruang</t>
  </si>
  <si>
    <t>25.8</t>
  </si>
  <si>
    <t>027/763/DISDIK/SD/VII/2022</t>
  </si>
  <si>
    <t>Pembangunan Toilet (Jamban) beserta sanitasinya SD NEGERI 3 KUALA PEMBUANG I DAK Fisik 2022</t>
  </si>
  <si>
    <t>Jl. Pattimura K.P. I  Kecamatan Seruyan Hilir</t>
  </si>
  <si>
    <t>027/879/PPK-DISDIKPORA/XI/2015</t>
  </si>
  <si>
    <t>pemasangan paving SDN 5 K. Pembuang I</t>
  </si>
  <si>
    <t xml:space="preserve"> Desa Kuala Pembuang I, Kec. Seruyan Hilir</t>
  </si>
  <si>
    <t>/056/DIKDAS-DISDIK.I/V/2020</t>
  </si>
  <si>
    <t>Rumah Dinas Guru Beserta Perabotnya (1 unit) 30203058 - SD NEGERI 3 KUALA PEMBUANG I</t>
  </si>
  <si>
    <t>Jln. Patimura,_x000D_
Kelurahan Kuala Pembuang I_x000D_
Kec. Seruyan Hilir</t>
  </si>
  <si>
    <t>425.11/034/DIKDAS-DISDIK.I/IV/</t>
  </si>
  <si>
    <t>Pembangunan rumah dinas guru beserta (2 unit) 30203058 - SD NEGERI 3 KUALA PEMBUANG I</t>
  </si>
  <si>
    <t>117</t>
  </si>
  <si>
    <t>027/288/PPK-DISDIKPORA/V/2015</t>
  </si>
  <si>
    <t>Pembangunan Pagar SDN 5 Kuala Pembuang I</t>
  </si>
  <si>
    <t>Kuala Pembuang II, Kecamatan Seruyan Hilir</t>
  </si>
  <si>
    <t>027/280/D/PPK-DISDIKPORA/IX/20</t>
  </si>
  <si>
    <t>Pembangunan RKB  SDN 3 Kuala Pembuang II (1 ruang)</t>
  </si>
  <si>
    <t>'421.2/2179/DIKDAS-DISDIKPORA/</t>
  </si>
  <si>
    <t>Pekerjaan Pembangunan RKB SDN 3 Kuala Pembuang II Tahap I (1 Ruang) DAK 2005-2012</t>
  </si>
  <si>
    <t>027/614/PPK-DISDIKPORA/IX/2015</t>
  </si>
  <si>
    <t>'Pembangunan RKB SDN 3 Kuala 'Pembuang II 1 Ruang (Silpa DAK SD 2014)</t>
  </si>
  <si>
    <t>Jln. Ki Hajar Dewantara,_x000D_
Kelurahan Kuala Pembuang II_x000D_
Kec. Seruyan Hilir</t>
  </si>
  <si>
    <t>425.1/022/DAK-SD-DISDIK.I/V/20</t>
  </si>
  <si>
    <t>Pembangunan Ruang Kelas Baru (RKB) SDN 3 Kuala Pembuag II (1 Ruang) (DAK SD 2019)</t>
  </si>
  <si>
    <t>87</t>
  </si>
  <si>
    <t>027/918/DISDIK/SD/VII/2022</t>
  </si>
  <si>
    <t>Pembangunan Ruang Kelas Baru (RKB) beserta perabotnya SD NEGERI 3 KUALA PEMBUANG II DAK Fisik 2022</t>
  </si>
  <si>
    <t>03/421.2/SPK-DISDIK.DAS/IX/201</t>
  </si>
  <si>
    <t>Pembangunan MCK SDN 3 Kuala Pembuang II</t>
  </si>
  <si>
    <t>2650</t>
  </si>
  <si>
    <t>027/184/PPK-DISDIK/DIKDAS/VIII</t>
  </si>
  <si>
    <t>Pemasangan Paving SDN 3 Kuala Pembuang II</t>
  </si>
  <si>
    <t>05/421.2/SPK-DISDIK.DAS/VIII/2</t>
  </si>
  <si>
    <t>Pembangunan Pagar SDN 3 Kuala Pembuang II</t>
  </si>
  <si>
    <t>083/PPK-DISDIKPORA/IX/2013</t>
  </si>
  <si>
    <t>Pembangunan Pagar SDN 3 Kuala Pembuang II Kec. Seruyan Hilir kabupaten Seruyan</t>
  </si>
  <si>
    <t>KUALA PEMBUANG KEC. SERUYAN HILIR</t>
  </si>
  <si>
    <t>027/287PPK-DISDIKPORA/V/2015</t>
  </si>
  <si>
    <t>Pemasangan Paving SDN 4 Kuala Pembuang II</t>
  </si>
  <si>
    <t>027/286/PPK-DISDIKPORA/V/2015</t>
  </si>
  <si>
    <t>Pembangunan Pagar SDN 4 Kuala Pembuang II</t>
  </si>
  <si>
    <t>TK PEMBINA KUALA PEMBUANG</t>
  </si>
  <si>
    <t>027/1203/DISDIK.II/VII/2021</t>
  </si>
  <si>
    <t>Pembangunan Ruang Guru dan kepala Sekolah  TK PEMBINA KUALA PEMBUANG</t>
  </si>
  <si>
    <t xml:space="preserve"> Jl. A. Yani Kuala Pembuang</t>
  </si>
  <si>
    <t>027/712/DISDIK/P3NF/VIII/2019</t>
  </si>
  <si>
    <t>Pembangunan RKB TK Negeri Pembina Kuala Pembuang</t>
  </si>
  <si>
    <t>001/DAK-PAUD-DISDIK-II/IV/2020</t>
  </si>
  <si>
    <t>Pembangunan Ruang Kelas Baru (RKB) TK Negeri Pembina Kuala Pembuang (1 Ruang)</t>
  </si>
  <si>
    <t>kuala Pembuang</t>
  </si>
  <si>
    <t>027/1202/DISDIK.II/VII/2021</t>
  </si>
  <si>
    <t>Pembangunan Toilet ( jamban ) Beserta Sanitasinya TKN Pembina Kuala pembuang</t>
  </si>
  <si>
    <t>71.25</t>
  </si>
  <si>
    <t xml:space="preserve"> Jl. Adiyaksa, Kuala Pembuang II - Kecamatan Seruyan Hilir</t>
  </si>
  <si>
    <t>000.3.2/467/DISDIK/P3NF/VI/2024</t>
  </si>
  <si>
    <t>Pekerjaan Pembangunan Aula Terbuka TKN Pembina Kuala Pembuang</t>
  </si>
  <si>
    <t>Pembangunan Pagar, Jembatan dan Pemasangan Listrik TK Pembina</t>
  </si>
  <si>
    <t>027/416/PPK-DISDIK/IX/2017</t>
  </si>
  <si>
    <t>Pemasangan Paving Halaman Sekolah TK Pembina Kuala Pembuang</t>
  </si>
  <si>
    <t>Pembangunan RDG TK Pembina Kuala Pembuang</t>
  </si>
  <si>
    <t xml:space="preserve"> Desa Telaga Pulang Kec. Danau Sembuluh</t>
  </si>
  <si>
    <t>027/353/PPK-DISDIK/IX/2017</t>
  </si>
  <si>
    <t>Pembangunan Rumah Dinas UPTD Pendidikan Kecamatan Danau Sembuluh</t>
  </si>
  <si>
    <t xml:space="preserve"> Desa Banua Usang Kecamatan Danau Sembuluh</t>
  </si>
  <si>
    <t>SDN - 1  Banua Usang</t>
  </si>
  <si>
    <t>Desa Benua Usang</t>
  </si>
  <si>
    <t>421.3/1017/Dikdas/VI/2009</t>
  </si>
  <si>
    <t>1 Paket  Rumah Dinas SDN - 1 Benua Usang</t>
  </si>
  <si>
    <t>Jln. Pandawa,Desa Cempaka Baru, Kec. Danau Sembuluh</t>
  </si>
  <si>
    <t>425.11/175/DIKDA-DISDIK.I/V/2</t>
  </si>
  <si>
    <t>Pembangunan ruang guru 30203105 - SD NEGERI 1 CEMPAKA BARU  (DAK SD REGULER 2020)  1 Ruang</t>
  </si>
  <si>
    <t>170</t>
  </si>
  <si>
    <t xml:space="preserve"> Desa Cempaka Baru Kecamatan Danau Sembuluh</t>
  </si>
  <si>
    <t>Jln. Pandawa,Desa Cempaka Baru,Kec. Danau Sembuluh</t>
  </si>
  <si>
    <t>4251/184/DIKDAS-DISDIK./V/2020</t>
  </si>
  <si>
    <t>'Pembangunan ruang UKS 30203105 - SD NEGERI 1 CEMPAKA BARU  (DAK SD REGULER 2020)  1 Ruang</t>
  </si>
  <si>
    <t>Jln. Pandawa,_x000D_
Desa Cempaka Baru, Kec. Danau Sembuluh</t>
  </si>
  <si>
    <t>425.11/151/DIKDAS-DISDIK.I/V/2</t>
  </si>
  <si>
    <t>'Pembangunan (Toilet) jamban siswa/guru beserta sanitasinya Jenjang 30203105 - SD NEGERI 1 CEMPAKA BARU (DAK SD REGULER 2020)</t>
  </si>
  <si>
    <t>Desa Cempaka Baru, Kecamatan Danau Sembuluh</t>
  </si>
  <si>
    <t>323/PPK-DISDIKPORA/X/2013</t>
  </si>
  <si>
    <t>Pembangunan Rumah Dinas Guru SDN - 1 Cempaka Baru Kec. Danau Sembuluh Kabupaten Seruyan</t>
  </si>
  <si>
    <t xml:space="preserve"> Desa Palingkau Kecamatan Danau Sembuluh</t>
  </si>
  <si>
    <t xml:space="preserve"> Desa Palingkau, Kecamatan Danau Sembuluh</t>
  </si>
  <si>
    <t>252/D/PPK-DISDIKPORA/X/2013</t>
  </si>
  <si>
    <t>139</t>
  </si>
  <si>
    <t xml:space="preserve"> Desa Paren Kecamatan Danau Sembuluh</t>
  </si>
  <si>
    <t>027/889/PPK-DISDIKPORA/XI/2015</t>
  </si>
  <si>
    <t>Pembangunan RDG SDN 1 Paren Kecamatan Danau Sembuluh</t>
  </si>
  <si>
    <t xml:space="preserve"> Desa Sembuluh I Kecamatan Danau Sembuluh</t>
  </si>
  <si>
    <t>421.2/781/DISDIK-DS/V/2017</t>
  </si>
  <si>
    <t xml:space="preserve">  Pembangunan RKB SDN 1 Sembuluh I ( 1 Ruang )
(DAK SD 2017)</t>
  </si>
  <si>
    <t>027/280/PPK-DISDIKPORA/V/2015</t>
  </si>
  <si>
    <t>pekerjaan WC SDN I Sembuluh I Kec. Danau Sembuluh</t>
  </si>
  <si>
    <t>JL. Sembuluh Kec.Danau Sembuluh</t>
  </si>
  <si>
    <t>027/402/DISDIK/DIKDAS/VII/2021</t>
  </si>
  <si>
    <t>Pembangunan ruang UKS beserta perabotnya SD NEGERI ( Dak Fisik SD )  SDN 1 DANAU SEMBULUH I</t>
  </si>
  <si>
    <t>Jl. Selamat I Desa Sembuluh I - Kecamatan Danau Sembuluh</t>
  </si>
  <si>
    <t>000.3.2/697/DISDIK/SD/VII/2024</t>
  </si>
  <si>
    <t>Pembangunan Ruang UKS Beserta Perabotnya_30203165 SD Negeri 1 Sembuluh I</t>
  </si>
  <si>
    <t>000.3.3/826/DISDIK/SD/VII/2024</t>
  </si>
  <si>
    <t>Pembangunan Ruang Laboratorium Komputer Beserta Perabotnya SD Negeri 1 Sembuluh I</t>
  </si>
  <si>
    <t>421.3/1181/Dikdas/VI/2009</t>
  </si>
  <si>
    <t>1 paket Perpustakaam SDN - 1 Sembuluh</t>
  </si>
  <si>
    <t>Desa Telaga Pulang, Kecamatan Danau Sembuluh</t>
  </si>
  <si>
    <t>027/312/D/PPK-DISDIKPORA/IX/20</t>
  </si>
  <si>
    <t>Pembangunan Perpustaakaan SDN 1 Sembuluh I</t>
  </si>
  <si>
    <t>Desa Sembuluh I - Kecamatan Danau Sembuluh</t>
  </si>
  <si>
    <t>000.3.2/645/DISDIK/SD/VI/2024</t>
  </si>
  <si>
    <t>Pekerjaan Pembangunan Rumah Dinas Guru 30203165 SD Negeri 1 Sembuluh I</t>
  </si>
  <si>
    <t>027/878/PPK-DISDIKPORA/XI/2015</t>
  </si>
  <si>
    <t>Pembangunan pagar SDN 1 Desa Sembuluh I Kec, D, Sembuluh</t>
  </si>
  <si>
    <t>Jln. Lapangan Olahraga Desa Sembuluh II Kec. Danau Sembuluh</t>
  </si>
  <si>
    <t>425.11/177/DIKDASDISDIK.I/V/2</t>
  </si>
  <si>
    <t>Pembangunan ruang guru 30203166 - SD NEGERI 1 SEMBULUH II  (DAK SD REGULER 2020)  1 Ruang</t>
  </si>
  <si>
    <t xml:space="preserve"> Desa Sembuluh II Kecamatan Danau Sembuluh</t>
  </si>
  <si>
    <t>Desa Sembuluh II Kec. Danau Sembuluh</t>
  </si>
  <si>
    <t>027/71/PPK-DISDIK/DIKDAS/VII/2</t>
  </si>
  <si>
    <t>Pembangunan Ruang Kelas Baru (RKB) SDN 1 Sembuluh II</t>
  </si>
  <si>
    <t>'425.11/110/DIKDAS.DISDIK.I/V/</t>
  </si>
  <si>
    <t>Pembangunan Ruang Kelas Baru (RKB) 2 ruang 30203166 - SD NEGERI 1 SEMBULUH II DAK 2020</t>
  </si>
  <si>
    <t>Jln. Lapangan Olahraga_x000D_
Desa Sembuluh II Kec. Danau Sembuluh</t>
  </si>
  <si>
    <t>152/DIKDAS-DISDIK.I/V/2020</t>
  </si>
  <si>
    <t>'pembangunan (Toilet) jamban siswa/guru beserta sanitasinya Jenjang 30203166 - SD NEGERI 1 SEMBULUH II (DAK SD REGULER 2020)</t>
  </si>
  <si>
    <t xml:space="preserve"> Pembangunan Ruang Laboratorium Komputer Beserta Perabotnya SD Negeri 1 Sembuluh II</t>
  </si>
  <si>
    <t xml:space="preserve"> 000.3.3/737/DISDIK/SD/VII/2024</t>
  </si>
  <si>
    <t>050/1636/Sek/VII/2010</t>
  </si>
  <si>
    <t>1 Unit RDG SDN -  1 Sembuluh II Kec. Danau Sembuluh, seruyan</t>
  </si>
  <si>
    <t>116</t>
  </si>
  <si>
    <t>11/421.2/SPK/DISDIK.DAS/VIII/2</t>
  </si>
  <si>
    <t>Pembangunan Pagar SDN 1 Sembuluh II, Desa Sembuluh II</t>
  </si>
  <si>
    <t>50.2</t>
  </si>
  <si>
    <t>Jl. Lapangan Olah Raga,Sembuluh II,Danau Sembuluh</t>
  </si>
  <si>
    <t>027/3194/DISDIK/SD/XII/2023</t>
  </si>
  <si>
    <t>Pekerjaan Pembangunan Pagar SDN 1 Sembuluh 2</t>
  </si>
  <si>
    <t>80.5</t>
  </si>
  <si>
    <t>Jl. Lapangan Olah Raga Desa Sembuluh II - Kecamatan Danau Sembuluh</t>
  </si>
  <si>
    <t>000.3.2/1156/DISDIK/SD/IX/2024</t>
  </si>
  <si>
    <t>Pembangunan Pagar Sekolah SD Negeri 1 Sembuluh II</t>
  </si>
  <si>
    <t xml:space="preserve"> Telaga Pulang Kecamatan Danau Sembuluh</t>
  </si>
  <si>
    <t>Jl. Pendidikan No.078 RT.001 RW.001, Desa Telaga Pulang - Kecamatan Danau Sembuluh</t>
  </si>
  <si>
    <t>000.3.3/550/DISDIK/SD/VI/2024</t>
  </si>
  <si>
    <t xml:space="preserve"> Pembangunan Ruang Laboratorium Komputer Beserta Perabotnya SD Negeri 1 Telaga Pulang (DAK Fisik SD)</t>
  </si>
  <si>
    <t>000.3.3/552/DISDIK/SD/VI/2024</t>
  </si>
  <si>
    <t>Pembangunan Ruang Guru Beserta Perabotnya SD Negeri 1 Telaga Pulang (DAK Fisik SD)</t>
  </si>
  <si>
    <t>Depan SDN 2 Telaga Pulang Desa Telaga Pulang,_x000D_
Kec. Danau Sembuluh</t>
  </si>
  <si>
    <t>4251/074/DIKDAS-DISDIK/V/202</t>
  </si>
  <si>
    <t>Rumah Dinas Guru (1 unit) 30203173 -SD NEGERI 1 TELAGA PULANG DAK 2020</t>
  </si>
  <si>
    <t>000.3.2/1491/DISDIK/SD/IX/2024</t>
  </si>
  <si>
    <t>Pek Pembangunan Pagar Sekolah SD Negeri 1 Telaga Pulang</t>
  </si>
  <si>
    <t xml:space="preserve"> Desa Ulak Batu Kecamatan Danau Sembuluh</t>
  </si>
  <si>
    <t>Desa Ulak Batu Kecamatan Danau Sembuluh</t>
  </si>
  <si>
    <t>027/871/DISDIK/SD/VII/2022</t>
  </si>
  <si>
    <t>Pembangunan Rumah Dinas Guru 30203171 - SD Negeri 1 Ulak Batu (Dana Insentif Daerah 2022)</t>
  </si>
  <si>
    <t>Jln. Dahlia_x000D_
Desa Sembuluh I_x000D_
Kec. Danau Sembuluh</t>
  </si>
  <si>
    <t>425.11/023/DAK-SD-DISDIK.I/V/2</t>
  </si>
  <si>
    <t>Pembangunan Ruang Kelas Baru (RKB) SDN 2 Sembuluh I (1 Ruang) (DAK SD 2019)</t>
  </si>
  <si>
    <t>Jl. Dahlia,Sembuluh I,Danau Sembuluh</t>
  </si>
  <si>
    <t>027/3184/DISDIK/SD/XII/2023</t>
  </si>
  <si>
    <t>Pembangunan Gedung Kantor SDN 2 Sembuluh I</t>
  </si>
  <si>
    <t>Jl. Dahlia Desa Sembuluh I - Kecamatan Danau Sembuluh</t>
  </si>
  <si>
    <t>000.3.3/827/DISDIK/SD/VII/2024</t>
  </si>
  <si>
    <t>Pembangunan Ruang Lab Komputer Beserta Perabotnya SD Negeri 2 Sembuluh I</t>
  </si>
  <si>
    <t>027/957/DISDIK/SD/VII/2022</t>
  </si>
  <si>
    <t>Pembangunan Ruang Guru beserta perabotnya SD Negeri 2 Sembuluh I</t>
  </si>
  <si>
    <t>122</t>
  </si>
  <si>
    <t>027/877/PPK-DISDIKPORA/XI/2015</t>
  </si>
  <si>
    <t>Pekerjaan Pembangunan pagar SDN 2 Desa Sembuluh I Kec, D, Sembuluh</t>
  </si>
  <si>
    <t>81.5</t>
  </si>
  <si>
    <t xml:space="preserve"> 000.3.2/1538/DISDIK/SD/X/2024</t>
  </si>
  <si>
    <t>Pembangunan Pagar Sekolah SD Negeri 2 Sembuluh I</t>
  </si>
  <si>
    <t>A Taupak, Telaga Pulang</t>
  </si>
  <si>
    <t>027/659/DISDIK/SD/VII/2022</t>
  </si>
  <si>
    <t>Pembangunan Ruang Laboratorium Komputer beserta perabotnya SD NEGERI 2 TELAGA PULANG DAK Fisik 2022</t>
  </si>
  <si>
    <t>027/562/DISDIK/SD/VII/2022</t>
  </si>
  <si>
    <t>Pembangunan Toilet (Jamban) beserta sanitasinya SD NEGERI 2 TELAGA PULANG DAK Fisik 2022</t>
  </si>
  <si>
    <t>A Taupak No. 20,Telaga Pulang,Danau Sembuluh</t>
  </si>
  <si>
    <t>027/1655/DISDIK/SD/VIII/2023</t>
  </si>
  <si>
    <t>Pembangunan Pagar SDN 2 Telaga Pulang</t>
  </si>
  <si>
    <t>Kecamatan Hanau</t>
  </si>
  <si>
    <t>SMP SATAP 1 HANAU</t>
  </si>
  <si>
    <t>Desa Rantau Panjang_x000D_
Kec. Seruyan Hulu</t>
  </si>
  <si>
    <t>'425.11/147/DIKDAS-DISDIK.I/V/</t>
  </si>
  <si>
    <t>Pembangunan Laboratorium Ilmu Pengetahuan Alam (IPA) Jenjang SMP 30205003 - SEKOLAH MENENGAH PERTAMA SATU ATAP 1 SERUYAN HULU (DAK SMP REGULER 2020)</t>
  </si>
  <si>
    <t>SMP SATAP 1 SERUYAN HULU</t>
  </si>
  <si>
    <t>Jl. Inpres,Rantau Panjang,Seruyan Hulu</t>
  </si>
  <si>
    <t>027/967/DISDIK/SMP/VII/2023</t>
  </si>
  <si>
    <t>"PEMBANGUNAN RUANG LABORATORIUM KOMPUTER
BESERTA PERABOTNYA 30205003 - SEKOLAH
MENENGAH PERTAMA SATU ATAP 1 SERUYAN HULU
(DAK FISIK 2023)"</t>
  </si>
  <si>
    <t>027/974/DISDIK/SMP/VII/2023</t>
  </si>
  <si>
    <t>"PEMBANGUNAN RUANG UKS BESERTA PERABOTNYA
30205003 - SEKOLAH MENENGAH PERTAMA SATU
ATAP 1 SERUYAN HULU (DAK FISIK 2023)"</t>
  </si>
  <si>
    <t>027/1408/DISDIK/SMP/VII/2023</t>
  </si>
  <si>
    <t>Pembangunan Ruang tata usaha Beserta Perabotnya SMPN Satap 1 Seruyan Hulu</t>
  </si>
  <si>
    <t>318/D/PPK-DISDIKPORA/X/2013</t>
  </si>
  <si>
    <t>Pembanguna Rumah Dinas Guru SMPN SATAP 1 Seruyan Hulu Kec. Seruyan Hulu Kabupaten Seruyan</t>
  </si>
  <si>
    <t>425.11/096/DIKDAS-DISDIK.I/IV/</t>
  </si>
  <si>
    <t>Pembangunan Rumah Dinas Guru (1 unit) 30205003 - SMP NEGERI SATAP 1 SERUYAN HULU</t>
  </si>
  <si>
    <t>1125/D3.1/KU/2016</t>
  </si>
  <si>
    <t>Pembangunan Lab IPA/APBN</t>
  </si>
  <si>
    <t>SMP SATAP 1 SERUYAN RAYA</t>
  </si>
  <si>
    <t>1122/D3.1/KU/2016</t>
  </si>
  <si>
    <t>Pembangunan RKB/APBN</t>
  </si>
  <si>
    <t>Desa Tabiku Kec. Seruyan Raya</t>
  </si>
  <si>
    <t>027/921/DISDIK/SMP/VII/2023</t>
  </si>
  <si>
    <t>"PEMBANGUNAN RUANG TATA USAHA BESERTA
PERABOTNYA 69788019 -SEKOLAH MENENGAH
PERTAMA NEGERI SATU ATAP 1 SERUYAN RAYA (DAK
FISIK 2023)"</t>
  </si>
  <si>
    <t>027/970/DISDIK/SMP/VII/2023</t>
  </si>
  <si>
    <t>"PEMBANGUNAN RUANG UKS BESERTA PERABOTNYA
69788019 - SEKOLAH MENENGAH PERTAMA NEGERI
SATU ATAP 1 SERUYAN RAYA (DAK HSIK 2023)"</t>
  </si>
  <si>
    <t>027/966/DISDIK/SMP/VII/2023</t>
  </si>
  <si>
    <t>"PEMBANGUNAN RUANG LABORATORIUM KOMPUTER
BESERTA PERABOTNYA 69788019 - SEKOLAH
MENENGAH PERTAMA NEGERI SATU ATAP 1 SERUYAN
RAYA (DAK FISIK 2023)"</t>
  </si>
  <si>
    <t>027/972/DISDIK/SMP/VTI/2023</t>
  </si>
  <si>
    <t>(kursi kerja)"PEMBANGUNAN RUANG PERPUSTAKAAN BESERTA
PERABOTNYA 69788019 -SEKOLAH MENENGAH
PERTAMA NEGERI SATU ATAP 1 SERUYAN RAYA (DAK"</t>
  </si>
  <si>
    <t>Desa Tabiku, Kec. Seruyan Raya</t>
  </si>
  <si>
    <t>425.11/195/DIKDAS-DISDIK/V/2</t>
  </si>
  <si>
    <t>Pembangunan Ruang Perpustakaan 69788019 - SMP NEGERI SATAP 1 SERUYAN RAYA (DAK SMP REGULER 2020 )</t>
  </si>
  <si>
    <t>078/D/PPK-DISDIKPORA/IX/2013</t>
  </si>
  <si>
    <t>Pembangunan Rumah Dinas Guru SMPN Satap 1 Seruyan Raya Kec. Seruyan Raya Kabupaten Seruyan</t>
  </si>
  <si>
    <t>027/327/PPK-DISDIKPORA/IV/2016</t>
  </si>
  <si>
    <t xml:space="preserve"> Pembangunan RDG  SMPN Satap 1 Seruyan Raya</t>
  </si>
  <si>
    <t>027/151/PPK-DISDIK/V/2017</t>
  </si>
  <si>
    <t xml:space="preserve"> Pembangunan RDG SMP Satap 1 Seruyan Raya</t>
  </si>
  <si>
    <t>Jln. Sindi,_x000D_
Desa Pangke,_x000D_
Kec. Seruyan Tengah</t>
  </si>
  <si>
    <t>'425.11/148/DIKDAS-DISDIK.I/V/</t>
  </si>
  <si>
    <t>Pembangunan Laboratorium Ilmu Pengetahuan Alam (IPA) Jenjang SMP 69726857 - SEKOLAH MENENGAH PERTAMA NEGERI SATU ATAP 1 SERUYAN TENGAH</t>
  </si>
  <si>
    <t>SMP SATAP 1 SERUYAN TENGAH</t>
  </si>
  <si>
    <t>027/537/PPK-DISDIKPORA/VII/201</t>
  </si>
  <si>
    <t>Pembangunan RKB SMPN Satap 1 Seruyan Tengah ( 2 Ruang )</t>
  </si>
  <si>
    <t>Jln. Sindi,Desa Pangke,Kec. Seruyan Tengah</t>
  </si>
  <si>
    <t>425.11/194/DIKDAS-DISDIK/V/2</t>
  </si>
  <si>
    <t>Pembangunan Ruang Perpustakaan 69726857 - SMP NEGERI SATAP 1 SERUYAN TENGAH (DAK SMP REGULER 2020 )</t>
  </si>
  <si>
    <t>Sukamandang, Seruyan Tengah</t>
  </si>
  <si>
    <t>027/442/PPK-DISDIKPORA/V/2015</t>
  </si>
  <si>
    <t>Pembangunan RDG SMPN Satap 1 Seruyan Tengah</t>
  </si>
  <si>
    <t>027/068/PPK-DISDIK/SKT/V/2018</t>
  </si>
  <si>
    <t xml:space="preserve"> Pembangunan Rumah Dinas Guru (RDG) SMPN Satap 1 Seruyan Tengah</t>
  </si>
  <si>
    <t>Desa Banua Usang,_x000D_
Kec. Danau Sembuluh</t>
  </si>
  <si>
    <t>421.11/101/DIKDAS-DISDIK.I/V/2</t>
  </si>
  <si>
    <t>Rumah Dinas Guru (1 unit) 30205006 - SMP NEGERI SATAP 2 DANAU SEMBULUH</t>
  </si>
  <si>
    <t>SMP SATAP 2 DANAU SEMBULUH</t>
  </si>
  <si>
    <t>SMP SATAP 2 HANAU</t>
  </si>
  <si>
    <t>027/156/PPK-DISDIK/V/2017</t>
  </si>
  <si>
    <t>Pembangunan RDG SMP Satap 2 Hanau</t>
  </si>
  <si>
    <t>027/428PPK-DISDIKPORA/V/2015</t>
  </si>
  <si>
    <t>Pembangunan RDG SMPN Satap 2 Hanau</t>
  </si>
  <si>
    <t>Desa Riam Batang_x000D_
Kec. Seruyan Hulu</t>
  </si>
  <si>
    <t>425.11/033/DAK-SMP-DISDIK.I/V/</t>
  </si>
  <si>
    <t>Pembangunan Perpustakaan SMPN SATU ATAP 2 Seruyan Hulu (DAK SMP 2019)</t>
  </si>
  <si>
    <t>SMP SATAP 2 SERUYAN HULU</t>
  </si>
  <si>
    <t>319/D/PPK-DISDIKPORA/X/2013</t>
  </si>
  <si>
    <t>Pembangunan Rumah Dinas Guru SMPN SATAP 2 Seruyan Hulu Kec. Seruyan Hulu Kabupaten Seruyan</t>
  </si>
  <si>
    <t>425.11/098/DIKDAS-DISDIK.I/IV/</t>
  </si>
  <si>
    <t>Pembangunan Rumah Dinas Guru (1 unit) 30205008 - SMP NEGERI SATAP 2 SERUYAN HULU</t>
  </si>
  <si>
    <t>027/309/D/PPK-DISDIKPORA/IX/20</t>
  </si>
  <si>
    <t>Pembangunan RKB SMPN Satap 3 Danau Sembuluh (2 Ruang)</t>
  </si>
  <si>
    <t>SMP SATAP 3 DANAU SEMBULUH</t>
  </si>
  <si>
    <t>Jln. Pandawa,_x000D_
Desa Cempaka Baru,_x000D_
Kec. Danau Sembuluh</t>
  </si>
  <si>
    <t>'425.11/102/DIKDAS-DISDIK.I/V/</t>
  </si>
  <si>
    <t>Rumah Dinas Guru (1 unit) 30205009 - SMP NEGERI SATAP 3 DANAU SEMBULUH</t>
  </si>
  <si>
    <t xml:space="preserve"> Desa Paring Raya, Kecamatan Hanau</t>
  </si>
  <si>
    <t>Desa Paring Raya,_x000D_
Kec. Hanau</t>
  </si>
  <si>
    <t>425.11/099/DIKDAS-DISDIK.I/IV/</t>
  </si>
  <si>
    <t>Pembangunan Rumah Dinas Guru (1 unit) 30205010 -SMP NEGERI SATAP 3 HANAU</t>
  </si>
  <si>
    <t>'027/085/PPK-DISDIK/DIKDAS/V/2</t>
  </si>
  <si>
    <t>Pembangunan RKB SMPN Satap 3 Seruyan Hulu</t>
  </si>
  <si>
    <t>SMP SATAP 3 SERUYAN HULU</t>
  </si>
  <si>
    <t>Desa Tanjung Paku_x000D_
Kec. Seruyan Hulu</t>
  </si>
  <si>
    <t>'425.11/105/DIKDAS-DISDIK.I/V/</t>
  </si>
  <si>
    <t>Rumah Dinas Guru (1 unit) 69892607 - SMP NEGERI SATAP 3 SERUYAN HULU</t>
  </si>
  <si>
    <t>027/151/PPK-DISDIK/DIKDAS/VIII</t>
  </si>
  <si>
    <t>Pembangunan Ruang Kelas Baru (RKB) SMPN Satu Atap 1 Suling Tambun</t>
  </si>
  <si>
    <t>SMPN 1 ATAP SULING TAMBUN</t>
  </si>
  <si>
    <t>432</t>
  </si>
  <si>
    <t>Desa Tumbang Setoli,Suling Tambun</t>
  </si>
  <si>
    <t>027/1009/DISDIK/SMP/VII/2023</t>
  </si>
  <si>
    <t>"PEMBANGUNAN RUANG KELAS BARU (RKB) BESERTA
PERABOTNYA SMPN SATAP 1 SULING TAMBUN (DAK
HSIK 2023)"</t>
  </si>
  <si>
    <t>Desa Tumbang Setoli_x000D_
Kec. Suling Tambun</t>
  </si>
  <si>
    <t>'425.11/107/DIKDAS-DISDIK.I/V/</t>
  </si>
  <si>
    <t>Rumah Dinas Guru (2 unit) 69973398 - SMP NEGERI SATAP 1 SULING TAMBUN</t>
  </si>
  <si>
    <t>421.3/1033/Dikdas/VI/2009</t>
  </si>
  <si>
    <t>1 Paket Perpustakaan SMPN-5 Seruyan Tengah</t>
  </si>
  <si>
    <t>334/PPK-DISDIKPORA/X/2013</t>
  </si>
  <si>
    <t>Pembangunan Rumah Dinas Guru SMPN 5 Seruyan Hulu Kec. Batu Ampar kabupaten Seruyan</t>
  </si>
  <si>
    <t>'027/066/PPK-DISDIK/SKT/V/2018</t>
  </si>
  <si>
    <t>Pembangunan Rumah Dinas Guru (RDG) SMPN 5 Seruyan Tengah</t>
  </si>
  <si>
    <t>050/1708/Sek/VIII/2010</t>
  </si>
  <si>
    <t>1 Ruang Lab.SMPN - 2 Hanau Pembuang Hulu</t>
  </si>
  <si>
    <t>Desa Asam Baru - Kecamatan Danau Seluluk</t>
  </si>
  <si>
    <t>000.3.2/381/DISDIK/SMP/VI/2024</t>
  </si>
  <si>
    <t>Pekerjaan Pembangunan Ruang UKS Beserta Perabotnya_30203836 SMP Negeri 1 Danau Seluluk</t>
  </si>
  <si>
    <t>027/364/D/PPK-DISDIKPORA/IX/20</t>
  </si>
  <si>
    <t>Pembangunan RDG SMPN 2 Hanau</t>
  </si>
  <si>
    <t>Jln. Uyup Alip,_x000D_
Desa Asam Baru,_x000D_
Kec. Danau Seluluk</t>
  </si>
  <si>
    <t>425.11/091/DIKDAS-DISDIK.I/IV/</t>
  </si>
  <si>
    <t>Pembangunan Rumah Dinas Guru (1 unit) 30203836 - SMP NEGERI 1 DANAU SELULUK</t>
  </si>
  <si>
    <t>12/42.3/SPK-DISDIK.DAS/VIII/20</t>
  </si>
  <si>
    <t>Pagar SMPN 2 Hanau, Desa Asam Baru - Kecamatan Danau Seluluk</t>
  </si>
  <si>
    <t>421.2/761.52/DIKDAS/III/2011</t>
  </si>
  <si>
    <t>2 Ruang RKB SMPN 1 Danau Sembuluh Kec. Danau Sembuluh</t>
  </si>
  <si>
    <t>027/1075/DISDIK/SMP/VII/2023</t>
  </si>
  <si>
    <t>"PEMBANGUNAN RUANG TATA USAHA BESERTA
PERABOTNYA 30203073 - SMP NEGERI 1 DANAU -
SEMBULUH (DAK FISIK 2023)"</t>
  </si>
  <si>
    <t>Jl. Pendidikan No. 10 Telaga Pulang,Danau Sembuluh</t>
  </si>
  <si>
    <t>027/978/DISDIK/SMP/VII/2023</t>
  </si>
  <si>
    <t>"PEMBANGUNAN RUANG UKS BESERTA PERABOTNYA
30203073 - SMP NEGERI 1 DANAU SEMBULUH (DAK
FISIK 2023)"</t>
  </si>
  <si>
    <t>027/1164/DISDIK/SMP/VII/2023</t>
  </si>
  <si>
    <t>"BEMBANGUNAN RUANG LABORATORIUM KOMPUTER
BESERTA PERABOTNYA 30203073 - SMP NEGERI 1
DANAU SEMBULUH (DAK FISIK 2023)"</t>
  </si>
  <si>
    <t>027/516/K/PPK-DISDIKPORA/X/201</t>
  </si>
  <si>
    <t>Konstruksi (Pembangunan RDG SMPN 1 Danau Sembuluh)</t>
  </si>
  <si>
    <t>Desa Telaga Pulang, Danau Sembuluh</t>
  </si>
  <si>
    <t>027/3199/DISDIK/SMP/XII/2023</t>
  </si>
  <si>
    <t>Pekerjaan Pembangunan pagar SMP 1 Desa Telaga Pulang</t>
  </si>
  <si>
    <t>050/1680/SEK/VII/2010</t>
  </si>
  <si>
    <t>1 Ruang Lab.SMPN - 1 Hanau Pembuang Hulu</t>
  </si>
  <si>
    <t>Jl. Abdul Rasyid Desa Pembuang Hulu II Kec. Hanau</t>
  </si>
  <si>
    <t>196.C/KPKL/KP/2018</t>
  </si>
  <si>
    <t>Pembangunan Masjid SMPN 1 Hanau ( Kementrian ) APBN</t>
  </si>
  <si>
    <t>050/1636/SEK/VII/2010</t>
  </si>
  <si>
    <t>2 RKB SMP - Negeri 1 Hanau Kabupaten Seruyan</t>
  </si>
  <si>
    <t>Jl. H. Abdul Rasyid</t>
  </si>
  <si>
    <t>027/654/DISDIK/SMP/VII/2022</t>
  </si>
  <si>
    <t>Pembangunan Toilet (Jamban) beserta sanitasinya 30203074 - SMP NEGERI 1 HANAU</t>
  </si>
  <si>
    <t>Jl. Abdul Rasyid</t>
  </si>
  <si>
    <t>027/658/DISDIK/SMP/VII/2022</t>
  </si>
  <si>
    <t>Pembangunan Ruang Tata Usaha beserta perabotnya 30203074 - SMP NEGERI 1 HANAU</t>
  </si>
  <si>
    <t>JL. H. Abdul Rasyid</t>
  </si>
  <si>
    <t>027/1017/DISDIK/SMP/VII/2022</t>
  </si>
  <si>
    <t>Pembangunan Ruang UKS Beserta Perabotnya, SMPN 1 Hanau</t>
  </si>
  <si>
    <t>000.3.2/503/DISDIK/SMP/VIII/2025</t>
  </si>
  <si>
    <t>Pekerjaan Lanjutan Pembangunan UKS SMP Negeri 1 Hanau</t>
  </si>
  <si>
    <t>Pembuang Hulu I, Kecamatan Hanau</t>
  </si>
  <si>
    <t>080/D/PPK-DISDIKPORA/IX/2013</t>
  </si>
  <si>
    <t>Pembangunan Rumah Dinas Kepala Sekolah SMPN - 1 Hanau Kec. Hanau Kabupaten Seruyan</t>
  </si>
  <si>
    <t>176</t>
  </si>
  <si>
    <t>027/421.3/PPK-DISDIK/VIII/2017</t>
  </si>
  <si>
    <t>Pembangunan Pagar SMPN 1 Hanau</t>
  </si>
  <si>
    <t>Jl. H. Abdul Rasyid No. 519,Pembuang Hulu II,Hanau</t>
  </si>
  <si>
    <t>027/1661/DISDIK/SMP/VIII/2023</t>
  </si>
  <si>
    <t>Jl. A Yani, Kuala Pembuang, Kecamatan Seruyan Hilir</t>
  </si>
  <si>
    <t>Sharing Block Grant 2009</t>
  </si>
  <si>
    <t>27143</t>
  </si>
  <si>
    <t>SMPN 1 Kuala Pembuang, GEDUNG KANTOR/LAB IPA II LANTAI (APBN)</t>
  </si>
  <si>
    <t>Musholla</t>
  </si>
  <si>
    <t>Aula</t>
  </si>
  <si>
    <t>1 Paket RKB SMPN- 1 Kuala Pembuang</t>
  </si>
  <si>
    <t>SMPN 1 Kuala Pembuang, RUANG KELAS 1 LOKAL (APBN)</t>
  </si>
  <si>
    <t>027/888/PPK-DISDIKPORA/XII/201</t>
  </si>
  <si>
    <t>Pembangunan WC SMPN 1 Kuala Pembuang</t>
  </si>
  <si>
    <t>027/764/DISDIK/SMP/VII/2022</t>
  </si>
  <si>
    <t>Pembangunan Ruang UKS Beserta Perabotnya, SMPN 1 Kuala Pembuang (DAK Fisik SMP 2022)</t>
  </si>
  <si>
    <t>Kuala Pembuang I - Kecamatan Seruyan Hilir</t>
  </si>
  <si>
    <t>000.3.2/457/DISDIK/SMP/VIII/2025</t>
  </si>
  <si>
    <t>Pendopo Kesenian - Pekerjaan Pembangunan Pendopo Kesenian SMPN 1 Kuala Pembuang</t>
  </si>
  <si>
    <t>Konstruksi (Pembangunan Garasi SMPN 1 Kuala Pembuang)</t>
  </si>
  <si>
    <t>027/263/PPK-DISDIKPORA/IV/2016</t>
  </si>
  <si>
    <t>Pemasangan Paving SMPN 1 Kuala Pembuang</t>
  </si>
  <si>
    <t>330/PPK-DISDIKPORA/X/2013</t>
  </si>
  <si>
    <t>Pembangunan Rumah Dinas Guru SMPN - 1 Kuala Pembuang Kec. Seruyan Hilir Kabupaten Seruyan</t>
  </si>
  <si>
    <t>'421.2/2169/DIKDAS-DISDIKPORA/</t>
  </si>
  <si>
    <t>Pekerjaan Pembangunan Kantor Kepala Sekolah 
dan Guru SMPN 1 Kuala Pembuang</t>
  </si>
  <si>
    <t>027/030/PPK-DISDIKPORA/II/2015</t>
  </si>
  <si>
    <t>Rumah Dinas Guru (RDG) SMPN-1 Kuala Pembuang</t>
  </si>
  <si>
    <t>73</t>
  </si>
  <si>
    <t>027/031/PPK-DISDIKPORA/II/2015</t>
  </si>
  <si>
    <t>Pembangunan Pagar Halaman SMPN-1 Kuala Pembuang</t>
  </si>
  <si>
    <t>Pematang Panjang, Kecamatan Seruyan Hilir Timur</t>
  </si>
  <si>
    <t>421.2/1035/Dikdas/VI/2009</t>
  </si>
  <si>
    <t>1 Paket Bangunan Labolatorium SMPN- 2 Kuala Pembuang</t>
  </si>
  <si>
    <t>Jln. Raya Desa Pematang Panjang,_x000D_
Kec. Seruyan Hilir</t>
  </si>
  <si>
    <t>'027/293/PPK-DISDIK/DIKDAS/IX/</t>
  </si>
  <si>
    <t>Pembangunan Mushola SMPN 1 Seruyan Hilir Timur</t>
  </si>
  <si>
    <t>027/305/D/PPK-DISDIKPORA/IX/20</t>
  </si>
  <si>
    <t>Pembangunan RKB  SMPN 2 Kuala Pembuang ( 1 ruang)</t>
  </si>
  <si>
    <t>050/1934.13.55/III/DIKDAS/VIII</t>
  </si>
  <si>
    <t>2 Ruang RKB SMPN 2 Kuala Pembuang Kec. Seruyan</t>
  </si>
  <si>
    <t>Jl. Pelantan Raya No.08 RT.08/RW.05</t>
  </si>
  <si>
    <t>421.3/1383/Dikdas/VIII/2009</t>
  </si>
  <si>
    <t>2 Ruang RKB SMPN 2 Seruyan Hilir</t>
  </si>
  <si>
    <t>027/274/PPK-DISDIKPORA/V/2015</t>
  </si>
  <si>
    <t>Pembangunan WC SMPN 2 Kuala Pembuang</t>
  </si>
  <si>
    <t>156/DIKDAS-DISDIK.I/V/2020</t>
  </si>
  <si>
    <t>Pembangunan (Toilet) jamban siswa/guru beserta sanitasinya Jenjang SMP 30203079 - SMP NEGERI 1 SERUYAN HILIR TIMUR (DAK SMP REGULER 2020)  2 Ruang</t>
  </si>
  <si>
    <t>Jl. Raya Pematang Panjang, Desa Pematang Panjang - Kec. Seruyan Hilir Timur</t>
  </si>
  <si>
    <t>000.3.2/347/DISDIK/SMP/VI/2024</t>
  </si>
  <si>
    <t>Pembangunan Ruang UKS Beserta Perabotnya_30203079 SMP Negeri 1 Seruyan Hilir Timur (DAK Fisik SMP)</t>
  </si>
  <si>
    <t>40/421.3/PPK-DISDIK.DAS/XI/201</t>
  </si>
  <si>
    <t xml:space="preserve"> Halaman SMPN 1 Seruyan Hilir Timur</t>
  </si>
  <si>
    <t>'027/061/PPK-DISDIKPORA/IV/201</t>
  </si>
  <si>
    <t>Pekerjaan Pemasangan Paving SMPN 2 Kuala Pembuang</t>
  </si>
  <si>
    <t>329/PPK-DISDIKPORA/X/2013</t>
  </si>
  <si>
    <t>Pembanguan Rumah Dinas Guru SMPN 2 Kuala Pembuang Kec. Seruyan Hikir Timur Kabupaten Seruyan</t>
  </si>
  <si>
    <t>027/403/PPK-DISDIKPORA/IV/2016</t>
  </si>
  <si>
    <t>Pembangunan RDG SMPN 2 Kuala Pembuang</t>
  </si>
  <si>
    <t>163</t>
  </si>
  <si>
    <t>027/880/PPK-DISDIKPORA/XI/2015</t>
  </si>
  <si>
    <t>pembangunan pagar SMPN 2 K.Pembuang</t>
  </si>
  <si>
    <t>027/345/PPK-DISDIK/VIII/2017</t>
  </si>
  <si>
    <t>Pembangunan Pagar SMPN 2 Kuala Pembuang</t>
  </si>
  <si>
    <t>Jln. Keranji,Desa Tumbang Manjul Kec. Seruyan Hulu</t>
  </si>
  <si>
    <t>425.11/141/DIKDAS-DISDIK/V/2</t>
  </si>
  <si>
    <t>Pembangunan laboratorium komputer 30203077 - SMP NEGERI 1 SERUYAN HULU</t>
  </si>
  <si>
    <t>027/311/D/PPK-DISDIKPORA/IX/20</t>
  </si>
  <si>
    <t>Pembangunan RKB  SMPN 1 Seruyan Hulu ( 1 ruang)</t>
  </si>
  <si>
    <t>Tumbang Manjul, Kecamatan Seruyan Hulu</t>
  </si>
  <si>
    <t>Perpustakaan</t>
  </si>
  <si>
    <t>1 Paket Rumah Dinas SMPN-1 Seruyan Hulu</t>
  </si>
  <si>
    <t>Jln. Keranji,_x000D_
Desa Tumbang Manjul_x000D_
Kec. Seruyan Hulu</t>
  </si>
  <si>
    <t>425.11/067/DIKDAS-DISDIK.I/IV/</t>
  </si>
  <si>
    <t>Pembangunan Rumah Dinas Guru (1 unit) 30203077 - SMP NEGERI 1 SERUYAN HULU</t>
  </si>
  <si>
    <t>027/039/PPK-DISDIK/SKT/V/2018</t>
  </si>
  <si>
    <t>Pembangunan Rumah Dinas Guru (RDG) SMPN 1 Seruyan Hulu</t>
  </si>
  <si>
    <t>27/233/PPK-DISDIK/VII/2017</t>
  </si>
  <si>
    <t xml:space="preserve"> Pembangunan Pagar SMPN 1 Seruyan Hulu</t>
  </si>
  <si>
    <t>027/300/D/PPK-DISDIKPORA/IX/20</t>
  </si>
  <si>
    <t>Pembangunan Ruang Lab Bahasa SMPN 3 Danau Sembuluh</t>
  </si>
  <si>
    <t>027/308/D/PPK-DISDIKPORA/IX/20</t>
  </si>
  <si>
    <t>Pembangunan RKB + Perabotanya SMPN 3 Danau Sembuluh ( 1 ruang)</t>
  </si>
  <si>
    <t>Pembangunan RKB SMPN 3 Danau Sembuluh ( 1 ruang)</t>
  </si>
  <si>
    <t>'027/066/PPK-DISDIKPORA/I/2016</t>
  </si>
  <si>
    <t>Pembangunan WC SMPN 3 Sembuluh I</t>
  </si>
  <si>
    <t>Jl. Antang Patahu, Desa Bangkal - Kec. Seruyan Raya</t>
  </si>
  <si>
    <t>000.3.2/380/DISDIK/SMP/VI/2024</t>
  </si>
  <si>
    <t xml:space="preserve"> Pembangunan Ruang UKS Beserta Perabotnya_30203081 SMP Negeri 1 Seruyan Raya (DAK Fisik SMP)</t>
  </si>
  <si>
    <t>027/224/PPK-DISDIK/VII/2017</t>
  </si>
  <si>
    <t xml:space="preserve"> Pembangunan RDG SMPN 3 Danau Sembuluh</t>
  </si>
  <si>
    <t>027/035/PPK-DISDIK/DIKDAS/IV/2</t>
  </si>
  <si>
    <t>Pembangunan Pagar Beton SMPN 3 Danau Sembuluh</t>
  </si>
  <si>
    <t>Desa Rantau Pulut, Kecamatan Seruyan Tengah</t>
  </si>
  <si>
    <t>027/232/PPK-DISDIK/DIKDAS/VIII</t>
  </si>
  <si>
    <t>Pembangunan Gedung Kantor SMPN 1 Seruyan Tengah</t>
  </si>
  <si>
    <t>Kel. Rantau Pulut, Kecamatan Seruyan Tengah</t>
  </si>
  <si>
    <t>Jl. Tayuddin Kusuma,Rantau Pulut,Seruyan Tengah</t>
  </si>
  <si>
    <t>027/1579/DISDIK/SMP/VIII/2023</t>
  </si>
  <si>
    <t>Pekerjaan Pembangunan Ruang Kelas Baru SMPN 1 Seruyan Tengah</t>
  </si>
  <si>
    <t>Jln. Tajudin Kusuma,_x000D_
Kelurahan Rantau Pulut, Kec. Seruyan Tengah</t>
  </si>
  <si>
    <t>155/DIKDAS-DISDIK.I/V/2020</t>
  </si>
  <si>
    <t>Pembangunan (Toilet) jamban siswa/guru beserta sanitasinya Jenjang SMP 30203076 - SMP NEGERI 1 SERUYAN TENGAH (DAK SMP REGULER 2020)  2 Ruang</t>
  </si>
  <si>
    <t>027/515/D/PPK-DISDIKPORA/X/201</t>
  </si>
  <si>
    <t>Konstruksi (Pembangunan RDG SMPN 1 Seruyan Tengah)</t>
  </si>
  <si>
    <t>425.11/086/DIKDAS-DISDIK.I/IV/</t>
  </si>
  <si>
    <t>Pembangunan Rumah Dinas Guru (1 unit) 330203076 -S MP NEGERI 1 SERUYAN TENGAH</t>
  </si>
  <si>
    <t>027/149/PPK-DISDIK/V/2017</t>
  </si>
  <si>
    <t>Pembangunan Kantor SMPN 2 Seruyan Hulu,Tumbang Langkai</t>
  </si>
  <si>
    <t>Desa Tumbang Langkai,_x000D_
Kec. Suling Tambun</t>
  </si>
  <si>
    <t>'425.11/145/DIKDAS-DISDIK.I/V/</t>
  </si>
  <si>
    <t>Pembangunan Laboratorium Ilmu Pengetahuan Alam (IPA) Jenjang SMP 30203837 - SMP NEGERI 1 SULING TAMBUN (DAK SMP REGULER 2020)</t>
  </si>
  <si>
    <t>027/653/PPK-DISDIKPORA/X/2015</t>
  </si>
  <si>
    <t>Pembangunan ruang laboraturium SMPN-2 Seruyan Hulu ( Silpa DAK Pendd SMP 2013)</t>
  </si>
  <si>
    <t>Kecamatan Suling Tambun</t>
  </si>
  <si>
    <t>'425.11/174/DIKDAS-DISDIK.I/V/</t>
  </si>
  <si>
    <t>Pembangunan pusat sumber pendidikan inklusif jenjang SMP30203837 - SMP NEGERI 1 SULING TAMBUN  (DAK SMP REGULER 2020)  1 Ruang</t>
  </si>
  <si>
    <t>'027/222/PPK-DISDIK/DIKDAS/IX/</t>
  </si>
  <si>
    <t>Pembangunan Ruang Kelas Baru (RKB) SMP Negeri 1 Suling Tambun, 2 (dua) Ruang Desa Tumbang Langkai Kecamatan Suling Tambun</t>
  </si>
  <si>
    <t>Jl. Lubuk Bungai No.05, Desa Tumbang Langkai - Kec. Suling Tambun</t>
  </si>
  <si>
    <t>000.3.3/554/DISDIK/SMP/VI/2024</t>
  </si>
  <si>
    <t>Pembangunan Ruang Lab Komputer Beserta Perabotnya_30203837 SMP Negeri 1 Suling Tambun (DAK Fisik SMP)</t>
  </si>
  <si>
    <t xml:space="preserve"> Kecamatan Suling Tambun</t>
  </si>
  <si>
    <t>000.3.3/824/DISDIK/SMP/VII/2024</t>
  </si>
  <si>
    <t>Pembangunan Ruang Tata usaha Beserta Perabotnya_30203837 SMP Negeri 1 Suling Tambun (DAK Fisik SMP)</t>
  </si>
  <si>
    <t xml:space="preserve"> 000.3.3/365/DISDIK/SMP/VI/2024</t>
  </si>
  <si>
    <t>Pembangunan Ruang UKS Beserta Perabotnya SMP Negeri 1 Suling Tambun</t>
  </si>
  <si>
    <t>027/301/D/PPK-DISDIKPORA/IX/20</t>
  </si>
  <si>
    <t>Pembangunan Perpustakaan  SMPN 2 Seruyan Hulu</t>
  </si>
  <si>
    <t>027/038/PPK-DISDIK/SKT/V/2018</t>
  </si>
  <si>
    <t>Pembangunan Rumah Dinas Guru (RDG) SMPN 2 Seruyan Hulu</t>
  </si>
  <si>
    <t>425.11/092/DIKDAS-DISDIK.I/IV/</t>
  </si>
  <si>
    <t>Pembangunan Rumah Dinas Guru (1 unit) 30203837 - SMP NEGERI 1 SULING TAMBUN</t>
  </si>
  <si>
    <t>Asrama Semi Permanen</t>
  </si>
  <si>
    <t>03.01.02.05.002</t>
  </si>
  <si>
    <t>Asrama Putera</t>
  </si>
  <si>
    <t>Asrama Puteri</t>
  </si>
  <si>
    <t>durian kait</t>
  </si>
  <si>
    <t>027/1019/DISDIK/SMP/VII/2022</t>
  </si>
  <si>
    <t>Pembangunan Ruang UKS Beserta Perabotnya, SMPN 2 Batu Ampar</t>
  </si>
  <si>
    <t>SMP NEGERI 2 BATU AMPAR</t>
  </si>
  <si>
    <t>027/70/PPK-DISDIK/DIKDAS/VII/2</t>
  </si>
  <si>
    <t>Pembangunan Rumah Dinas Guru (RDG) SMPN 2 Seruyan Tengah Desa Durian Kait</t>
  </si>
  <si>
    <t>027/561/DISDIK/SMP/VII/2022</t>
  </si>
  <si>
    <t>Pembangunan Rumah Dinas Guru Beserta Perabot, SMPN 2 Batu Ampar</t>
  </si>
  <si>
    <t>050/1932.15.93/PL/DIKDAS/VIII/</t>
  </si>
  <si>
    <t>1 Paket Gedung Perpustakaan SMPN 3 Hanau Kec. Hanau Seruyan</t>
  </si>
  <si>
    <t>336/PPK-DISDIKPORA/X/2013</t>
  </si>
  <si>
    <t>Pembangunan Rumah Dinas Guru SMPN - 3 Hanau Kec. Danau Seluluk Kabupaten Seruyan</t>
  </si>
  <si>
    <t>Jln. Tanah Natai Slompat,_x000D_
Desa Tanjung Paring,_x000D_
Kec. Danau Seluluk</t>
  </si>
  <si>
    <t>425.11/093/DIKDAS-DISDIK.I/IV/</t>
  </si>
  <si>
    <t>Pembangunan Rumah Dinas Guru (1 unit) 30204486 - SMP NEGERI 2 DANAU SELULUK</t>
  </si>
  <si>
    <t>185</t>
  </si>
  <si>
    <t xml:space="preserve"> Kecamatan Danau Sembuluh Kabupaten Seruyan</t>
  </si>
  <si>
    <t>027/154/PPK-DISDIK/DIKDAS/VII/</t>
  </si>
  <si>
    <t xml:space="preserve"> Pembangunan Ruang Kelas Baru (RKB) SMPN 2 Danau Sembuluh</t>
  </si>
  <si>
    <t>462</t>
  </si>
  <si>
    <t>027/187/PPK-DISDIK/DIKDAS/IX/2</t>
  </si>
  <si>
    <t>Pembangunan Toilet SMPN 2 Danau Sembuluh</t>
  </si>
  <si>
    <t>Jl. Dahlia No.392 Rt.07 Rw.02, Desa Sembuluh I - Kec. Danau Sembuluh</t>
  </si>
  <si>
    <t>000.3.3/735/DISDIK/SMP/VII/2024</t>
  </si>
  <si>
    <t>Pembangunan Ruang Lab Komputer Beserta Perabotnya SMP Negeri 2 Danau Sembuluh (DAK Fisik SMP)</t>
  </si>
  <si>
    <t>Jln. Dahlia, Desa Sembuluh,Kec. Danau Sembuluh</t>
  </si>
  <si>
    <t>425.11/088/DIKDAS-DISDIK.I/IV/</t>
  </si>
  <si>
    <t>Pembangunan Rumah Dinas Guru (1 unit) 30203078 - SMP NEGERI 2 DANAU SEMBULUH</t>
  </si>
  <si>
    <t>Jl. Kihajar Dewantara Kec.  Seruyan Hilir</t>
  </si>
  <si>
    <t>027/621/PPK-DISDIKPORA/IX/2015</t>
  </si>
  <si>
    <t>pembangunan Kantor Guru SMPN 4 K.Pembuang (DAK)</t>
  </si>
  <si>
    <t>Jl. Kihajar Deantara Kuala Pembuang</t>
  </si>
  <si>
    <t>'027/242/PPK-DISDIK/DIKDAS/IX/</t>
  </si>
  <si>
    <t>Pembangunan Mushola SMPN 2 Kuala Pembuang</t>
  </si>
  <si>
    <t>027/883/PPK-DISDIKPORA/XI/2015</t>
  </si>
  <si>
    <t>Pembangunan RKB SMPN 4 K. Pembuang</t>
  </si>
  <si>
    <t>027/306/D/PPK-DISDIKPORA/IX/20</t>
  </si>
  <si>
    <t>Pembangunan RKB  SMPN 4 Kuala Pembuang ( 1 ruang)</t>
  </si>
  <si>
    <t>1014</t>
  </si>
  <si>
    <t>688</t>
  </si>
  <si>
    <t>31.2</t>
  </si>
  <si>
    <t>Jl. Ki Hajar Dewantara,Kuala Pembuang Dua,Seruyan Hilir</t>
  </si>
  <si>
    <t>027/919/DISDIK/SMP/VII/2023</t>
  </si>
  <si>
    <t>"PEMBANGUNAN RUANG UKS BESERTA PERABOTNYA
30203102 - SMP NEGERI 2 KUALA PEMBUANG (DAK
FISIK 2023)"</t>
  </si>
  <si>
    <t>027/884/PPK-DISDIKPORA/XI/2015</t>
  </si>
  <si>
    <t>Pembangunan WC SMPN 4 Kuala Pembuang</t>
  </si>
  <si>
    <t>027/923/DISDIK/SMP/VII/2023</t>
  </si>
  <si>
    <t>"PEMBANGUNAN RUANG LABORATORIUM KOMPUTER
BESERTA PERABOTNYA 30203102 - SMP NEGERI 2
KUALA PEMBUANG (DAK FISIK 2023)"</t>
  </si>
  <si>
    <t>421.3/1027/Dikdas/VI/2009</t>
  </si>
  <si>
    <t>1 Paket Perpustakaan SMPN- 4 Seruyan</t>
  </si>
  <si>
    <t>Jln. Ki Hajar Dewantara,_x000D_
Kelurahan Kuala Pembuang II,_x000D_
Kec. Seruyan Hilir</t>
  </si>
  <si>
    <t>'027/185/PPK-DISDIK/DIKDAS/VII</t>
  </si>
  <si>
    <t>Pemasangan Paving SMPN 2 Kuala Pembuang</t>
  </si>
  <si>
    <t>457.56</t>
  </si>
  <si>
    <t>Jl. Ki Hajar Dewantara, Kuala Pembuang II - Kecamatan Seruyan Hilir</t>
  </si>
  <si>
    <t>000.3.2/473/DISDIK/SMP/VI/2024</t>
  </si>
  <si>
    <t>Pekerjaan Pemasangan Paving_30203102 SMP Negeri 2 Kuala Pembuang</t>
  </si>
  <si>
    <t>027/285/PPK-DISDIKPORA/V/2015</t>
  </si>
  <si>
    <t xml:space="preserve"> Pembangunan Pagar SMPN 4 Kuala Pembuang</t>
  </si>
  <si>
    <t>000.3.2/472/DISDIK/SMP/VI/2024</t>
  </si>
  <si>
    <t>Pembangunan Pagar Sekolah_30203102 SMP Negeri 2 Kuala Pembuang</t>
  </si>
  <si>
    <t>102.25/K/D3.3/2018</t>
  </si>
  <si>
    <t>SMPN 3 Kuala Pembuang  ( APBN )</t>
  </si>
  <si>
    <t>421.2/2399/DIKMEN&amp;LB/X/2011</t>
  </si>
  <si>
    <t>1 ruang Lab SMPN-3 Kuala Pembuang Kec. Seruyan Hilir</t>
  </si>
  <si>
    <t>050/1932.15.78/PL/DIKDAS/VIII/</t>
  </si>
  <si>
    <t>Gedung Perpustakaan</t>
  </si>
  <si>
    <t>Jl. Pelita No. 4</t>
  </si>
  <si>
    <t>421.3/1007/Dikdas/VI/2009</t>
  </si>
  <si>
    <t>14378</t>
  </si>
  <si>
    <t>'SMPN 3 Kuala Pembuang ( APBN)</t>
  </si>
  <si>
    <t>Jl. Pelita No. 4,Mekar Indah,Seruyan Hilir Timur</t>
  </si>
  <si>
    <t>027/855/DISDIK/SMP/VII/2023</t>
  </si>
  <si>
    <t>"PEMBANGUNAN RUANG LABORATORIUM KOMPUTER
BESERTA PERABOTNYA 30203082 - SMP NEGERI 2
SERUYAN HILIR TIMUR (DAK FISIK 2023)"</t>
  </si>
  <si>
    <t>027/920/DISDIK/SMP/VII/2023</t>
  </si>
  <si>
    <t>"PEMBANGUNAN RUANG UKS BESERTA PERABOTNYA
30203082 - SMP NEGERI 2 SERUYAN HILIR TIMUR (DAK
FISIK 2023)"</t>
  </si>
  <si>
    <t>328/PPK-DISDIKPORA/X/2013</t>
  </si>
  <si>
    <t>Pembangunan Rumah Dinas Guru SMPN - 3 Kuala Pembuang Kec. Seruyan Hilir Timur Kabupaten Seruyan</t>
  </si>
  <si>
    <t>Jln. Ali Anyang,_x000D_
Desa Tumbang Darap,_x000D_
Kec. Seruyan Hulu</t>
  </si>
  <si>
    <t>'425.11/146/DIKDAS-DISDIK.I/V/</t>
  </si>
  <si>
    <t>Pembangunan Laboratorium Ilmu Pengetahuan Alam (IPA) Beserta Jenjang SMP 30203895 - SMP NEGERI 2 SERUYAN HULU (DAK SMP REGULER 2020)</t>
  </si>
  <si>
    <t>Desa T. Darap Kec. Seruyan Hulu</t>
  </si>
  <si>
    <t>'421.2/2175/DIKDAS-DISDIKPORA/</t>
  </si>
  <si>
    <t>Pembangunan Ruang Perpustakaan  SMPN 3 Seruyan Hulu DAK 2005-2012</t>
  </si>
  <si>
    <t>320/D/PPK-DISDIKPORA/X/2013</t>
  </si>
  <si>
    <t>Pembangunan RDG SMPN 3 Seruyan Hulu 2013</t>
  </si>
  <si>
    <t>421.3/1097/Dikdas/VI/2009</t>
  </si>
  <si>
    <t>1 Paket Rumah Dinas  SMPN- 3 Seruyan Hulu</t>
  </si>
  <si>
    <t>'027/111/PPK-DISDIK/DIKDAS/VII</t>
  </si>
  <si>
    <t>Pembangunan Rumah Dinas Guru (RDG) SMPN 2 Tumbang Manjul</t>
  </si>
  <si>
    <t>027/304/D/PPK-DISDIKPORA/IX/20</t>
  </si>
  <si>
    <t>Pembangunan RKB SMPN 4 Danau Sembuluh ( 1 ruang)</t>
  </si>
  <si>
    <t>027/613/PPK-DISDIKPORA/X/2015</t>
  </si>
  <si>
    <t>pembangunan RKB SMPN 4 D. Sembuluh  2 ruang ( Silpa DAK Pendd SMP 2014</t>
  </si>
  <si>
    <t>027/155/PPK-DISDIK/DIKDAS/VII/</t>
  </si>
  <si>
    <t>Pembangunan WC SMPN 4 Danau Sembuluh</t>
  </si>
  <si>
    <t>Jalan Sida Sahabu,Terawan,Seruyan Raya</t>
  </si>
  <si>
    <t>027/965/DISDIK/SMP/VII/2023</t>
  </si>
  <si>
    <t>"PEMBANGUNAN RUANG LABORATORIUM KOMPUTER
BESERTA PERABOTNYA 30203838 - SMP NEGERI 2 SERUYAN RAYA (DAK HSIK 2023)"</t>
  </si>
  <si>
    <t>027/969/DISDIK/SMP/VII/2023</t>
  </si>
  <si>
    <t>"PEMBANGUNAN RUANG UKS BESERTA PERABOTNYA
30203838 - SMP NEGERI 2 SERUYAN RAYA (DAK FISIK
2023)"</t>
  </si>
  <si>
    <t>079/D/PPK-DISDIKPORA/IX/2013</t>
  </si>
  <si>
    <t>Pembangunan Rumah Dinas Guru SMPN 4 Danau Sembuluh Kec. Seruyan Raya Kabupaten Seruyan</t>
  </si>
  <si>
    <t>027/326/PPK-DISDIKPORA/IV/2016</t>
  </si>
  <si>
    <t xml:space="preserve"> Pembangunan RDG  SMPN 4 Danau Sembuluh</t>
  </si>
  <si>
    <t>Jln. Padat Karya Ds, terawan Kec. Seruyan Raya</t>
  </si>
  <si>
    <t>027/664/DISDIK/DIKDAS/IX/2021</t>
  </si>
  <si>
    <t>Pembangunan Pagar Gedung Negara - Pagar Depan _x000D_
SMPN 2 SERUYAN RAYA</t>
  </si>
  <si>
    <t>Desa Sukerejo, Kecamatan Seruyan Tengah</t>
  </si>
  <si>
    <t>027/155/K/PPK-DISDIKPORA/IX/20</t>
  </si>
  <si>
    <t>Laboratorium IPA SMPN 2 Seruyan Tengah</t>
  </si>
  <si>
    <t>Desa Sukorejo,Kec. Seruyan Tengah</t>
  </si>
  <si>
    <t>425.11/142/DIKDAS-DISDIK/V/2</t>
  </si>
  <si>
    <t>Pembangunan laboratorium komputer  30203080 - SMP NEGERI 2 SERUYAN TENGAH</t>
  </si>
  <si>
    <t>Pembangunan RKB SMPN 2 Seruyan Tengah (1ruang) (Silpa DAk Pendd SMP 
2013)</t>
  </si>
  <si>
    <t>027/307/D/PPK-DISDIKPORA/IX/20</t>
  </si>
  <si>
    <t>Pembangunan RKB  SMPN 2 Seruyan Tengah ( 1 ruang)</t>
  </si>
  <si>
    <t>Jl. Transmigrasi   Sukamandang G1,Sukorejo,Seruyan Tengah</t>
  </si>
  <si>
    <t>027/1668/DISDIK/SMP/VIII/2023</t>
  </si>
  <si>
    <t>Pekerjaan Pembangunan Ruang UKS SMPN 2 Seruyan Tengah</t>
  </si>
  <si>
    <t>137736000</t>
  </si>
  <si>
    <t>Desa Sukorejo,_x000D_
Kec. Seruyan Tengah</t>
  </si>
  <si>
    <t>425.11/142/DIKDAS-DISDIK.I/IV/</t>
  </si>
  <si>
    <t>Pembangunan Rumah Dinas Guru(1 unit) 30203080 - SMP NEGERI 2 SERUYAN TENGAH</t>
  </si>
  <si>
    <t>027/281/PPK-DISDIK/VII/2017</t>
  </si>
  <si>
    <t>Pembangunan Rumah Dinas Kepala Sekolah (RDKS)
SMPN 2 Seruyan Tengah</t>
  </si>
  <si>
    <t>Ds. Tumbang Gugup,Suling Tambun</t>
  </si>
  <si>
    <t>027/975/DISDK/SMP/VII/2023</t>
  </si>
  <si>
    <t>"PEMBANGUNAN RUANG UKS BESERTA PERABOTNYA
30204487 - SMP NEGERI 2 SULING TAMBUN (DAK HSIK
2023)"</t>
  </si>
  <si>
    <t>027/1407/DISDIK/SMP/VII/2023</t>
  </si>
  <si>
    <t>"PEMBANGUNAN RUANG LABORATORIUM KOMPUTER
BESERTA PERABOTVYA 30204487 - SMP NEGERI 2
SULING TAMBUN (DAK HSIK 2023)"</t>
  </si>
  <si>
    <t>321/D/PPK-DISDIKPORA/X/2013</t>
  </si>
  <si>
    <t>Pembangunan Rumah Dinas Guru SMPN 4 Seruyan Hulu Kec. Suling Tambun Kabupaten Seruyan</t>
  </si>
  <si>
    <t>027/625/PPK-DISDIKPORA/IX/2015</t>
  </si>
  <si>
    <t>Pembangunan RDG SMPN 4 Seruyan Hulu (Silpa DAK SMP 2014)</t>
  </si>
  <si>
    <t>Desa Wana Tirta,Kec. Batu Ampar</t>
  </si>
  <si>
    <t>425.11/144/DIKDAS-DISDIK/V/2</t>
  </si>
  <si>
    <t>Pembangunan laboratorium komputer  30203083 -  SMP NEGERI 3 BATU AMPAR</t>
  </si>
  <si>
    <t>SMPN 3 BATU AMPAR</t>
  </si>
  <si>
    <t>425.11/196/DIKDAS-DISDIK/V/2</t>
  </si>
  <si>
    <t>Pembangunan Ruang Perpustakaan 69947093 - SMP NEGERI 3 BATU AMPAR (DAK SMP REGULER 2020 )</t>
  </si>
  <si>
    <t>Desa Wana Tirta,Batu Ampar</t>
  </si>
  <si>
    <t>027/1666/DISDIK/SMP/VIII/2023</t>
  </si>
  <si>
    <t>Pembangunan RDG beserta perabotnya SMPN 3 Batu Ampar</t>
  </si>
  <si>
    <t>027/287/PPK-DISDIK/VII/2017</t>
  </si>
  <si>
    <t xml:space="preserve"> Pembangunan RDG SMPN Satap 2 Seruyan Tengah</t>
  </si>
  <si>
    <t>251</t>
  </si>
  <si>
    <t>SMPN 5 Kuala Pembuang, 2 (dua) Ruang (DAK Reguler Tahun _x000D_
Anggaran 2018)</t>
  </si>
  <si>
    <t>SMPN 3 KUALA PEMBUANG</t>
  </si>
  <si>
    <t>Tanjung Rangas, Kec. Seruyan Hilir</t>
  </si>
  <si>
    <t>027/608/DISDIK/SMP/VII/2022</t>
  </si>
  <si>
    <t>Pembangunan Ruang Laboratorium Komputer beserta perabotnya 30204485 - SMP NEGERI 3 KUALA PEMBUANG</t>
  </si>
  <si>
    <t>Tanjung Rangas</t>
  </si>
  <si>
    <t>027/896/DISDIK/SMP/VII/2022</t>
  </si>
  <si>
    <t>Pembangunan Ruang Laboratorium Ilmu Pengetahuan Alam (IPA) beserta perabotnya - 30204485 - SMP NEGERI 3 KUALA PEMBUANG</t>
  </si>
  <si>
    <t>Pembangunan Rumah Dinas Kepala Sekolah (RDKS) SMPN 5 Kuala Pembuang</t>
  </si>
  <si>
    <t>027/053/PPK-DISDIKPORA/ I/2016</t>
  </si>
  <si>
    <t>Pembangunan RDG SMPN 5 Kuala Pembuang</t>
  </si>
  <si>
    <t>'027/491/PPK-DISDIKPORA/VII/20</t>
  </si>
  <si>
    <t xml:space="preserve"> Pembangunan Gedung Kantor SMPN Satap 2 Seruyan Hilir</t>
  </si>
  <si>
    <t>027/299/D/PPK-DISDIKPORA/IX/20</t>
  </si>
  <si>
    <t>Pembangunan Ruang Lab Bahasa SMPN Satap 2 Seruyan Hilir</t>
  </si>
  <si>
    <t>027/303/D/PPK-DISDIKPORA/IX/20</t>
  </si>
  <si>
    <t>Pembangunan RKB SMPN Satap 2 Seruyan Hilir ( 2 ruang)</t>
  </si>
  <si>
    <t>027/275/PPK-DISDIKPORA/V/2015</t>
  </si>
  <si>
    <t>Pembangunan WC SMPN Satap 2 Seruyan Hilir</t>
  </si>
  <si>
    <t>Desa Bangun Harja - Kec. Seruyan Hilir Timur</t>
  </si>
  <si>
    <t xml:space="preserve"> 000.3.3/787/DISDIK/SMP/VII/2024</t>
  </si>
  <si>
    <t>Pembangunan Ruang Tata Usaha Beserta Perabotnya_69947716 SMP Negeri 3 Seruyan Hilir Timur</t>
  </si>
  <si>
    <t xml:space="preserve"> 000.3.2/348/DISDIK/SMP/VI/2024</t>
  </si>
  <si>
    <t>Pekerjaan Pembangunan Ruang UKS Beserta Perabotnya_69947716 SMP Negeri 3 Seruyan Hilir Timur (DAK Fisik SMP)</t>
  </si>
  <si>
    <t>000.3.3/825/DISDIK/SMP/VII/2024</t>
  </si>
  <si>
    <t>Ruang Laboratorium Ilmu Pengetahuan Alam (IPA) Beserta Perabotnya_69947716 SMPN 3 SHT (DAK Fisik SMP)</t>
  </si>
  <si>
    <t>000.3.3/733/DISDIK/SMP/VII/2024</t>
  </si>
  <si>
    <t>Pembangunan Ruang Lab Komputer Beserta Perabotnya_69947716 SMPN 3 Seruyan Hilir Timur</t>
  </si>
  <si>
    <t>027/302/D/PPK-DISDIKPORA/IX/20</t>
  </si>
  <si>
    <t>Pembangunan Perpustakaan  SMPN Satap-2 Seruyan Hilir</t>
  </si>
  <si>
    <t>Pembangunan RDG SMPN Satap-2 Seruyan Hilir Kec. Seruyan Hilir</t>
  </si>
  <si>
    <t>027/032/PPK-DISDIKPORA/II/2015</t>
  </si>
  <si>
    <t>Pembangunan Pagar SMPN Satap 2 Seruyan Hilir</t>
  </si>
  <si>
    <t>027/529/PPK-DISDIKPORA/VII/201</t>
  </si>
  <si>
    <t>Pembangunan USB SMPN Selunuk (3 Ruang)</t>
  </si>
  <si>
    <t>027/602/DISDIK/SMP/VII/2022</t>
  </si>
  <si>
    <t>Pembangunan Ruang Kelas Baru (RKB) beserta perabotnya 69947521 - SMP NEGERI 3 SERUYAN RAYA</t>
  </si>
  <si>
    <t>027/522/DISDIK/SMP/VII/2022</t>
  </si>
  <si>
    <t>Pembangunan Ruang Laboratorium Ilmu Pengetahuan Alam (IPA) Beserta Perabotnya, SMPN 3 Seruyan Raya</t>
  </si>
  <si>
    <t>027/657/DISDIK/SMP/VII/2022</t>
  </si>
  <si>
    <t>Pembangunan Ruang Laboratorium Komputer beserta perabotnya 69947521 - SMP NEGERI 3 SERUYAN RAYA</t>
  </si>
  <si>
    <t>027/1018/DISDIK/SMP/VII/2022</t>
  </si>
  <si>
    <t>Pembangunan Toilet (Jamban) beserta sanitasinya 69947521 - SMP NEGERI 3 SERUYAN RAYA (DAK Fisik SMP 2022)</t>
  </si>
  <si>
    <t>Jl. jend. Sudirman</t>
  </si>
  <si>
    <t>027/521/DISDIK/SMP/VII/2022</t>
  </si>
  <si>
    <t>Pembangunan Ruang Perpustakaan Beserta Perabotnya, SMPN 3 Seruyan Raya</t>
  </si>
  <si>
    <t>027/225/PPK-DISDIK/VII/2017</t>
  </si>
  <si>
    <t xml:space="preserve"> Pembangunan RDG SMPN 5 Danau Sembuluh/SMPN SELUNUK</t>
  </si>
  <si>
    <t>425.11/143/DIKDAS-DISDIK/V/2</t>
  </si>
  <si>
    <t>Pembangunan laboratorium komputer 30203083 - SMP NEGERI 3 SERUYAN TENGAH</t>
  </si>
  <si>
    <t>Desa Batu Agung, Kecamatan Seruyan Tengah</t>
  </si>
  <si>
    <t>027/310/D/PPK-DISDIKPORA/IX/20</t>
  </si>
  <si>
    <t>Pembangunan RKB SMPN 3 Seruyan Tengah ( 2 ruang)</t>
  </si>
  <si>
    <t>Jl. Trans Sukamandang B-III, Desa Batu Agung - Kec. Seruyan Tengah</t>
  </si>
  <si>
    <t>000.3.3/1323/DISDIK/SMP/IX/2024</t>
  </si>
  <si>
    <t xml:space="preserve"> Pembangunan Ruang Kelas Baru (RKB)_30203083 SMP Negeri 3 Seruyan Tengah</t>
  </si>
  <si>
    <t>Bangunan Gedung Pendidikan Darurat</t>
  </si>
  <si>
    <t>03.01.01.10.003</t>
  </si>
  <si>
    <t>122.4</t>
  </si>
  <si>
    <t>Jl. Trans Sukamandang B-III,Batu Agung,Seruyan Tengah</t>
  </si>
  <si>
    <t>027/3181/DISDIK/SMP/XII/2023</t>
  </si>
  <si>
    <t>Pekerjaan Pembangunan Ruang Kelas Darurat SMPN 3 Seruyan Tengah</t>
  </si>
  <si>
    <t>027/188/PPK-DISDIK/DIKDAS/IX/2</t>
  </si>
  <si>
    <t>Pembangunan Toilet SMPN 3 Seruyan Tengah</t>
  </si>
  <si>
    <t>027/084/PPK-DISDIK/DIKDAS/V/20</t>
  </si>
  <si>
    <t>Pembangunan WC SMPN 3 Seruyan Tengah</t>
  </si>
  <si>
    <t>050/1932.15.92/PL/DIKDAS/VIII/</t>
  </si>
  <si>
    <t>1 Paket Gedung Perpustakaan SMPN 3 Seruyan Tengah</t>
  </si>
  <si>
    <t>027/365/D/PPK-DISDIKPORA/IX/20</t>
  </si>
  <si>
    <t>Pembangunan RDG SMPN 3 Seruyan Tengah</t>
  </si>
  <si>
    <t>027/624/PPK-DISDIKPORA/IX/2015</t>
  </si>
  <si>
    <t>Pembangunan RDG SMPN 3 Seruyan Tengah (Silpa DAK SMP 2014</t>
  </si>
  <si>
    <t>Desa Batu Agung,_x000D_
Kec. Seruyan Tengah</t>
  </si>
  <si>
    <t>425.11/090/DIKDAS-DISDIK.I/IV/</t>
  </si>
  <si>
    <t>Pembangunan Rumah Dinas Guru(1 unit) 30203083 - SMP NEGERI 3 SERUYAN TENGAH</t>
  </si>
  <si>
    <t>027/190/PPK-DISDIK/DIKDAS/VII/</t>
  </si>
  <si>
    <t>Pembangunan Kantor Guru SMPN Satu Atap 1 Seruyan Hilir</t>
  </si>
  <si>
    <t>SMP 4 SERUYAN HILIR TIMUR</t>
  </si>
  <si>
    <t>Jln. Alhuda,_x000D_
Desa Sungai Bakau,_x000D_
Kec. Seruyan Hilir Timur</t>
  </si>
  <si>
    <t>'027/186/PPK-DISDIK/DIKDAS/VII</t>
  </si>
  <si>
    <t>Pembangunan Ruang Kelas Baru (RKB) SMPN Satu Atap 1 Seruyan Hiir Timur</t>
  </si>
  <si>
    <t>027/120/PPK-DISDIK/DIKDAS/VI/2</t>
  </si>
  <si>
    <t>Pembangunan WC SMPN Satap 1 Seruyan Hilir</t>
  </si>
  <si>
    <t>027/348/PPK-DISDIK/VIII/2017</t>
  </si>
  <si>
    <t>Pembangunan Rumah Dinas Kepala Sekolah (RDKS) SMPN Satap 1 Seruyan Hilir</t>
  </si>
  <si>
    <t>Sharing Block Grant</t>
  </si>
  <si>
    <t>Ayawan,Seruyan Tengah</t>
  </si>
  <si>
    <t>027/97l/DISDIK/SMP/VII/2023</t>
  </si>
  <si>
    <t>Pembangunan Ruang UKS Beserta Perabotnya SMPN 4 Seruyan Tengah</t>
  </si>
  <si>
    <t>JL. Batu Beliung RT 02/RW 01 Rantau Pulut</t>
  </si>
  <si>
    <t>027/924/DISDIK/SMP/VII/2023</t>
  </si>
  <si>
    <t>"PEMBANGUNAN RUANG LABORATORIUM KOMPUTER
BESERTA PERABOTNYA 30204488 - SMP NEGERI 4
SERUYAN TENGAH (DAK FISIK 2023)"</t>
  </si>
  <si>
    <t>Desa Ayawan,_x000D_
Kec. Seruyan Tengah</t>
  </si>
  <si>
    <t>425.11/094/DIKDAS-DISDIK.I/IV/</t>
  </si>
  <si>
    <t>Pembangunan Rumah Dinas Guru (1 unit) 30204488 - SMP NEGERI 4 SERUYAN TENGAH</t>
  </si>
  <si>
    <t>Pembangunan Lab.IPA/APBN</t>
  </si>
  <si>
    <t>Desa Gantung Pangayuh,_x000D_
Kec. Seruyan Tengah</t>
  </si>
  <si>
    <t>'027/149/PPK-DISDIK/DIKDAS/VII</t>
  </si>
  <si>
    <t>Pembangunan Ruang Kelas Baru (RKB) SMPN 5 Seruyan Tengah</t>
  </si>
  <si>
    <t>027/968/DISDIK/SMP/VII/2023</t>
  </si>
  <si>
    <t>"PEMBANGUNAN RUANG TATA USAHA BESERTA
PERABOTNYA 30204490 - SMP NEGERI 5 SERUYAN
TENGAH (DAK HSIK 2023)"</t>
  </si>
  <si>
    <t>027/973/DISDIK/SMP/VII/2023</t>
  </si>
  <si>
    <t>"PEMBANGUNAN RUANG UKS BESERTA PERABOTNYA
30204490 - SMP NEGERI 5 SERUYAN TENGAH (DAK
FISIK 2023)"</t>
  </si>
  <si>
    <t>027/1012/DISDIK/SMP/VII/2023</t>
  </si>
  <si>
    <t>Pekerjaan Pembangunan Ruang Labolatorium Komputer Beserta Perabotnya SMPN 5 Seruyan Tengah</t>
  </si>
  <si>
    <t>027/976/DISDK/SMP/VII/2023</t>
  </si>
  <si>
    <t>BANGUNAN PERPUSTAKAAN - SMP NEGERI 5 SERUYAN TENGAH</t>
  </si>
  <si>
    <t>425.11/095/DIKDAS-DISDIK.I/IV/</t>
  </si>
  <si>
    <t>Pembangunan Rumah Dinas Guru (1 unit) 30204490 - SMP NEGERI 5 SERUYAN TENGAH</t>
  </si>
  <si>
    <t>027/623/PPK-DISDIKPORA/IX/2015</t>
  </si>
  <si>
    <t>Pembangunan RDG SMPN 6 Seruyan Tengah (Silpa DAK SMP 2014)</t>
  </si>
  <si>
    <t>027/369/D/PPK-DISDIKPORA/IX/20</t>
  </si>
  <si>
    <t>Pembangunan RDG SMPN 6 Seruyan Tengah</t>
  </si>
  <si>
    <t>Desa Gantung Pengayuh -Kecamatan Seruyan Tengah</t>
  </si>
  <si>
    <t>000.3.2/538/DISDIK/SMP/VIII/2025</t>
  </si>
  <si>
    <t>Pekerjaan Pembangunan Pagar SMP 5 Gantung Pengayuh Seruyan Tengah</t>
  </si>
  <si>
    <t>Desa Ulak batu</t>
  </si>
  <si>
    <t>'027/489/PPK-DISDIKPORA/VII/20</t>
  </si>
  <si>
    <t>Pembangunan Gedung Kantor SMPN 5 Danau 
Sembuluh</t>
  </si>
  <si>
    <t>SMPN 6 DANAU SEMBULUH</t>
  </si>
  <si>
    <t>'027/488/PPK-DISDIKPORA/VII/20</t>
  </si>
  <si>
    <t xml:space="preserve"> Pembangunan Ruang Kelas Baru (RKB) SMPN 5 Danau Sembuluh</t>
  </si>
  <si>
    <t>'421.2/2170/DIKDAS-DISDIKPORA/</t>
  </si>
  <si>
    <t>Pekerjaan Pembangunan RKB SMPN Satap 1 D. Sembuluh ( DAK )</t>
  </si>
  <si>
    <t>SMP SATAP 1 DANAU SEMBULUH</t>
  </si>
  <si>
    <t>Jalan Kasturi, Desa Paren,Danau Sembuluh</t>
  </si>
  <si>
    <t>027/1013/DISDIK/SMP/VII/2023</t>
  </si>
  <si>
    <t>"PEMBANGUNAN RUANG LABORATORIUM KOMPUTER
BESERTA PERABOTNYA 30205005 - SEKOLAH
MENENGAH PERTAMA NEGERI SATU ATAP 1 DANAU
SEMBULUH (DAK FISIK 2023)"</t>
  </si>
  <si>
    <t>027/977/DISDIK/SMP/VU/2023</t>
  </si>
  <si>
    <t>Pekerjaan Pembangunan Ruang tata usaha Beserta Perabotnya SMPN Satap 1 Danau Sembuluh</t>
  </si>
  <si>
    <t>JL. Ais Nasution RT 10/RW 03 Kuala Pembuang II</t>
  </si>
  <si>
    <t>027/1162/DISDIK/SMP/VII/2023</t>
  </si>
  <si>
    <t>"PEMBANGUNAN RUANG UKS BESERTA PERABOTNYA
30205005 - SEKOLAH MENENGAH PERTAMA NEGERI
SATU ATAP 1 DANAU SEMBULUH (DAK FISIK 2023)"</t>
  </si>
  <si>
    <t>Jln. Kasturi,_x000D_
Desa Paren,_x000D_
Kec. Danau Sembuluh</t>
  </si>
  <si>
    <t>425.11/097/DIKDAS-DISDIK.I/IV/</t>
  </si>
  <si>
    <t>Pembangunan Rumah Dinas Guru(1 unit) 30205005 - SMP NEGERI SATAP 1 DANAU SEMBULUH</t>
  </si>
  <si>
    <t>Pamatang Limau</t>
  </si>
  <si>
    <t>050/1796.12.1/II/DIKDAS/2011</t>
  </si>
  <si>
    <t>1 Unit Pembangunan Gedung SD SMP Satu Atap 3 Pematang Limau</t>
  </si>
  <si>
    <t>SMPN SATU ATAP 1 KUALA PEMBUANG</t>
  </si>
  <si>
    <t>Jln. Bahagia, _x000D_
Desa Pematang Limau,_x000D_
Kec. Seruyan Hilir</t>
  </si>
  <si>
    <t>'425.11/104/DIKDAS-DISDIK.I/V/</t>
  </si>
  <si>
    <t>Rumah Dinas Guru (1 unit) 69788017 - SMP NEGERI SATAP 1 KUALA PEMBUANG</t>
  </si>
  <si>
    <t>Pembangunan USB SMPN 3 Seruyan Tengah Kec. Batu Ampar/APBN</t>
  </si>
  <si>
    <t>SMPN SATAP 2 BATU AMPAR</t>
  </si>
  <si>
    <t>Desa Jahitan,Seruyan Hilir</t>
  </si>
  <si>
    <t>027/1161/DISDIK/SMP/VII/2023</t>
  </si>
  <si>
    <t>"PEMBANGUNAN RUANG KELAS BARU (RKB) BESERTA
PERABOTNYA SMPN SATAP 2 KUALA PEMBUANG (DAK
FISIK 2023)"</t>
  </si>
  <si>
    <t>SMPN SATU ATAP 2 KUALA PEMBUANG</t>
  </si>
  <si>
    <t>366.67</t>
  </si>
  <si>
    <t>JL .TRANS SUKAMANDANG,Bumi Jaya,Seruyan Tengah</t>
  </si>
  <si>
    <t>027/3180/DISDIK/SMP/XII/2023</t>
  </si>
  <si>
    <t>Pekerjaan Pembangunan Paving SMPN Satap 2 Seruyan Tengah</t>
  </si>
  <si>
    <t>SMPN SATAP 2 SERUYAN TENGAH</t>
  </si>
  <si>
    <t>027/591/DISDIK/DIKDAS/IX/2021</t>
  </si>
  <si>
    <t>Pembangunan Ruang Guru beserta Perabotnya SATAP 3 SERUYAN RAYA</t>
  </si>
  <si>
    <t>SMPN SATU ATAP 3 SERUYAN RAYA</t>
  </si>
  <si>
    <t>Desa Lanpasa Kec.Seruyan Raya</t>
  </si>
  <si>
    <t>027/554/DISDIK/DIKDAS/IX/2021</t>
  </si>
  <si>
    <t>Pembangunan Ruang Unit Kesehatan Sekolah (UKS) SMPN SATAP 3 SERUYAN RAYA</t>
  </si>
  <si>
    <t>256</t>
  </si>
  <si>
    <t>DESA LANPASA KEC.SERUYAN RAYA</t>
  </si>
  <si>
    <t>027/590/DISDIK/DIKDAS/IX/2021</t>
  </si>
  <si>
    <t>Ds. Lanpasa Kec. Seruyan Raya</t>
  </si>
  <si>
    <t>027/615/DISDIK/DIKDAS/IX/2021</t>
  </si>
  <si>
    <t>Pembangunan Rumah Dinas Guru Beserta Perabotnya _x000D_
SMPN SATAP 3 SERUYAN RAYA</t>
  </si>
  <si>
    <t>89.6</t>
  </si>
  <si>
    <t>Desa Lanpasa - Kec. Seruyan Raya</t>
  </si>
  <si>
    <t>000.3.2/1537/DISDIK/SMP/X/2024</t>
  </si>
  <si>
    <t>Pekerjaan Pembangunan Pagar Sekolah SMP Atap 3 Seruyan Raya</t>
  </si>
  <si>
    <t>Jalan Bina Karya Tumbag Bai 74281,Tumbang Bai,Seruyan Tengah</t>
  </si>
  <si>
    <t>027/1577/DISDIK/SMP/VIII/2023</t>
  </si>
  <si>
    <t>Pembangunan Ruang kelas Baru SMPN Satap 3 Seruyan Tengah</t>
  </si>
  <si>
    <t>SMPN SATU ATAP 3 SERUYAN TENGAH</t>
  </si>
  <si>
    <t>Jalan Bina Karya Tumbang Bai 74281,Tumbang Bai,Seruyan Tengah</t>
  </si>
  <si>
    <t>027/1657/DISDIK/SMP/VIII/2023</t>
  </si>
  <si>
    <t>Pekerjaan Pembangunan LAB TIK SMPN Satap 3 Seruyan Tengah</t>
  </si>
  <si>
    <t>31.5</t>
  </si>
  <si>
    <t>027/1665/DISDIK/SMP/VIII/2023</t>
  </si>
  <si>
    <t xml:space="preserve"> Pembangunan Rumah Dinas Guru SMPN Satap 3 Seruyan Tengah</t>
  </si>
  <si>
    <t>Jln. H. Abu Hasan, Gg. Balimau _x000D_
Desa Derangga,_x000D_
Kec. Hanau</t>
  </si>
  <si>
    <t>027/120/PPK-DISDIK/DIKDAS/VIII</t>
  </si>
  <si>
    <t>Pembangunan Ruang Kelas Baru (RKB) SMP Negeri Satu Atap 4 Hanau, 2 (dua) Ruang Desa Derangga Kecamatan Hanau</t>
  </si>
  <si>
    <t>SMP Negeri Satu Atap 4 Hanau</t>
  </si>
  <si>
    <t>'425.11/108/DIKDAS-DISDIK.I/V/</t>
  </si>
  <si>
    <t xml:space="preserve"> Rumah Dinas Guru  (1 unit)69978532 -SMPN SATU ATAP 4 HANAU</t>
  </si>
  <si>
    <t>000.3.2/1149/DISDIK/SMP/IX/2024</t>
  </si>
  <si>
    <t>Pembangunan Ruang Kelas Baru SMPN Satu Atap 4 Hanau</t>
  </si>
  <si>
    <t>Jln. Teratai_x000D_
Desa Panca Jaya_x000D_
Kec. Seruyan Tengah</t>
  </si>
  <si>
    <t>027/119/PPK-DISDIK/DIKDAS/VIII</t>
  </si>
  <si>
    <t>Pembangunan Ruang Kelas Baru (RKB) SMPN Panca Jaya</t>
  </si>
  <si>
    <t>SMPN SATU ATAP 4 SERUYAN TENGAH</t>
  </si>
  <si>
    <t>Jl. Piere Tendean Gg. P. Tendean RT. 003 RW. Kuala pembuang I</t>
  </si>
  <si>
    <t>000.3.2/1457/DISDIK/SMP/IX/2024</t>
  </si>
  <si>
    <t>Pembangunan Ruang Kelas Baru_69978346 SMP Satu Atap 5 Hanau</t>
  </si>
  <si>
    <t>SMPN SATU ATAP 5 HANAU</t>
  </si>
  <si>
    <t>Jl. A. Yani Desa Sandul Kec, Batu Ampar</t>
  </si>
  <si>
    <t>0092/PPK-DINKES/II/2018</t>
  </si>
  <si>
    <t>Pembangunan Gudang Puskesmas Sandul</t>
  </si>
  <si>
    <t>Desa Sandul Rantau Pulut II Kec. Seruyan Tengah</t>
  </si>
  <si>
    <t>Bangunan Pustu Desa Sandul</t>
  </si>
  <si>
    <t>Desa Durian Kait Rantau Pulut II  Kec. Seruyan Tengah</t>
  </si>
  <si>
    <t>Bangunan Pustu Durian Kait</t>
  </si>
  <si>
    <t>Desa Sahabu Rantau Pulut II Kec. Seruyan Tengah</t>
  </si>
  <si>
    <t>Bangunan Pustu Sahabu</t>
  </si>
  <si>
    <t>Polindes Sandul</t>
  </si>
  <si>
    <t>Desa Wana Tirta Kecamatan Batu Ampar</t>
  </si>
  <si>
    <t>0910/PPK/DINKES/IV/2018</t>
  </si>
  <si>
    <t>Pembangunan Poskesdes Desa Wana Tirta</t>
  </si>
  <si>
    <t>Desa Suka Mulya Kecamatan Batu Ampar</t>
  </si>
  <si>
    <t xml:space="preserve"> 1853/PPK/DINKES/V/2018</t>
  </si>
  <si>
    <t>Pembangunan Puskesmas Pembantu Suka Mulya</t>
  </si>
  <si>
    <t>2070/PPK-DINKES/VI/2018</t>
  </si>
  <si>
    <t>Pembangunan Ruang Administrasi TU Puskesmas Sandul</t>
  </si>
  <si>
    <t>Jl. A. Yani, Desa Sandul Kec. Batu Ampar</t>
  </si>
  <si>
    <t xml:space="preserve"> 3625/PPK-DINKES/VII/2019</t>
  </si>
  <si>
    <t>Pembangunan Ruang Perawatan Isolasi TB Paru Puskesmas Sandul</t>
  </si>
  <si>
    <t>Jl. A. Yani, Desa Sandul, Kec. Batu Ampar Kabupaten Seruyan</t>
  </si>
  <si>
    <t>0739/PPK-DINKES/VII/2021</t>
  </si>
  <si>
    <t>Penambahan Ruang Pelayanan Penyakit Menular Puskesmas Sandul</t>
  </si>
  <si>
    <t>Jl. Ahmad Yani, Desa Sandul, Kec. Batu Ampar Kabupaten Seruyan</t>
  </si>
  <si>
    <t>0740/PPK-DINKES/VII/2021</t>
  </si>
  <si>
    <t>Penambahan Ruang Pelayanan Puskesmas Sandul (Ruang rawat Anak)</t>
  </si>
  <si>
    <t>Desa Sandul, Kec . Batu Ampar</t>
  </si>
  <si>
    <t>155/DISKES/VII/2011</t>
  </si>
  <si>
    <t>Pembangunan Puskesmas Desa Sandul</t>
  </si>
  <si>
    <t>Desa Batu Manangis</t>
  </si>
  <si>
    <t>210/DINKES/VII/2011</t>
  </si>
  <si>
    <t>Pembangunan Poskesdes Desa Batu Manangis</t>
  </si>
  <si>
    <t>Desa Kalang, Kec. Seruyan Tengah (PKM RP II)</t>
  </si>
  <si>
    <t>162/Sarkes/VI/2010</t>
  </si>
  <si>
    <t>Poskesdes Desa Kalang</t>
  </si>
  <si>
    <t>Desa Sebabi, Kec. Seruyan Tengah</t>
  </si>
  <si>
    <t>167/Sarkes/VI/2010</t>
  </si>
  <si>
    <t>Poskesdes Desa Sebabi</t>
  </si>
  <si>
    <t>3183/PPK/SDMK-DINKES/VIII/2017</t>
  </si>
  <si>
    <t>Pembangunan Ruang Persalinan Puskesmas Sandul</t>
  </si>
  <si>
    <t>786/PPK-DINKES/VIII/2015</t>
  </si>
  <si>
    <t>Pembangunan Ruang Rawat Inap Puskesmas Sandul (Pencairan 80 % dari nilai Kontrak Rp. 593.031.400)+Perencanaan 2014 Rp. 41.700.000+Pengawasan 2015 Rp. 22.200.000</t>
  </si>
  <si>
    <t>Desa Sandul Kec. Batu ampar</t>
  </si>
  <si>
    <t>558/PPK-DINKES/VII/2015</t>
  </si>
  <si>
    <t>Pembangunan Laboratorium Puskesmas Sandul</t>
  </si>
  <si>
    <t>704/PPK-JAMSARKES/X/2016</t>
  </si>
  <si>
    <t>Pembangunan Ruang UGD Puskesmas Sandul</t>
  </si>
  <si>
    <t>Desa Sebabi Kecamatan Danau Seluluk</t>
  </si>
  <si>
    <t>448/PPK DINKES/IX/2014</t>
  </si>
  <si>
    <t>Pembangunan Pustu Desa Sebabi</t>
  </si>
  <si>
    <t>Pembangunan Fisik Pustu Desa Wanatirta</t>
  </si>
  <si>
    <t>173.A/PPK DINKES/VII/2014</t>
  </si>
  <si>
    <t>Pembangunan Rumah Dinas Paramedis Puskesmas Sandul</t>
  </si>
  <si>
    <t>172.A/PPK DINKES/VII/2014</t>
  </si>
  <si>
    <t>Pembangunan Rumah Dinas Dokter Puskesmas Sandul</t>
  </si>
  <si>
    <t>214/DINKES/VIII/2011</t>
  </si>
  <si>
    <t>Pembangunan Rumdin Dokter PKM Desa Sandul</t>
  </si>
  <si>
    <t>255/DINKES/VIII/2011</t>
  </si>
  <si>
    <t>Pembangunan Rumdin Bidan Cople 2 Pintu PKM Desa Sandul</t>
  </si>
  <si>
    <t>294/DINKES/IX/2011</t>
  </si>
  <si>
    <t>Pembangunan Rumdin Cople 2 pintu PKM Desa Sandul</t>
  </si>
  <si>
    <t>741/PPK DINKES/X/2014</t>
  </si>
  <si>
    <t>Pembangunan Pagar Puskesmas sandul</t>
  </si>
  <si>
    <t>Desa Pembuang Hulu II Kecamatan Hanau</t>
  </si>
  <si>
    <t>59.A/PPK-DINKES/VI/2013</t>
  </si>
  <si>
    <t>Pembangunan Poskesdes Desa Pembuang Hulu II</t>
  </si>
  <si>
    <t>Desa Pembuang Hulu Kec. Hanau</t>
  </si>
  <si>
    <t xml:space="preserve"> 4224/PPK/SDMK-DINKES/IX/2017</t>
  </si>
  <si>
    <t>Pembangunan Ruang Persalinan Puskesmas Pembuang Hulu</t>
  </si>
  <si>
    <t>696/DISKES/VI/2010</t>
  </si>
  <si>
    <t>Poskesdes Tanjung Hanau</t>
  </si>
  <si>
    <t>Desa Derangga, Kec. Hanau</t>
  </si>
  <si>
    <t>697/DISKES/VI/2010</t>
  </si>
  <si>
    <t>Bangunan Poskesdes Derangga</t>
  </si>
  <si>
    <t>Desa Pembuang Hulu</t>
  </si>
  <si>
    <t>Bangunan Poskesdes Desa Pembuang Hulu I (Jadi Pustu ILP)</t>
  </si>
  <si>
    <t>Jl. H. Abdul Rasyid Kec. Hanau</t>
  </si>
  <si>
    <t>Bangunan Puskesmas (Rawat Inap)</t>
  </si>
  <si>
    <t>Jl. H. Abdul Rasyid kec. Hanau</t>
  </si>
  <si>
    <t>Bangunan Puskesmas (Administrasi)</t>
  </si>
  <si>
    <t>Desa Parang Batang Kec. Hanau</t>
  </si>
  <si>
    <t>Bangunan Pustu Parang Batang</t>
  </si>
  <si>
    <t>Desa Derangga Kecamatan Hanau</t>
  </si>
  <si>
    <t>Bangunan Pustu Derangga</t>
  </si>
  <si>
    <t>Bangunan Pustu Pembuang Hulu I</t>
  </si>
  <si>
    <t>Desa Bahaur Kecamatan Hanau</t>
  </si>
  <si>
    <t>Bangunan Pustu Bahaur</t>
  </si>
  <si>
    <t>Bangunan Parkir</t>
  </si>
  <si>
    <t>Bangunan Rudin Dokter</t>
  </si>
  <si>
    <t>Bangunan Rudin Paramedis</t>
  </si>
  <si>
    <t>Bangunan rudin Paramedis</t>
  </si>
  <si>
    <t>356/SARKES/IV/2008</t>
  </si>
  <si>
    <t>Bangunan Rudin paramedis</t>
  </si>
  <si>
    <t>Jl. H. Abdurasid Pembuang Hulu</t>
  </si>
  <si>
    <t>Pemb. Pagar PKm Pembuang 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</si>
</sst>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_-;\-* #,##0.00_-;_-* &quot;-&quot;??_-;_-@"/>
    <numFmt numFmtId="165" formatCode="_(* #,##0.00_);_(* \(#,##0.00\);_(* &quot;-&quot;_);_(@_)"/>
    <numFmt numFmtId="166" formatCode="_-[$Rp-421]* #,##0.00_-;\-[$Rp-421]* #,##0.00_-;_-[$Rp-421]* &quot;-&quot;??_-;_-@"/>
    <numFmt numFmtId="167" formatCode="_(* #,##0.00_);_(* \(#,##0.00\);_(* &quot;-&quot;??_);_(@_)"/>
    <numFmt numFmtId="168" formatCode="_-* #,##0.0000_-;\-* #,##0.0000_-;_-* &quot;-&quot;??_-;_-@_-"/>
    <numFmt numFmtId="169" formatCode="_(* #,##0_);_(* \(#,##0\);_(* &quot;-&quot;_);_(@_)"/>
    <numFmt numFmtId="170" formatCode="_-[$Rp-421]* #,##0.00_-;\-[$Rp-421]* #,##0.00_-;_-[$Rp-421]* &quot;-&quot;??_-;_-@_-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name val="Calibri"/>
    </font>
    <font>
      <sz val="12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color rgb="FF000000"/>
      <name val="Arial"/>
    </font>
    <font>
      <sz val="11"/>
      <color rgb="FF000000"/>
      <name val="Calibri"/>
    </font>
    <font>
      <sz val="10"/>
      <color theme="1"/>
      <name val="Times New Roman"/>
    </font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Times New Roman"/>
    </font>
    <font>
      <sz val="12"/>
      <color rgb="FF000000"/>
      <name val="Calibri"/>
    </font>
    <font>
      <sz val="11"/>
      <color rgb="FF000000"/>
      <name val="ARIAL"/>
    </font>
    <font>
      <sz val="11"/>
      <color rgb="FF000000"/>
      <name val="Arial"/>
    </font>
    <font>
      <u/>
      <sz val="12"/>
      <color theme="1"/>
      <name val="Calibri"/>
    </font>
    <font>
      <sz val="11"/>
      <color rgb="FF000000"/>
      <name val="Calibri"/>
      <scheme val="minor"/>
    </font>
    <font>
      <sz val="11"/>
      <color rgb="FF000000"/>
      <name val="Cambria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2"/>
      <color theme="0"/>
      <name val="Calibri"/>
    </font>
    <font>
      <sz val="11"/>
      <color theme="0"/>
      <name val="Arial"/>
    </font>
    <font>
      <sz val="12"/>
      <color theme="0"/>
      <name val="Calibri"/>
    </font>
    <font>
      <sz val="11"/>
      <color theme="0"/>
      <name val="Calibri"/>
    </font>
    <font>
      <sz val="11"/>
      <color theme="0"/>
      <name val="Calibri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4">
    <xf numFmtId="0" fontId="0" fillId="0" borderId="0" xfId="0"/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top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vertical="top" wrapText="1"/>
    </xf>
    <xf numFmtId="0" fontId="5" fillId="0" borderId="9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164" fontId="5" fillId="0" borderId="9" xfId="0" applyNumberFormat="1" applyFont="1" applyBorder="1" applyAlignment="1">
      <alignment vertical="top" wrapText="1"/>
    </xf>
    <xf numFmtId="0" fontId="2" fillId="0" borderId="10" xfId="0" applyFont="1" applyBorder="1" applyAlignment="1">
      <alignment horizontal="center" vertical="top"/>
    </xf>
    <xf numFmtId="0" fontId="2" fillId="0" borderId="1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/>
    </xf>
    <xf numFmtId="165" fontId="2" fillId="0" borderId="10" xfId="0" applyNumberFormat="1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/>
    </xf>
    <xf numFmtId="164" fontId="5" fillId="0" borderId="9" xfId="0" applyNumberFormat="1" applyFont="1" applyBorder="1"/>
    <xf numFmtId="165" fontId="5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164" fontId="5" fillId="0" borderId="0" xfId="0" applyNumberFormat="1" applyFont="1"/>
    <xf numFmtId="0" fontId="2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top"/>
    </xf>
    <xf numFmtId="0" fontId="5" fillId="0" borderId="16" xfId="0" applyFont="1" applyBorder="1" applyAlignment="1">
      <alignment vertical="top" wrapText="1"/>
    </xf>
    <xf numFmtId="0" fontId="2" fillId="3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16" xfId="0" applyNumberFormat="1" applyFont="1" applyBorder="1" applyAlignment="1">
      <alignment vertical="top" wrapText="1"/>
    </xf>
    <xf numFmtId="0" fontId="2" fillId="0" borderId="17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3" borderId="18" xfId="0" applyFont="1" applyFill="1" applyBorder="1" applyAlignment="1">
      <alignment horizontal="center" vertical="top"/>
    </xf>
    <xf numFmtId="164" fontId="2" fillId="0" borderId="18" xfId="0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1" fillId="0" borderId="20" xfId="0" applyFont="1" applyBorder="1" applyAlignment="1">
      <alignment horizontal="center" vertical="top" wrapText="1"/>
    </xf>
    <xf numFmtId="0" fontId="11" fillId="0" borderId="21" xfId="0" applyFont="1" applyBorder="1" applyAlignment="1">
      <alignment horizontal="left" vertical="top" wrapText="1"/>
    </xf>
    <xf numFmtId="3" fontId="11" fillId="0" borderId="21" xfId="0" applyNumberFormat="1" applyFont="1" applyBorder="1" applyAlignment="1">
      <alignment horizontal="center" vertical="top" wrapText="1"/>
    </xf>
    <xf numFmtId="1" fontId="11" fillId="0" borderId="21" xfId="0" applyNumberFormat="1" applyFont="1" applyBorder="1" applyAlignment="1">
      <alignment horizontal="left" vertical="top" wrapText="1"/>
    </xf>
    <xf numFmtId="0" fontId="11" fillId="0" borderId="21" xfId="0" applyFont="1" applyBorder="1" applyAlignment="1">
      <alignment horizontal="center" vertical="top" wrapText="1"/>
    </xf>
    <xf numFmtId="0" fontId="11" fillId="3" borderId="21" xfId="0" applyFont="1" applyFill="1" applyBorder="1" applyAlignment="1">
      <alignment horizontal="left" vertical="top" wrapText="1"/>
    </xf>
    <xf numFmtId="166" fontId="11" fillId="0" borderId="21" xfId="0" applyNumberFormat="1" applyFont="1" applyBorder="1" applyAlignment="1">
      <alignment horizontal="left" vertical="top" wrapText="1"/>
    </xf>
    <xf numFmtId="165" fontId="11" fillId="0" borderId="21" xfId="0" applyNumberFormat="1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1" fillId="0" borderId="22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left" vertical="top" wrapText="1"/>
    </xf>
    <xf numFmtId="3" fontId="11" fillId="0" borderId="23" xfId="0" applyNumberFormat="1" applyFont="1" applyBorder="1" applyAlignment="1">
      <alignment horizontal="center" vertical="top" wrapText="1"/>
    </xf>
    <xf numFmtId="0" fontId="11" fillId="0" borderId="23" xfId="0" applyFont="1" applyBorder="1" applyAlignment="1">
      <alignment horizontal="left" vertical="top"/>
    </xf>
    <xf numFmtId="164" fontId="5" fillId="0" borderId="16" xfId="0" applyNumberFormat="1" applyFont="1" applyBorder="1"/>
    <xf numFmtId="1" fontId="11" fillId="0" borderId="23" xfId="0" applyNumberFormat="1" applyFont="1" applyBorder="1" applyAlignment="1">
      <alignment horizontal="left" vertical="top" wrapText="1"/>
    </xf>
    <xf numFmtId="0" fontId="11" fillId="0" borderId="23" xfId="0" applyFont="1" applyBorder="1" applyAlignment="1">
      <alignment horizontal="center" vertical="top" wrapText="1"/>
    </xf>
    <xf numFmtId="0" fontId="11" fillId="3" borderId="23" xfId="0" applyFont="1" applyFill="1" applyBorder="1" applyAlignment="1">
      <alignment horizontal="left" vertical="top" wrapText="1"/>
    </xf>
    <xf numFmtId="166" fontId="11" fillId="0" borderId="23" xfId="0" applyNumberFormat="1" applyFont="1" applyBorder="1" applyAlignment="1">
      <alignment horizontal="left" vertical="top" wrapText="1"/>
    </xf>
    <xf numFmtId="165" fontId="11" fillId="0" borderId="23" xfId="0" applyNumberFormat="1" applyFont="1" applyBorder="1" applyAlignment="1">
      <alignment horizontal="left" vertical="top" wrapText="1"/>
    </xf>
    <xf numFmtId="0" fontId="5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center" vertical="top" wrapText="1"/>
    </xf>
    <xf numFmtId="0" fontId="4" fillId="3" borderId="23" xfId="0" applyFont="1" applyFill="1" applyBorder="1" applyAlignment="1">
      <alignment horizontal="left" vertical="top" wrapText="1"/>
    </xf>
    <xf numFmtId="166" fontId="4" fillId="0" borderId="23" xfId="0" applyNumberFormat="1" applyFont="1" applyBorder="1" applyAlignment="1">
      <alignment horizontal="left" vertical="top" wrapText="1"/>
    </xf>
    <xf numFmtId="0" fontId="4" fillId="4" borderId="23" xfId="0" applyFont="1" applyFill="1" applyBorder="1" applyAlignment="1">
      <alignment horizontal="left" vertical="top" wrapText="1"/>
    </xf>
    <xf numFmtId="0" fontId="4" fillId="4" borderId="23" xfId="0" applyFont="1" applyFill="1" applyBorder="1" applyAlignment="1">
      <alignment horizontal="center" vertical="top" wrapText="1"/>
    </xf>
    <xf numFmtId="0" fontId="11" fillId="4" borderId="23" xfId="0" applyFont="1" applyFill="1" applyBorder="1" applyAlignment="1">
      <alignment horizontal="center" vertical="top" wrapText="1"/>
    </xf>
    <xf numFmtId="166" fontId="4" fillId="4" borderId="23" xfId="0" applyNumberFormat="1" applyFont="1" applyFill="1" applyBorder="1" applyAlignment="1">
      <alignment horizontal="left" vertical="top" wrapText="1"/>
    </xf>
    <xf numFmtId="0" fontId="5" fillId="4" borderId="23" xfId="0" applyFont="1" applyFill="1" applyBorder="1" applyAlignment="1">
      <alignment horizontal="left" vertical="center" wrapText="1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center"/>
    </xf>
    <xf numFmtId="165" fontId="8" fillId="0" borderId="0" xfId="0" applyNumberFormat="1" applyFont="1" applyAlignment="1">
      <alignment horizontal="left"/>
    </xf>
    <xf numFmtId="167" fontId="5" fillId="0" borderId="0" xfId="0" applyNumberFormat="1" applyFont="1"/>
    <xf numFmtId="0" fontId="5" fillId="0" borderId="24" xfId="0" applyFont="1" applyBorder="1" applyAlignment="1">
      <alignment horizontal="center" vertical="top"/>
    </xf>
    <xf numFmtId="0" fontId="5" fillId="0" borderId="24" xfId="0" applyFont="1" applyBorder="1" applyAlignment="1">
      <alignment vertical="top" wrapText="1"/>
    </xf>
    <xf numFmtId="0" fontId="5" fillId="0" borderId="24" xfId="0" applyFont="1" applyBorder="1" applyAlignment="1">
      <alignment horizontal="center" vertical="top" wrapText="1"/>
    </xf>
    <xf numFmtId="164" fontId="5" fillId="0" borderId="24" xfId="0" applyNumberFormat="1" applyFont="1" applyBorder="1" applyAlignment="1">
      <alignment vertical="top" wrapText="1"/>
    </xf>
    <xf numFmtId="164" fontId="5" fillId="0" borderId="24" xfId="0" applyNumberFormat="1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vertical="center" wrapText="1"/>
    </xf>
    <xf numFmtId="164" fontId="5" fillId="0" borderId="7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left" vertical="center"/>
    </xf>
    <xf numFmtId="3" fontId="13" fillId="0" borderId="0" xfId="0" applyNumberFormat="1" applyFont="1" applyAlignment="1">
      <alignment horizontal="left"/>
    </xf>
    <xf numFmtId="0" fontId="13" fillId="0" borderId="0" xfId="0" applyFont="1"/>
    <xf numFmtId="0" fontId="13" fillId="3" borderId="0" xfId="0" applyFont="1" applyFill="1" applyAlignment="1">
      <alignment horizontal="center"/>
    </xf>
    <xf numFmtId="0" fontId="13" fillId="3" borderId="0" xfId="0" applyFont="1" applyFill="1"/>
    <xf numFmtId="0" fontId="12" fillId="0" borderId="1" xfId="0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/>
    </xf>
    <xf numFmtId="0" fontId="4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3" borderId="27" xfId="0" applyFont="1" applyFill="1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/>
    </xf>
    <xf numFmtId="0" fontId="14" fillId="0" borderId="7" xfId="0" applyFont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top"/>
    </xf>
    <xf numFmtId="0" fontId="12" fillId="0" borderId="7" xfId="0" applyFont="1" applyBorder="1" applyAlignment="1">
      <alignment horizontal="center" vertical="top"/>
    </xf>
    <xf numFmtId="3" fontId="5" fillId="0" borderId="7" xfId="0" applyNumberFormat="1" applyFont="1" applyBorder="1" applyAlignment="1">
      <alignment horizontal="left"/>
    </xf>
    <xf numFmtId="0" fontId="15" fillId="0" borderId="7" xfId="0" applyFont="1" applyBorder="1" applyAlignment="1">
      <alignment horizontal="center" wrapText="1"/>
    </xf>
    <xf numFmtId="0" fontId="15" fillId="0" borderId="7" xfId="0" applyFont="1" applyBorder="1" applyAlignment="1">
      <alignment horizontal="center"/>
    </xf>
    <xf numFmtId="0" fontId="4" fillId="3" borderId="23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5" fillId="0" borderId="23" xfId="0" applyFont="1" applyBorder="1" applyAlignment="1">
      <alignment vertical="center" wrapText="1"/>
    </xf>
    <xf numFmtId="0" fontId="4" fillId="3" borderId="0" xfId="0" applyFont="1" applyFill="1" applyAlignment="1">
      <alignment vertical="top"/>
    </xf>
    <xf numFmtId="0" fontId="16" fillId="0" borderId="7" xfId="0" applyFont="1" applyBorder="1" applyAlignment="1">
      <alignment horizontal="center" vertical="top"/>
    </xf>
    <xf numFmtId="0" fontId="4" fillId="0" borderId="23" xfId="0" quotePrefix="1" applyFont="1" applyBorder="1" applyAlignment="1">
      <alignment horizontal="left" vertical="top" wrapText="1"/>
    </xf>
    <xf numFmtId="0" fontId="16" fillId="0" borderId="23" xfId="0" applyFont="1" applyBorder="1" applyAlignment="1">
      <alignment horizontal="left" vertical="top"/>
    </xf>
    <xf numFmtId="0" fontId="16" fillId="0" borderId="26" xfId="0" applyFont="1" applyBorder="1" applyAlignment="1">
      <alignment horizontal="left" vertical="top"/>
    </xf>
    <xf numFmtId="0" fontId="16" fillId="0" borderId="26" xfId="0" applyFont="1" applyBorder="1" applyAlignment="1">
      <alignment horizontal="left" vertical="top" wrapText="1"/>
    </xf>
    <xf numFmtId="0" fontId="16" fillId="0" borderId="26" xfId="0" applyFont="1" applyBorder="1" applyAlignment="1">
      <alignment horizontal="center" vertical="top"/>
    </xf>
    <xf numFmtId="0" fontId="16" fillId="3" borderId="26" xfId="0" applyFont="1" applyFill="1" applyBorder="1" applyAlignment="1">
      <alignment horizontal="left" vertical="top"/>
    </xf>
    <xf numFmtId="0" fontId="16" fillId="5" borderId="26" xfId="0" applyFont="1" applyFill="1" applyBorder="1" applyAlignment="1">
      <alignment horizontal="left" vertical="top"/>
    </xf>
    <xf numFmtId="0" fontId="16" fillId="0" borderId="27" xfId="0" applyFont="1" applyBorder="1" applyAlignment="1">
      <alignment horizontal="left" vertical="top"/>
    </xf>
    <xf numFmtId="0" fontId="16" fillId="0" borderId="28" xfId="0" applyFont="1" applyBorder="1" applyAlignment="1">
      <alignment horizontal="left" vertical="top"/>
    </xf>
    <xf numFmtId="0" fontId="16" fillId="0" borderId="28" xfId="0" applyFont="1" applyBorder="1" applyAlignment="1">
      <alignment horizontal="left" vertical="top" wrapText="1"/>
    </xf>
    <xf numFmtId="0" fontId="16" fillId="0" borderId="28" xfId="0" applyFont="1" applyBorder="1" applyAlignment="1">
      <alignment horizontal="center" vertical="top"/>
    </xf>
    <xf numFmtId="0" fontId="16" fillId="3" borderId="28" xfId="0" applyFont="1" applyFill="1" applyBorder="1" applyAlignment="1">
      <alignment horizontal="left" vertical="top"/>
    </xf>
    <xf numFmtId="0" fontId="16" fillId="5" borderId="28" xfId="0" applyFont="1" applyFill="1" applyBorder="1" applyAlignment="1">
      <alignment horizontal="left" vertical="top"/>
    </xf>
    <xf numFmtId="0" fontId="16" fillId="3" borderId="28" xfId="0" quotePrefix="1" applyFont="1" applyFill="1" applyBorder="1" applyAlignment="1">
      <alignment horizontal="left" vertical="top"/>
    </xf>
    <xf numFmtId="0" fontId="16" fillId="0" borderId="29" xfId="0" applyFont="1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16" fillId="0" borderId="30" xfId="0" applyFont="1" applyBorder="1" applyAlignment="1">
      <alignment horizontal="center" vertical="top"/>
    </xf>
    <xf numFmtId="0" fontId="16" fillId="0" borderId="30" xfId="0" applyFont="1" applyBorder="1" applyAlignment="1">
      <alignment horizontal="left" vertical="top" wrapText="1"/>
    </xf>
    <xf numFmtId="0" fontId="17" fillId="0" borderId="7" xfId="0" applyFont="1" applyBorder="1" applyAlignment="1">
      <alignment vertical="top"/>
    </xf>
    <xf numFmtId="0" fontId="4" fillId="0" borderId="7" xfId="0" applyFont="1" applyBorder="1" applyAlignment="1">
      <alignment horizontal="center" vertical="top" wrapText="1"/>
    </xf>
    <xf numFmtId="0" fontId="18" fillId="5" borderId="7" xfId="0" applyFont="1" applyFill="1" applyBorder="1" applyAlignment="1">
      <alignment vertical="top" wrapText="1"/>
    </xf>
    <xf numFmtId="0" fontId="17" fillId="5" borderId="7" xfId="0" applyFont="1" applyFill="1" applyBorder="1" applyAlignment="1">
      <alignment horizontal="center" vertical="top"/>
    </xf>
    <xf numFmtId="0" fontId="17" fillId="5" borderId="7" xfId="0" applyFont="1" applyFill="1" applyBorder="1" applyAlignment="1">
      <alignment vertical="top"/>
    </xf>
    <xf numFmtId="0" fontId="17" fillId="5" borderId="31" xfId="0" applyFont="1" applyFill="1" applyBorder="1" applyAlignment="1">
      <alignment horizontal="center" vertical="top"/>
    </xf>
    <xf numFmtId="0" fontId="17" fillId="5" borderId="0" xfId="0" applyFont="1" applyFill="1" applyAlignment="1">
      <alignment vertical="top"/>
    </xf>
    <xf numFmtId="0" fontId="16" fillId="5" borderId="23" xfId="0" applyFont="1" applyFill="1" applyBorder="1" applyAlignment="1">
      <alignment horizontal="left" vertical="top"/>
    </xf>
    <xf numFmtId="0" fontId="18" fillId="0" borderId="7" xfId="0" applyFont="1" applyBorder="1" applyAlignment="1">
      <alignment vertical="top" wrapText="1"/>
    </xf>
    <xf numFmtId="0" fontId="17" fillId="0" borderId="7" xfId="0" applyFont="1" applyBorder="1" applyAlignment="1">
      <alignment horizontal="center" vertical="top"/>
    </xf>
    <xf numFmtId="0" fontId="17" fillId="5" borderId="3" xfId="0" applyFont="1" applyFill="1" applyBorder="1" applyAlignment="1">
      <alignment horizontal="center" vertical="top"/>
    </xf>
    <xf numFmtId="0" fontId="16" fillId="0" borderId="23" xfId="0" applyFont="1" applyBorder="1" applyAlignment="1">
      <alignment horizontal="center" vertical="top"/>
    </xf>
    <xf numFmtId="0" fontId="4" fillId="5" borderId="23" xfId="0" applyFont="1" applyFill="1" applyBorder="1" applyAlignment="1">
      <alignment horizontal="left" vertical="top" wrapText="1"/>
    </xf>
    <xf numFmtId="0" fontId="17" fillId="0" borderId="0" xfId="0" applyFont="1" applyAlignment="1">
      <alignment vertical="top"/>
    </xf>
    <xf numFmtId="0" fontId="17" fillId="3" borderId="0" xfId="0" applyFont="1" applyFill="1" applyAlignment="1">
      <alignment vertical="top"/>
    </xf>
    <xf numFmtId="0" fontId="17" fillId="5" borderId="7" xfId="0" applyFont="1" applyFill="1" applyBorder="1" applyAlignment="1">
      <alignment vertical="top" wrapText="1"/>
    </xf>
    <xf numFmtId="0" fontId="4" fillId="3" borderId="23" xfId="0" quotePrefix="1" applyFont="1" applyFill="1" applyBorder="1" applyAlignment="1">
      <alignment horizontal="left" vertical="top" wrapText="1"/>
    </xf>
    <xf numFmtId="0" fontId="4" fillId="0" borderId="27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left" vertical="top" wrapText="1"/>
    </xf>
    <xf numFmtId="0" fontId="4" fillId="4" borderId="23" xfId="0" quotePrefix="1" applyFont="1" applyFill="1" applyBorder="1" applyAlignment="1">
      <alignment horizontal="left" vertical="top" wrapText="1"/>
    </xf>
    <xf numFmtId="0" fontId="5" fillId="4" borderId="23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13" fillId="4" borderId="0" xfId="0" applyFont="1" applyFill="1"/>
    <xf numFmtId="0" fontId="11" fillId="3" borderId="23" xfId="0" applyFont="1" applyFill="1" applyBorder="1" applyAlignment="1">
      <alignment horizontal="center" vertical="top" wrapText="1"/>
    </xf>
    <xf numFmtId="166" fontId="4" fillId="3" borderId="23" xfId="0" applyNumberFormat="1" applyFont="1" applyFill="1" applyBorder="1" applyAlignment="1">
      <alignment horizontal="left" vertical="top" wrapText="1"/>
    </xf>
    <xf numFmtId="0" fontId="5" fillId="3" borderId="23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0" fontId="16" fillId="0" borderId="16" xfId="0" applyFont="1" applyBorder="1" applyAlignment="1">
      <alignment horizontal="left" vertical="top"/>
    </xf>
    <xf numFmtId="0" fontId="16" fillId="0" borderId="32" xfId="0" applyFont="1" applyBorder="1" applyAlignment="1">
      <alignment horizontal="left" vertical="top"/>
    </xf>
    <xf numFmtId="0" fontId="4" fillId="6" borderId="23" xfId="0" applyFont="1" applyFill="1" applyBorder="1" applyAlignment="1">
      <alignment horizontal="left" vertical="top" wrapText="1"/>
    </xf>
    <xf numFmtId="0" fontId="4" fillId="6" borderId="23" xfId="0" applyFont="1" applyFill="1" applyBorder="1" applyAlignment="1">
      <alignment horizontal="center" vertical="top" wrapText="1"/>
    </xf>
    <xf numFmtId="0" fontId="11" fillId="6" borderId="23" xfId="0" applyFont="1" applyFill="1" applyBorder="1" applyAlignment="1">
      <alignment horizontal="center" vertical="top" wrapText="1"/>
    </xf>
    <xf numFmtId="166" fontId="4" fillId="6" borderId="23" xfId="0" applyNumberFormat="1" applyFont="1" applyFill="1" applyBorder="1" applyAlignment="1">
      <alignment horizontal="left" vertical="top" wrapText="1"/>
    </xf>
    <xf numFmtId="0" fontId="5" fillId="6" borderId="23" xfId="0" applyFont="1" applyFill="1" applyBorder="1" applyAlignment="1">
      <alignment vertical="center" wrapText="1"/>
    </xf>
    <xf numFmtId="0" fontId="5" fillId="6" borderId="0" xfId="0" applyFont="1" applyFill="1" applyAlignment="1">
      <alignment horizontal="center" vertical="center"/>
    </xf>
    <xf numFmtId="0" fontId="13" fillId="6" borderId="0" xfId="0" applyFont="1" applyFill="1"/>
    <xf numFmtId="0" fontId="16" fillId="0" borderId="23" xfId="0" applyFont="1" applyBorder="1" applyAlignment="1">
      <alignment horizontal="left" vertical="top" wrapText="1"/>
    </xf>
    <xf numFmtId="0" fontId="16" fillId="0" borderId="23" xfId="0" applyFont="1" applyBorder="1" applyAlignment="1">
      <alignment horizontal="center" vertical="top" wrapText="1"/>
    </xf>
    <xf numFmtId="0" fontId="16" fillId="3" borderId="23" xfId="0" applyFont="1" applyFill="1" applyBorder="1" applyAlignment="1">
      <alignment horizontal="left" vertical="top" wrapText="1"/>
    </xf>
    <xf numFmtId="166" fontId="16" fillId="0" borderId="23" xfId="0" applyNumberFormat="1" applyFont="1" applyBorder="1" applyAlignment="1">
      <alignment horizontal="left" vertical="top" wrapText="1"/>
    </xf>
    <xf numFmtId="0" fontId="11" fillId="0" borderId="23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20" fillId="0" borderId="0" xfId="0" applyFont="1"/>
    <xf numFmtId="0" fontId="17" fillId="3" borderId="7" xfId="0" applyFont="1" applyFill="1" applyBorder="1" applyAlignment="1">
      <alignment vertical="top"/>
    </xf>
    <xf numFmtId="0" fontId="4" fillId="0" borderId="23" xfId="0" quotePrefix="1" applyFont="1" applyBorder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22" fillId="3" borderId="7" xfId="0" applyFont="1" applyFill="1" applyBorder="1" applyAlignment="1">
      <alignment horizontal="center" vertical="top"/>
    </xf>
    <xf numFmtId="0" fontId="22" fillId="0" borderId="0" xfId="0" applyFont="1" applyAlignment="1">
      <alignment horizontal="center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left" vertical="center"/>
    </xf>
    <xf numFmtId="0" fontId="11" fillId="5" borderId="33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left" vertical="center" wrapText="1"/>
    </xf>
    <xf numFmtId="0" fontId="11" fillId="0" borderId="23" xfId="0" applyFont="1" applyBorder="1" applyAlignment="1">
      <alignment horizontal="center" vertical="center" wrapText="1"/>
    </xf>
    <xf numFmtId="166" fontId="4" fillId="0" borderId="23" xfId="0" applyNumberFormat="1" applyFont="1" applyBorder="1" applyAlignment="1">
      <alignment horizontal="left" vertical="center" wrapText="1"/>
    </xf>
    <xf numFmtId="0" fontId="11" fillId="5" borderId="16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5" borderId="32" xfId="0" applyFont="1" applyFill="1" applyBorder="1" applyAlignment="1">
      <alignment horizontal="left" vertical="center"/>
    </xf>
    <xf numFmtId="0" fontId="11" fillId="5" borderId="34" xfId="0" applyFont="1" applyFill="1" applyBorder="1" applyAlignment="1">
      <alignment horizontal="left" vertical="center"/>
    </xf>
    <xf numFmtId="0" fontId="23" fillId="5" borderId="32" xfId="0" applyFont="1" applyFill="1" applyBorder="1" applyAlignment="1">
      <alignment horizontal="left" vertical="center" wrapText="1"/>
    </xf>
    <xf numFmtId="0" fontId="11" fillId="5" borderId="32" xfId="0" applyFont="1" applyFill="1" applyBorder="1" applyAlignment="1">
      <alignment horizontal="left" vertical="center" wrapText="1"/>
    </xf>
    <xf numFmtId="0" fontId="5" fillId="0" borderId="23" xfId="0" applyFont="1" applyBorder="1" applyAlignment="1">
      <alignment vertical="top" wrapText="1"/>
    </xf>
    <xf numFmtId="0" fontId="10" fillId="3" borderId="7" xfId="0" applyFont="1" applyFill="1" applyBorder="1" applyAlignment="1">
      <alignment horizontal="center" vertical="top"/>
    </xf>
    <xf numFmtId="0" fontId="4" fillId="0" borderId="35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center" vertical="top" wrapText="1"/>
    </xf>
    <xf numFmtId="0" fontId="4" fillId="3" borderId="35" xfId="0" applyFont="1" applyFill="1" applyBorder="1" applyAlignment="1">
      <alignment horizontal="left" vertical="top" wrapText="1"/>
    </xf>
    <xf numFmtId="0" fontId="11" fillId="0" borderId="35" xfId="0" applyFont="1" applyBorder="1" applyAlignment="1">
      <alignment horizontal="center" vertical="top" wrapText="1"/>
    </xf>
    <xf numFmtId="166" fontId="4" fillId="0" borderId="35" xfId="0" applyNumberFormat="1" applyFont="1" applyBorder="1" applyAlignment="1">
      <alignment horizontal="left" vertical="top" wrapText="1"/>
    </xf>
    <xf numFmtId="0" fontId="5" fillId="0" borderId="35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center" vertical="top"/>
    </xf>
    <xf numFmtId="0" fontId="22" fillId="3" borderId="29" xfId="0" applyFont="1" applyFill="1" applyBorder="1" applyAlignment="1">
      <alignment horizontal="center" vertical="top"/>
    </xf>
    <xf numFmtId="0" fontId="11" fillId="5" borderId="29" xfId="0" applyFont="1" applyFill="1" applyBorder="1" applyAlignment="1">
      <alignment horizontal="left" vertical="center" wrapText="1"/>
    </xf>
    <xf numFmtId="0" fontId="23" fillId="5" borderId="29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/>
    </xf>
    <xf numFmtId="166" fontId="2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38" xfId="0" applyBorder="1"/>
    <xf numFmtId="166" fontId="24" fillId="0" borderId="38" xfId="0" applyNumberFormat="1" applyFont="1" applyBorder="1"/>
    <xf numFmtId="0" fontId="25" fillId="7" borderId="0" xfId="0" applyFont="1" applyFill="1" applyAlignment="1">
      <alignment horizontal="left" vertical="top"/>
    </xf>
    <xf numFmtId="0" fontId="25" fillId="7" borderId="0" xfId="0" applyFont="1" applyFill="1" applyAlignment="1">
      <alignment horizontal="left" vertical="top" wrapText="1"/>
    </xf>
    <xf numFmtId="0" fontId="26" fillId="7" borderId="0" xfId="0" applyFont="1" applyFill="1" applyAlignment="1">
      <alignment horizontal="left" vertical="top"/>
    </xf>
    <xf numFmtId="0" fontId="25" fillId="7" borderId="0" xfId="0" applyFont="1" applyFill="1" applyAlignment="1">
      <alignment horizontal="center" vertical="top"/>
    </xf>
    <xf numFmtId="0" fontId="25" fillId="8" borderId="0" xfId="0" applyFont="1" applyFill="1" applyAlignment="1">
      <alignment horizontal="left" vertical="top"/>
    </xf>
    <xf numFmtId="164" fontId="25" fillId="7" borderId="0" xfId="0" applyNumberFormat="1" applyFont="1" applyFill="1" applyAlignment="1">
      <alignment horizontal="left" vertical="top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center" vertical="center" wrapText="1"/>
    </xf>
    <xf numFmtId="0" fontId="28" fillId="7" borderId="0" xfId="0" applyFont="1" applyFill="1" applyAlignment="1">
      <alignment horizontal="center"/>
    </xf>
    <xf numFmtId="0" fontId="29" fillId="7" borderId="0" xfId="0" applyFont="1" applyFill="1"/>
    <xf numFmtId="14" fontId="2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/>
    <xf numFmtId="164" fontId="2" fillId="0" borderId="0" xfId="0" applyNumberFormat="1" applyFont="1" applyAlignment="1">
      <alignment horizontal="left" vertical="top" wrapText="1"/>
    </xf>
    <xf numFmtId="14" fontId="2" fillId="0" borderId="10" xfId="0" applyNumberFormat="1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left" vertical="top" wrapText="1"/>
    </xf>
    <xf numFmtId="0" fontId="2" fillId="0" borderId="4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4" fontId="2" fillId="0" borderId="43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center" vertical="top" wrapText="1"/>
    </xf>
    <xf numFmtId="1" fontId="2" fillId="0" borderId="7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16" fillId="0" borderId="45" xfId="0" applyFont="1" applyBorder="1" applyAlignment="1">
      <alignment horizontal="center" vertical="top" wrapText="1"/>
    </xf>
    <xf numFmtId="0" fontId="16" fillId="0" borderId="45" xfId="0" applyFont="1" applyBorder="1" applyAlignment="1">
      <alignment horizontal="left" vertical="top" wrapText="1"/>
    </xf>
    <xf numFmtId="0" fontId="16" fillId="0" borderId="45" xfId="0" applyFont="1" applyBorder="1" applyAlignment="1">
      <alignment horizontal="left" vertical="top"/>
    </xf>
    <xf numFmtId="14" fontId="16" fillId="0" borderId="45" xfId="0" applyNumberFormat="1" applyFont="1" applyBorder="1" applyAlignment="1">
      <alignment horizontal="left" vertical="top"/>
    </xf>
    <xf numFmtId="166" fontId="16" fillId="0" borderId="45" xfId="0" applyNumberFormat="1" applyFont="1" applyBorder="1" applyAlignment="1">
      <alignment horizontal="left" vertical="top"/>
    </xf>
    <xf numFmtId="0" fontId="4" fillId="0" borderId="45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6" fillId="0" borderId="46" xfId="0" applyFont="1" applyBorder="1" applyAlignment="1">
      <alignment horizontal="center" vertical="top" wrapText="1"/>
    </xf>
    <xf numFmtId="0" fontId="16" fillId="0" borderId="46" xfId="0" applyFont="1" applyBorder="1" applyAlignment="1">
      <alignment horizontal="left" vertical="top" wrapText="1"/>
    </xf>
    <xf numFmtId="0" fontId="16" fillId="0" borderId="46" xfId="0" applyFont="1" applyBorder="1" applyAlignment="1">
      <alignment horizontal="left" vertical="top"/>
    </xf>
    <xf numFmtId="14" fontId="16" fillId="0" borderId="46" xfId="0" applyNumberFormat="1" applyFont="1" applyBorder="1" applyAlignment="1">
      <alignment horizontal="left" vertical="top"/>
    </xf>
    <xf numFmtId="166" fontId="16" fillId="0" borderId="46" xfId="0" applyNumberFormat="1" applyFont="1" applyBorder="1" applyAlignment="1">
      <alignment horizontal="left" vertical="top"/>
    </xf>
    <xf numFmtId="0" fontId="4" fillId="0" borderId="46" xfId="0" applyFont="1" applyBorder="1" applyAlignment="1">
      <alignment horizontal="left" vertical="top" wrapText="1"/>
    </xf>
    <xf numFmtId="3" fontId="16" fillId="0" borderId="46" xfId="0" applyNumberFormat="1" applyFont="1" applyBorder="1" applyAlignment="1">
      <alignment horizontal="center" vertical="top" wrapText="1"/>
    </xf>
    <xf numFmtId="14" fontId="4" fillId="0" borderId="46" xfId="0" applyNumberFormat="1" applyFont="1" applyBorder="1" applyAlignment="1">
      <alignment horizontal="left" vertical="top" wrapText="1"/>
    </xf>
    <xf numFmtId="166" fontId="4" fillId="0" borderId="46" xfId="0" applyNumberFormat="1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top"/>
    </xf>
    <xf numFmtId="14" fontId="4" fillId="0" borderId="46" xfId="0" applyNumberFormat="1" applyFont="1" applyBorder="1" applyAlignment="1">
      <alignment horizontal="left" vertical="top"/>
    </xf>
    <xf numFmtId="166" fontId="4" fillId="0" borderId="46" xfId="0" applyNumberFormat="1" applyFont="1" applyBorder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4" fillId="0" borderId="16" xfId="0" applyFont="1" applyBorder="1" applyAlignment="1">
      <alignment horizontal="left" vertical="top" wrapText="1"/>
    </xf>
    <xf numFmtId="14" fontId="4" fillId="0" borderId="16" xfId="0" applyNumberFormat="1" applyFont="1" applyBorder="1" applyAlignment="1">
      <alignment horizontal="left" vertical="top" wrapText="1"/>
    </xf>
    <xf numFmtId="166" fontId="4" fillId="0" borderId="16" xfId="0" applyNumberFormat="1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6" fillId="0" borderId="47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left" vertical="top" wrapText="1"/>
    </xf>
    <xf numFmtId="14" fontId="4" fillId="0" borderId="24" xfId="0" applyNumberFormat="1" applyFont="1" applyBorder="1" applyAlignment="1">
      <alignment horizontal="left" vertical="top" wrapText="1"/>
    </xf>
    <xf numFmtId="166" fontId="4" fillId="0" borderId="24" xfId="0" applyNumberFormat="1" applyFont="1" applyBorder="1" applyAlignment="1">
      <alignment horizontal="left" vertical="top" wrapText="1"/>
    </xf>
    <xf numFmtId="166" fontId="2" fillId="0" borderId="7" xfId="0" applyNumberFormat="1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3" fillId="0" borderId="48" xfId="0" applyFont="1" applyBorder="1"/>
    <xf numFmtId="0" fontId="3" fillId="0" borderId="8" xfId="0" applyFont="1" applyBorder="1"/>
    <xf numFmtId="0" fontId="2" fillId="0" borderId="0" xfId="0" applyFont="1" applyAlignment="1">
      <alignment horizontal="left" vertical="top" wrapText="1"/>
    </xf>
    <xf numFmtId="0" fontId="0" fillId="0" borderId="0" xfId="0"/>
    <xf numFmtId="0" fontId="2" fillId="0" borderId="12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3" xfId="0" applyFont="1" applyBorder="1"/>
    <xf numFmtId="0" fontId="24" fillId="0" borderId="40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39" xfId="0" applyFont="1" applyBorder="1"/>
    <xf numFmtId="0" fontId="3" fillId="0" borderId="31" xfId="0" applyFont="1" applyBorder="1"/>
    <xf numFmtId="0" fontId="2" fillId="0" borderId="1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0" borderId="15" xfId="0" applyFont="1" applyBorder="1"/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2" fillId="0" borderId="12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top" wrapText="1"/>
    </xf>
    <xf numFmtId="0" fontId="31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1" fillId="0" borderId="0" xfId="0" applyFont="1" applyAlignment="1">
      <alignment horizontal="right" vertical="top"/>
    </xf>
    <xf numFmtId="0" fontId="30" fillId="0" borderId="0" xfId="0" applyFont="1" applyAlignment="1">
      <alignment horizontal="center" vertical="top"/>
    </xf>
    <xf numFmtId="0" fontId="32" fillId="0" borderId="0" xfId="0" applyFont="1" applyAlignment="1">
      <alignment horizontal="center" vertical="top"/>
    </xf>
    <xf numFmtId="0" fontId="33" fillId="0" borderId="0" xfId="0" applyFont="1" applyAlignment="1">
      <alignment horizontal="center" vertical="top"/>
    </xf>
    <xf numFmtId="14" fontId="31" fillId="0" borderId="0" xfId="0" applyNumberFormat="1" applyFont="1" applyAlignment="1">
      <alignment horizontal="center" vertical="top"/>
    </xf>
    <xf numFmtId="168" fontId="31" fillId="0" borderId="0" xfId="1" applyNumberFormat="1" applyFont="1" applyFill="1" applyAlignment="1">
      <alignment horizontal="center" vertical="top"/>
    </xf>
    <xf numFmtId="169" fontId="31" fillId="0" borderId="0" xfId="0" applyNumberFormat="1" applyFont="1" applyAlignment="1">
      <alignment horizontal="center" vertical="top"/>
    </xf>
    <xf numFmtId="0" fontId="31" fillId="0" borderId="10" xfId="0" applyFont="1" applyBorder="1" applyAlignment="1">
      <alignment vertical="top"/>
    </xf>
    <xf numFmtId="0" fontId="31" fillId="0" borderId="10" xfId="0" applyFont="1" applyBorder="1" applyAlignment="1">
      <alignment horizontal="center" vertical="top"/>
    </xf>
    <xf numFmtId="0" fontId="31" fillId="0" borderId="10" xfId="0" applyFont="1" applyBorder="1" applyAlignment="1">
      <alignment vertical="top" wrapText="1"/>
    </xf>
    <xf numFmtId="14" fontId="31" fillId="0" borderId="10" xfId="0" applyNumberFormat="1" applyFont="1" applyBorder="1" applyAlignment="1">
      <alignment horizontal="center" vertical="top"/>
    </xf>
    <xf numFmtId="0" fontId="31" fillId="0" borderId="10" xfId="0" applyFont="1" applyBorder="1" applyAlignment="1">
      <alignment horizontal="center" vertical="top" wrapText="1"/>
    </xf>
    <xf numFmtId="168" fontId="31" fillId="0" borderId="10" xfId="1" applyNumberFormat="1" applyFont="1" applyFill="1" applyBorder="1" applyAlignment="1">
      <alignment horizontal="center" vertical="top"/>
    </xf>
    <xf numFmtId="169" fontId="31" fillId="0" borderId="10" xfId="0" applyNumberFormat="1" applyFont="1" applyBorder="1" applyAlignment="1">
      <alignment horizontal="center" vertical="top"/>
    </xf>
    <xf numFmtId="0" fontId="34" fillId="0" borderId="11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top" wrapText="1"/>
    </xf>
    <xf numFmtId="0" fontId="35" fillId="0" borderId="14" xfId="0" applyFont="1" applyBorder="1" applyAlignment="1">
      <alignment vertical="top" wrapText="1"/>
    </xf>
    <xf numFmtId="0" fontId="35" fillId="0" borderId="14" xfId="0" applyFont="1" applyBorder="1" applyAlignment="1">
      <alignment horizontal="center" vertical="top" wrapText="1"/>
    </xf>
    <xf numFmtId="0" fontId="34" fillId="0" borderId="15" xfId="0" applyFont="1" applyBorder="1" applyAlignment="1">
      <alignment horizontal="center" vertical="top" wrapText="1"/>
    </xf>
    <xf numFmtId="0" fontId="34" fillId="0" borderId="0" xfId="0" applyFont="1" applyAlignment="1">
      <alignment horizontal="center" vertical="top" wrapText="1"/>
    </xf>
    <xf numFmtId="168" fontId="34" fillId="0" borderId="15" xfId="1" applyNumberFormat="1" applyFont="1" applyFill="1" applyBorder="1" applyAlignment="1">
      <alignment horizontal="center" vertical="top" wrapText="1"/>
    </xf>
    <xf numFmtId="0" fontId="34" fillId="0" borderId="4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34" fillId="0" borderId="15" xfId="0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top" wrapText="1"/>
    </xf>
    <xf numFmtId="14" fontId="34" fillId="0" borderId="0" xfId="0" applyNumberFormat="1" applyFont="1" applyAlignment="1">
      <alignment horizontal="center" vertical="top" wrapText="1"/>
    </xf>
    <xf numFmtId="0" fontId="34" fillId="0" borderId="37" xfId="0" applyFont="1" applyBorder="1" applyAlignment="1">
      <alignment horizontal="center" vertical="center" wrapText="1"/>
    </xf>
    <xf numFmtId="0" fontId="34" fillId="0" borderId="49" xfId="0" applyFont="1" applyBorder="1" applyAlignment="1">
      <alignment horizontal="center" vertical="top" wrapText="1"/>
    </xf>
    <xf numFmtId="0" fontId="34" fillId="0" borderId="50" xfId="0" applyFont="1" applyBorder="1" applyAlignment="1">
      <alignment horizontal="center" vertical="top" wrapText="1"/>
    </xf>
    <xf numFmtId="49" fontId="34" fillId="0" borderId="50" xfId="0" applyNumberFormat="1" applyFont="1" applyBorder="1" applyAlignment="1">
      <alignment horizontal="center" vertical="top" wrapText="1"/>
    </xf>
    <xf numFmtId="49" fontId="34" fillId="0" borderId="50" xfId="1" applyNumberFormat="1" applyFont="1" applyFill="1" applyBorder="1" applyAlignment="1">
      <alignment horizontal="center" vertical="top" wrapText="1"/>
    </xf>
    <xf numFmtId="3" fontId="36" fillId="0" borderId="51" xfId="0" applyNumberFormat="1" applyFont="1" applyBorder="1" applyAlignment="1">
      <alignment horizontal="center" vertical="top" wrapText="1"/>
    </xf>
    <xf numFmtId="0" fontId="1" fillId="0" borderId="51" xfId="0" applyFont="1" applyBorder="1" applyAlignment="1">
      <alignment vertical="top" wrapText="1"/>
    </xf>
    <xf numFmtId="0" fontId="1" fillId="0" borderId="51" xfId="0" applyFont="1" applyBorder="1" applyAlignment="1">
      <alignment horizontal="left" vertical="top" wrapText="1"/>
    </xf>
    <xf numFmtId="0" fontId="1" fillId="0" borderId="51" xfId="0" applyFont="1" applyBorder="1" applyAlignment="1">
      <alignment horizontal="center" vertical="top" wrapText="1"/>
    </xf>
    <xf numFmtId="14" fontId="1" fillId="0" borderId="51" xfId="0" applyNumberFormat="1" applyFont="1" applyBorder="1" applyAlignment="1">
      <alignment horizontal="center" vertical="top" wrapText="1"/>
    </xf>
    <xf numFmtId="170" fontId="1" fillId="0" borderId="51" xfId="1" applyNumberFormat="1" applyFont="1" applyFill="1" applyBorder="1" applyAlignment="1">
      <alignment horizontal="right" vertical="top" wrapText="1"/>
    </xf>
    <xf numFmtId="165" fontId="1" fillId="0" borderId="51" xfId="0" applyNumberFormat="1" applyFont="1" applyBorder="1" applyAlignment="1">
      <alignment vertical="top" wrapText="1"/>
    </xf>
    <xf numFmtId="0" fontId="37" fillId="0" borderId="51" xfId="0" applyFont="1" applyBorder="1" applyAlignment="1">
      <alignment vertical="top" wrapText="1"/>
    </xf>
    <xf numFmtId="3" fontId="36" fillId="0" borderId="52" xfId="0" applyNumberFormat="1" applyFont="1" applyBorder="1" applyAlignment="1">
      <alignment horizontal="center" vertical="top" wrapText="1"/>
    </xf>
    <xf numFmtId="0" fontId="1" fillId="0" borderId="52" xfId="0" applyFont="1" applyBorder="1" applyAlignment="1">
      <alignment vertical="top" wrapText="1"/>
    </xf>
    <xf numFmtId="0" fontId="1" fillId="0" borderId="52" xfId="0" applyFont="1" applyBorder="1" applyAlignment="1">
      <alignment horizontal="left" vertical="top" wrapText="1"/>
    </xf>
    <xf numFmtId="0" fontId="1" fillId="0" borderId="52" xfId="0" applyFont="1" applyBorder="1" applyAlignment="1">
      <alignment horizontal="center" vertical="top" wrapText="1"/>
    </xf>
    <xf numFmtId="14" fontId="1" fillId="0" borderId="52" xfId="0" applyNumberFormat="1" applyFont="1" applyBorder="1" applyAlignment="1">
      <alignment horizontal="center" vertical="top" wrapText="1"/>
    </xf>
    <xf numFmtId="170" fontId="1" fillId="0" borderId="52" xfId="1" applyNumberFormat="1" applyFont="1" applyFill="1" applyBorder="1" applyAlignment="1">
      <alignment horizontal="right" vertical="top" wrapText="1"/>
    </xf>
    <xf numFmtId="165" fontId="1" fillId="0" borderId="52" xfId="0" applyNumberFormat="1" applyFont="1" applyBorder="1" applyAlignment="1">
      <alignment vertical="top" wrapText="1"/>
    </xf>
    <xf numFmtId="0" fontId="37" fillId="0" borderId="52" xfId="0" applyFont="1" applyBorder="1" applyAlignment="1">
      <alignment vertical="top" wrapText="1"/>
    </xf>
    <xf numFmtId="0" fontId="37" fillId="0" borderId="52" xfId="0" applyFont="1" applyBorder="1" applyAlignment="1">
      <alignment horizontal="left" vertical="top" wrapText="1"/>
    </xf>
    <xf numFmtId="0" fontId="37" fillId="0" borderId="52" xfId="0" applyFont="1" applyBorder="1" applyAlignment="1">
      <alignment horizontal="center" vertical="top" wrapText="1"/>
    </xf>
    <xf numFmtId="14" fontId="37" fillId="0" borderId="52" xfId="0" applyNumberFormat="1" applyFont="1" applyBorder="1" applyAlignment="1">
      <alignment horizontal="center" vertical="top" wrapText="1"/>
    </xf>
    <xf numFmtId="170" fontId="37" fillId="0" borderId="52" xfId="1" applyNumberFormat="1" applyFont="1" applyFill="1" applyBorder="1" applyAlignment="1">
      <alignment horizontal="right" vertical="top" wrapText="1"/>
    </xf>
    <xf numFmtId="165" fontId="37" fillId="0" borderId="52" xfId="0" applyNumberFormat="1" applyFont="1" applyBorder="1" applyAlignment="1">
      <alignment vertical="top" wrapText="1"/>
    </xf>
    <xf numFmtId="3" fontId="37" fillId="0" borderId="52" xfId="0" applyNumberFormat="1" applyFont="1" applyBorder="1" applyAlignment="1">
      <alignment horizontal="center" vertical="top" wrapText="1"/>
    </xf>
    <xf numFmtId="0" fontId="35" fillId="0" borderId="52" xfId="0" applyFont="1" applyBorder="1" applyAlignment="1">
      <alignment vertical="top" wrapText="1"/>
    </xf>
    <xf numFmtId="14" fontId="35" fillId="0" borderId="52" xfId="0" applyNumberFormat="1" applyFont="1" applyBorder="1" applyAlignment="1">
      <alignment horizontal="center" vertical="top" wrapText="1"/>
    </xf>
    <xf numFmtId="170" fontId="37" fillId="0" borderId="52" xfId="1" applyNumberFormat="1" applyFont="1" applyFill="1" applyBorder="1" applyAlignment="1">
      <alignment vertical="top" wrapText="1"/>
    </xf>
    <xf numFmtId="169" fontId="37" fillId="0" borderId="52" xfId="0" applyNumberFormat="1" applyFont="1" applyBorder="1" applyAlignment="1">
      <alignment vertical="top" wrapText="1"/>
    </xf>
    <xf numFmtId="0" fontId="38" fillId="0" borderId="52" xfId="0" applyFont="1" applyBorder="1" applyAlignment="1">
      <alignment vertical="top" wrapText="1"/>
    </xf>
    <xf numFmtId="0" fontId="34" fillId="0" borderId="52" xfId="0" applyFont="1" applyBorder="1" applyAlignment="1">
      <alignment horizontal="left" vertical="top" wrapText="1"/>
    </xf>
    <xf numFmtId="169" fontId="37" fillId="0" borderId="52" xfId="0" applyNumberFormat="1" applyFont="1" applyBorder="1" applyAlignment="1">
      <alignment horizontal="center" vertical="top" wrapText="1"/>
    </xf>
    <xf numFmtId="0" fontId="34" fillId="0" borderId="52" xfId="0" applyFont="1" applyBorder="1" applyAlignment="1">
      <alignment vertical="top" wrapText="1"/>
    </xf>
    <xf numFmtId="0" fontId="39" fillId="0" borderId="52" xfId="0" applyFont="1" applyBorder="1" applyAlignment="1">
      <alignment vertical="top" wrapText="1"/>
    </xf>
    <xf numFmtId="0" fontId="39" fillId="0" borderId="52" xfId="0" applyFont="1" applyBorder="1" applyAlignment="1">
      <alignment horizontal="center" vertical="top" wrapText="1"/>
    </xf>
    <xf numFmtId="14" fontId="39" fillId="0" borderId="52" xfId="0" applyNumberFormat="1" applyFont="1" applyBorder="1" applyAlignment="1">
      <alignment horizontal="center" vertical="top" wrapText="1"/>
    </xf>
    <xf numFmtId="0" fontId="39" fillId="0" borderId="52" xfId="0" applyFont="1" applyBorder="1" applyAlignment="1">
      <alignment horizontal="left" vertical="top" wrapText="1"/>
    </xf>
    <xf numFmtId="169" fontId="39" fillId="0" borderId="52" xfId="0" applyNumberFormat="1" applyFont="1" applyBorder="1" applyAlignment="1">
      <alignment horizontal="center" vertical="top" wrapText="1"/>
    </xf>
    <xf numFmtId="170" fontId="39" fillId="0" borderId="52" xfId="1" applyNumberFormat="1" applyFont="1" applyFill="1" applyBorder="1" applyAlignment="1">
      <alignment vertical="top" wrapText="1"/>
    </xf>
    <xf numFmtId="169" fontId="39" fillId="0" borderId="52" xfId="0" applyNumberFormat="1" applyFont="1" applyBorder="1" applyAlignment="1">
      <alignment vertical="top" wrapText="1"/>
    </xf>
    <xf numFmtId="0" fontId="31" fillId="0" borderId="52" xfId="0" applyFont="1" applyBorder="1" applyAlignment="1">
      <alignment vertical="top" wrapText="1"/>
    </xf>
    <xf numFmtId="0" fontId="0" fillId="0" borderId="52" xfId="0" applyBorder="1" applyAlignment="1">
      <alignment vertical="top" wrapText="1"/>
    </xf>
    <xf numFmtId="0" fontId="0" fillId="0" borderId="52" xfId="0" applyBorder="1" applyAlignment="1">
      <alignment horizontal="center" vertical="top" wrapText="1"/>
    </xf>
    <xf numFmtId="14" fontId="0" fillId="0" borderId="52" xfId="0" applyNumberFormat="1" applyBorder="1" applyAlignment="1">
      <alignment horizontal="center" vertical="top" wrapText="1"/>
    </xf>
    <xf numFmtId="170" fontId="0" fillId="0" borderId="52" xfId="1" applyNumberFormat="1" applyFont="1" applyFill="1" applyBorder="1" applyAlignment="1">
      <alignment vertical="top" wrapText="1"/>
    </xf>
    <xf numFmtId="0" fontId="37" fillId="0" borderId="53" xfId="0" applyFont="1" applyBorder="1" applyAlignment="1">
      <alignment vertical="top" wrapText="1"/>
    </xf>
    <xf numFmtId="0" fontId="37" fillId="0" borderId="53" xfId="0" applyFont="1" applyBorder="1" applyAlignment="1">
      <alignment horizontal="center" vertical="top" wrapText="1"/>
    </xf>
    <xf numFmtId="14" fontId="37" fillId="0" borderId="53" xfId="0" applyNumberFormat="1" applyFont="1" applyBorder="1" applyAlignment="1">
      <alignment horizontal="center" vertical="top" wrapText="1"/>
    </xf>
    <xf numFmtId="170" fontId="37" fillId="0" borderId="53" xfId="1" applyNumberFormat="1" applyFont="1" applyFill="1" applyBorder="1" applyAlignment="1">
      <alignment vertical="top" wrapText="1"/>
    </xf>
    <xf numFmtId="0" fontId="34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170" fontId="34" fillId="0" borderId="54" xfId="1" applyNumberFormat="1" applyFont="1" applyFill="1" applyBorder="1" applyAlignment="1">
      <alignment vertical="center"/>
    </xf>
    <xf numFmtId="0" fontId="0" fillId="0" borderId="54" xfId="0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170" fontId="0" fillId="0" borderId="0" xfId="1" applyNumberFormat="1" applyFont="1" applyFill="1" applyAlignment="1">
      <alignment vertical="top"/>
    </xf>
    <xf numFmtId="168" fontId="0" fillId="0" borderId="0" xfId="1" applyNumberFormat="1" applyFont="1" applyFill="1" applyAlignment="1">
      <alignment vertical="top"/>
    </xf>
  </cellXfs>
  <cellStyles count="2">
    <cellStyle name="Comma 2" xfId="1" xr:uid="{1020CD9D-FB27-4367-9BC8-AE44B296178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171450</xdr:rowOff>
    </xdr:from>
    <xdr:ext cx="876300" cy="742950"/>
    <xdr:pic>
      <xdr:nvPicPr>
        <xdr:cNvPr id="2" name="image1.jpg" descr="Description: Seruya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0</xdr:row>
      <xdr:rowOff>180975</xdr:rowOff>
    </xdr:from>
    <xdr:ext cx="876300" cy="742950"/>
    <xdr:pic>
      <xdr:nvPicPr>
        <xdr:cNvPr id="2" name="image1.jpg" descr="Description: Seruyan">
          <a:extLst>
            <a:ext uri="{FF2B5EF4-FFF2-40B4-BE49-F238E27FC236}">
              <a16:creationId xmlns:a16="http://schemas.microsoft.com/office/drawing/2014/main" id="{48687C27-86DD-489B-AB77-01F56F199A4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0" y="180975"/>
          <a:ext cx="876300" cy="742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s.t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27"/>
  <sheetViews>
    <sheetView topLeftCell="A1559" zoomScale="53" zoomScaleNormal="53" workbookViewId="0">
      <selection activeCell="U1619" sqref="U1619:U1624"/>
    </sheetView>
  </sheetViews>
  <sheetFormatPr defaultColWidth="14.453125" defaultRowHeight="15" customHeight="1" x14ac:dyDescent="0.35"/>
  <cols>
    <col min="1" max="1" width="8.54296875" customWidth="1"/>
    <col min="2" max="2" width="16.453125" customWidth="1"/>
    <col min="3" max="3" width="32" customWidth="1"/>
    <col min="4" max="4" width="18.54296875" customWidth="1"/>
    <col min="5" max="5" width="27.54296875" customWidth="1"/>
    <col min="6" max="6" width="18.26953125" customWidth="1"/>
    <col min="7" max="7" width="19.453125" customWidth="1"/>
    <col min="8" max="8" width="15" customWidth="1"/>
    <col min="9" max="9" width="10.36328125" customWidth="1"/>
    <col min="10" max="10" width="23.54296875" customWidth="1"/>
    <col min="11" max="11" width="16.453125" customWidth="1"/>
    <col min="12" max="12" width="13" customWidth="1"/>
    <col min="13" max="13" width="15.54296875" customWidth="1"/>
    <col min="14" max="14" width="18.26953125" customWidth="1"/>
    <col min="15" max="15" width="7" hidden="1" customWidth="1"/>
    <col min="16" max="16" width="22" customWidth="1"/>
    <col min="17" max="17" width="39.54296875" customWidth="1"/>
    <col min="18" max="18" width="22.36328125" customWidth="1"/>
    <col min="19" max="19" width="21.1796875" customWidth="1"/>
    <col min="20" max="20" width="8.26953125" customWidth="1"/>
    <col min="21" max="21" width="9.453125" customWidth="1"/>
    <col min="22" max="23" width="8.54296875" customWidth="1"/>
  </cols>
  <sheetData>
    <row r="1" spans="1:23" ht="14.25" customHeight="1" x14ac:dyDescent="0.35">
      <c r="A1" s="301"/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"/>
      <c r="U1" s="3"/>
    </row>
    <row r="2" spans="1:23" ht="14.25" customHeight="1" x14ac:dyDescent="0.35">
      <c r="A2" s="302" t="s">
        <v>7</v>
      </c>
      <c r="B2" s="288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"/>
      <c r="U2" s="3"/>
    </row>
    <row r="3" spans="1:23" ht="14.25" customHeight="1" x14ac:dyDescent="0.35">
      <c r="A3" s="303" t="s">
        <v>10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"/>
      <c r="U3" s="3"/>
    </row>
    <row r="4" spans="1:23" ht="14.25" customHeight="1" x14ac:dyDescent="0.35">
      <c r="A4" s="303" t="s">
        <v>11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"/>
      <c r="U4" s="3"/>
    </row>
    <row r="5" spans="1:23" ht="14.25" customHeight="1" x14ac:dyDescent="0.35">
      <c r="A5" s="5"/>
      <c r="B5" s="1"/>
      <c r="C5" s="1"/>
      <c r="D5" s="5"/>
      <c r="E5" s="8"/>
      <c r="F5" s="1"/>
      <c r="G5" s="8"/>
      <c r="H5" s="5"/>
      <c r="I5" s="8"/>
      <c r="J5" s="1"/>
      <c r="K5" s="9"/>
      <c r="L5" s="9"/>
      <c r="M5" s="9"/>
      <c r="N5" s="1"/>
      <c r="O5" s="1"/>
      <c r="P5" s="10"/>
      <c r="Q5" s="8"/>
      <c r="R5" s="8"/>
      <c r="S5" s="13"/>
      <c r="T5" s="2"/>
      <c r="U5" s="3"/>
    </row>
    <row r="6" spans="1:23" ht="14.25" customHeight="1" x14ac:dyDescent="0.35">
      <c r="A6" s="5"/>
      <c r="B6" s="1"/>
      <c r="C6" s="1"/>
      <c r="D6" s="5"/>
      <c r="E6" s="8"/>
      <c r="F6" s="1"/>
      <c r="G6" s="8"/>
      <c r="H6" s="5"/>
      <c r="I6" s="8"/>
      <c r="J6" s="1"/>
      <c r="K6" s="9"/>
      <c r="L6" s="9"/>
      <c r="M6" s="9"/>
      <c r="N6" s="1"/>
      <c r="O6" s="1"/>
      <c r="P6" s="10"/>
      <c r="Q6" s="8"/>
      <c r="R6" s="8"/>
      <c r="S6" s="13"/>
      <c r="T6" s="2"/>
      <c r="U6" s="3"/>
    </row>
    <row r="7" spans="1:23" ht="14.25" customHeight="1" x14ac:dyDescent="0.35">
      <c r="A7" s="1" t="s">
        <v>14</v>
      </c>
      <c r="B7" s="8"/>
      <c r="C7" s="1" t="s">
        <v>15</v>
      </c>
      <c r="D7" s="5"/>
      <c r="E7" s="8"/>
      <c r="F7" s="1"/>
      <c r="G7" s="8"/>
      <c r="H7" s="5"/>
      <c r="I7" s="8"/>
      <c r="J7" s="1"/>
      <c r="K7" s="9"/>
      <c r="L7" s="9"/>
      <c r="M7" s="9"/>
      <c r="N7" s="1"/>
      <c r="O7" s="1"/>
      <c r="P7" s="10"/>
      <c r="Q7" s="8"/>
      <c r="R7" s="8"/>
      <c r="S7" s="13"/>
      <c r="T7" s="2"/>
      <c r="U7" s="3"/>
    </row>
    <row r="8" spans="1:23" ht="14.25" customHeight="1" x14ac:dyDescent="0.35">
      <c r="A8" s="1" t="s">
        <v>17</v>
      </c>
      <c r="B8" s="8"/>
      <c r="C8" s="1" t="s">
        <v>18</v>
      </c>
      <c r="D8" s="5"/>
      <c r="E8" s="8"/>
      <c r="F8" s="1"/>
      <c r="G8" s="8"/>
      <c r="H8" s="5"/>
      <c r="I8" s="8"/>
      <c r="J8" s="1"/>
      <c r="K8" s="9"/>
      <c r="L8" s="9"/>
      <c r="M8" s="9"/>
      <c r="N8" s="1"/>
      <c r="O8" s="1"/>
      <c r="P8" s="10"/>
      <c r="Q8" s="8"/>
      <c r="R8" s="8"/>
      <c r="S8" s="13"/>
      <c r="T8" s="2"/>
      <c r="U8" s="3"/>
    </row>
    <row r="9" spans="1:23" ht="14.25" customHeight="1" x14ac:dyDescent="0.35">
      <c r="A9" s="1" t="s">
        <v>19</v>
      </c>
      <c r="B9" s="8"/>
      <c r="C9" s="20" t="s">
        <v>20</v>
      </c>
      <c r="D9" s="5"/>
      <c r="E9" s="8"/>
      <c r="F9" s="1"/>
      <c r="G9" s="8"/>
      <c r="H9" s="5"/>
      <c r="I9" s="8"/>
      <c r="J9" s="1"/>
      <c r="K9" s="9"/>
      <c r="L9" s="9"/>
      <c r="M9" s="9"/>
      <c r="N9" s="1"/>
      <c r="O9" s="1"/>
      <c r="P9" s="10"/>
      <c r="Q9" s="8"/>
      <c r="R9" s="8"/>
      <c r="S9" s="13"/>
      <c r="T9" s="2"/>
      <c r="U9" s="3"/>
    </row>
    <row r="10" spans="1:23" ht="14.25" customHeight="1" x14ac:dyDescent="0.35">
      <c r="A10" s="1" t="s">
        <v>21</v>
      </c>
      <c r="B10" s="8"/>
      <c r="C10" s="20" t="s">
        <v>20</v>
      </c>
      <c r="D10" s="5"/>
      <c r="E10" s="8"/>
      <c r="F10" s="1"/>
      <c r="G10" s="8"/>
      <c r="H10" s="5"/>
      <c r="I10" s="8"/>
      <c r="J10" s="1"/>
      <c r="K10" s="9"/>
      <c r="L10" s="9"/>
      <c r="M10" s="9"/>
      <c r="N10" s="1"/>
      <c r="O10" s="1"/>
      <c r="P10" s="10"/>
      <c r="Q10" s="8"/>
      <c r="R10" s="8"/>
      <c r="S10" s="13"/>
      <c r="T10" s="2"/>
      <c r="U10" s="3"/>
    </row>
    <row r="11" spans="1:23" ht="14.25" customHeight="1" x14ac:dyDescent="0.35">
      <c r="A11" s="1" t="s">
        <v>22</v>
      </c>
      <c r="B11" s="8"/>
      <c r="C11" s="20" t="s">
        <v>20</v>
      </c>
      <c r="D11" s="5"/>
      <c r="E11" s="8"/>
      <c r="F11" s="1"/>
      <c r="G11" s="8"/>
      <c r="H11" s="5"/>
      <c r="I11" s="8"/>
      <c r="J11" s="1"/>
      <c r="K11" s="9"/>
      <c r="L11" s="9"/>
      <c r="M11" s="9"/>
      <c r="N11" s="1"/>
      <c r="O11" s="1"/>
      <c r="P11" s="10"/>
      <c r="Q11" s="8"/>
      <c r="R11" s="8"/>
      <c r="S11" s="13"/>
      <c r="T11" s="2"/>
      <c r="U11" s="3"/>
    </row>
    <row r="12" spans="1:23" s="229" customFormat="1" ht="14.25" customHeight="1" x14ac:dyDescent="0.35">
      <c r="A12" s="220" t="s">
        <v>23</v>
      </c>
      <c r="B12" s="221"/>
      <c r="C12" s="222" t="s">
        <v>24</v>
      </c>
      <c r="D12" s="223"/>
      <c r="E12" s="221"/>
      <c r="F12" s="220"/>
      <c r="G12" s="221"/>
      <c r="H12" s="223"/>
      <c r="I12" s="221"/>
      <c r="J12" s="220"/>
      <c r="K12" s="224"/>
      <c r="L12" s="224"/>
      <c r="M12" s="224"/>
      <c r="N12" s="220"/>
      <c r="O12" s="220"/>
      <c r="P12" s="225"/>
      <c r="Q12" s="221"/>
      <c r="R12" s="221"/>
      <c r="S12" s="226"/>
      <c r="T12" s="227"/>
      <c r="U12" s="228"/>
    </row>
    <row r="13" spans="1:23" ht="10.5" customHeight="1" thickBot="1" x14ac:dyDescent="0.4">
      <c r="A13" s="22"/>
      <c r="B13" s="23"/>
      <c r="C13" s="23"/>
      <c r="D13" s="22"/>
      <c r="E13" s="24"/>
      <c r="F13" s="23"/>
      <c r="G13" s="24"/>
      <c r="H13" s="5"/>
      <c r="I13" s="8"/>
      <c r="J13" s="1"/>
      <c r="K13" s="9"/>
      <c r="L13" s="9"/>
      <c r="M13" s="9"/>
      <c r="N13" s="23"/>
      <c r="O13" s="23"/>
      <c r="P13" s="25"/>
      <c r="Q13" s="26"/>
      <c r="R13" s="26"/>
      <c r="S13" s="27"/>
      <c r="T13" s="2"/>
      <c r="U13" s="3"/>
    </row>
    <row r="14" spans="1:23" ht="14.25" customHeight="1" thickBot="1" x14ac:dyDescent="0.4">
      <c r="A14" s="28" t="s">
        <v>25</v>
      </c>
      <c r="B14" s="28" t="s">
        <v>26</v>
      </c>
      <c r="C14" s="28" t="s">
        <v>27</v>
      </c>
      <c r="D14" s="28" t="s">
        <v>28</v>
      </c>
      <c r="E14" s="28" t="s">
        <v>29</v>
      </c>
      <c r="F14" s="28" t="s">
        <v>30</v>
      </c>
      <c r="G14" s="28" t="s">
        <v>31</v>
      </c>
      <c r="H14" s="28" t="s">
        <v>32</v>
      </c>
      <c r="I14" s="304"/>
      <c r="J14" s="291"/>
      <c r="K14" s="291"/>
      <c r="L14" s="291"/>
      <c r="M14" s="290"/>
      <c r="N14" s="298" t="s">
        <v>33</v>
      </c>
      <c r="O14" s="28"/>
      <c r="P14" s="305" t="s">
        <v>34</v>
      </c>
      <c r="Q14" s="298" t="s">
        <v>35</v>
      </c>
      <c r="R14" s="298" t="s">
        <v>7855</v>
      </c>
      <c r="S14" s="298" t="s">
        <v>36</v>
      </c>
      <c r="T14" s="31"/>
      <c r="U14" s="3"/>
      <c r="V14" s="3"/>
      <c r="W14" s="3"/>
    </row>
    <row r="15" spans="1:23" ht="14.25" customHeight="1" thickBot="1" x14ac:dyDescent="0.4">
      <c r="A15" s="33" t="s">
        <v>37</v>
      </c>
      <c r="B15" s="33" t="s">
        <v>38</v>
      </c>
      <c r="C15" s="33" t="s">
        <v>39</v>
      </c>
      <c r="D15" s="33" t="s">
        <v>40</v>
      </c>
      <c r="E15" s="33" t="s">
        <v>42</v>
      </c>
      <c r="F15" s="33" t="s">
        <v>43</v>
      </c>
      <c r="G15" s="33"/>
      <c r="H15" s="33" t="s">
        <v>44</v>
      </c>
      <c r="I15" s="33" t="s">
        <v>45</v>
      </c>
      <c r="J15" s="33" t="s">
        <v>46</v>
      </c>
      <c r="K15" s="36" t="s">
        <v>47</v>
      </c>
      <c r="L15" s="36" t="s">
        <v>48</v>
      </c>
      <c r="M15" s="36" t="s">
        <v>49</v>
      </c>
      <c r="N15" s="300"/>
      <c r="O15" s="38"/>
      <c r="P15" s="300"/>
      <c r="Q15" s="300"/>
      <c r="R15" s="299"/>
      <c r="S15" s="300"/>
      <c r="T15" s="39"/>
      <c r="U15" s="3"/>
      <c r="V15" s="3"/>
    </row>
    <row r="16" spans="1:23" ht="14.25" customHeight="1" thickBot="1" x14ac:dyDescent="0.4">
      <c r="A16" s="41"/>
      <c r="B16" s="42"/>
      <c r="C16" s="42"/>
      <c r="D16" s="42"/>
      <c r="E16" s="42"/>
      <c r="F16" s="42"/>
      <c r="G16" s="42"/>
      <c r="H16" s="42"/>
      <c r="I16" s="42"/>
      <c r="J16" s="42"/>
      <c r="K16" s="43"/>
      <c r="L16" s="43"/>
      <c r="M16" s="43"/>
      <c r="N16" s="42"/>
      <c r="O16" s="42"/>
      <c r="P16" s="44"/>
      <c r="Q16" s="42"/>
      <c r="R16" s="211"/>
      <c r="S16" s="45"/>
      <c r="T16" s="31"/>
      <c r="U16" s="3"/>
      <c r="W16" s="46"/>
    </row>
    <row r="17" spans="1:23" ht="14.25" customHeight="1" x14ac:dyDescent="0.35">
      <c r="A17" s="47">
        <v>1</v>
      </c>
      <c r="B17" s="59" t="s">
        <v>58</v>
      </c>
      <c r="C17" s="48" t="s">
        <v>50</v>
      </c>
      <c r="D17" s="49" t="s">
        <v>51</v>
      </c>
      <c r="E17" s="48" t="s">
        <v>52</v>
      </c>
      <c r="F17" s="48" t="s">
        <v>53</v>
      </c>
      <c r="G17" s="50" t="s">
        <v>54</v>
      </c>
      <c r="H17" s="51">
        <v>2002</v>
      </c>
      <c r="I17" s="48"/>
      <c r="J17" s="48" t="s">
        <v>7857</v>
      </c>
      <c r="K17" s="48" t="s">
        <v>55</v>
      </c>
      <c r="L17" s="52" t="s">
        <v>56</v>
      </c>
      <c r="M17" s="52" t="s">
        <v>55</v>
      </c>
      <c r="N17" s="48" t="s">
        <v>57</v>
      </c>
      <c r="O17" s="51">
        <v>1</v>
      </c>
      <c r="P17" s="53">
        <v>125000</v>
      </c>
      <c r="Q17" s="54"/>
      <c r="R17" s="54"/>
      <c r="S17" s="55" t="s">
        <v>16</v>
      </c>
      <c r="T17" s="56">
        <v>1</v>
      </c>
      <c r="U17" s="56">
        <v>4</v>
      </c>
      <c r="V17" s="57"/>
      <c r="W17" s="57"/>
    </row>
    <row r="18" spans="1:23" ht="14.25" customHeight="1" thickBot="1" x14ac:dyDescent="0.4">
      <c r="A18" s="58">
        <v>2</v>
      </c>
      <c r="B18" s="59" t="s">
        <v>58</v>
      </c>
      <c r="C18" s="59" t="s">
        <v>50</v>
      </c>
      <c r="D18" s="60" t="s">
        <v>59</v>
      </c>
      <c r="E18" s="59" t="s">
        <v>60</v>
      </c>
      <c r="F18" s="61" t="s">
        <v>61</v>
      </c>
      <c r="G18" s="63" t="s">
        <v>62</v>
      </c>
      <c r="H18" s="64">
        <v>2024</v>
      </c>
      <c r="I18" s="59" t="s">
        <v>63</v>
      </c>
      <c r="J18" s="59" t="s">
        <v>65</v>
      </c>
      <c r="K18" s="65" t="s">
        <v>66</v>
      </c>
      <c r="L18" s="65" t="s">
        <v>67</v>
      </c>
      <c r="M18" s="65" t="s">
        <v>68</v>
      </c>
      <c r="N18" s="59" t="s">
        <v>44</v>
      </c>
      <c r="O18" s="64">
        <v>1</v>
      </c>
      <c r="P18" s="66">
        <v>638000</v>
      </c>
      <c r="Q18" s="67" t="s">
        <v>69</v>
      </c>
      <c r="R18" s="67"/>
      <c r="S18" s="68" t="s">
        <v>16</v>
      </c>
      <c r="T18" s="56">
        <v>1</v>
      </c>
      <c r="U18" s="56">
        <v>4</v>
      </c>
      <c r="V18" s="57"/>
      <c r="W18" s="57"/>
    </row>
    <row r="19" spans="1:23" ht="14.25" customHeight="1" x14ac:dyDescent="0.35">
      <c r="A19" s="47">
        <v>3</v>
      </c>
      <c r="B19" s="59" t="s">
        <v>70</v>
      </c>
      <c r="C19" s="59" t="s">
        <v>71</v>
      </c>
      <c r="D19" s="60" t="s">
        <v>59</v>
      </c>
      <c r="E19" s="59" t="s">
        <v>72</v>
      </c>
      <c r="F19" s="59" t="s">
        <v>73</v>
      </c>
      <c r="G19" s="63" t="s">
        <v>62</v>
      </c>
      <c r="H19" s="64">
        <v>2022</v>
      </c>
      <c r="I19" s="59"/>
      <c r="J19" s="59" t="s">
        <v>74</v>
      </c>
      <c r="K19" s="65" t="s">
        <v>75</v>
      </c>
      <c r="L19" s="65" t="s">
        <v>76</v>
      </c>
      <c r="M19" s="65" t="s">
        <v>77</v>
      </c>
      <c r="N19" s="59" t="s">
        <v>44</v>
      </c>
      <c r="O19" s="64">
        <v>1</v>
      </c>
      <c r="P19" s="66">
        <v>504000</v>
      </c>
      <c r="Q19" s="67" t="s">
        <v>78</v>
      </c>
      <c r="R19" s="67"/>
      <c r="S19" s="68" t="s">
        <v>16</v>
      </c>
      <c r="T19" s="56">
        <v>1</v>
      </c>
      <c r="U19" s="56">
        <v>4</v>
      </c>
      <c r="V19" s="57"/>
      <c r="W19" s="57"/>
    </row>
    <row r="20" spans="1:23" ht="14.25" customHeight="1" thickBot="1" x14ac:dyDescent="0.4">
      <c r="A20" s="58">
        <v>4</v>
      </c>
      <c r="B20" s="59" t="s">
        <v>79</v>
      </c>
      <c r="C20" s="59" t="s">
        <v>80</v>
      </c>
      <c r="D20" s="60" t="s">
        <v>51</v>
      </c>
      <c r="E20" s="59" t="s">
        <v>81</v>
      </c>
      <c r="F20" s="59" t="s">
        <v>82</v>
      </c>
      <c r="G20" s="63" t="s">
        <v>54</v>
      </c>
      <c r="H20" s="64">
        <v>2004</v>
      </c>
      <c r="I20" s="59"/>
      <c r="J20" s="59" t="s">
        <v>83</v>
      </c>
      <c r="K20" s="65" t="s">
        <v>84</v>
      </c>
      <c r="L20" s="65" t="s">
        <v>85</v>
      </c>
      <c r="M20" s="65" t="s">
        <v>86</v>
      </c>
      <c r="N20" s="59" t="s">
        <v>57</v>
      </c>
      <c r="O20" s="64">
        <v>1</v>
      </c>
      <c r="P20" s="66">
        <v>8000</v>
      </c>
      <c r="Q20" s="67"/>
      <c r="R20" s="67"/>
      <c r="S20" s="68" t="s">
        <v>16</v>
      </c>
      <c r="T20" s="56">
        <v>1</v>
      </c>
      <c r="U20" s="56">
        <v>3</v>
      </c>
      <c r="V20" s="57"/>
      <c r="W20" s="57"/>
    </row>
    <row r="21" spans="1:23" ht="14.25" customHeight="1" x14ac:dyDescent="0.35">
      <c r="A21" s="47">
        <v>5</v>
      </c>
      <c r="B21" s="59" t="s">
        <v>79</v>
      </c>
      <c r="C21" s="59" t="s">
        <v>80</v>
      </c>
      <c r="D21" s="60" t="s">
        <v>51</v>
      </c>
      <c r="E21" s="59" t="s">
        <v>87</v>
      </c>
      <c r="F21" s="59" t="s">
        <v>88</v>
      </c>
      <c r="G21" s="63" t="s">
        <v>54</v>
      </c>
      <c r="H21" s="64">
        <v>2007</v>
      </c>
      <c r="I21" s="59"/>
      <c r="J21" s="59" t="s">
        <v>89</v>
      </c>
      <c r="K21" s="65" t="s">
        <v>90</v>
      </c>
      <c r="L21" s="65" t="s">
        <v>92</v>
      </c>
      <c r="M21" s="65" t="s">
        <v>93</v>
      </c>
      <c r="N21" s="59" t="s">
        <v>57</v>
      </c>
      <c r="O21" s="64">
        <v>1</v>
      </c>
      <c r="P21" s="66">
        <v>11250</v>
      </c>
      <c r="Q21" s="67"/>
      <c r="R21" s="67"/>
      <c r="S21" s="68" t="s">
        <v>16</v>
      </c>
      <c r="T21" s="56">
        <v>1</v>
      </c>
      <c r="U21" s="56">
        <v>3</v>
      </c>
      <c r="V21" s="57"/>
      <c r="W21" s="57"/>
    </row>
    <row r="22" spans="1:23" ht="14.25" customHeight="1" thickBot="1" x14ac:dyDescent="0.4">
      <c r="A22" s="58">
        <v>6</v>
      </c>
      <c r="B22" s="59" t="s">
        <v>79</v>
      </c>
      <c r="C22" s="59" t="s">
        <v>80</v>
      </c>
      <c r="D22" s="60" t="s">
        <v>59</v>
      </c>
      <c r="E22" s="59" t="s">
        <v>81</v>
      </c>
      <c r="F22" s="59" t="s">
        <v>82</v>
      </c>
      <c r="G22" s="63" t="s">
        <v>54</v>
      </c>
      <c r="H22" s="64">
        <v>2005</v>
      </c>
      <c r="I22" s="59"/>
      <c r="J22" s="59" t="s">
        <v>94</v>
      </c>
      <c r="K22" s="65" t="s">
        <v>95</v>
      </c>
      <c r="L22" s="65" t="s">
        <v>96</v>
      </c>
      <c r="M22" s="65" t="s">
        <v>55</v>
      </c>
      <c r="N22" s="59" t="s">
        <v>57</v>
      </c>
      <c r="O22" s="64">
        <v>1</v>
      </c>
      <c r="P22" s="66">
        <v>8000</v>
      </c>
      <c r="Q22" s="67"/>
      <c r="R22" s="67"/>
      <c r="S22" s="68" t="s">
        <v>16</v>
      </c>
      <c r="T22" s="56">
        <v>1</v>
      </c>
      <c r="U22" s="56">
        <v>3</v>
      </c>
      <c r="V22" s="57"/>
      <c r="W22" s="57"/>
    </row>
    <row r="23" spans="1:23" ht="28.5" customHeight="1" x14ac:dyDescent="0.35">
      <c r="A23" s="47">
        <v>7</v>
      </c>
      <c r="B23" s="59" t="s">
        <v>79</v>
      </c>
      <c r="C23" s="59" t="s">
        <v>80</v>
      </c>
      <c r="D23" s="60" t="s">
        <v>97</v>
      </c>
      <c r="E23" s="59" t="s">
        <v>81</v>
      </c>
      <c r="F23" s="59" t="s">
        <v>82</v>
      </c>
      <c r="G23" s="63" t="s">
        <v>54</v>
      </c>
      <c r="H23" s="64">
        <v>2005</v>
      </c>
      <c r="I23" s="59"/>
      <c r="J23" s="59" t="s">
        <v>98</v>
      </c>
      <c r="K23" s="65" t="s">
        <v>99</v>
      </c>
      <c r="L23" s="65" t="s">
        <v>100</v>
      </c>
      <c r="M23" s="65" t="s">
        <v>55</v>
      </c>
      <c r="N23" s="59" t="s">
        <v>57</v>
      </c>
      <c r="O23" s="64">
        <v>1</v>
      </c>
      <c r="P23" s="66">
        <v>8000</v>
      </c>
      <c r="Q23" s="67"/>
      <c r="R23" s="67"/>
      <c r="S23" s="68" t="s">
        <v>16</v>
      </c>
      <c r="T23" s="56">
        <v>1</v>
      </c>
      <c r="U23" s="56">
        <v>3</v>
      </c>
      <c r="V23" s="57"/>
      <c r="W23" s="57"/>
    </row>
    <row r="24" spans="1:23" ht="14.25" customHeight="1" thickBot="1" x14ac:dyDescent="0.4">
      <c r="A24" s="58">
        <v>8</v>
      </c>
      <c r="B24" s="59" t="s">
        <v>79</v>
      </c>
      <c r="C24" s="59" t="s">
        <v>80</v>
      </c>
      <c r="D24" s="60" t="s">
        <v>101</v>
      </c>
      <c r="E24" s="59" t="s">
        <v>81</v>
      </c>
      <c r="F24" s="59" t="s">
        <v>82</v>
      </c>
      <c r="G24" s="63" t="s">
        <v>54</v>
      </c>
      <c r="H24" s="64">
        <v>2005</v>
      </c>
      <c r="I24" s="59" t="s">
        <v>63</v>
      </c>
      <c r="J24" s="59" t="s">
        <v>102</v>
      </c>
      <c r="K24" s="65" t="s">
        <v>103</v>
      </c>
      <c r="L24" s="65" t="s">
        <v>104</v>
      </c>
      <c r="M24" s="65" t="s">
        <v>105</v>
      </c>
      <c r="N24" s="59" t="s">
        <v>57</v>
      </c>
      <c r="O24" s="64">
        <v>1</v>
      </c>
      <c r="P24" s="66">
        <v>8000</v>
      </c>
      <c r="Q24" s="67"/>
      <c r="R24" s="67"/>
      <c r="S24" s="68" t="s">
        <v>16</v>
      </c>
      <c r="T24" s="56">
        <v>1</v>
      </c>
      <c r="U24" s="56">
        <v>3</v>
      </c>
      <c r="V24" s="57"/>
      <c r="W24" s="57"/>
    </row>
    <row r="25" spans="1:23" ht="14.25" customHeight="1" x14ac:dyDescent="0.35">
      <c r="A25" s="47">
        <v>9</v>
      </c>
      <c r="B25" s="59" t="s">
        <v>79</v>
      </c>
      <c r="C25" s="59" t="s">
        <v>80</v>
      </c>
      <c r="D25" s="60" t="s">
        <v>107</v>
      </c>
      <c r="E25" s="59" t="s">
        <v>108</v>
      </c>
      <c r="F25" s="59" t="s">
        <v>88</v>
      </c>
      <c r="G25" s="63" t="s">
        <v>54</v>
      </c>
      <c r="H25" s="64">
        <v>2005</v>
      </c>
      <c r="I25" s="59"/>
      <c r="J25" s="59" t="s">
        <v>109</v>
      </c>
      <c r="K25" s="65" t="s">
        <v>110</v>
      </c>
      <c r="L25" s="65" t="s">
        <v>111</v>
      </c>
      <c r="M25" s="65" t="s">
        <v>55</v>
      </c>
      <c r="N25" s="59" t="s">
        <v>57</v>
      </c>
      <c r="O25" s="64">
        <v>1</v>
      </c>
      <c r="P25" s="66">
        <v>8000</v>
      </c>
      <c r="Q25" s="67"/>
      <c r="R25" s="67"/>
      <c r="S25" s="68" t="s">
        <v>16</v>
      </c>
      <c r="T25" s="56">
        <v>1</v>
      </c>
      <c r="U25" s="56">
        <v>3</v>
      </c>
      <c r="V25" s="57"/>
      <c r="W25" s="57"/>
    </row>
    <row r="26" spans="1:23" ht="14.25" customHeight="1" thickBot="1" x14ac:dyDescent="0.4">
      <c r="A26" s="58">
        <v>10</v>
      </c>
      <c r="B26" s="59" t="s">
        <v>79</v>
      </c>
      <c r="C26" s="59" t="s">
        <v>80</v>
      </c>
      <c r="D26" s="60" t="s">
        <v>112</v>
      </c>
      <c r="E26" s="59" t="s">
        <v>108</v>
      </c>
      <c r="F26" s="59" t="s">
        <v>88</v>
      </c>
      <c r="G26" s="63" t="s">
        <v>54</v>
      </c>
      <c r="H26" s="64">
        <v>2005</v>
      </c>
      <c r="I26" s="59"/>
      <c r="J26" s="59" t="s">
        <v>113</v>
      </c>
      <c r="K26" s="65" t="s">
        <v>114</v>
      </c>
      <c r="L26" s="65" t="s">
        <v>115</v>
      </c>
      <c r="M26" s="65" t="s">
        <v>55</v>
      </c>
      <c r="N26" s="59" t="s">
        <v>57</v>
      </c>
      <c r="O26" s="64">
        <v>1</v>
      </c>
      <c r="P26" s="66">
        <v>8000</v>
      </c>
      <c r="Q26" s="67"/>
      <c r="R26" s="67"/>
      <c r="S26" s="68" t="s">
        <v>16</v>
      </c>
      <c r="T26" s="56">
        <v>1</v>
      </c>
      <c r="U26" s="56">
        <v>3</v>
      </c>
      <c r="V26" s="57"/>
      <c r="W26" s="57"/>
    </row>
    <row r="27" spans="1:23" ht="14.25" customHeight="1" x14ac:dyDescent="0.35">
      <c r="A27" s="47">
        <v>11</v>
      </c>
      <c r="B27" s="59" t="s">
        <v>79</v>
      </c>
      <c r="C27" s="59" t="s">
        <v>80</v>
      </c>
      <c r="D27" s="60" t="s">
        <v>116</v>
      </c>
      <c r="E27" s="59" t="s">
        <v>117</v>
      </c>
      <c r="F27" s="59" t="s">
        <v>88</v>
      </c>
      <c r="G27" s="63" t="s">
        <v>54</v>
      </c>
      <c r="H27" s="64">
        <v>2005</v>
      </c>
      <c r="I27" s="59" t="s">
        <v>63</v>
      </c>
      <c r="J27" s="59" t="s">
        <v>118</v>
      </c>
      <c r="K27" s="65" t="s">
        <v>119</v>
      </c>
      <c r="L27" s="65" t="s">
        <v>120</v>
      </c>
      <c r="M27" s="65" t="s">
        <v>121</v>
      </c>
      <c r="N27" s="59" t="s">
        <v>57</v>
      </c>
      <c r="O27" s="64">
        <v>1</v>
      </c>
      <c r="P27" s="66">
        <v>8000</v>
      </c>
      <c r="Q27" s="67"/>
      <c r="R27" s="67"/>
      <c r="S27" s="68" t="s">
        <v>16</v>
      </c>
      <c r="T27" s="56">
        <v>1</v>
      </c>
      <c r="U27" s="56">
        <v>3</v>
      </c>
      <c r="V27" s="57"/>
      <c r="W27" s="57"/>
    </row>
    <row r="28" spans="1:23" ht="14.25" customHeight="1" thickBot="1" x14ac:dyDescent="0.4">
      <c r="A28" s="58">
        <v>12</v>
      </c>
      <c r="B28" s="59" t="s">
        <v>79</v>
      </c>
      <c r="C28" s="59" t="s">
        <v>80</v>
      </c>
      <c r="D28" s="60" t="s">
        <v>122</v>
      </c>
      <c r="E28" s="59" t="s">
        <v>81</v>
      </c>
      <c r="F28" s="59" t="s">
        <v>82</v>
      </c>
      <c r="G28" s="63" t="s">
        <v>54</v>
      </c>
      <c r="H28" s="64">
        <v>2005</v>
      </c>
      <c r="I28" s="59"/>
      <c r="J28" s="59" t="s">
        <v>123</v>
      </c>
      <c r="K28" s="65" t="s">
        <v>124</v>
      </c>
      <c r="L28" s="65" t="s">
        <v>125</v>
      </c>
      <c r="M28" s="65" t="s">
        <v>55</v>
      </c>
      <c r="N28" s="59" t="s">
        <v>57</v>
      </c>
      <c r="O28" s="64">
        <v>1</v>
      </c>
      <c r="P28" s="66">
        <v>8000</v>
      </c>
      <c r="Q28" s="67"/>
      <c r="R28" s="67"/>
      <c r="S28" s="68" t="s">
        <v>16</v>
      </c>
      <c r="T28" s="56">
        <v>1</v>
      </c>
      <c r="U28" s="56">
        <v>3</v>
      </c>
      <c r="V28" s="57"/>
      <c r="W28" s="57"/>
    </row>
    <row r="29" spans="1:23" ht="14.25" customHeight="1" x14ac:dyDescent="0.35">
      <c r="A29" s="47">
        <v>13</v>
      </c>
      <c r="B29" s="59" t="s">
        <v>79</v>
      </c>
      <c r="C29" s="59" t="s">
        <v>80</v>
      </c>
      <c r="D29" s="60" t="s">
        <v>126</v>
      </c>
      <c r="E29" s="59" t="s">
        <v>127</v>
      </c>
      <c r="F29" s="59" t="s">
        <v>88</v>
      </c>
      <c r="G29" s="63" t="s">
        <v>54</v>
      </c>
      <c r="H29" s="64">
        <v>2005</v>
      </c>
      <c r="I29" s="59"/>
      <c r="J29" s="59" t="s">
        <v>129</v>
      </c>
      <c r="K29" s="65" t="s">
        <v>130</v>
      </c>
      <c r="L29" s="65" t="s">
        <v>131</v>
      </c>
      <c r="M29" s="65" t="s">
        <v>55</v>
      </c>
      <c r="N29" s="59" t="s">
        <v>57</v>
      </c>
      <c r="O29" s="64">
        <v>1</v>
      </c>
      <c r="P29" s="66">
        <v>10500</v>
      </c>
      <c r="Q29" s="67"/>
      <c r="R29" s="67"/>
      <c r="S29" s="68" t="s">
        <v>16</v>
      </c>
      <c r="T29" s="56">
        <v>1</v>
      </c>
      <c r="U29" s="56">
        <v>3</v>
      </c>
      <c r="V29" s="57"/>
      <c r="W29" s="57"/>
    </row>
    <row r="30" spans="1:23" ht="14.25" customHeight="1" thickBot="1" x14ac:dyDescent="0.4">
      <c r="A30" s="58">
        <v>14</v>
      </c>
      <c r="B30" s="59" t="s">
        <v>79</v>
      </c>
      <c r="C30" s="59" t="s">
        <v>80</v>
      </c>
      <c r="D30" s="60" t="s">
        <v>132</v>
      </c>
      <c r="E30" s="59" t="s">
        <v>133</v>
      </c>
      <c r="F30" s="59">
        <v>110</v>
      </c>
      <c r="G30" s="63" t="s">
        <v>54</v>
      </c>
      <c r="H30" s="64">
        <v>2005</v>
      </c>
      <c r="I30" s="59" t="s">
        <v>63</v>
      </c>
      <c r="J30" s="59" t="s">
        <v>134</v>
      </c>
      <c r="K30" s="65" t="s">
        <v>135</v>
      </c>
      <c r="L30" s="65" t="s">
        <v>136</v>
      </c>
      <c r="M30" s="65" t="s">
        <v>77</v>
      </c>
      <c r="N30" s="59" t="s">
        <v>57</v>
      </c>
      <c r="O30" s="64">
        <v>1</v>
      </c>
      <c r="P30" s="66">
        <v>14000</v>
      </c>
      <c r="Q30" s="67"/>
      <c r="R30" s="67"/>
      <c r="S30" s="68" t="s">
        <v>16</v>
      </c>
      <c r="T30" s="56">
        <v>1</v>
      </c>
      <c r="U30" s="56">
        <v>3</v>
      </c>
      <c r="V30" s="57"/>
      <c r="W30" s="57"/>
    </row>
    <row r="31" spans="1:23" ht="14.25" customHeight="1" x14ac:dyDescent="0.35">
      <c r="A31" s="47">
        <v>15</v>
      </c>
      <c r="B31" s="59" t="s">
        <v>79</v>
      </c>
      <c r="C31" s="59" t="s">
        <v>80</v>
      </c>
      <c r="D31" s="60" t="s">
        <v>137</v>
      </c>
      <c r="E31" s="59" t="s">
        <v>138</v>
      </c>
      <c r="F31" s="59" t="s">
        <v>139</v>
      </c>
      <c r="G31" s="63" t="s">
        <v>140</v>
      </c>
      <c r="H31" s="64">
        <v>2014</v>
      </c>
      <c r="I31" s="59"/>
      <c r="J31" s="59" t="s">
        <v>141</v>
      </c>
      <c r="K31" s="65" t="s">
        <v>142</v>
      </c>
      <c r="L31" s="65" t="s">
        <v>143</v>
      </c>
      <c r="M31" s="65" t="s">
        <v>144</v>
      </c>
      <c r="N31" s="59" t="s">
        <v>57</v>
      </c>
      <c r="O31" s="64">
        <v>1</v>
      </c>
      <c r="P31" s="66">
        <v>17194</v>
      </c>
      <c r="Q31" s="67" t="s">
        <v>145</v>
      </c>
      <c r="R31" s="67"/>
      <c r="S31" s="68" t="s">
        <v>16</v>
      </c>
      <c r="T31" s="56">
        <v>1</v>
      </c>
      <c r="U31" s="56">
        <v>3</v>
      </c>
      <c r="V31" s="57"/>
      <c r="W31" s="57"/>
    </row>
    <row r="32" spans="1:23" ht="14.25" customHeight="1" thickBot="1" x14ac:dyDescent="0.4">
      <c r="A32" s="58">
        <v>16</v>
      </c>
      <c r="B32" s="59" t="s">
        <v>79</v>
      </c>
      <c r="C32" s="59" t="s">
        <v>80</v>
      </c>
      <c r="D32" s="60" t="s">
        <v>146</v>
      </c>
      <c r="E32" s="59" t="s">
        <v>147</v>
      </c>
      <c r="F32" s="59" t="s">
        <v>148</v>
      </c>
      <c r="G32" s="63" t="s">
        <v>140</v>
      </c>
      <c r="H32" s="64">
        <v>2015</v>
      </c>
      <c r="I32" s="59"/>
      <c r="J32" s="59" t="s">
        <v>149</v>
      </c>
      <c r="K32" s="65" t="s">
        <v>150</v>
      </c>
      <c r="L32" s="65" t="s">
        <v>151</v>
      </c>
      <c r="M32" s="65" t="s">
        <v>152</v>
      </c>
      <c r="N32" s="59" t="s">
        <v>57</v>
      </c>
      <c r="O32" s="64">
        <v>1</v>
      </c>
      <c r="P32" s="66">
        <v>19430</v>
      </c>
      <c r="Q32" s="67" t="s">
        <v>16</v>
      </c>
      <c r="R32" s="67"/>
      <c r="S32" s="68" t="s">
        <v>16</v>
      </c>
      <c r="T32" s="56">
        <v>1</v>
      </c>
      <c r="U32" s="56">
        <v>3</v>
      </c>
      <c r="V32" s="57"/>
      <c r="W32" s="57"/>
    </row>
    <row r="33" spans="1:23" ht="14.25" customHeight="1" x14ac:dyDescent="0.35">
      <c r="A33" s="47">
        <v>17</v>
      </c>
      <c r="B33" s="59" t="s">
        <v>79</v>
      </c>
      <c r="C33" s="59" t="s">
        <v>80</v>
      </c>
      <c r="D33" s="60" t="s">
        <v>154</v>
      </c>
      <c r="E33" s="59" t="s">
        <v>155</v>
      </c>
      <c r="F33" s="59" t="s">
        <v>156</v>
      </c>
      <c r="G33" s="63" t="s">
        <v>140</v>
      </c>
      <c r="H33" s="64">
        <v>2017</v>
      </c>
      <c r="I33" s="59" t="s">
        <v>63</v>
      </c>
      <c r="J33" s="59" t="s">
        <v>157</v>
      </c>
      <c r="K33" s="65" t="s">
        <v>158</v>
      </c>
      <c r="L33" s="65" t="s">
        <v>159</v>
      </c>
      <c r="M33" s="65" t="s">
        <v>160</v>
      </c>
      <c r="N33" s="59" t="s">
        <v>57</v>
      </c>
      <c r="O33" s="64">
        <v>1</v>
      </c>
      <c r="P33" s="66">
        <v>15252.263999999999</v>
      </c>
      <c r="Q33" s="67" t="s">
        <v>16</v>
      </c>
      <c r="R33" s="67"/>
      <c r="S33" s="68" t="s">
        <v>16</v>
      </c>
      <c r="T33" s="56">
        <v>1</v>
      </c>
      <c r="U33" s="56">
        <v>3</v>
      </c>
      <c r="V33" s="57"/>
      <c r="W33" s="57"/>
    </row>
    <row r="34" spans="1:23" ht="14.25" customHeight="1" thickBot="1" x14ac:dyDescent="0.4">
      <c r="A34" s="58">
        <v>18</v>
      </c>
      <c r="B34" s="59" t="s">
        <v>79</v>
      </c>
      <c r="C34" s="59" t="s">
        <v>80</v>
      </c>
      <c r="D34" s="60" t="s">
        <v>161</v>
      </c>
      <c r="E34" s="59" t="s">
        <v>162</v>
      </c>
      <c r="F34" s="59" t="s">
        <v>163</v>
      </c>
      <c r="G34" s="63" t="s">
        <v>140</v>
      </c>
      <c r="H34" s="64">
        <v>2018</v>
      </c>
      <c r="I34" s="59" t="s">
        <v>63</v>
      </c>
      <c r="J34" s="59" t="s">
        <v>164</v>
      </c>
      <c r="K34" s="65" t="s">
        <v>165</v>
      </c>
      <c r="L34" s="65" t="s">
        <v>166</v>
      </c>
      <c r="M34" s="65" t="s">
        <v>167</v>
      </c>
      <c r="N34" s="59" t="s">
        <v>57</v>
      </c>
      <c r="O34" s="64">
        <v>1</v>
      </c>
      <c r="P34" s="66">
        <v>15534</v>
      </c>
      <c r="Q34" s="67" t="s">
        <v>168</v>
      </c>
      <c r="R34" s="67"/>
      <c r="S34" s="68" t="s">
        <v>16</v>
      </c>
      <c r="T34" s="56">
        <v>1</v>
      </c>
      <c r="U34" s="56">
        <v>3</v>
      </c>
      <c r="V34" s="57"/>
      <c r="W34" s="57"/>
    </row>
    <row r="35" spans="1:23" ht="14.25" customHeight="1" x14ac:dyDescent="0.35">
      <c r="A35" s="47">
        <v>19</v>
      </c>
      <c r="B35" s="59" t="s">
        <v>79</v>
      </c>
      <c r="C35" s="59" t="s">
        <v>80</v>
      </c>
      <c r="D35" s="60" t="s">
        <v>169</v>
      </c>
      <c r="E35" s="59" t="s">
        <v>170</v>
      </c>
      <c r="F35" s="59" t="s">
        <v>171</v>
      </c>
      <c r="G35" s="63" t="s">
        <v>54</v>
      </c>
      <c r="H35" s="64">
        <v>2008</v>
      </c>
      <c r="I35" s="59"/>
      <c r="J35" s="59" t="s">
        <v>172</v>
      </c>
      <c r="K35" s="65" t="s">
        <v>173</v>
      </c>
      <c r="L35" s="65" t="s">
        <v>174</v>
      </c>
      <c r="M35" s="65" t="s">
        <v>175</v>
      </c>
      <c r="N35" s="59" t="s">
        <v>57</v>
      </c>
      <c r="O35" s="64">
        <v>1</v>
      </c>
      <c r="P35" s="66">
        <v>15000</v>
      </c>
      <c r="Q35" s="67"/>
      <c r="R35" s="67"/>
      <c r="S35" s="68" t="s">
        <v>16</v>
      </c>
      <c r="T35" s="56">
        <v>1</v>
      </c>
      <c r="U35" s="56">
        <v>3</v>
      </c>
      <c r="V35" s="57"/>
      <c r="W35" s="57"/>
    </row>
    <row r="36" spans="1:23" ht="14.25" customHeight="1" thickBot="1" x14ac:dyDescent="0.4">
      <c r="A36" s="58">
        <v>20</v>
      </c>
      <c r="B36" s="59" t="s">
        <v>79</v>
      </c>
      <c r="C36" s="59" t="s">
        <v>80</v>
      </c>
      <c r="D36" s="60" t="s">
        <v>176</v>
      </c>
      <c r="E36" s="59" t="s">
        <v>170</v>
      </c>
      <c r="F36" s="59" t="s">
        <v>171</v>
      </c>
      <c r="G36" s="63" t="s">
        <v>54</v>
      </c>
      <c r="H36" s="64">
        <v>2008</v>
      </c>
      <c r="I36" s="59"/>
      <c r="J36" s="59" t="s">
        <v>177</v>
      </c>
      <c r="K36" s="65" t="s">
        <v>178</v>
      </c>
      <c r="L36" s="65" t="s">
        <v>179</v>
      </c>
      <c r="M36" s="65" t="s">
        <v>180</v>
      </c>
      <c r="N36" s="59" t="s">
        <v>57</v>
      </c>
      <c r="O36" s="64">
        <v>1</v>
      </c>
      <c r="P36" s="66">
        <v>15000</v>
      </c>
      <c r="Q36" s="67"/>
      <c r="R36" s="67"/>
      <c r="S36" s="68" t="s">
        <v>16</v>
      </c>
      <c r="T36" s="56">
        <v>1</v>
      </c>
      <c r="U36" s="56">
        <v>3</v>
      </c>
      <c r="V36" s="57"/>
      <c r="W36" s="57"/>
    </row>
    <row r="37" spans="1:23" ht="14.25" customHeight="1" x14ac:dyDescent="0.35">
      <c r="A37" s="47">
        <v>21</v>
      </c>
      <c r="B37" s="59" t="s">
        <v>79</v>
      </c>
      <c r="C37" s="59" t="s">
        <v>80</v>
      </c>
      <c r="D37" s="60" t="s">
        <v>181</v>
      </c>
      <c r="E37" s="59" t="s">
        <v>170</v>
      </c>
      <c r="F37" s="59" t="s">
        <v>171</v>
      </c>
      <c r="G37" s="63" t="s">
        <v>54</v>
      </c>
      <c r="H37" s="64">
        <v>2008</v>
      </c>
      <c r="I37" s="59"/>
      <c r="J37" s="59" t="s">
        <v>183</v>
      </c>
      <c r="K37" s="65" t="s">
        <v>184</v>
      </c>
      <c r="L37" s="65" t="s">
        <v>185</v>
      </c>
      <c r="M37" s="65" t="s">
        <v>186</v>
      </c>
      <c r="N37" s="59" t="s">
        <v>57</v>
      </c>
      <c r="O37" s="64">
        <v>1</v>
      </c>
      <c r="P37" s="66">
        <v>15000</v>
      </c>
      <c r="Q37" s="67"/>
      <c r="R37" s="67"/>
      <c r="S37" s="68" t="s">
        <v>16</v>
      </c>
      <c r="T37" s="56">
        <v>1</v>
      </c>
      <c r="U37" s="56">
        <v>3</v>
      </c>
      <c r="V37" s="57"/>
      <c r="W37" s="57"/>
    </row>
    <row r="38" spans="1:23" ht="14.25" customHeight="1" thickBot="1" x14ac:dyDescent="0.4">
      <c r="A38" s="58">
        <v>22</v>
      </c>
      <c r="B38" s="59" t="s">
        <v>79</v>
      </c>
      <c r="C38" s="59" t="s">
        <v>80</v>
      </c>
      <c r="D38" s="60" t="s">
        <v>187</v>
      </c>
      <c r="E38" s="59" t="s">
        <v>170</v>
      </c>
      <c r="F38" s="59" t="s">
        <v>171</v>
      </c>
      <c r="G38" s="63" t="s">
        <v>54</v>
      </c>
      <c r="H38" s="64">
        <v>2008</v>
      </c>
      <c r="I38" s="59"/>
      <c r="J38" s="59" t="s">
        <v>188</v>
      </c>
      <c r="K38" s="65" t="s">
        <v>189</v>
      </c>
      <c r="L38" s="65" t="s">
        <v>92</v>
      </c>
      <c r="M38" s="65" t="s">
        <v>93</v>
      </c>
      <c r="N38" s="59" t="s">
        <v>57</v>
      </c>
      <c r="O38" s="64">
        <v>1</v>
      </c>
      <c r="P38" s="66">
        <v>15000</v>
      </c>
      <c r="Q38" s="67"/>
      <c r="R38" s="67"/>
      <c r="S38" s="68" t="s">
        <v>16</v>
      </c>
      <c r="T38" s="56">
        <v>1</v>
      </c>
      <c r="U38" s="56">
        <v>3</v>
      </c>
      <c r="V38" s="57"/>
      <c r="W38" s="57"/>
    </row>
    <row r="39" spans="1:23" ht="14.25" customHeight="1" x14ac:dyDescent="0.35">
      <c r="A39" s="47">
        <v>23</v>
      </c>
      <c r="B39" s="59" t="s">
        <v>79</v>
      </c>
      <c r="C39" s="59" t="s">
        <v>80</v>
      </c>
      <c r="D39" s="60" t="s">
        <v>190</v>
      </c>
      <c r="E39" s="59" t="s">
        <v>191</v>
      </c>
      <c r="F39" s="59" t="s">
        <v>88</v>
      </c>
      <c r="G39" s="63" t="s">
        <v>54</v>
      </c>
      <c r="H39" s="64">
        <v>2008</v>
      </c>
      <c r="I39" s="59"/>
      <c r="J39" s="59" t="s">
        <v>172</v>
      </c>
      <c r="K39" s="65" t="s">
        <v>173</v>
      </c>
      <c r="L39" s="65" t="s">
        <v>174</v>
      </c>
      <c r="M39" s="65" t="s">
        <v>175</v>
      </c>
      <c r="N39" s="59" t="s">
        <v>57</v>
      </c>
      <c r="O39" s="64">
        <v>1</v>
      </c>
      <c r="P39" s="66">
        <v>16950</v>
      </c>
      <c r="Q39" s="67"/>
      <c r="R39" s="67"/>
      <c r="S39" s="68" t="s">
        <v>16</v>
      </c>
      <c r="T39" s="56">
        <v>1</v>
      </c>
      <c r="U39" s="56">
        <v>3</v>
      </c>
      <c r="V39" s="57"/>
      <c r="W39" s="57"/>
    </row>
    <row r="40" spans="1:23" ht="14.25" customHeight="1" thickBot="1" x14ac:dyDescent="0.4">
      <c r="A40" s="58">
        <v>24</v>
      </c>
      <c r="B40" s="59" t="s">
        <v>79</v>
      </c>
      <c r="C40" s="59" t="s">
        <v>80</v>
      </c>
      <c r="D40" s="60" t="s">
        <v>192</v>
      </c>
      <c r="E40" s="59" t="s">
        <v>191</v>
      </c>
      <c r="F40" s="59" t="s">
        <v>88</v>
      </c>
      <c r="G40" s="63" t="s">
        <v>54</v>
      </c>
      <c r="H40" s="64">
        <v>2008</v>
      </c>
      <c r="I40" s="59"/>
      <c r="J40" s="59" t="s">
        <v>177</v>
      </c>
      <c r="K40" s="65" t="s">
        <v>178</v>
      </c>
      <c r="L40" s="65" t="s">
        <v>179</v>
      </c>
      <c r="M40" s="65" t="s">
        <v>180</v>
      </c>
      <c r="N40" s="59" t="s">
        <v>57</v>
      </c>
      <c r="O40" s="64">
        <v>1</v>
      </c>
      <c r="P40" s="66">
        <v>16950</v>
      </c>
      <c r="Q40" s="67"/>
      <c r="R40" s="67"/>
      <c r="S40" s="68" t="s">
        <v>16</v>
      </c>
      <c r="T40" s="56">
        <v>1</v>
      </c>
      <c r="U40" s="56">
        <v>3</v>
      </c>
      <c r="V40" s="57"/>
      <c r="W40" s="57"/>
    </row>
    <row r="41" spans="1:23" ht="14.25" customHeight="1" x14ac:dyDescent="0.35">
      <c r="A41" s="47">
        <v>25</v>
      </c>
      <c r="B41" s="59" t="s">
        <v>79</v>
      </c>
      <c r="C41" s="59" t="s">
        <v>80</v>
      </c>
      <c r="D41" s="60" t="s">
        <v>194</v>
      </c>
      <c r="E41" s="59" t="s">
        <v>191</v>
      </c>
      <c r="F41" s="59" t="s">
        <v>88</v>
      </c>
      <c r="G41" s="63" t="s">
        <v>54</v>
      </c>
      <c r="H41" s="64">
        <v>2008</v>
      </c>
      <c r="I41" s="59"/>
      <c r="J41" s="59" t="s">
        <v>188</v>
      </c>
      <c r="K41" s="65" t="s">
        <v>189</v>
      </c>
      <c r="L41" s="65" t="s">
        <v>92</v>
      </c>
      <c r="M41" s="65" t="s">
        <v>93</v>
      </c>
      <c r="N41" s="59" t="s">
        <v>57</v>
      </c>
      <c r="O41" s="64">
        <v>1</v>
      </c>
      <c r="P41" s="66">
        <v>16950</v>
      </c>
      <c r="Q41" s="67"/>
      <c r="R41" s="67"/>
      <c r="S41" s="68" t="s">
        <v>16</v>
      </c>
      <c r="T41" s="56">
        <v>1</v>
      </c>
      <c r="U41" s="56">
        <v>3</v>
      </c>
      <c r="V41" s="57"/>
      <c r="W41" s="57"/>
    </row>
    <row r="42" spans="1:23" ht="14.25" customHeight="1" thickBot="1" x14ac:dyDescent="0.4">
      <c r="A42" s="58">
        <v>26</v>
      </c>
      <c r="B42" s="59" t="s">
        <v>79</v>
      </c>
      <c r="C42" s="59" t="s">
        <v>80</v>
      </c>
      <c r="D42" s="60" t="s">
        <v>195</v>
      </c>
      <c r="E42" s="59" t="s">
        <v>191</v>
      </c>
      <c r="F42" s="59" t="s">
        <v>88</v>
      </c>
      <c r="G42" s="63" t="s">
        <v>54</v>
      </c>
      <c r="H42" s="64">
        <v>2008</v>
      </c>
      <c r="I42" s="59"/>
      <c r="J42" s="59" t="s">
        <v>196</v>
      </c>
      <c r="K42" s="65" t="s">
        <v>197</v>
      </c>
      <c r="L42" s="65" t="s">
        <v>198</v>
      </c>
      <c r="M42" s="65" t="s">
        <v>55</v>
      </c>
      <c r="N42" s="59" t="s">
        <v>57</v>
      </c>
      <c r="O42" s="64">
        <v>1</v>
      </c>
      <c r="P42" s="66">
        <v>16950</v>
      </c>
      <c r="Q42" s="67"/>
      <c r="R42" s="67"/>
      <c r="S42" s="68" t="s">
        <v>16</v>
      </c>
      <c r="T42" s="56">
        <v>1</v>
      </c>
      <c r="U42" s="56">
        <v>3</v>
      </c>
      <c r="V42" s="57"/>
      <c r="W42" s="57"/>
    </row>
    <row r="43" spans="1:23" ht="14.25" customHeight="1" x14ac:dyDescent="0.35">
      <c r="A43" s="47">
        <v>27</v>
      </c>
      <c r="B43" s="59" t="s">
        <v>79</v>
      </c>
      <c r="C43" s="59" t="s">
        <v>80</v>
      </c>
      <c r="D43" s="60" t="s">
        <v>199</v>
      </c>
      <c r="E43" s="59" t="s">
        <v>191</v>
      </c>
      <c r="F43" s="59">
        <v>110</v>
      </c>
      <c r="G43" s="63" t="s">
        <v>54</v>
      </c>
      <c r="H43" s="64">
        <v>2008</v>
      </c>
      <c r="I43" s="59"/>
      <c r="J43" s="59" t="s">
        <v>183</v>
      </c>
      <c r="K43" s="65" t="s">
        <v>184</v>
      </c>
      <c r="L43" s="65" t="s">
        <v>185</v>
      </c>
      <c r="M43" s="65" t="s">
        <v>186</v>
      </c>
      <c r="N43" s="59" t="s">
        <v>57</v>
      </c>
      <c r="O43" s="64">
        <v>1</v>
      </c>
      <c r="P43" s="66">
        <v>16950</v>
      </c>
      <c r="Q43" s="67"/>
      <c r="R43" s="67"/>
      <c r="S43" s="68" t="s">
        <v>16</v>
      </c>
      <c r="T43" s="56">
        <v>1</v>
      </c>
      <c r="U43" s="56">
        <v>3</v>
      </c>
      <c r="V43" s="57"/>
      <c r="W43" s="57"/>
    </row>
    <row r="44" spans="1:23" ht="14.25" customHeight="1" thickBot="1" x14ac:dyDescent="0.4">
      <c r="A44" s="58">
        <v>28</v>
      </c>
      <c r="B44" s="59" t="s">
        <v>79</v>
      </c>
      <c r="C44" s="59" t="s">
        <v>80</v>
      </c>
      <c r="D44" s="60" t="s">
        <v>200</v>
      </c>
      <c r="E44" s="59" t="s">
        <v>201</v>
      </c>
      <c r="F44" s="59" t="s">
        <v>202</v>
      </c>
      <c r="G44" s="63" t="s">
        <v>54</v>
      </c>
      <c r="H44" s="64">
        <v>2012</v>
      </c>
      <c r="I44" s="59"/>
      <c r="J44" s="59" t="s">
        <v>203</v>
      </c>
      <c r="K44" s="65" t="s">
        <v>205</v>
      </c>
      <c r="L44" s="65" t="s">
        <v>206</v>
      </c>
      <c r="M44" s="65" t="s">
        <v>207</v>
      </c>
      <c r="N44" s="59" t="s">
        <v>57</v>
      </c>
      <c r="O44" s="64">
        <v>1</v>
      </c>
      <c r="P44" s="66">
        <v>12577.55</v>
      </c>
      <c r="Q44" s="67" t="s">
        <v>208</v>
      </c>
      <c r="R44" s="67"/>
      <c r="S44" s="68" t="s">
        <v>16</v>
      </c>
      <c r="T44" s="56">
        <v>1</v>
      </c>
      <c r="U44" s="56">
        <v>3</v>
      </c>
      <c r="V44" s="57"/>
      <c r="W44" s="57"/>
    </row>
    <row r="45" spans="1:23" ht="14.25" customHeight="1" x14ac:dyDescent="0.35">
      <c r="A45" s="47">
        <v>29</v>
      </c>
      <c r="B45" s="59" t="s">
        <v>79</v>
      </c>
      <c r="C45" s="59" t="s">
        <v>80</v>
      </c>
      <c r="D45" s="60" t="s">
        <v>209</v>
      </c>
      <c r="E45" s="59" t="s">
        <v>201</v>
      </c>
      <c r="F45" s="59" t="s">
        <v>202</v>
      </c>
      <c r="G45" s="63" t="s">
        <v>54</v>
      </c>
      <c r="H45" s="64">
        <v>2012</v>
      </c>
      <c r="I45" s="59"/>
      <c r="J45" s="59" t="s">
        <v>210</v>
      </c>
      <c r="K45" s="65" t="s">
        <v>211</v>
      </c>
      <c r="L45" s="65" t="s">
        <v>212</v>
      </c>
      <c r="M45" s="65" t="s">
        <v>213</v>
      </c>
      <c r="N45" s="59" t="s">
        <v>57</v>
      </c>
      <c r="O45" s="64">
        <v>1</v>
      </c>
      <c r="P45" s="66">
        <v>12577.55</v>
      </c>
      <c r="Q45" s="67" t="s">
        <v>214</v>
      </c>
      <c r="R45" s="67"/>
      <c r="S45" s="68" t="s">
        <v>16</v>
      </c>
      <c r="T45" s="56">
        <v>1</v>
      </c>
      <c r="U45" s="56">
        <v>3</v>
      </c>
      <c r="V45" s="57"/>
      <c r="W45" s="57"/>
    </row>
    <row r="46" spans="1:23" ht="14.25" customHeight="1" thickBot="1" x14ac:dyDescent="0.4">
      <c r="A46" s="58">
        <v>30</v>
      </c>
      <c r="B46" s="59" t="s">
        <v>79</v>
      </c>
      <c r="C46" s="59" t="s">
        <v>80</v>
      </c>
      <c r="D46" s="60" t="s">
        <v>215</v>
      </c>
      <c r="E46" s="59" t="s">
        <v>216</v>
      </c>
      <c r="F46" s="59" t="s">
        <v>217</v>
      </c>
      <c r="G46" s="63" t="s">
        <v>54</v>
      </c>
      <c r="H46" s="64">
        <v>2012</v>
      </c>
      <c r="I46" s="59"/>
      <c r="J46" s="59" t="s">
        <v>218</v>
      </c>
      <c r="K46" s="65" t="s">
        <v>219</v>
      </c>
      <c r="L46" s="65" t="s">
        <v>220</v>
      </c>
      <c r="M46" s="65" t="s">
        <v>221</v>
      </c>
      <c r="N46" s="59" t="s">
        <v>57</v>
      </c>
      <c r="O46" s="64">
        <v>1</v>
      </c>
      <c r="P46" s="66">
        <v>19426.599999999999</v>
      </c>
      <c r="Q46" s="67" t="s">
        <v>222</v>
      </c>
      <c r="R46" s="67"/>
      <c r="S46" s="68" t="s">
        <v>16</v>
      </c>
      <c r="T46" s="56">
        <v>1</v>
      </c>
      <c r="U46" s="56">
        <v>3</v>
      </c>
      <c r="V46" s="57"/>
      <c r="W46" s="57"/>
    </row>
    <row r="47" spans="1:23" ht="14.25" customHeight="1" x14ac:dyDescent="0.35">
      <c r="A47" s="47">
        <v>31</v>
      </c>
      <c r="B47" s="59" t="s">
        <v>79</v>
      </c>
      <c r="C47" s="59" t="s">
        <v>80</v>
      </c>
      <c r="D47" s="60" t="s">
        <v>223</v>
      </c>
      <c r="E47" s="59" t="s">
        <v>216</v>
      </c>
      <c r="F47" s="59" t="s">
        <v>217</v>
      </c>
      <c r="G47" s="63" t="s">
        <v>54</v>
      </c>
      <c r="H47" s="64">
        <v>2012</v>
      </c>
      <c r="I47" s="59"/>
      <c r="J47" s="59" t="s">
        <v>224</v>
      </c>
      <c r="K47" s="65" t="s">
        <v>225</v>
      </c>
      <c r="L47" s="65" t="s">
        <v>226</v>
      </c>
      <c r="M47" s="65" t="s">
        <v>227</v>
      </c>
      <c r="N47" s="59" t="s">
        <v>57</v>
      </c>
      <c r="O47" s="64">
        <v>1</v>
      </c>
      <c r="P47" s="66">
        <v>19426.599999999999</v>
      </c>
      <c r="Q47" s="67" t="s">
        <v>228</v>
      </c>
      <c r="R47" s="67"/>
      <c r="S47" s="68" t="s">
        <v>16</v>
      </c>
      <c r="T47" s="56">
        <v>1</v>
      </c>
      <c r="U47" s="56">
        <v>3</v>
      </c>
      <c r="V47" s="57"/>
      <c r="W47" s="57"/>
    </row>
    <row r="48" spans="1:23" ht="14.25" customHeight="1" thickBot="1" x14ac:dyDescent="0.4">
      <c r="A48" s="58">
        <v>32</v>
      </c>
      <c r="B48" s="59" t="s">
        <v>79</v>
      </c>
      <c r="C48" s="59" t="s">
        <v>80</v>
      </c>
      <c r="D48" s="60" t="s">
        <v>229</v>
      </c>
      <c r="E48" s="59" t="s">
        <v>230</v>
      </c>
      <c r="F48" s="59" t="s">
        <v>231</v>
      </c>
      <c r="G48" s="63" t="s">
        <v>54</v>
      </c>
      <c r="H48" s="64">
        <v>2013</v>
      </c>
      <c r="I48" s="59" t="s">
        <v>63</v>
      </c>
      <c r="J48" s="59" t="s">
        <v>232</v>
      </c>
      <c r="K48" s="65" t="s">
        <v>233</v>
      </c>
      <c r="L48" s="65" t="s">
        <v>235</v>
      </c>
      <c r="M48" s="65" t="s">
        <v>236</v>
      </c>
      <c r="N48" s="59" t="s">
        <v>57</v>
      </c>
      <c r="O48" s="64">
        <v>1</v>
      </c>
      <c r="P48" s="66">
        <v>18004.099999999999</v>
      </c>
      <c r="Q48" s="67" t="s">
        <v>237</v>
      </c>
      <c r="R48" s="67"/>
      <c r="S48" s="68" t="s">
        <v>16</v>
      </c>
      <c r="T48" s="56">
        <v>1</v>
      </c>
      <c r="U48" s="56">
        <v>3</v>
      </c>
      <c r="V48" s="57"/>
      <c r="W48" s="57"/>
    </row>
    <row r="49" spans="1:23" ht="14.25" customHeight="1" x14ac:dyDescent="0.35">
      <c r="A49" s="47">
        <v>33</v>
      </c>
      <c r="B49" s="59" t="s">
        <v>79</v>
      </c>
      <c r="C49" s="59" t="s">
        <v>80</v>
      </c>
      <c r="D49" s="60" t="s">
        <v>238</v>
      </c>
      <c r="E49" s="59" t="s">
        <v>239</v>
      </c>
      <c r="F49" s="59" t="s">
        <v>148</v>
      </c>
      <c r="G49" s="63" t="s">
        <v>140</v>
      </c>
      <c r="H49" s="64">
        <v>2018</v>
      </c>
      <c r="I49" s="59" t="s">
        <v>63</v>
      </c>
      <c r="J49" s="59" t="s">
        <v>240</v>
      </c>
      <c r="K49" s="65" t="s">
        <v>241</v>
      </c>
      <c r="L49" s="65" t="s">
        <v>242</v>
      </c>
      <c r="M49" s="65" t="s">
        <v>243</v>
      </c>
      <c r="N49" s="59" t="s">
        <v>57</v>
      </c>
      <c r="O49" s="64">
        <v>1</v>
      </c>
      <c r="P49" s="66">
        <v>20234.71</v>
      </c>
      <c r="Q49" s="67" t="s">
        <v>168</v>
      </c>
      <c r="R49" s="67"/>
      <c r="S49" s="68" t="s">
        <v>16</v>
      </c>
      <c r="T49" s="56">
        <v>1</v>
      </c>
      <c r="U49" s="56">
        <v>3</v>
      </c>
      <c r="V49" s="57"/>
      <c r="W49" s="57"/>
    </row>
    <row r="50" spans="1:23" ht="14.25" customHeight="1" thickBot="1" x14ac:dyDescent="0.4">
      <c r="A50" s="58">
        <v>34</v>
      </c>
      <c r="B50" s="59" t="s">
        <v>79</v>
      </c>
      <c r="C50" s="59" t="s">
        <v>80</v>
      </c>
      <c r="D50" s="60" t="s">
        <v>244</v>
      </c>
      <c r="E50" s="59" t="s">
        <v>245</v>
      </c>
      <c r="F50" s="59" t="s">
        <v>246</v>
      </c>
      <c r="G50" s="63" t="s">
        <v>247</v>
      </c>
      <c r="H50" s="64">
        <v>2021</v>
      </c>
      <c r="I50" s="59" t="s">
        <v>63</v>
      </c>
      <c r="J50" s="59" t="s">
        <v>248</v>
      </c>
      <c r="K50" s="65" t="s">
        <v>249</v>
      </c>
      <c r="L50" s="65" t="s">
        <v>250</v>
      </c>
      <c r="M50" s="65" t="s">
        <v>251</v>
      </c>
      <c r="N50" s="59" t="s">
        <v>57</v>
      </c>
      <c r="O50" s="64">
        <v>1</v>
      </c>
      <c r="P50" s="66">
        <v>17500</v>
      </c>
      <c r="Q50" s="67" t="s">
        <v>252</v>
      </c>
      <c r="R50" s="67"/>
      <c r="S50" s="68" t="s">
        <v>16</v>
      </c>
      <c r="T50" s="56">
        <v>1</v>
      </c>
      <c r="U50" s="56">
        <v>3</v>
      </c>
      <c r="V50" s="57"/>
      <c r="W50" s="57"/>
    </row>
    <row r="51" spans="1:23" ht="14.25" customHeight="1" x14ac:dyDescent="0.35">
      <c r="A51" s="47">
        <v>35</v>
      </c>
      <c r="B51" s="59" t="s">
        <v>79</v>
      </c>
      <c r="C51" s="59" t="s">
        <v>80</v>
      </c>
      <c r="D51" s="60" t="s">
        <v>253</v>
      </c>
      <c r="E51" s="59" t="s">
        <v>245</v>
      </c>
      <c r="F51" s="59" t="s">
        <v>202</v>
      </c>
      <c r="G51" s="63" t="s">
        <v>247</v>
      </c>
      <c r="H51" s="64">
        <v>2021</v>
      </c>
      <c r="I51" s="59" t="s">
        <v>63</v>
      </c>
      <c r="J51" s="59" t="s">
        <v>254</v>
      </c>
      <c r="K51" s="65" t="s">
        <v>255</v>
      </c>
      <c r="L51" s="65" t="s">
        <v>256</v>
      </c>
      <c r="M51" s="65" t="s">
        <v>257</v>
      </c>
      <c r="N51" s="59" t="s">
        <v>57</v>
      </c>
      <c r="O51" s="64">
        <v>1</v>
      </c>
      <c r="P51" s="66">
        <v>17500</v>
      </c>
      <c r="Q51" s="67" t="s">
        <v>252</v>
      </c>
      <c r="R51" s="67"/>
      <c r="S51" s="68" t="s">
        <v>16</v>
      </c>
      <c r="T51" s="56">
        <v>1</v>
      </c>
      <c r="U51" s="56">
        <v>3</v>
      </c>
      <c r="V51" s="57"/>
      <c r="W51" s="57"/>
    </row>
    <row r="52" spans="1:23" ht="14.25" customHeight="1" thickBot="1" x14ac:dyDescent="0.4">
      <c r="A52" s="58">
        <v>36</v>
      </c>
      <c r="B52" s="59" t="s">
        <v>79</v>
      </c>
      <c r="C52" s="59" t="s">
        <v>80</v>
      </c>
      <c r="D52" s="60" t="s">
        <v>259</v>
      </c>
      <c r="E52" s="59" t="s">
        <v>245</v>
      </c>
      <c r="F52" s="59" t="s">
        <v>202</v>
      </c>
      <c r="G52" s="63" t="s">
        <v>247</v>
      </c>
      <c r="H52" s="64">
        <v>2021</v>
      </c>
      <c r="I52" s="59" t="s">
        <v>63</v>
      </c>
      <c r="J52" s="59" t="s">
        <v>260</v>
      </c>
      <c r="K52" s="65" t="s">
        <v>261</v>
      </c>
      <c r="L52" s="65" t="s">
        <v>262</v>
      </c>
      <c r="M52" s="65" t="s">
        <v>263</v>
      </c>
      <c r="N52" s="59" t="s">
        <v>57</v>
      </c>
      <c r="O52" s="64">
        <v>1</v>
      </c>
      <c r="P52" s="66">
        <v>17500</v>
      </c>
      <c r="Q52" s="67" t="s">
        <v>252</v>
      </c>
      <c r="R52" s="67"/>
      <c r="S52" s="68" t="s">
        <v>16</v>
      </c>
      <c r="T52" s="56">
        <v>1</v>
      </c>
      <c r="U52" s="56">
        <v>3</v>
      </c>
      <c r="V52" s="57"/>
      <c r="W52" s="57"/>
    </row>
    <row r="53" spans="1:23" ht="14.25" customHeight="1" x14ac:dyDescent="0.35">
      <c r="A53" s="47">
        <v>37</v>
      </c>
      <c r="B53" s="59" t="s">
        <v>79</v>
      </c>
      <c r="C53" s="59" t="s">
        <v>80</v>
      </c>
      <c r="D53" s="60" t="s">
        <v>264</v>
      </c>
      <c r="E53" s="59" t="s">
        <v>245</v>
      </c>
      <c r="F53" s="59" t="s">
        <v>202</v>
      </c>
      <c r="G53" s="63" t="s">
        <v>247</v>
      </c>
      <c r="H53" s="64">
        <v>2021</v>
      </c>
      <c r="I53" s="59" t="s">
        <v>63</v>
      </c>
      <c r="J53" s="59" t="s">
        <v>265</v>
      </c>
      <c r="K53" s="65" t="s">
        <v>266</v>
      </c>
      <c r="L53" s="65" t="s">
        <v>267</v>
      </c>
      <c r="M53" s="65" t="s">
        <v>268</v>
      </c>
      <c r="N53" s="59" t="s">
        <v>57</v>
      </c>
      <c r="O53" s="64">
        <v>1</v>
      </c>
      <c r="P53" s="66">
        <v>17500</v>
      </c>
      <c r="Q53" s="67" t="s">
        <v>252</v>
      </c>
      <c r="R53" s="67"/>
      <c r="S53" s="68" t="s">
        <v>16</v>
      </c>
      <c r="T53" s="56">
        <v>1</v>
      </c>
      <c r="U53" s="56">
        <v>3</v>
      </c>
      <c r="V53" s="57"/>
      <c r="W53" s="57"/>
    </row>
    <row r="54" spans="1:23" ht="14.25" customHeight="1" thickBot="1" x14ac:dyDescent="0.4">
      <c r="A54" s="58">
        <v>38</v>
      </c>
      <c r="B54" s="59" t="s">
        <v>79</v>
      </c>
      <c r="C54" s="59" t="s">
        <v>80</v>
      </c>
      <c r="D54" s="60" t="s">
        <v>269</v>
      </c>
      <c r="E54" s="59" t="s">
        <v>245</v>
      </c>
      <c r="F54" s="59" t="s">
        <v>202</v>
      </c>
      <c r="G54" s="63" t="s">
        <v>247</v>
      </c>
      <c r="H54" s="64">
        <v>2021</v>
      </c>
      <c r="I54" s="59" t="s">
        <v>63</v>
      </c>
      <c r="J54" s="59" t="s">
        <v>270</v>
      </c>
      <c r="K54" s="65" t="s">
        <v>271</v>
      </c>
      <c r="L54" s="65" t="s">
        <v>272</v>
      </c>
      <c r="M54" s="65" t="s">
        <v>273</v>
      </c>
      <c r="N54" s="59" t="s">
        <v>57</v>
      </c>
      <c r="O54" s="64">
        <v>1</v>
      </c>
      <c r="P54" s="66">
        <v>17500</v>
      </c>
      <c r="Q54" s="67" t="s">
        <v>252</v>
      </c>
      <c r="R54" s="67"/>
      <c r="S54" s="68" t="s">
        <v>16</v>
      </c>
      <c r="T54" s="56">
        <v>1</v>
      </c>
      <c r="U54" s="56">
        <v>3</v>
      </c>
      <c r="V54" s="57"/>
      <c r="W54" s="57"/>
    </row>
    <row r="55" spans="1:23" ht="14.25" customHeight="1" x14ac:dyDescent="0.35">
      <c r="A55" s="47">
        <v>39</v>
      </c>
      <c r="B55" s="59" t="s">
        <v>79</v>
      </c>
      <c r="C55" s="59" t="s">
        <v>80</v>
      </c>
      <c r="D55" s="60" t="s">
        <v>274</v>
      </c>
      <c r="E55" s="59" t="s">
        <v>245</v>
      </c>
      <c r="F55" s="59" t="s">
        <v>202</v>
      </c>
      <c r="G55" s="63" t="s">
        <v>247</v>
      </c>
      <c r="H55" s="64">
        <v>2021</v>
      </c>
      <c r="I55" s="59" t="s">
        <v>63</v>
      </c>
      <c r="J55" s="59" t="s">
        <v>275</v>
      </c>
      <c r="K55" s="65" t="s">
        <v>276</v>
      </c>
      <c r="L55" s="65" t="s">
        <v>277</v>
      </c>
      <c r="M55" s="65" t="s">
        <v>278</v>
      </c>
      <c r="N55" s="59" t="s">
        <v>57</v>
      </c>
      <c r="O55" s="64">
        <v>1</v>
      </c>
      <c r="P55" s="66">
        <v>17500</v>
      </c>
      <c r="Q55" s="67" t="s">
        <v>252</v>
      </c>
      <c r="R55" s="67"/>
      <c r="S55" s="68" t="s">
        <v>16</v>
      </c>
      <c r="T55" s="56">
        <v>1</v>
      </c>
      <c r="U55" s="56">
        <v>3</v>
      </c>
      <c r="V55" s="57"/>
      <c r="W55" s="57"/>
    </row>
    <row r="56" spans="1:23" ht="14.25" customHeight="1" thickBot="1" x14ac:dyDescent="0.4">
      <c r="A56" s="58">
        <v>40</v>
      </c>
      <c r="B56" s="59" t="s">
        <v>79</v>
      </c>
      <c r="C56" s="59" t="s">
        <v>279</v>
      </c>
      <c r="D56" s="60" t="s">
        <v>280</v>
      </c>
      <c r="E56" s="59" t="s">
        <v>245</v>
      </c>
      <c r="F56" s="59" t="s">
        <v>202</v>
      </c>
      <c r="G56" s="63" t="s">
        <v>247</v>
      </c>
      <c r="H56" s="64">
        <v>2021</v>
      </c>
      <c r="I56" s="59" t="s">
        <v>63</v>
      </c>
      <c r="J56" s="59" t="s">
        <v>281</v>
      </c>
      <c r="K56" s="65" t="s">
        <v>282</v>
      </c>
      <c r="L56" s="65" t="s">
        <v>284</v>
      </c>
      <c r="M56" s="65" t="s">
        <v>285</v>
      </c>
      <c r="N56" s="59" t="s">
        <v>57</v>
      </c>
      <c r="O56" s="64">
        <v>1</v>
      </c>
      <c r="P56" s="66">
        <v>17500</v>
      </c>
      <c r="Q56" s="67" t="s">
        <v>252</v>
      </c>
      <c r="R56" s="67"/>
      <c r="S56" s="68" t="s">
        <v>16</v>
      </c>
      <c r="T56" s="56">
        <v>1</v>
      </c>
      <c r="U56" s="56">
        <v>3</v>
      </c>
      <c r="V56" s="57"/>
      <c r="W56" s="57"/>
    </row>
    <row r="57" spans="1:23" ht="14.25" customHeight="1" x14ac:dyDescent="0.35">
      <c r="A57" s="47">
        <v>41</v>
      </c>
      <c r="B57" s="59" t="s">
        <v>79</v>
      </c>
      <c r="C57" s="59" t="s">
        <v>80</v>
      </c>
      <c r="D57" s="60" t="s">
        <v>286</v>
      </c>
      <c r="E57" s="59" t="s">
        <v>245</v>
      </c>
      <c r="F57" s="59" t="s">
        <v>202</v>
      </c>
      <c r="G57" s="63" t="s">
        <v>247</v>
      </c>
      <c r="H57" s="64">
        <v>2021</v>
      </c>
      <c r="I57" s="59" t="s">
        <v>63</v>
      </c>
      <c r="J57" s="59" t="s">
        <v>287</v>
      </c>
      <c r="K57" s="65" t="s">
        <v>288</v>
      </c>
      <c r="L57" s="65" t="s">
        <v>289</v>
      </c>
      <c r="M57" s="65" t="s">
        <v>290</v>
      </c>
      <c r="N57" s="59" t="s">
        <v>57</v>
      </c>
      <c r="O57" s="64">
        <v>1</v>
      </c>
      <c r="P57" s="66">
        <v>17500</v>
      </c>
      <c r="Q57" s="67" t="s">
        <v>252</v>
      </c>
      <c r="R57" s="67"/>
      <c r="S57" s="68" t="s">
        <v>16</v>
      </c>
      <c r="T57" s="56">
        <v>1</v>
      </c>
      <c r="U57" s="56">
        <v>3</v>
      </c>
      <c r="V57" s="57"/>
      <c r="W57" s="57"/>
    </row>
    <row r="58" spans="1:23" ht="14.25" customHeight="1" thickBot="1" x14ac:dyDescent="0.4">
      <c r="A58" s="58">
        <v>42</v>
      </c>
      <c r="B58" s="59" t="s">
        <v>79</v>
      </c>
      <c r="C58" s="59" t="s">
        <v>80</v>
      </c>
      <c r="D58" s="60" t="s">
        <v>291</v>
      </c>
      <c r="E58" s="59" t="s">
        <v>292</v>
      </c>
      <c r="F58" s="59" t="s">
        <v>293</v>
      </c>
      <c r="G58" s="63" t="s">
        <v>247</v>
      </c>
      <c r="H58" s="64">
        <v>2021</v>
      </c>
      <c r="I58" s="59" t="s">
        <v>63</v>
      </c>
      <c r="J58" s="59" t="s">
        <v>294</v>
      </c>
      <c r="K58" s="65" t="s">
        <v>295</v>
      </c>
      <c r="L58" s="65" t="s">
        <v>296</v>
      </c>
      <c r="M58" s="65" t="s">
        <v>297</v>
      </c>
      <c r="N58" s="59" t="s">
        <v>57</v>
      </c>
      <c r="O58" s="64">
        <v>1</v>
      </c>
      <c r="P58" s="66">
        <v>32100</v>
      </c>
      <c r="Q58" s="67" t="s">
        <v>252</v>
      </c>
      <c r="R58" s="67"/>
      <c r="S58" s="68" t="s">
        <v>16</v>
      </c>
      <c r="T58" s="56">
        <v>1</v>
      </c>
      <c r="U58" s="56">
        <v>3</v>
      </c>
      <c r="V58" s="57"/>
      <c r="W58" s="57"/>
    </row>
    <row r="59" spans="1:23" ht="14.25" customHeight="1" x14ac:dyDescent="0.35">
      <c r="A59" s="47">
        <v>43</v>
      </c>
      <c r="B59" s="59" t="s">
        <v>79</v>
      </c>
      <c r="C59" s="59" t="s">
        <v>80</v>
      </c>
      <c r="D59" s="60" t="s">
        <v>298</v>
      </c>
      <c r="E59" s="59" t="s">
        <v>299</v>
      </c>
      <c r="F59" s="59" t="s">
        <v>88</v>
      </c>
      <c r="G59" s="63" t="s">
        <v>54</v>
      </c>
      <c r="H59" s="64">
        <v>2007</v>
      </c>
      <c r="I59" s="59" t="s">
        <v>63</v>
      </c>
      <c r="J59" s="59" t="s">
        <v>300</v>
      </c>
      <c r="K59" s="65" t="s">
        <v>301</v>
      </c>
      <c r="L59" s="65" t="s">
        <v>302</v>
      </c>
      <c r="M59" s="65" t="s">
        <v>303</v>
      </c>
      <c r="N59" s="59" t="s">
        <v>57</v>
      </c>
      <c r="O59" s="64">
        <v>1</v>
      </c>
      <c r="P59" s="66">
        <v>16000</v>
      </c>
      <c r="Q59" s="67"/>
      <c r="R59" s="67"/>
      <c r="S59" s="68" t="s">
        <v>16</v>
      </c>
      <c r="T59" s="56">
        <v>1</v>
      </c>
      <c r="U59" s="56">
        <v>3</v>
      </c>
      <c r="V59" s="57"/>
      <c r="W59" s="57"/>
    </row>
    <row r="60" spans="1:23" ht="14.25" customHeight="1" thickBot="1" x14ac:dyDescent="0.4">
      <c r="A60" s="58">
        <v>44</v>
      </c>
      <c r="B60" s="59" t="s">
        <v>79</v>
      </c>
      <c r="C60" s="59" t="s">
        <v>80</v>
      </c>
      <c r="D60" s="60" t="s">
        <v>304</v>
      </c>
      <c r="E60" s="59" t="s">
        <v>299</v>
      </c>
      <c r="F60" s="59" t="s">
        <v>88</v>
      </c>
      <c r="G60" s="63" t="s">
        <v>54</v>
      </c>
      <c r="H60" s="64">
        <v>2007</v>
      </c>
      <c r="I60" s="59" t="s">
        <v>63</v>
      </c>
      <c r="J60" s="59" t="s">
        <v>305</v>
      </c>
      <c r="K60" s="65" t="s">
        <v>306</v>
      </c>
      <c r="L60" s="65" t="s">
        <v>307</v>
      </c>
      <c r="M60" s="65" t="s">
        <v>308</v>
      </c>
      <c r="N60" s="59" t="s">
        <v>57</v>
      </c>
      <c r="O60" s="64">
        <v>1</v>
      </c>
      <c r="P60" s="66">
        <v>16000</v>
      </c>
      <c r="Q60" s="67"/>
      <c r="R60" s="67"/>
      <c r="S60" s="68" t="s">
        <v>16</v>
      </c>
      <c r="T60" s="56">
        <v>1</v>
      </c>
      <c r="U60" s="56">
        <v>3</v>
      </c>
      <c r="V60" s="57"/>
      <c r="W60" s="57"/>
    </row>
    <row r="61" spans="1:23" ht="14.25" customHeight="1" x14ac:dyDescent="0.35">
      <c r="A61" s="47">
        <v>45</v>
      </c>
      <c r="B61" s="59" t="s">
        <v>79</v>
      </c>
      <c r="C61" s="59" t="s">
        <v>80</v>
      </c>
      <c r="D61" s="60" t="s">
        <v>310</v>
      </c>
      <c r="E61" s="59" t="s">
        <v>311</v>
      </c>
      <c r="F61" s="59" t="s">
        <v>312</v>
      </c>
      <c r="G61" s="63" t="s">
        <v>313</v>
      </c>
      <c r="H61" s="64">
        <v>2022</v>
      </c>
      <c r="I61" s="59"/>
      <c r="J61" s="59" t="s">
        <v>314</v>
      </c>
      <c r="K61" s="65" t="s">
        <v>315</v>
      </c>
      <c r="L61" s="65" t="s">
        <v>316</v>
      </c>
      <c r="M61" s="65" t="s">
        <v>317</v>
      </c>
      <c r="N61" s="59" t="s">
        <v>44</v>
      </c>
      <c r="O61" s="64">
        <v>1</v>
      </c>
      <c r="P61" s="66">
        <v>19234.807000000001</v>
      </c>
      <c r="Q61" s="67" t="s">
        <v>318</v>
      </c>
      <c r="R61" s="67"/>
      <c r="S61" s="68" t="s">
        <v>16</v>
      </c>
      <c r="T61" s="56">
        <v>1</v>
      </c>
      <c r="U61" s="56">
        <v>3</v>
      </c>
      <c r="V61" s="57"/>
      <c r="W61" s="57"/>
    </row>
    <row r="62" spans="1:23" ht="14.25" customHeight="1" thickBot="1" x14ac:dyDescent="0.4">
      <c r="A62" s="58">
        <v>46</v>
      </c>
      <c r="B62" s="59" t="s">
        <v>79</v>
      </c>
      <c r="C62" s="59" t="s">
        <v>80</v>
      </c>
      <c r="D62" s="60" t="s">
        <v>319</v>
      </c>
      <c r="E62" s="59" t="s">
        <v>320</v>
      </c>
      <c r="F62" s="59" t="s">
        <v>312</v>
      </c>
      <c r="G62" s="63" t="s">
        <v>62</v>
      </c>
      <c r="H62" s="64">
        <v>2022</v>
      </c>
      <c r="I62" s="59"/>
      <c r="J62" s="59" t="s">
        <v>321</v>
      </c>
      <c r="K62" s="65" t="s">
        <v>322</v>
      </c>
      <c r="L62" s="65" t="s">
        <v>323</v>
      </c>
      <c r="M62" s="65" t="s">
        <v>324</v>
      </c>
      <c r="N62" s="59" t="s">
        <v>44</v>
      </c>
      <c r="O62" s="64">
        <v>1</v>
      </c>
      <c r="P62" s="66">
        <v>19234.807000000001</v>
      </c>
      <c r="Q62" s="67" t="s">
        <v>318</v>
      </c>
      <c r="R62" s="67"/>
      <c r="S62" s="68" t="s">
        <v>16</v>
      </c>
      <c r="T62" s="56">
        <v>1</v>
      </c>
      <c r="U62" s="56">
        <v>3</v>
      </c>
      <c r="V62" s="57"/>
      <c r="W62" s="57"/>
    </row>
    <row r="63" spans="1:23" ht="14.25" customHeight="1" x14ac:dyDescent="0.35">
      <c r="A63" s="47">
        <v>47</v>
      </c>
      <c r="B63" s="59" t="s">
        <v>79</v>
      </c>
      <c r="C63" s="59" t="s">
        <v>80</v>
      </c>
      <c r="D63" s="60" t="s">
        <v>325</v>
      </c>
      <c r="E63" s="59" t="s">
        <v>326</v>
      </c>
      <c r="F63" s="59" t="s">
        <v>312</v>
      </c>
      <c r="G63" s="63" t="s">
        <v>62</v>
      </c>
      <c r="H63" s="64">
        <v>2023</v>
      </c>
      <c r="I63" s="59" t="s">
        <v>63</v>
      </c>
      <c r="J63" s="59" t="s">
        <v>327</v>
      </c>
      <c r="K63" s="65" t="s">
        <v>328</v>
      </c>
      <c r="L63" s="65" t="s">
        <v>329</v>
      </c>
      <c r="M63" s="65" t="s">
        <v>330</v>
      </c>
      <c r="N63" s="59" t="s">
        <v>44</v>
      </c>
      <c r="O63" s="64">
        <v>1</v>
      </c>
      <c r="P63" s="66">
        <v>19643</v>
      </c>
      <c r="Q63" s="67" t="s">
        <v>331</v>
      </c>
      <c r="R63" s="67"/>
      <c r="S63" s="68" t="s">
        <v>16</v>
      </c>
      <c r="T63" s="56">
        <v>1</v>
      </c>
      <c r="U63" s="56">
        <v>3</v>
      </c>
      <c r="V63" s="57"/>
      <c r="W63" s="57"/>
    </row>
    <row r="64" spans="1:23" ht="14.25" customHeight="1" thickBot="1" x14ac:dyDescent="0.4">
      <c r="A64" s="58">
        <v>48</v>
      </c>
      <c r="B64" s="59" t="s">
        <v>79</v>
      </c>
      <c r="C64" s="59" t="s">
        <v>80</v>
      </c>
      <c r="D64" s="60" t="s">
        <v>332</v>
      </c>
      <c r="E64" s="59" t="s">
        <v>326</v>
      </c>
      <c r="F64" s="59" t="s">
        <v>312</v>
      </c>
      <c r="G64" s="63" t="s">
        <v>62</v>
      </c>
      <c r="H64" s="64">
        <v>2023</v>
      </c>
      <c r="I64" s="59" t="s">
        <v>63</v>
      </c>
      <c r="J64" s="59" t="s">
        <v>334</v>
      </c>
      <c r="K64" s="65" t="s">
        <v>335</v>
      </c>
      <c r="L64" s="65" t="s">
        <v>336</v>
      </c>
      <c r="M64" s="65" t="s">
        <v>337</v>
      </c>
      <c r="N64" s="59" t="s">
        <v>44</v>
      </c>
      <c r="O64" s="64">
        <v>1</v>
      </c>
      <c r="P64" s="66">
        <v>19643</v>
      </c>
      <c r="Q64" s="67" t="s">
        <v>331</v>
      </c>
      <c r="R64" s="67"/>
      <c r="S64" s="68" t="s">
        <v>16</v>
      </c>
      <c r="T64" s="56">
        <v>1</v>
      </c>
      <c r="U64" s="56">
        <v>3</v>
      </c>
      <c r="V64" s="57"/>
      <c r="W64" s="57"/>
    </row>
    <row r="65" spans="1:23" ht="14.25" customHeight="1" x14ac:dyDescent="0.35">
      <c r="A65" s="47">
        <v>49</v>
      </c>
      <c r="B65" s="59" t="s">
        <v>79</v>
      </c>
      <c r="C65" s="59" t="s">
        <v>80</v>
      </c>
      <c r="D65" s="60" t="s">
        <v>338</v>
      </c>
      <c r="E65" s="59" t="s">
        <v>326</v>
      </c>
      <c r="F65" s="59" t="s">
        <v>312</v>
      </c>
      <c r="G65" s="63" t="s">
        <v>62</v>
      </c>
      <c r="H65" s="64">
        <v>2023</v>
      </c>
      <c r="I65" s="59" t="s">
        <v>63</v>
      </c>
      <c r="J65" s="59" t="s">
        <v>339</v>
      </c>
      <c r="K65" s="65" t="s">
        <v>340</v>
      </c>
      <c r="L65" s="65" t="s">
        <v>341</v>
      </c>
      <c r="M65" s="65" t="s">
        <v>342</v>
      </c>
      <c r="N65" s="59" t="s">
        <v>44</v>
      </c>
      <c r="O65" s="64">
        <v>1</v>
      </c>
      <c r="P65" s="66">
        <v>19643</v>
      </c>
      <c r="Q65" s="67" t="s">
        <v>331</v>
      </c>
      <c r="R65" s="67"/>
      <c r="S65" s="68" t="s">
        <v>16</v>
      </c>
      <c r="T65" s="56">
        <v>1</v>
      </c>
      <c r="U65" s="56">
        <v>3</v>
      </c>
      <c r="V65" s="57"/>
      <c r="W65" s="57"/>
    </row>
    <row r="66" spans="1:23" ht="14.25" customHeight="1" thickBot="1" x14ac:dyDescent="0.4">
      <c r="A66" s="58">
        <v>50</v>
      </c>
      <c r="B66" s="59" t="s">
        <v>79</v>
      </c>
      <c r="C66" s="59" t="s">
        <v>80</v>
      </c>
      <c r="D66" s="60" t="s">
        <v>343</v>
      </c>
      <c r="E66" s="59" t="s">
        <v>326</v>
      </c>
      <c r="F66" s="59" t="s">
        <v>312</v>
      </c>
      <c r="G66" s="63" t="s">
        <v>62</v>
      </c>
      <c r="H66" s="64">
        <v>2023</v>
      </c>
      <c r="I66" s="59" t="s">
        <v>63</v>
      </c>
      <c r="J66" s="59" t="s">
        <v>344</v>
      </c>
      <c r="K66" s="65" t="s">
        <v>345</v>
      </c>
      <c r="L66" s="65" t="s">
        <v>346</v>
      </c>
      <c r="M66" s="65" t="s">
        <v>347</v>
      </c>
      <c r="N66" s="59" t="s">
        <v>44</v>
      </c>
      <c r="O66" s="64">
        <v>1</v>
      </c>
      <c r="P66" s="66">
        <v>19643</v>
      </c>
      <c r="Q66" s="67" t="s">
        <v>331</v>
      </c>
      <c r="R66" s="67"/>
      <c r="S66" s="68" t="s">
        <v>16</v>
      </c>
      <c r="T66" s="56">
        <v>1</v>
      </c>
      <c r="U66" s="56">
        <v>3</v>
      </c>
      <c r="V66" s="57"/>
      <c r="W66" s="57"/>
    </row>
    <row r="67" spans="1:23" ht="14.25" customHeight="1" x14ac:dyDescent="0.35">
      <c r="A67" s="47">
        <v>51</v>
      </c>
      <c r="B67" s="59" t="s">
        <v>79</v>
      </c>
      <c r="C67" s="59" t="s">
        <v>80</v>
      </c>
      <c r="D67" s="60" t="s">
        <v>348</v>
      </c>
      <c r="E67" s="59" t="s">
        <v>326</v>
      </c>
      <c r="F67" s="59" t="s">
        <v>312</v>
      </c>
      <c r="G67" s="63" t="s">
        <v>62</v>
      </c>
      <c r="H67" s="64">
        <v>2023</v>
      </c>
      <c r="I67" s="59" t="s">
        <v>63</v>
      </c>
      <c r="J67" s="59" t="s">
        <v>349</v>
      </c>
      <c r="K67" s="65" t="s">
        <v>350</v>
      </c>
      <c r="L67" s="65" t="s">
        <v>351</v>
      </c>
      <c r="M67" s="65" t="s">
        <v>352</v>
      </c>
      <c r="N67" s="59" t="s">
        <v>44</v>
      </c>
      <c r="O67" s="64">
        <v>1</v>
      </c>
      <c r="P67" s="66">
        <v>19643</v>
      </c>
      <c r="Q67" s="67" t="s">
        <v>331</v>
      </c>
      <c r="R67" s="67"/>
      <c r="S67" s="68" t="s">
        <v>16</v>
      </c>
      <c r="T67" s="56">
        <v>1</v>
      </c>
      <c r="U67" s="56">
        <v>3</v>
      </c>
      <c r="V67" s="57"/>
      <c r="W67" s="57"/>
    </row>
    <row r="68" spans="1:23" ht="14.25" customHeight="1" thickBot="1" x14ac:dyDescent="0.4">
      <c r="A68" s="58">
        <v>52</v>
      </c>
      <c r="B68" s="59" t="s">
        <v>79</v>
      </c>
      <c r="C68" s="59" t="s">
        <v>80</v>
      </c>
      <c r="D68" s="60" t="s">
        <v>353</v>
      </c>
      <c r="E68" s="59" t="s">
        <v>326</v>
      </c>
      <c r="F68" s="59" t="s">
        <v>312</v>
      </c>
      <c r="G68" s="63" t="s">
        <v>62</v>
      </c>
      <c r="H68" s="64">
        <v>2023</v>
      </c>
      <c r="I68" s="59" t="s">
        <v>63</v>
      </c>
      <c r="J68" s="59" t="s">
        <v>355</v>
      </c>
      <c r="K68" s="65" t="s">
        <v>356</v>
      </c>
      <c r="L68" s="65" t="s">
        <v>357</v>
      </c>
      <c r="M68" s="65" t="s">
        <v>358</v>
      </c>
      <c r="N68" s="59" t="s">
        <v>44</v>
      </c>
      <c r="O68" s="64">
        <v>1</v>
      </c>
      <c r="P68" s="66">
        <v>19643</v>
      </c>
      <c r="Q68" s="67" t="s">
        <v>331</v>
      </c>
      <c r="R68" s="67"/>
      <c r="S68" s="68" t="s">
        <v>16</v>
      </c>
      <c r="T68" s="56">
        <v>1</v>
      </c>
      <c r="U68" s="56">
        <v>3</v>
      </c>
      <c r="V68" s="57"/>
      <c r="W68" s="57"/>
    </row>
    <row r="69" spans="1:23" ht="14.25" customHeight="1" x14ac:dyDescent="0.35">
      <c r="A69" s="47">
        <v>53</v>
      </c>
      <c r="B69" s="59" t="s">
        <v>79</v>
      </c>
      <c r="C69" s="59" t="s">
        <v>80</v>
      </c>
      <c r="D69" s="60" t="s">
        <v>359</v>
      </c>
      <c r="E69" s="59" t="s">
        <v>360</v>
      </c>
      <c r="F69" s="61" t="s">
        <v>361</v>
      </c>
      <c r="G69" s="63" t="s">
        <v>62</v>
      </c>
      <c r="H69" s="64">
        <v>2023</v>
      </c>
      <c r="I69" s="59" t="s">
        <v>63</v>
      </c>
      <c r="J69" s="59" t="s">
        <v>362</v>
      </c>
      <c r="K69" s="65" t="s">
        <v>363</v>
      </c>
      <c r="L69" s="65" t="s">
        <v>364</v>
      </c>
      <c r="M69" s="65" t="s">
        <v>365</v>
      </c>
      <c r="N69" s="59" t="s">
        <v>44</v>
      </c>
      <c r="O69" s="64">
        <v>1</v>
      </c>
      <c r="P69" s="66">
        <v>35612</v>
      </c>
      <c r="Q69" s="67" t="s">
        <v>331</v>
      </c>
      <c r="R69" s="67"/>
      <c r="S69" s="68" t="s">
        <v>16</v>
      </c>
      <c r="T69" s="56">
        <v>1</v>
      </c>
      <c r="U69" s="56">
        <v>3</v>
      </c>
      <c r="V69" s="57"/>
      <c r="W69" s="57"/>
    </row>
    <row r="70" spans="1:23" ht="14.25" customHeight="1" thickBot="1" x14ac:dyDescent="0.4">
      <c r="A70" s="58">
        <v>54</v>
      </c>
      <c r="B70" s="59" t="s">
        <v>79</v>
      </c>
      <c r="C70" s="59" t="s">
        <v>80</v>
      </c>
      <c r="D70" s="60" t="s">
        <v>366</v>
      </c>
      <c r="E70" s="59" t="s">
        <v>360</v>
      </c>
      <c r="F70" s="61" t="s">
        <v>361</v>
      </c>
      <c r="G70" s="63" t="s">
        <v>62</v>
      </c>
      <c r="H70" s="64">
        <v>2023</v>
      </c>
      <c r="I70" s="59" t="s">
        <v>63</v>
      </c>
      <c r="J70" s="59" t="s">
        <v>367</v>
      </c>
      <c r="K70" s="65" t="s">
        <v>368</v>
      </c>
      <c r="L70" s="65" t="s">
        <v>369</v>
      </c>
      <c r="M70" s="65" t="s">
        <v>370</v>
      </c>
      <c r="N70" s="59" t="s">
        <v>44</v>
      </c>
      <c r="O70" s="64">
        <v>1</v>
      </c>
      <c r="P70" s="66">
        <v>35612</v>
      </c>
      <c r="Q70" s="67" t="s">
        <v>331</v>
      </c>
      <c r="R70" s="67"/>
      <c r="S70" s="68" t="s">
        <v>16</v>
      </c>
      <c r="T70" s="56">
        <v>1</v>
      </c>
      <c r="U70" s="56">
        <v>3</v>
      </c>
      <c r="V70" s="57"/>
      <c r="W70" s="57"/>
    </row>
    <row r="71" spans="1:23" ht="14.25" customHeight="1" x14ac:dyDescent="0.35">
      <c r="A71" s="47">
        <v>55</v>
      </c>
      <c r="B71" s="59" t="s">
        <v>79</v>
      </c>
      <c r="C71" s="59" t="s">
        <v>80</v>
      </c>
      <c r="D71" s="60" t="s">
        <v>371</v>
      </c>
      <c r="E71" s="59" t="s">
        <v>360</v>
      </c>
      <c r="F71" s="61" t="s">
        <v>361</v>
      </c>
      <c r="G71" s="63" t="s">
        <v>62</v>
      </c>
      <c r="H71" s="64">
        <v>2023</v>
      </c>
      <c r="I71" s="59" t="s">
        <v>63</v>
      </c>
      <c r="J71" s="59" t="s">
        <v>372</v>
      </c>
      <c r="K71" s="65" t="s">
        <v>373</v>
      </c>
      <c r="L71" s="65" t="s">
        <v>374</v>
      </c>
      <c r="M71" s="65" t="s">
        <v>375</v>
      </c>
      <c r="N71" s="59" t="s">
        <v>44</v>
      </c>
      <c r="O71" s="64">
        <v>1</v>
      </c>
      <c r="P71" s="66">
        <v>35612</v>
      </c>
      <c r="Q71" s="67" t="s">
        <v>331</v>
      </c>
      <c r="R71" s="67"/>
      <c r="S71" s="68" t="s">
        <v>16</v>
      </c>
      <c r="T71" s="56">
        <v>1</v>
      </c>
      <c r="U71" s="56">
        <v>3</v>
      </c>
      <c r="V71" s="57"/>
      <c r="W71" s="57"/>
    </row>
    <row r="72" spans="1:23" ht="14.25" customHeight="1" thickBot="1" x14ac:dyDescent="0.4">
      <c r="A72" s="58">
        <v>56</v>
      </c>
      <c r="B72" s="59" t="s">
        <v>79</v>
      </c>
      <c r="C72" s="59" t="s">
        <v>80</v>
      </c>
      <c r="D72" s="60" t="s">
        <v>376</v>
      </c>
      <c r="E72" s="59" t="s">
        <v>360</v>
      </c>
      <c r="F72" s="61" t="s">
        <v>361</v>
      </c>
      <c r="G72" s="63" t="s">
        <v>62</v>
      </c>
      <c r="H72" s="64">
        <v>2023</v>
      </c>
      <c r="I72" s="59" t="s">
        <v>63</v>
      </c>
      <c r="J72" s="59" t="s">
        <v>378</v>
      </c>
      <c r="K72" s="65" t="s">
        <v>379</v>
      </c>
      <c r="L72" s="65" t="s">
        <v>380</v>
      </c>
      <c r="M72" s="65" t="s">
        <v>381</v>
      </c>
      <c r="N72" s="59" t="s">
        <v>44</v>
      </c>
      <c r="O72" s="64">
        <v>1</v>
      </c>
      <c r="P72" s="66">
        <v>35612</v>
      </c>
      <c r="Q72" s="67" t="s">
        <v>331</v>
      </c>
      <c r="R72" s="67"/>
      <c r="S72" s="68" t="s">
        <v>16</v>
      </c>
      <c r="T72" s="56">
        <v>1</v>
      </c>
      <c r="U72" s="56">
        <v>3</v>
      </c>
      <c r="V72" s="57"/>
      <c r="W72" s="57"/>
    </row>
    <row r="73" spans="1:23" ht="14.25" customHeight="1" x14ac:dyDescent="0.35">
      <c r="A73" s="47">
        <v>57</v>
      </c>
      <c r="B73" s="59" t="s">
        <v>79</v>
      </c>
      <c r="C73" s="59" t="s">
        <v>80</v>
      </c>
      <c r="D73" s="60" t="s">
        <v>382</v>
      </c>
      <c r="E73" s="59" t="s">
        <v>360</v>
      </c>
      <c r="F73" s="61" t="s">
        <v>361</v>
      </c>
      <c r="G73" s="63" t="s">
        <v>62</v>
      </c>
      <c r="H73" s="64">
        <v>2023</v>
      </c>
      <c r="I73" s="59" t="s">
        <v>63</v>
      </c>
      <c r="J73" s="59" t="s">
        <v>383</v>
      </c>
      <c r="K73" s="65" t="s">
        <v>384</v>
      </c>
      <c r="L73" s="65" t="s">
        <v>385</v>
      </c>
      <c r="M73" s="65" t="s">
        <v>386</v>
      </c>
      <c r="N73" s="59" t="s">
        <v>44</v>
      </c>
      <c r="O73" s="64">
        <v>1</v>
      </c>
      <c r="P73" s="66">
        <v>35612</v>
      </c>
      <c r="Q73" s="67" t="s">
        <v>331</v>
      </c>
      <c r="R73" s="67"/>
      <c r="S73" s="68" t="s">
        <v>16</v>
      </c>
      <c r="T73" s="56">
        <v>1</v>
      </c>
      <c r="U73" s="56">
        <v>3</v>
      </c>
      <c r="V73" s="57"/>
      <c r="W73" s="57"/>
    </row>
    <row r="74" spans="1:23" ht="14.25" customHeight="1" thickBot="1" x14ac:dyDescent="0.4">
      <c r="A74" s="58">
        <v>58</v>
      </c>
      <c r="B74" s="59" t="s">
        <v>79</v>
      </c>
      <c r="C74" s="59" t="s">
        <v>80</v>
      </c>
      <c r="D74" s="60" t="s">
        <v>387</v>
      </c>
      <c r="E74" s="59" t="s">
        <v>360</v>
      </c>
      <c r="F74" s="61" t="s">
        <v>361</v>
      </c>
      <c r="G74" s="63" t="s">
        <v>62</v>
      </c>
      <c r="H74" s="64">
        <v>2023</v>
      </c>
      <c r="I74" s="59" t="s">
        <v>63</v>
      </c>
      <c r="J74" s="59" t="s">
        <v>388</v>
      </c>
      <c r="K74" s="65" t="s">
        <v>389</v>
      </c>
      <c r="L74" s="65" t="s">
        <v>390</v>
      </c>
      <c r="M74" s="65" t="s">
        <v>391</v>
      </c>
      <c r="N74" s="59" t="s">
        <v>44</v>
      </c>
      <c r="O74" s="64">
        <v>1</v>
      </c>
      <c r="P74" s="66">
        <v>35612</v>
      </c>
      <c r="Q74" s="67" t="s">
        <v>331</v>
      </c>
      <c r="R74" s="67"/>
      <c r="S74" s="68" t="s">
        <v>16</v>
      </c>
      <c r="T74" s="56">
        <v>1</v>
      </c>
      <c r="U74" s="56">
        <v>3</v>
      </c>
      <c r="V74" s="57"/>
      <c r="W74" s="57"/>
    </row>
    <row r="75" spans="1:23" ht="14.25" customHeight="1" x14ac:dyDescent="0.35">
      <c r="A75" s="47">
        <v>59</v>
      </c>
      <c r="B75" s="59" t="s">
        <v>79</v>
      </c>
      <c r="C75" s="59" t="s">
        <v>80</v>
      </c>
      <c r="D75" s="60" t="s">
        <v>392</v>
      </c>
      <c r="E75" s="59" t="s">
        <v>360</v>
      </c>
      <c r="F75" s="61" t="s">
        <v>361</v>
      </c>
      <c r="G75" s="63" t="s">
        <v>62</v>
      </c>
      <c r="H75" s="64">
        <v>2023</v>
      </c>
      <c r="I75" s="59" t="s">
        <v>63</v>
      </c>
      <c r="J75" s="59" t="s">
        <v>393</v>
      </c>
      <c r="K75" s="65" t="s">
        <v>394</v>
      </c>
      <c r="L75" s="65" t="s">
        <v>395</v>
      </c>
      <c r="M75" s="65" t="s">
        <v>396</v>
      </c>
      <c r="N75" s="59" t="s">
        <v>44</v>
      </c>
      <c r="O75" s="64">
        <v>1</v>
      </c>
      <c r="P75" s="66">
        <v>35612</v>
      </c>
      <c r="Q75" s="67" t="s">
        <v>331</v>
      </c>
      <c r="R75" s="67"/>
      <c r="S75" s="68" t="s">
        <v>16</v>
      </c>
      <c r="T75" s="56">
        <v>1</v>
      </c>
      <c r="U75" s="56">
        <v>3</v>
      </c>
      <c r="V75" s="57"/>
      <c r="W75" s="57"/>
    </row>
    <row r="76" spans="1:23" ht="14.25" customHeight="1" thickBot="1" x14ac:dyDescent="0.4">
      <c r="A76" s="58">
        <v>60</v>
      </c>
      <c r="B76" s="59" t="s">
        <v>79</v>
      </c>
      <c r="C76" s="59" t="s">
        <v>80</v>
      </c>
      <c r="D76" s="60" t="s">
        <v>398</v>
      </c>
      <c r="E76" s="59" t="s">
        <v>360</v>
      </c>
      <c r="F76" s="61" t="s">
        <v>361</v>
      </c>
      <c r="G76" s="63" t="s">
        <v>62</v>
      </c>
      <c r="H76" s="64">
        <v>2023</v>
      </c>
      <c r="I76" s="59" t="s">
        <v>63</v>
      </c>
      <c r="J76" s="59" t="s">
        <v>399</v>
      </c>
      <c r="K76" s="65" t="s">
        <v>400</v>
      </c>
      <c r="L76" s="65" t="s">
        <v>401</v>
      </c>
      <c r="M76" s="65" t="s">
        <v>402</v>
      </c>
      <c r="N76" s="59" t="s">
        <v>44</v>
      </c>
      <c r="O76" s="64">
        <v>1</v>
      </c>
      <c r="P76" s="66">
        <v>35612</v>
      </c>
      <c r="Q76" s="67" t="s">
        <v>331</v>
      </c>
      <c r="R76" s="67"/>
      <c r="S76" s="68" t="s">
        <v>16</v>
      </c>
      <c r="T76" s="56">
        <v>1</v>
      </c>
      <c r="U76" s="56">
        <v>3</v>
      </c>
      <c r="V76" s="57"/>
      <c r="W76" s="57"/>
    </row>
    <row r="77" spans="1:23" ht="14.25" customHeight="1" x14ac:dyDescent="0.35">
      <c r="A77" s="47">
        <v>61</v>
      </c>
      <c r="B77" s="59" t="s">
        <v>79</v>
      </c>
      <c r="C77" s="59" t="s">
        <v>80</v>
      </c>
      <c r="D77" s="60" t="s">
        <v>403</v>
      </c>
      <c r="E77" s="59" t="s">
        <v>360</v>
      </c>
      <c r="F77" s="61" t="s">
        <v>361</v>
      </c>
      <c r="G77" s="63" t="s">
        <v>62</v>
      </c>
      <c r="H77" s="64">
        <v>2023</v>
      </c>
      <c r="I77" s="59" t="s">
        <v>63</v>
      </c>
      <c r="J77" s="59" t="s">
        <v>404</v>
      </c>
      <c r="K77" s="65" t="s">
        <v>405</v>
      </c>
      <c r="L77" s="65" t="s">
        <v>406</v>
      </c>
      <c r="M77" s="65" t="s">
        <v>407</v>
      </c>
      <c r="N77" s="59" t="s">
        <v>44</v>
      </c>
      <c r="O77" s="64">
        <v>1</v>
      </c>
      <c r="P77" s="66">
        <v>35612</v>
      </c>
      <c r="Q77" s="67" t="s">
        <v>331</v>
      </c>
      <c r="R77" s="67"/>
      <c r="S77" s="68" t="s">
        <v>16</v>
      </c>
      <c r="T77" s="56">
        <v>1</v>
      </c>
      <c r="U77" s="56">
        <v>3</v>
      </c>
      <c r="V77" s="57"/>
      <c r="W77" s="57"/>
    </row>
    <row r="78" spans="1:23" ht="14.25" customHeight="1" thickBot="1" x14ac:dyDescent="0.4">
      <c r="A78" s="58">
        <v>62</v>
      </c>
      <c r="B78" s="59" t="s">
        <v>79</v>
      </c>
      <c r="C78" s="59" t="s">
        <v>80</v>
      </c>
      <c r="D78" s="60" t="s">
        <v>408</v>
      </c>
      <c r="E78" s="59" t="s">
        <v>360</v>
      </c>
      <c r="F78" s="61" t="s">
        <v>361</v>
      </c>
      <c r="G78" s="63" t="s">
        <v>62</v>
      </c>
      <c r="H78" s="64">
        <v>2023</v>
      </c>
      <c r="I78" s="59" t="s">
        <v>63</v>
      </c>
      <c r="J78" s="59" t="s">
        <v>409</v>
      </c>
      <c r="K78" s="65" t="s">
        <v>410</v>
      </c>
      <c r="L78" s="65" t="s">
        <v>411</v>
      </c>
      <c r="M78" s="65" t="s">
        <v>412</v>
      </c>
      <c r="N78" s="59" t="s">
        <v>44</v>
      </c>
      <c r="O78" s="64">
        <v>1</v>
      </c>
      <c r="P78" s="66">
        <v>35612</v>
      </c>
      <c r="Q78" s="67" t="s">
        <v>331</v>
      </c>
      <c r="R78" s="67"/>
      <c r="S78" s="68" t="s">
        <v>16</v>
      </c>
      <c r="T78" s="56">
        <v>1</v>
      </c>
      <c r="U78" s="56">
        <v>3</v>
      </c>
      <c r="V78" s="57"/>
      <c r="W78" s="57"/>
    </row>
    <row r="79" spans="1:23" ht="14.25" customHeight="1" x14ac:dyDescent="0.35">
      <c r="A79" s="47">
        <v>63</v>
      </c>
      <c r="B79" s="59" t="s">
        <v>79</v>
      </c>
      <c r="C79" s="59" t="s">
        <v>80</v>
      </c>
      <c r="D79" s="60" t="s">
        <v>413</v>
      </c>
      <c r="E79" s="59" t="s">
        <v>414</v>
      </c>
      <c r="F79" s="59" t="s">
        <v>217</v>
      </c>
      <c r="G79" s="63" t="s">
        <v>415</v>
      </c>
      <c r="H79" s="64">
        <v>2021</v>
      </c>
      <c r="I79" s="59" t="s">
        <v>63</v>
      </c>
      <c r="J79" s="59" t="s">
        <v>63</v>
      </c>
      <c r="K79" s="65" t="s">
        <v>416</v>
      </c>
      <c r="L79" s="65" t="s">
        <v>417</v>
      </c>
      <c r="M79" s="65" t="s">
        <v>418</v>
      </c>
      <c r="N79" s="59" t="s">
        <v>57</v>
      </c>
      <c r="O79" s="64">
        <v>1</v>
      </c>
      <c r="P79" s="66">
        <v>33100</v>
      </c>
      <c r="Q79" s="67" t="s">
        <v>420</v>
      </c>
      <c r="R79" s="67"/>
      <c r="S79" s="68" t="s">
        <v>16</v>
      </c>
      <c r="T79" s="56">
        <v>1</v>
      </c>
      <c r="U79" s="56">
        <v>3</v>
      </c>
      <c r="V79" s="57"/>
      <c r="W79" s="57"/>
    </row>
    <row r="80" spans="1:23" ht="14.25" customHeight="1" thickBot="1" x14ac:dyDescent="0.4">
      <c r="A80" s="58">
        <v>64</v>
      </c>
      <c r="B80" s="69" t="s">
        <v>58</v>
      </c>
      <c r="C80" s="69" t="s">
        <v>50</v>
      </c>
      <c r="D80" s="70" t="s">
        <v>51</v>
      </c>
      <c r="E80" s="69" t="s">
        <v>421</v>
      </c>
      <c r="F80" s="69"/>
      <c r="G80" s="69" t="s">
        <v>54</v>
      </c>
      <c r="H80" s="70">
        <v>1998</v>
      </c>
      <c r="I80" s="69"/>
      <c r="J80" s="69"/>
      <c r="K80" s="71"/>
      <c r="L80" s="71"/>
      <c r="M80" s="71"/>
      <c r="N80" s="69" t="s">
        <v>422</v>
      </c>
      <c r="O80" s="64">
        <v>1</v>
      </c>
      <c r="P80" s="72">
        <v>164962</v>
      </c>
      <c r="Q80" s="69" t="s">
        <v>423</v>
      </c>
      <c r="R80" s="69"/>
      <c r="S80" s="68" t="s">
        <v>41</v>
      </c>
      <c r="T80" s="56">
        <v>2</v>
      </c>
      <c r="U80" s="56">
        <v>4</v>
      </c>
    </row>
    <row r="81" spans="1:21" ht="14.25" customHeight="1" x14ac:dyDescent="0.35">
      <c r="A81" s="47">
        <v>65</v>
      </c>
      <c r="B81" s="69" t="s">
        <v>70</v>
      </c>
      <c r="C81" s="69" t="s">
        <v>71</v>
      </c>
      <c r="D81" s="70" t="s">
        <v>97</v>
      </c>
      <c r="E81" s="69" t="s">
        <v>424</v>
      </c>
      <c r="F81" s="69" t="s">
        <v>425</v>
      </c>
      <c r="G81" s="69" t="s">
        <v>140</v>
      </c>
      <c r="H81" s="70">
        <v>2017</v>
      </c>
      <c r="I81" s="69" t="s">
        <v>63</v>
      </c>
      <c r="J81" s="69" t="s">
        <v>426</v>
      </c>
      <c r="K81" s="71" t="s">
        <v>427</v>
      </c>
      <c r="L81" s="71" t="s">
        <v>428</v>
      </c>
      <c r="M81" s="71" t="s">
        <v>429</v>
      </c>
      <c r="N81" s="69" t="s">
        <v>57</v>
      </c>
      <c r="O81" s="64">
        <v>1</v>
      </c>
      <c r="P81" s="72">
        <v>297154.625</v>
      </c>
      <c r="Q81" s="69" t="s">
        <v>41</v>
      </c>
      <c r="R81" s="69"/>
      <c r="S81" s="68" t="s">
        <v>41</v>
      </c>
      <c r="T81" s="56">
        <v>2</v>
      </c>
      <c r="U81" s="56">
        <v>4</v>
      </c>
    </row>
    <row r="82" spans="1:21" ht="14.25" customHeight="1" thickBot="1" x14ac:dyDescent="0.4">
      <c r="A82" s="58">
        <v>66</v>
      </c>
      <c r="B82" s="69" t="s">
        <v>79</v>
      </c>
      <c r="C82" s="69" t="s">
        <v>80</v>
      </c>
      <c r="D82" s="70" t="s">
        <v>51</v>
      </c>
      <c r="E82" s="69" t="s">
        <v>430</v>
      </c>
      <c r="F82" s="69"/>
      <c r="G82" s="69" t="s">
        <v>54</v>
      </c>
      <c r="H82" s="70">
        <v>2006</v>
      </c>
      <c r="I82" s="69"/>
      <c r="J82" s="69" t="s">
        <v>431</v>
      </c>
      <c r="K82" s="71" t="s">
        <v>432</v>
      </c>
      <c r="L82" s="71" t="s">
        <v>433</v>
      </c>
      <c r="M82" s="71" t="s">
        <v>434</v>
      </c>
      <c r="N82" s="69" t="s">
        <v>57</v>
      </c>
      <c r="O82" s="64">
        <v>1</v>
      </c>
      <c r="P82" s="72">
        <v>14500</v>
      </c>
      <c r="Q82" s="69" t="s">
        <v>435</v>
      </c>
      <c r="R82" s="69"/>
      <c r="S82" s="68" t="s">
        <v>41</v>
      </c>
      <c r="T82" s="56">
        <v>2</v>
      </c>
      <c r="U82" s="56">
        <v>3</v>
      </c>
    </row>
    <row r="83" spans="1:21" ht="14.25" customHeight="1" x14ac:dyDescent="0.35">
      <c r="A83" s="47">
        <v>67</v>
      </c>
      <c r="B83" s="69" t="s">
        <v>79</v>
      </c>
      <c r="C83" s="69" t="s">
        <v>80</v>
      </c>
      <c r="D83" s="70" t="s">
        <v>51</v>
      </c>
      <c r="E83" s="69" t="s">
        <v>436</v>
      </c>
      <c r="F83" s="69"/>
      <c r="G83" s="69" t="s">
        <v>54</v>
      </c>
      <c r="H83" s="70">
        <v>2006</v>
      </c>
      <c r="I83" s="69"/>
      <c r="J83" s="69" t="s">
        <v>437</v>
      </c>
      <c r="K83" s="71" t="s">
        <v>438</v>
      </c>
      <c r="L83" s="71" t="s">
        <v>439</v>
      </c>
      <c r="M83" s="71"/>
      <c r="N83" s="69" t="s">
        <v>422</v>
      </c>
      <c r="O83" s="64">
        <v>1</v>
      </c>
      <c r="P83" s="72">
        <v>11250</v>
      </c>
      <c r="Q83" s="69" t="s">
        <v>441</v>
      </c>
      <c r="R83" s="69"/>
      <c r="S83" s="68" t="s">
        <v>41</v>
      </c>
      <c r="T83" s="56">
        <v>2</v>
      </c>
      <c r="U83" s="56">
        <v>3</v>
      </c>
    </row>
    <row r="84" spans="1:21" ht="14.25" customHeight="1" thickBot="1" x14ac:dyDescent="0.4">
      <c r="A84" s="58">
        <v>68</v>
      </c>
      <c r="B84" s="69" t="s">
        <v>79</v>
      </c>
      <c r="C84" s="69" t="s">
        <v>80</v>
      </c>
      <c r="D84" s="70" t="s">
        <v>51</v>
      </c>
      <c r="E84" s="69" t="s">
        <v>442</v>
      </c>
      <c r="F84" s="69" t="s">
        <v>443</v>
      </c>
      <c r="G84" s="69" t="s">
        <v>54</v>
      </c>
      <c r="H84" s="70">
        <v>2006</v>
      </c>
      <c r="I84" s="69"/>
      <c r="J84" s="69" t="s">
        <v>444</v>
      </c>
      <c r="K84" s="71" t="s">
        <v>445</v>
      </c>
      <c r="L84" s="71" t="s">
        <v>446</v>
      </c>
      <c r="M84" s="71" t="s">
        <v>447</v>
      </c>
      <c r="N84" s="69" t="s">
        <v>57</v>
      </c>
      <c r="O84" s="64">
        <v>1</v>
      </c>
      <c r="P84" s="72">
        <v>13500</v>
      </c>
      <c r="Q84" s="69" t="s">
        <v>448</v>
      </c>
      <c r="R84" s="69"/>
      <c r="S84" s="68" t="s">
        <v>41</v>
      </c>
      <c r="T84" s="56">
        <v>2</v>
      </c>
      <c r="U84" s="56">
        <v>3</v>
      </c>
    </row>
    <row r="85" spans="1:21" ht="14.25" customHeight="1" x14ac:dyDescent="0.35">
      <c r="A85" s="47">
        <v>69</v>
      </c>
      <c r="B85" s="69" t="s">
        <v>79</v>
      </c>
      <c r="C85" s="69" t="s">
        <v>80</v>
      </c>
      <c r="D85" s="70" t="s">
        <v>51</v>
      </c>
      <c r="E85" s="69" t="s">
        <v>442</v>
      </c>
      <c r="F85" s="69" t="s">
        <v>443</v>
      </c>
      <c r="G85" s="69" t="s">
        <v>54</v>
      </c>
      <c r="H85" s="70">
        <v>2006</v>
      </c>
      <c r="I85" s="69"/>
      <c r="J85" s="69" t="s">
        <v>449</v>
      </c>
      <c r="K85" s="71" t="s">
        <v>450</v>
      </c>
      <c r="L85" s="71" t="s">
        <v>451</v>
      </c>
      <c r="M85" s="71" t="s">
        <v>452</v>
      </c>
      <c r="N85" s="69" t="s">
        <v>57</v>
      </c>
      <c r="O85" s="64">
        <v>1</v>
      </c>
      <c r="P85" s="72">
        <v>14500</v>
      </c>
      <c r="Q85" s="69" t="s">
        <v>453</v>
      </c>
      <c r="R85" s="69"/>
      <c r="S85" s="68" t="s">
        <v>41</v>
      </c>
      <c r="T85" s="56">
        <v>2</v>
      </c>
      <c r="U85" s="56">
        <v>3</v>
      </c>
    </row>
    <row r="86" spans="1:21" ht="14.25" customHeight="1" thickBot="1" x14ac:dyDescent="0.4">
      <c r="A86" s="58">
        <v>70</v>
      </c>
      <c r="B86" s="69" t="s">
        <v>79</v>
      </c>
      <c r="C86" s="69" t="s">
        <v>80</v>
      </c>
      <c r="D86" s="70" t="s">
        <v>51</v>
      </c>
      <c r="E86" s="69" t="s">
        <v>430</v>
      </c>
      <c r="F86" s="69" t="s">
        <v>82</v>
      </c>
      <c r="G86" s="69" t="s">
        <v>54</v>
      </c>
      <c r="H86" s="70">
        <v>2007</v>
      </c>
      <c r="I86" s="69"/>
      <c r="J86" s="69" t="s">
        <v>454</v>
      </c>
      <c r="K86" s="71" t="s">
        <v>455</v>
      </c>
      <c r="L86" s="71" t="s">
        <v>456</v>
      </c>
      <c r="M86" s="71" t="s">
        <v>457</v>
      </c>
      <c r="N86" s="69" t="s">
        <v>57</v>
      </c>
      <c r="O86" s="64">
        <v>1</v>
      </c>
      <c r="P86" s="72">
        <v>13500</v>
      </c>
      <c r="Q86" s="69" t="s">
        <v>458</v>
      </c>
      <c r="R86" s="69"/>
      <c r="S86" s="68" t="s">
        <v>41</v>
      </c>
      <c r="T86" s="56">
        <v>2</v>
      </c>
      <c r="U86" s="56">
        <v>3</v>
      </c>
    </row>
    <row r="87" spans="1:21" ht="14.25" customHeight="1" x14ac:dyDescent="0.35">
      <c r="A87" s="47">
        <v>71</v>
      </c>
      <c r="B87" s="69" t="s">
        <v>79</v>
      </c>
      <c r="C87" s="69" t="s">
        <v>80</v>
      </c>
      <c r="D87" s="70" t="s">
        <v>51</v>
      </c>
      <c r="E87" s="69" t="s">
        <v>459</v>
      </c>
      <c r="F87" s="69" t="s">
        <v>82</v>
      </c>
      <c r="G87" s="69" t="s">
        <v>54</v>
      </c>
      <c r="H87" s="70">
        <v>2007</v>
      </c>
      <c r="I87" s="69"/>
      <c r="J87" s="69" t="s">
        <v>460</v>
      </c>
      <c r="K87" s="71" t="s">
        <v>461</v>
      </c>
      <c r="L87" s="71" t="s">
        <v>462</v>
      </c>
      <c r="M87" s="71" t="s">
        <v>463</v>
      </c>
      <c r="N87" s="69" t="s">
        <v>57</v>
      </c>
      <c r="O87" s="64">
        <v>1</v>
      </c>
      <c r="P87" s="72">
        <v>13500</v>
      </c>
      <c r="Q87" s="69" t="s">
        <v>464</v>
      </c>
      <c r="R87" s="69"/>
      <c r="S87" s="68" t="s">
        <v>41</v>
      </c>
      <c r="T87" s="56">
        <v>2</v>
      </c>
      <c r="U87" s="56">
        <v>3</v>
      </c>
    </row>
    <row r="88" spans="1:21" ht="14.25" customHeight="1" thickBot="1" x14ac:dyDescent="0.4">
      <c r="A88" s="58">
        <v>72</v>
      </c>
      <c r="B88" s="69" t="s">
        <v>79</v>
      </c>
      <c r="C88" s="69" t="s">
        <v>80</v>
      </c>
      <c r="D88" s="70" t="s">
        <v>51</v>
      </c>
      <c r="E88" s="69" t="s">
        <v>465</v>
      </c>
      <c r="F88" s="69" t="s">
        <v>88</v>
      </c>
      <c r="G88" s="69" t="s">
        <v>54</v>
      </c>
      <c r="H88" s="70">
        <v>2013</v>
      </c>
      <c r="I88" s="69"/>
      <c r="J88" s="69" t="s">
        <v>467</v>
      </c>
      <c r="K88" s="71" t="s">
        <v>468</v>
      </c>
      <c r="L88" s="71" t="s">
        <v>469</v>
      </c>
      <c r="M88" s="71" t="s">
        <v>470</v>
      </c>
      <c r="N88" s="69" t="s">
        <v>57</v>
      </c>
      <c r="O88" s="64">
        <v>1</v>
      </c>
      <c r="P88" s="72">
        <v>15971.437</v>
      </c>
      <c r="Q88" s="69" t="s">
        <v>471</v>
      </c>
      <c r="R88" s="69"/>
      <c r="S88" s="68" t="s">
        <v>41</v>
      </c>
      <c r="T88" s="56">
        <v>2</v>
      </c>
      <c r="U88" s="56">
        <v>3</v>
      </c>
    </row>
    <row r="89" spans="1:21" ht="14.25" customHeight="1" x14ac:dyDescent="0.35">
      <c r="A89" s="47">
        <v>73</v>
      </c>
      <c r="B89" s="69" t="s">
        <v>79</v>
      </c>
      <c r="C89" s="69" t="s">
        <v>80</v>
      </c>
      <c r="D89" s="70" t="s">
        <v>51</v>
      </c>
      <c r="E89" s="69" t="s">
        <v>465</v>
      </c>
      <c r="F89" s="69" t="s">
        <v>88</v>
      </c>
      <c r="G89" s="69" t="s">
        <v>54</v>
      </c>
      <c r="H89" s="70">
        <v>2013</v>
      </c>
      <c r="I89" s="69"/>
      <c r="J89" s="69" t="s">
        <v>472</v>
      </c>
      <c r="K89" s="71" t="s">
        <v>473</v>
      </c>
      <c r="L89" s="71" t="s">
        <v>474</v>
      </c>
      <c r="M89" s="71" t="s">
        <v>475</v>
      </c>
      <c r="N89" s="69" t="s">
        <v>57</v>
      </c>
      <c r="O89" s="64">
        <v>1</v>
      </c>
      <c r="P89" s="72">
        <v>15971.437</v>
      </c>
      <c r="Q89" s="69" t="s">
        <v>476</v>
      </c>
      <c r="R89" s="69"/>
      <c r="S89" s="68" t="s">
        <v>41</v>
      </c>
      <c r="T89" s="56">
        <v>2</v>
      </c>
      <c r="U89" s="56">
        <v>3</v>
      </c>
    </row>
    <row r="90" spans="1:21" ht="14.25" customHeight="1" thickBot="1" x14ac:dyDescent="0.4">
      <c r="A90" s="58">
        <v>74</v>
      </c>
      <c r="B90" s="69" t="s">
        <v>79</v>
      </c>
      <c r="C90" s="69" t="s">
        <v>80</v>
      </c>
      <c r="D90" s="70" t="s">
        <v>51</v>
      </c>
      <c r="E90" s="69" t="s">
        <v>465</v>
      </c>
      <c r="F90" s="69" t="s">
        <v>88</v>
      </c>
      <c r="G90" s="69" t="s">
        <v>54</v>
      </c>
      <c r="H90" s="70">
        <v>2013</v>
      </c>
      <c r="I90" s="69"/>
      <c r="J90" s="69" t="s">
        <v>477</v>
      </c>
      <c r="K90" s="71" t="s">
        <v>478</v>
      </c>
      <c r="L90" s="71" t="s">
        <v>479</v>
      </c>
      <c r="M90" s="71" t="s">
        <v>480</v>
      </c>
      <c r="N90" s="69" t="s">
        <v>57</v>
      </c>
      <c r="O90" s="64">
        <v>1</v>
      </c>
      <c r="P90" s="72">
        <v>15971.437</v>
      </c>
      <c r="Q90" s="69" t="s">
        <v>481</v>
      </c>
      <c r="R90" s="69"/>
      <c r="S90" s="68" t="s">
        <v>41</v>
      </c>
      <c r="T90" s="56">
        <v>2</v>
      </c>
      <c r="U90" s="56">
        <v>3</v>
      </c>
    </row>
    <row r="91" spans="1:21" ht="14.25" customHeight="1" x14ac:dyDescent="0.35">
      <c r="A91" s="47">
        <v>75</v>
      </c>
      <c r="B91" s="69" t="s">
        <v>79</v>
      </c>
      <c r="C91" s="69" t="s">
        <v>80</v>
      </c>
      <c r="D91" s="70" t="s">
        <v>51</v>
      </c>
      <c r="E91" s="69" t="s">
        <v>482</v>
      </c>
      <c r="F91" s="69" t="s">
        <v>483</v>
      </c>
      <c r="G91" s="69" t="s">
        <v>484</v>
      </c>
      <c r="H91" s="70">
        <v>2020</v>
      </c>
      <c r="I91" s="69" t="s">
        <v>63</v>
      </c>
      <c r="J91" s="69" t="s">
        <v>485</v>
      </c>
      <c r="K91" s="71" t="s">
        <v>486</v>
      </c>
      <c r="L91" s="71" t="s">
        <v>487</v>
      </c>
      <c r="M91" s="71" t="s">
        <v>63</v>
      </c>
      <c r="N91" s="69" t="s">
        <v>57</v>
      </c>
      <c r="O91" s="64">
        <v>1</v>
      </c>
      <c r="P91" s="72">
        <v>22900</v>
      </c>
      <c r="Q91" s="69" t="s">
        <v>488</v>
      </c>
      <c r="R91" s="69"/>
      <c r="S91" s="68" t="s">
        <v>41</v>
      </c>
      <c r="T91" s="56">
        <v>2</v>
      </c>
      <c r="U91" s="56">
        <v>3</v>
      </c>
    </row>
    <row r="92" spans="1:21" ht="14.25" customHeight="1" thickBot="1" x14ac:dyDescent="0.4">
      <c r="A92" s="58">
        <v>76</v>
      </c>
      <c r="B92" s="69" t="s">
        <v>79</v>
      </c>
      <c r="C92" s="69" t="s">
        <v>80</v>
      </c>
      <c r="D92" s="70" t="s">
        <v>59</v>
      </c>
      <c r="E92" s="69" t="s">
        <v>489</v>
      </c>
      <c r="F92" s="69" t="s">
        <v>443</v>
      </c>
      <c r="G92" s="69" t="s">
        <v>54</v>
      </c>
      <c r="H92" s="70">
        <v>2006</v>
      </c>
      <c r="I92" s="69"/>
      <c r="J92" s="69" t="s">
        <v>490</v>
      </c>
      <c r="K92" s="71" t="s">
        <v>491</v>
      </c>
      <c r="L92" s="71" t="s">
        <v>492</v>
      </c>
      <c r="M92" s="71" t="s">
        <v>493</v>
      </c>
      <c r="N92" s="69" t="s">
        <v>57</v>
      </c>
      <c r="O92" s="64">
        <v>1</v>
      </c>
      <c r="P92" s="72">
        <v>14500</v>
      </c>
      <c r="Q92" s="69" t="s">
        <v>494</v>
      </c>
      <c r="R92" s="69"/>
      <c r="S92" s="68" t="s">
        <v>41</v>
      </c>
      <c r="T92" s="56">
        <v>2</v>
      </c>
      <c r="U92" s="56">
        <v>3</v>
      </c>
    </row>
    <row r="93" spans="1:21" ht="14.25" customHeight="1" x14ac:dyDescent="0.35">
      <c r="A93" s="47">
        <v>77</v>
      </c>
      <c r="B93" s="69" t="s">
        <v>79</v>
      </c>
      <c r="C93" s="69" t="s">
        <v>80</v>
      </c>
      <c r="D93" s="70" t="s">
        <v>59</v>
      </c>
      <c r="E93" s="69" t="s">
        <v>496</v>
      </c>
      <c r="F93" s="69"/>
      <c r="G93" s="69" t="s">
        <v>54</v>
      </c>
      <c r="H93" s="70">
        <v>2006</v>
      </c>
      <c r="I93" s="69"/>
      <c r="J93" s="69" t="s">
        <v>497</v>
      </c>
      <c r="K93" s="71" t="s">
        <v>498</v>
      </c>
      <c r="L93" s="71"/>
      <c r="M93" s="71"/>
      <c r="N93" s="69" t="s">
        <v>422</v>
      </c>
      <c r="O93" s="64">
        <v>1</v>
      </c>
      <c r="P93" s="72">
        <v>14500</v>
      </c>
      <c r="Q93" s="69" t="s">
        <v>499</v>
      </c>
      <c r="R93" s="69"/>
      <c r="S93" s="68" t="s">
        <v>41</v>
      </c>
      <c r="T93" s="56">
        <v>2</v>
      </c>
      <c r="U93" s="56">
        <v>3</v>
      </c>
    </row>
    <row r="94" spans="1:21" ht="14.25" customHeight="1" thickBot="1" x14ac:dyDescent="0.4">
      <c r="A94" s="58">
        <v>78</v>
      </c>
      <c r="B94" s="69" t="s">
        <v>79</v>
      </c>
      <c r="C94" s="69" t="s">
        <v>80</v>
      </c>
      <c r="D94" s="70" t="s">
        <v>59</v>
      </c>
      <c r="E94" s="69" t="s">
        <v>496</v>
      </c>
      <c r="F94" s="69" t="s">
        <v>82</v>
      </c>
      <c r="G94" s="69" t="s">
        <v>54</v>
      </c>
      <c r="H94" s="70">
        <v>2006</v>
      </c>
      <c r="I94" s="69"/>
      <c r="J94" s="69" t="s">
        <v>500</v>
      </c>
      <c r="K94" s="71" t="s">
        <v>501</v>
      </c>
      <c r="L94" s="71" t="s">
        <v>502</v>
      </c>
      <c r="M94" s="71" t="s">
        <v>503</v>
      </c>
      <c r="N94" s="69" t="s">
        <v>422</v>
      </c>
      <c r="O94" s="64">
        <v>1</v>
      </c>
      <c r="P94" s="72">
        <v>14500</v>
      </c>
      <c r="Q94" s="69" t="s">
        <v>504</v>
      </c>
      <c r="R94" s="69"/>
      <c r="S94" s="68" t="s">
        <v>41</v>
      </c>
      <c r="T94" s="56">
        <v>2</v>
      </c>
      <c r="U94" s="56">
        <v>3</v>
      </c>
    </row>
    <row r="95" spans="1:21" ht="14.25" customHeight="1" x14ac:dyDescent="0.35">
      <c r="A95" s="47">
        <v>79</v>
      </c>
      <c r="B95" s="69" t="s">
        <v>79</v>
      </c>
      <c r="C95" s="69" t="s">
        <v>80</v>
      </c>
      <c r="D95" s="70" t="s">
        <v>59</v>
      </c>
      <c r="E95" s="69" t="s">
        <v>430</v>
      </c>
      <c r="F95" s="69" t="s">
        <v>82</v>
      </c>
      <c r="G95" s="69" t="s">
        <v>54</v>
      </c>
      <c r="H95" s="70">
        <v>2006</v>
      </c>
      <c r="I95" s="69"/>
      <c r="J95" s="69" t="s">
        <v>505</v>
      </c>
      <c r="K95" s="71" t="s">
        <v>506</v>
      </c>
      <c r="L95" s="71" t="s">
        <v>507</v>
      </c>
      <c r="M95" s="71" t="s">
        <v>508</v>
      </c>
      <c r="N95" s="69" t="s">
        <v>57</v>
      </c>
      <c r="O95" s="64">
        <v>1</v>
      </c>
      <c r="P95" s="72">
        <v>13500</v>
      </c>
      <c r="Q95" s="69" t="s">
        <v>509</v>
      </c>
      <c r="R95" s="69"/>
      <c r="S95" s="68" t="s">
        <v>41</v>
      </c>
      <c r="T95" s="56">
        <v>2</v>
      </c>
      <c r="U95" s="56">
        <v>3</v>
      </c>
    </row>
    <row r="96" spans="1:21" ht="14.25" customHeight="1" thickBot="1" x14ac:dyDescent="0.4">
      <c r="A96" s="58">
        <v>80</v>
      </c>
      <c r="B96" s="69" t="s">
        <v>79</v>
      </c>
      <c r="C96" s="69" t="s">
        <v>80</v>
      </c>
      <c r="D96" s="70" t="s">
        <v>59</v>
      </c>
      <c r="E96" s="69" t="s">
        <v>430</v>
      </c>
      <c r="F96" s="69" t="s">
        <v>82</v>
      </c>
      <c r="G96" s="69" t="s">
        <v>54</v>
      </c>
      <c r="H96" s="70">
        <v>2007</v>
      </c>
      <c r="I96" s="69"/>
      <c r="J96" s="69" t="s">
        <v>510</v>
      </c>
      <c r="K96" s="71" t="s">
        <v>511</v>
      </c>
      <c r="L96" s="71" t="s">
        <v>512</v>
      </c>
      <c r="M96" s="71" t="s">
        <v>513</v>
      </c>
      <c r="N96" s="69" t="s">
        <v>57</v>
      </c>
      <c r="O96" s="64">
        <v>1</v>
      </c>
      <c r="P96" s="72">
        <v>13500</v>
      </c>
      <c r="Q96" s="69" t="s">
        <v>514</v>
      </c>
      <c r="R96" s="69"/>
      <c r="S96" s="68" t="s">
        <v>41</v>
      </c>
      <c r="T96" s="56">
        <v>2</v>
      </c>
      <c r="U96" s="56">
        <v>3</v>
      </c>
    </row>
    <row r="97" spans="1:21" ht="14.25" customHeight="1" x14ac:dyDescent="0.35">
      <c r="A97" s="47">
        <v>81</v>
      </c>
      <c r="B97" s="69" t="s">
        <v>79</v>
      </c>
      <c r="C97" s="69" t="s">
        <v>80</v>
      </c>
      <c r="D97" s="70" t="s">
        <v>59</v>
      </c>
      <c r="E97" s="69" t="s">
        <v>430</v>
      </c>
      <c r="F97" s="69" t="s">
        <v>82</v>
      </c>
      <c r="G97" s="69" t="s">
        <v>54</v>
      </c>
      <c r="H97" s="70">
        <v>2007</v>
      </c>
      <c r="I97" s="69"/>
      <c r="J97" s="69" t="s">
        <v>516</v>
      </c>
      <c r="K97" s="71" t="s">
        <v>517</v>
      </c>
      <c r="L97" s="71" t="s">
        <v>518</v>
      </c>
      <c r="M97" s="71" t="s">
        <v>519</v>
      </c>
      <c r="N97" s="69" t="s">
        <v>57</v>
      </c>
      <c r="O97" s="64">
        <v>1</v>
      </c>
      <c r="P97" s="72">
        <v>11750</v>
      </c>
      <c r="Q97" s="69" t="s">
        <v>520</v>
      </c>
      <c r="R97" s="69"/>
      <c r="S97" s="68" t="s">
        <v>41</v>
      </c>
      <c r="T97" s="56">
        <v>2</v>
      </c>
      <c r="U97" s="56">
        <v>3</v>
      </c>
    </row>
    <row r="98" spans="1:21" ht="14.25" customHeight="1" thickBot="1" x14ac:dyDescent="0.4">
      <c r="A98" s="58">
        <v>82</v>
      </c>
      <c r="B98" s="69" t="s">
        <v>79</v>
      </c>
      <c r="C98" s="69" t="s">
        <v>80</v>
      </c>
      <c r="D98" s="70" t="s">
        <v>59</v>
      </c>
      <c r="E98" s="69" t="s">
        <v>459</v>
      </c>
      <c r="F98" s="69" t="s">
        <v>82</v>
      </c>
      <c r="G98" s="69" t="s">
        <v>54</v>
      </c>
      <c r="H98" s="70">
        <v>2007</v>
      </c>
      <c r="I98" s="69"/>
      <c r="J98" s="69" t="s">
        <v>521</v>
      </c>
      <c r="K98" s="71" t="s">
        <v>522</v>
      </c>
      <c r="L98" s="71" t="s">
        <v>523</v>
      </c>
      <c r="M98" s="71" t="s">
        <v>524</v>
      </c>
      <c r="N98" s="69" t="s">
        <v>57</v>
      </c>
      <c r="O98" s="64">
        <v>1</v>
      </c>
      <c r="P98" s="72">
        <v>13500</v>
      </c>
      <c r="Q98" s="69" t="s">
        <v>525</v>
      </c>
      <c r="R98" s="69"/>
      <c r="S98" s="68" t="s">
        <v>41</v>
      </c>
      <c r="T98" s="56">
        <v>2</v>
      </c>
      <c r="U98" s="56">
        <v>3</v>
      </c>
    </row>
    <row r="99" spans="1:21" ht="14.25" customHeight="1" x14ac:dyDescent="0.35">
      <c r="A99" s="47">
        <v>83</v>
      </c>
      <c r="B99" s="69" t="s">
        <v>79</v>
      </c>
      <c r="C99" s="69" t="s">
        <v>80</v>
      </c>
      <c r="D99" s="70" t="s">
        <v>59</v>
      </c>
      <c r="E99" s="69" t="s">
        <v>430</v>
      </c>
      <c r="F99" s="69" t="s">
        <v>82</v>
      </c>
      <c r="G99" s="69" t="s">
        <v>54</v>
      </c>
      <c r="H99" s="70">
        <v>2007</v>
      </c>
      <c r="I99" s="69"/>
      <c r="J99" s="69" t="s">
        <v>526</v>
      </c>
      <c r="K99" s="71" t="s">
        <v>527</v>
      </c>
      <c r="L99" s="71" t="s">
        <v>528</v>
      </c>
      <c r="M99" s="71" t="s">
        <v>529</v>
      </c>
      <c r="N99" s="69" t="s">
        <v>57</v>
      </c>
      <c r="O99" s="64">
        <v>1</v>
      </c>
      <c r="P99" s="72">
        <v>13500</v>
      </c>
      <c r="Q99" s="69" t="s">
        <v>530</v>
      </c>
      <c r="R99" s="69"/>
      <c r="S99" s="68" t="s">
        <v>41</v>
      </c>
      <c r="T99" s="56">
        <v>2</v>
      </c>
      <c r="U99" s="56">
        <v>3</v>
      </c>
    </row>
    <row r="100" spans="1:21" ht="14.25" customHeight="1" thickBot="1" x14ac:dyDescent="0.4">
      <c r="A100" s="58">
        <v>84</v>
      </c>
      <c r="B100" s="69" t="s">
        <v>79</v>
      </c>
      <c r="C100" s="69" t="s">
        <v>80</v>
      </c>
      <c r="D100" s="70" t="s">
        <v>59</v>
      </c>
      <c r="E100" s="69" t="s">
        <v>531</v>
      </c>
      <c r="F100" s="69" t="s">
        <v>443</v>
      </c>
      <c r="G100" s="69" t="s">
        <v>54</v>
      </c>
      <c r="H100" s="70">
        <v>2010</v>
      </c>
      <c r="I100" s="69"/>
      <c r="J100" s="69" t="s">
        <v>532</v>
      </c>
      <c r="K100" s="71" t="s">
        <v>533</v>
      </c>
      <c r="L100" s="71" t="s">
        <v>534</v>
      </c>
      <c r="M100" s="71" t="s">
        <v>535</v>
      </c>
      <c r="N100" s="69" t="s">
        <v>57</v>
      </c>
      <c r="O100" s="64">
        <v>1</v>
      </c>
      <c r="P100" s="72">
        <v>13350</v>
      </c>
      <c r="Q100" s="69" t="s">
        <v>536</v>
      </c>
      <c r="R100" s="69"/>
      <c r="S100" s="68" t="s">
        <v>41</v>
      </c>
      <c r="T100" s="56">
        <v>2</v>
      </c>
      <c r="U100" s="56">
        <v>3</v>
      </c>
    </row>
    <row r="101" spans="1:21" ht="14.25" customHeight="1" x14ac:dyDescent="0.35">
      <c r="A101" s="47">
        <v>85</v>
      </c>
      <c r="B101" s="69" t="s">
        <v>79</v>
      </c>
      <c r="C101" s="69" t="s">
        <v>80</v>
      </c>
      <c r="D101" s="70" t="s">
        <v>59</v>
      </c>
      <c r="E101" s="69" t="s">
        <v>531</v>
      </c>
      <c r="F101" s="69" t="s">
        <v>443</v>
      </c>
      <c r="G101" s="69" t="s">
        <v>54</v>
      </c>
      <c r="H101" s="70">
        <v>2010</v>
      </c>
      <c r="I101" s="69"/>
      <c r="J101" s="69" t="s">
        <v>537</v>
      </c>
      <c r="K101" s="71" t="s">
        <v>538</v>
      </c>
      <c r="L101" s="71" t="s">
        <v>539</v>
      </c>
      <c r="M101" s="71" t="s">
        <v>540</v>
      </c>
      <c r="N101" s="69" t="s">
        <v>57</v>
      </c>
      <c r="O101" s="64">
        <v>1</v>
      </c>
      <c r="P101" s="72">
        <v>13350</v>
      </c>
      <c r="Q101" s="69" t="s">
        <v>541</v>
      </c>
      <c r="R101" s="69"/>
      <c r="S101" s="68" t="s">
        <v>41</v>
      </c>
      <c r="T101" s="56">
        <v>2</v>
      </c>
      <c r="U101" s="56">
        <v>3</v>
      </c>
    </row>
    <row r="102" spans="1:21" ht="14.25" customHeight="1" thickBot="1" x14ac:dyDescent="0.4">
      <c r="A102" s="58">
        <v>86</v>
      </c>
      <c r="B102" s="69" t="s">
        <v>79</v>
      </c>
      <c r="C102" s="69" t="s">
        <v>80</v>
      </c>
      <c r="D102" s="70" t="s">
        <v>59</v>
      </c>
      <c r="E102" s="69" t="s">
        <v>531</v>
      </c>
      <c r="F102" s="69" t="s">
        <v>443</v>
      </c>
      <c r="G102" s="69" t="s">
        <v>54</v>
      </c>
      <c r="H102" s="70">
        <v>2010</v>
      </c>
      <c r="I102" s="69"/>
      <c r="J102" s="69" t="s">
        <v>543</v>
      </c>
      <c r="K102" s="71" t="s">
        <v>544</v>
      </c>
      <c r="L102" s="71" t="s">
        <v>545</v>
      </c>
      <c r="M102" s="71" t="s">
        <v>546</v>
      </c>
      <c r="N102" s="69" t="s">
        <v>57</v>
      </c>
      <c r="O102" s="64">
        <v>1</v>
      </c>
      <c r="P102" s="72">
        <v>13350</v>
      </c>
      <c r="Q102" s="69" t="s">
        <v>547</v>
      </c>
      <c r="R102" s="69"/>
      <c r="S102" s="68" t="s">
        <v>41</v>
      </c>
      <c r="T102" s="56">
        <v>2</v>
      </c>
      <c r="U102" s="56">
        <v>3</v>
      </c>
    </row>
    <row r="103" spans="1:21" ht="14.25" customHeight="1" x14ac:dyDescent="0.35">
      <c r="A103" s="47">
        <v>87</v>
      </c>
      <c r="B103" s="69" t="s">
        <v>79</v>
      </c>
      <c r="C103" s="69" t="s">
        <v>80</v>
      </c>
      <c r="D103" s="70" t="s">
        <v>59</v>
      </c>
      <c r="E103" s="69" t="s">
        <v>465</v>
      </c>
      <c r="F103" s="69" t="s">
        <v>88</v>
      </c>
      <c r="G103" s="69" t="s">
        <v>54</v>
      </c>
      <c r="H103" s="70">
        <v>2013</v>
      </c>
      <c r="I103" s="69"/>
      <c r="J103" s="69" t="s">
        <v>548</v>
      </c>
      <c r="K103" s="71" t="s">
        <v>549</v>
      </c>
      <c r="L103" s="71" t="s">
        <v>550</v>
      </c>
      <c r="M103" s="71" t="s">
        <v>551</v>
      </c>
      <c r="N103" s="69" t="s">
        <v>57</v>
      </c>
      <c r="O103" s="64">
        <v>1</v>
      </c>
      <c r="P103" s="72">
        <v>15971.437</v>
      </c>
      <c r="Q103" s="69" t="s">
        <v>552</v>
      </c>
      <c r="R103" s="69"/>
      <c r="S103" s="68" t="s">
        <v>41</v>
      </c>
      <c r="T103" s="56">
        <v>2</v>
      </c>
      <c r="U103" s="56">
        <v>3</v>
      </c>
    </row>
    <row r="104" spans="1:21" ht="14.25" customHeight="1" thickBot="1" x14ac:dyDescent="0.4">
      <c r="A104" s="58">
        <v>88</v>
      </c>
      <c r="B104" s="69" t="s">
        <v>79</v>
      </c>
      <c r="C104" s="69" t="s">
        <v>80</v>
      </c>
      <c r="D104" s="70" t="s">
        <v>59</v>
      </c>
      <c r="E104" s="73" t="s">
        <v>482</v>
      </c>
      <c r="F104" s="73" t="s">
        <v>483</v>
      </c>
      <c r="G104" s="73" t="s">
        <v>553</v>
      </c>
      <c r="H104" s="74">
        <v>2020</v>
      </c>
      <c r="I104" s="73" t="s">
        <v>63</v>
      </c>
      <c r="J104" s="73" t="s">
        <v>554</v>
      </c>
      <c r="K104" s="73" t="s">
        <v>555</v>
      </c>
      <c r="L104" s="73" t="s">
        <v>487</v>
      </c>
      <c r="M104" s="73" t="s">
        <v>63</v>
      </c>
      <c r="N104" s="73" t="s">
        <v>57</v>
      </c>
      <c r="O104" s="75">
        <v>1</v>
      </c>
      <c r="P104" s="76">
        <v>22900</v>
      </c>
      <c r="Q104" s="73" t="s">
        <v>488</v>
      </c>
      <c r="R104" s="73"/>
      <c r="S104" s="77" t="s">
        <v>41</v>
      </c>
      <c r="T104" s="56">
        <v>2</v>
      </c>
      <c r="U104" s="56">
        <v>3</v>
      </c>
    </row>
    <row r="105" spans="1:21" ht="14.25" customHeight="1" x14ac:dyDescent="0.35">
      <c r="A105" s="47">
        <v>89</v>
      </c>
      <c r="B105" s="69" t="s">
        <v>79</v>
      </c>
      <c r="C105" s="69" t="s">
        <v>80</v>
      </c>
      <c r="D105" s="70" t="s">
        <v>97</v>
      </c>
      <c r="E105" s="69" t="s">
        <v>556</v>
      </c>
      <c r="F105" s="69" t="s">
        <v>443</v>
      </c>
      <c r="G105" s="69" t="s">
        <v>54</v>
      </c>
      <c r="H105" s="70">
        <v>2006</v>
      </c>
      <c r="I105" s="69"/>
      <c r="J105" s="69" t="s">
        <v>557</v>
      </c>
      <c r="K105" s="71" t="s">
        <v>558</v>
      </c>
      <c r="L105" s="71" t="s">
        <v>559</v>
      </c>
      <c r="M105" s="71" t="s">
        <v>560</v>
      </c>
      <c r="N105" s="69" t="s">
        <v>57</v>
      </c>
      <c r="O105" s="64">
        <v>1</v>
      </c>
      <c r="P105" s="72">
        <v>14500</v>
      </c>
      <c r="Q105" s="69" t="s">
        <v>562</v>
      </c>
      <c r="R105" s="69"/>
      <c r="S105" s="68" t="s">
        <v>41</v>
      </c>
      <c r="T105" s="56">
        <v>2</v>
      </c>
      <c r="U105" s="56">
        <v>3</v>
      </c>
    </row>
    <row r="106" spans="1:21" ht="14.25" customHeight="1" thickBot="1" x14ac:dyDescent="0.4">
      <c r="A106" s="58">
        <v>90</v>
      </c>
      <c r="B106" s="69" t="s">
        <v>79</v>
      </c>
      <c r="C106" s="69" t="s">
        <v>80</v>
      </c>
      <c r="D106" s="70" t="s">
        <v>97</v>
      </c>
      <c r="E106" s="69" t="s">
        <v>563</v>
      </c>
      <c r="F106" s="69" t="s">
        <v>443</v>
      </c>
      <c r="G106" s="69" t="s">
        <v>54</v>
      </c>
      <c r="H106" s="70">
        <v>2006</v>
      </c>
      <c r="I106" s="69"/>
      <c r="J106" s="69" t="s">
        <v>490</v>
      </c>
      <c r="K106" s="71" t="s">
        <v>491</v>
      </c>
      <c r="L106" s="71" t="s">
        <v>564</v>
      </c>
      <c r="M106" s="71" t="s">
        <v>565</v>
      </c>
      <c r="N106" s="69" t="s">
        <v>57</v>
      </c>
      <c r="O106" s="64">
        <v>1</v>
      </c>
      <c r="P106" s="72">
        <v>14500</v>
      </c>
      <c r="Q106" s="69" t="s">
        <v>566</v>
      </c>
      <c r="R106" s="69"/>
      <c r="S106" s="68" t="s">
        <v>41</v>
      </c>
      <c r="T106" s="56">
        <v>2</v>
      </c>
      <c r="U106" s="56">
        <v>3</v>
      </c>
    </row>
    <row r="107" spans="1:21" ht="14.25" customHeight="1" x14ac:dyDescent="0.35">
      <c r="A107" s="47">
        <v>91</v>
      </c>
      <c r="B107" s="69" t="s">
        <v>79</v>
      </c>
      <c r="C107" s="69" t="s">
        <v>80</v>
      </c>
      <c r="D107" s="70" t="s">
        <v>97</v>
      </c>
      <c r="E107" s="69" t="s">
        <v>567</v>
      </c>
      <c r="F107" s="69" t="s">
        <v>443</v>
      </c>
      <c r="G107" s="69" t="s">
        <v>54</v>
      </c>
      <c r="H107" s="70">
        <v>2006</v>
      </c>
      <c r="I107" s="69"/>
      <c r="J107" s="69" t="s">
        <v>568</v>
      </c>
      <c r="K107" s="71" t="s">
        <v>569</v>
      </c>
      <c r="L107" s="71" t="s">
        <v>570</v>
      </c>
      <c r="M107" s="71" t="s">
        <v>571</v>
      </c>
      <c r="N107" s="69" t="s">
        <v>57</v>
      </c>
      <c r="O107" s="64">
        <v>1</v>
      </c>
      <c r="P107" s="72">
        <v>14500</v>
      </c>
      <c r="Q107" s="69" t="s">
        <v>572</v>
      </c>
      <c r="R107" s="69"/>
      <c r="S107" s="68" t="s">
        <v>41</v>
      </c>
      <c r="T107" s="56">
        <v>2</v>
      </c>
      <c r="U107" s="56">
        <v>3</v>
      </c>
    </row>
    <row r="108" spans="1:21" ht="14.25" customHeight="1" thickBot="1" x14ac:dyDescent="0.4">
      <c r="A108" s="58">
        <v>92</v>
      </c>
      <c r="B108" s="69" t="s">
        <v>79</v>
      </c>
      <c r="C108" s="69" t="s">
        <v>80</v>
      </c>
      <c r="D108" s="70" t="s">
        <v>97</v>
      </c>
      <c r="E108" s="69" t="s">
        <v>430</v>
      </c>
      <c r="F108" s="69" t="s">
        <v>82</v>
      </c>
      <c r="G108" s="69" t="s">
        <v>54</v>
      </c>
      <c r="H108" s="70">
        <v>2006</v>
      </c>
      <c r="I108" s="69"/>
      <c r="J108" s="69" t="s">
        <v>573</v>
      </c>
      <c r="K108" s="71" t="s">
        <v>574</v>
      </c>
      <c r="L108" s="71" t="s">
        <v>575</v>
      </c>
      <c r="M108" s="71" t="s">
        <v>576</v>
      </c>
      <c r="N108" s="69" t="s">
        <v>57</v>
      </c>
      <c r="O108" s="64">
        <v>1</v>
      </c>
      <c r="P108" s="72">
        <v>13500</v>
      </c>
      <c r="Q108" s="69" t="s">
        <v>577</v>
      </c>
      <c r="R108" s="69"/>
      <c r="S108" s="68" t="s">
        <v>41</v>
      </c>
      <c r="T108" s="56">
        <v>2</v>
      </c>
      <c r="U108" s="56">
        <v>3</v>
      </c>
    </row>
    <row r="109" spans="1:21" ht="14.25" customHeight="1" x14ac:dyDescent="0.35">
      <c r="A109" s="47">
        <v>93</v>
      </c>
      <c r="B109" s="69" t="s">
        <v>79</v>
      </c>
      <c r="C109" s="69" t="s">
        <v>80</v>
      </c>
      <c r="D109" s="70" t="s">
        <v>97</v>
      </c>
      <c r="E109" s="69" t="s">
        <v>430</v>
      </c>
      <c r="F109" s="69" t="s">
        <v>82</v>
      </c>
      <c r="G109" s="69" t="s">
        <v>54</v>
      </c>
      <c r="H109" s="70">
        <v>2007</v>
      </c>
      <c r="I109" s="69"/>
      <c r="J109" s="69" t="s">
        <v>578</v>
      </c>
      <c r="K109" s="71" t="s">
        <v>579</v>
      </c>
      <c r="L109" s="71" t="s">
        <v>581</v>
      </c>
      <c r="M109" s="71" t="s">
        <v>582</v>
      </c>
      <c r="N109" s="69" t="s">
        <v>57</v>
      </c>
      <c r="O109" s="64">
        <v>1</v>
      </c>
      <c r="P109" s="72">
        <v>13500</v>
      </c>
      <c r="Q109" s="69" t="s">
        <v>583</v>
      </c>
      <c r="R109" s="69"/>
      <c r="S109" s="68" t="s">
        <v>41</v>
      </c>
      <c r="T109" s="56">
        <v>2</v>
      </c>
      <c r="U109" s="56">
        <v>3</v>
      </c>
    </row>
    <row r="110" spans="1:21" ht="14.25" customHeight="1" thickBot="1" x14ac:dyDescent="0.4">
      <c r="A110" s="58">
        <v>94</v>
      </c>
      <c r="B110" s="69" t="s">
        <v>79</v>
      </c>
      <c r="C110" s="69" t="s">
        <v>80</v>
      </c>
      <c r="D110" s="70" t="s">
        <v>97</v>
      </c>
      <c r="E110" s="69" t="s">
        <v>430</v>
      </c>
      <c r="F110" s="69" t="s">
        <v>82</v>
      </c>
      <c r="G110" s="69" t="s">
        <v>54</v>
      </c>
      <c r="H110" s="70">
        <v>2007</v>
      </c>
      <c r="I110" s="69"/>
      <c r="J110" s="69" t="s">
        <v>584</v>
      </c>
      <c r="K110" s="71" t="s">
        <v>585</v>
      </c>
      <c r="L110" s="71" t="s">
        <v>586</v>
      </c>
      <c r="M110" s="71" t="s">
        <v>587</v>
      </c>
      <c r="N110" s="69" t="s">
        <v>57</v>
      </c>
      <c r="O110" s="64">
        <v>1</v>
      </c>
      <c r="P110" s="72">
        <v>13500</v>
      </c>
      <c r="Q110" s="69" t="s">
        <v>588</v>
      </c>
      <c r="R110" s="69"/>
      <c r="S110" s="68" t="s">
        <v>41</v>
      </c>
      <c r="T110" s="56">
        <v>2</v>
      </c>
      <c r="U110" s="56">
        <v>3</v>
      </c>
    </row>
    <row r="111" spans="1:21" ht="14.25" customHeight="1" x14ac:dyDescent="0.35">
      <c r="A111" s="47">
        <v>95</v>
      </c>
      <c r="B111" s="69" t="s">
        <v>79</v>
      </c>
      <c r="C111" s="69" t="s">
        <v>80</v>
      </c>
      <c r="D111" s="70" t="s">
        <v>97</v>
      </c>
      <c r="E111" s="69" t="s">
        <v>459</v>
      </c>
      <c r="F111" s="69" t="s">
        <v>82</v>
      </c>
      <c r="G111" s="69" t="s">
        <v>54</v>
      </c>
      <c r="H111" s="70">
        <v>2007</v>
      </c>
      <c r="I111" s="69"/>
      <c r="J111" s="69" t="s">
        <v>589</v>
      </c>
      <c r="K111" s="71" t="s">
        <v>590</v>
      </c>
      <c r="L111" s="71" t="s">
        <v>591</v>
      </c>
      <c r="M111" s="71" t="s">
        <v>592</v>
      </c>
      <c r="N111" s="69" t="s">
        <v>57</v>
      </c>
      <c r="O111" s="64">
        <v>1</v>
      </c>
      <c r="P111" s="72">
        <v>13500</v>
      </c>
      <c r="Q111" s="69" t="s">
        <v>593</v>
      </c>
      <c r="R111" s="69"/>
      <c r="S111" s="68" t="s">
        <v>41</v>
      </c>
      <c r="T111" s="56">
        <v>2</v>
      </c>
      <c r="U111" s="56">
        <v>3</v>
      </c>
    </row>
    <row r="112" spans="1:21" ht="14.25" customHeight="1" thickBot="1" x14ac:dyDescent="0.4">
      <c r="A112" s="58">
        <v>96</v>
      </c>
      <c r="B112" s="69" t="s">
        <v>79</v>
      </c>
      <c r="C112" s="69" t="s">
        <v>80</v>
      </c>
      <c r="D112" s="70" t="s">
        <v>97</v>
      </c>
      <c r="E112" s="69" t="s">
        <v>594</v>
      </c>
      <c r="F112" s="69"/>
      <c r="G112" s="69" t="s">
        <v>54</v>
      </c>
      <c r="H112" s="70">
        <v>2008</v>
      </c>
      <c r="I112" s="69"/>
      <c r="J112" s="69" t="s">
        <v>595</v>
      </c>
      <c r="K112" s="71" t="s">
        <v>596</v>
      </c>
      <c r="L112" s="71" t="s">
        <v>597</v>
      </c>
      <c r="M112" s="71" t="s">
        <v>598</v>
      </c>
      <c r="N112" s="69" t="s">
        <v>57</v>
      </c>
      <c r="O112" s="64">
        <v>1</v>
      </c>
      <c r="P112" s="72">
        <v>15650</v>
      </c>
      <c r="Q112" s="69" t="s">
        <v>599</v>
      </c>
      <c r="R112" s="69"/>
      <c r="S112" s="68" t="s">
        <v>41</v>
      </c>
      <c r="T112" s="56">
        <v>2</v>
      </c>
      <c r="U112" s="56">
        <v>3</v>
      </c>
    </row>
    <row r="113" spans="1:21" ht="14.25" customHeight="1" x14ac:dyDescent="0.35">
      <c r="A113" s="47">
        <v>97</v>
      </c>
      <c r="B113" s="69" t="s">
        <v>79</v>
      </c>
      <c r="C113" s="69" t="s">
        <v>80</v>
      </c>
      <c r="D113" s="70" t="s">
        <v>97</v>
      </c>
      <c r="E113" s="69" t="s">
        <v>531</v>
      </c>
      <c r="F113" s="69" t="s">
        <v>443</v>
      </c>
      <c r="G113" s="69" t="s">
        <v>54</v>
      </c>
      <c r="H113" s="70">
        <v>2010</v>
      </c>
      <c r="I113" s="69"/>
      <c r="J113" s="69" t="s">
        <v>600</v>
      </c>
      <c r="K113" s="71" t="s">
        <v>601</v>
      </c>
      <c r="L113" s="71" t="s">
        <v>602</v>
      </c>
      <c r="M113" s="71" t="s">
        <v>603</v>
      </c>
      <c r="N113" s="69" t="s">
        <v>57</v>
      </c>
      <c r="O113" s="64">
        <v>1</v>
      </c>
      <c r="P113" s="72">
        <v>13350</v>
      </c>
      <c r="Q113" s="69" t="s">
        <v>604</v>
      </c>
      <c r="R113" s="69"/>
      <c r="S113" s="68" t="s">
        <v>41</v>
      </c>
      <c r="T113" s="56">
        <v>2</v>
      </c>
      <c r="U113" s="56">
        <v>3</v>
      </c>
    </row>
    <row r="114" spans="1:21" ht="14.25" customHeight="1" thickBot="1" x14ac:dyDescent="0.4">
      <c r="A114" s="58">
        <v>98</v>
      </c>
      <c r="B114" s="69" t="s">
        <v>79</v>
      </c>
      <c r="C114" s="69" t="s">
        <v>80</v>
      </c>
      <c r="D114" s="70" t="s">
        <v>97</v>
      </c>
      <c r="E114" s="69" t="s">
        <v>465</v>
      </c>
      <c r="F114" s="69" t="s">
        <v>88</v>
      </c>
      <c r="G114" s="69" t="s">
        <v>54</v>
      </c>
      <c r="H114" s="70">
        <v>2013</v>
      </c>
      <c r="I114" s="69"/>
      <c r="J114" s="69" t="s">
        <v>606</v>
      </c>
      <c r="K114" s="71" t="s">
        <v>607</v>
      </c>
      <c r="L114" s="71" t="s">
        <v>608</v>
      </c>
      <c r="M114" s="71" t="s">
        <v>609</v>
      </c>
      <c r="N114" s="69" t="s">
        <v>57</v>
      </c>
      <c r="O114" s="64">
        <v>1</v>
      </c>
      <c r="P114" s="72">
        <v>15971.437</v>
      </c>
      <c r="Q114" s="69" t="s">
        <v>610</v>
      </c>
      <c r="R114" s="69"/>
      <c r="S114" s="68" t="s">
        <v>41</v>
      </c>
      <c r="T114" s="56">
        <v>2</v>
      </c>
      <c r="U114" s="56">
        <v>3</v>
      </c>
    </row>
    <row r="115" spans="1:21" ht="14.25" customHeight="1" x14ac:dyDescent="0.35">
      <c r="A115" s="47">
        <v>99</v>
      </c>
      <c r="B115" s="69" t="s">
        <v>79</v>
      </c>
      <c r="C115" s="69" t="s">
        <v>80</v>
      </c>
      <c r="D115" s="70" t="s">
        <v>97</v>
      </c>
      <c r="E115" s="69" t="s">
        <v>482</v>
      </c>
      <c r="F115" s="69" t="s">
        <v>483</v>
      </c>
      <c r="G115" s="69" t="s">
        <v>484</v>
      </c>
      <c r="H115" s="70">
        <v>2020</v>
      </c>
      <c r="I115" s="69" t="s">
        <v>63</v>
      </c>
      <c r="J115" s="69" t="s">
        <v>611</v>
      </c>
      <c r="K115" s="71" t="s">
        <v>612</v>
      </c>
      <c r="L115" s="71" t="s">
        <v>487</v>
      </c>
      <c r="M115" s="71" t="s">
        <v>63</v>
      </c>
      <c r="N115" s="69" t="s">
        <v>57</v>
      </c>
      <c r="O115" s="64">
        <v>1</v>
      </c>
      <c r="P115" s="72">
        <v>22900</v>
      </c>
      <c r="Q115" s="69" t="s">
        <v>488</v>
      </c>
      <c r="R115" s="69"/>
      <c r="S115" s="68" t="s">
        <v>41</v>
      </c>
      <c r="T115" s="56">
        <v>2</v>
      </c>
      <c r="U115" s="56">
        <v>3</v>
      </c>
    </row>
    <row r="116" spans="1:21" ht="14.25" customHeight="1" thickBot="1" x14ac:dyDescent="0.4">
      <c r="A116" s="58">
        <v>100</v>
      </c>
      <c r="B116" s="69" t="s">
        <v>79</v>
      </c>
      <c r="C116" s="69" t="s">
        <v>80</v>
      </c>
      <c r="D116" s="70" t="s">
        <v>101</v>
      </c>
      <c r="E116" s="69" t="s">
        <v>489</v>
      </c>
      <c r="F116" s="69" t="s">
        <v>443</v>
      </c>
      <c r="G116" s="69" t="s">
        <v>54</v>
      </c>
      <c r="H116" s="70">
        <v>2006</v>
      </c>
      <c r="I116" s="69"/>
      <c r="J116" s="69" t="s">
        <v>613</v>
      </c>
      <c r="K116" s="71" t="s">
        <v>614</v>
      </c>
      <c r="L116" s="71" t="s">
        <v>615</v>
      </c>
      <c r="M116" s="71" t="s">
        <v>616</v>
      </c>
      <c r="N116" s="69" t="s">
        <v>57</v>
      </c>
      <c r="O116" s="64">
        <v>1</v>
      </c>
      <c r="P116" s="72">
        <v>14500</v>
      </c>
      <c r="Q116" s="69" t="s">
        <v>617</v>
      </c>
      <c r="R116" s="69"/>
      <c r="S116" s="68" t="s">
        <v>41</v>
      </c>
      <c r="T116" s="56">
        <v>2</v>
      </c>
      <c r="U116" s="56">
        <v>3</v>
      </c>
    </row>
    <row r="117" spans="1:21" ht="14.25" customHeight="1" x14ac:dyDescent="0.35">
      <c r="A117" s="47">
        <v>101</v>
      </c>
      <c r="B117" s="69" t="s">
        <v>79</v>
      </c>
      <c r="C117" s="69" t="s">
        <v>80</v>
      </c>
      <c r="D117" s="70" t="s">
        <v>101</v>
      </c>
      <c r="E117" s="69" t="s">
        <v>430</v>
      </c>
      <c r="F117" s="69" t="s">
        <v>82</v>
      </c>
      <c r="G117" s="69" t="s">
        <v>54</v>
      </c>
      <c r="H117" s="70">
        <v>2006</v>
      </c>
      <c r="I117" s="69"/>
      <c r="J117" s="69" t="s">
        <v>618</v>
      </c>
      <c r="K117" s="71" t="s">
        <v>619</v>
      </c>
      <c r="L117" s="71" t="s">
        <v>439</v>
      </c>
      <c r="M117" s="71" t="s">
        <v>619</v>
      </c>
      <c r="N117" s="69" t="s">
        <v>57</v>
      </c>
      <c r="O117" s="64">
        <v>1</v>
      </c>
      <c r="P117" s="72">
        <v>13500</v>
      </c>
      <c r="Q117" s="69" t="s">
        <v>620</v>
      </c>
      <c r="R117" s="69"/>
      <c r="S117" s="68" t="s">
        <v>41</v>
      </c>
      <c r="T117" s="56">
        <v>2</v>
      </c>
      <c r="U117" s="56">
        <v>3</v>
      </c>
    </row>
    <row r="118" spans="1:21" ht="14.25" customHeight="1" thickBot="1" x14ac:dyDescent="0.4">
      <c r="A118" s="58">
        <v>102</v>
      </c>
      <c r="B118" s="69" t="s">
        <v>79</v>
      </c>
      <c r="C118" s="69" t="s">
        <v>80</v>
      </c>
      <c r="D118" s="70" t="s">
        <v>101</v>
      </c>
      <c r="E118" s="69" t="s">
        <v>430</v>
      </c>
      <c r="F118" s="69" t="s">
        <v>82</v>
      </c>
      <c r="G118" s="69" t="s">
        <v>54</v>
      </c>
      <c r="H118" s="70">
        <v>2007</v>
      </c>
      <c r="I118" s="69"/>
      <c r="J118" s="69" t="s">
        <v>622</v>
      </c>
      <c r="K118" s="71" t="s">
        <v>623</v>
      </c>
      <c r="L118" s="71" t="s">
        <v>624</v>
      </c>
      <c r="M118" s="71" t="s">
        <v>625</v>
      </c>
      <c r="N118" s="69" t="s">
        <v>57</v>
      </c>
      <c r="O118" s="64">
        <v>1</v>
      </c>
      <c r="P118" s="72">
        <v>13500</v>
      </c>
      <c r="Q118" s="69" t="s">
        <v>626</v>
      </c>
      <c r="R118" s="69"/>
      <c r="S118" s="68" t="s">
        <v>41</v>
      </c>
      <c r="T118" s="56">
        <v>2</v>
      </c>
      <c r="U118" s="56">
        <v>3</v>
      </c>
    </row>
    <row r="119" spans="1:21" ht="14.25" customHeight="1" x14ac:dyDescent="0.35">
      <c r="A119" s="47">
        <v>103</v>
      </c>
      <c r="B119" s="69" t="s">
        <v>79</v>
      </c>
      <c r="C119" s="69" t="s">
        <v>80</v>
      </c>
      <c r="D119" s="70" t="s">
        <v>101</v>
      </c>
      <c r="E119" s="69" t="s">
        <v>430</v>
      </c>
      <c r="F119" s="69" t="s">
        <v>82</v>
      </c>
      <c r="G119" s="69" t="s">
        <v>54</v>
      </c>
      <c r="H119" s="70">
        <v>2007</v>
      </c>
      <c r="I119" s="69"/>
      <c r="J119" s="69" t="s">
        <v>627</v>
      </c>
      <c r="K119" s="71" t="s">
        <v>628</v>
      </c>
      <c r="L119" s="71" t="s">
        <v>629</v>
      </c>
      <c r="M119" s="71" t="s">
        <v>630</v>
      </c>
      <c r="N119" s="69" t="s">
        <v>57</v>
      </c>
      <c r="O119" s="64">
        <v>1</v>
      </c>
      <c r="P119" s="72">
        <v>13500</v>
      </c>
      <c r="Q119" s="69" t="s">
        <v>631</v>
      </c>
      <c r="R119" s="69"/>
      <c r="S119" s="68" t="s">
        <v>41</v>
      </c>
      <c r="T119" s="56">
        <v>2</v>
      </c>
      <c r="U119" s="56">
        <v>3</v>
      </c>
    </row>
    <row r="120" spans="1:21" ht="14.25" customHeight="1" thickBot="1" x14ac:dyDescent="0.4">
      <c r="A120" s="58">
        <v>104</v>
      </c>
      <c r="B120" s="69" t="s">
        <v>79</v>
      </c>
      <c r="C120" s="69" t="s">
        <v>80</v>
      </c>
      <c r="D120" s="70" t="s">
        <v>101</v>
      </c>
      <c r="E120" s="69" t="s">
        <v>459</v>
      </c>
      <c r="F120" s="69" t="s">
        <v>82</v>
      </c>
      <c r="G120" s="69" t="s">
        <v>54</v>
      </c>
      <c r="H120" s="70">
        <v>2007</v>
      </c>
      <c r="I120" s="69"/>
      <c r="J120" s="69" t="s">
        <v>632</v>
      </c>
      <c r="K120" s="71" t="s">
        <v>633</v>
      </c>
      <c r="L120" s="71" t="s">
        <v>634</v>
      </c>
      <c r="M120" s="71" t="s">
        <v>635</v>
      </c>
      <c r="N120" s="69" t="s">
        <v>57</v>
      </c>
      <c r="O120" s="64">
        <v>1</v>
      </c>
      <c r="P120" s="72">
        <v>13500</v>
      </c>
      <c r="Q120" s="69" t="s">
        <v>636</v>
      </c>
      <c r="R120" s="69"/>
      <c r="S120" s="68" t="s">
        <v>41</v>
      </c>
      <c r="T120" s="56">
        <v>2</v>
      </c>
      <c r="U120" s="56">
        <v>3</v>
      </c>
    </row>
    <row r="121" spans="1:21" ht="14.25" customHeight="1" x14ac:dyDescent="0.35">
      <c r="A121" s="47">
        <v>105</v>
      </c>
      <c r="B121" s="69" t="s">
        <v>79</v>
      </c>
      <c r="C121" s="69" t="s">
        <v>80</v>
      </c>
      <c r="D121" s="70" t="s">
        <v>101</v>
      </c>
      <c r="E121" s="69" t="s">
        <v>430</v>
      </c>
      <c r="F121" s="69" t="s">
        <v>82</v>
      </c>
      <c r="G121" s="69" t="s">
        <v>54</v>
      </c>
      <c r="H121" s="70">
        <v>2007</v>
      </c>
      <c r="I121" s="69"/>
      <c r="J121" s="69" t="s">
        <v>637</v>
      </c>
      <c r="K121" s="71" t="s">
        <v>638</v>
      </c>
      <c r="L121" s="71" t="s">
        <v>639</v>
      </c>
      <c r="M121" s="71" t="s">
        <v>640</v>
      </c>
      <c r="N121" s="69" t="s">
        <v>57</v>
      </c>
      <c r="O121" s="64">
        <v>1</v>
      </c>
      <c r="P121" s="72">
        <v>13500</v>
      </c>
      <c r="Q121" s="69" t="s">
        <v>641</v>
      </c>
      <c r="R121" s="69"/>
      <c r="S121" s="68" t="s">
        <v>41</v>
      </c>
      <c r="T121" s="56">
        <v>2</v>
      </c>
      <c r="U121" s="56">
        <v>3</v>
      </c>
    </row>
    <row r="122" spans="1:21" ht="14.25" customHeight="1" thickBot="1" x14ac:dyDescent="0.4">
      <c r="A122" s="58">
        <v>106</v>
      </c>
      <c r="B122" s="69" t="s">
        <v>79</v>
      </c>
      <c r="C122" s="69" t="s">
        <v>80</v>
      </c>
      <c r="D122" s="70" t="s">
        <v>101</v>
      </c>
      <c r="E122" s="69" t="s">
        <v>459</v>
      </c>
      <c r="F122" s="69" t="s">
        <v>82</v>
      </c>
      <c r="G122" s="69" t="s">
        <v>54</v>
      </c>
      <c r="H122" s="70">
        <v>2007</v>
      </c>
      <c r="I122" s="69"/>
      <c r="J122" s="69" t="s">
        <v>642</v>
      </c>
      <c r="K122" s="71" t="s">
        <v>643</v>
      </c>
      <c r="L122" s="71" t="s">
        <v>644</v>
      </c>
      <c r="M122" s="71" t="s">
        <v>645</v>
      </c>
      <c r="N122" s="69" t="s">
        <v>57</v>
      </c>
      <c r="O122" s="64">
        <v>1</v>
      </c>
      <c r="P122" s="72">
        <v>13500</v>
      </c>
      <c r="Q122" s="69" t="s">
        <v>525</v>
      </c>
      <c r="R122" s="69"/>
      <c r="S122" s="68" t="s">
        <v>41</v>
      </c>
      <c r="T122" s="56">
        <v>2</v>
      </c>
      <c r="U122" s="56">
        <v>3</v>
      </c>
    </row>
    <row r="123" spans="1:21" ht="14.25" customHeight="1" x14ac:dyDescent="0.35">
      <c r="A123" s="47">
        <v>107</v>
      </c>
      <c r="B123" s="69" t="s">
        <v>79</v>
      </c>
      <c r="C123" s="69" t="s">
        <v>80</v>
      </c>
      <c r="D123" s="70" t="s">
        <v>101</v>
      </c>
      <c r="E123" s="69" t="s">
        <v>531</v>
      </c>
      <c r="F123" s="69" t="s">
        <v>443</v>
      </c>
      <c r="G123" s="69" t="s">
        <v>54</v>
      </c>
      <c r="H123" s="70">
        <v>2010</v>
      </c>
      <c r="I123" s="69"/>
      <c r="J123" s="69" t="s">
        <v>647</v>
      </c>
      <c r="K123" s="71" t="s">
        <v>648</v>
      </c>
      <c r="L123" s="71" t="s">
        <v>649</v>
      </c>
      <c r="M123" s="71" t="s">
        <v>650</v>
      </c>
      <c r="N123" s="69" t="s">
        <v>57</v>
      </c>
      <c r="O123" s="64">
        <v>1</v>
      </c>
      <c r="P123" s="72">
        <v>13350</v>
      </c>
      <c r="Q123" s="69" t="s">
        <v>651</v>
      </c>
      <c r="R123" s="69"/>
      <c r="S123" s="68" t="s">
        <v>41</v>
      </c>
      <c r="T123" s="56">
        <v>2</v>
      </c>
      <c r="U123" s="56">
        <v>3</v>
      </c>
    </row>
    <row r="124" spans="1:21" ht="14.25" customHeight="1" thickBot="1" x14ac:dyDescent="0.4">
      <c r="A124" s="58">
        <v>108</v>
      </c>
      <c r="B124" s="69" t="s">
        <v>79</v>
      </c>
      <c r="C124" s="69" t="s">
        <v>80</v>
      </c>
      <c r="D124" s="70" t="s">
        <v>101</v>
      </c>
      <c r="E124" s="69" t="s">
        <v>465</v>
      </c>
      <c r="F124" s="69" t="s">
        <v>88</v>
      </c>
      <c r="G124" s="69" t="s">
        <v>54</v>
      </c>
      <c r="H124" s="70">
        <v>2013</v>
      </c>
      <c r="I124" s="69"/>
      <c r="J124" s="69" t="s">
        <v>652</v>
      </c>
      <c r="K124" s="71" t="s">
        <v>653</v>
      </c>
      <c r="L124" s="71" t="s">
        <v>654</v>
      </c>
      <c r="M124" s="71" t="s">
        <v>655</v>
      </c>
      <c r="N124" s="69" t="s">
        <v>57</v>
      </c>
      <c r="O124" s="64">
        <v>1</v>
      </c>
      <c r="P124" s="72">
        <v>15971.437</v>
      </c>
      <c r="Q124" s="69" t="s">
        <v>656</v>
      </c>
      <c r="R124" s="69"/>
      <c r="S124" s="68" t="s">
        <v>41</v>
      </c>
      <c r="T124" s="56">
        <v>2</v>
      </c>
      <c r="U124" s="56">
        <v>3</v>
      </c>
    </row>
    <row r="125" spans="1:21" ht="14.25" customHeight="1" x14ac:dyDescent="0.35">
      <c r="A125" s="47">
        <v>109</v>
      </c>
      <c r="B125" s="69" t="s">
        <v>79</v>
      </c>
      <c r="C125" s="69" t="s">
        <v>80</v>
      </c>
      <c r="D125" s="70" t="s">
        <v>101</v>
      </c>
      <c r="E125" s="69" t="s">
        <v>465</v>
      </c>
      <c r="F125" s="69" t="s">
        <v>88</v>
      </c>
      <c r="G125" s="69" t="s">
        <v>54</v>
      </c>
      <c r="H125" s="70">
        <v>2013</v>
      </c>
      <c r="I125" s="69"/>
      <c r="J125" s="69" t="s">
        <v>657</v>
      </c>
      <c r="K125" s="71" t="s">
        <v>658</v>
      </c>
      <c r="L125" s="71" t="s">
        <v>659</v>
      </c>
      <c r="M125" s="71" t="s">
        <v>660</v>
      </c>
      <c r="N125" s="69" t="s">
        <v>57</v>
      </c>
      <c r="O125" s="64">
        <v>1</v>
      </c>
      <c r="P125" s="72">
        <v>15971.437</v>
      </c>
      <c r="Q125" s="69" t="s">
        <v>661</v>
      </c>
      <c r="R125" s="69"/>
      <c r="S125" s="68" t="s">
        <v>41</v>
      </c>
      <c r="T125" s="56">
        <v>2</v>
      </c>
      <c r="U125" s="56">
        <v>3</v>
      </c>
    </row>
    <row r="126" spans="1:21" ht="14.25" customHeight="1" thickBot="1" x14ac:dyDescent="0.4">
      <c r="A126" s="58">
        <v>110</v>
      </c>
      <c r="B126" s="69" t="s">
        <v>79</v>
      </c>
      <c r="C126" s="69" t="s">
        <v>80</v>
      </c>
      <c r="D126" s="70" t="s">
        <v>101</v>
      </c>
      <c r="E126" s="69" t="s">
        <v>482</v>
      </c>
      <c r="F126" s="69" t="s">
        <v>483</v>
      </c>
      <c r="G126" s="69" t="s">
        <v>484</v>
      </c>
      <c r="H126" s="70">
        <v>2020</v>
      </c>
      <c r="I126" s="69" t="s">
        <v>63</v>
      </c>
      <c r="J126" s="69" t="s">
        <v>662</v>
      </c>
      <c r="K126" s="71" t="s">
        <v>663</v>
      </c>
      <c r="L126" s="71" t="s">
        <v>487</v>
      </c>
      <c r="M126" s="71" t="s">
        <v>612</v>
      </c>
      <c r="N126" s="69" t="s">
        <v>57</v>
      </c>
      <c r="O126" s="64">
        <v>1</v>
      </c>
      <c r="P126" s="72">
        <v>22900</v>
      </c>
      <c r="Q126" s="69" t="s">
        <v>488</v>
      </c>
      <c r="R126" s="69"/>
      <c r="S126" s="68" t="s">
        <v>41</v>
      </c>
      <c r="T126" s="56">
        <v>2</v>
      </c>
      <c r="U126" s="56">
        <v>3</v>
      </c>
    </row>
    <row r="127" spans="1:21" ht="14.25" customHeight="1" x14ac:dyDescent="0.35">
      <c r="A127" s="47">
        <v>111</v>
      </c>
      <c r="B127" s="69" t="s">
        <v>79</v>
      </c>
      <c r="C127" s="69" t="s">
        <v>80</v>
      </c>
      <c r="D127" s="70" t="s">
        <v>107</v>
      </c>
      <c r="E127" s="69" t="s">
        <v>664</v>
      </c>
      <c r="F127" s="69">
        <v>110</v>
      </c>
      <c r="G127" s="69" t="s">
        <v>54</v>
      </c>
      <c r="H127" s="70">
        <v>2006</v>
      </c>
      <c r="I127" s="69"/>
      <c r="J127" s="69" t="s">
        <v>666</v>
      </c>
      <c r="K127" s="71" t="s">
        <v>667</v>
      </c>
      <c r="L127" s="71" t="s">
        <v>668</v>
      </c>
      <c r="M127" s="71" t="s">
        <v>669</v>
      </c>
      <c r="N127" s="69" t="s">
        <v>57</v>
      </c>
      <c r="O127" s="64">
        <v>1</v>
      </c>
      <c r="P127" s="72">
        <v>11250</v>
      </c>
      <c r="Q127" s="69" t="s">
        <v>670</v>
      </c>
      <c r="R127" s="69"/>
      <c r="S127" s="68" t="s">
        <v>41</v>
      </c>
      <c r="T127" s="56">
        <v>2</v>
      </c>
      <c r="U127" s="56">
        <v>3</v>
      </c>
    </row>
    <row r="128" spans="1:21" ht="14.25" customHeight="1" thickBot="1" x14ac:dyDescent="0.4">
      <c r="A128" s="58">
        <v>112</v>
      </c>
      <c r="B128" s="69" t="s">
        <v>79</v>
      </c>
      <c r="C128" s="69" t="s">
        <v>80</v>
      </c>
      <c r="D128" s="70" t="s">
        <v>107</v>
      </c>
      <c r="E128" s="69" t="s">
        <v>567</v>
      </c>
      <c r="F128" s="69" t="s">
        <v>443</v>
      </c>
      <c r="G128" s="69" t="s">
        <v>54</v>
      </c>
      <c r="H128" s="70">
        <v>2006</v>
      </c>
      <c r="I128" s="69"/>
      <c r="J128" s="69" t="s">
        <v>671</v>
      </c>
      <c r="K128" s="71" t="s">
        <v>672</v>
      </c>
      <c r="L128" s="71" t="s">
        <v>673</v>
      </c>
      <c r="M128" s="71" t="s">
        <v>674</v>
      </c>
      <c r="N128" s="69" t="s">
        <v>57</v>
      </c>
      <c r="O128" s="64">
        <v>1</v>
      </c>
      <c r="P128" s="72">
        <v>14500</v>
      </c>
      <c r="Q128" s="69" t="s">
        <v>675</v>
      </c>
      <c r="R128" s="69"/>
      <c r="S128" s="68" t="s">
        <v>41</v>
      </c>
      <c r="T128" s="56">
        <v>2</v>
      </c>
      <c r="U128" s="56">
        <v>3</v>
      </c>
    </row>
    <row r="129" spans="1:21" ht="14.25" customHeight="1" x14ac:dyDescent="0.35">
      <c r="A129" s="47">
        <v>113</v>
      </c>
      <c r="B129" s="69" t="s">
        <v>79</v>
      </c>
      <c r="C129" s="69" t="s">
        <v>80</v>
      </c>
      <c r="D129" s="70" t="s">
        <v>107</v>
      </c>
      <c r="E129" s="69" t="s">
        <v>459</v>
      </c>
      <c r="F129" s="69">
        <v>100</v>
      </c>
      <c r="G129" s="69" t="s">
        <v>54</v>
      </c>
      <c r="H129" s="70">
        <v>2006</v>
      </c>
      <c r="I129" s="69"/>
      <c r="J129" s="69" t="s">
        <v>676</v>
      </c>
      <c r="K129" s="71" t="s">
        <v>677</v>
      </c>
      <c r="L129" s="71" t="s">
        <v>678</v>
      </c>
      <c r="M129" s="71" t="s">
        <v>677</v>
      </c>
      <c r="N129" s="69" t="s">
        <v>57</v>
      </c>
      <c r="O129" s="64">
        <v>1</v>
      </c>
      <c r="P129" s="72">
        <v>15650</v>
      </c>
      <c r="Q129" s="69" t="s">
        <v>679</v>
      </c>
      <c r="R129" s="69"/>
      <c r="S129" s="68" t="s">
        <v>41</v>
      </c>
      <c r="T129" s="56">
        <v>2</v>
      </c>
      <c r="U129" s="56">
        <v>3</v>
      </c>
    </row>
    <row r="130" spans="1:21" ht="14.25" customHeight="1" thickBot="1" x14ac:dyDescent="0.4">
      <c r="A130" s="58">
        <v>114</v>
      </c>
      <c r="B130" s="69" t="s">
        <v>79</v>
      </c>
      <c r="C130" s="69" t="s">
        <v>80</v>
      </c>
      <c r="D130" s="70" t="s">
        <v>107</v>
      </c>
      <c r="E130" s="69" t="s">
        <v>496</v>
      </c>
      <c r="F130" s="69" t="s">
        <v>82</v>
      </c>
      <c r="G130" s="69" t="s">
        <v>54</v>
      </c>
      <c r="H130" s="70">
        <v>2006</v>
      </c>
      <c r="I130" s="69"/>
      <c r="J130" s="69" t="s">
        <v>680</v>
      </c>
      <c r="K130" s="71" t="s">
        <v>681</v>
      </c>
      <c r="L130" s="71" t="s">
        <v>682</v>
      </c>
      <c r="M130" s="71" t="s">
        <v>683</v>
      </c>
      <c r="N130" s="69" t="s">
        <v>422</v>
      </c>
      <c r="O130" s="64">
        <v>1</v>
      </c>
      <c r="P130" s="72">
        <v>14500</v>
      </c>
      <c r="Q130" s="69" t="s">
        <v>684</v>
      </c>
      <c r="R130" s="69"/>
      <c r="S130" s="68" t="s">
        <v>41</v>
      </c>
      <c r="T130" s="56">
        <v>2</v>
      </c>
      <c r="U130" s="56">
        <v>3</v>
      </c>
    </row>
    <row r="131" spans="1:21" ht="14.25" customHeight="1" x14ac:dyDescent="0.35">
      <c r="A131" s="47">
        <v>115</v>
      </c>
      <c r="B131" s="69" t="s">
        <v>79</v>
      </c>
      <c r="C131" s="69" t="s">
        <v>80</v>
      </c>
      <c r="D131" s="70" t="s">
        <v>107</v>
      </c>
      <c r="E131" s="69" t="s">
        <v>430</v>
      </c>
      <c r="F131" s="69" t="s">
        <v>82</v>
      </c>
      <c r="G131" s="69" t="s">
        <v>54</v>
      </c>
      <c r="H131" s="70">
        <v>2007</v>
      </c>
      <c r="I131" s="69"/>
      <c r="J131" s="69" t="s">
        <v>685</v>
      </c>
      <c r="K131" s="71" t="s">
        <v>686</v>
      </c>
      <c r="L131" s="71" t="s">
        <v>688</v>
      </c>
      <c r="M131" s="71" t="s">
        <v>689</v>
      </c>
      <c r="N131" s="69" t="s">
        <v>57</v>
      </c>
      <c r="O131" s="64">
        <v>1</v>
      </c>
      <c r="P131" s="72">
        <v>13500</v>
      </c>
      <c r="Q131" s="69" t="s">
        <v>690</v>
      </c>
      <c r="R131" s="69"/>
      <c r="S131" s="68" t="s">
        <v>41</v>
      </c>
      <c r="T131" s="56">
        <v>2</v>
      </c>
      <c r="U131" s="56">
        <v>3</v>
      </c>
    </row>
    <row r="132" spans="1:21" ht="14.25" customHeight="1" thickBot="1" x14ac:dyDescent="0.4">
      <c r="A132" s="58">
        <v>116</v>
      </c>
      <c r="B132" s="69" t="s">
        <v>79</v>
      </c>
      <c r="C132" s="69" t="s">
        <v>80</v>
      </c>
      <c r="D132" s="70" t="s">
        <v>107</v>
      </c>
      <c r="E132" s="69" t="s">
        <v>430</v>
      </c>
      <c r="F132" s="69" t="s">
        <v>82</v>
      </c>
      <c r="G132" s="69" t="s">
        <v>54</v>
      </c>
      <c r="H132" s="70">
        <v>2007</v>
      </c>
      <c r="I132" s="69"/>
      <c r="J132" s="69" t="s">
        <v>691</v>
      </c>
      <c r="K132" s="71" t="s">
        <v>692</v>
      </c>
      <c r="L132" s="71" t="s">
        <v>693</v>
      </c>
      <c r="M132" s="71" t="s">
        <v>694</v>
      </c>
      <c r="N132" s="69" t="s">
        <v>57</v>
      </c>
      <c r="O132" s="64">
        <v>1</v>
      </c>
      <c r="P132" s="72">
        <v>13500</v>
      </c>
      <c r="Q132" s="69" t="s">
        <v>695</v>
      </c>
      <c r="R132" s="69"/>
      <c r="S132" s="68" t="s">
        <v>41</v>
      </c>
      <c r="T132" s="56">
        <v>2</v>
      </c>
      <c r="U132" s="56">
        <v>3</v>
      </c>
    </row>
    <row r="133" spans="1:21" ht="14.25" customHeight="1" x14ac:dyDescent="0.35">
      <c r="A133" s="47">
        <v>117</v>
      </c>
      <c r="B133" s="69" t="s">
        <v>79</v>
      </c>
      <c r="C133" s="69" t="s">
        <v>80</v>
      </c>
      <c r="D133" s="70" t="s">
        <v>107</v>
      </c>
      <c r="E133" s="69" t="s">
        <v>459</v>
      </c>
      <c r="F133" s="69" t="s">
        <v>82</v>
      </c>
      <c r="G133" s="69" t="s">
        <v>54</v>
      </c>
      <c r="H133" s="70">
        <v>2007</v>
      </c>
      <c r="I133" s="69"/>
      <c r="J133" s="69" t="s">
        <v>696</v>
      </c>
      <c r="K133" s="71" t="s">
        <v>697</v>
      </c>
      <c r="L133" s="71" t="s">
        <v>698</v>
      </c>
      <c r="M133" s="71" t="s">
        <v>699</v>
      </c>
      <c r="N133" s="69" t="s">
        <v>57</v>
      </c>
      <c r="O133" s="64">
        <v>1</v>
      </c>
      <c r="P133" s="72">
        <v>13500</v>
      </c>
      <c r="Q133" s="69" t="s">
        <v>700</v>
      </c>
      <c r="R133" s="69"/>
      <c r="S133" s="68" t="s">
        <v>41</v>
      </c>
      <c r="T133" s="56">
        <v>2</v>
      </c>
      <c r="U133" s="56">
        <v>3</v>
      </c>
    </row>
    <row r="134" spans="1:21" ht="14.25" customHeight="1" thickBot="1" x14ac:dyDescent="0.4">
      <c r="A134" s="58">
        <v>118</v>
      </c>
      <c r="B134" s="69" t="s">
        <v>79</v>
      </c>
      <c r="C134" s="69" t="s">
        <v>80</v>
      </c>
      <c r="D134" s="70" t="s">
        <v>107</v>
      </c>
      <c r="E134" s="69" t="s">
        <v>701</v>
      </c>
      <c r="F134" s="69" t="s">
        <v>82</v>
      </c>
      <c r="G134" s="69" t="s">
        <v>54</v>
      </c>
      <c r="H134" s="70">
        <v>2007</v>
      </c>
      <c r="I134" s="69"/>
      <c r="J134" s="69" t="s">
        <v>702</v>
      </c>
      <c r="K134" s="71" t="s">
        <v>703</v>
      </c>
      <c r="L134" s="71" t="s">
        <v>704</v>
      </c>
      <c r="M134" s="71" t="s">
        <v>705</v>
      </c>
      <c r="N134" s="69" t="s">
        <v>57</v>
      </c>
      <c r="O134" s="64">
        <v>1</v>
      </c>
      <c r="P134" s="72">
        <v>11750</v>
      </c>
      <c r="Q134" s="69" t="s">
        <v>706</v>
      </c>
      <c r="R134" s="69"/>
      <c r="S134" s="68" t="s">
        <v>41</v>
      </c>
      <c r="T134" s="56">
        <v>2</v>
      </c>
      <c r="U134" s="56">
        <v>3</v>
      </c>
    </row>
    <row r="135" spans="1:21" ht="14.25" customHeight="1" x14ac:dyDescent="0.35">
      <c r="A135" s="47">
        <v>119</v>
      </c>
      <c r="B135" s="69" t="s">
        <v>79</v>
      </c>
      <c r="C135" s="69" t="s">
        <v>80</v>
      </c>
      <c r="D135" s="70" t="s">
        <v>107</v>
      </c>
      <c r="E135" s="69" t="s">
        <v>459</v>
      </c>
      <c r="F135" s="69" t="s">
        <v>82</v>
      </c>
      <c r="G135" s="69" t="s">
        <v>54</v>
      </c>
      <c r="H135" s="70">
        <v>2007</v>
      </c>
      <c r="I135" s="69"/>
      <c r="J135" s="69" t="s">
        <v>707</v>
      </c>
      <c r="K135" s="71" t="s">
        <v>708</v>
      </c>
      <c r="L135" s="71" t="s">
        <v>709</v>
      </c>
      <c r="M135" s="71" t="s">
        <v>710</v>
      </c>
      <c r="N135" s="69" t="s">
        <v>57</v>
      </c>
      <c r="O135" s="64">
        <v>1</v>
      </c>
      <c r="P135" s="72">
        <v>13500</v>
      </c>
      <c r="Q135" s="69" t="s">
        <v>711</v>
      </c>
      <c r="R135" s="69"/>
      <c r="S135" s="68" t="s">
        <v>41</v>
      </c>
      <c r="T135" s="56">
        <v>2</v>
      </c>
      <c r="U135" s="56">
        <v>3</v>
      </c>
    </row>
    <row r="136" spans="1:21" ht="14.25" customHeight="1" thickBot="1" x14ac:dyDescent="0.4">
      <c r="A136" s="58">
        <v>120</v>
      </c>
      <c r="B136" s="69" t="s">
        <v>79</v>
      </c>
      <c r="C136" s="69" t="s">
        <v>80</v>
      </c>
      <c r="D136" s="70" t="s">
        <v>107</v>
      </c>
      <c r="E136" s="69" t="s">
        <v>459</v>
      </c>
      <c r="F136" s="69" t="s">
        <v>82</v>
      </c>
      <c r="G136" s="69" t="s">
        <v>54</v>
      </c>
      <c r="H136" s="70">
        <v>2007</v>
      </c>
      <c r="I136" s="69"/>
      <c r="J136" s="69" t="s">
        <v>713</v>
      </c>
      <c r="K136" s="71" t="s">
        <v>714</v>
      </c>
      <c r="L136" s="71" t="s">
        <v>715</v>
      </c>
      <c r="M136" s="71" t="s">
        <v>716</v>
      </c>
      <c r="N136" s="69" t="s">
        <v>57</v>
      </c>
      <c r="O136" s="64">
        <v>1</v>
      </c>
      <c r="P136" s="72">
        <v>13500</v>
      </c>
      <c r="Q136" s="69" t="s">
        <v>717</v>
      </c>
      <c r="R136" s="69"/>
      <c r="S136" s="68" t="s">
        <v>41</v>
      </c>
      <c r="T136" s="56">
        <v>2</v>
      </c>
      <c r="U136" s="56">
        <v>3</v>
      </c>
    </row>
    <row r="137" spans="1:21" ht="14.25" customHeight="1" x14ac:dyDescent="0.35">
      <c r="A137" s="47">
        <v>121</v>
      </c>
      <c r="B137" s="69" t="s">
        <v>79</v>
      </c>
      <c r="C137" s="69" t="s">
        <v>80</v>
      </c>
      <c r="D137" s="70" t="s">
        <v>107</v>
      </c>
      <c r="E137" s="69" t="s">
        <v>465</v>
      </c>
      <c r="F137" s="69" t="s">
        <v>88</v>
      </c>
      <c r="G137" s="69" t="s">
        <v>54</v>
      </c>
      <c r="H137" s="70">
        <v>2013</v>
      </c>
      <c r="I137" s="69"/>
      <c r="J137" s="69" t="s">
        <v>718</v>
      </c>
      <c r="K137" s="71" t="s">
        <v>719</v>
      </c>
      <c r="L137" s="71" t="s">
        <v>720</v>
      </c>
      <c r="M137" s="71" t="s">
        <v>721</v>
      </c>
      <c r="N137" s="69" t="s">
        <v>57</v>
      </c>
      <c r="O137" s="64">
        <v>1</v>
      </c>
      <c r="P137" s="72">
        <v>15971.437</v>
      </c>
      <c r="Q137" s="69" t="s">
        <v>722</v>
      </c>
      <c r="R137" s="69"/>
      <c r="S137" s="68" t="s">
        <v>41</v>
      </c>
      <c r="T137" s="56">
        <v>2</v>
      </c>
      <c r="U137" s="56">
        <v>3</v>
      </c>
    </row>
    <row r="138" spans="1:21" ht="14.25" customHeight="1" thickBot="1" x14ac:dyDescent="0.4">
      <c r="A138" s="58">
        <v>122</v>
      </c>
      <c r="B138" s="69" t="s">
        <v>79</v>
      </c>
      <c r="C138" s="69" t="s">
        <v>80</v>
      </c>
      <c r="D138" s="70" t="s">
        <v>107</v>
      </c>
      <c r="E138" s="69" t="s">
        <v>465</v>
      </c>
      <c r="F138" s="69" t="s">
        <v>88</v>
      </c>
      <c r="G138" s="69" t="s">
        <v>54</v>
      </c>
      <c r="H138" s="70">
        <v>2013</v>
      </c>
      <c r="I138" s="69"/>
      <c r="J138" s="69" t="s">
        <v>723</v>
      </c>
      <c r="K138" s="71" t="s">
        <v>724</v>
      </c>
      <c r="L138" s="71" t="s">
        <v>725</v>
      </c>
      <c r="M138" s="71" t="s">
        <v>726</v>
      </c>
      <c r="N138" s="69" t="s">
        <v>57</v>
      </c>
      <c r="O138" s="64">
        <v>1</v>
      </c>
      <c r="P138" s="72">
        <v>15971.437</v>
      </c>
      <c r="Q138" s="69" t="s">
        <v>727</v>
      </c>
      <c r="R138" s="69"/>
      <c r="S138" s="68" t="s">
        <v>41</v>
      </c>
      <c r="T138" s="56">
        <v>2</v>
      </c>
      <c r="U138" s="56">
        <v>3</v>
      </c>
    </row>
    <row r="139" spans="1:21" ht="14.25" customHeight="1" x14ac:dyDescent="0.35">
      <c r="A139" s="47">
        <v>123</v>
      </c>
      <c r="B139" s="69" t="s">
        <v>79</v>
      </c>
      <c r="C139" s="69" t="s">
        <v>80</v>
      </c>
      <c r="D139" s="70" t="s">
        <v>107</v>
      </c>
      <c r="E139" s="69" t="s">
        <v>482</v>
      </c>
      <c r="F139" s="69" t="s">
        <v>483</v>
      </c>
      <c r="G139" s="69" t="s">
        <v>484</v>
      </c>
      <c r="H139" s="70">
        <v>2020</v>
      </c>
      <c r="I139" s="69" t="s">
        <v>63</v>
      </c>
      <c r="J139" s="69" t="s">
        <v>728</v>
      </c>
      <c r="K139" s="71" t="s">
        <v>729</v>
      </c>
      <c r="L139" s="71" t="s">
        <v>487</v>
      </c>
      <c r="M139" s="71" t="s">
        <v>485</v>
      </c>
      <c r="N139" s="69" t="s">
        <v>57</v>
      </c>
      <c r="O139" s="64">
        <v>1</v>
      </c>
      <c r="P139" s="72">
        <v>22900</v>
      </c>
      <c r="Q139" s="69" t="s">
        <v>488</v>
      </c>
      <c r="R139" s="69"/>
      <c r="S139" s="68" t="s">
        <v>41</v>
      </c>
      <c r="T139" s="56">
        <v>2</v>
      </c>
      <c r="U139" s="56">
        <v>3</v>
      </c>
    </row>
    <row r="140" spans="1:21" ht="14.25" customHeight="1" thickBot="1" x14ac:dyDescent="0.4">
      <c r="A140" s="58">
        <v>124</v>
      </c>
      <c r="B140" s="69" t="s">
        <v>79</v>
      </c>
      <c r="C140" s="69" t="s">
        <v>80</v>
      </c>
      <c r="D140" s="70" t="s">
        <v>112</v>
      </c>
      <c r="E140" s="69" t="s">
        <v>730</v>
      </c>
      <c r="F140" s="69" t="s">
        <v>82</v>
      </c>
      <c r="G140" s="69" t="s">
        <v>54</v>
      </c>
      <c r="H140" s="70">
        <v>2004</v>
      </c>
      <c r="I140" s="69"/>
      <c r="J140" s="69" t="s">
        <v>732</v>
      </c>
      <c r="K140" s="71" t="s">
        <v>733</v>
      </c>
      <c r="L140" s="71" t="s">
        <v>734</v>
      </c>
      <c r="M140" s="71" t="s">
        <v>735</v>
      </c>
      <c r="N140" s="69" t="s">
        <v>57</v>
      </c>
      <c r="O140" s="64">
        <v>1</v>
      </c>
      <c r="P140" s="72">
        <v>14500</v>
      </c>
      <c r="Q140" s="69" t="s">
        <v>736</v>
      </c>
      <c r="R140" s="69"/>
      <c r="S140" s="68" t="s">
        <v>41</v>
      </c>
      <c r="T140" s="56">
        <v>2</v>
      </c>
      <c r="U140" s="56">
        <v>3</v>
      </c>
    </row>
    <row r="141" spans="1:21" ht="14.25" customHeight="1" x14ac:dyDescent="0.35">
      <c r="A141" s="47">
        <v>125</v>
      </c>
      <c r="B141" s="69" t="s">
        <v>79</v>
      </c>
      <c r="C141" s="69" t="s">
        <v>80</v>
      </c>
      <c r="D141" s="70" t="s">
        <v>112</v>
      </c>
      <c r="E141" s="69" t="s">
        <v>737</v>
      </c>
      <c r="F141" s="69" t="s">
        <v>88</v>
      </c>
      <c r="G141" s="69" t="s">
        <v>54</v>
      </c>
      <c r="H141" s="70">
        <v>2006</v>
      </c>
      <c r="I141" s="69"/>
      <c r="J141" s="69" t="s">
        <v>738</v>
      </c>
      <c r="K141" s="71" t="s">
        <v>739</v>
      </c>
      <c r="L141" s="71" t="s">
        <v>740</v>
      </c>
      <c r="M141" s="71" t="s">
        <v>741</v>
      </c>
      <c r="N141" s="69" t="s">
        <v>57</v>
      </c>
      <c r="O141" s="64">
        <v>1</v>
      </c>
      <c r="P141" s="72">
        <v>14500</v>
      </c>
      <c r="Q141" s="69" t="s">
        <v>742</v>
      </c>
      <c r="R141" s="69"/>
      <c r="S141" s="68" t="s">
        <v>41</v>
      </c>
      <c r="T141" s="56">
        <v>2</v>
      </c>
      <c r="U141" s="56">
        <v>3</v>
      </c>
    </row>
    <row r="142" spans="1:21" ht="14.25" customHeight="1" thickBot="1" x14ac:dyDescent="0.4">
      <c r="A142" s="58">
        <v>126</v>
      </c>
      <c r="B142" s="69" t="s">
        <v>79</v>
      </c>
      <c r="C142" s="69" t="s">
        <v>80</v>
      </c>
      <c r="D142" s="70" t="s">
        <v>112</v>
      </c>
      <c r="E142" s="69" t="s">
        <v>430</v>
      </c>
      <c r="F142" s="69" t="s">
        <v>82</v>
      </c>
      <c r="G142" s="69" t="s">
        <v>54</v>
      </c>
      <c r="H142" s="70">
        <v>2007</v>
      </c>
      <c r="I142" s="69"/>
      <c r="J142" s="69" t="s">
        <v>743</v>
      </c>
      <c r="K142" s="71" t="s">
        <v>744</v>
      </c>
      <c r="L142" s="71" t="s">
        <v>745</v>
      </c>
      <c r="M142" s="71" t="s">
        <v>746</v>
      </c>
      <c r="N142" s="69" t="s">
        <v>57</v>
      </c>
      <c r="O142" s="64">
        <v>1</v>
      </c>
      <c r="P142" s="72">
        <v>13500</v>
      </c>
      <c r="Q142" s="69" t="s">
        <v>747</v>
      </c>
      <c r="R142" s="69"/>
      <c r="S142" s="68" t="s">
        <v>41</v>
      </c>
      <c r="T142" s="56">
        <v>2</v>
      </c>
      <c r="U142" s="56">
        <v>3</v>
      </c>
    </row>
    <row r="143" spans="1:21" ht="14.25" customHeight="1" x14ac:dyDescent="0.35">
      <c r="A143" s="47">
        <v>127</v>
      </c>
      <c r="B143" s="69" t="s">
        <v>79</v>
      </c>
      <c r="C143" s="69" t="s">
        <v>80</v>
      </c>
      <c r="D143" s="70" t="s">
        <v>112</v>
      </c>
      <c r="E143" s="69" t="s">
        <v>459</v>
      </c>
      <c r="F143" s="69" t="s">
        <v>82</v>
      </c>
      <c r="G143" s="69" t="s">
        <v>54</v>
      </c>
      <c r="H143" s="70">
        <v>2007</v>
      </c>
      <c r="I143" s="69"/>
      <c r="J143" s="69" t="s">
        <v>748</v>
      </c>
      <c r="K143" s="71" t="s">
        <v>749</v>
      </c>
      <c r="L143" s="71" t="s">
        <v>750</v>
      </c>
      <c r="M143" s="71" t="s">
        <v>751</v>
      </c>
      <c r="N143" s="69" t="s">
        <v>57</v>
      </c>
      <c r="O143" s="64">
        <v>1</v>
      </c>
      <c r="P143" s="72">
        <v>13500</v>
      </c>
      <c r="Q143" s="69" t="s">
        <v>752</v>
      </c>
      <c r="R143" s="69"/>
      <c r="S143" s="68" t="s">
        <v>41</v>
      </c>
      <c r="T143" s="56">
        <v>2</v>
      </c>
      <c r="U143" s="56">
        <v>3</v>
      </c>
    </row>
    <row r="144" spans="1:21" ht="14.25" customHeight="1" thickBot="1" x14ac:dyDescent="0.4">
      <c r="A144" s="58">
        <v>128</v>
      </c>
      <c r="B144" s="69" t="s">
        <v>79</v>
      </c>
      <c r="C144" s="69" t="s">
        <v>80</v>
      </c>
      <c r="D144" s="70" t="s">
        <v>112</v>
      </c>
      <c r="E144" s="69" t="s">
        <v>737</v>
      </c>
      <c r="F144" s="69" t="s">
        <v>88</v>
      </c>
      <c r="G144" s="69" t="s">
        <v>54</v>
      </c>
      <c r="H144" s="70">
        <v>2007</v>
      </c>
      <c r="I144" s="69"/>
      <c r="J144" s="69" t="s">
        <v>753</v>
      </c>
      <c r="K144" s="71" t="s">
        <v>754</v>
      </c>
      <c r="L144" s="71" t="s">
        <v>755</v>
      </c>
      <c r="M144" s="71" t="s">
        <v>756</v>
      </c>
      <c r="N144" s="69" t="s">
        <v>57</v>
      </c>
      <c r="O144" s="64">
        <v>1</v>
      </c>
      <c r="P144" s="72">
        <v>17000</v>
      </c>
      <c r="Q144" s="69" t="s">
        <v>757</v>
      </c>
      <c r="R144" s="69"/>
      <c r="S144" s="68" t="s">
        <v>41</v>
      </c>
      <c r="T144" s="56">
        <v>2</v>
      </c>
      <c r="U144" s="56">
        <v>3</v>
      </c>
    </row>
    <row r="145" spans="1:21" ht="14.25" customHeight="1" x14ac:dyDescent="0.35">
      <c r="A145" s="47">
        <v>129</v>
      </c>
      <c r="B145" s="69" t="s">
        <v>79</v>
      </c>
      <c r="C145" s="69" t="s">
        <v>80</v>
      </c>
      <c r="D145" s="70" t="s">
        <v>112</v>
      </c>
      <c r="E145" s="69" t="s">
        <v>459</v>
      </c>
      <c r="F145" s="69" t="s">
        <v>82</v>
      </c>
      <c r="G145" s="69" t="s">
        <v>54</v>
      </c>
      <c r="H145" s="70">
        <v>2007</v>
      </c>
      <c r="I145" s="69"/>
      <c r="J145" s="69" t="s">
        <v>759</v>
      </c>
      <c r="K145" s="71" t="s">
        <v>760</v>
      </c>
      <c r="L145" s="71" t="s">
        <v>761</v>
      </c>
      <c r="M145" s="71" t="s">
        <v>762</v>
      </c>
      <c r="N145" s="69" t="s">
        <v>57</v>
      </c>
      <c r="O145" s="64">
        <v>1</v>
      </c>
      <c r="P145" s="72">
        <v>13500</v>
      </c>
      <c r="Q145" s="69" t="s">
        <v>763</v>
      </c>
      <c r="R145" s="69"/>
      <c r="S145" s="68" t="s">
        <v>41</v>
      </c>
      <c r="T145" s="56">
        <v>2</v>
      </c>
      <c r="U145" s="56">
        <v>3</v>
      </c>
    </row>
    <row r="146" spans="1:21" ht="14.25" customHeight="1" thickBot="1" x14ac:dyDescent="0.4">
      <c r="A146" s="58">
        <v>130</v>
      </c>
      <c r="B146" s="69" t="s">
        <v>79</v>
      </c>
      <c r="C146" s="69" t="s">
        <v>80</v>
      </c>
      <c r="D146" s="70" t="s">
        <v>112</v>
      </c>
      <c r="E146" s="69" t="s">
        <v>459</v>
      </c>
      <c r="F146" s="69" t="s">
        <v>82</v>
      </c>
      <c r="G146" s="69" t="s">
        <v>54</v>
      </c>
      <c r="H146" s="70">
        <v>2007</v>
      </c>
      <c r="I146" s="69"/>
      <c r="J146" s="69" t="s">
        <v>764</v>
      </c>
      <c r="K146" s="71" t="s">
        <v>765</v>
      </c>
      <c r="L146" s="71" t="s">
        <v>766</v>
      </c>
      <c r="M146" s="71" t="s">
        <v>767</v>
      </c>
      <c r="N146" s="69" t="s">
        <v>57</v>
      </c>
      <c r="O146" s="64">
        <v>1</v>
      </c>
      <c r="P146" s="72">
        <v>13500</v>
      </c>
      <c r="Q146" s="69" t="s">
        <v>768</v>
      </c>
      <c r="R146" s="69"/>
      <c r="S146" s="68" t="s">
        <v>41</v>
      </c>
      <c r="T146" s="56">
        <v>2</v>
      </c>
      <c r="U146" s="56">
        <v>3</v>
      </c>
    </row>
    <row r="147" spans="1:21" ht="14.25" customHeight="1" x14ac:dyDescent="0.35">
      <c r="A147" s="47">
        <v>131</v>
      </c>
      <c r="B147" s="69" t="s">
        <v>79</v>
      </c>
      <c r="C147" s="69" t="s">
        <v>80</v>
      </c>
      <c r="D147" s="70" t="s">
        <v>112</v>
      </c>
      <c r="E147" s="69" t="s">
        <v>465</v>
      </c>
      <c r="F147" s="69" t="s">
        <v>88</v>
      </c>
      <c r="G147" s="69" t="s">
        <v>54</v>
      </c>
      <c r="H147" s="70">
        <v>2013</v>
      </c>
      <c r="I147" s="69"/>
      <c r="J147" s="69" t="s">
        <v>769</v>
      </c>
      <c r="K147" s="71" t="s">
        <v>770</v>
      </c>
      <c r="L147" s="71" t="s">
        <v>771</v>
      </c>
      <c r="M147" s="71" t="s">
        <v>772</v>
      </c>
      <c r="N147" s="69" t="s">
        <v>57</v>
      </c>
      <c r="O147" s="64">
        <v>1</v>
      </c>
      <c r="P147" s="72">
        <v>15971.437</v>
      </c>
      <c r="Q147" s="69" t="s">
        <v>773</v>
      </c>
      <c r="R147" s="69"/>
      <c r="S147" s="68" t="s">
        <v>41</v>
      </c>
      <c r="T147" s="56">
        <v>2</v>
      </c>
      <c r="U147" s="56">
        <v>3</v>
      </c>
    </row>
    <row r="148" spans="1:21" ht="14.25" customHeight="1" thickBot="1" x14ac:dyDescent="0.4">
      <c r="A148" s="58">
        <v>132</v>
      </c>
      <c r="B148" s="69" t="s">
        <v>79</v>
      </c>
      <c r="C148" s="69" t="s">
        <v>80</v>
      </c>
      <c r="D148" s="70" t="s">
        <v>112</v>
      </c>
      <c r="E148" s="69" t="s">
        <v>465</v>
      </c>
      <c r="F148" s="69" t="s">
        <v>88</v>
      </c>
      <c r="G148" s="69" t="s">
        <v>54</v>
      </c>
      <c r="H148" s="70">
        <v>2013</v>
      </c>
      <c r="I148" s="69"/>
      <c r="J148" s="69" t="s">
        <v>774</v>
      </c>
      <c r="K148" s="71" t="s">
        <v>776</v>
      </c>
      <c r="L148" s="71" t="s">
        <v>777</v>
      </c>
      <c r="M148" s="71" t="s">
        <v>778</v>
      </c>
      <c r="N148" s="69" t="s">
        <v>57</v>
      </c>
      <c r="O148" s="64">
        <v>1</v>
      </c>
      <c r="P148" s="72">
        <v>15971.437</v>
      </c>
      <c r="Q148" s="69" t="s">
        <v>779</v>
      </c>
      <c r="R148" s="69"/>
      <c r="S148" s="68" t="s">
        <v>41</v>
      </c>
      <c r="T148" s="56">
        <v>2</v>
      </c>
      <c r="U148" s="56">
        <v>3</v>
      </c>
    </row>
    <row r="149" spans="1:21" ht="14.25" customHeight="1" x14ac:dyDescent="0.35">
      <c r="A149" s="47">
        <v>133</v>
      </c>
      <c r="B149" s="69" t="s">
        <v>79</v>
      </c>
      <c r="C149" s="69" t="s">
        <v>80</v>
      </c>
      <c r="D149" s="70" t="s">
        <v>112</v>
      </c>
      <c r="E149" s="69" t="s">
        <v>780</v>
      </c>
      <c r="F149" s="69" t="s">
        <v>231</v>
      </c>
      <c r="G149" s="69" t="s">
        <v>54</v>
      </c>
      <c r="H149" s="70">
        <v>2013</v>
      </c>
      <c r="I149" s="69"/>
      <c r="J149" s="69" t="s">
        <v>781</v>
      </c>
      <c r="K149" s="71" t="s">
        <v>782</v>
      </c>
      <c r="L149" s="71" t="s">
        <v>783</v>
      </c>
      <c r="M149" s="71" t="s">
        <v>784</v>
      </c>
      <c r="N149" s="69" t="s">
        <v>57</v>
      </c>
      <c r="O149" s="64">
        <v>1</v>
      </c>
      <c r="P149" s="72">
        <v>17531.099999999999</v>
      </c>
      <c r="Q149" s="69" t="s">
        <v>785</v>
      </c>
      <c r="R149" s="69"/>
      <c r="S149" s="68" t="s">
        <v>41</v>
      </c>
      <c r="T149" s="56">
        <v>2</v>
      </c>
      <c r="U149" s="56">
        <v>3</v>
      </c>
    </row>
    <row r="150" spans="1:21" ht="14.25" customHeight="1" thickBot="1" x14ac:dyDescent="0.4">
      <c r="A150" s="58">
        <v>134</v>
      </c>
      <c r="B150" s="69" t="s">
        <v>79</v>
      </c>
      <c r="C150" s="69" t="s">
        <v>80</v>
      </c>
      <c r="D150" s="70" t="s">
        <v>112</v>
      </c>
      <c r="E150" s="69" t="s">
        <v>482</v>
      </c>
      <c r="F150" s="69" t="s">
        <v>483</v>
      </c>
      <c r="G150" s="69" t="s">
        <v>484</v>
      </c>
      <c r="H150" s="70">
        <v>2020</v>
      </c>
      <c r="I150" s="69" t="s">
        <v>63</v>
      </c>
      <c r="J150" s="69" t="s">
        <v>786</v>
      </c>
      <c r="K150" s="71" t="s">
        <v>787</v>
      </c>
      <c r="L150" s="71" t="s">
        <v>487</v>
      </c>
      <c r="M150" s="71" t="s">
        <v>554</v>
      </c>
      <c r="N150" s="69" t="s">
        <v>57</v>
      </c>
      <c r="O150" s="64">
        <v>1</v>
      </c>
      <c r="P150" s="72">
        <v>22900</v>
      </c>
      <c r="Q150" s="69" t="s">
        <v>488</v>
      </c>
      <c r="R150" s="69"/>
      <c r="S150" s="68" t="s">
        <v>41</v>
      </c>
      <c r="T150" s="56">
        <v>2</v>
      </c>
      <c r="U150" s="56">
        <v>3</v>
      </c>
    </row>
    <row r="151" spans="1:21" ht="14.25" customHeight="1" x14ac:dyDescent="0.35">
      <c r="A151" s="47">
        <v>135</v>
      </c>
      <c r="B151" s="69" t="s">
        <v>79</v>
      </c>
      <c r="C151" s="69" t="s">
        <v>80</v>
      </c>
      <c r="D151" s="70" t="s">
        <v>116</v>
      </c>
      <c r="E151" s="69" t="s">
        <v>788</v>
      </c>
      <c r="F151" s="69">
        <v>135</v>
      </c>
      <c r="G151" s="69" t="s">
        <v>54</v>
      </c>
      <c r="H151" s="70">
        <v>2006</v>
      </c>
      <c r="I151" s="69"/>
      <c r="J151" s="69" t="s">
        <v>789</v>
      </c>
      <c r="K151" s="71" t="s">
        <v>790</v>
      </c>
      <c r="L151" s="71" t="s">
        <v>791</v>
      </c>
      <c r="M151" s="71" t="s">
        <v>790</v>
      </c>
      <c r="N151" s="69" t="s">
        <v>422</v>
      </c>
      <c r="O151" s="64">
        <v>1</v>
      </c>
      <c r="P151" s="72">
        <v>17000</v>
      </c>
      <c r="Q151" s="69" t="s">
        <v>792</v>
      </c>
      <c r="R151" s="69"/>
      <c r="S151" s="68" t="s">
        <v>41</v>
      </c>
      <c r="T151" s="56">
        <v>2</v>
      </c>
      <c r="U151" s="56">
        <v>3</v>
      </c>
    </row>
    <row r="152" spans="1:21" ht="14.25" customHeight="1" thickBot="1" x14ac:dyDescent="0.4">
      <c r="A152" s="58">
        <v>136</v>
      </c>
      <c r="B152" s="69" t="s">
        <v>79</v>
      </c>
      <c r="C152" s="69" t="s">
        <v>80</v>
      </c>
      <c r="D152" s="70" t="s">
        <v>116</v>
      </c>
      <c r="E152" s="69" t="s">
        <v>459</v>
      </c>
      <c r="F152" s="69" t="s">
        <v>82</v>
      </c>
      <c r="G152" s="69" t="s">
        <v>54</v>
      </c>
      <c r="H152" s="70">
        <v>2007</v>
      </c>
      <c r="I152" s="69"/>
      <c r="J152" s="69" t="s">
        <v>793</v>
      </c>
      <c r="K152" s="71" t="s">
        <v>794</v>
      </c>
      <c r="L152" s="71" t="s">
        <v>795</v>
      </c>
      <c r="M152" s="71" t="s">
        <v>796</v>
      </c>
      <c r="N152" s="69" t="s">
        <v>57</v>
      </c>
      <c r="O152" s="64">
        <v>1</v>
      </c>
      <c r="P152" s="72">
        <v>14350</v>
      </c>
      <c r="Q152" s="69" t="s">
        <v>798</v>
      </c>
      <c r="R152" s="69"/>
      <c r="S152" s="68" t="s">
        <v>41</v>
      </c>
      <c r="T152" s="56">
        <v>2</v>
      </c>
      <c r="U152" s="56">
        <v>3</v>
      </c>
    </row>
    <row r="153" spans="1:21" ht="14.25" customHeight="1" x14ac:dyDescent="0.35">
      <c r="A153" s="47">
        <v>137</v>
      </c>
      <c r="B153" s="69" t="s">
        <v>79</v>
      </c>
      <c r="C153" s="69" t="s">
        <v>80</v>
      </c>
      <c r="D153" s="70" t="s">
        <v>116</v>
      </c>
      <c r="E153" s="69" t="s">
        <v>430</v>
      </c>
      <c r="F153" s="69" t="s">
        <v>82</v>
      </c>
      <c r="G153" s="69" t="s">
        <v>54</v>
      </c>
      <c r="H153" s="70">
        <v>2007</v>
      </c>
      <c r="I153" s="69"/>
      <c r="J153" s="69" t="s">
        <v>632</v>
      </c>
      <c r="K153" s="71" t="s">
        <v>633</v>
      </c>
      <c r="L153" s="71" t="s">
        <v>799</v>
      </c>
      <c r="M153" s="71" t="s">
        <v>800</v>
      </c>
      <c r="N153" s="69" t="s">
        <v>57</v>
      </c>
      <c r="O153" s="64">
        <v>1</v>
      </c>
      <c r="P153" s="72">
        <v>13500</v>
      </c>
      <c r="Q153" s="69" t="s">
        <v>801</v>
      </c>
      <c r="R153" s="69"/>
      <c r="S153" s="68" t="s">
        <v>41</v>
      </c>
      <c r="T153" s="56">
        <v>2</v>
      </c>
      <c r="U153" s="56">
        <v>3</v>
      </c>
    </row>
    <row r="154" spans="1:21" ht="14.25" customHeight="1" thickBot="1" x14ac:dyDescent="0.4">
      <c r="A154" s="58">
        <v>138</v>
      </c>
      <c r="B154" s="69" t="s">
        <v>79</v>
      </c>
      <c r="C154" s="69" t="s">
        <v>80</v>
      </c>
      <c r="D154" s="70" t="s">
        <v>116</v>
      </c>
      <c r="E154" s="69" t="s">
        <v>459</v>
      </c>
      <c r="F154" s="69" t="s">
        <v>82</v>
      </c>
      <c r="G154" s="69" t="s">
        <v>54</v>
      </c>
      <c r="H154" s="70">
        <v>2007</v>
      </c>
      <c r="I154" s="69"/>
      <c r="J154" s="69" t="s">
        <v>802</v>
      </c>
      <c r="K154" s="71" t="s">
        <v>803</v>
      </c>
      <c r="L154" s="71" t="s">
        <v>804</v>
      </c>
      <c r="M154" s="71" t="s">
        <v>805</v>
      </c>
      <c r="N154" s="69" t="s">
        <v>57</v>
      </c>
      <c r="O154" s="64">
        <v>1</v>
      </c>
      <c r="P154" s="72">
        <v>13500</v>
      </c>
      <c r="Q154" s="69" t="s">
        <v>806</v>
      </c>
      <c r="R154" s="69"/>
      <c r="S154" s="68" t="s">
        <v>41</v>
      </c>
      <c r="T154" s="56">
        <v>2</v>
      </c>
      <c r="U154" s="56">
        <v>3</v>
      </c>
    </row>
    <row r="155" spans="1:21" ht="14.25" customHeight="1" x14ac:dyDescent="0.35">
      <c r="A155" s="47">
        <v>139</v>
      </c>
      <c r="B155" s="69" t="s">
        <v>79</v>
      </c>
      <c r="C155" s="69" t="s">
        <v>80</v>
      </c>
      <c r="D155" s="70" t="s">
        <v>116</v>
      </c>
      <c r="E155" s="69" t="s">
        <v>465</v>
      </c>
      <c r="F155" s="69" t="s">
        <v>88</v>
      </c>
      <c r="G155" s="69" t="s">
        <v>54</v>
      </c>
      <c r="H155" s="70">
        <v>2013</v>
      </c>
      <c r="I155" s="69"/>
      <c r="J155" s="69" t="s">
        <v>807</v>
      </c>
      <c r="K155" s="71" t="s">
        <v>808</v>
      </c>
      <c r="L155" s="71" t="s">
        <v>809</v>
      </c>
      <c r="M155" s="71" t="s">
        <v>810</v>
      </c>
      <c r="N155" s="69" t="s">
        <v>57</v>
      </c>
      <c r="O155" s="64">
        <v>1</v>
      </c>
      <c r="P155" s="72">
        <v>15971.437</v>
      </c>
      <c r="Q155" s="69" t="s">
        <v>811</v>
      </c>
      <c r="R155" s="69"/>
      <c r="S155" s="68" t="s">
        <v>41</v>
      </c>
      <c r="T155" s="56">
        <v>2</v>
      </c>
      <c r="U155" s="56">
        <v>3</v>
      </c>
    </row>
    <row r="156" spans="1:21" ht="14.25" customHeight="1" thickBot="1" x14ac:dyDescent="0.4">
      <c r="A156" s="58">
        <v>140</v>
      </c>
      <c r="B156" s="69" t="s">
        <v>79</v>
      </c>
      <c r="C156" s="69" t="s">
        <v>80</v>
      </c>
      <c r="D156" s="70" t="s">
        <v>116</v>
      </c>
      <c r="E156" s="69" t="s">
        <v>465</v>
      </c>
      <c r="F156" s="69" t="s">
        <v>88</v>
      </c>
      <c r="G156" s="69" t="s">
        <v>54</v>
      </c>
      <c r="H156" s="70">
        <v>2013</v>
      </c>
      <c r="I156" s="69"/>
      <c r="J156" s="69" t="s">
        <v>812</v>
      </c>
      <c r="K156" s="71" t="s">
        <v>813</v>
      </c>
      <c r="L156" s="71" t="s">
        <v>814</v>
      </c>
      <c r="M156" s="71" t="s">
        <v>815</v>
      </c>
      <c r="N156" s="69" t="s">
        <v>57</v>
      </c>
      <c r="O156" s="64">
        <v>1</v>
      </c>
      <c r="P156" s="72">
        <v>15971.437</v>
      </c>
      <c r="Q156" s="69" t="s">
        <v>816</v>
      </c>
      <c r="R156" s="69"/>
      <c r="S156" s="68" t="s">
        <v>41</v>
      </c>
      <c r="T156" s="56">
        <v>2</v>
      </c>
      <c r="U156" s="56">
        <v>3</v>
      </c>
    </row>
    <row r="157" spans="1:21" ht="14.25" customHeight="1" x14ac:dyDescent="0.35">
      <c r="A157" s="47">
        <v>141</v>
      </c>
      <c r="B157" s="69" t="s">
        <v>79</v>
      </c>
      <c r="C157" s="69" t="s">
        <v>80</v>
      </c>
      <c r="D157" s="70" t="s">
        <v>116</v>
      </c>
      <c r="E157" s="69" t="s">
        <v>465</v>
      </c>
      <c r="F157" s="69" t="s">
        <v>88</v>
      </c>
      <c r="G157" s="69" t="s">
        <v>54</v>
      </c>
      <c r="H157" s="70">
        <v>2013</v>
      </c>
      <c r="I157" s="69"/>
      <c r="J157" s="69" t="s">
        <v>818</v>
      </c>
      <c r="K157" s="71" t="s">
        <v>819</v>
      </c>
      <c r="L157" s="71" t="s">
        <v>820</v>
      </c>
      <c r="M157" s="71" t="s">
        <v>821</v>
      </c>
      <c r="N157" s="69" t="s">
        <v>57</v>
      </c>
      <c r="O157" s="64">
        <v>1</v>
      </c>
      <c r="P157" s="72">
        <v>15971.437</v>
      </c>
      <c r="Q157" s="69" t="s">
        <v>822</v>
      </c>
      <c r="R157" s="69"/>
      <c r="S157" s="68" t="s">
        <v>41</v>
      </c>
      <c r="T157" s="56">
        <v>2</v>
      </c>
      <c r="U157" s="56">
        <v>3</v>
      </c>
    </row>
    <row r="158" spans="1:21" ht="14.25" customHeight="1" thickBot="1" x14ac:dyDescent="0.4">
      <c r="A158" s="58">
        <v>142</v>
      </c>
      <c r="B158" s="69" t="s">
        <v>79</v>
      </c>
      <c r="C158" s="69" t="s">
        <v>80</v>
      </c>
      <c r="D158" s="70" t="s">
        <v>116</v>
      </c>
      <c r="E158" s="69" t="s">
        <v>465</v>
      </c>
      <c r="F158" s="69" t="s">
        <v>88</v>
      </c>
      <c r="G158" s="69" t="s">
        <v>54</v>
      </c>
      <c r="H158" s="70">
        <v>2013</v>
      </c>
      <c r="I158" s="69"/>
      <c r="J158" s="69" t="s">
        <v>823</v>
      </c>
      <c r="K158" s="71" t="s">
        <v>824</v>
      </c>
      <c r="L158" s="71" t="s">
        <v>825</v>
      </c>
      <c r="M158" s="71" t="s">
        <v>826</v>
      </c>
      <c r="N158" s="69" t="s">
        <v>57</v>
      </c>
      <c r="O158" s="64">
        <v>1</v>
      </c>
      <c r="P158" s="72">
        <v>15971.437</v>
      </c>
      <c r="Q158" s="69" t="s">
        <v>827</v>
      </c>
      <c r="R158" s="69"/>
      <c r="S158" s="68" t="s">
        <v>41</v>
      </c>
      <c r="T158" s="56">
        <v>2</v>
      </c>
      <c r="U158" s="56">
        <v>3</v>
      </c>
    </row>
    <row r="159" spans="1:21" ht="14.25" customHeight="1" x14ac:dyDescent="0.35">
      <c r="A159" s="47">
        <v>143</v>
      </c>
      <c r="B159" s="69" t="s">
        <v>79</v>
      </c>
      <c r="C159" s="69" t="s">
        <v>80</v>
      </c>
      <c r="D159" s="70" t="s">
        <v>116</v>
      </c>
      <c r="E159" s="69" t="s">
        <v>465</v>
      </c>
      <c r="F159" s="69" t="s">
        <v>88</v>
      </c>
      <c r="G159" s="69" t="s">
        <v>54</v>
      </c>
      <c r="H159" s="70">
        <v>2013</v>
      </c>
      <c r="I159" s="69"/>
      <c r="J159" s="69" t="s">
        <v>828</v>
      </c>
      <c r="K159" s="71" t="s">
        <v>829</v>
      </c>
      <c r="L159" s="71" t="s">
        <v>830</v>
      </c>
      <c r="M159" s="71" t="s">
        <v>831</v>
      </c>
      <c r="N159" s="69" t="s">
        <v>57</v>
      </c>
      <c r="O159" s="64">
        <v>1</v>
      </c>
      <c r="P159" s="72">
        <v>15971.437</v>
      </c>
      <c r="Q159" s="69" t="s">
        <v>832</v>
      </c>
      <c r="R159" s="69"/>
      <c r="S159" s="68" t="s">
        <v>41</v>
      </c>
      <c r="T159" s="56">
        <v>2</v>
      </c>
      <c r="U159" s="56">
        <v>3</v>
      </c>
    </row>
    <row r="160" spans="1:21" ht="14.25" customHeight="1" thickBot="1" x14ac:dyDescent="0.4">
      <c r="A160" s="58">
        <v>144</v>
      </c>
      <c r="B160" s="69" t="s">
        <v>79</v>
      </c>
      <c r="C160" s="69" t="s">
        <v>80</v>
      </c>
      <c r="D160" s="70" t="s">
        <v>116</v>
      </c>
      <c r="E160" s="69" t="s">
        <v>780</v>
      </c>
      <c r="F160" s="69" t="s">
        <v>231</v>
      </c>
      <c r="G160" s="69" t="s">
        <v>54</v>
      </c>
      <c r="H160" s="70">
        <v>2013</v>
      </c>
      <c r="I160" s="69"/>
      <c r="J160" s="69" t="s">
        <v>833</v>
      </c>
      <c r="K160" s="71" t="s">
        <v>834</v>
      </c>
      <c r="L160" s="71" t="s">
        <v>835</v>
      </c>
      <c r="M160" s="71" t="s">
        <v>836</v>
      </c>
      <c r="N160" s="69" t="s">
        <v>57</v>
      </c>
      <c r="O160" s="64">
        <v>1</v>
      </c>
      <c r="P160" s="72">
        <v>17531.099999999999</v>
      </c>
      <c r="Q160" s="69" t="s">
        <v>837</v>
      </c>
      <c r="R160" s="69"/>
      <c r="S160" s="68" t="s">
        <v>41</v>
      </c>
      <c r="T160" s="56">
        <v>2</v>
      </c>
      <c r="U160" s="56">
        <v>3</v>
      </c>
    </row>
    <row r="161" spans="1:21" ht="14.25" customHeight="1" x14ac:dyDescent="0.35">
      <c r="A161" s="47">
        <v>145</v>
      </c>
      <c r="B161" s="69" t="s">
        <v>79</v>
      </c>
      <c r="C161" s="69" t="s">
        <v>80</v>
      </c>
      <c r="D161" s="70" t="s">
        <v>116</v>
      </c>
      <c r="E161" s="69" t="s">
        <v>482</v>
      </c>
      <c r="F161" s="69" t="s">
        <v>483</v>
      </c>
      <c r="G161" s="69" t="s">
        <v>484</v>
      </c>
      <c r="H161" s="70">
        <v>2020</v>
      </c>
      <c r="I161" s="69" t="s">
        <v>63</v>
      </c>
      <c r="J161" s="69" t="s">
        <v>839</v>
      </c>
      <c r="K161" s="71" t="s">
        <v>840</v>
      </c>
      <c r="L161" s="71" t="s">
        <v>487</v>
      </c>
      <c r="M161" s="71" t="s">
        <v>63</v>
      </c>
      <c r="N161" s="69" t="s">
        <v>57</v>
      </c>
      <c r="O161" s="64">
        <v>1</v>
      </c>
      <c r="P161" s="72">
        <v>22900</v>
      </c>
      <c r="Q161" s="69" t="s">
        <v>488</v>
      </c>
      <c r="R161" s="69"/>
      <c r="S161" s="68" t="s">
        <v>41</v>
      </c>
      <c r="T161" s="56">
        <v>2</v>
      </c>
      <c r="U161" s="56">
        <v>3</v>
      </c>
    </row>
    <row r="162" spans="1:21" ht="14.25" customHeight="1" thickBot="1" x14ac:dyDescent="0.4">
      <c r="A162" s="58">
        <v>146</v>
      </c>
      <c r="B162" s="69" t="s">
        <v>79</v>
      </c>
      <c r="C162" s="69" t="s">
        <v>80</v>
      </c>
      <c r="D162" s="70" t="s">
        <v>841</v>
      </c>
      <c r="E162" s="69" t="s">
        <v>842</v>
      </c>
      <c r="F162" s="69" t="s">
        <v>443</v>
      </c>
      <c r="G162" s="69" t="s">
        <v>54</v>
      </c>
      <c r="H162" s="70">
        <v>2006</v>
      </c>
      <c r="I162" s="69"/>
      <c r="J162" s="69" t="s">
        <v>843</v>
      </c>
      <c r="K162" s="71" t="s">
        <v>844</v>
      </c>
      <c r="L162" s="71" t="s">
        <v>845</v>
      </c>
      <c r="M162" s="71" t="s">
        <v>846</v>
      </c>
      <c r="N162" s="69" t="s">
        <v>57</v>
      </c>
      <c r="O162" s="64">
        <v>1</v>
      </c>
      <c r="P162" s="72">
        <v>14500</v>
      </c>
      <c r="Q162" s="69" t="s">
        <v>847</v>
      </c>
      <c r="R162" s="69"/>
      <c r="S162" s="68" t="s">
        <v>41</v>
      </c>
      <c r="T162" s="56">
        <v>2</v>
      </c>
      <c r="U162" s="56">
        <v>3</v>
      </c>
    </row>
    <row r="163" spans="1:21" ht="14.25" customHeight="1" x14ac:dyDescent="0.35">
      <c r="A163" s="47">
        <v>147</v>
      </c>
      <c r="B163" s="69" t="s">
        <v>79</v>
      </c>
      <c r="C163" s="69" t="s">
        <v>80</v>
      </c>
      <c r="D163" s="70" t="s">
        <v>841</v>
      </c>
      <c r="E163" s="69" t="s">
        <v>430</v>
      </c>
      <c r="F163" s="69" t="s">
        <v>443</v>
      </c>
      <c r="G163" s="69" t="s">
        <v>54</v>
      </c>
      <c r="H163" s="70">
        <v>2007</v>
      </c>
      <c r="I163" s="69"/>
      <c r="J163" s="69" t="s">
        <v>848</v>
      </c>
      <c r="K163" s="71" t="s">
        <v>849</v>
      </c>
      <c r="L163" s="71" t="s">
        <v>850</v>
      </c>
      <c r="M163" s="71" t="s">
        <v>582</v>
      </c>
      <c r="N163" s="69" t="s">
        <v>57</v>
      </c>
      <c r="O163" s="64">
        <v>1</v>
      </c>
      <c r="P163" s="72">
        <v>11750</v>
      </c>
      <c r="Q163" s="69" t="s">
        <v>851</v>
      </c>
      <c r="R163" s="69"/>
      <c r="S163" s="68" t="s">
        <v>41</v>
      </c>
      <c r="T163" s="56">
        <v>2</v>
      </c>
      <c r="U163" s="56">
        <v>3</v>
      </c>
    </row>
    <row r="164" spans="1:21" ht="14.25" customHeight="1" thickBot="1" x14ac:dyDescent="0.4">
      <c r="A164" s="58">
        <v>148</v>
      </c>
      <c r="B164" s="69" t="s">
        <v>79</v>
      </c>
      <c r="C164" s="69" t="s">
        <v>80</v>
      </c>
      <c r="D164" s="70" t="s">
        <v>841</v>
      </c>
      <c r="E164" s="69" t="s">
        <v>430</v>
      </c>
      <c r="F164" s="69" t="s">
        <v>82</v>
      </c>
      <c r="G164" s="69" t="s">
        <v>54</v>
      </c>
      <c r="H164" s="70">
        <v>2007</v>
      </c>
      <c r="I164" s="69"/>
      <c r="J164" s="69" t="s">
        <v>852</v>
      </c>
      <c r="K164" s="71" t="s">
        <v>853</v>
      </c>
      <c r="L164" s="71" t="s">
        <v>854</v>
      </c>
      <c r="M164" s="71" t="s">
        <v>855</v>
      </c>
      <c r="N164" s="69" t="s">
        <v>57</v>
      </c>
      <c r="O164" s="64">
        <v>1</v>
      </c>
      <c r="P164" s="72">
        <v>13500</v>
      </c>
      <c r="Q164" s="69" t="s">
        <v>856</v>
      </c>
      <c r="R164" s="69"/>
      <c r="S164" s="68" t="s">
        <v>41</v>
      </c>
      <c r="T164" s="56">
        <v>2</v>
      </c>
      <c r="U164" s="56">
        <v>3</v>
      </c>
    </row>
    <row r="165" spans="1:21" ht="14.25" customHeight="1" x14ac:dyDescent="0.35">
      <c r="A165" s="47">
        <v>149</v>
      </c>
      <c r="B165" s="69" t="s">
        <v>79</v>
      </c>
      <c r="C165" s="69" t="s">
        <v>80</v>
      </c>
      <c r="D165" s="70" t="s">
        <v>841</v>
      </c>
      <c r="E165" s="69" t="s">
        <v>531</v>
      </c>
      <c r="F165" s="69" t="s">
        <v>443</v>
      </c>
      <c r="G165" s="69" t="s">
        <v>54</v>
      </c>
      <c r="H165" s="70">
        <v>2010</v>
      </c>
      <c r="I165" s="69"/>
      <c r="J165" s="69" t="s">
        <v>857</v>
      </c>
      <c r="K165" s="71" t="s">
        <v>858</v>
      </c>
      <c r="L165" s="71" t="s">
        <v>860</v>
      </c>
      <c r="M165" s="71" t="s">
        <v>861</v>
      </c>
      <c r="N165" s="69" t="s">
        <v>57</v>
      </c>
      <c r="O165" s="64">
        <v>1</v>
      </c>
      <c r="P165" s="72">
        <v>13350</v>
      </c>
      <c r="Q165" s="69" t="s">
        <v>862</v>
      </c>
      <c r="R165" s="69"/>
      <c r="S165" s="68" t="s">
        <v>41</v>
      </c>
      <c r="T165" s="56">
        <v>2</v>
      </c>
      <c r="U165" s="56">
        <v>3</v>
      </c>
    </row>
    <row r="166" spans="1:21" ht="14.25" customHeight="1" thickBot="1" x14ac:dyDescent="0.4">
      <c r="A166" s="58">
        <v>150</v>
      </c>
      <c r="B166" s="69" t="s">
        <v>79</v>
      </c>
      <c r="C166" s="69" t="s">
        <v>80</v>
      </c>
      <c r="D166" s="70" t="s">
        <v>841</v>
      </c>
      <c r="E166" s="69" t="s">
        <v>465</v>
      </c>
      <c r="F166" s="69" t="s">
        <v>88</v>
      </c>
      <c r="G166" s="69" t="s">
        <v>54</v>
      </c>
      <c r="H166" s="70">
        <v>2013</v>
      </c>
      <c r="I166" s="69"/>
      <c r="J166" s="69" t="s">
        <v>863</v>
      </c>
      <c r="K166" s="71" t="s">
        <v>864</v>
      </c>
      <c r="L166" s="71" t="s">
        <v>865</v>
      </c>
      <c r="M166" s="71" t="s">
        <v>866</v>
      </c>
      <c r="N166" s="69" t="s">
        <v>57</v>
      </c>
      <c r="O166" s="64">
        <v>1</v>
      </c>
      <c r="P166" s="72">
        <v>15971.437</v>
      </c>
      <c r="Q166" s="69" t="s">
        <v>867</v>
      </c>
      <c r="R166" s="69"/>
      <c r="S166" s="68" t="s">
        <v>41</v>
      </c>
      <c r="T166" s="56">
        <v>2</v>
      </c>
      <c r="U166" s="56">
        <v>3</v>
      </c>
    </row>
    <row r="167" spans="1:21" ht="14.25" customHeight="1" x14ac:dyDescent="0.35">
      <c r="A167" s="47">
        <v>151</v>
      </c>
      <c r="B167" s="69" t="s">
        <v>79</v>
      </c>
      <c r="C167" s="69" t="s">
        <v>80</v>
      </c>
      <c r="D167" s="70" t="s">
        <v>841</v>
      </c>
      <c r="E167" s="69" t="s">
        <v>465</v>
      </c>
      <c r="F167" s="69" t="s">
        <v>88</v>
      </c>
      <c r="G167" s="69" t="s">
        <v>54</v>
      </c>
      <c r="H167" s="70">
        <v>2013</v>
      </c>
      <c r="I167" s="69"/>
      <c r="J167" s="69" t="s">
        <v>868</v>
      </c>
      <c r="K167" s="71" t="s">
        <v>869</v>
      </c>
      <c r="L167" s="71" t="s">
        <v>870</v>
      </c>
      <c r="M167" s="71" t="s">
        <v>871</v>
      </c>
      <c r="N167" s="69" t="s">
        <v>57</v>
      </c>
      <c r="O167" s="64">
        <v>1</v>
      </c>
      <c r="P167" s="72">
        <v>15971.437</v>
      </c>
      <c r="Q167" s="69" t="s">
        <v>872</v>
      </c>
      <c r="R167" s="69"/>
      <c r="S167" s="68" t="s">
        <v>41</v>
      </c>
      <c r="T167" s="56">
        <v>2</v>
      </c>
      <c r="U167" s="56">
        <v>3</v>
      </c>
    </row>
    <row r="168" spans="1:21" ht="14.25" customHeight="1" thickBot="1" x14ac:dyDescent="0.4">
      <c r="A168" s="58">
        <v>152</v>
      </c>
      <c r="B168" s="69" t="s">
        <v>79</v>
      </c>
      <c r="C168" s="69" t="s">
        <v>80</v>
      </c>
      <c r="D168" s="70" t="s">
        <v>841</v>
      </c>
      <c r="E168" s="69" t="s">
        <v>465</v>
      </c>
      <c r="F168" s="69" t="s">
        <v>88</v>
      </c>
      <c r="G168" s="69" t="s">
        <v>54</v>
      </c>
      <c r="H168" s="70">
        <v>2013</v>
      </c>
      <c r="I168" s="69"/>
      <c r="J168" s="69" t="s">
        <v>873</v>
      </c>
      <c r="K168" s="71" t="s">
        <v>874</v>
      </c>
      <c r="L168" s="71" t="s">
        <v>875</v>
      </c>
      <c r="M168" s="71" t="s">
        <v>876</v>
      </c>
      <c r="N168" s="69" t="s">
        <v>57</v>
      </c>
      <c r="O168" s="64">
        <v>1</v>
      </c>
      <c r="P168" s="72">
        <v>15971.437</v>
      </c>
      <c r="Q168" s="69" t="s">
        <v>877</v>
      </c>
      <c r="R168" s="69"/>
      <c r="S168" s="68" t="s">
        <v>41</v>
      </c>
      <c r="T168" s="56">
        <v>2</v>
      </c>
      <c r="U168" s="56">
        <v>3</v>
      </c>
    </row>
    <row r="169" spans="1:21" ht="14.25" customHeight="1" x14ac:dyDescent="0.35">
      <c r="A169" s="47">
        <v>153</v>
      </c>
      <c r="B169" s="69" t="s">
        <v>79</v>
      </c>
      <c r="C169" s="69" t="s">
        <v>80</v>
      </c>
      <c r="D169" s="70" t="s">
        <v>841</v>
      </c>
      <c r="E169" s="69" t="s">
        <v>465</v>
      </c>
      <c r="F169" s="69" t="s">
        <v>88</v>
      </c>
      <c r="G169" s="69" t="s">
        <v>54</v>
      </c>
      <c r="H169" s="70">
        <v>2013</v>
      </c>
      <c r="I169" s="69"/>
      <c r="J169" s="69" t="s">
        <v>878</v>
      </c>
      <c r="K169" s="71" t="s">
        <v>879</v>
      </c>
      <c r="L169" s="71" t="s">
        <v>880</v>
      </c>
      <c r="M169" s="71" t="s">
        <v>881</v>
      </c>
      <c r="N169" s="69" t="s">
        <v>57</v>
      </c>
      <c r="O169" s="64">
        <v>1</v>
      </c>
      <c r="P169" s="72">
        <v>15971.437</v>
      </c>
      <c r="Q169" s="69" t="s">
        <v>883</v>
      </c>
      <c r="R169" s="69"/>
      <c r="S169" s="68" t="s">
        <v>41</v>
      </c>
      <c r="T169" s="56">
        <v>2</v>
      </c>
      <c r="U169" s="56">
        <v>3</v>
      </c>
    </row>
    <row r="170" spans="1:21" ht="14.25" customHeight="1" thickBot="1" x14ac:dyDescent="0.4">
      <c r="A170" s="58">
        <v>154</v>
      </c>
      <c r="B170" s="69" t="s">
        <v>79</v>
      </c>
      <c r="C170" s="69" t="s">
        <v>80</v>
      </c>
      <c r="D170" s="70" t="s">
        <v>841</v>
      </c>
      <c r="E170" s="69" t="s">
        <v>780</v>
      </c>
      <c r="F170" s="69" t="s">
        <v>231</v>
      </c>
      <c r="G170" s="69" t="s">
        <v>54</v>
      </c>
      <c r="H170" s="70">
        <v>2013</v>
      </c>
      <c r="I170" s="69"/>
      <c r="J170" s="69" t="s">
        <v>884</v>
      </c>
      <c r="K170" s="71" t="s">
        <v>885</v>
      </c>
      <c r="L170" s="71" t="s">
        <v>886</v>
      </c>
      <c r="M170" s="71" t="s">
        <v>887</v>
      </c>
      <c r="N170" s="69" t="s">
        <v>57</v>
      </c>
      <c r="O170" s="64">
        <v>1</v>
      </c>
      <c r="P170" s="72">
        <v>17531.099999999999</v>
      </c>
      <c r="Q170" s="69" t="s">
        <v>888</v>
      </c>
      <c r="R170" s="69"/>
      <c r="S170" s="68" t="s">
        <v>41</v>
      </c>
      <c r="T170" s="56">
        <v>2</v>
      </c>
      <c r="U170" s="56">
        <v>3</v>
      </c>
    </row>
    <row r="171" spans="1:21" ht="14.25" customHeight="1" x14ac:dyDescent="0.35">
      <c r="A171" s="47">
        <v>155</v>
      </c>
      <c r="B171" s="69" t="s">
        <v>79</v>
      </c>
      <c r="C171" s="69" t="s">
        <v>80</v>
      </c>
      <c r="D171" s="70" t="s">
        <v>841</v>
      </c>
      <c r="E171" s="69" t="s">
        <v>465</v>
      </c>
      <c r="F171" s="69" t="s">
        <v>88</v>
      </c>
      <c r="G171" s="69" t="s">
        <v>54</v>
      </c>
      <c r="H171" s="70">
        <v>2013</v>
      </c>
      <c r="I171" s="69"/>
      <c r="J171" s="69" t="s">
        <v>889</v>
      </c>
      <c r="K171" s="71" t="s">
        <v>890</v>
      </c>
      <c r="L171" s="71" t="s">
        <v>891</v>
      </c>
      <c r="M171" s="71" t="s">
        <v>892</v>
      </c>
      <c r="N171" s="69" t="s">
        <v>57</v>
      </c>
      <c r="O171" s="64">
        <v>1</v>
      </c>
      <c r="P171" s="72">
        <v>15971.437</v>
      </c>
      <c r="Q171" s="69" t="s">
        <v>893</v>
      </c>
      <c r="R171" s="69"/>
      <c r="S171" s="68" t="s">
        <v>41</v>
      </c>
      <c r="T171" s="56">
        <v>2</v>
      </c>
      <c r="U171" s="56">
        <v>3</v>
      </c>
    </row>
    <row r="172" spans="1:21" ht="14.25" customHeight="1" thickBot="1" x14ac:dyDescent="0.4">
      <c r="A172" s="58">
        <v>156</v>
      </c>
      <c r="B172" s="69" t="s">
        <v>79</v>
      </c>
      <c r="C172" s="69" t="s">
        <v>80</v>
      </c>
      <c r="D172" s="70" t="s">
        <v>841</v>
      </c>
      <c r="E172" s="69" t="s">
        <v>465</v>
      </c>
      <c r="F172" s="69" t="s">
        <v>88</v>
      </c>
      <c r="G172" s="69" t="s">
        <v>54</v>
      </c>
      <c r="H172" s="70">
        <v>2013</v>
      </c>
      <c r="I172" s="69"/>
      <c r="J172" s="69" t="s">
        <v>894</v>
      </c>
      <c r="K172" s="71" t="s">
        <v>895</v>
      </c>
      <c r="L172" s="71" t="s">
        <v>896</v>
      </c>
      <c r="M172" s="71" t="s">
        <v>897</v>
      </c>
      <c r="N172" s="69" t="s">
        <v>57</v>
      </c>
      <c r="O172" s="64">
        <v>1</v>
      </c>
      <c r="P172" s="72">
        <v>15971.437</v>
      </c>
      <c r="Q172" s="69" t="s">
        <v>898</v>
      </c>
      <c r="R172" s="69"/>
      <c r="S172" s="68" t="s">
        <v>41</v>
      </c>
      <c r="T172" s="56">
        <v>2</v>
      </c>
      <c r="U172" s="56">
        <v>3</v>
      </c>
    </row>
    <row r="173" spans="1:21" ht="14.25" customHeight="1" x14ac:dyDescent="0.35">
      <c r="A173" s="47">
        <v>157</v>
      </c>
      <c r="B173" s="69" t="s">
        <v>79</v>
      </c>
      <c r="C173" s="69" t="s">
        <v>80</v>
      </c>
      <c r="D173" s="70" t="s">
        <v>841</v>
      </c>
      <c r="E173" s="69" t="s">
        <v>482</v>
      </c>
      <c r="F173" s="69" t="s">
        <v>483</v>
      </c>
      <c r="G173" s="69" t="s">
        <v>484</v>
      </c>
      <c r="H173" s="70">
        <v>2020</v>
      </c>
      <c r="I173" s="69" t="s">
        <v>63</v>
      </c>
      <c r="J173" s="69" t="s">
        <v>899</v>
      </c>
      <c r="K173" s="71" t="s">
        <v>900</v>
      </c>
      <c r="L173" s="71" t="s">
        <v>901</v>
      </c>
      <c r="M173" s="71" t="s">
        <v>902</v>
      </c>
      <c r="N173" s="69" t="s">
        <v>57</v>
      </c>
      <c r="O173" s="64">
        <v>1</v>
      </c>
      <c r="P173" s="72">
        <v>22900</v>
      </c>
      <c r="Q173" s="69" t="s">
        <v>488</v>
      </c>
      <c r="R173" s="69"/>
      <c r="S173" s="68" t="s">
        <v>41</v>
      </c>
      <c r="T173" s="56">
        <v>2</v>
      </c>
      <c r="U173" s="56">
        <v>3</v>
      </c>
    </row>
    <row r="174" spans="1:21" ht="14.25" customHeight="1" thickBot="1" x14ac:dyDescent="0.4">
      <c r="A174" s="58">
        <v>158</v>
      </c>
      <c r="B174" s="69" t="s">
        <v>79</v>
      </c>
      <c r="C174" s="69" t="s">
        <v>80</v>
      </c>
      <c r="D174" s="70" t="s">
        <v>904</v>
      </c>
      <c r="E174" s="69" t="s">
        <v>430</v>
      </c>
      <c r="F174" s="69" t="s">
        <v>82</v>
      </c>
      <c r="G174" s="69" t="s">
        <v>54</v>
      </c>
      <c r="H174" s="70">
        <v>2007</v>
      </c>
      <c r="I174" s="69"/>
      <c r="J174" s="69" t="s">
        <v>905</v>
      </c>
      <c r="K174" s="71" t="s">
        <v>906</v>
      </c>
      <c r="L174" s="71" t="s">
        <v>907</v>
      </c>
      <c r="M174" s="71" t="s">
        <v>908</v>
      </c>
      <c r="N174" s="69" t="s">
        <v>57</v>
      </c>
      <c r="O174" s="64">
        <v>1</v>
      </c>
      <c r="P174" s="72">
        <v>13500</v>
      </c>
      <c r="Q174" s="69" t="s">
        <v>909</v>
      </c>
      <c r="R174" s="69"/>
      <c r="S174" s="68" t="s">
        <v>41</v>
      </c>
      <c r="T174" s="56">
        <v>2</v>
      </c>
      <c r="U174" s="56">
        <v>3</v>
      </c>
    </row>
    <row r="175" spans="1:21" ht="14.25" customHeight="1" x14ac:dyDescent="0.35">
      <c r="A175" s="47">
        <v>159</v>
      </c>
      <c r="B175" s="69" t="s">
        <v>79</v>
      </c>
      <c r="C175" s="69" t="s">
        <v>80</v>
      </c>
      <c r="D175" s="70" t="s">
        <v>904</v>
      </c>
      <c r="E175" s="69" t="s">
        <v>430</v>
      </c>
      <c r="F175" s="69" t="s">
        <v>82</v>
      </c>
      <c r="G175" s="69" t="s">
        <v>54</v>
      </c>
      <c r="H175" s="70">
        <v>2007</v>
      </c>
      <c r="I175" s="69"/>
      <c r="J175" s="69" t="s">
        <v>910</v>
      </c>
      <c r="K175" s="71" t="s">
        <v>911</v>
      </c>
      <c r="L175" s="71" t="s">
        <v>912</v>
      </c>
      <c r="M175" s="71" t="s">
        <v>913</v>
      </c>
      <c r="N175" s="69" t="s">
        <v>57</v>
      </c>
      <c r="O175" s="64">
        <v>1</v>
      </c>
      <c r="P175" s="72">
        <v>13500</v>
      </c>
      <c r="Q175" s="69" t="s">
        <v>914</v>
      </c>
      <c r="R175" s="69"/>
      <c r="S175" s="68" t="s">
        <v>41</v>
      </c>
      <c r="T175" s="56">
        <v>2</v>
      </c>
      <c r="U175" s="56">
        <v>3</v>
      </c>
    </row>
    <row r="176" spans="1:21" ht="14.25" customHeight="1" thickBot="1" x14ac:dyDescent="0.4">
      <c r="A176" s="58">
        <v>160</v>
      </c>
      <c r="B176" s="69" t="s">
        <v>79</v>
      </c>
      <c r="C176" s="69" t="s">
        <v>80</v>
      </c>
      <c r="D176" s="70" t="s">
        <v>904</v>
      </c>
      <c r="E176" s="69" t="s">
        <v>465</v>
      </c>
      <c r="F176" s="69" t="s">
        <v>88</v>
      </c>
      <c r="G176" s="69" t="s">
        <v>54</v>
      </c>
      <c r="H176" s="70">
        <v>2013</v>
      </c>
      <c r="I176" s="69"/>
      <c r="J176" s="69" t="s">
        <v>915</v>
      </c>
      <c r="K176" s="71" t="s">
        <v>916</v>
      </c>
      <c r="L176" s="71" t="s">
        <v>917</v>
      </c>
      <c r="M176" s="71" t="s">
        <v>918</v>
      </c>
      <c r="N176" s="69" t="s">
        <v>57</v>
      </c>
      <c r="O176" s="64">
        <v>1</v>
      </c>
      <c r="P176" s="72">
        <v>15971.437</v>
      </c>
      <c r="Q176" s="69" t="s">
        <v>919</v>
      </c>
      <c r="R176" s="69"/>
      <c r="S176" s="68" t="s">
        <v>41</v>
      </c>
      <c r="T176" s="56">
        <v>2</v>
      </c>
      <c r="U176" s="56">
        <v>3</v>
      </c>
    </row>
    <row r="177" spans="1:21" ht="14.25" customHeight="1" x14ac:dyDescent="0.35">
      <c r="A177" s="47">
        <v>161</v>
      </c>
      <c r="B177" s="69" t="s">
        <v>79</v>
      </c>
      <c r="C177" s="69" t="s">
        <v>80</v>
      </c>
      <c r="D177" s="70" t="s">
        <v>904</v>
      </c>
      <c r="E177" s="69" t="s">
        <v>465</v>
      </c>
      <c r="F177" s="69" t="s">
        <v>88</v>
      </c>
      <c r="G177" s="69" t="s">
        <v>54</v>
      </c>
      <c r="H177" s="70">
        <v>2013</v>
      </c>
      <c r="I177" s="69"/>
      <c r="J177" s="69" t="s">
        <v>920</v>
      </c>
      <c r="K177" s="71" t="s">
        <v>921</v>
      </c>
      <c r="L177" s="71" t="s">
        <v>922</v>
      </c>
      <c r="M177" s="71" t="s">
        <v>923</v>
      </c>
      <c r="N177" s="69" t="s">
        <v>57</v>
      </c>
      <c r="O177" s="64">
        <v>1</v>
      </c>
      <c r="P177" s="72">
        <v>15971.437</v>
      </c>
      <c r="Q177" s="69" t="s">
        <v>924</v>
      </c>
      <c r="R177" s="69"/>
      <c r="S177" s="68" t="s">
        <v>41</v>
      </c>
      <c r="T177" s="56">
        <v>2</v>
      </c>
      <c r="U177" s="56">
        <v>3</v>
      </c>
    </row>
    <row r="178" spans="1:21" ht="14.25" customHeight="1" thickBot="1" x14ac:dyDescent="0.4">
      <c r="A178" s="58">
        <v>162</v>
      </c>
      <c r="B178" s="69" t="s">
        <v>79</v>
      </c>
      <c r="C178" s="69" t="s">
        <v>80</v>
      </c>
      <c r="D178" s="70" t="s">
        <v>904</v>
      </c>
      <c r="E178" s="69" t="s">
        <v>465</v>
      </c>
      <c r="F178" s="69" t="s">
        <v>88</v>
      </c>
      <c r="G178" s="69" t="s">
        <v>54</v>
      </c>
      <c r="H178" s="70">
        <v>2013</v>
      </c>
      <c r="I178" s="69"/>
      <c r="J178" s="69" t="s">
        <v>926</v>
      </c>
      <c r="K178" s="71" t="s">
        <v>927</v>
      </c>
      <c r="L178" s="71" t="s">
        <v>928</v>
      </c>
      <c r="M178" s="71" t="s">
        <v>929</v>
      </c>
      <c r="N178" s="69" t="s">
        <v>57</v>
      </c>
      <c r="O178" s="64">
        <v>1</v>
      </c>
      <c r="P178" s="72">
        <v>15971.437</v>
      </c>
      <c r="Q178" s="69" t="s">
        <v>930</v>
      </c>
      <c r="R178" s="69"/>
      <c r="S178" s="68" t="s">
        <v>41</v>
      </c>
      <c r="T178" s="56">
        <v>2</v>
      </c>
      <c r="U178" s="56">
        <v>3</v>
      </c>
    </row>
    <row r="179" spans="1:21" ht="14.25" customHeight="1" x14ac:dyDescent="0.35">
      <c r="A179" s="47">
        <v>163</v>
      </c>
      <c r="B179" s="69" t="s">
        <v>79</v>
      </c>
      <c r="C179" s="69" t="s">
        <v>80</v>
      </c>
      <c r="D179" s="70" t="s">
        <v>904</v>
      </c>
      <c r="E179" s="69" t="s">
        <v>465</v>
      </c>
      <c r="F179" s="69" t="s">
        <v>88</v>
      </c>
      <c r="G179" s="69" t="s">
        <v>54</v>
      </c>
      <c r="H179" s="70">
        <v>2013</v>
      </c>
      <c r="I179" s="69"/>
      <c r="J179" s="69" t="s">
        <v>931</v>
      </c>
      <c r="K179" s="71" t="s">
        <v>932</v>
      </c>
      <c r="L179" s="71" t="s">
        <v>933</v>
      </c>
      <c r="M179" s="71" t="s">
        <v>934</v>
      </c>
      <c r="N179" s="69" t="s">
        <v>57</v>
      </c>
      <c r="O179" s="64">
        <v>1</v>
      </c>
      <c r="P179" s="72">
        <v>15971.437</v>
      </c>
      <c r="Q179" s="69" t="s">
        <v>935</v>
      </c>
      <c r="R179" s="69"/>
      <c r="S179" s="68" t="s">
        <v>41</v>
      </c>
      <c r="T179" s="56">
        <v>2</v>
      </c>
      <c r="U179" s="56">
        <v>3</v>
      </c>
    </row>
    <row r="180" spans="1:21" ht="14.25" customHeight="1" thickBot="1" x14ac:dyDescent="0.4">
      <c r="A180" s="58">
        <v>164</v>
      </c>
      <c r="B180" s="69" t="s">
        <v>79</v>
      </c>
      <c r="C180" s="69" t="s">
        <v>80</v>
      </c>
      <c r="D180" s="70" t="s">
        <v>904</v>
      </c>
      <c r="E180" s="69" t="s">
        <v>465</v>
      </c>
      <c r="F180" s="69" t="s">
        <v>88</v>
      </c>
      <c r="G180" s="69" t="s">
        <v>54</v>
      </c>
      <c r="H180" s="70">
        <v>2013</v>
      </c>
      <c r="I180" s="69"/>
      <c r="J180" s="69" t="s">
        <v>936</v>
      </c>
      <c r="K180" s="71" t="s">
        <v>937</v>
      </c>
      <c r="L180" s="71" t="s">
        <v>938</v>
      </c>
      <c r="M180" s="71" t="s">
        <v>939</v>
      </c>
      <c r="N180" s="69" t="s">
        <v>57</v>
      </c>
      <c r="O180" s="64">
        <v>1</v>
      </c>
      <c r="P180" s="72">
        <v>15971.437</v>
      </c>
      <c r="Q180" s="69" t="s">
        <v>940</v>
      </c>
      <c r="R180" s="69"/>
      <c r="S180" s="68" t="s">
        <v>41</v>
      </c>
      <c r="T180" s="56">
        <v>2</v>
      </c>
      <c r="U180" s="56">
        <v>3</v>
      </c>
    </row>
    <row r="181" spans="1:21" ht="14.25" customHeight="1" x14ac:dyDescent="0.35">
      <c r="A181" s="47">
        <v>165</v>
      </c>
      <c r="B181" s="69" t="s">
        <v>79</v>
      </c>
      <c r="C181" s="69" t="s">
        <v>80</v>
      </c>
      <c r="D181" s="70" t="s">
        <v>904</v>
      </c>
      <c r="E181" s="69" t="s">
        <v>780</v>
      </c>
      <c r="F181" s="69" t="s">
        <v>231</v>
      </c>
      <c r="G181" s="69" t="s">
        <v>54</v>
      </c>
      <c r="H181" s="70">
        <v>2013</v>
      </c>
      <c r="I181" s="69"/>
      <c r="J181" s="69" t="s">
        <v>941</v>
      </c>
      <c r="K181" s="71" t="s">
        <v>942</v>
      </c>
      <c r="L181" s="71" t="s">
        <v>943</v>
      </c>
      <c r="M181" s="71" t="s">
        <v>944</v>
      </c>
      <c r="N181" s="69" t="s">
        <v>57</v>
      </c>
      <c r="O181" s="64">
        <v>1</v>
      </c>
      <c r="P181" s="72">
        <v>17531.099999999999</v>
      </c>
      <c r="Q181" s="69" t="s">
        <v>945</v>
      </c>
      <c r="R181" s="69"/>
      <c r="S181" s="68" t="s">
        <v>41</v>
      </c>
      <c r="T181" s="56">
        <v>2</v>
      </c>
      <c r="U181" s="56">
        <v>3</v>
      </c>
    </row>
    <row r="182" spans="1:21" ht="14.25" customHeight="1" thickBot="1" x14ac:dyDescent="0.4">
      <c r="A182" s="58">
        <v>166</v>
      </c>
      <c r="B182" s="69" t="s">
        <v>79</v>
      </c>
      <c r="C182" s="69" t="s">
        <v>80</v>
      </c>
      <c r="D182" s="70" t="s">
        <v>904</v>
      </c>
      <c r="E182" s="69" t="s">
        <v>465</v>
      </c>
      <c r="F182" s="69" t="s">
        <v>88</v>
      </c>
      <c r="G182" s="69" t="s">
        <v>54</v>
      </c>
      <c r="H182" s="70">
        <v>2013</v>
      </c>
      <c r="I182" s="69"/>
      <c r="J182" s="69" t="s">
        <v>946</v>
      </c>
      <c r="K182" s="71" t="s">
        <v>947</v>
      </c>
      <c r="L182" s="71" t="s">
        <v>948</v>
      </c>
      <c r="M182" s="71" t="s">
        <v>949</v>
      </c>
      <c r="N182" s="69" t="s">
        <v>57</v>
      </c>
      <c r="O182" s="64">
        <v>1</v>
      </c>
      <c r="P182" s="72">
        <v>15971.437</v>
      </c>
      <c r="Q182" s="69" t="s">
        <v>950</v>
      </c>
      <c r="R182" s="69"/>
      <c r="S182" s="68" t="s">
        <v>41</v>
      </c>
      <c r="T182" s="56">
        <v>2</v>
      </c>
      <c r="U182" s="56">
        <v>3</v>
      </c>
    </row>
    <row r="183" spans="1:21" ht="14.25" customHeight="1" x14ac:dyDescent="0.35">
      <c r="A183" s="47">
        <v>167</v>
      </c>
      <c r="B183" s="69" t="s">
        <v>79</v>
      </c>
      <c r="C183" s="69" t="s">
        <v>80</v>
      </c>
      <c r="D183" s="70" t="s">
        <v>904</v>
      </c>
      <c r="E183" s="69" t="s">
        <v>952</v>
      </c>
      <c r="F183" s="69" t="s">
        <v>231</v>
      </c>
      <c r="G183" s="69" t="s">
        <v>953</v>
      </c>
      <c r="H183" s="70">
        <v>2022</v>
      </c>
      <c r="I183" s="69" t="s">
        <v>63</v>
      </c>
      <c r="J183" s="69" t="s">
        <v>954</v>
      </c>
      <c r="K183" s="71" t="s">
        <v>955</v>
      </c>
      <c r="L183" s="71" t="s">
        <v>956</v>
      </c>
      <c r="M183" s="71" t="s">
        <v>957</v>
      </c>
      <c r="N183" s="69" t="s">
        <v>44</v>
      </c>
      <c r="O183" s="64">
        <v>1</v>
      </c>
      <c r="P183" s="72">
        <v>33511.99</v>
      </c>
      <c r="Q183" s="69" t="s">
        <v>958</v>
      </c>
      <c r="R183" s="69"/>
      <c r="S183" s="68" t="s">
        <v>41</v>
      </c>
      <c r="T183" s="56">
        <v>2</v>
      </c>
      <c r="U183" s="56">
        <v>3</v>
      </c>
    </row>
    <row r="184" spans="1:21" ht="14.25" customHeight="1" thickBot="1" x14ac:dyDescent="0.4">
      <c r="A184" s="58">
        <v>168</v>
      </c>
      <c r="B184" s="69" t="s">
        <v>79</v>
      </c>
      <c r="C184" s="69" t="s">
        <v>80</v>
      </c>
      <c r="D184" s="70" t="s">
        <v>122</v>
      </c>
      <c r="E184" s="69" t="s">
        <v>730</v>
      </c>
      <c r="F184" s="69" t="s">
        <v>82</v>
      </c>
      <c r="G184" s="69" t="s">
        <v>54</v>
      </c>
      <c r="H184" s="70">
        <v>2002</v>
      </c>
      <c r="I184" s="69"/>
      <c r="J184" s="69" t="s">
        <v>959</v>
      </c>
      <c r="K184" s="71" t="s">
        <v>960</v>
      </c>
      <c r="L184" s="71" t="s">
        <v>961</v>
      </c>
      <c r="M184" s="71">
        <v>4324525</v>
      </c>
      <c r="N184" s="69" t="s">
        <v>57</v>
      </c>
      <c r="O184" s="64">
        <v>1</v>
      </c>
      <c r="P184" s="72">
        <v>13500</v>
      </c>
      <c r="Q184" s="69" t="s">
        <v>962</v>
      </c>
      <c r="R184" s="69"/>
      <c r="S184" s="68" t="s">
        <v>41</v>
      </c>
      <c r="T184" s="56">
        <v>2</v>
      </c>
      <c r="U184" s="56">
        <v>3</v>
      </c>
    </row>
    <row r="185" spans="1:21" ht="14.25" customHeight="1" x14ac:dyDescent="0.35">
      <c r="A185" s="47">
        <v>169</v>
      </c>
      <c r="B185" s="69" t="s">
        <v>79</v>
      </c>
      <c r="C185" s="69" t="s">
        <v>80</v>
      </c>
      <c r="D185" s="70" t="s">
        <v>122</v>
      </c>
      <c r="E185" s="69" t="s">
        <v>963</v>
      </c>
      <c r="F185" s="69" t="s">
        <v>82</v>
      </c>
      <c r="G185" s="69" t="s">
        <v>54</v>
      </c>
      <c r="H185" s="70">
        <v>2003</v>
      </c>
      <c r="I185" s="69"/>
      <c r="J185" s="69" t="s">
        <v>964</v>
      </c>
      <c r="K185" s="71" t="s">
        <v>965</v>
      </c>
      <c r="L185" s="71" t="s">
        <v>966</v>
      </c>
      <c r="M185" s="71" t="s">
        <v>967</v>
      </c>
      <c r="N185" s="69" t="s">
        <v>57</v>
      </c>
      <c r="O185" s="64">
        <v>1</v>
      </c>
      <c r="P185" s="72">
        <v>13500</v>
      </c>
      <c r="Q185" s="69" t="s">
        <v>968</v>
      </c>
      <c r="R185" s="69"/>
      <c r="S185" s="68" t="s">
        <v>41</v>
      </c>
      <c r="T185" s="56">
        <v>2</v>
      </c>
      <c r="U185" s="56">
        <v>3</v>
      </c>
    </row>
    <row r="186" spans="1:21" ht="14.25" customHeight="1" thickBot="1" x14ac:dyDescent="0.4">
      <c r="A186" s="58">
        <v>170</v>
      </c>
      <c r="B186" s="69" t="s">
        <v>79</v>
      </c>
      <c r="C186" s="69" t="s">
        <v>80</v>
      </c>
      <c r="D186" s="70" t="s">
        <v>122</v>
      </c>
      <c r="E186" s="69" t="s">
        <v>430</v>
      </c>
      <c r="F186" s="69" t="s">
        <v>82</v>
      </c>
      <c r="G186" s="69" t="s">
        <v>54</v>
      </c>
      <c r="H186" s="70">
        <v>2007</v>
      </c>
      <c r="I186" s="69"/>
      <c r="J186" s="69" t="s">
        <v>969</v>
      </c>
      <c r="K186" s="71" t="s">
        <v>970</v>
      </c>
      <c r="L186" s="71" t="s">
        <v>971</v>
      </c>
      <c r="M186" s="71" t="s">
        <v>972</v>
      </c>
      <c r="N186" s="69" t="s">
        <v>57</v>
      </c>
      <c r="O186" s="64">
        <v>1</v>
      </c>
      <c r="P186" s="72">
        <v>13500</v>
      </c>
      <c r="Q186" s="69" t="s">
        <v>973</v>
      </c>
      <c r="R186" s="69"/>
      <c r="S186" s="68" t="s">
        <v>41</v>
      </c>
      <c r="T186" s="56">
        <v>2</v>
      </c>
      <c r="U186" s="56">
        <v>3</v>
      </c>
    </row>
    <row r="187" spans="1:21" ht="14.25" customHeight="1" x14ac:dyDescent="0.35">
      <c r="A187" s="47">
        <v>171</v>
      </c>
      <c r="B187" s="69" t="s">
        <v>79</v>
      </c>
      <c r="C187" s="69" t="s">
        <v>80</v>
      </c>
      <c r="D187" s="70" t="s">
        <v>122</v>
      </c>
      <c r="E187" s="69" t="s">
        <v>531</v>
      </c>
      <c r="F187" s="69" t="s">
        <v>443</v>
      </c>
      <c r="G187" s="69" t="s">
        <v>54</v>
      </c>
      <c r="H187" s="70">
        <v>2010</v>
      </c>
      <c r="I187" s="69"/>
      <c r="J187" s="69" t="s">
        <v>974</v>
      </c>
      <c r="K187" s="71" t="s">
        <v>975</v>
      </c>
      <c r="L187" s="71" t="s">
        <v>976</v>
      </c>
      <c r="M187" s="71" t="s">
        <v>977</v>
      </c>
      <c r="N187" s="69" t="s">
        <v>57</v>
      </c>
      <c r="O187" s="64">
        <v>1</v>
      </c>
      <c r="P187" s="72">
        <v>13350</v>
      </c>
      <c r="Q187" s="69" t="s">
        <v>978</v>
      </c>
      <c r="R187" s="69"/>
      <c r="S187" s="68" t="s">
        <v>41</v>
      </c>
      <c r="T187" s="56">
        <v>2</v>
      </c>
      <c r="U187" s="56">
        <v>3</v>
      </c>
    </row>
    <row r="188" spans="1:21" ht="14.25" customHeight="1" thickBot="1" x14ac:dyDescent="0.4">
      <c r="A188" s="58">
        <v>172</v>
      </c>
      <c r="B188" s="69" t="s">
        <v>79</v>
      </c>
      <c r="C188" s="69" t="s">
        <v>80</v>
      </c>
      <c r="D188" s="70" t="s">
        <v>122</v>
      </c>
      <c r="E188" s="69" t="s">
        <v>465</v>
      </c>
      <c r="F188" s="69" t="s">
        <v>88</v>
      </c>
      <c r="G188" s="69" t="s">
        <v>54</v>
      </c>
      <c r="H188" s="70">
        <v>2013</v>
      </c>
      <c r="I188" s="69"/>
      <c r="J188" s="69" t="s">
        <v>979</v>
      </c>
      <c r="K188" s="71" t="s">
        <v>980</v>
      </c>
      <c r="L188" s="71" t="s">
        <v>981</v>
      </c>
      <c r="M188" s="71" t="s">
        <v>982</v>
      </c>
      <c r="N188" s="69" t="s">
        <v>57</v>
      </c>
      <c r="O188" s="64">
        <v>1</v>
      </c>
      <c r="P188" s="72">
        <v>15971.437</v>
      </c>
      <c r="Q188" s="69" t="s">
        <v>983</v>
      </c>
      <c r="R188" s="69"/>
      <c r="S188" s="68" t="s">
        <v>41</v>
      </c>
      <c r="T188" s="56">
        <v>2</v>
      </c>
      <c r="U188" s="56">
        <v>3</v>
      </c>
    </row>
    <row r="189" spans="1:21" ht="14.25" customHeight="1" x14ac:dyDescent="0.35">
      <c r="A189" s="47">
        <v>173</v>
      </c>
      <c r="B189" s="69" t="s">
        <v>79</v>
      </c>
      <c r="C189" s="69" t="s">
        <v>80</v>
      </c>
      <c r="D189" s="70" t="s">
        <v>122</v>
      </c>
      <c r="E189" s="69" t="s">
        <v>465</v>
      </c>
      <c r="F189" s="69" t="s">
        <v>88</v>
      </c>
      <c r="G189" s="69" t="s">
        <v>54</v>
      </c>
      <c r="H189" s="70">
        <v>2013</v>
      </c>
      <c r="I189" s="69"/>
      <c r="J189" s="69" t="s">
        <v>984</v>
      </c>
      <c r="K189" s="71" t="s">
        <v>985</v>
      </c>
      <c r="L189" s="71" t="s">
        <v>986</v>
      </c>
      <c r="M189" s="71" t="s">
        <v>987</v>
      </c>
      <c r="N189" s="69" t="s">
        <v>57</v>
      </c>
      <c r="O189" s="64">
        <v>1</v>
      </c>
      <c r="P189" s="72">
        <v>15971.437</v>
      </c>
      <c r="Q189" s="69" t="s">
        <v>988</v>
      </c>
      <c r="R189" s="69"/>
      <c r="S189" s="68" t="s">
        <v>41</v>
      </c>
      <c r="T189" s="56">
        <v>2</v>
      </c>
      <c r="U189" s="56">
        <v>3</v>
      </c>
    </row>
    <row r="190" spans="1:21" ht="14.25" customHeight="1" thickBot="1" x14ac:dyDescent="0.4">
      <c r="A190" s="58">
        <v>174</v>
      </c>
      <c r="B190" s="69" t="s">
        <v>79</v>
      </c>
      <c r="C190" s="69" t="s">
        <v>80</v>
      </c>
      <c r="D190" s="70" t="s">
        <v>122</v>
      </c>
      <c r="E190" s="69" t="s">
        <v>465</v>
      </c>
      <c r="F190" s="69" t="s">
        <v>88</v>
      </c>
      <c r="G190" s="69" t="s">
        <v>54</v>
      </c>
      <c r="H190" s="70">
        <v>2013</v>
      </c>
      <c r="I190" s="69"/>
      <c r="J190" s="69" t="s">
        <v>989</v>
      </c>
      <c r="K190" s="71" t="s">
        <v>990</v>
      </c>
      <c r="L190" s="71" t="s">
        <v>991</v>
      </c>
      <c r="M190" s="71" t="s">
        <v>992</v>
      </c>
      <c r="N190" s="69" t="s">
        <v>57</v>
      </c>
      <c r="O190" s="64">
        <v>1</v>
      </c>
      <c r="P190" s="72">
        <v>15971.437</v>
      </c>
      <c r="Q190" s="69" t="s">
        <v>993</v>
      </c>
      <c r="R190" s="69"/>
      <c r="S190" s="68" t="s">
        <v>41</v>
      </c>
      <c r="T190" s="56">
        <v>2</v>
      </c>
      <c r="U190" s="56">
        <v>3</v>
      </c>
    </row>
    <row r="191" spans="1:21" ht="14.25" customHeight="1" x14ac:dyDescent="0.35">
      <c r="A191" s="47">
        <v>175</v>
      </c>
      <c r="B191" s="69" t="s">
        <v>79</v>
      </c>
      <c r="C191" s="69" t="s">
        <v>80</v>
      </c>
      <c r="D191" s="70" t="s">
        <v>122</v>
      </c>
      <c r="E191" s="69" t="s">
        <v>465</v>
      </c>
      <c r="F191" s="69" t="s">
        <v>88</v>
      </c>
      <c r="G191" s="69" t="s">
        <v>54</v>
      </c>
      <c r="H191" s="70">
        <v>2013</v>
      </c>
      <c r="I191" s="69"/>
      <c r="J191" s="69" t="s">
        <v>994</v>
      </c>
      <c r="K191" s="71" t="s">
        <v>995</v>
      </c>
      <c r="L191" s="71" t="s">
        <v>996</v>
      </c>
      <c r="M191" s="71" t="s">
        <v>997</v>
      </c>
      <c r="N191" s="69" t="s">
        <v>57</v>
      </c>
      <c r="O191" s="64">
        <v>1</v>
      </c>
      <c r="P191" s="72">
        <v>15971.437</v>
      </c>
      <c r="Q191" s="69" t="s">
        <v>998</v>
      </c>
      <c r="R191" s="69"/>
      <c r="S191" s="68" t="s">
        <v>41</v>
      </c>
      <c r="T191" s="56">
        <v>2</v>
      </c>
      <c r="U191" s="56">
        <v>3</v>
      </c>
    </row>
    <row r="192" spans="1:21" ht="14.25" customHeight="1" thickBot="1" x14ac:dyDescent="0.4">
      <c r="A192" s="58">
        <v>176</v>
      </c>
      <c r="B192" s="69" t="s">
        <v>79</v>
      </c>
      <c r="C192" s="69" t="s">
        <v>80</v>
      </c>
      <c r="D192" s="70" t="s">
        <v>122</v>
      </c>
      <c r="E192" s="69" t="s">
        <v>465</v>
      </c>
      <c r="F192" s="69" t="s">
        <v>88</v>
      </c>
      <c r="G192" s="69" t="s">
        <v>54</v>
      </c>
      <c r="H192" s="70">
        <v>2013</v>
      </c>
      <c r="I192" s="69"/>
      <c r="J192" s="69" t="s">
        <v>999</v>
      </c>
      <c r="K192" s="71" t="s">
        <v>1000</v>
      </c>
      <c r="L192" s="71" t="s">
        <v>1001</v>
      </c>
      <c r="M192" s="71" t="s">
        <v>1002</v>
      </c>
      <c r="N192" s="69" t="s">
        <v>57</v>
      </c>
      <c r="O192" s="64">
        <v>1</v>
      </c>
      <c r="P192" s="72">
        <v>15971.437</v>
      </c>
      <c r="Q192" s="69" t="s">
        <v>1003</v>
      </c>
      <c r="R192" s="69"/>
      <c r="S192" s="68" t="s">
        <v>41</v>
      </c>
      <c r="T192" s="56">
        <v>2</v>
      </c>
      <c r="U192" s="56">
        <v>3</v>
      </c>
    </row>
    <row r="193" spans="1:21" ht="14.25" customHeight="1" x14ac:dyDescent="0.35">
      <c r="A193" s="47">
        <v>177</v>
      </c>
      <c r="B193" s="69" t="s">
        <v>79</v>
      </c>
      <c r="C193" s="69" t="s">
        <v>80</v>
      </c>
      <c r="D193" s="70" t="s">
        <v>126</v>
      </c>
      <c r="E193" s="69" t="s">
        <v>459</v>
      </c>
      <c r="F193" s="69" t="s">
        <v>82</v>
      </c>
      <c r="G193" s="69" t="s">
        <v>54</v>
      </c>
      <c r="H193" s="70">
        <v>2004</v>
      </c>
      <c r="I193" s="69"/>
      <c r="J193" s="69" t="s">
        <v>1004</v>
      </c>
      <c r="K193" s="71" t="s">
        <v>1005</v>
      </c>
      <c r="L193" s="71" t="s">
        <v>1006</v>
      </c>
      <c r="M193" s="71" t="s">
        <v>1007</v>
      </c>
      <c r="N193" s="69" t="s">
        <v>57</v>
      </c>
      <c r="O193" s="64">
        <v>1</v>
      </c>
      <c r="P193" s="72">
        <v>14500</v>
      </c>
      <c r="Q193" s="69" t="s">
        <v>1008</v>
      </c>
      <c r="R193" s="69"/>
      <c r="S193" s="68" t="s">
        <v>41</v>
      </c>
      <c r="T193" s="56">
        <v>2</v>
      </c>
      <c r="U193" s="56">
        <v>3</v>
      </c>
    </row>
    <row r="194" spans="1:21" ht="14.25" customHeight="1" thickBot="1" x14ac:dyDescent="0.4">
      <c r="A194" s="58">
        <v>178</v>
      </c>
      <c r="B194" s="69" t="s">
        <v>79</v>
      </c>
      <c r="C194" s="69" t="s">
        <v>80</v>
      </c>
      <c r="D194" s="70" t="s">
        <v>126</v>
      </c>
      <c r="E194" s="69" t="s">
        <v>1009</v>
      </c>
      <c r="F194" s="69" t="s">
        <v>443</v>
      </c>
      <c r="G194" s="69" t="s">
        <v>54</v>
      </c>
      <c r="H194" s="70">
        <v>2006</v>
      </c>
      <c r="I194" s="69"/>
      <c r="J194" s="69" t="s">
        <v>1010</v>
      </c>
      <c r="K194" s="71" t="s">
        <v>1011</v>
      </c>
      <c r="L194" s="71" t="s">
        <v>1012</v>
      </c>
      <c r="M194" s="71" t="s">
        <v>1013</v>
      </c>
      <c r="N194" s="69" t="s">
        <v>57</v>
      </c>
      <c r="O194" s="64">
        <v>1</v>
      </c>
      <c r="P194" s="72">
        <v>13500</v>
      </c>
      <c r="Q194" s="69" t="s">
        <v>1014</v>
      </c>
      <c r="R194" s="69"/>
      <c r="S194" s="68" t="s">
        <v>41</v>
      </c>
      <c r="T194" s="56">
        <v>2</v>
      </c>
      <c r="U194" s="56">
        <v>3</v>
      </c>
    </row>
    <row r="195" spans="1:21" ht="14.25" customHeight="1" x14ac:dyDescent="0.35">
      <c r="A195" s="47">
        <v>179</v>
      </c>
      <c r="B195" s="69" t="s">
        <v>79</v>
      </c>
      <c r="C195" s="69" t="s">
        <v>80</v>
      </c>
      <c r="D195" s="70" t="s">
        <v>126</v>
      </c>
      <c r="E195" s="69" t="s">
        <v>430</v>
      </c>
      <c r="F195" s="69" t="s">
        <v>82</v>
      </c>
      <c r="G195" s="69" t="s">
        <v>54</v>
      </c>
      <c r="H195" s="70">
        <v>2007</v>
      </c>
      <c r="I195" s="69"/>
      <c r="J195" s="69" t="s">
        <v>1015</v>
      </c>
      <c r="K195" s="71" t="s">
        <v>1016</v>
      </c>
      <c r="L195" s="71" t="s">
        <v>1017</v>
      </c>
      <c r="M195" s="71" t="s">
        <v>1018</v>
      </c>
      <c r="N195" s="69" t="s">
        <v>57</v>
      </c>
      <c r="O195" s="64">
        <v>1</v>
      </c>
      <c r="P195" s="72">
        <v>13500</v>
      </c>
      <c r="Q195" s="69" t="s">
        <v>1019</v>
      </c>
      <c r="R195" s="69"/>
      <c r="S195" s="68" t="s">
        <v>41</v>
      </c>
      <c r="T195" s="56">
        <v>2</v>
      </c>
      <c r="U195" s="56">
        <v>3</v>
      </c>
    </row>
    <row r="196" spans="1:21" ht="14.25" customHeight="1" thickBot="1" x14ac:dyDescent="0.4">
      <c r="A196" s="58">
        <v>180</v>
      </c>
      <c r="B196" s="69" t="s">
        <v>79</v>
      </c>
      <c r="C196" s="69" t="s">
        <v>80</v>
      </c>
      <c r="D196" s="70" t="s">
        <v>126</v>
      </c>
      <c r="E196" s="69" t="s">
        <v>465</v>
      </c>
      <c r="F196" s="69" t="s">
        <v>88</v>
      </c>
      <c r="G196" s="69" t="s">
        <v>54</v>
      </c>
      <c r="H196" s="70">
        <v>2013</v>
      </c>
      <c r="I196" s="69"/>
      <c r="J196" s="69" t="s">
        <v>1020</v>
      </c>
      <c r="K196" s="71" t="s">
        <v>1021</v>
      </c>
      <c r="L196" s="71" t="s">
        <v>1022</v>
      </c>
      <c r="M196" s="71" t="s">
        <v>1023</v>
      </c>
      <c r="N196" s="69" t="s">
        <v>57</v>
      </c>
      <c r="O196" s="64">
        <v>1</v>
      </c>
      <c r="P196" s="72">
        <v>15971.437</v>
      </c>
      <c r="Q196" s="69" t="s">
        <v>1024</v>
      </c>
      <c r="R196" s="69"/>
      <c r="S196" s="68" t="s">
        <v>41</v>
      </c>
      <c r="T196" s="56">
        <v>2</v>
      </c>
      <c r="U196" s="56">
        <v>3</v>
      </c>
    </row>
    <row r="197" spans="1:21" ht="14.25" customHeight="1" x14ac:dyDescent="0.35">
      <c r="A197" s="47">
        <v>181</v>
      </c>
      <c r="B197" s="69" t="s">
        <v>79</v>
      </c>
      <c r="C197" s="69" t="s">
        <v>80</v>
      </c>
      <c r="D197" s="70" t="s">
        <v>126</v>
      </c>
      <c r="E197" s="69" t="s">
        <v>465</v>
      </c>
      <c r="F197" s="69" t="s">
        <v>88</v>
      </c>
      <c r="G197" s="69" t="s">
        <v>54</v>
      </c>
      <c r="H197" s="70">
        <v>2013</v>
      </c>
      <c r="I197" s="69"/>
      <c r="J197" s="69" t="s">
        <v>1025</v>
      </c>
      <c r="K197" s="71" t="s">
        <v>1026</v>
      </c>
      <c r="L197" s="71" t="s">
        <v>1027</v>
      </c>
      <c r="M197" s="71" t="s">
        <v>1028</v>
      </c>
      <c r="N197" s="69" t="s">
        <v>57</v>
      </c>
      <c r="O197" s="64">
        <v>1</v>
      </c>
      <c r="P197" s="72">
        <v>15971.437</v>
      </c>
      <c r="Q197" s="69" t="s">
        <v>1029</v>
      </c>
      <c r="R197" s="69"/>
      <c r="S197" s="68" t="s">
        <v>41</v>
      </c>
      <c r="T197" s="56">
        <v>2</v>
      </c>
      <c r="U197" s="56">
        <v>3</v>
      </c>
    </row>
    <row r="198" spans="1:21" ht="14.25" customHeight="1" thickBot="1" x14ac:dyDescent="0.4">
      <c r="A198" s="58">
        <v>182</v>
      </c>
      <c r="B198" s="69" t="s">
        <v>79</v>
      </c>
      <c r="C198" s="69" t="s">
        <v>80</v>
      </c>
      <c r="D198" s="70" t="s">
        <v>126</v>
      </c>
      <c r="E198" s="69" t="s">
        <v>465</v>
      </c>
      <c r="F198" s="69" t="s">
        <v>88</v>
      </c>
      <c r="G198" s="69" t="s">
        <v>54</v>
      </c>
      <c r="H198" s="70">
        <v>2013</v>
      </c>
      <c r="I198" s="69"/>
      <c r="J198" s="69" t="s">
        <v>1030</v>
      </c>
      <c r="K198" s="71" t="s">
        <v>1031</v>
      </c>
      <c r="L198" s="71" t="s">
        <v>1032</v>
      </c>
      <c r="M198" s="71" t="s">
        <v>1033</v>
      </c>
      <c r="N198" s="69" t="s">
        <v>57</v>
      </c>
      <c r="O198" s="64">
        <v>1</v>
      </c>
      <c r="P198" s="72">
        <v>15971.437</v>
      </c>
      <c r="Q198" s="69" t="s">
        <v>1034</v>
      </c>
      <c r="R198" s="69"/>
      <c r="S198" s="68" t="s">
        <v>41</v>
      </c>
      <c r="T198" s="56">
        <v>2</v>
      </c>
      <c r="U198" s="56">
        <v>3</v>
      </c>
    </row>
    <row r="199" spans="1:21" ht="14.25" customHeight="1" x14ac:dyDescent="0.35">
      <c r="A199" s="47">
        <v>183</v>
      </c>
      <c r="B199" s="69" t="s">
        <v>79</v>
      </c>
      <c r="C199" s="69" t="s">
        <v>80</v>
      </c>
      <c r="D199" s="70" t="s">
        <v>126</v>
      </c>
      <c r="E199" s="69" t="s">
        <v>465</v>
      </c>
      <c r="F199" s="69" t="s">
        <v>88</v>
      </c>
      <c r="G199" s="69" t="s">
        <v>54</v>
      </c>
      <c r="H199" s="70">
        <v>2013</v>
      </c>
      <c r="I199" s="69"/>
      <c r="J199" s="69" t="s">
        <v>1035</v>
      </c>
      <c r="K199" s="71" t="s">
        <v>1036</v>
      </c>
      <c r="L199" s="71" t="s">
        <v>1037</v>
      </c>
      <c r="M199" s="71" t="s">
        <v>1038</v>
      </c>
      <c r="N199" s="69" t="s">
        <v>57</v>
      </c>
      <c r="O199" s="64">
        <v>1</v>
      </c>
      <c r="P199" s="72">
        <v>15971.437</v>
      </c>
      <c r="Q199" s="69" t="s">
        <v>1039</v>
      </c>
      <c r="R199" s="69"/>
      <c r="S199" s="68" t="s">
        <v>41</v>
      </c>
      <c r="T199" s="56">
        <v>2</v>
      </c>
      <c r="U199" s="56">
        <v>3</v>
      </c>
    </row>
    <row r="200" spans="1:21" ht="14.25" customHeight="1" thickBot="1" x14ac:dyDescent="0.4">
      <c r="A200" s="58">
        <v>184</v>
      </c>
      <c r="B200" s="69" t="s">
        <v>79</v>
      </c>
      <c r="C200" s="69" t="s">
        <v>80</v>
      </c>
      <c r="D200" s="70" t="s">
        <v>126</v>
      </c>
      <c r="E200" s="69" t="s">
        <v>465</v>
      </c>
      <c r="F200" s="69" t="s">
        <v>88</v>
      </c>
      <c r="G200" s="69" t="s">
        <v>54</v>
      </c>
      <c r="H200" s="70">
        <v>2013</v>
      </c>
      <c r="I200" s="69"/>
      <c r="J200" s="69" t="s">
        <v>1040</v>
      </c>
      <c r="K200" s="71" t="s">
        <v>1041</v>
      </c>
      <c r="L200" s="71" t="s">
        <v>1042</v>
      </c>
      <c r="M200" s="71" t="s">
        <v>1043</v>
      </c>
      <c r="N200" s="69" t="s">
        <v>57</v>
      </c>
      <c r="O200" s="64">
        <v>1</v>
      </c>
      <c r="P200" s="72">
        <v>15971.437</v>
      </c>
      <c r="Q200" s="69" t="s">
        <v>1044</v>
      </c>
      <c r="R200" s="69"/>
      <c r="S200" s="68" t="s">
        <v>41</v>
      </c>
      <c r="T200" s="56">
        <v>2</v>
      </c>
      <c r="U200" s="56">
        <v>3</v>
      </c>
    </row>
    <row r="201" spans="1:21" ht="14.25" customHeight="1" x14ac:dyDescent="0.35">
      <c r="A201" s="47">
        <v>185</v>
      </c>
      <c r="B201" s="69" t="s">
        <v>79</v>
      </c>
      <c r="C201" s="69" t="s">
        <v>80</v>
      </c>
      <c r="D201" s="70" t="s">
        <v>126</v>
      </c>
      <c r="E201" s="69" t="s">
        <v>465</v>
      </c>
      <c r="F201" s="69" t="s">
        <v>88</v>
      </c>
      <c r="G201" s="69" t="s">
        <v>54</v>
      </c>
      <c r="H201" s="70">
        <v>2013</v>
      </c>
      <c r="I201" s="69"/>
      <c r="J201" s="69" t="s">
        <v>1045</v>
      </c>
      <c r="K201" s="71" t="s">
        <v>1046</v>
      </c>
      <c r="L201" s="71" t="s">
        <v>1047</v>
      </c>
      <c r="M201" s="71" t="s">
        <v>1048</v>
      </c>
      <c r="N201" s="69" t="s">
        <v>57</v>
      </c>
      <c r="O201" s="64">
        <v>1</v>
      </c>
      <c r="P201" s="72">
        <v>15971.437</v>
      </c>
      <c r="Q201" s="69" t="s">
        <v>1049</v>
      </c>
      <c r="R201" s="69"/>
      <c r="S201" s="68" t="s">
        <v>41</v>
      </c>
      <c r="T201" s="56">
        <v>2</v>
      </c>
      <c r="U201" s="56">
        <v>3</v>
      </c>
    </row>
    <row r="202" spans="1:21" ht="14.25" customHeight="1" thickBot="1" x14ac:dyDescent="0.4">
      <c r="A202" s="58">
        <v>186</v>
      </c>
      <c r="B202" s="69" t="s">
        <v>79</v>
      </c>
      <c r="C202" s="69" t="s">
        <v>80</v>
      </c>
      <c r="D202" s="70" t="s">
        <v>132</v>
      </c>
      <c r="E202" s="69" t="s">
        <v>430</v>
      </c>
      <c r="F202" s="69" t="s">
        <v>82</v>
      </c>
      <c r="G202" s="69" t="s">
        <v>54</v>
      </c>
      <c r="H202" s="70">
        <v>2006</v>
      </c>
      <c r="I202" s="69"/>
      <c r="J202" s="69" t="s">
        <v>1050</v>
      </c>
      <c r="K202" s="71" t="s">
        <v>1051</v>
      </c>
      <c r="L202" s="71" t="s">
        <v>1052</v>
      </c>
      <c r="M202" s="71" t="s">
        <v>1053</v>
      </c>
      <c r="N202" s="69" t="s">
        <v>57</v>
      </c>
      <c r="O202" s="64">
        <v>1</v>
      </c>
      <c r="P202" s="72">
        <v>13500</v>
      </c>
      <c r="Q202" s="69" t="s">
        <v>1054</v>
      </c>
      <c r="R202" s="69"/>
      <c r="S202" s="68" t="s">
        <v>41</v>
      </c>
      <c r="T202" s="56">
        <v>2</v>
      </c>
      <c r="U202" s="56">
        <v>3</v>
      </c>
    </row>
    <row r="203" spans="1:21" ht="14.25" customHeight="1" x14ac:dyDescent="0.35">
      <c r="A203" s="47">
        <v>187</v>
      </c>
      <c r="B203" s="69" t="s">
        <v>79</v>
      </c>
      <c r="C203" s="69" t="s">
        <v>80</v>
      </c>
      <c r="D203" s="70" t="s">
        <v>132</v>
      </c>
      <c r="E203" s="69" t="s">
        <v>594</v>
      </c>
      <c r="F203" s="69">
        <v>110</v>
      </c>
      <c r="G203" s="69" t="s">
        <v>54</v>
      </c>
      <c r="H203" s="70">
        <v>2008</v>
      </c>
      <c r="I203" s="69"/>
      <c r="J203" s="69" t="s">
        <v>1055</v>
      </c>
      <c r="K203" s="71" t="s">
        <v>1056</v>
      </c>
      <c r="L203" s="71" t="s">
        <v>1057</v>
      </c>
      <c r="M203" s="71" t="s">
        <v>1058</v>
      </c>
      <c r="N203" s="69" t="s">
        <v>57</v>
      </c>
      <c r="O203" s="64">
        <v>1</v>
      </c>
      <c r="P203" s="72">
        <v>15650</v>
      </c>
      <c r="Q203" s="69" t="s">
        <v>1059</v>
      </c>
      <c r="R203" s="69"/>
      <c r="S203" s="68" t="s">
        <v>41</v>
      </c>
      <c r="T203" s="56">
        <v>2</v>
      </c>
      <c r="U203" s="56">
        <v>3</v>
      </c>
    </row>
    <row r="204" spans="1:21" ht="14.25" customHeight="1" thickBot="1" x14ac:dyDescent="0.4">
      <c r="A204" s="58">
        <v>188</v>
      </c>
      <c r="B204" s="69" t="s">
        <v>79</v>
      </c>
      <c r="C204" s="69" t="s">
        <v>80</v>
      </c>
      <c r="D204" s="70" t="s">
        <v>132</v>
      </c>
      <c r="E204" s="69" t="s">
        <v>531</v>
      </c>
      <c r="F204" s="69" t="s">
        <v>443</v>
      </c>
      <c r="G204" s="69" t="s">
        <v>54</v>
      </c>
      <c r="H204" s="70">
        <v>2010</v>
      </c>
      <c r="I204" s="69"/>
      <c r="J204" s="69" t="s">
        <v>1060</v>
      </c>
      <c r="K204" s="71" t="s">
        <v>1061</v>
      </c>
      <c r="L204" s="71" t="s">
        <v>1062</v>
      </c>
      <c r="M204" s="71" t="s">
        <v>1063</v>
      </c>
      <c r="N204" s="69" t="s">
        <v>57</v>
      </c>
      <c r="O204" s="64">
        <v>1</v>
      </c>
      <c r="P204" s="72">
        <v>13350</v>
      </c>
      <c r="Q204" s="69" t="s">
        <v>1064</v>
      </c>
      <c r="R204" s="69"/>
      <c r="S204" s="68" t="s">
        <v>41</v>
      </c>
      <c r="T204" s="56">
        <v>2</v>
      </c>
      <c r="U204" s="56">
        <v>3</v>
      </c>
    </row>
    <row r="205" spans="1:21" ht="14.25" customHeight="1" x14ac:dyDescent="0.35">
      <c r="A205" s="47">
        <v>189</v>
      </c>
      <c r="B205" s="69" t="s">
        <v>79</v>
      </c>
      <c r="C205" s="69" t="s">
        <v>80</v>
      </c>
      <c r="D205" s="70" t="s">
        <v>132</v>
      </c>
      <c r="E205" s="69" t="s">
        <v>465</v>
      </c>
      <c r="F205" s="69" t="s">
        <v>88</v>
      </c>
      <c r="G205" s="69" t="s">
        <v>54</v>
      </c>
      <c r="H205" s="70">
        <v>2013</v>
      </c>
      <c r="I205" s="69"/>
      <c r="J205" s="69" t="s">
        <v>1065</v>
      </c>
      <c r="K205" s="71" t="s">
        <v>1066</v>
      </c>
      <c r="L205" s="71" t="s">
        <v>1067</v>
      </c>
      <c r="M205" s="71" t="s">
        <v>1068</v>
      </c>
      <c r="N205" s="69" t="s">
        <v>57</v>
      </c>
      <c r="O205" s="64">
        <v>1</v>
      </c>
      <c r="P205" s="72">
        <v>15971.437</v>
      </c>
      <c r="Q205" s="69" t="s">
        <v>1069</v>
      </c>
      <c r="R205" s="69"/>
      <c r="S205" s="68" t="s">
        <v>41</v>
      </c>
      <c r="T205" s="56">
        <v>2</v>
      </c>
      <c r="U205" s="56">
        <v>3</v>
      </c>
    </row>
    <row r="206" spans="1:21" ht="14.25" customHeight="1" thickBot="1" x14ac:dyDescent="0.4">
      <c r="A206" s="58">
        <v>190</v>
      </c>
      <c r="B206" s="69" t="s">
        <v>79</v>
      </c>
      <c r="C206" s="69" t="s">
        <v>80</v>
      </c>
      <c r="D206" s="70" t="s">
        <v>132</v>
      </c>
      <c r="E206" s="69" t="s">
        <v>465</v>
      </c>
      <c r="F206" s="69" t="s">
        <v>88</v>
      </c>
      <c r="G206" s="69" t="s">
        <v>54</v>
      </c>
      <c r="H206" s="70">
        <v>2013</v>
      </c>
      <c r="I206" s="69"/>
      <c r="J206" s="69" t="s">
        <v>1070</v>
      </c>
      <c r="K206" s="71" t="s">
        <v>1071</v>
      </c>
      <c r="L206" s="71" t="s">
        <v>1072</v>
      </c>
      <c r="M206" s="71" t="s">
        <v>1073</v>
      </c>
      <c r="N206" s="69" t="s">
        <v>57</v>
      </c>
      <c r="O206" s="64">
        <v>1</v>
      </c>
      <c r="P206" s="72">
        <v>15971.437</v>
      </c>
      <c r="Q206" s="69" t="s">
        <v>1074</v>
      </c>
      <c r="R206" s="69"/>
      <c r="S206" s="68" t="s">
        <v>41</v>
      </c>
      <c r="T206" s="56">
        <v>2</v>
      </c>
      <c r="U206" s="56">
        <v>3</v>
      </c>
    </row>
    <row r="207" spans="1:21" ht="14.25" customHeight="1" x14ac:dyDescent="0.35">
      <c r="A207" s="47">
        <v>191</v>
      </c>
      <c r="B207" s="69" t="s">
        <v>79</v>
      </c>
      <c r="C207" s="69" t="s">
        <v>80</v>
      </c>
      <c r="D207" s="70" t="s">
        <v>132</v>
      </c>
      <c r="E207" s="69" t="s">
        <v>465</v>
      </c>
      <c r="F207" s="69" t="s">
        <v>88</v>
      </c>
      <c r="G207" s="69" t="s">
        <v>54</v>
      </c>
      <c r="H207" s="70">
        <v>2013</v>
      </c>
      <c r="I207" s="69"/>
      <c r="J207" s="69" t="s">
        <v>1075</v>
      </c>
      <c r="K207" s="71" t="s">
        <v>1076</v>
      </c>
      <c r="L207" s="71" t="s">
        <v>1077</v>
      </c>
      <c r="M207" s="71" t="s">
        <v>1078</v>
      </c>
      <c r="N207" s="69" t="s">
        <v>57</v>
      </c>
      <c r="O207" s="64">
        <v>1</v>
      </c>
      <c r="P207" s="72">
        <v>15971.437</v>
      </c>
      <c r="Q207" s="69" t="s">
        <v>1079</v>
      </c>
      <c r="R207" s="69"/>
      <c r="S207" s="68" t="s">
        <v>41</v>
      </c>
      <c r="T207" s="56">
        <v>2</v>
      </c>
      <c r="U207" s="56">
        <v>3</v>
      </c>
    </row>
    <row r="208" spans="1:21" ht="14.25" customHeight="1" thickBot="1" x14ac:dyDescent="0.4">
      <c r="A208" s="58">
        <v>192</v>
      </c>
      <c r="B208" s="69" t="s">
        <v>79</v>
      </c>
      <c r="C208" s="69" t="s">
        <v>80</v>
      </c>
      <c r="D208" s="70" t="s">
        <v>137</v>
      </c>
      <c r="E208" s="69" t="s">
        <v>459</v>
      </c>
      <c r="F208" s="69" t="s">
        <v>82</v>
      </c>
      <c r="G208" s="69" t="s">
        <v>54</v>
      </c>
      <c r="H208" s="70">
        <v>2006</v>
      </c>
      <c r="I208" s="69"/>
      <c r="J208" s="69" t="s">
        <v>1080</v>
      </c>
      <c r="K208" s="71" t="s">
        <v>1081</v>
      </c>
      <c r="L208" s="71" t="s">
        <v>1082</v>
      </c>
      <c r="M208" s="71" t="s">
        <v>1083</v>
      </c>
      <c r="N208" s="69" t="s">
        <v>57</v>
      </c>
      <c r="O208" s="64">
        <v>1</v>
      </c>
      <c r="P208" s="72">
        <v>13500</v>
      </c>
      <c r="Q208" s="69" t="s">
        <v>1084</v>
      </c>
      <c r="R208" s="69"/>
      <c r="S208" s="68" t="s">
        <v>41</v>
      </c>
      <c r="T208" s="56">
        <v>2</v>
      </c>
      <c r="U208" s="56">
        <v>3</v>
      </c>
    </row>
    <row r="209" spans="1:21" ht="14.25" customHeight="1" x14ac:dyDescent="0.35">
      <c r="A209" s="47">
        <v>193</v>
      </c>
      <c r="B209" s="69" t="s">
        <v>79</v>
      </c>
      <c r="C209" s="69" t="s">
        <v>80</v>
      </c>
      <c r="D209" s="70" t="s">
        <v>137</v>
      </c>
      <c r="E209" s="69" t="s">
        <v>459</v>
      </c>
      <c r="F209" s="69" t="s">
        <v>82</v>
      </c>
      <c r="G209" s="69" t="s">
        <v>54</v>
      </c>
      <c r="H209" s="70">
        <v>2007</v>
      </c>
      <c r="I209" s="69"/>
      <c r="J209" s="69" t="s">
        <v>1085</v>
      </c>
      <c r="K209" s="71" t="s">
        <v>1086</v>
      </c>
      <c r="L209" s="71" t="s">
        <v>1087</v>
      </c>
      <c r="M209" s="71" t="s">
        <v>1088</v>
      </c>
      <c r="N209" s="69" t="s">
        <v>57</v>
      </c>
      <c r="O209" s="64">
        <v>1</v>
      </c>
      <c r="P209" s="72">
        <v>13500</v>
      </c>
      <c r="Q209" s="69" t="s">
        <v>1089</v>
      </c>
      <c r="R209" s="69"/>
      <c r="S209" s="68" t="s">
        <v>41</v>
      </c>
      <c r="T209" s="56">
        <v>2</v>
      </c>
      <c r="U209" s="56">
        <v>3</v>
      </c>
    </row>
    <row r="210" spans="1:21" ht="14.25" customHeight="1" thickBot="1" x14ac:dyDescent="0.4">
      <c r="A210" s="58">
        <v>194</v>
      </c>
      <c r="B210" s="69" t="s">
        <v>79</v>
      </c>
      <c r="C210" s="69" t="s">
        <v>80</v>
      </c>
      <c r="D210" s="70" t="s">
        <v>137</v>
      </c>
      <c r="E210" s="69" t="s">
        <v>430</v>
      </c>
      <c r="F210" s="69" t="s">
        <v>82</v>
      </c>
      <c r="G210" s="69" t="s">
        <v>54</v>
      </c>
      <c r="H210" s="70">
        <v>2007</v>
      </c>
      <c r="I210" s="69"/>
      <c r="J210" s="69" t="s">
        <v>1090</v>
      </c>
      <c r="K210" s="71" t="s">
        <v>1091</v>
      </c>
      <c r="L210" s="71" t="s">
        <v>1092</v>
      </c>
      <c r="M210" s="71" t="s">
        <v>1093</v>
      </c>
      <c r="N210" s="69" t="s">
        <v>57</v>
      </c>
      <c r="O210" s="64">
        <v>1</v>
      </c>
      <c r="P210" s="72">
        <v>13500</v>
      </c>
      <c r="Q210" s="69" t="s">
        <v>1094</v>
      </c>
      <c r="R210" s="69"/>
      <c r="S210" s="68" t="s">
        <v>41</v>
      </c>
      <c r="T210" s="56">
        <v>2</v>
      </c>
      <c r="U210" s="56">
        <v>3</v>
      </c>
    </row>
    <row r="211" spans="1:21" ht="14.25" customHeight="1" x14ac:dyDescent="0.35">
      <c r="A211" s="47">
        <v>195</v>
      </c>
      <c r="B211" s="69" t="s">
        <v>79</v>
      </c>
      <c r="C211" s="69" t="s">
        <v>80</v>
      </c>
      <c r="D211" s="70" t="s">
        <v>137</v>
      </c>
      <c r="E211" s="69" t="s">
        <v>780</v>
      </c>
      <c r="F211" s="69" t="s">
        <v>231</v>
      </c>
      <c r="G211" s="69" t="s">
        <v>54</v>
      </c>
      <c r="H211" s="70">
        <v>2013</v>
      </c>
      <c r="I211" s="69"/>
      <c r="J211" s="69" t="s">
        <v>1095</v>
      </c>
      <c r="K211" s="71" t="s">
        <v>1096</v>
      </c>
      <c r="L211" s="71" t="s">
        <v>1097</v>
      </c>
      <c r="M211" s="71" t="s">
        <v>1098</v>
      </c>
      <c r="N211" s="69" t="s">
        <v>57</v>
      </c>
      <c r="O211" s="64">
        <v>1</v>
      </c>
      <c r="P211" s="72">
        <v>17531.099999999999</v>
      </c>
      <c r="Q211" s="69" t="s">
        <v>1099</v>
      </c>
      <c r="R211" s="69"/>
      <c r="S211" s="68" t="s">
        <v>41</v>
      </c>
      <c r="T211" s="56">
        <v>2</v>
      </c>
      <c r="U211" s="56">
        <v>3</v>
      </c>
    </row>
    <row r="212" spans="1:21" ht="14.25" customHeight="1" thickBot="1" x14ac:dyDescent="0.4">
      <c r="A212" s="58">
        <v>196</v>
      </c>
      <c r="B212" s="69" t="s">
        <v>79</v>
      </c>
      <c r="C212" s="69" t="s">
        <v>80</v>
      </c>
      <c r="D212" s="70" t="s">
        <v>137</v>
      </c>
      <c r="E212" s="69" t="s">
        <v>465</v>
      </c>
      <c r="F212" s="69" t="s">
        <v>88</v>
      </c>
      <c r="G212" s="69" t="s">
        <v>54</v>
      </c>
      <c r="H212" s="70">
        <v>2013</v>
      </c>
      <c r="I212" s="69"/>
      <c r="J212" s="69" t="s">
        <v>1100</v>
      </c>
      <c r="K212" s="71" t="s">
        <v>1101</v>
      </c>
      <c r="L212" s="71" t="s">
        <v>1102</v>
      </c>
      <c r="M212" s="71" t="s">
        <v>1103</v>
      </c>
      <c r="N212" s="69" t="s">
        <v>57</v>
      </c>
      <c r="O212" s="64">
        <v>1</v>
      </c>
      <c r="P212" s="72">
        <v>15971.437</v>
      </c>
      <c r="Q212" s="69" t="s">
        <v>1104</v>
      </c>
      <c r="R212" s="69"/>
      <c r="S212" s="68" t="s">
        <v>41</v>
      </c>
      <c r="T212" s="56">
        <v>2</v>
      </c>
      <c r="U212" s="56">
        <v>3</v>
      </c>
    </row>
    <row r="213" spans="1:21" ht="14.25" customHeight="1" x14ac:dyDescent="0.35">
      <c r="A213" s="47">
        <v>197</v>
      </c>
      <c r="B213" s="69" t="s">
        <v>79</v>
      </c>
      <c r="C213" s="69" t="s">
        <v>80</v>
      </c>
      <c r="D213" s="70" t="s">
        <v>137</v>
      </c>
      <c r="E213" s="69" t="s">
        <v>465</v>
      </c>
      <c r="F213" s="69" t="s">
        <v>88</v>
      </c>
      <c r="G213" s="69" t="s">
        <v>54</v>
      </c>
      <c r="H213" s="70">
        <v>2013</v>
      </c>
      <c r="I213" s="69"/>
      <c r="J213" s="69" t="s">
        <v>1105</v>
      </c>
      <c r="K213" s="71" t="s">
        <v>1106</v>
      </c>
      <c r="L213" s="71" t="s">
        <v>1107</v>
      </c>
      <c r="M213" s="71" t="s">
        <v>1108</v>
      </c>
      <c r="N213" s="69" t="s">
        <v>57</v>
      </c>
      <c r="O213" s="64">
        <v>1</v>
      </c>
      <c r="P213" s="72">
        <v>15971.437</v>
      </c>
      <c r="Q213" s="69" t="s">
        <v>1109</v>
      </c>
      <c r="R213" s="69"/>
      <c r="S213" s="68" t="s">
        <v>41</v>
      </c>
      <c r="T213" s="56">
        <v>2</v>
      </c>
      <c r="U213" s="56">
        <v>3</v>
      </c>
    </row>
    <row r="214" spans="1:21" ht="14.25" customHeight="1" thickBot="1" x14ac:dyDescent="0.4">
      <c r="A214" s="58">
        <v>198</v>
      </c>
      <c r="B214" s="69" t="s">
        <v>79</v>
      </c>
      <c r="C214" s="69" t="s">
        <v>80</v>
      </c>
      <c r="D214" s="70" t="s">
        <v>137</v>
      </c>
      <c r="E214" s="69" t="s">
        <v>1110</v>
      </c>
      <c r="F214" s="69" t="s">
        <v>163</v>
      </c>
      <c r="G214" s="69" t="s">
        <v>140</v>
      </c>
      <c r="H214" s="70">
        <v>2017</v>
      </c>
      <c r="I214" s="69" t="s">
        <v>63</v>
      </c>
      <c r="J214" s="69" t="s">
        <v>1111</v>
      </c>
      <c r="K214" s="71" t="s">
        <v>1112</v>
      </c>
      <c r="L214" s="71" t="s">
        <v>1113</v>
      </c>
      <c r="M214" s="71" t="s">
        <v>1114</v>
      </c>
      <c r="N214" s="69" t="s">
        <v>57</v>
      </c>
      <c r="O214" s="64">
        <v>1</v>
      </c>
      <c r="P214" s="72">
        <v>15846.6</v>
      </c>
      <c r="Q214" s="69" t="s">
        <v>1115</v>
      </c>
      <c r="R214" s="69"/>
      <c r="S214" s="68" t="s">
        <v>41</v>
      </c>
      <c r="T214" s="56">
        <v>2</v>
      </c>
      <c r="U214" s="56">
        <v>3</v>
      </c>
    </row>
    <row r="215" spans="1:21" ht="14.25" customHeight="1" x14ac:dyDescent="0.35">
      <c r="A215" s="47">
        <v>199</v>
      </c>
      <c r="B215" s="69" t="s">
        <v>79</v>
      </c>
      <c r="C215" s="69" t="s">
        <v>80</v>
      </c>
      <c r="D215" s="70" t="s">
        <v>146</v>
      </c>
      <c r="E215" s="69" t="s">
        <v>563</v>
      </c>
      <c r="F215" s="69" t="s">
        <v>443</v>
      </c>
      <c r="G215" s="69" t="s">
        <v>54</v>
      </c>
      <c r="H215" s="70">
        <v>2006</v>
      </c>
      <c r="I215" s="69"/>
      <c r="J215" s="69" t="s">
        <v>1116</v>
      </c>
      <c r="K215" s="71" t="s">
        <v>1117</v>
      </c>
      <c r="L215" s="71" t="s">
        <v>1118</v>
      </c>
      <c r="M215" s="71" t="s">
        <v>1119</v>
      </c>
      <c r="N215" s="69" t="s">
        <v>57</v>
      </c>
      <c r="O215" s="64">
        <v>1</v>
      </c>
      <c r="P215" s="72">
        <v>14500</v>
      </c>
      <c r="Q215" s="69" t="s">
        <v>1120</v>
      </c>
      <c r="R215" s="69"/>
      <c r="S215" s="68" t="s">
        <v>41</v>
      </c>
      <c r="T215" s="56">
        <v>2</v>
      </c>
      <c r="U215" s="56">
        <v>3</v>
      </c>
    </row>
    <row r="216" spans="1:21" ht="14.25" customHeight="1" thickBot="1" x14ac:dyDescent="0.4">
      <c r="A216" s="58">
        <v>200</v>
      </c>
      <c r="B216" s="69" t="s">
        <v>79</v>
      </c>
      <c r="C216" s="69" t="s">
        <v>80</v>
      </c>
      <c r="D216" s="70" t="s">
        <v>146</v>
      </c>
      <c r="E216" s="69" t="s">
        <v>1121</v>
      </c>
      <c r="F216" s="69" t="s">
        <v>1122</v>
      </c>
      <c r="G216" s="69" t="s">
        <v>54</v>
      </c>
      <c r="H216" s="70">
        <v>2006</v>
      </c>
      <c r="I216" s="69"/>
      <c r="J216" s="69" t="s">
        <v>1123</v>
      </c>
      <c r="K216" s="71" t="s">
        <v>1124</v>
      </c>
      <c r="L216" s="71" t="s">
        <v>1125</v>
      </c>
      <c r="M216" s="71" t="s">
        <v>1126</v>
      </c>
      <c r="N216" s="69" t="s">
        <v>422</v>
      </c>
      <c r="O216" s="64">
        <v>1</v>
      </c>
      <c r="P216" s="72">
        <v>14500</v>
      </c>
      <c r="Q216" s="69" t="s">
        <v>1127</v>
      </c>
      <c r="R216" s="69"/>
      <c r="S216" s="68" t="s">
        <v>41</v>
      </c>
      <c r="T216" s="56">
        <v>2</v>
      </c>
      <c r="U216" s="56">
        <v>3</v>
      </c>
    </row>
    <row r="217" spans="1:21" ht="14.25" customHeight="1" x14ac:dyDescent="0.35">
      <c r="A217" s="47">
        <v>201</v>
      </c>
      <c r="B217" s="69" t="s">
        <v>79</v>
      </c>
      <c r="C217" s="69" t="s">
        <v>80</v>
      </c>
      <c r="D217" s="70" t="s">
        <v>146</v>
      </c>
      <c r="E217" s="69" t="s">
        <v>737</v>
      </c>
      <c r="F217" s="69" t="s">
        <v>88</v>
      </c>
      <c r="G217" s="69" t="s">
        <v>54</v>
      </c>
      <c r="H217" s="70">
        <v>2007</v>
      </c>
      <c r="I217" s="69"/>
      <c r="J217" s="69" t="s">
        <v>1128</v>
      </c>
      <c r="K217" s="71" t="s">
        <v>1129</v>
      </c>
      <c r="L217" s="71" t="s">
        <v>1130</v>
      </c>
      <c r="M217" s="71" t="s">
        <v>1131</v>
      </c>
      <c r="N217" s="69" t="s">
        <v>57</v>
      </c>
      <c r="O217" s="64">
        <v>1</v>
      </c>
      <c r="P217" s="72">
        <v>17000</v>
      </c>
      <c r="Q217" s="69" t="s">
        <v>1132</v>
      </c>
      <c r="R217" s="69"/>
      <c r="S217" s="68" t="s">
        <v>41</v>
      </c>
      <c r="T217" s="56">
        <v>2</v>
      </c>
      <c r="U217" s="56">
        <v>3</v>
      </c>
    </row>
    <row r="218" spans="1:21" ht="14.25" customHeight="1" thickBot="1" x14ac:dyDescent="0.4">
      <c r="A218" s="58">
        <v>202</v>
      </c>
      <c r="B218" s="69" t="s">
        <v>79</v>
      </c>
      <c r="C218" s="69" t="s">
        <v>80</v>
      </c>
      <c r="D218" s="70" t="s">
        <v>146</v>
      </c>
      <c r="E218" s="69" t="s">
        <v>531</v>
      </c>
      <c r="F218" s="69" t="s">
        <v>443</v>
      </c>
      <c r="G218" s="69" t="s">
        <v>54</v>
      </c>
      <c r="H218" s="70">
        <v>2010</v>
      </c>
      <c r="I218" s="69"/>
      <c r="J218" s="69" t="s">
        <v>1133</v>
      </c>
      <c r="K218" s="71" t="s">
        <v>1134</v>
      </c>
      <c r="L218" s="71" t="s">
        <v>1135</v>
      </c>
      <c r="M218" s="71" t="s">
        <v>1136</v>
      </c>
      <c r="N218" s="69" t="s">
        <v>57</v>
      </c>
      <c r="O218" s="64">
        <v>1</v>
      </c>
      <c r="P218" s="72">
        <v>13350</v>
      </c>
      <c r="Q218" s="69" t="s">
        <v>1137</v>
      </c>
      <c r="R218" s="69"/>
      <c r="S218" s="68" t="s">
        <v>41</v>
      </c>
      <c r="T218" s="56">
        <v>2</v>
      </c>
      <c r="U218" s="56">
        <v>3</v>
      </c>
    </row>
    <row r="219" spans="1:21" ht="14.25" customHeight="1" x14ac:dyDescent="0.35">
      <c r="A219" s="47">
        <v>203</v>
      </c>
      <c r="B219" s="69" t="s">
        <v>79</v>
      </c>
      <c r="C219" s="69" t="s">
        <v>80</v>
      </c>
      <c r="D219" s="70" t="s">
        <v>146</v>
      </c>
      <c r="E219" s="69" t="s">
        <v>465</v>
      </c>
      <c r="F219" s="69" t="s">
        <v>88</v>
      </c>
      <c r="G219" s="69" t="s">
        <v>54</v>
      </c>
      <c r="H219" s="70">
        <v>2013</v>
      </c>
      <c r="I219" s="69"/>
      <c r="J219" s="69" t="s">
        <v>1138</v>
      </c>
      <c r="K219" s="71" t="s">
        <v>1139</v>
      </c>
      <c r="L219" s="71" t="s">
        <v>1140</v>
      </c>
      <c r="M219" s="71" t="s">
        <v>1141</v>
      </c>
      <c r="N219" s="69" t="s">
        <v>57</v>
      </c>
      <c r="O219" s="64">
        <v>1</v>
      </c>
      <c r="P219" s="72">
        <v>15971.437</v>
      </c>
      <c r="Q219" s="69" t="s">
        <v>1142</v>
      </c>
      <c r="R219" s="69"/>
      <c r="S219" s="68" t="s">
        <v>41</v>
      </c>
      <c r="T219" s="56">
        <v>2</v>
      </c>
      <c r="U219" s="56">
        <v>3</v>
      </c>
    </row>
    <row r="220" spans="1:21" ht="14.25" customHeight="1" thickBot="1" x14ac:dyDescent="0.4">
      <c r="A220" s="58">
        <v>204</v>
      </c>
      <c r="B220" s="69" t="s">
        <v>79</v>
      </c>
      <c r="C220" s="69" t="s">
        <v>80</v>
      </c>
      <c r="D220" s="70" t="s">
        <v>146</v>
      </c>
      <c r="E220" s="69" t="s">
        <v>1143</v>
      </c>
      <c r="F220" s="69" t="s">
        <v>231</v>
      </c>
      <c r="G220" s="69" t="s">
        <v>1144</v>
      </c>
      <c r="H220" s="70">
        <v>2022</v>
      </c>
      <c r="I220" s="69" t="s">
        <v>63</v>
      </c>
      <c r="J220" s="69" t="s">
        <v>1145</v>
      </c>
      <c r="K220" s="71" t="s">
        <v>1146</v>
      </c>
      <c r="L220" s="71" t="s">
        <v>1147</v>
      </c>
      <c r="M220" s="71" t="s">
        <v>1148</v>
      </c>
      <c r="N220" s="69" t="s">
        <v>44</v>
      </c>
      <c r="O220" s="64">
        <v>1</v>
      </c>
      <c r="P220" s="72">
        <v>33016.535000000003</v>
      </c>
      <c r="Q220" s="69" t="s">
        <v>1149</v>
      </c>
      <c r="R220" s="69"/>
      <c r="S220" s="68" t="s">
        <v>41</v>
      </c>
      <c r="T220" s="56">
        <v>2</v>
      </c>
      <c r="U220" s="56">
        <v>3</v>
      </c>
    </row>
    <row r="221" spans="1:21" ht="14.25" customHeight="1" x14ac:dyDescent="0.35">
      <c r="A221" s="47">
        <v>205</v>
      </c>
      <c r="B221" s="69" t="s">
        <v>79</v>
      </c>
      <c r="C221" s="69" t="s">
        <v>80</v>
      </c>
      <c r="D221" s="70" t="s">
        <v>154</v>
      </c>
      <c r="E221" s="69" t="s">
        <v>563</v>
      </c>
      <c r="F221" s="69" t="s">
        <v>443</v>
      </c>
      <c r="G221" s="69" t="s">
        <v>54</v>
      </c>
      <c r="H221" s="70">
        <v>2006</v>
      </c>
      <c r="I221" s="69"/>
      <c r="J221" s="69" t="s">
        <v>1150</v>
      </c>
      <c r="K221" s="71" t="s">
        <v>1151</v>
      </c>
      <c r="L221" s="71" t="s">
        <v>1152</v>
      </c>
      <c r="M221" s="71" t="s">
        <v>1153</v>
      </c>
      <c r="N221" s="69" t="s">
        <v>57</v>
      </c>
      <c r="O221" s="64">
        <v>1</v>
      </c>
      <c r="P221" s="72">
        <v>14500</v>
      </c>
      <c r="Q221" s="69" t="s">
        <v>1154</v>
      </c>
      <c r="R221" s="69"/>
      <c r="S221" s="68" t="s">
        <v>41</v>
      </c>
      <c r="T221" s="56">
        <v>2</v>
      </c>
      <c r="U221" s="56">
        <v>3</v>
      </c>
    </row>
    <row r="222" spans="1:21" ht="14.25" customHeight="1" thickBot="1" x14ac:dyDescent="0.4">
      <c r="A222" s="58">
        <v>206</v>
      </c>
      <c r="B222" s="69" t="s">
        <v>79</v>
      </c>
      <c r="C222" s="69" t="s">
        <v>80</v>
      </c>
      <c r="D222" s="70" t="s">
        <v>154</v>
      </c>
      <c r="E222" s="69" t="s">
        <v>556</v>
      </c>
      <c r="F222" s="69" t="s">
        <v>443</v>
      </c>
      <c r="G222" s="69" t="s">
        <v>54</v>
      </c>
      <c r="H222" s="70">
        <v>2006</v>
      </c>
      <c r="I222" s="69"/>
      <c r="J222" s="69" t="s">
        <v>1155</v>
      </c>
      <c r="K222" s="71" t="s">
        <v>1156</v>
      </c>
      <c r="L222" s="71" t="s">
        <v>1157</v>
      </c>
      <c r="M222" s="71" t="s">
        <v>1158</v>
      </c>
      <c r="N222" s="69" t="s">
        <v>57</v>
      </c>
      <c r="O222" s="64">
        <v>1</v>
      </c>
      <c r="P222" s="72">
        <v>13500</v>
      </c>
      <c r="Q222" s="69" t="s">
        <v>1159</v>
      </c>
      <c r="R222" s="69"/>
      <c r="S222" s="68" t="s">
        <v>41</v>
      </c>
      <c r="T222" s="56">
        <v>2</v>
      </c>
      <c r="U222" s="56">
        <v>3</v>
      </c>
    </row>
    <row r="223" spans="1:21" ht="14.25" customHeight="1" x14ac:dyDescent="0.35">
      <c r="A223" s="47">
        <v>207</v>
      </c>
      <c r="B223" s="69" t="s">
        <v>79</v>
      </c>
      <c r="C223" s="69" t="s">
        <v>80</v>
      </c>
      <c r="D223" s="70" t="s">
        <v>154</v>
      </c>
      <c r="E223" s="69" t="s">
        <v>1160</v>
      </c>
      <c r="F223" s="69" t="s">
        <v>88</v>
      </c>
      <c r="G223" s="69" t="s">
        <v>54</v>
      </c>
      <c r="H223" s="70">
        <v>2006</v>
      </c>
      <c r="I223" s="69"/>
      <c r="J223" s="69" t="s">
        <v>1161</v>
      </c>
      <c r="K223" s="71" t="s">
        <v>1162</v>
      </c>
      <c r="L223" s="71" t="s">
        <v>1163</v>
      </c>
      <c r="M223" s="71" t="s">
        <v>1164</v>
      </c>
      <c r="N223" s="69" t="s">
        <v>57</v>
      </c>
      <c r="O223" s="64">
        <v>1</v>
      </c>
      <c r="P223" s="72">
        <v>14500</v>
      </c>
      <c r="Q223" s="69" t="s">
        <v>1165</v>
      </c>
      <c r="R223" s="69"/>
      <c r="S223" s="68" t="s">
        <v>41</v>
      </c>
      <c r="T223" s="56">
        <v>2</v>
      </c>
      <c r="U223" s="56">
        <v>3</v>
      </c>
    </row>
    <row r="224" spans="1:21" ht="14.25" customHeight="1" thickBot="1" x14ac:dyDescent="0.4">
      <c r="A224" s="58">
        <v>208</v>
      </c>
      <c r="B224" s="69" t="s">
        <v>79</v>
      </c>
      <c r="C224" s="69" t="s">
        <v>80</v>
      </c>
      <c r="D224" s="70" t="s">
        <v>154</v>
      </c>
      <c r="E224" s="69" t="s">
        <v>430</v>
      </c>
      <c r="F224" s="69" t="s">
        <v>82</v>
      </c>
      <c r="G224" s="69" t="s">
        <v>54</v>
      </c>
      <c r="H224" s="70">
        <v>2007</v>
      </c>
      <c r="I224" s="69"/>
      <c r="J224" s="69" t="s">
        <v>1166</v>
      </c>
      <c r="K224" s="71" t="s">
        <v>1167</v>
      </c>
      <c r="L224" s="71" t="s">
        <v>1168</v>
      </c>
      <c r="M224" s="71" t="s">
        <v>1169</v>
      </c>
      <c r="N224" s="69" t="s">
        <v>57</v>
      </c>
      <c r="O224" s="64">
        <v>1</v>
      </c>
      <c r="P224" s="72">
        <v>13500</v>
      </c>
      <c r="Q224" s="69" t="s">
        <v>1170</v>
      </c>
      <c r="R224" s="69"/>
      <c r="S224" s="68" t="s">
        <v>41</v>
      </c>
      <c r="T224" s="56">
        <v>2</v>
      </c>
      <c r="U224" s="56">
        <v>3</v>
      </c>
    </row>
    <row r="225" spans="1:21" ht="14.25" customHeight="1" x14ac:dyDescent="0.35">
      <c r="A225" s="47">
        <v>209</v>
      </c>
      <c r="B225" s="69" t="s">
        <v>79</v>
      </c>
      <c r="C225" s="69" t="s">
        <v>80</v>
      </c>
      <c r="D225" s="70" t="s">
        <v>154</v>
      </c>
      <c r="E225" s="69" t="s">
        <v>465</v>
      </c>
      <c r="F225" s="69" t="s">
        <v>88</v>
      </c>
      <c r="G225" s="69" t="s">
        <v>54</v>
      </c>
      <c r="H225" s="70">
        <v>2013</v>
      </c>
      <c r="I225" s="69"/>
      <c r="J225" s="69" t="s">
        <v>1171</v>
      </c>
      <c r="K225" s="71" t="s">
        <v>1172</v>
      </c>
      <c r="L225" s="71" t="s">
        <v>1173</v>
      </c>
      <c r="M225" s="71" t="s">
        <v>1174</v>
      </c>
      <c r="N225" s="69" t="s">
        <v>57</v>
      </c>
      <c r="O225" s="64">
        <v>1</v>
      </c>
      <c r="P225" s="72">
        <v>15971.437</v>
      </c>
      <c r="Q225" s="69" t="s">
        <v>1175</v>
      </c>
      <c r="R225" s="69"/>
      <c r="S225" s="68" t="s">
        <v>41</v>
      </c>
      <c r="T225" s="56">
        <v>2</v>
      </c>
      <c r="U225" s="56">
        <v>3</v>
      </c>
    </row>
    <row r="226" spans="1:21" ht="14.25" customHeight="1" thickBot="1" x14ac:dyDescent="0.4">
      <c r="A226" s="58">
        <v>210</v>
      </c>
      <c r="B226" s="69" t="s">
        <v>79</v>
      </c>
      <c r="C226" s="69" t="s">
        <v>80</v>
      </c>
      <c r="D226" s="70" t="s">
        <v>161</v>
      </c>
      <c r="E226" s="69" t="s">
        <v>1176</v>
      </c>
      <c r="F226" s="69" t="s">
        <v>1177</v>
      </c>
      <c r="G226" s="69" t="s">
        <v>54</v>
      </c>
      <c r="H226" s="70">
        <v>2006</v>
      </c>
      <c r="I226" s="69"/>
      <c r="J226" s="69" t="s">
        <v>1178</v>
      </c>
      <c r="K226" s="71" t="s">
        <v>1179</v>
      </c>
      <c r="L226" s="71" t="s">
        <v>1180</v>
      </c>
      <c r="M226" s="71" t="s">
        <v>1181</v>
      </c>
      <c r="N226" s="69" t="s">
        <v>57</v>
      </c>
      <c r="O226" s="64">
        <v>1</v>
      </c>
      <c r="P226" s="72">
        <v>14500</v>
      </c>
      <c r="Q226" s="69" t="s">
        <v>1182</v>
      </c>
      <c r="R226" s="69"/>
      <c r="S226" s="68" t="s">
        <v>41</v>
      </c>
      <c r="T226" s="56">
        <v>2</v>
      </c>
      <c r="U226" s="56">
        <v>3</v>
      </c>
    </row>
    <row r="227" spans="1:21" ht="14.25" customHeight="1" x14ac:dyDescent="0.35">
      <c r="A227" s="47">
        <v>211</v>
      </c>
      <c r="B227" s="69" t="s">
        <v>79</v>
      </c>
      <c r="C227" s="69" t="s">
        <v>80</v>
      </c>
      <c r="D227" s="70" t="s">
        <v>161</v>
      </c>
      <c r="E227" s="69" t="s">
        <v>701</v>
      </c>
      <c r="F227" s="69" t="s">
        <v>82</v>
      </c>
      <c r="G227" s="69" t="s">
        <v>54</v>
      </c>
      <c r="H227" s="70">
        <v>2007</v>
      </c>
      <c r="I227" s="69"/>
      <c r="J227" s="69" t="s">
        <v>1183</v>
      </c>
      <c r="K227" s="71" t="s">
        <v>1184</v>
      </c>
      <c r="L227" s="71" t="s">
        <v>1185</v>
      </c>
      <c r="M227" s="71" t="s">
        <v>1186</v>
      </c>
      <c r="N227" s="69" t="s">
        <v>57</v>
      </c>
      <c r="O227" s="64">
        <v>1</v>
      </c>
      <c r="P227" s="72">
        <v>13500</v>
      </c>
      <c r="Q227" s="69" t="s">
        <v>1187</v>
      </c>
      <c r="R227" s="69"/>
      <c r="S227" s="68" t="s">
        <v>41</v>
      </c>
      <c r="T227" s="56">
        <v>2</v>
      </c>
      <c r="U227" s="56">
        <v>3</v>
      </c>
    </row>
    <row r="228" spans="1:21" ht="14.25" customHeight="1" thickBot="1" x14ac:dyDescent="0.4">
      <c r="A228" s="58">
        <v>212</v>
      </c>
      <c r="B228" s="69" t="s">
        <v>79</v>
      </c>
      <c r="C228" s="69" t="s">
        <v>80</v>
      </c>
      <c r="D228" s="70" t="s">
        <v>161</v>
      </c>
      <c r="E228" s="69" t="s">
        <v>465</v>
      </c>
      <c r="F228" s="69" t="s">
        <v>88</v>
      </c>
      <c r="G228" s="69" t="s">
        <v>54</v>
      </c>
      <c r="H228" s="70">
        <v>2013</v>
      </c>
      <c r="I228" s="69"/>
      <c r="J228" s="69" t="s">
        <v>1188</v>
      </c>
      <c r="K228" s="71" t="s">
        <v>1189</v>
      </c>
      <c r="L228" s="71" t="s">
        <v>1190</v>
      </c>
      <c r="M228" s="71" t="s">
        <v>1191</v>
      </c>
      <c r="N228" s="69" t="s">
        <v>57</v>
      </c>
      <c r="O228" s="64">
        <v>1</v>
      </c>
      <c r="P228" s="72">
        <v>15971.437</v>
      </c>
      <c r="Q228" s="69" t="s">
        <v>1192</v>
      </c>
      <c r="R228" s="69"/>
      <c r="S228" s="68" t="s">
        <v>41</v>
      </c>
      <c r="T228" s="56">
        <v>2</v>
      </c>
      <c r="U228" s="56">
        <v>3</v>
      </c>
    </row>
    <row r="229" spans="1:21" ht="14.25" customHeight="1" x14ac:dyDescent="0.35">
      <c r="A229" s="47">
        <v>213</v>
      </c>
      <c r="B229" s="69" t="s">
        <v>79</v>
      </c>
      <c r="C229" s="69" t="s">
        <v>80</v>
      </c>
      <c r="D229" s="70" t="s">
        <v>169</v>
      </c>
      <c r="E229" s="69" t="s">
        <v>1193</v>
      </c>
      <c r="F229" s="69">
        <v>100</v>
      </c>
      <c r="G229" s="69" t="s">
        <v>54</v>
      </c>
      <c r="H229" s="70">
        <v>2006</v>
      </c>
      <c r="I229" s="69"/>
      <c r="J229" s="69" t="s">
        <v>1194</v>
      </c>
      <c r="K229" s="71" t="s">
        <v>1195</v>
      </c>
      <c r="L229" s="71" t="s">
        <v>1196</v>
      </c>
      <c r="M229" s="71" t="s">
        <v>1197</v>
      </c>
      <c r="N229" s="69" t="s">
        <v>57</v>
      </c>
      <c r="O229" s="64">
        <v>1</v>
      </c>
      <c r="P229" s="72">
        <v>15650</v>
      </c>
      <c r="Q229" s="69" t="s">
        <v>1198</v>
      </c>
      <c r="R229" s="69"/>
      <c r="S229" s="68" t="s">
        <v>41</v>
      </c>
      <c r="T229" s="56">
        <v>2</v>
      </c>
      <c r="U229" s="56">
        <v>3</v>
      </c>
    </row>
    <row r="230" spans="1:21" ht="14.25" customHeight="1" thickBot="1" x14ac:dyDescent="0.4">
      <c r="A230" s="58">
        <v>214</v>
      </c>
      <c r="B230" s="69" t="s">
        <v>79</v>
      </c>
      <c r="C230" s="69" t="s">
        <v>80</v>
      </c>
      <c r="D230" s="70" t="s">
        <v>169</v>
      </c>
      <c r="E230" s="69" t="s">
        <v>1199</v>
      </c>
      <c r="F230" s="69" t="s">
        <v>82</v>
      </c>
      <c r="G230" s="69" t="s">
        <v>54</v>
      </c>
      <c r="H230" s="70">
        <v>2006</v>
      </c>
      <c r="I230" s="69"/>
      <c r="J230" s="69" t="s">
        <v>1200</v>
      </c>
      <c r="K230" s="71" t="s">
        <v>1201</v>
      </c>
      <c r="L230" s="71" t="s">
        <v>1202</v>
      </c>
      <c r="M230" s="71" t="s">
        <v>1203</v>
      </c>
      <c r="N230" s="69" t="s">
        <v>57</v>
      </c>
      <c r="O230" s="64">
        <v>1</v>
      </c>
      <c r="P230" s="72">
        <v>14500</v>
      </c>
      <c r="Q230" s="69" t="s">
        <v>1204</v>
      </c>
      <c r="R230" s="69"/>
      <c r="S230" s="68" t="s">
        <v>41</v>
      </c>
      <c r="T230" s="56">
        <v>2</v>
      </c>
      <c r="U230" s="56">
        <v>3</v>
      </c>
    </row>
    <row r="231" spans="1:21" ht="14.25" customHeight="1" x14ac:dyDescent="0.35">
      <c r="A231" s="47">
        <v>215</v>
      </c>
      <c r="B231" s="69" t="s">
        <v>79</v>
      </c>
      <c r="C231" s="69" t="s">
        <v>80</v>
      </c>
      <c r="D231" s="70" t="s">
        <v>169</v>
      </c>
      <c r="E231" s="69" t="s">
        <v>430</v>
      </c>
      <c r="F231" s="69" t="s">
        <v>82</v>
      </c>
      <c r="G231" s="69" t="s">
        <v>54</v>
      </c>
      <c r="H231" s="70">
        <v>2007</v>
      </c>
      <c r="I231" s="69"/>
      <c r="J231" s="69" t="s">
        <v>1205</v>
      </c>
      <c r="K231" s="71" t="s">
        <v>1206</v>
      </c>
      <c r="L231" s="71" t="s">
        <v>1207</v>
      </c>
      <c r="M231" s="71" t="s">
        <v>1208</v>
      </c>
      <c r="N231" s="69" t="s">
        <v>57</v>
      </c>
      <c r="O231" s="64">
        <v>1</v>
      </c>
      <c r="P231" s="72">
        <v>13500</v>
      </c>
      <c r="Q231" s="69" t="s">
        <v>1209</v>
      </c>
      <c r="R231" s="69"/>
      <c r="S231" s="68" t="s">
        <v>41</v>
      </c>
      <c r="T231" s="56">
        <v>2</v>
      </c>
      <c r="U231" s="56">
        <v>3</v>
      </c>
    </row>
    <row r="232" spans="1:21" ht="14.25" customHeight="1" thickBot="1" x14ac:dyDescent="0.4">
      <c r="A232" s="58">
        <v>216</v>
      </c>
      <c r="B232" s="69" t="s">
        <v>79</v>
      </c>
      <c r="C232" s="69" t="s">
        <v>80</v>
      </c>
      <c r="D232" s="70" t="s">
        <v>169</v>
      </c>
      <c r="E232" s="69" t="s">
        <v>780</v>
      </c>
      <c r="F232" s="69" t="s">
        <v>231</v>
      </c>
      <c r="G232" s="69" t="s">
        <v>54</v>
      </c>
      <c r="H232" s="70">
        <v>2013</v>
      </c>
      <c r="I232" s="69"/>
      <c r="J232" s="69" t="s">
        <v>1210</v>
      </c>
      <c r="K232" s="71" t="s">
        <v>1211</v>
      </c>
      <c r="L232" s="71" t="s">
        <v>1212</v>
      </c>
      <c r="M232" s="71" t="s">
        <v>1213</v>
      </c>
      <c r="N232" s="69" t="s">
        <v>57</v>
      </c>
      <c r="O232" s="64">
        <v>1</v>
      </c>
      <c r="P232" s="72">
        <v>17531.099999999999</v>
      </c>
      <c r="Q232" s="69" t="s">
        <v>1214</v>
      </c>
      <c r="R232" s="69"/>
      <c r="S232" s="68" t="s">
        <v>41</v>
      </c>
      <c r="T232" s="56">
        <v>2</v>
      </c>
      <c r="U232" s="56">
        <v>3</v>
      </c>
    </row>
    <row r="233" spans="1:21" ht="14.25" customHeight="1" x14ac:dyDescent="0.35">
      <c r="A233" s="47">
        <v>217</v>
      </c>
      <c r="B233" s="69" t="s">
        <v>79</v>
      </c>
      <c r="C233" s="69" t="s">
        <v>80</v>
      </c>
      <c r="D233" s="70" t="s">
        <v>176</v>
      </c>
      <c r="E233" s="69" t="s">
        <v>1215</v>
      </c>
      <c r="F233" s="69" t="s">
        <v>443</v>
      </c>
      <c r="G233" s="69" t="s">
        <v>54</v>
      </c>
      <c r="H233" s="70">
        <v>2006</v>
      </c>
      <c r="I233" s="69"/>
      <c r="J233" s="69" t="s">
        <v>1216</v>
      </c>
      <c r="K233" s="71" t="s">
        <v>1217</v>
      </c>
      <c r="L233" s="71" t="s">
        <v>1218</v>
      </c>
      <c r="M233" s="71" t="s">
        <v>1219</v>
      </c>
      <c r="N233" s="69" t="s">
        <v>57</v>
      </c>
      <c r="O233" s="64">
        <v>1</v>
      </c>
      <c r="P233" s="72">
        <v>17500</v>
      </c>
      <c r="Q233" s="69" t="s">
        <v>1220</v>
      </c>
      <c r="R233" s="69"/>
      <c r="S233" s="68" t="s">
        <v>41</v>
      </c>
      <c r="T233" s="56">
        <v>2</v>
      </c>
      <c r="U233" s="56">
        <v>3</v>
      </c>
    </row>
    <row r="234" spans="1:21" ht="14.25" customHeight="1" thickBot="1" x14ac:dyDescent="0.4">
      <c r="A234" s="58">
        <v>218</v>
      </c>
      <c r="B234" s="69" t="s">
        <v>79</v>
      </c>
      <c r="C234" s="69" t="s">
        <v>80</v>
      </c>
      <c r="D234" s="70" t="s">
        <v>176</v>
      </c>
      <c r="E234" s="69" t="s">
        <v>430</v>
      </c>
      <c r="F234" s="69" t="s">
        <v>82</v>
      </c>
      <c r="G234" s="69" t="s">
        <v>54</v>
      </c>
      <c r="H234" s="70">
        <v>2006</v>
      </c>
      <c r="I234" s="69"/>
      <c r="J234" s="69" t="s">
        <v>1221</v>
      </c>
      <c r="K234" s="71" t="s">
        <v>1222</v>
      </c>
      <c r="L234" s="71" t="s">
        <v>1223</v>
      </c>
      <c r="M234" s="71" t="s">
        <v>1224</v>
      </c>
      <c r="N234" s="69" t="s">
        <v>57</v>
      </c>
      <c r="O234" s="64">
        <v>1</v>
      </c>
      <c r="P234" s="72">
        <v>13500</v>
      </c>
      <c r="Q234" s="69" t="s">
        <v>1225</v>
      </c>
      <c r="R234" s="69"/>
      <c r="S234" s="68" t="s">
        <v>41</v>
      </c>
      <c r="T234" s="56">
        <v>2</v>
      </c>
      <c r="U234" s="56">
        <v>3</v>
      </c>
    </row>
    <row r="235" spans="1:21" ht="14.25" customHeight="1" x14ac:dyDescent="0.35">
      <c r="A235" s="47">
        <v>219</v>
      </c>
      <c r="B235" s="69" t="s">
        <v>79</v>
      </c>
      <c r="C235" s="69" t="s">
        <v>80</v>
      </c>
      <c r="D235" s="70" t="s">
        <v>176</v>
      </c>
      <c r="E235" s="69" t="s">
        <v>737</v>
      </c>
      <c r="F235" s="69">
        <v>125</v>
      </c>
      <c r="G235" s="69" t="s">
        <v>54</v>
      </c>
      <c r="H235" s="70">
        <v>2006</v>
      </c>
      <c r="I235" s="69"/>
      <c r="J235" s="69" t="s">
        <v>1226</v>
      </c>
      <c r="K235" s="71" t="s">
        <v>1227</v>
      </c>
      <c r="L235" s="71" t="s">
        <v>1228</v>
      </c>
      <c r="M235" s="71" t="s">
        <v>1229</v>
      </c>
      <c r="N235" s="69" t="s">
        <v>57</v>
      </c>
      <c r="O235" s="64">
        <v>1</v>
      </c>
      <c r="P235" s="72">
        <v>17000</v>
      </c>
      <c r="Q235" s="69" t="s">
        <v>1230</v>
      </c>
      <c r="R235" s="69"/>
      <c r="S235" s="68" t="s">
        <v>41</v>
      </c>
      <c r="T235" s="56">
        <v>2</v>
      </c>
      <c r="U235" s="56">
        <v>3</v>
      </c>
    </row>
    <row r="236" spans="1:21" ht="14.25" customHeight="1" thickBot="1" x14ac:dyDescent="0.4">
      <c r="A236" s="58">
        <v>220</v>
      </c>
      <c r="B236" s="69" t="s">
        <v>79</v>
      </c>
      <c r="C236" s="69" t="s">
        <v>80</v>
      </c>
      <c r="D236" s="70" t="s">
        <v>176</v>
      </c>
      <c r="E236" s="69" t="s">
        <v>430</v>
      </c>
      <c r="F236" s="69" t="s">
        <v>82</v>
      </c>
      <c r="G236" s="69" t="s">
        <v>54</v>
      </c>
      <c r="H236" s="70">
        <v>2007</v>
      </c>
      <c r="I236" s="69"/>
      <c r="J236" s="69" t="s">
        <v>1231</v>
      </c>
      <c r="K236" s="71" t="s">
        <v>1232</v>
      </c>
      <c r="L236" s="71" t="s">
        <v>1233</v>
      </c>
      <c r="M236" s="71" t="s">
        <v>1234</v>
      </c>
      <c r="N236" s="69" t="s">
        <v>57</v>
      </c>
      <c r="O236" s="64">
        <v>1</v>
      </c>
      <c r="P236" s="72">
        <v>13500</v>
      </c>
      <c r="Q236" s="69" t="s">
        <v>1235</v>
      </c>
      <c r="R236" s="69"/>
      <c r="S236" s="68" t="s">
        <v>41</v>
      </c>
      <c r="T236" s="56">
        <v>2</v>
      </c>
      <c r="U236" s="56">
        <v>3</v>
      </c>
    </row>
    <row r="237" spans="1:21" ht="14.25" customHeight="1" x14ac:dyDescent="0.35">
      <c r="A237" s="47">
        <v>221</v>
      </c>
      <c r="B237" s="69" t="s">
        <v>79</v>
      </c>
      <c r="C237" s="69" t="s">
        <v>80</v>
      </c>
      <c r="D237" s="70" t="s">
        <v>1236</v>
      </c>
      <c r="E237" s="69" t="s">
        <v>1237</v>
      </c>
      <c r="F237" s="69" t="s">
        <v>443</v>
      </c>
      <c r="G237" s="69" t="s">
        <v>54</v>
      </c>
      <c r="H237" s="70">
        <v>2006</v>
      </c>
      <c r="I237" s="69"/>
      <c r="J237" s="69" t="s">
        <v>1238</v>
      </c>
      <c r="K237" s="71" t="s">
        <v>1239</v>
      </c>
      <c r="L237" s="71" t="s">
        <v>1240</v>
      </c>
      <c r="M237" s="71" t="s">
        <v>1241</v>
      </c>
      <c r="N237" s="69" t="s">
        <v>57</v>
      </c>
      <c r="O237" s="64">
        <v>1</v>
      </c>
      <c r="P237" s="72">
        <v>14500</v>
      </c>
      <c r="Q237" s="69" t="s">
        <v>1242</v>
      </c>
      <c r="R237" s="69"/>
      <c r="S237" s="68" t="s">
        <v>41</v>
      </c>
      <c r="T237" s="56">
        <v>2</v>
      </c>
      <c r="U237" s="56">
        <v>3</v>
      </c>
    </row>
    <row r="238" spans="1:21" ht="14.25" customHeight="1" thickBot="1" x14ac:dyDescent="0.4">
      <c r="A238" s="58">
        <v>222</v>
      </c>
      <c r="B238" s="69" t="s">
        <v>79</v>
      </c>
      <c r="C238" s="69" t="s">
        <v>80</v>
      </c>
      <c r="D238" s="70" t="s">
        <v>1236</v>
      </c>
      <c r="E238" s="69" t="s">
        <v>430</v>
      </c>
      <c r="F238" s="69" t="s">
        <v>82</v>
      </c>
      <c r="G238" s="69" t="s">
        <v>54</v>
      </c>
      <c r="H238" s="70">
        <v>2007</v>
      </c>
      <c r="I238" s="69"/>
      <c r="J238" s="69" t="s">
        <v>1243</v>
      </c>
      <c r="K238" s="71" t="s">
        <v>1244</v>
      </c>
      <c r="L238" s="71" t="s">
        <v>1245</v>
      </c>
      <c r="M238" s="71" t="s">
        <v>1246</v>
      </c>
      <c r="N238" s="69" t="s">
        <v>57</v>
      </c>
      <c r="O238" s="64">
        <v>1</v>
      </c>
      <c r="P238" s="72">
        <v>13500</v>
      </c>
      <c r="Q238" s="69" t="s">
        <v>1247</v>
      </c>
      <c r="R238" s="69"/>
      <c r="S238" s="68" t="s">
        <v>41</v>
      </c>
      <c r="T238" s="56">
        <v>2</v>
      </c>
      <c r="U238" s="56">
        <v>3</v>
      </c>
    </row>
    <row r="239" spans="1:21" ht="14.25" customHeight="1" x14ac:dyDescent="0.35">
      <c r="A239" s="47">
        <v>223</v>
      </c>
      <c r="B239" s="69" t="s">
        <v>79</v>
      </c>
      <c r="C239" s="69" t="s">
        <v>80</v>
      </c>
      <c r="D239" s="70" t="s">
        <v>181</v>
      </c>
      <c r="E239" s="69" t="s">
        <v>1009</v>
      </c>
      <c r="F239" s="69" t="s">
        <v>443</v>
      </c>
      <c r="G239" s="69" t="s">
        <v>54</v>
      </c>
      <c r="H239" s="70">
        <v>2006</v>
      </c>
      <c r="I239" s="69"/>
      <c r="J239" s="69" t="s">
        <v>1248</v>
      </c>
      <c r="K239" s="71" t="s">
        <v>1249</v>
      </c>
      <c r="L239" s="71" t="s">
        <v>1250</v>
      </c>
      <c r="M239" s="71" t="s">
        <v>1251</v>
      </c>
      <c r="N239" s="69" t="s">
        <v>57</v>
      </c>
      <c r="O239" s="64">
        <v>1</v>
      </c>
      <c r="P239" s="72">
        <v>14500</v>
      </c>
      <c r="Q239" s="69" t="s">
        <v>1252</v>
      </c>
      <c r="R239" s="69"/>
      <c r="S239" s="68" t="s">
        <v>41</v>
      </c>
      <c r="T239" s="56">
        <v>2</v>
      </c>
      <c r="U239" s="56">
        <v>3</v>
      </c>
    </row>
    <row r="240" spans="1:21" ht="14.25" customHeight="1" thickBot="1" x14ac:dyDescent="0.4">
      <c r="A240" s="58">
        <v>224</v>
      </c>
      <c r="B240" s="69" t="s">
        <v>79</v>
      </c>
      <c r="C240" s="69" t="s">
        <v>80</v>
      </c>
      <c r="D240" s="70" t="s">
        <v>181</v>
      </c>
      <c r="E240" s="69" t="s">
        <v>594</v>
      </c>
      <c r="F240" s="69"/>
      <c r="G240" s="69" t="s">
        <v>54</v>
      </c>
      <c r="H240" s="70">
        <v>2008</v>
      </c>
      <c r="I240" s="69"/>
      <c r="J240" s="69" t="s">
        <v>1253</v>
      </c>
      <c r="K240" s="71" t="s">
        <v>1254</v>
      </c>
      <c r="L240" s="71" t="s">
        <v>1255</v>
      </c>
      <c r="M240" s="71"/>
      <c r="N240" s="69" t="s">
        <v>57</v>
      </c>
      <c r="O240" s="64">
        <v>1</v>
      </c>
      <c r="P240" s="72">
        <v>15650</v>
      </c>
      <c r="Q240" s="69" t="s">
        <v>1256</v>
      </c>
      <c r="R240" s="69"/>
      <c r="S240" s="68" t="s">
        <v>41</v>
      </c>
      <c r="T240" s="56">
        <v>2</v>
      </c>
      <c r="U240" s="56">
        <v>3</v>
      </c>
    </row>
    <row r="241" spans="1:21" ht="14.25" customHeight="1" x14ac:dyDescent="0.35">
      <c r="A241" s="47">
        <v>225</v>
      </c>
      <c r="B241" s="69" t="s">
        <v>79</v>
      </c>
      <c r="C241" s="69" t="s">
        <v>80</v>
      </c>
      <c r="D241" s="70" t="s">
        <v>181</v>
      </c>
      <c r="E241" s="69" t="s">
        <v>1257</v>
      </c>
      <c r="F241" s="69" t="s">
        <v>483</v>
      </c>
      <c r="G241" s="69" t="s">
        <v>553</v>
      </c>
      <c r="H241" s="70">
        <v>2020</v>
      </c>
      <c r="I241" s="69" t="s">
        <v>63</v>
      </c>
      <c r="J241" s="69" t="s">
        <v>1258</v>
      </c>
      <c r="K241" s="71" t="s">
        <v>1259</v>
      </c>
      <c r="L241" s="71" t="s">
        <v>1260</v>
      </c>
      <c r="M241" s="71" t="s">
        <v>1261</v>
      </c>
      <c r="N241" s="69" t="s">
        <v>57</v>
      </c>
      <c r="O241" s="64">
        <v>1</v>
      </c>
      <c r="P241" s="72">
        <v>23800</v>
      </c>
      <c r="Q241" s="69" t="s">
        <v>488</v>
      </c>
      <c r="R241" s="69"/>
      <c r="S241" s="68" t="s">
        <v>41</v>
      </c>
      <c r="T241" s="56">
        <v>2</v>
      </c>
      <c r="U241" s="56">
        <v>3</v>
      </c>
    </row>
    <row r="242" spans="1:21" ht="14.25" customHeight="1" thickBot="1" x14ac:dyDescent="0.4">
      <c r="A242" s="58">
        <v>226</v>
      </c>
      <c r="B242" s="69" t="s">
        <v>79</v>
      </c>
      <c r="C242" s="69" t="s">
        <v>80</v>
      </c>
      <c r="D242" s="70" t="s">
        <v>187</v>
      </c>
      <c r="E242" s="69" t="s">
        <v>459</v>
      </c>
      <c r="F242" s="69" t="s">
        <v>82</v>
      </c>
      <c r="G242" s="69" t="s">
        <v>54</v>
      </c>
      <c r="H242" s="70">
        <v>2007</v>
      </c>
      <c r="I242" s="69"/>
      <c r="J242" s="69" t="s">
        <v>1262</v>
      </c>
      <c r="K242" s="71" t="s">
        <v>1263</v>
      </c>
      <c r="L242" s="71" t="s">
        <v>1264</v>
      </c>
      <c r="M242" s="71" t="s">
        <v>1265</v>
      </c>
      <c r="N242" s="69" t="s">
        <v>57</v>
      </c>
      <c r="O242" s="64">
        <v>1</v>
      </c>
      <c r="P242" s="72">
        <v>13500</v>
      </c>
      <c r="Q242" s="69" t="s">
        <v>1266</v>
      </c>
      <c r="R242" s="69"/>
      <c r="S242" s="68" t="s">
        <v>41</v>
      </c>
      <c r="T242" s="56">
        <v>2</v>
      </c>
      <c r="U242" s="56">
        <v>3</v>
      </c>
    </row>
    <row r="243" spans="1:21" ht="14.25" customHeight="1" x14ac:dyDescent="0.35">
      <c r="A243" s="47">
        <v>227</v>
      </c>
      <c r="B243" s="69" t="s">
        <v>79</v>
      </c>
      <c r="C243" s="69" t="s">
        <v>80</v>
      </c>
      <c r="D243" s="70" t="s">
        <v>187</v>
      </c>
      <c r="E243" s="69" t="s">
        <v>594</v>
      </c>
      <c r="F243" s="69"/>
      <c r="G243" s="69" t="s">
        <v>54</v>
      </c>
      <c r="H243" s="70">
        <v>2008</v>
      </c>
      <c r="I243" s="69"/>
      <c r="J243" s="69" t="s">
        <v>1267</v>
      </c>
      <c r="K243" s="71" t="s">
        <v>1268</v>
      </c>
      <c r="L243" s="71" t="s">
        <v>1269</v>
      </c>
      <c r="M243" s="71" t="s">
        <v>1270</v>
      </c>
      <c r="N243" s="69" t="s">
        <v>57</v>
      </c>
      <c r="O243" s="64">
        <v>1</v>
      </c>
      <c r="P243" s="72">
        <v>15650</v>
      </c>
      <c r="Q243" s="69" t="s">
        <v>1271</v>
      </c>
      <c r="R243" s="69"/>
      <c r="S243" s="68" t="s">
        <v>41</v>
      </c>
      <c r="T243" s="56">
        <v>2</v>
      </c>
      <c r="U243" s="56">
        <v>3</v>
      </c>
    </row>
    <row r="244" spans="1:21" ht="14.25" customHeight="1" thickBot="1" x14ac:dyDescent="0.4">
      <c r="A244" s="58">
        <v>228</v>
      </c>
      <c r="B244" s="69" t="s">
        <v>79</v>
      </c>
      <c r="C244" s="69" t="s">
        <v>80</v>
      </c>
      <c r="D244" s="70" t="s">
        <v>187</v>
      </c>
      <c r="E244" s="69" t="s">
        <v>465</v>
      </c>
      <c r="F244" s="69" t="s">
        <v>88</v>
      </c>
      <c r="G244" s="69" t="s">
        <v>54</v>
      </c>
      <c r="H244" s="70">
        <v>2013</v>
      </c>
      <c r="I244" s="69"/>
      <c r="J244" s="69" t="s">
        <v>1272</v>
      </c>
      <c r="K244" s="71" t="s">
        <v>1273</v>
      </c>
      <c r="L244" s="71" t="s">
        <v>1274</v>
      </c>
      <c r="M244" s="71" t="s">
        <v>1275</v>
      </c>
      <c r="N244" s="69" t="s">
        <v>57</v>
      </c>
      <c r="O244" s="64">
        <v>1</v>
      </c>
      <c r="P244" s="72">
        <v>15971.437</v>
      </c>
      <c r="Q244" s="69" t="s">
        <v>1276</v>
      </c>
      <c r="R244" s="69"/>
      <c r="S244" s="68" t="s">
        <v>41</v>
      </c>
      <c r="T244" s="56">
        <v>2</v>
      </c>
      <c r="U244" s="56">
        <v>3</v>
      </c>
    </row>
    <row r="245" spans="1:21" ht="14.25" customHeight="1" x14ac:dyDescent="0.35">
      <c r="A245" s="47">
        <v>229</v>
      </c>
      <c r="B245" s="69" t="s">
        <v>79</v>
      </c>
      <c r="C245" s="69" t="s">
        <v>80</v>
      </c>
      <c r="D245" s="70" t="s">
        <v>187</v>
      </c>
      <c r="E245" s="69" t="s">
        <v>1257</v>
      </c>
      <c r="F245" s="69" t="s">
        <v>483</v>
      </c>
      <c r="G245" s="69" t="s">
        <v>553</v>
      </c>
      <c r="H245" s="70">
        <v>2020</v>
      </c>
      <c r="I245" s="69" t="s">
        <v>63</v>
      </c>
      <c r="J245" s="69" t="s">
        <v>1277</v>
      </c>
      <c r="K245" s="71" t="s">
        <v>1278</v>
      </c>
      <c r="L245" s="71" t="s">
        <v>1279</v>
      </c>
      <c r="M245" s="71" t="s">
        <v>1280</v>
      </c>
      <c r="N245" s="69" t="s">
        <v>57</v>
      </c>
      <c r="O245" s="64">
        <v>1</v>
      </c>
      <c r="P245" s="72">
        <v>23800</v>
      </c>
      <c r="Q245" s="69" t="s">
        <v>488</v>
      </c>
      <c r="R245" s="69"/>
      <c r="S245" s="68" t="s">
        <v>41</v>
      </c>
      <c r="T245" s="56">
        <v>2</v>
      </c>
      <c r="U245" s="56">
        <v>3</v>
      </c>
    </row>
    <row r="246" spans="1:21" ht="14.25" customHeight="1" thickBot="1" x14ac:dyDescent="0.4">
      <c r="A246" s="58">
        <v>230</v>
      </c>
      <c r="B246" s="69" t="s">
        <v>79</v>
      </c>
      <c r="C246" s="69" t="s">
        <v>80</v>
      </c>
      <c r="D246" s="70" t="s">
        <v>190</v>
      </c>
      <c r="E246" s="69" t="s">
        <v>780</v>
      </c>
      <c r="F246" s="69" t="s">
        <v>231</v>
      </c>
      <c r="G246" s="69" t="s">
        <v>54</v>
      </c>
      <c r="H246" s="70">
        <v>2013</v>
      </c>
      <c r="I246" s="69"/>
      <c r="J246" s="69" t="s">
        <v>1281</v>
      </c>
      <c r="K246" s="71" t="s">
        <v>1282</v>
      </c>
      <c r="L246" s="71" t="s">
        <v>1283</v>
      </c>
      <c r="M246" s="71" t="s">
        <v>1284</v>
      </c>
      <c r="N246" s="69" t="s">
        <v>57</v>
      </c>
      <c r="O246" s="64">
        <v>1</v>
      </c>
      <c r="P246" s="72">
        <v>17531.099999999999</v>
      </c>
      <c r="Q246" s="69" t="s">
        <v>1285</v>
      </c>
      <c r="R246" s="69"/>
      <c r="S246" s="68" t="s">
        <v>41</v>
      </c>
      <c r="T246" s="56">
        <v>2</v>
      </c>
      <c r="U246" s="56">
        <v>3</v>
      </c>
    </row>
    <row r="247" spans="1:21" ht="14.25" customHeight="1" x14ac:dyDescent="0.35">
      <c r="A247" s="47">
        <v>231</v>
      </c>
      <c r="B247" s="69" t="s">
        <v>79</v>
      </c>
      <c r="C247" s="69" t="s">
        <v>80</v>
      </c>
      <c r="D247" s="70" t="s">
        <v>190</v>
      </c>
      <c r="E247" s="69" t="s">
        <v>1257</v>
      </c>
      <c r="F247" s="69" t="s">
        <v>483</v>
      </c>
      <c r="G247" s="69" t="s">
        <v>484</v>
      </c>
      <c r="H247" s="70">
        <v>2020</v>
      </c>
      <c r="I247" s="69" t="s">
        <v>63</v>
      </c>
      <c r="J247" s="69" t="s">
        <v>1286</v>
      </c>
      <c r="K247" s="71" t="s">
        <v>1287</v>
      </c>
      <c r="L247" s="71" t="s">
        <v>1288</v>
      </c>
      <c r="M247" s="71" t="s">
        <v>1289</v>
      </c>
      <c r="N247" s="69" t="s">
        <v>57</v>
      </c>
      <c r="O247" s="64">
        <v>1</v>
      </c>
      <c r="P247" s="72">
        <v>23800</v>
      </c>
      <c r="Q247" s="69" t="s">
        <v>488</v>
      </c>
      <c r="R247" s="69"/>
      <c r="S247" s="68" t="s">
        <v>41</v>
      </c>
      <c r="T247" s="56">
        <v>2</v>
      </c>
      <c r="U247" s="56">
        <v>3</v>
      </c>
    </row>
    <row r="248" spans="1:21" ht="14.25" customHeight="1" thickBot="1" x14ac:dyDescent="0.4">
      <c r="A248" s="58">
        <v>232</v>
      </c>
      <c r="B248" s="69" t="s">
        <v>79</v>
      </c>
      <c r="C248" s="69" t="s">
        <v>80</v>
      </c>
      <c r="D248" s="70" t="s">
        <v>194</v>
      </c>
      <c r="E248" s="69" t="s">
        <v>963</v>
      </c>
      <c r="F248" s="69"/>
      <c r="G248" s="69" t="s">
        <v>54</v>
      </c>
      <c r="H248" s="70">
        <v>2003</v>
      </c>
      <c r="I248" s="69"/>
      <c r="J248" s="69" t="s">
        <v>1290</v>
      </c>
      <c r="K248" s="71" t="s">
        <v>1291</v>
      </c>
      <c r="L248" s="71" t="s">
        <v>1292</v>
      </c>
      <c r="M248" s="71" t="s">
        <v>63</v>
      </c>
      <c r="N248" s="69" t="s">
        <v>57</v>
      </c>
      <c r="O248" s="64">
        <v>1</v>
      </c>
      <c r="P248" s="72">
        <v>13500</v>
      </c>
      <c r="Q248" s="69" t="s">
        <v>1293</v>
      </c>
      <c r="R248" s="69"/>
      <c r="S248" s="68" t="s">
        <v>41</v>
      </c>
      <c r="T248" s="56">
        <v>2</v>
      </c>
      <c r="U248" s="56">
        <v>3</v>
      </c>
    </row>
    <row r="249" spans="1:21" ht="14.25" customHeight="1" x14ac:dyDescent="0.35">
      <c r="A249" s="47">
        <v>233</v>
      </c>
      <c r="B249" s="69" t="s">
        <v>79</v>
      </c>
      <c r="C249" s="69" t="s">
        <v>80</v>
      </c>
      <c r="D249" s="70" t="s">
        <v>195</v>
      </c>
      <c r="E249" s="69" t="s">
        <v>1294</v>
      </c>
      <c r="F249" s="69" t="s">
        <v>82</v>
      </c>
      <c r="G249" s="69" t="s">
        <v>54</v>
      </c>
      <c r="H249" s="70">
        <v>2003</v>
      </c>
      <c r="I249" s="69"/>
      <c r="J249" s="69" t="s">
        <v>1295</v>
      </c>
      <c r="K249" s="71" t="s">
        <v>1296</v>
      </c>
      <c r="L249" s="71" t="s">
        <v>1297</v>
      </c>
      <c r="M249" s="71" t="s">
        <v>1298</v>
      </c>
      <c r="N249" s="69" t="s">
        <v>57</v>
      </c>
      <c r="O249" s="64">
        <v>1</v>
      </c>
      <c r="P249" s="72">
        <v>13500</v>
      </c>
      <c r="Q249" s="69" t="s">
        <v>1299</v>
      </c>
      <c r="R249" s="69"/>
      <c r="S249" s="68" t="s">
        <v>41</v>
      </c>
      <c r="T249" s="56">
        <v>2</v>
      </c>
      <c r="U249" s="56">
        <v>3</v>
      </c>
    </row>
    <row r="250" spans="1:21" ht="14.25" customHeight="1" thickBot="1" x14ac:dyDescent="0.4">
      <c r="A250" s="58">
        <v>234</v>
      </c>
      <c r="B250" s="69" t="s">
        <v>79</v>
      </c>
      <c r="C250" s="69" t="s">
        <v>80</v>
      </c>
      <c r="D250" s="70" t="s">
        <v>199</v>
      </c>
      <c r="E250" s="69" t="s">
        <v>430</v>
      </c>
      <c r="F250" s="69"/>
      <c r="G250" s="69" t="s">
        <v>54</v>
      </c>
      <c r="H250" s="70">
        <v>2007</v>
      </c>
      <c r="I250" s="69"/>
      <c r="J250" s="69" t="s">
        <v>1300</v>
      </c>
      <c r="K250" s="71" t="s">
        <v>1301</v>
      </c>
      <c r="L250" s="71" t="s">
        <v>698</v>
      </c>
      <c r="M250" s="71" t="s">
        <v>1302</v>
      </c>
      <c r="N250" s="69" t="s">
        <v>57</v>
      </c>
      <c r="O250" s="64">
        <v>1</v>
      </c>
      <c r="P250" s="72">
        <v>13500</v>
      </c>
      <c r="Q250" s="69" t="s">
        <v>1303</v>
      </c>
      <c r="R250" s="69"/>
      <c r="S250" s="68" t="s">
        <v>41</v>
      </c>
      <c r="T250" s="56">
        <v>2</v>
      </c>
      <c r="U250" s="56">
        <v>3</v>
      </c>
    </row>
    <row r="251" spans="1:21" ht="14.25" customHeight="1" x14ac:dyDescent="0.35">
      <c r="A251" s="47">
        <v>235</v>
      </c>
      <c r="B251" s="69" t="s">
        <v>79</v>
      </c>
      <c r="C251" s="69" t="s">
        <v>80</v>
      </c>
      <c r="D251" s="70" t="s">
        <v>238</v>
      </c>
      <c r="E251" s="69" t="s">
        <v>1304</v>
      </c>
      <c r="F251" s="69" t="s">
        <v>88</v>
      </c>
      <c r="G251" s="69" t="s">
        <v>54</v>
      </c>
      <c r="H251" s="70">
        <v>2016</v>
      </c>
      <c r="I251" s="69"/>
      <c r="J251" s="69" t="s">
        <v>1305</v>
      </c>
      <c r="K251" s="71" t="s">
        <v>1306</v>
      </c>
      <c r="L251" s="71" t="s">
        <v>1307</v>
      </c>
      <c r="M251" s="71" t="s">
        <v>1308</v>
      </c>
      <c r="N251" s="69" t="s">
        <v>57</v>
      </c>
      <c r="O251" s="64">
        <v>1</v>
      </c>
      <c r="P251" s="72">
        <v>18114.400000000001</v>
      </c>
      <c r="Q251" s="69" t="s">
        <v>1309</v>
      </c>
      <c r="R251" s="69"/>
      <c r="S251" s="68" t="s">
        <v>41</v>
      </c>
      <c r="T251" s="56">
        <v>2</v>
      </c>
      <c r="U251" s="56">
        <v>3</v>
      </c>
    </row>
    <row r="252" spans="1:21" ht="14.25" customHeight="1" thickBot="1" x14ac:dyDescent="0.4">
      <c r="A252" s="58">
        <v>236</v>
      </c>
      <c r="B252" s="69" t="s">
        <v>79</v>
      </c>
      <c r="C252" s="69" t="s">
        <v>80</v>
      </c>
      <c r="D252" s="70" t="s">
        <v>244</v>
      </c>
      <c r="E252" s="69" t="s">
        <v>1304</v>
      </c>
      <c r="F252" s="69" t="s">
        <v>88</v>
      </c>
      <c r="G252" s="69" t="s">
        <v>54</v>
      </c>
      <c r="H252" s="70">
        <v>2016</v>
      </c>
      <c r="I252" s="69"/>
      <c r="J252" s="69" t="s">
        <v>1310</v>
      </c>
      <c r="K252" s="71" t="s">
        <v>1311</v>
      </c>
      <c r="L252" s="71" t="s">
        <v>1312</v>
      </c>
      <c r="M252" s="71" t="s">
        <v>1313</v>
      </c>
      <c r="N252" s="69" t="s">
        <v>57</v>
      </c>
      <c r="O252" s="64">
        <v>1</v>
      </c>
      <c r="P252" s="72">
        <v>18114.400000000001</v>
      </c>
      <c r="Q252" s="69" t="s">
        <v>1314</v>
      </c>
      <c r="R252" s="69"/>
      <c r="S252" s="68" t="s">
        <v>41</v>
      </c>
      <c r="T252" s="56">
        <v>2</v>
      </c>
      <c r="U252" s="56">
        <v>3</v>
      </c>
    </row>
    <row r="253" spans="1:21" ht="14.25" customHeight="1" x14ac:dyDescent="0.35">
      <c r="A253" s="47">
        <v>237</v>
      </c>
      <c r="B253" s="69" t="s">
        <v>79</v>
      </c>
      <c r="C253" s="69" t="s">
        <v>80</v>
      </c>
      <c r="D253" s="70" t="s">
        <v>253</v>
      </c>
      <c r="E253" s="69" t="s">
        <v>1304</v>
      </c>
      <c r="F253" s="69" t="s">
        <v>88</v>
      </c>
      <c r="G253" s="69" t="s">
        <v>54</v>
      </c>
      <c r="H253" s="70">
        <v>2016</v>
      </c>
      <c r="I253" s="69"/>
      <c r="J253" s="69" t="s">
        <v>1315</v>
      </c>
      <c r="K253" s="71" t="s">
        <v>1316</v>
      </c>
      <c r="L253" s="71" t="s">
        <v>1317</v>
      </c>
      <c r="M253" s="71" t="s">
        <v>1318</v>
      </c>
      <c r="N253" s="69" t="s">
        <v>57</v>
      </c>
      <c r="O253" s="64">
        <v>1</v>
      </c>
      <c r="P253" s="72">
        <v>18114.400000000001</v>
      </c>
      <c r="Q253" s="69" t="s">
        <v>1319</v>
      </c>
      <c r="R253" s="69"/>
      <c r="S253" s="68" t="s">
        <v>41</v>
      </c>
      <c r="T253" s="56">
        <v>2</v>
      </c>
      <c r="U253" s="56">
        <v>3</v>
      </c>
    </row>
    <row r="254" spans="1:21" ht="14.25" customHeight="1" thickBot="1" x14ac:dyDescent="0.4">
      <c r="A254" s="58">
        <v>238</v>
      </c>
      <c r="B254" s="69" t="s">
        <v>79</v>
      </c>
      <c r="C254" s="69" t="s">
        <v>80</v>
      </c>
      <c r="D254" s="70" t="s">
        <v>259</v>
      </c>
      <c r="E254" s="69" t="s">
        <v>147</v>
      </c>
      <c r="F254" s="69" t="s">
        <v>148</v>
      </c>
      <c r="G254" s="69" t="s">
        <v>140</v>
      </c>
      <c r="H254" s="70">
        <v>2015</v>
      </c>
      <c r="I254" s="69"/>
      <c r="J254" s="69" t="s">
        <v>1320</v>
      </c>
      <c r="K254" s="71" t="s">
        <v>1321</v>
      </c>
      <c r="L254" s="71" t="s">
        <v>1322</v>
      </c>
      <c r="M254" s="71" t="s">
        <v>1323</v>
      </c>
      <c r="N254" s="69" t="s">
        <v>57</v>
      </c>
      <c r="O254" s="64">
        <v>1</v>
      </c>
      <c r="P254" s="72">
        <v>19430</v>
      </c>
      <c r="Q254" s="69" t="s">
        <v>1324</v>
      </c>
      <c r="R254" s="69"/>
      <c r="S254" s="68" t="s">
        <v>41</v>
      </c>
      <c r="T254" s="56">
        <v>2</v>
      </c>
      <c r="U254" s="56">
        <v>3</v>
      </c>
    </row>
    <row r="255" spans="1:21" ht="14.25" customHeight="1" x14ac:dyDescent="0.35">
      <c r="A255" s="47">
        <v>239</v>
      </c>
      <c r="B255" s="69" t="s">
        <v>79</v>
      </c>
      <c r="C255" s="69" t="s">
        <v>80</v>
      </c>
      <c r="D255" s="70" t="s">
        <v>264</v>
      </c>
      <c r="E255" s="69" t="s">
        <v>1304</v>
      </c>
      <c r="F255" s="69" t="s">
        <v>88</v>
      </c>
      <c r="G255" s="69" t="s">
        <v>54</v>
      </c>
      <c r="H255" s="70">
        <v>2016</v>
      </c>
      <c r="I255" s="69"/>
      <c r="J255" s="69" t="s">
        <v>1325</v>
      </c>
      <c r="K255" s="71" t="s">
        <v>1316</v>
      </c>
      <c r="L255" s="71" t="s">
        <v>1326</v>
      </c>
      <c r="M255" s="71" t="s">
        <v>1327</v>
      </c>
      <c r="N255" s="69" t="s">
        <v>57</v>
      </c>
      <c r="O255" s="64">
        <v>1</v>
      </c>
      <c r="P255" s="72">
        <v>18114.400000000001</v>
      </c>
      <c r="Q255" s="69" t="s">
        <v>1328</v>
      </c>
      <c r="R255" s="69"/>
      <c r="S255" s="68" t="s">
        <v>41</v>
      </c>
      <c r="T255" s="56">
        <v>2</v>
      </c>
      <c r="U255" s="56">
        <v>3</v>
      </c>
    </row>
    <row r="256" spans="1:21" ht="14.25" customHeight="1" thickBot="1" x14ac:dyDescent="0.4">
      <c r="A256" s="58">
        <v>240</v>
      </c>
      <c r="B256" s="69" t="s">
        <v>79</v>
      </c>
      <c r="C256" s="69" t="s">
        <v>80</v>
      </c>
      <c r="D256" s="70" t="s">
        <v>269</v>
      </c>
      <c r="E256" s="69" t="s">
        <v>1304</v>
      </c>
      <c r="F256" s="69" t="s">
        <v>88</v>
      </c>
      <c r="G256" s="69" t="s">
        <v>54</v>
      </c>
      <c r="H256" s="70">
        <v>2016</v>
      </c>
      <c r="I256" s="69"/>
      <c r="J256" s="69" t="s">
        <v>1329</v>
      </c>
      <c r="K256" s="71" t="s">
        <v>1330</v>
      </c>
      <c r="L256" s="71" t="s">
        <v>1331</v>
      </c>
      <c r="M256" s="71" t="s">
        <v>1332</v>
      </c>
      <c r="N256" s="69" t="s">
        <v>57</v>
      </c>
      <c r="O256" s="64">
        <v>1</v>
      </c>
      <c r="P256" s="72">
        <v>18114.400000000001</v>
      </c>
      <c r="Q256" s="69" t="s">
        <v>1333</v>
      </c>
      <c r="R256" s="69"/>
      <c r="S256" s="68" t="s">
        <v>41</v>
      </c>
      <c r="T256" s="56">
        <v>2</v>
      </c>
      <c r="U256" s="56">
        <v>3</v>
      </c>
    </row>
    <row r="257" spans="1:21" ht="14.25" customHeight="1" x14ac:dyDescent="0.35">
      <c r="A257" s="47">
        <v>241</v>
      </c>
      <c r="B257" s="69" t="s">
        <v>79</v>
      </c>
      <c r="C257" s="69" t="s">
        <v>80</v>
      </c>
      <c r="D257" s="70" t="s">
        <v>274</v>
      </c>
      <c r="E257" s="69" t="s">
        <v>1304</v>
      </c>
      <c r="F257" s="69" t="s">
        <v>88</v>
      </c>
      <c r="G257" s="69" t="s">
        <v>54</v>
      </c>
      <c r="H257" s="70">
        <v>2016</v>
      </c>
      <c r="I257" s="69"/>
      <c r="J257" s="69" t="s">
        <v>1334</v>
      </c>
      <c r="K257" s="71" t="s">
        <v>1335</v>
      </c>
      <c r="L257" s="71" t="s">
        <v>1336</v>
      </c>
      <c r="M257" s="71" t="s">
        <v>1337</v>
      </c>
      <c r="N257" s="69" t="s">
        <v>57</v>
      </c>
      <c r="O257" s="64">
        <v>1</v>
      </c>
      <c r="P257" s="72">
        <v>18114.400000000001</v>
      </c>
      <c r="Q257" s="69" t="s">
        <v>1338</v>
      </c>
      <c r="R257" s="69"/>
      <c r="S257" s="68" t="s">
        <v>41</v>
      </c>
      <c r="T257" s="56">
        <v>2</v>
      </c>
      <c r="U257" s="56">
        <v>3</v>
      </c>
    </row>
    <row r="258" spans="1:21" ht="14.25" customHeight="1" thickBot="1" x14ac:dyDescent="0.4">
      <c r="A258" s="58">
        <v>242</v>
      </c>
      <c r="B258" s="69" t="s">
        <v>79</v>
      </c>
      <c r="C258" s="69" t="s">
        <v>80</v>
      </c>
      <c r="D258" s="70" t="s">
        <v>280</v>
      </c>
      <c r="E258" s="69" t="s">
        <v>1304</v>
      </c>
      <c r="F258" s="69" t="s">
        <v>88</v>
      </c>
      <c r="G258" s="69" t="s">
        <v>54</v>
      </c>
      <c r="H258" s="70">
        <v>2016</v>
      </c>
      <c r="I258" s="69"/>
      <c r="J258" s="69" t="s">
        <v>1339</v>
      </c>
      <c r="K258" s="71" t="s">
        <v>1340</v>
      </c>
      <c r="L258" s="71" t="s">
        <v>1341</v>
      </c>
      <c r="M258" s="71" t="s">
        <v>1342</v>
      </c>
      <c r="N258" s="69" t="s">
        <v>57</v>
      </c>
      <c r="O258" s="64">
        <v>1</v>
      </c>
      <c r="P258" s="72">
        <v>18114.400000000001</v>
      </c>
      <c r="Q258" s="69" t="s">
        <v>1343</v>
      </c>
      <c r="R258" s="69"/>
      <c r="S258" s="68" t="s">
        <v>41</v>
      </c>
      <c r="T258" s="56">
        <v>2</v>
      </c>
      <c r="U258" s="56">
        <v>3</v>
      </c>
    </row>
    <row r="259" spans="1:21" ht="14.25" customHeight="1" x14ac:dyDescent="0.35">
      <c r="A259" s="47">
        <v>243</v>
      </c>
      <c r="B259" s="69" t="s">
        <v>79</v>
      </c>
      <c r="C259" s="69" t="s">
        <v>80</v>
      </c>
      <c r="D259" s="70" t="s">
        <v>286</v>
      </c>
      <c r="E259" s="69" t="s">
        <v>1304</v>
      </c>
      <c r="F259" s="69" t="s">
        <v>88</v>
      </c>
      <c r="G259" s="69" t="s">
        <v>54</v>
      </c>
      <c r="H259" s="70">
        <v>2016</v>
      </c>
      <c r="I259" s="69"/>
      <c r="J259" s="69" t="s">
        <v>1344</v>
      </c>
      <c r="K259" s="71" t="s">
        <v>1345</v>
      </c>
      <c r="L259" s="71" t="s">
        <v>1346</v>
      </c>
      <c r="M259" s="71" t="s">
        <v>1347</v>
      </c>
      <c r="N259" s="69" t="s">
        <v>57</v>
      </c>
      <c r="O259" s="64">
        <v>1</v>
      </c>
      <c r="P259" s="72">
        <v>18114.400000000001</v>
      </c>
      <c r="Q259" s="69" t="s">
        <v>1348</v>
      </c>
      <c r="R259" s="69"/>
      <c r="S259" s="68" t="s">
        <v>41</v>
      </c>
      <c r="T259" s="56">
        <v>2</v>
      </c>
      <c r="U259" s="56">
        <v>3</v>
      </c>
    </row>
    <row r="260" spans="1:21" ht="14.25" customHeight="1" thickBot="1" x14ac:dyDescent="0.4">
      <c r="A260" s="58">
        <v>244</v>
      </c>
      <c r="B260" s="69" t="s">
        <v>79</v>
      </c>
      <c r="C260" s="69" t="s">
        <v>80</v>
      </c>
      <c r="D260" s="70" t="s">
        <v>291</v>
      </c>
      <c r="E260" s="69" t="s">
        <v>1304</v>
      </c>
      <c r="F260" s="69" t="s">
        <v>88</v>
      </c>
      <c r="G260" s="69" t="s">
        <v>54</v>
      </c>
      <c r="H260" s="70">
        <v>2016</v>
      </c>
      <c r="I260" s="69"/>
      <c r="J260" s="69" t="s">
        <v>1349</v>
      </c>
      <c r="K260" s="71" t="s">
        <v>1350</v>
      </c>
      <c r="L260" s="71" t="s">
        <v>1351</v>
      </c>
      <c r="M260" s="71" t="s">
        <v>1352</v>
      </c>
      <c r="N260" s="69" t="s">
        <v>57</v>
      </c>
      <c r="O260" s="64">
        <v>1</v>
      </c>
      <c r="P260" s="72">
        <v>18114.400000000001</v>
      </c>
      <c r="Q260" s="69" t="s">
        <v>1353</v>
      </c>
      <c r="R260" s="69"/>
      <c r="S260" s="68" t="s">
        <v>41</v>
      </c>
      <c r="T260" s="56">
        <v>2</v>
      </c>
      <c r="U260" s="56">
        <v>3</v>
      </c>
    </row>
    <row r="261" spans="1:21" ht="14.25" customHeight="1" x14ac:dyDescent="0.35">
      <c r="A261" s="47">
        <v>245</v>
      </c>
      <c r="B261" s="69" t="s">
        <v>79</v>
      </c>
      <c r="C261" s="69" t="s">
        <v>80</v>
      </c>
      <c r="D261" s="70" t="s">
        <v>298</v>
      </c>
      <c r="E261" s="69" t="s">
        <v>1304</v>
      </c>
      <c r="F261" s="69" t="s">
        <v>88</v>
      </c>
      <c r="G261" s="69" t="s">
        <v>54</v>
      </c>
      <c r="H261" s="70">
        <v>2016</v>
      </c>
      <c r="I261" s="69"/>
      <c r="J261" s="69" t="s">
        <v>1354</v>
      </c>
      <c r="K261" s="71" t="s">
        <v>1355</v>
      </c>
      <c r="L261" s="71" t="s">
        <v>1356</v>
      </c>
      <c r="M261" s="71" t="s">
        <v>1357</v>
      </c>
      <c r="N261" s="69" t="s">
        <v>57</v>
      </c>
      <c r="O261" s="64">
        <v>1</v>
      </c>
      <c r="P261" s="72">
        <v>18114.400000000001</v>
      </c>
      <c r="Q261" s="69" t="s">
        <v>1358</v>
      </c>
      <c r="R261" s="69"/>
      <c r="S261" s="68" t="s">
        <v>41</v>
      </c>
      <c r="T261" s="56">
        <v>2</v>
      </c>
      <c r="U261" s="56">
        <v>3</v>
      </c>
    </row>
    <row r="262" spans="1:21" ht="14.25" customHeight="1" thickBot="1" x14ac:dyDescent="0.4">
      <c r="A262" s="58">
        <v>246</v>
      </c>
      <c r="B262" s="69" t="s">
        <v>79</v>
      </c>
      <c r="C262" s="69" t="s">
        <v>80</v>
      </c>
      <c r="D262" s="70" t="s">
        <v>304</v>
      </c>
      <c r="E262" s="69" t="s">
        <v>1304</v>
      </c>
      <c r="F262" s="69" t="s">
        <v>88</v>
      </c>
      <c r="G262" s="69" t="s">
        <v>54</v>
      </c>
      <c r="H262" s="70">
        <v>2016</v>
      </c>
      <c r="I262" s="69"/>
      <c r="J262" s="69" t="s">
        <v>1359</v>
      </c>
      <c r="K262" s="71" t="s">
        <v>1360</v>
      </c>
      <c r="L262" s="71" t="s">
        <v>1361</v>
      </c>
      <c r="M262" s="71" t="s">
        <v>1362</v>
      </c>
      <c r="N262" s="69" t="s">
        <v>57</v>
      </c>
      <c r="O262" s="64">
        <v>1</v>
      </c>
      <c r="P262" s="72">
        <v>18114.400000000001</v>
      </c>
      <c r="Q262" s="69" t="s">
        <v>1363</v>
      </c>
      <c r="R262" s="69"/>
      <c r="S262" s="68" t="s">
        <v>41</v>
      </c>
      <c r="T262" s="56">
        <v>2</v>
      </c>
      <c r="U262" s="56">
        <v>3</v>
      </c>
    </row>
    <row r="263" spans="1:21" ht="14.25" customHeight="1" x14ac:dyDescent="0.35">
      <c r="A263" s="47">
        <v>247</v>
      </c>
      <c r="B263" s="69" t="s">
        <v>79</v>
      </c>
      <c r="C263" s="69" t="s">
        <v>80</v>
      </c>
      <c r="D263" s="70" t="s">
        <v>310</v>
      </c>
      <c r="E263" s="69" t="s">
        <v>1304</v>
      </c>
      <c r="F263" s="69" t="s">
        <v>88</v>
      </c>
      <c r="G263" s="69" t="s">
        <v>54</v>
      </c>
      <c r="H263" s="70">
        <v>2016</v>
      </c>
      <c r="I263" s="69"/>
      <c r="J263" s="69" t="s">
        <v>1364</v>
      </c>
      <c r="K263" s="71" t="s">
        <v>1365</v>
      </c>
      <c r="L263" s="71" t="s">
        <v>1366</v>
      </c>
      <c r="M263" s="71" t="s">
        <v>1367</v>
      </c>
      <c r="N263" s="69" t="s">
        <v>57</v>
      </c>
      <c r="O263" s="64">
        <v>1</v>
      </c>
      <c r="P263" s="72">
        <v>18114.400000000001</v>
      </c>
      <c r="Q263" s="69" t="s">
        <v>1368</v>
      </c>
      <c r="R263" s="69"/>
      <c r="S263" s="68" t="s">
        <v>41</v>
      </c>
      <c r="T263" s="56">
        <v>2</v>
      </c>
      <c r="U263" s="56">
        <v>3</v>
      </c>
    </row>
    <row r="264" spans="1:21" ht="14.25" customHeight="1" thickBot="1" x14ac:dyDescent="0.4">
      <c r="A264" s="58">
        <v>248</v>
      </c>
      <c r="B264" s="69" t="s">
        <v>79</v>
      </c>
      <c r="C264" s="69" t="s">
        <v>80</v>
      </c>
      <c r="D264" s="70" t="s">
        <v>319</v>
      </c>
      <c r="E264" s="69" t="s">
        <v>1369</v>
      </c>
      <c r="F264" s="69" t="s">
        <v>1370</v>
      </c>
      <c r="G264" s="69" t="s">
        <v>1371</v>
      </c>
      <c r="H264" s="70">
        <v>2014</v>
      </c>
      <c r="I264" s="69"/>
      <c r="J264" s="69" t="s">
        <v>1372</v>
      </c>
      <c r="K264" s="71" t="s">
        <v>1373</v>
      </c>
      <c r="L264" s="71" t="s">
        <v>1374</v>
      </c>
      <c r="M264" s="71" t="s">
        <v>1375</v>
      </c>
      <c r="N264" s="69" t="s">
        <v>57</v>
      </c>
      <c r="O264" s="64">
        <v>1</v>
      </c>
      <c r="P264" s="72">
        <v>14366</v>
      </c>
      <c r="Q264" s="69" t="s">
        <v>1376</v>
      </c>
      <c r="R264" s="69"/>
      <c r="S264" s="68" t="s">
        <v>41</v>
      </c>
      <c r="T264" s="56">
        <v>2</v>
      </c>
      <c r="U264" s="56">
        <v>3</v>
      </c>
    </row>
    <row r="265" spans="1:21" ht="14.25" customHeight="1" x14ac:dyDescent="0.35">
      <c r="A265" s="47">
        <v>249</v>
      </c>
      <c r="B265" s="69" t="s">
        <v>79</v>
      </c>
      <c r="C265" s="69" t="s">
        <v>80</v>
      </c>
      <c r="D265" s="70" t="s">
        <v>332</v>
      </c>
      <c r="E265" s="69" t="s">
        <v>1377</v>
      </c>
      <c r="F265" s="69" t="s">
        <v>1378</v>
      </c>
      <c r="G265" s="69" t="s">
        <v>140</v>
      </c>
      <c r="H265" s="70">
        <v>2014</v>
      </c>
      <c r="I265" s="69"/>
      <c r="J265" s="69" t="s">
        <v>1379</v>
      </c>
      <c r="K265" s="71" t="s">
        <v>1380</v>
      </c>
      <c r="L265" s="71" t="s">
        <v>1381</v>
      </c>
      <c r="M265" s="71" t="s">
        <v>1382</v>
      </c>
      <c r="N265" s="69" t="s">
        <v>57</v>
      </c>
      <c r="O265" s="64">
        <v>1</v>
      </c>
      <c r="P265" s="72">
        <v>19189.532999999999</v>
      </c>
      <c r="Q265" s="69" t="s">
        <v>1115</v>
      </c>
      <c r="R265" s="69"/>
      <c r="S265" s="68" t="s">
        <v>41</v>
      </c>
      <c r="T265" s="56">
        <v>2</v>
      </c>
      <c r="U265" s="56">
        <v>3</v>
      </c>
    </row>
    <row r="266" spans="1:21" ht="14.25" customHeight="1" thickBot="1" x14ac:dyDescent="0.4">
      <c r="A266" s="58">
        <v>250</v>
      </c>
      <c r="B266" s="69" t="s">
        <v>79</v>
      </c>
      <c r="C266" s="69" t="s">
        <v>80</v>
      </c>
      <c r="D266" s="70" t="s">
        <v>338</v>
      </c>
      <c r="E266" s="69" t="s">
        <v>1383</v>
      </c>
      <c r="F266" s="69" t="s">
        <v>163</v>
      </c>
      <c r="G266" s="69" t="s">
        <v>140</v>
      </c>
      <c r="H266" s="70">
        <v>2015</v>
      </c>
      <c r="I266" s="69"/>
      <c r="J266" s="69" t="s">
        <v>1384</v>
      </c>
      <c r="K266" s="71" t="s">
        <v>1385</v>
      </c>
      <c r="L266" s="71" t="s">
        <v>1386</v>
      </c>
      <c r="M266" s="71" t="s">
        <v>1387</v>
      </c>
      <c r="N266" s="69" t="s">
        <v>57</v>
      </c>
      <c r="O266" s="64">
        <v>1</v>
      </c>
      <c r="P266" s="72">
        <v>14962.333000000001</v>
      </c>
      <c r="Q266" s="69" t="s">
        <v>1388</v>
      </c>
      <c r="R266" s="69"/>
      <c r="S266" s="68" t="s">
        <v>41</v>
      </c>
      <c r="T266" s="56">
        <v>2</v>
      </c>
      <c r="U266" s="56">
        <v>3</v>
      </c>
    </row>
    <row r="267" spans="1:21" ht="14.25" customHeight="1" x14ac:dyDescent="0.35">
      <c r="A267" s="47">
        <v>251</v>
      </c>
      <c r="B267" s="69" t="s">
        <v>79</v>
      </c>
      <c r="C267" s="69" t="s">
        <v>80</v>
      </c>
      <c r="D267" s="70" t="s">
        <v>343</v>
      </c>
      <c r="E267" s="69" t="s">
        <v>1257</v>
      </c>
      <c r="F267" s="69" t="s">
        <v>483</v>
      </c>
      <c r="G267" s="69" t="s">
        <v>484</v>
      </c>
      <c r="H267" s="70">
        <v>2020</v>
      </c>
      <c r="I267" s="69" t="s">
        <v>63</v>
      </c>
      <c r="J267" s="69" t="s">
        <v>1389</v>
      </c>
      <c r="K267" s="71" t="s">
        <v>1390</v>
      </c>
      <c r="L267" s="71" t="s">
        <v>1391</v>
      </c>
      <c r="M267" s="71" t="s">
        <v>1392</v>
      </c>
      <c r="N267" s="69" t="s">
        <v>57</v>
      </c>
      <c r="O267" s="64">
        <v>1</v>
      </c>
      <c r="P267" s="72">
        <v>23800</v>
      </c>
      <c r="Q267" s="69" t="s">
        <v>488</v>
      </c>
      <c r="R267" s="69"/>
      <c r="S267" s="68" t="s">
        <v>41</v>
      </c>
      <c r="T267" s="56">
        <v>2</v>
      </c>
      <c r="U267" s="56">
        <v>3</v>
      </c>
    </row>
    <row r="268" spans="1:21" ht="14.25" customHeight="1" thickBot="1" x14ac:dyDescent="0.4">
      <c r="A268" s="58">
        <v>252</v>
      </c>
      <c r="B268" s="69" t="s">
        <v>79</v>
      </c>
      <c r="C268" s="69" t="s">
        <v>80</v>
      </c>
      <c r="D268" s="70" t="s">
        <v>348</v>
      </c>
      <c r="E268" s="69" t="s">
        <v>1257</v>
      </c>
      <c r="F268" s="69" t="s">
        <v>483</v>
      </c>
      <c r="G268" s="69" t="s">
        <v>484</v>
      </c>
      <c r="H268" s="70">
        <v>2020</v>
      </c>
      <c r="I268" s="69" t="s">
        <v>63</v>
      </c>
      <c r="J268" s="69" t="s">
        <v>1393</v>
      </c>
      <c r="K268" s="71" t="s">
        <v>1394</v>
      </c>
      <c r="L268" s="71" t="s">
        <v>1395</v>
      </c>
      <c r="M268" s="71" t="s">
        <v>1396</v>
      </c>
      <c r="N268" s="69" t="s">
        <v>57</v>
      </c>
      <c r="O268" s="64">
        <v>1</v>
      </c>
      <c r="P268" s="72">
        <v>23800</v>
      </c>
      <c r="Q268" s="69" t="s">
        <v>1397</v>
      </c>
      <c r="R268" s="69"/>
      <c r="S268" s="68" t="s">
        <v>41</v>
      </c>
      <c r="T268" s="56">
        <v>2</v>
      </c>
      <c r="U268" s="56">
        <v>3</v>
      </c>
    </row>
    <row r="269" spans="1:21" ht="14.25" customHeight="1" x14ac:dyDescent="0.35">
      <c r="A269" s="47">
        <v>253</v>
      </c>
      <c r="B269" s="69" t="s">
        <v>79</v>
      </c>
      <c r="C269" s="69" t="s">
        <v>80</v>
      </c>
      <c r="D269" s="70" t="s">
        <v>353</v>
      </c>
      <c r="E269" s="69" t="s">
        <v>1257</v>
      </c>
      <c r="F269" s="69" t="s">
        <v>483</v>
      </c>
      <c r="G269" s="69" t="s">
        <v>484</v>
      </c>
      <c r="H269" s="70">
        <v>2020</v>
      </c>
      <c r="I269" s="69" t="s">
        <v>63</v>
      </c>
      <c r="J269" s="69" t="s">
        <v>1398</v>
      </c>
      <c r="K269" s="71" t="s">
        <v>1399</v>
      </c>
      <c r="L269" s="71" t="s">
        <v>1400</v>
      </c>
      <c r="M269" s="71" t="s">
        <v>1401</v>
      </c>
      <c r="N269" s="69" t="s">
        <v>57</v>
      </c>
      <c r="O269" s="64">
        <v>1</v>
      </c>
      <c r="P269" s="72">
        <v>23800</v>
      </c>
      <c r="Q269" s="69" t="s">
        <v>488</v>
      </c>
      <c r="R269" s="69"/>
      <c r="S269" s="68" t="s">
        <v>41</v>
      </c>
      <c r="T269" s="56">
        <v>2</v>
      </c>
      <c r="U269" s="56">
        <v>3</v>
      </c>
    </row>
    <row r="270" spans="1:21" ht="14.25" customHeight="1" thickBot="1" x14ac:dyDescent="0.4">
      <c r="A270" s="58">
        <v>254</v>
      </c>
      <c r="B270" s="69" t="s">
        <v>79</v>
      </c>
      <c r="C270" s="69" t="s">
        <v>80</v>
      </c>
      <c r="D270" s="70" t="s">
        <v>359</v>
      </c>
      <c r="E270" s="69" t="s">
        <v>1257</v>
      </c>
      <c r="F270" s="69" t="s">
        <v>483</v>
      </c>
      <c r="G270" s="69" t="s">
        <v>484</v>
      </c>
      <c r="H270" s="70">
        <v>2020</v>
      </c>
      <c r="I270" s="69" t="s">
        <v>63</v>
      </c>
      <c r="J270" s="69" t="s">
        <v>1402</v>
      </c>
      <c r="K270" s="71" t="s">
        <v>1403</v>
      </c>
      <c r="L270" s="71" t="s">
        <v>1404</v>
      </c>
      <c r="M270" s="71" t="s">
        <v>1405</v>
      </c>
      <c r="N270" s="69" t="s">
        <v>57</v>
      </c>
      <c r="O270" s="64">
        <v>1</v>
      </c>
      <c r="P270" s="72">
        <v>23800</v>
      </c>
      <c r="Q270" s="69" t="s">
        <v>488</v>
      </c>
      <c r="R270" s="69"/>
      <c r="S270" s="68" t="s">
        <v>41</v>
      </c>
      <c r="T270" s="56">
        <v>2</v>
      </c>
      <c r="U270" s="56">
        <v>3</v>
      </c>
    </row>
    <row r="271" spans="1:21" ht="14.25" customHeight="1" x14ac:dyDescent="0.35">
      <c r="A271" s="47">
        <v>255</v>
      </c>
      <c r="B271" s="69" t="s">
        <v>79</v>
      </c>
      <c r="C271" s="69" t="s">
        <v>80</v>
      </c>
      <c r="D271" s="70" t="s">
        <v>366</v>
      </c>
      <c r="E271" s="69" t="s">
        <v>1257</v>
      </c>
      <c r="F271" s="69" t="s">
        <v>483</v>
      </c>
      <c r="G271" s="69" t="s">
        <v>484</v>
      </c>
      <c r="H271" s="70">
        <v>2020</v>
      </c>
      <c r="I271" s="69" t="s">
        <v>63</v>
      </c>
      <c r="J271" s="69" t="s">
        <v>1406</v>
      </c>
      <c r="K271" s="71" t="s">
        <v>1407</v>
      </c>
      <c r="L271" s="71" t="s">
        <v>1408</v>
      </c>
      <c r="M271" s="71" t="s">
        <v>1409</v>
      </c>
      <c r="N271" s="69" t="s">
        <v>57</v>
      </c>
      <c r="O271" s="64">
        <v>1</v>
      </c>
      <c r="P271" s="72">
        <v>23800</v>
      </c>
      <c r="Q271" s="69" t="s">
        <v>1410</v>
      </c>
      <c r="R271" s="69"/>
      <c r="S271" s="68" t="s">
        <v>41</v>
      </c>
      <c r="T271" s="56">
        <v>2</v>
      </c>
      <c r="U271" s="56">
        <v>3</v>
      </c>
    </row>
    <row r="272" spans="1:21" ht="14.25" customHeight="1" thickBot="1" x14ac:dyDescent="0.4">
      <c r="A272" s="58">
        <v>256</v>
      </c>
      <c r="B272" s="69" t="s">
        <v>79</v>
      </c>
      <c r="C272" s="69" t="s">
        <v>80</v>
      </c>
      <c r="D272" s="70" t="s">
        <v>371</v>
      </c>
      <c r="E272" s="69" t="s">
        <v>1257</v>
      </c>
      <c r="F272" s="69" t="s">
        <v>483</v>
      </c>
      <c r="G272" s="69" t="s">
        <v>484</v>
      </c>
      <c r="H272" s="70">
        <v>2020</v>
      </c>
      <c r="I272" s="69" t="s">
        <v>63</v>
      </c>
      <c r="J272" s="69" t="s">
        <v>1411</v>
      </c>
      <c r="K272" s="71" t="s">
        <v>1412</v>
      </c>
      <c r="L272" s="71" t="s">
        <v>1413</v>
      </c>
      <c r="M272" s="71" t="s">
        <v>1414</v>
      </c>
      <c r="N272" s="69" t="s">
        <v>57</v>
      </c>
      <c r="O272" s="64">
        <v>1</v>
      </c>
      <c r="P272" s="72">
        <v>23800</v>
      </c>
      <c r="Q272" s="69" t="s">
        <v>488</v>
      </c>
      <c r="R272" s="69"/>
      <c r="S272" s="68" t="s">
        <v>41</v>
      </c>
      <c r="T272" s="56">
        <v>2</v>
      </c>
      <c r="U272" s="56">
        <v>3</v>
      </c>
    </row>
    <row r="273" spans="1:21" ht="14.25" customHeight="1" x14ac:dyDescent="0.35">
      <c r="A273" s="47">
        <v>257</v>
      </c>
      <c r="B273" s="69" t="s">
        <v>79</v>
      </c>
      <c r="C273" s="69" t="s">
        <v>80</v>
      </c>
      <c r="D273" s="70" t="s">
        <v>376</v>
      </c>
      <c r="E273" s="69" t="s">
        <v>1257</v>
      </c>
      <c r="F273" s="69" t="s">
        <v>483</v>
      </c>
      <c r="G273" s="69" t="s">
        <v>484</v>
      </c>
      <c r="H273" s="70">
        <v>2020</v>
      </c>
      <c r="I273" s="69" t="s">
        <v>63</v>
      </c>
      <c r="J273" s="69" t="s">
        <v>1415</v>
      </c>
      <c r="K273" s="71" t="s">
        <v>1416</v>
      </c>
      <c r="L273" s="71" t="s">
        <v>1417</v>
      </c>
      <c r="M273" s="71" t="s">
        <v>1418</v>
      </c>
      <c r="N273" s="69" t="s">
        <v>57</v>
      </c>
      <c r="O273" s="64">
        <v>1</v>
      </c>
      <c r="P273" s="72">
        <v>23800</v>
      </c>
      <c r="Q273" s="69" t="s">
        <v>488</v>
      </c>
      <c r="R273" s="69"/>
      <c r="S273" s="68" t="s">
        <v>41</v>
      </c>
      <c r="T273" s="56">
        <v>2</v>
      </c>
      <c r="U273" s="56">
        <v>3</v>
      </c>
    </row>
    <row r="274" spans="1:21" ht="14.25" customHeight="1" thickBot="1" x14ac:dyDescent="0.4">
      <c r="A274" s="58">
        <v>258</v>
      </c>
      <c r="B274" s="69" t="s">
        <v>79</v>
      </c>
      <c r="C274" s="69" t="s">
        <v>80</v>
      </c>
      <c r="D274" s="70" t="s">
        <v>382</v>
      </c>
      <c r="E274" s="69" t="s">
        <v>1257</v>
      </c>
      <c r="F274" s="69" t="s">
        <v>483</v>
      </c>
      <c r="G274" s="69" t="s">
        <v>484</v>
      </c>
      <c r="H274" s="70">
        <v>2020</v>
      </c>
      <c r="I274" s="69" t="s">
        <v>63</v>
      </c>
      <c r="J274" s="69" t="s">
        <v>1419</v>
      </c>
      <c r="K274" s="71" t="s">
        <v>1420</v>
      </c>
      <c r="L274" s="71" t="s">
        <v>1421</v>
      </c>
      <c r="M274" s="71" t="s">
        <v>1422</v>
      </c>
      <c r="N274" s="69" t="s">
        <v>57</v>
      </c>
      <c r="O274" s="64">
        <v>1</v>
      </c>
      <c r="P274" s="72">
        <v>23800</v>
      </c>
      <c r="Q274" s="69" t="s">
        <v>488</v>
      </c>
      <c r="R274" s="69"/>
      <c r="S274" s="68" t="s">
        <v>41</v>
      </c>
      <c r="T274" s="56">
        <v>2</v>
      </c>
      <c r="U274" s="56">
        <v>3</v>
      </c>
    </row>
    <row r="275" spans="1:21" ht="14.25" customHeight="1" x14ac:dyDescent="0.35">
      <c r="A275" s="47">
        <v>259</v>
      </c>
      <c r="B275" s="69" t="s">
        <v>79</v>
      </c>
      <c r="C275" s="69" t="s">
        <v>80</v>
      </c>
      <c r="D275" s="70" t="s">
        <v>387</v>
      </c>
      <c r="E275" s="69" t="s">
        <v>1257</v>
      </c>
      <c r="F275" s="69" t="s">
        <v>483</v>
      </c>
      <c r="G275" s="69" t="s">
        <v>553</v>
      </c>
      <c r="H275" s="70">
        <v>2020</v>
      </c>
      <c r="I275" s="69" t="s">
        <v>63</v>
      </c>
      <c r="J275" s="69" t="s">
        <v>1423</v>
      </c>
      <c r="K275" s="71" t="s">
        <v>1424</v>
      </c>
      <c r="L275" s="71" t="s">
        <v>1425</v>
      </c>
      <c r="M275" s="71" t="s">
        <v>1426</v>
      </c>
      <c r="N275" s="69" t="s">
        <v>57</v>
      </c>
      <c r="O275" s="64">
        <v>1</v>
      </c>
      <c r="P275" s="72">
        <v>23800</v>
      </c>
      <c r="Q275" s="69" t="s">
        <v>488</v>
      </c>
      <c r="R275" s="69"/>
      <c r="S275" s="68" t="s">
        <v>41</v>
      </c>
      <c r="T275" s="56">
        <v>2</v>
      </c>
      <c r="U275" s="56">
        <v>3</v>
      </c>
    </row>
    <row r="276" spans="1:21" ht="14.25" customHeight="1" thickBot="1" x14ac:dyDescent="0.4">
      <c r="A276" s="58">
        <v>260</v>
      </c>
      <c r="B276" s="69" t="s">
        <v>79</v>
      </c>
      <c r="C276" s="69" t="s">
        <v>80</v>
      </c>
      <c r="D276" s="70" t="s">
        <v>392</v>
      </c>
      <c r="E276" s="69" t="s">
        <v>430</v>
      </c>
      <c r="F276" s="69" t="s">
        <v>82</v>
      </c>
      <c r="G276" s="69" t="s">
        <v>54</v>
      </c>
      <c r="H276" s="70">
        <v>2007</v>
      </c>
      <c r="I276" s="69"/>
      <c r="J276" s="69" t="s">
        <v>1427</v>
      </c>
      <c r="K276" s="71" t="s">
        <v>1428</v>
      </c>
      <c r="L276" s="71" t="s">
        <v>1429</v>
      </c>
      <c r="M276" s="71" t="s">
        <v>1430</v>
      </c>
      <c r="N276" s="69" t="s">
        <v>57</v>
      </c>
      <c r="O276" s="64">
        <v>1</v>
      </c>
      <c r="P276" s="72">
        <v>13500</v>
      </c>
      <c r="Q276" s="69" t="s">
        <v>1431</v>
      </c>
      <c r="R276" s="69"/>
      <c r="S276" s="68" t="s">
        <v>41</v>
      </c>
      <c r="T276" s="56">
        <v>2</v>
      </c>
      <c r="U276" s="56">
        <v>3</v>
      </c>
    </row>
    <row r="277" spans="1:21" ht="14.25" customHeight="1" x14ac:dyDescent="0.35">
      <c r="A277" s="47">
        <v>261</v>
      </c>
      <c r="B277" s="69" t="s">
        <v>79</v>
      </c>
      <c r="C277" s="69" t="s">
        <v>80</v>
      </c>
      <c r="D277" s="70" t="s">
        <v>398</v>
      </c>
      <c r="E277" s="69" t="s">
        <v>1432</v>
      </c>
      <c r="F277" s="69" t="s">
        <v>1433</v>
      </c>
      <c r="G277" s="69" t="s">
        <v>54</v>
      </c>
      <c r="H277" s="70">
        <v>2009</v>
      </c>
      <c r="I277" s="69"/>
      <c r="J277" s="69" t="s">
        <v>1434</v>
      </c>
      <c r="K277" s="71" t="s">
        <v>1435</v>
      </c>
      <c r="L277" s="71" t="s">
        <v>1436</v>
      </c>
      <c r="M277" s="71" t="s">
        <v>1437</v>
      </c>
      <c r="N277" s="69" t="s">
        <v>57</v>
      </c>
      <c r="O277" s="64">
        <v>1</v>
      </c>
      <c r="P277" s="72">
        <v>24750</v>
      </c>
      <c r="Q277" s="69" t="s">
        <v>1438</v>
      </c>
      <c r="R277" s="69"/>
      <c r="S277" s="68" t="s">
        <v>41</v>
      </c>
      <c r="T277" s="56">
        <v>2</v>
      </c>
      <c r="U277" s="56">
        <v>3</v>
      </c>
    </row>
    <row r="278" spans="1:21" ht="14.25" customHeight="1" thickBot="1" x14ac:dyDescent="0.4">
      <c r="A278" s="58">
        <v>262</v>
      </c>
      <c r="B278" s="69" t="s">
        <v>79</v>
      </c>
      <c r="C278" s="69" t="s">
        <v>80</v>
      </c>
      <c r="D278" s="70" t="s">
        <v>408</v>
      </c>
      <c r="E278" s="69" t="s">
        <v>1439</v>
      </c>
      <c r="F278" s="69" t="s">
        <v>82</v>
      </c>
      <c r="G278" s="69" t="s">
        <v>54</v>
      </c>
      <c r="H278" s="70">
        <v>2008</v>
      </c>
      <c r="I278" s="69"/>
      <c r="J278" s="69" t="s">
        <v>1440</v>
      </c>
      <c r="K278" s="71" t="s">
        <v>1441</v>
      </c>
      <c r="L278" s="71" t="s">
        <v>1442</v>
      </c>
      <c r="M278" s="71" t="s">
        <v>1443</v>
      </c>
      <c r="N278" s="69" t="s">
        <v>57</v>
      </c>
      <c r="O278" s="64">
        <v>1</v>
      </c>
      <c r="P278" s="72">
        <v>13920</v>
      </c>
      <c r="Q278" s="69" t="s">
        <v>1444</v>
      </c>
      <c r="R278" s="69"/>
      <c r="S278" s="68" t="s">
        <v>41</v>
      </c>
      <c r="T278" s="56">
        <v>2</v>
      </c>
      <c r="U278" s="56">
        <v>3</v>
      </c>
    </row>
    <row r="279" spans="1:21" ht="14.25" customHeight="1" x14ac:dyDescent="0.35">
      <c r="A279" s="47">
        <v>263</v>
      </c>
      <c r="B279" s="69" t="s">
        <v>79</v>
      </c>
      <c r="C279" s="69" t="s">
        <v>80</v>
      </c>
      <c r="D279" s="70" t="s">
        <v>413</v>
      </c>
      <c r="E279" s="69" t="s">
        <v>1439</v>
      </c>
      <c r="F279" s="69" t="s">
        <v>82</v>
      </c>
      <c r="G279" s="69" t="s">
        <v>54</v>
      </c>
      <c r="H279" s="70">
        <v>2008</v>
      </c>
      <c r="I279" s="69"/>
      <c r="J279" s="69" t="s">
        <v>1445</v>
      </c>
      <c r="K279" s="71" t="s">
        <v>1446</v>
      </c>
      <c r="L279" s="71" t="s">
        <v>1447</v>
      </c>
      <c r="M279" s="71" t="s">
        <v>1448</v>
      </c>
      <c r="N279" s="69" t="s">
        <v>57</v>
      </c>
      <c r="O279" s="64">
        <v>1</v>
      </c>
      <c r="P279" s="72">
        <v>13920</v>
      </c>
      <c r="Q279" s="69" t="s">
        <v>1449</v>
      </c>
      <c r="R279" s="69"/>
      <c r="S279" s="68" t="s">
        <v>41</v>
      </c>
      <c r="T279" s="56">
        <v>2</v>
      </c>
      <c r="U279" s="56">
        <v>3</v>
      </c>
    </row>
    <row r="280" spans="1:21" ht="14.25" customHeight="1" thickBot="1" x14ac:dyDescent="0.4">
      <c r="A280" s="58">
        <v>264</v>
      </c>
      <c r="B280" s="69" t="s">
        <v>79</v>
      </c>
      <c r="C280" s="69" t="s">
        <v>80</v>
      </c>
      <c r="D280" s="70" t="s">
        <v>1450</v>
      </c>
      <c r="E280" s="69" t="s">
        <v>1439</v>
      </c>
      <c r="F280" s="69" t="s">
        <v>82</v>
      </c>
      <c r="G280" s="69" t="s">
        <v>54</v>
      </c>
      <c r="H280" s="70">
        <v>2008</v>
      </c>
      <c r="I280" s="69"/>
      <c r="J280" s="69" t="s">
        <v>1451</v>
      </c>
      <c r="K280" s="71" t="s">
        <v>1452</v>
      </c>
      <c r="L280" s="71" t="s">
        <v>1453</v>
      </c>
      <c r="M280" s="71" t="s">
        <v>1454</v>
      </c>
      <c r="N280" s="69" t="s">
        <v>57</v>
      </c>
      <c r="O280" s="64">
        <v>1</v>
      </c>
      <c r="P280" s="72">
        <v>13920</v>
      </c>
      <c r="Q280" s="69" t="s">
        <v>1455</v>
      </c>
      <c r="R280" s="69"/>
      <c r="S280" s="68" t="s">
        <v>41</v>
      </c>
      <c r="T280" s="56">
        <v>2</v>
      </c>
      <c r="U280" s="56">
        <v>3</v>
      </c>
    </row>
    <row r="281" spans="1:21" ht="14.25" customHeight="1" x14ac:dyDescent="0.35">
      <c r="A281" s="47">
        <v>265</v>
      </c>
      <c r="B281" s="69" t="s">
        <v>79</v>
      </c>
      <c r="C281" s="69" t="s">
        <v>80</v>
      </c>
      <c r="D281" s="70" t="s">
        <v>1456</v>
      </c>
      <c r="E281" s="69" t="s">
        <v>1439</v>
      </c>
      <c r="F281" s="69" t="s">
        <v>82</v>
      </c>
      <c r="G281" s="69" t="s">
        <v>54</v>
      </c>
      <c r="H281" s="70">
        <v>2008</v>
      </c>
      <c r="I281" s="69"/>
      <c r="J281" s="69" t="s">
        <v>1457</v>
      </c>
      <c r="K281" s="71" t="s">
        <v>1458</v>
      </c>
      <c r="L281" s="71" t="s">
        <v>1459</v>
      </c>
      <c r="M281" s="71" t="s">
        <v>1460</v>
      </c>
      <c r="N281" s="69" t="s">
        <v>57</v>
      </c>
      <c r="O281" s="64">
        <v>1</v>
      </c>
      <c r="P281" s="72">
        <v>13920</v>
      </c>
      <c r="Q281" s="69" t="s">
        <v>1461</v>
      </c>
      <c r="R281" s="69"/>
      <c r="S281" s="68" t="s">
        <v>41</v>
      </c>
      <c r="T281" s="56">
        <v>2</v>
      </c>
      <c r="U281" s="56">
        <v>3</v>
      </c>
    </row>
    <row r="282" spans="1:21" ht="14.25" customHeight="1" thickBot="1" x14ac:dyDescent="0.4">
      <c r="A282" s="58">
        <v>266</v>
      </c>
      <c r="B282" s="69" t="s">
        <v>79</v>
      </c>
      <c r="C282" s="69" t="s">
        <v>80</v>
      </c>
      <c r="D282" s="70" t="s">
        <v>1462</v>
      </c>
      <c r="E282" s="69" t="s">
        <v>1463</v>
      </c>
      <c r="F282" s="69" t="s">
        <v>88</v>
      </c>
      <c r="G282" s="69" t="s">
        <v>54</v>
      </c>
      <c r="H282" s="70">
        <v>2009</v>
      </c>
      <c r="I282" s="69"/>
      <c r="J282" s="69" t="s">
        <v>1464</v>
      </c>
      <c r="K282" s="71" t="s">
        <v>1465</v>
      </c>
      <c r="L282" s="71" t="s">
        <v>1466</v>
      </c>
      <c r="M282" s="71" t="s">
        <v>1467</v>
      </c>
      <c r="N282" s="69" t="s">
        <v>57</v>
      </c>
      <c r="O282" s="64">
        <v>1</v>
      </c>
      <c r="P282" s="72">
        <v>18860</v>
      </c>
      <c r="Q282" s="69" t="s">
        <v>1468</v>
      </c>
      <c r="R282" s="69"/>
      <c r="S282" s="68" t="s">
        <v>41</v>
      </c>
      <c r="T282" s="56">
        <v>2</v>
      </c>
      <c r="U282" s="56">
        <v>3</v>
      </c>
    </row>
    <row r="283" spans="1:21" ht="14.25" customHeight="1" x14ac:dyDescent="0.35">
      <c r="A283" s="47">
        <v>267</v>
      </c>
      <c r="B283" s="69" t="s">
        <v>79</v>
      </c>
      <c r="C283" s="69" t="s">
        <v>80</v>
      </c>
      <c r="D283" s="70" t="s">
        <v>1469</v>
      </c>
      <c r="E283" s="69" t="s">
        <v>1369</v>
      </c>
      <c r="F283" s="69" t="s">
        <v>1370</v>
      </c>
      <c r="G283" s="69" t="s">
        <v>1371</v>
      </c>
      <c r="H283" s="70">
        <v>2014</v>
      </c>
      <c r="I283" s="69"/>
      <c r="J283" s="69" t="s">
        <v>1470</v>
      </c>
      <c r="K283" s="71" t="s">
        <v>1471</v>
      </c>
      <c r="L283" s="71" t="s">
        <v>1472</v>
      </c>
      <c r="M283" s="71" t="s">
        <v>1473</v>
      </c>
      <c r="N283" s="69" t="s">
        <v>57</v>
      </c>
      <c r="O283" s="64">
        <v>1</v>
      </c>
      <c r="P283" s="72">
        <v>14366</v>
      </c>
      <c r="Q283" s="69" t="s">
        <v>1474</v>
      </c>
      <c r="R283" s="69"/>
      <c r="S283" s="68" t="s">
        <v>41</v>
      </c>
      <c r="T283" s="56">
        <v>2</v>
      </c>
      <c r="U283" s="56">
        <v>3</v>
      </c>
    </row>
    <row r="284" spans="1:21" ht="14.25" customHeight="1" thickBot="1" x14ac:dyDescent="0.4">
      <c r="A284" s="58">
        <v>268</v>
      </c>
      <c r="B284" s="69" t="s">
        <v>79</v>
      </c>
      <c r="C284" s="69" t="s">
        <v>80</v>
      </c>
      <c r="D284" s="70" t="s">
        <v>1475</v>
      </c>
      <c r="E284" s="69" t="s">
        <v>1377</v>
      </c>
      <c r="F284" s="69" t="s">
        <v>1378</v>
      </c>
      <c r="G284" s="69" t="s">
        <v>140</v>
      </c>
      <c r="H284" s="70">
        <v>2014</v>
      </c>
      <c r="I284" s="69"/>
      <c r="J284" s="69" t="s">
        <v>1476</v>
      </c>
      <c r="K284" s="71" t="s">
        <v>1477</v>
      </c>
      <c r="L284" s="71" t="s">
        <v>1478</v>
      </c>
      <c r="M284" s="71" t="s">
        <v>1479</v>
      </c>
      <c r="N284" s="69" t="s">
        <v>57</v>
      </c>
      <c r="O284" s="64">
        <v>1</v>
      </c>
      <c r="P284" s="72">
        <v>19189.532999999999</v>
      </c>
      <c r="Q284" s="69" t="s">
        <v>1115</v>
      </c>
      <c r="R284" s="69"/>
      <c r="S284" s="68" t="s">
        <v>41</v>
      </c>
      <c r="T284" s="56">
        <v>2</v>
      </c>
      <c r="U284" s="56">
        <v>3</v>
      </c>
    </row>
    <row r="285" spans="1:21" ht="14.25" customHeight="1" x14ac:dyDescent="0.35">
      <c r="A285" s="47">
        <v>269</v>
      </c>
      <c r="B285" s="69" t="s">
        <v>79</v>
      </c>
      <c r="C285" s="69" t="s">
        <v>80</v>
      </c>
      <c r="D285" s="70" t="s">
        <v>1480</v>
      </c>
      <c r="E285" s="69" t="s">
        <v>1377</v>
      </c>
      <c r="F285" s="69" t="s">
        <v>1378</v>
      </c>
      <c r="G285" s="69" t="s">
        <v>140</v>
      </c>
      <c r="H285" s="70">
        <v>2014</v>
      </c>
      <c r="I285" s="69"/>
      <c r="J285" s="69" t="s">
        <v>1481</v>
      </c>
      <c r="K285" s="71" t="s">
        <v>1482</v>
      </c>
      <c r="L285" s="71" t="s">
        <v>1483</v>
      </c>
      <c r="M285" s="71" t="s">
        <v>1484</v>
      </c>
      <c r="N285" s="69" t="s">
        <v>57</v>
      </c>
      <c r="O285" s="64">
        <v>1</v>
      </c>
      <c r="P285" s="72">
        <v>19189.532999999999</v>
      </c>
      <c r="Q285" s="69" t="s">
        <v>1115</v>
      </c>
      <c r="R285" s="69"/>
      <c r="S285" s="68" t="s">
        <v>41</v>
      </c>
      <c r="T285" s="56">
        <v>2</v>
      </c>
      <c r="U285" s="56">
        <v>3</v>
      </c>
    </row>
    <row r="286" spans="1:21" ht="14.25" customHeight="1" thickBot="1" x14ac:dyDescent="0.4">
      <c r="A286" s="58">
        <v>270</v>
      </c>
      <c r="B286" s="69" t="s">
        <v>79</v>
      </c>
      <c r="C286" s="69" t="s">
        <v>80</v>
      </c>
      <c r="D286" s="70" t="s">
        <v>1485</v>
      </c>
      <c r="E286" s="69" t="s">
        <v>1377</v>
      </c>
      <c r="F286" s="69" t="s">
        <v>1378</v>
      </c>
      <c r="G286" s="69" t="s">
        <v>140</v>
      </c>
      <c r="H286" s="70">
        <v>2014</v>
      </c>
      <c r="I286" s="69"/>
      <c r="J286" s="69" t="s">
        <v>1486</v>
      </c>
      <c r="K286" s="71" t="s">
        <v>1487</v>
      </c>
      <c r="L286" s="71" t="s">
        <v>1488</v>
      </c>
      <c r="M286" s="71" t="s">
        <v>1489</v>
      </c>
      <c r="N286" s="69" t="s">
        <v>57</v>
      </c>
      <c r="O286" s="64">
        <v>1</v>
      </c>
      <c r="P286" s="72">
        <v>19189.532999999999</v>
      </c>
      <c r="Q286" s="69" t="s">
        <v>1115</v>
      </c>
      <c r="R286" s="69"/>
      <c r="S286" s="68" t="s">
        <v>41</v>
      </c>
      <c r="T286" s="56">
        <v>2</v>
      </c>
      <c r="U286" s="56">
        <v>3</v>
      </c>
    </row>
    <row r="287" spans="1:21" ht="14.25" customHeight="1" x14ac:dyDescent="0.35">
      <c r="A287" s="47">
        <v>271</v>
      </c>
      <c r="B287" s="69" t="s">
        <v>79</v>
      </c>
      <c r="C287" s="69" t="s">
        <v>80</v>
      </c>
      <c r="D287" s="70" t="s">
        <v>1490</v>
      </c>
      <c r="E287" s="69" t="s">
        <v>1491</v>
      </c>
      <c r="F287" s="69" t="s">
        <v>88</v>
      </c>
      <c r="G287" s="69" t="s">
        <v>1492</v>
      </c>
      <c r="H287" s="70">
        <v>2016</v>
      </c>
      <c r="I287" s="69" t="s">
        <v>63</v>
      </c>
      <c r="J287" s="69" t="s">
        <v>1493</v>
      </c>
      <c r="K287" s="71" t="s">
        <v>1494</v>
      </c>
      <c r="L287" s="71" t="s">
        <v>1495</v>
      </c>
      <c r="M287" s="71" t="s">
        <v>1496</v>
      </c>
      <c r="N287" s="69" t="s">
        <v>44</v>
      </c>
      <c r="O287" s="64">
        <v>1</v>
      </c>
      <c r="P287" s="72">
        <v>14550</v>
      </c>
      <c r="Q287" s="69" t="s">
        <v>1497</v>
      </c>
      <c r="R287" s="69"/>
      <c r="S287" s="68" t="s">
        <v>41</v>
      </c>
      <c r="T287" s="56">
        <v>2</v>
      </c>
      <c r="U287" s="56">
        <v>3</v>
      </c>
    </row>
    <row r="288" spans="1:21" ht="14.25" customHeight="1" thickBot="1" x14ac:dyDescent="0.4">
      <c r="A288" s="58">
        <v>272</v>
      </c>
      <c r="B288" s="69" t="s">
        <v>79</v>
      </c>
      <c r="C288" s="69" t="s">
        <v>80</v>
      </c>
      <c r="D288" s="70" t="s">
        <v>1498</v>
      </c>
      <c r="E288" s="69" t="s">
        <v>1499</v>
      </c>
      <c r="F288" s="69" t="s">
        <v>1500</v>
      </c>
      <c r="G288" s="69" t="s">
        <v>1492</v>
      </c>
      <c r="H288" s="70">
        <v>2024</v>
      </c>
      <c r="I288" s="69" t="s">
        <v>63</v>
      </c>
      <c r="J288" s="69" t="s">
        <v>1501</v>
      </c>
      <c r="K288" s="71" t="s">
        <v>1502</v>
      </c>
      <c r="L288" s="71" t="s">
        <v>1503</v>
      </c>
      <c r="M288" s="71" t="s">
        <v>1504</v>
      </c>
      <c r="N288" s="69" t="s">
        <v>44</v>
      </c>
      <c r="O288" s="64">
        <v>1</v>
      </c>
      <c r="P288" s="72">
        <v>23479</v>
      </c>
      <c r="Q288" s="69" t="s">
        <v>1505</v>
      </c>
      <c r="R288" s="69"/>
      <c r="S288" s="68" t="s">
        <v>41</v>
      </c>
      <c r="T288" s="56">
        <v>2</v>
      </c>
      <c r="U288" s="56">
        <v>3</v>
      </c>
    </row>
    <row r="289" spans="1:21" ht="14.25" customHeight="1" x14ac:dyDescent="0.35">
      <c r="A289" s="47">
        <v>273</v>
      </c>
      <c r="B289" s="69" t="s">
        <v>79</v>
      </c>
      <c r="C289" s="69" t="s">
        <v>80</v>
      </c>
      <c r="D289" s="70" t="s">
        <v>1506</v>
      </c>
      <c r="E289" s="69" t="s">
        <v>1499</v>
      </c>
      <c r="F289" s="69" t="s">
        <v>1500</v>
      </c>
      <c r="G289" s="69" t="s">
        <v>1492</v>
      </c>
      <c r="H289" s="70">
        <v>2024</v>
      </c>
      <c r="I289" s="69" t="s">
        <v>63</v>
      </c>
      <c r="J289" s="69" t="s">
        <v>1507</v>
      </c>
      <c r="K289" s="71" t="s">
        <v>1508</v>
      </c>
      <c r="L289" s="71" t="s">
        <v>1509</v>
      </c>
      <c r="M289" s="71" t="s">
        <v>1510</v>
      </c>
      <c r="N289" s="69" t="s">
        <v>44</v>
      </c>
      <c r="O289" s="64">
        <v>1</v>
      </c>
      <c r="P289" s="72">
        <v>23479</v>
      </c>
      <c r="Q289" s="69" t="s">
        <v>1505</v>
      </c>
      <c r="R289" s="69"/>
      <c r="S289" s="68" t="s">
        <v>41</v>
      </c>
      <c r="T289" s="56">
        <v>2</v>
      </c>
      <c r="U289" s="56">
        <v>3</v>
      </c>
    </row>
    <row r="290" spans="1:21" ht="14.25" customHeight="1" thickBot="1" x14ac:dyDescent="0.4">
      <c r="A290" s="58">
        <v>274</v>
      </c>
      <c r="B290" s="69" t="s">
        <v>79</v>
      </c>
      <c r="C290" s="69" t="s">
        <v>80</v>
      </c>
      <c r="D290" s="70" t="s">
        <v>1511</v>
      </c>
      <c r="E290" s="69" t="s">
        <v>1512</v>
      </c>
      <c r="F290" s="69" t="s">
        <v>1513</v>
      </c>
      <c r="G290" s="69" t="s">
        <v>1514</v>
      </c>
      <c r="H290" s="70">
        <v>2024</v>
      </c>
      <c r="I290" s="69" t="s">
        <v>63</v>
      </c>
      <c r="J290" s="69" t="s">
        <v>1515</v>
      </c>
      <c r="K290" s="71" t="s">
        <v>1516</v>
      </c>
      <c r="L290" s="71" t="s">
        <v>1517</v>
      </c>
      <c r="M290" s="71" t="s">
        <v>1518</v>
      </c>
      <c r="N290" s="69" t="s">
        <v>44</v>
      </c>
      <c r="O290" s="64">
        <v>1</v>
      </c>
      <c r="P290" s="72">
        <v>25900</v>
      </c>
      <c r="Q290" s="69" t="s">
        <v>1519</v>
      </c>
      <c r="R290" s="69"/>
      <c r="S290" s="68" t="s">
        <v>41</v>
      </c>
      <c r="T290" s="56">
        <v>2</v>
      </c>
      <c r="U290" s="56">
        <v>3</v>
      </c>
    </row>
    <row r="291" spans="1:21" ht="14.25" customHeight="1" x14ac:dyDescent="0.35">
      <c r="A291" s="47">
        <v>275</v>
      </c>
      <c r="B291" s="69" t="s">
        <v>79</v>
      </c>
      <c r="C291" s="69" t="s">
        <v>80</v>
      </c>
      <c r="D291" s="70" t="s">
        <v>1520</v>
      </c>
      <c r="E291" s="69" t="s">
        <v>1512</v>
      </c>
      <c r="F291" s="69" t="s">
        <v>1513</v>
      </c>
      <c r="G291" s="69" t="s">
        <v>1514</v>
      </c>
      <c r="H291" s="70">
        <v>2024</v>
      </c>
      <c r="I291" s="69" t="s">
        <v>63</v>
      </c>
      <c r="J291" s="69" t="s">
        <v>1521</v>
      </c>
      <c r="K291" s="71" t="s">
        <v>1522</v>
      </c>
      <c r="L291" s="71" t="s">
        <v>1523</v>
      </c>
      <c r="M291" s="71" t="s">
        <v>1524</v>
      </c>
      <c r="N291" s="69" t="s">
        <v>44</v>
      </c>
      <c r="O291" s="64">
        <v>1</v>
      </c>
      <c r="P291" s="72">
        <v>25900</v>
      </c>
      <c r="Q291" s="69" t="s">
        <v>1525</v>
      </c>
      <c r="R291" s="69"/>
      <c r="S291" s="68" t="s">
        <v>41</v>
      </c>
      <c r="T291" s="56">
        <v>2</v>
      </c>
      <c r="U291" s="56">
        <v>3</v>
      </c>
    </row>
    <row r="292" spans="1:21" ht="14.25" customHeight="1" thickBot="1" x14ac:dyDescent="0.4">
      <c r="A292" s="58">
        <v>276</v>
      </c>
      <c r="B292" s="69" t="s">
        <v>79</v>
      </c>
      <c r="C292" s="69" t="s">
        <v>80</v>
      </c>
      <c r="D292" s="70" t="s">
        <v>1526</v>
      </c>
      <c r="E292" s="69" t="s">
        <v>1512</v>
      </c>
      <c r="F292" s="69" t="s">
        <v>1513</v>
      </c>
      <c r="G292" s="69" t="s">
        <v>1514</v>
      </c>
      <c r="H292" s="70">
        <v>2024</v>
      </c>
      <c r="I292" s="69" t="s">
        <v>63</v>
      </c>
      <c r="J292" s="69" t="s">
        <v>1527</v>
      </c>
      <c r="K292" s="71" t="s">
        <v>1528</v>
      </c>
      <c r="L292" s="71" t="s">
        <v>1529</v>
      </c>
      <c r="M292" s="71" t="s">
        <v>1530</v>
      </c>
      <c r="N292" s="69" t="s">
        <v>44</v>
      </c>
      <c r="O292" s="64">
        <v>1</v>
      </c>
      <c r="P292" s="72">
        <v>25900</v>
      </c>
      <c r="Q292" s="69" t="s">
        <v>1531</v>
      </c>
      <c r="R292" s="69"/>
      <c r="S292" s="68" t="s">
        <v>41</v>
      </c>
      <c r="T292" s="56">
        <v>2</v>
      </c>
      <c r="U292" s="56">
        <v>3</v>
      </c>
    </row>
    <row r="293" spans="1:21" ht="14.25" customHeight="1" x14ac:dyDescent="0.35">
      <c r="A293" s="47">
        <v>277</v>
      </c>
      <c r="B293" s="69" t="s">
        <v>79</v>
      </c>
      <c r="C293" s="69" t="s">
        <v>80</v>
      </c>
      <c r="D293" s="70" t="s">
        <v>1532</v>
      </c>
      <c r="E293" s="69" t="s">
        <v>1512</v>
      </c>
      <c r="F293" s="69" t="s">
        <v>1513</v>
      </c>
      <c r="G293" s="69" t="s">
        <v>1514</v>
      </c>
      <c r="H293" s="70">
        <v>2024</v>
      </c>
      <c r="I293" s="69" t="s">
        <v>63</v>
      </c>
      <c r="J293" s="69" t="s">
        <v>1533</v>
      </c>
      <c r="K293" s="71" t="s">
        <v>1534</v>
      </c>
      <c r="L293" s="71" t="s">
        <v>1535</v>
      </c>
      <c r="M293" s="71" t="s">
        <v>1536</v>
      </c>
      <c r="N293" s="69" t="s">
        <v>44</v>
      </c>
      <c r="O293" s="64">
        <v>1</v>
      </c>
      <c r="P293" s="72">
        <v>25900</v>
      </c>
      <c r="Q293" s="69" t="s">
        <v>1531</v>
      </c>
      <c r="R293" s="69"/>
      <c r="S293" s="68" t="s">
        <v>41</v>
      </c>
      <c r="T293" s="56">
        <v>2</v>
      </c>
      <c r="U293" s="56">
        <v>3</v>
      </c>
    </row>
    <row r="294" spans="1:21" ht="14.25" customHeight="1" thickBot="1" x14ac:dyDescent="0.4">
      <c r="A294" s="58">
        <v>278</v>
      </c>
      <c r="B294" s="69" t="s">
        <v>79</v>
      </c>
      <c r="C294" s="69" t="s">
        <v>80</v>
      </c>
      <c r="D294" s="70" t="s">
        <v>1537</v>
      </c>
      <c r="E294" s="69" t="s">
        <v>1512</v>
      </c>
      <c r="F294" s="69" t="s">
        <v>1513</v>
      </c>
      <c r="G294" s="69" t="s">
        <v>1514</v>
      </c>
      <c r="H294" s="70">
        <v>2024</v>
      </c>
      <c r="I294" s="69" t="s">
        <v>63</v>
      </c>
      <c r="J294" s="69" t="s">
        <v>1538</v>
      </c>
      <c r="K294" s="71" t="s">
        <v>1539</v>
      </c>
      <c r="L294" s="71" t="s">
        <v>1540</v>
      </c>
      <c r="M294" s="71" t="s">
        <v>1541</v>
      </c>
      <c r="N294" s="69" t="s">
        <v>44</v>
      </c>
      <c r="O294" s="64">
        <v>1</v>
      </c>
      <c r="P294" s="72">
        <v>25900</v>
      </c>
      <c r="Q294" s="69" t="s">
        <v>1542</v>
      </c>
      <c r="R294" s="69"/>
      <c r="S294" s="68" t="s">
        <v>41</v>
      </c>
      <c r="T294" s="56">
        <v>2</v>
      </c>
      <c r="U294" s="56">
        <v>3</v>
      </c>
    </row>
    <row r="295" spans="1:21" ht="14.25" customHeight="1" x14ac:dyDescent="0.35">
      <c r="A295" s="47">
        <v>279</v>
      </c>
      <c r="B295" s="69" t="s">
        <v>79</v>
      </c>
      <c r="C295" s="69" t="s">
        <v>80</v>
      </c>
      <c r="D295" s="70" t="s">
        <v>1543</v>
      </c>
      <c r="E295" s="69" t="s">
        <v>1512</v>
      </c>
      <c r="F295" s="69" t="s">
        <v>1513</v>
      </c>
      <c r="G295" s="69" t="s">
        <v>1514</v>
      </c>
      <c r="H295" s="70">
        <v>2024</v>
      </c>
      <c r="I295" s="69" t="s">
        <v>63</v>
      </c>
      <c r="J295" s="69" t="s">
        <v>1544</v>
      </c>
      <c r="K295" s="71" t="s">
        <v>1545</v>
      </c>
      <c r="L295" s="71" t="s">
        <v>1546</v>
      </c>
      <c r="M295" s="71" t="s">
        <v>1547</v>
      </c>
      <c r="N295" s="69" t="s">
        <v>44</v>
      </c>
      <c r="O295" s="64">
        <v>1</v>
      </c>
      <c r="P295" s="72">
        <v>25900</v>
      </c>
      <c r="Q295" s="69" t="s">
        <v>1531</v>
      </c>
      <c r="R295" s="69"/>
      <c r="S295" s="68" t="s">
        <v>41</v>
      </c>
      <c r="T295" s="56">
        <v>2</v>
      </c>
      <c r="U295" s="56">
        <v>3</v>
      </c>
    </row>
    <row r="296" spans="1:21" ht="14.25" customHeight="1" thickBot="1" x14ac:dyDescent="0.4">
      <c r="A296" s="58">
        <v>280</v>
      </c>
      <c r="B296" s="69" t="s">
        <v>79</v>
      </c>
      <c r="C296" s="69" t="s">
        <v>80</v>
      </c>
      <c r="D296" s="70" t="s">
        <v>1548</v>
      </c>
      <c r="E296" s="69" t="s">
        <v>1512</v>
      </c>
      <c r="F296" s="69" t="s">
        <v>1513</v>
      </c>
      <c r="G296" s="69" t="s">
        <v>1514</v>
      </c>
      <c r="H296" s="70">
        <v>2024</v>
      </c>
      <c r="I296" s="69" t="s">
        <v>63</v>
      </c>
      <c r="J296" s="69" t="s">
        <v>1549</v>
      </c>
      <c r="K296" s="71" t="s">
        <v>1550</v>
      </c>
      <c r="L296" s="71" t="s">
        <v>1551</v>
      </c>
      <c r="M296" s="71" t="s">
        <v>1552</v>
      </c>
      <c r="N296" s="69" t="s">
        <v>44</v>
      </c>
      <c r="O296" s="64">
        <v>1</v>
      </c>
      <c r="P296" s="72">
        <v>25900</v>
      </c>
      <c r="Q296" s="69" t="s">
        <v>1531</v>
      </c>
      <c r="R296" s="69"/>
      <c r="S296" s="68" t="s">
        <v>41</v>
      </c>
      <c r="T296" s="56">
        <v>2</v>
      </c>
      <c r="U296" s="56">
        <v>3</v>
      </c>
    </row>
    <row r="297" spans="1:21" ht="14.25" customHeight="1" x14ac:dyDescent="0.35">
      <c r="A297" s="47">
        <v>281</v>
      </c>
      <c r="B297" s="69" t="s">
        <v>1553</v>
      </c>
      <c r="C297" s="69" t="s">
        <v>1554</v>
      </c>
      <c r="D297" s="70" t="s">
        <v>51</v>
      </c>
      <c r="E297" s="69" t="s">
        <v>1555</v>
      </c>
      <c r="F297" s="69" t="s">
        <v>1556</v>
      </c>
      <c r="G297" s="69" t="s">
        <v>54</v>
      </c>
      <c r="H297" s="70">
        <v>2004</v>
      </c>
      <c r="I297" s="69"/>
      <c r="J297" s="69" t="s">
        <v>1557</v>
      </c>
      <c r="K297" s="71" t="s">
        <v>1558</v>
      </c>
      <c r="L297" s="71" t="s">
        <v>1559</v>
      </c>
      <c r="M297" s="71" t="s">
        <v>1560</v>
      </c>
      <c r="N297" s="69" t="s">
        <v>57</v>
      </c>
      <c r="O297" s="64">
        <v>1</v>
      </c>
      <c r="P297" s="72">
        <v>125000</v>
      </c>
      <c r="Q297" s="69" t="s">
        <v>1561</v>
      </c>
      <c r="R297" s="69"/>
      <c r="S297" s="68" t="s">
        <v>41</v>
      </c>
      <c r="T297" s="56">
        <v>2</v>
      </c>
      <c r="U297" s="56">
        <v>4</v>
      </c>
    </row>
    <row r="298" spans="1:21" ht="14.25" customHeight="1" thickBot="1" x14ac:dyDescent="0.4">
      <c r="A298" s="58">
        <v>282</v>
      </c>
      <c r="B298" s="69" t="s">
        <v>1553</v>
      </c>
      <c r="C298" s="69" t="s">
        <v>1554</v>
      </c>
      <c r="D298" s="70" t="s">
        <v>51</v>
      </c>
      <c r="E298" s="69" t="s">
        <v>1562</v>
      </c>
      <c r="F298" s="69" t="s">
        <v>1563</v>
      </c>
      <c r="G298" s="69" t="s">
        <v>54</v>
      </c>
      <c r="H298" s="70">
        <v>2005</v>
      </c>
      <c r="I298" s="69"/>
      <c r="J298" s="69" t="s">
        <v>1564</v>
      </c>
      <c r="K298" s="71" t="s">
        <v>1565</v>
      </c>
      <c r="L298" s="71" t="s">
        <v>1566</v>
      </c>
      <c r="M298" s="71" t="s">
        <v>1567</v>
      </c>
      <c r="N298" s="69" t="s">
        <v>57</v>
      </c>
      <c r="O298" s="64">
        <v>1</v>
      </c>
      <c r="P298" s="72">
        <v>164963</v>
      </c>
      <c r="Q298" s="69" t="s">
        <v>1568</v>
      </c>
      <c r="R298" s="69"/>
      <c r="S298" s="68" t="s">
        <v>41</v>
      </c>
      <c r="T298" s="56">
        <v>2</v>
      </c>
      <c r="U298" s="56">
        <v>4</v>
      </c>
    </row>
    <row r="299" spans="1:21" ht="14.25" customHeight="1" x14ac:dyDescent="0.35">
      <c r="A299" s="47">
        <v>283</v>
      </c>
      <c r="B299" s="69" t="s">
        <v>1553</v>
      </c>
      <c r="C299" s="69" t="s">
        <v>1554</v>
      </c>
      <c r="D299" s="70" t="s">
        <v>51</v>
      </c>
      <c r="E299" s="69" t="s">
        <v>1569</v>
      </c>
      <c r="F299" s="69" t="s">
        <v>1570</v>
      </c>
      <c r="G299" s="69" t="s">
        <v>54</v>
      </c>
      <c r="H299" s="70">
        <v>2008</v>
      </c>
      <c r="I299" s="69"/>
      <c r="J299" s="69"/>
      <c r="K299" s="71"/>
      <c r="L299" s="71" t="s">
        <v>1571</v>
      </c>
      <c r="M299" s="71"/>
      <c r="N299" s="69" t="s">
        <v>422</v>
      </c>
      <c r="O299" s="64">
        <v>1</v>
      </c>
      <c r="P299" s="72">
        <v>152370</v>
      </c>
      <c r="Q299" s="69" t="s">
        <v>1572</v>
      </c>
      <c r="R299" s="69"/>
      <c r="S299" s="68" t="s">
        <v>41</v>
      </c>
      <c r="T299" s="56">
        <v>2</v>
      </c>
      <c r="U299" s="56">
        <v>4</v>
      </c>
    </row>
    <row r="300" spans="1:21" ht="14.25" customHeight="1" thickBot="1" x14ac:dyDescent="0.4">
      <c r="A300" s="58">
        <v>284</v>
      </c>
      <c r="B300" s="69" t="s">
        <v>1553</v>
      </c>
      <c r="C300" s="69" t="s">
        <v>1554</v>
      </c>
      <c r="D300" s="70" t="s">
        <v>51</v>
      </c>
      <c r="E300" s="69" t="s">
        <v>1573</v>
      </c>
      <c r="F300" s="69" t="s">
        <v>1574</v>
      </c>
      <c r="G300" s="69" t="s">
        <v>1575</v>
      </c>
      <c r="H300" s="70">
        <v>2013</v>
      </c>
      <c r="I300" s="69" t="s">
        <v>63</v>
      </c>
      <c r="J300" s="69" t="s">
        <v>1576</v>
      </c>
      <c r="K300" s="71" t="s">
        <v>1577</v>
      </c>
      <c r="L300" s="71" t="s">
        <v>1578</v>
      </c>
      <c r="M300" s="71" t="s">
        <v>1579</v>
      </c>
      <c r="N300" s="69" t="s">
        <v>422</v>
      </c>
      <c r="O300" s="64">
        <v>1</v>
      </c>
      <c r="P300" s="72">
        <v>216259</v>
      </c>
      <c r="Q300" s="69" t="s">
        <v>1580</v>
      </c>
      <c r="R300" s="69"/>
      <c r="S300" s="68" t="s">
        <v>41</v>
      </c>
      <c r="T300" s="56">
        <v>2</v>
      </c>
      <c r="U300" s="56">
        <v>4</v>
      </c>
    </row>
    <row r="301" spans="1:21" ht="14.25" customHeight="1" x14ac:dyDescent="0.35">
      <c r="A301" s="47">
        <v>285</v>
      </c>
      <c r="B301" s="69" t="s">
        <v>1553</v>
      </c>
      <c r="C301" s="69" t="s">
        <v>1554</v>
      </c>
      <c r="D301" s="70" t="s">
        <v>51</v>
      </c>
      <c r="E301" s="69" t="s">
        <v>1581</v>
      </c>
      <c r="F301" s="69" t="s">
        <v>1582</v>
      </c>
      <c r="G301" s="69" t="s">
        <v>1371</v>
      </c>
      <c r="H301" s="70">
        <v>2014</v>
      </c>
      <c r="I301" s="69"/>
      <c r="J301" s="69" t="s">
        <v>1583</v>
      </c>
      <c r="K301" s="71" t="s">
        <v>1584</v>
      </c>
      <c r="L301" s="71" t="s">
        <v>1585</v>
      </c>
      <c r="M301" s="71" t="s">
        <v>1586</v>
      </c>
      <c r="N301" s="69" t="s">
        <v>57</v>
      </c>
      <c r="O301" s="64">
        <v>1</v>
      </c>
      <c r="P301" s="72">
        <v>227410</v>
      </c>
      <c r="Q301" s="69" t="s">
        <v>1587</v>
      </c>
      <c r="R301" s="69"/>
      <c r="S301" s="68" t="s">
        <v>41</v>
      </c>
      <c r="T301" s="56">
        <v>2</v>
      </c>
      <c r="U301" s="56">
        <v>4</v>
      </c>
    </row>
    <row r="302" spans="1:21" ht="14.25" customHeight="1" thickBot="1" x14ac:dyDescent="0.4">
      <c r="A302" s="58">
        <v>286</v>
      </c>
      <c r="B302" s="69" t="s">
        <v>1553</v>
      </c>
      <c r="C302" s="69" t="s">
        <v>1554</v>
      </c>
      <c r="D302" s="70" t="s">
        <v>51</v>
      </c>
      <c r="E302" s="69" t="s">
        <v>1588</v>
      </c>
      <c r="F302" s="69"/>
      <c r="G302" s="69" t="s">
        <v>140</v>
      </c>
      <c r="H302" s="70">
        <v>2015</v>
      </c>
      <c r="I302" s="69"/>
      <c r="J302" s="69" t="s">
        <v>1589</v>
      </c>
      <c r="K302" s="71" t="s">
        <v>1590</v>
      </c>
      <c r="L302" s="71" t="s">
        <v>1591</v>
      </c>
      <c r="M302" s="71" t="s">
        <v>1592</v>
      </c>
      <c r="N302" s="69" t="s">
        <v>57</v>
      </c>
      <c r="O302" s="64">
        <v>1</v>
      </c>
      <c r="P302" s="72">
        <v>208910</v>
      </c>
      <c r="Q302" s="69" t="s">
        <v>1593</v>
      </c>
      <c r="R302" s="69"/>
      <c r="S302" s="68" t="s">
        <v>41</v>
      </c>
      <c r="T302" s="56">
        <v>2</v>
      </c>
      <c r="U302" s="56">
        <v>4</v>
      </c>
    </row>
    <row r="303" spans="1:21" ht="14.25" customHeight="1" x14ac:dyDescent="0.35">
      <c r="A303" s="47">
        <v>287</v>
      </c>
      <c r="B303" s="69" t="s">
        <v>1553</v>
      </c>
      <c r="C303" s="69" t="s">
        <v>1554</v>
      </c>
      <c r="D303" s="70" t="s">
        <v>51</v>
      </c>
      <c r="E303" s="69" t="s">
        <v>1594</v>
      </c>
      <c r="F303" s="69" t="s">
        <v>1595</v>
      </c>
      <c r="G303" s="69" t="s">
        <v>1596</v>
      </c>
      <c r="H303" s="70">
        <v>2015</v>
      </c>
      <c r="I303" s="69" t="s">
        <v>1597</v>
      </c>
      <c r="J303" s="69" t="s">
        <v>1598</v>
      </c>
      <c r="K303" s="71" t="s">
        <v>1599</v>
      </c>
      <c r="L303" s="71" t="s">
        <v>1600</v>
      </c>
      <c r="M303" s="71" t="s">
        <v>1601</v>
      </c>
      <c r="N303" s="69" t="s">
        <v>57</v>
      </c>
      <c r="O303" s="64">
        <v>1</v>
      </c>
      <c r="P303" s="72">
        <v>325790</v>
      </c>
      <c r="Q303" s="69" t="s">
        <v>1602</v>
      </c>
      <c r="R303" s="69"/>
      <c r="S303" s="68" t="s">
        <v>41</v>
      </c>
      <c r="T303" s="56">
        <v>2</v>
      </c>
      <c r="U303" s="56">
        <v>4</v>
      </c>
    </row>
    <row r="304" spans="1:21" ht="14.25" customHeight="1" thickBot="1" x14ac:dyDescent="0.4">
      <c r="A304" s="58">
        <v>288</v>
      </c>
      <c r="B304" s="69" t="s">
        <v>1553</v>
      </c>
      <c r="C304" s="69" t="s">
        <v>1554</v>
      </c>
      <c r="D304" s="70" t="s">
        <v>51</v>
      </c>
      <c r="E304" s="69" t="s">
        <v>1594</v>
      </c>
      <c r="F304" s="69" t="s">
        <v>1595</v>
      </c>
      <c r="G304" s="69" t="s">
        <v>1596</v>
      </c>
      <c r="H304" s="70">
        <v>2015</v>
      </c>
      <c r="I304" s="69" t="s">
        <v>1603</v>
      </c>
      <c r="J304" s="69" t="s">
        <v>1604</v>
      </c>
      <c r="K304" s="71" t="s">
        <v>1605</v>
      </c>
      <c r="L304" s="71" t="s">
        <v>1606</v>
      </c>
      <c r="M304" s="71" t="s">
        <v>1607</v>
      </c>
      <c r="N304" s="69" t="s">
        <v>57</v>
      </c>
      <c r="O304" s="64">
        <v>1</v>
      </c>
      <c r="P304" s="72">
        <v>325790</v>
      </c>
      <c r="Q304" s="69" t="s">
        <v>1602</v>
      </c>
      <c r="R304" s="69"/>
      <c r="S304" s="68" t="s">
        <v>41</v>
      </c>
      <c r="T304" s="56">
        <v>2</v>
      </c>
      <c r="U304" s="56">
        <v>4</v>
      </c>
    </row>
    <row r="305" spans="1:21" ht="14.25" customHeight="1" x14ac:dyDescent="0.35">
      <c r="A305" s="47">
        <v>289</v>
      </c>
      <c r="B305" s="69" t="s">
        <v>1553</v>
      </c>
      <c r="C305" s="69" t="s">
        <v>1554</v>
      </c>
      <c r="D305" s="70" t="s">
        <v>51</v>
      </c>
      <c r="E305" s="69" t="s">
        <v>1608</v>
      </c>
      <c r="F305" s="69" t="s">
        <v>1609</v>
      </c>
      <c r="G305" s="69" t="s">
        <v>1610</v>
      </c>
      <c r="H305" s="70">
        <v>2018</v>
      </c>
      <c r="I305" s="69" t="s">
        <v>63</v>
      </c>
      <c r="J305" s="69" t="s">
        <v>1611</v>
      </c>
      <c r="K305" s="71" t="s">
        <v>1612</v>
      </c>
      <c r="L305" s="71" t="s">
        <v>1613</v>
      </c>
      <c r="M305" s="71" t="s">
        <v>63</v>
      </c>
      <c r="N305" s="69" t="s">
        <v>57</v>
      </c>
      <c r="O305" s="64">
        <v>1</v>
      </c>
      <c r="P305" s="72">
        <v>400420</v>
      </c>
      <c r="Q305" s="69" t="s">
        <v>1614</v>
      </c>
      <c r="R305" s="69"/>
      <c r="S305" s="68" t="s">
        <v>41</v>
      </c>
      <c r="T305" s="56">
        <v>2</v>
      </c>
      <c r="U305" s="56">
        <v>4</v>
      </c>
    </row>
    <row r="306" spans="1:21" ht="14.25" customHeight="1" thickBot="1" x14ac:dyDescent="0.4">
      <c r="A306" s="58">
        <v>290</v>
      </c>
      <c r="B306" s="69" t="s">
        <v>1553</v>
      </c>
      <c r="C306" s="69" t="s">
        <v>1554</v>
      </c>
      <c r="D306" s="70" t="s">
        <v>51</v>
      </c>
      <c r="E306" s="69" t="s">
        <v>1615</v>
      </c>
      <c r="F306" s="69" t="s">
        <v>1616</v>
      </c>
      <c r="G306" s="69" t="s">
        <v>953</v>
      </c>
      <c r="H306" s="70">
        <v>2018</v>
      </c>
      <c r="I306" s="69" t="s">
        <v>63</v>
      </c>
      <c r="J306" s="69" t="s">
        <v>1617</v>
      </c>
      <c r="K306" s="71" t="s">
        <v>1618</v>
      </c>
      <c r="L306" s="71" t="s">
        <v>1619</v>
      </c>
      <c r="M306" s="71" t="s">
        <v>1620</v>
      </c>
      <c r="N306" s="69" t="s">
        <v>57</v>
      </c>
      <c r="O306" s="64">
        <v>1</v>
      </c>
      <c r="P306" s="72">
        <v>538718.5</v>
      </c>
      <c r="Q306" s="69" t="s">
        <v>1621</v>
      </c>
      <c r="R306" s="69"/>
      <c r="S306" s="68" t="s">
        <v>41</v>
      </c>
      <c r="T306" s="56">
        <v>2</v>
      </c>
      <c r="U306" s="56">
        <v>4</v>
      </c>
    </row>
    <row r="307" spans="1:21" ht="14.25" customHeight="1" x14ac:dyDescent="0.35">
      <c r="A307" s="47">
        <v>291</v>
      </c>
      <c r="B307" s="69" t="s">
        <v>1553</v>
      </c>
      <c r="C307" s="69" t="s">
        <v>1554</v>
      </c>
      <c r="D307" s="70" t="s">
        <v>59</v>
      </c>
      <c r="E307" s="69" t="s">
        <v>1622</v>
      </c>
      <c r="F307" s="69" t="s">
        <v>1623</v>
      </c>
      <c r="G307" s="69" t="s">
        <v>54</v>
      </c>
      <c r="H307" s="70">
        <v>2008</v>
      </c>
      <c r="I307" s="69"/>
      <c r="J307" s="69" t="s">
        <v>1624</v>
      </c>
      <c r="K307" s="71" t="s">
        <v>1625</v>
      </c>
      <c r="L307" s="71" t="s">
        <v>1626</v>
      </c>
      <c r="M307" s="71"/>
      <c r="N307" s="69" t="s">
        <v>57</v>
      </c>
      <c r="O307" s="64">
        <v>1</v>
      </c>
      <c r="P307" s="72">
        <v>211500</v>
      </c>
      <c r="Q307" s="69" t="s">
        <v>1572</v>
      </c>
      <c r="R307" s="69"/>
      <c r="S307" s="68" t="s">
        <v>41</v>
      </c>
      <c r="T307" s="56">
        <v>2</v>
      </c>
      <c r="U307" s="56">
        <v>4</v>
      </c>
    </row>
    <row r="308" spans="1:21" ht="14.25" customHeight="1" thickBot="1" x14ac:dyDescent="0.4">
      <c r="A308" s="58">
        <v>292</v>
      </c>
      <c r="B308" s="69" t="s">
        <v>1553</v>
      </c>
      <c r="C308" s="69" t="s">
        <v>1554</v>
      </c>
      <c r="D308" s="70" t="s">
        <v>59</v>
      </c>
      <c r="E308" s="69" t="s">
        <v>1627</v>
      </c>
      <c r="F308" s="69" t="s">
        <v>1574</v>
      </c>
      <c r="G308" s="69" t="s">
        <v>1628</v>
      </c>
      <c r="H308" s="70">
        <v>2013</v>
      </c>
      <c r="I308" s="69" t="s">
        <v>63</v>
      </c>
      <c r="J308" s="69" t="s">
        <v>1629</v>
      </c>
      <c r="K308" s="71" t="s">
        <v>1630</v>
      </c>
      <c r="L308" s="71" t="s">
        <v>1631</v>
      </c>
      <c r="M308" s="71" t="s">
        <v>1632</v>
      </c>
      <c r="N308" s="69" t="s">
        <v>422</v>
      </c>
      <c r="O308" s="64">
        <v>1</v>
      </c>
      <c r="P308" s="72">
        <v>216259</v>
      </c>
      <c r="Q308" s="69" t="s">
        <v>1633</v>
      </c>
      <c r="R308" s="69"/>
      <c r="S308" s="68" t="s">
        <v>41</v>
      </c>
      <c r="T308" s="56">
        <v>2</v>
      </c>
      <c r="U308" s="56">
        <v>4</v>
      </c>
    </row>
    <row r="309" spans="1:21" ht="14.25" customHeight="1" x14ac:dyDescent="0.35">
      <c r="A309" s="47">
        <v>293</v>
      </c>
      <c r="B309" s="69" t="s">
        <v>1553</v>
      </c>
      <c r="C309" s="69" t="s">
        <v>1554</v>
      </c>
      <c r="D309" s="70" t="s">
        <v>59</v>
      </c>
      <c r="E309" s="69" t="s">
        <v>1634</v>
      </c>
      <c r="F309" s="69" t="s">
        <v>1582</v>
      </c>
      <c r="G309" s="69" t="s">
        <v>1371</v>
      </c>
      <c r="H309" s="70">
        <v>2014</v>
      </c>
      <c r="I309" s="69"/>
      <c r="J309" s="69" t="s">
        <v>1635</v>
      </c>
      <c r="K309" s="71" t="s">
        <v>1636</v>
      </c>
      <c r="L309" s="71" t="s">
        <v>1637</v>
      </c>
      <c r="M309" s="71" t="s">
        <v>1638</v>
      </c>
      <c r="N309" s="69" t="s">
        <v>57</v>
      </c>
      <c r="O309" s="64">
        <v>1</v>
      </c>
      <c r="P309" s="72">
        <v>227410</v>
      </c>
      <c r="Q309" s="69" t="s">
        <v>1639</v>
      </c>
      <c r="R309" s="69"/>
      <c r="S309" s="68" t="s">
        <v>41</v>
      </c>
      <c r="T309" s="56">
        <v>2</v>
      </c>
      <c r="U309" s="56">
        <v>4</v>
      </c>
    </row>
    <row r="310" spans="1:21" ht="14.25" customHeight="1" thickBot="1" x14ac:dyDescent="0.4">
      <c r="A310" s="58">
        <v>294</v>
      </c>
      <c r="B310" s="69" t="s">
        <v>1553</v>
      </c>
      <c r="C310" s="69" t="s">
        <v>1554</v>
      </c>
      <c r="D310" s="70" t="s">
        <v>59</v>
      </c>
      <c r="E310" s="69" t="s">
        <v>1634</v>
      </c>
      <c r="F310" s="69" t="s">
        <v>1640</v>
      </c>
      <c r="G310" s="69" t="s">
        <v>1371</v>
      </c>
      <c r="H310" s="70">
        <v>2014</v>
      </c>
      <c r="I310" s="69"/>
      <c r="J310" s="69" t="s">
        <v>1641</v>
      </c>
      <c r="K310" s="71" t="s">
        <v>1642</v>
      </c>
      <c r="L310" s="71" t="s">
        <v>1643</v>
      </c>
      <c r="M310" s="71" t="s">
        <v>1586</v>
      </c>
      <c r="N310" s="69" t="s">
        <v>57</v>
      </c>
      <c r="O310" s="64">
        <v>1</v>
      </c>
      <c r="P310" s="72">
        <v>227410</v>
      </c>
      <c r="Q310" s="69" t="s">
        <v>1644</v>
      </c>
      <c r="R310" s="69"/>
      <c r="S310" s="68" t="s">
        <v>41</v>
      </c>
      <c r="T310" s="56">
        <v>2</v>
      </c>
      <c r="U310" s="56">
        <v>4</v>
      </c>
    </row>
    <row r="311" spans="1:21" ht="14.25" customHeight="1" x14ac:dyDescent="0.35">
      <c r="A311" s="47">
        <v>295</v>
      </c>
      <c r="B311" s="69" t="s">
        <v>1553</v>
      </c>
      <c r="C311" s="69" t="s">
        <v>1554</v>
      </c>
      <c r="D311" s="70" t="s">
        <v>59</v>
      </c>
      <c r="E311" s="69" t="s">
        <v>1608</v>
      </c>
      <c r="F311" s="69" t="s">
        <v>1609</v>
      </c>
      <c r="G311" s="69" t="s">
        <v>1645</v>
      </c>
      <c r="H311" s="70">
        <v>2018</v>
      </c>
      <c r="I311" s="69" t="s">
        <v>63</v>
      </c>
      <c r="J311" s="69" t="s">
        <v>1646</v>
      </c>
      <c r="K311" s="71" t="s">
        <v>1647</v>
      </c>
      <c r="L311" s="71" t="s">
        <v>1648</v>
      </c>
      <c r="M311" s="71" t="s">
        <v>1649</v>
      </c>
      <c r="N311" s="69" t="s">
        <v>57</v>
      </c>
      <c r="O311" s="64">
        <v>1</v>
      </c>
      <c r="P311" s="72">
        <v>400420</v>
      </c>
      <c r="Q311" s="69" t="s">
        <v>1650</v>
      </c>
      <c r="R311" s="69"/>
      <c r="S311" s="68" t="s">
        <v>41</v>
      </c>
      <c r="T311" s="56">
        <v>2</v>
      </c>
      <c r="U311" s="56">
        <v>4</v>
      </c>
    </row>
    <row r="312" spans="1:21" ht="14.25" customHeight="1" thickBot="1" x14ac:dyDescent="0.4">
      <c r="A312" s="58">
        <v>296</v>
      </c>
      <c r="B312" s="69" t="s">
        <v>1553</v>
      </c>
      <c r="C312" s="69" t="s">
        <v>1554</v>
      </c>
      <c r="D312" s="70" t="s">
        <v>59</v>
      </c>
      <c r="E312" s="69" t="s">
        <v>1651</v>
      </c>
      <c r="F312" s="69" t="s">
        <v>1652</v>
      </c>
      <c r="G312" s="69" t="s">
        <v>484</v>
      </c>
      <c r="H312" s="70">
        <v>2020</v>
      </c>
      <c r="I312" s="69" t="s">
        <v>63</v>
      </c>
      <c r="J312" s="69" t="s">
        <v>1653</v>
      </c>
      <c r="K312" s="71" t="s">
        <v>1654</v>
      </c>
      <c r="L312" s="71" t="s">
        <v>1655</v>
      </c>
      <c r="M312" s="71" t="s">
        <v>63</v>
      </c>
      <c r="N312" s="69" t="s">
        <v>57</v>
      </c>
      <c r="O312" s="64">
        <v>1</v>
      </c>
      <c r="P312" s="72">
        <v>417100</v>
      </c>
      <c r="Q312" s="69" t="s">
        <v>1656</v>
      </c>
      <c r="R312" s="69"/>
      <c r="S312" s="68" t="s">
        <v>41</v>
      </c>
      <c r="T312" s="56">
        <v>2</v>
      </c>
      <c r="U312" s="56">
        <v>4</v>
      </c>
    </row>
    <row r="313" spans="1:21" ht="14.25" customHeight="1" x14ac:dyDescent="0.35">
      <c r="A313" s="47">
        <v>297</v>
      </c>
      <c r="B313" s="69" t="s">
        <v>1553</v>
      </c>
      <c r="C313" s="69" t="s">
        <v>1554</v>
      </c>
      <c r="D313" s="70" t="s">
        <v>59</v>
      </c>
      <c r="E313" s="69" t="s">
        <v>1657</v>
      </c>
      <c r="F313" s="69" t="s">
        <v>1658</v>
      </c>
      <c r="G313" s="69" t="s">
        <v>1645</v>
      </c>
      <c r="H313" s="70">
        <v>2022</v>
      </c>
      <c r="I313" s="69" t="s">
        <v>63</v>
      </c>
      <c r="J313" s="69" t="s">
        <v>1659</v>
      </c>
      <c r="K313" s="71" t="s">
        <v>1660</v>
      </c>
      <c r="L313" s="71" t="s">
        <v>1661</v>
      </c>
      <c r="M313" s="71" t="s">
        <v>1662</v>
      </c>
      <c r="N313" s="69" t="s">
        <v>44</v>
      </c>
      <c r="O313" s="64">
        <v>1</v>
      </c>
      <c r="P313" s="72">
        <v>650000</v>
      </c>
      <c r="Q313" s="69" t="s">
        <v>1663</v>
      </c>
      <c r="R313" s="69"/>
      <c r="S313" s="68" t="s">
        <v>41</v>
      </c>
      <c r="T313" s="56">
        <v>2</v>
      </c>
      <c r="U313" s="56">
        <v>4</v>
      </c>
    </row>
    <row r="314" spans="1:21" ht="14.25" customHeight="1" thickBot="1" x14ac:dyDescent="0.4">
      <c r="A314" s="58">
        <v>298</v>
      </c>
      <c r="B314" s="69" t="s">
        <v>1553</v>
      </c>
      <c r="C314" s="69" t="s">
        <v>1554</v>
      </c>
      <c r="D314" s="70" t="s">
        <v>97</v>
      </c>
      <c r="E314" s="69" t="s">
        <v>1651</v>
      </c>
      <c r="F314" s="69" t="s">
        <v>1652</v>
      </c>
      <c r="G314" s="69" t="s">
        <v>484</v>
      </c>
      <c r="H314" s="70">
        <v>2020</v>
      </c>
      <c r="I314" s="69" t="s">
        <v>63</v>
      </c>
      <c r="J314" s="69" t="s">
        <v>1664</v>
      </c>
      <c r="K314" s="71" t="s">
        <v>1665</v>
      </c>
      <c r="L314" s="71" t="s">
        <v>1655</v>
      </c>
      <c r="M314" s="71" t="s">
        <v>63</v>
      </c>
      <c r="N314" s="69" t="s">
        <v>57</v>
      </c>
      <c r="O314" s="64">
        <v>1</v>
      </c>
      <c r="P314" s="72">
        <v>417100</v>
      </c>
      <c r="Q314" s="69" t="s">
        <v>1666</v>
      </c>
      <c r="R314" s="69"/>
      <c r="S314" s="68" t="s">
        <v>41</v>
      </c>
      <c r="T314" s="56">
        <v>2</v>
      </c>
      <c r="U314" s="56">
        <v>4</v>
      </c>
    </row>
    <row r="315" spans="1:21" ht="14.25" customHeight="1" x14ac:dyDescent="0.35">
      <c r="A315" s="47">
        <v>299</v>
      </c>
      <c r="B315" s="69" t="s">
        <v>1553</v>
      </c>
      <c r="C315" s="69" t="s">
        <v>1554</v>
      </c>
      <c r="D315" s="70" t="s">
        <v>97</v>
      </c>
      <c r="E315" s="69" t="s">
        <v>1657</v>
      </c>
      <c r="F315" s="69" t="s">
        <v>1658</v>
      </c>
      <c r="G315" s="69" t="s">
        <v>953</v>
      </c>
      <c r="H315" s="70">
        <v>2022</v>
      </c>
      <c r="I315" s="69" t="s">
        <v>63</v>
      </c>
      <c r="J315" s="69" t="s">
        <v>1667</v>
      </c>
      <c r="K315" s="71" t="s">
        <v>1668</v>
      </c>
      <c r="L315" s="71" t="s">
        <v>1669</v>
      </c>
      <c r="M315" s="71" t="s">
        <v>1670</v>
      </c>
      <c r="N315" s="69" t="s">
        <v>44</v>
      </c>
      <c r="O315" s="64">
        <v>1</v>
      </c>
      <c r="P315" s="72">
        <v>650000</v>
      </c>
      <c r="Q315" s="69" t="s">
        <v>1671</v>
      </c>
      <c r="R315" s="69"/>
      <c r="S315" s="68" t="s">
        <v>41</v>
      </c>
      <c r="T315" s="56">
        <v>2</v>
      </c>
      <c r="U315" s="56">
        <v>4</v>
      </c>
    </row>
    <row r="316" spans="1:21" ht="14.25" customHeight="1" thickBot="1" x14ac:dyDescent="0.4">
      <c r="A316" s="58">
        <v>300</v>
      </c>
      <c r="B316" s="69" t="s">
        <v>1553</v>
      </c>
      <c r="C316" s="69" t="s">
        <v>1554</v>
      </c>
      <c r="D316" s="70" t="s">
        <v>101</v>
      </c>
      <c r="E316" s="69" t="s">
        <v>1672</v>
      </c>
      <c r="F316" s="69" t="s">
        <v>1652</v>
      </c>
      <c r="G316" s="69" t="s">
        <v>484</v>
      </c>
      <c r="H316" s="70">
        <v>2020</v>
      </c>
      <c r="I316" s="69" t="s">
        <v>63</v>
      </c>
      <c r="J316" s="69" t="s">
        <v>1673</v>
      </c>
      <c r="K316" s="71" t="s">
        <v>1674</v>
      </c>
      <c r="L316" s="71" t="s">
        <v>1675</v>
      </c>
      <c r="M316" s="71" t="s">
        <v>63</v>
      </c>
      <c r="N316" s="69" t="s">
        <v>57</v>
      </c>
      <c r="O316" s="64">
        <v>1</v>
      </c>
      <c r="P316" s="72">
        <v>417100</v>
      </c>
      <c r="Q316" s="69" t="s">
        <v>1676</v>
      </c>
      <c r="R316" s="69"/>
      <c r="S316" s="68" t="s">
        <v>41</v>
      </c>
      <c r="T316" s="56">
        <v>2</v>
      </c>
      <c r="U316" s="56">
        <v>4</v>
      </c>
    </row>
    <row r="317" spans="1:21" ht="14.25" customHeight="1" x14ac:dyDescent="0.35">
      <c r="A317" s="47">
        <v>301</v>
      </c>
      <c r="B317" s="69" t="s">
        <v>1553</v>
      </c>
      <c r="C317" s="69" t="s">
        <v>1554</v>
      </c>
      <c r="D317" s="70" t="s">
        <v>107</v>
      </c>
      <c r="E317" s="69" t="s">
        <v>1677</v>
      </c>
      <c r="F317" s="69" t="s">
        <v>1678</v>
      </c>
      <c r="G317" s="69" t="s">
        <v>1514</v>
      </c>
      <c r="H317" s="70">
        <v>2020</v>
      </c>
      <c r="I317" s="69" t="s">
        <v>63</v>
      </c>
      <c r="J317" s="69" t="s">
        <v>1679</v>
      </c>
      <c r="K317" s="71" t="s">
        <v>1680</v>
      </c>
      <c r="L317" s="71" t="s">
        <v>1681</v>
      </c>
      <c r="M317" s="71" t="s">
        <v>63</v>
      </c>
      <c r="N317" s="69" t="s">
        <v>57</v>
      </c>
      <c r="O317" s="64">
        <v>1</v>
      </c>
      <c r="P317" s="72">
        <v>442600</v>
      </c>
      <c r="Q317" s="69" t="s">
        <v>1682</v>
      </c>
      <c r="R317" s="69"/>
      <c r="S317" s="68" t="s">
        <v>41</v>
      </c>
      <c r="T317" s="56">
        <v>2</v>
      </c>
      <c r="U317" s="56">
        <v>4</v>
      </c>
    </row>
    <row r="318" spans="1:21" ht="14.25" customHeight="1" thickBot="1" x14ac:dyDescent="0.4">
      <c r="A318" s="58">
        <v>302</v>
      </c>
      <c r="B318" s="69" t="s">
        <v>1553</v>
      </c>
      <c r="C318" s="69" t="s">
        <v>1554</v>
      </c>
      <c r="D318" s="70" t="s">
        <v>112</v>
      </c>
      <c r="E318" s="69" t="s">
        <v>1677</v>
      </c>
      <c r="F318" s="69" t="s">
        <v>1683</v>
      </c>
      <c r="G318" s="69" t="s">
        <v>1514</v>
      </c>
      <c r="H318" s="70">
        <v>2020</v>
      </c>
      <c r="I318" s="69" t="s">
        <v>63</v>
      </c>
      <c r="J318" s="69" t="s">
        <v>1684</v>
      </c>
      <c r="K318" s="71" t="s">
        <v>1685</v>
      </c>
      <c r="L318" s="71" t="s">
        <v>1686</v>
      </c>
      <c r="M318" s="71" t="s">
        <v>63</v>
      </c>
      <c r="N318" s="69" t="s">
        <v>57</v>
      </c>
      <c r="O318" s="64">
        <v>1</v>
      </c>
      <c r="P318" s="72">
        <v>442600</v>
      </c>
      <c r="Q318" s="69" t="s">
        <v>1687</v>
      </c>
      <c r="R318" s="69"/>
      <c r="S318" s="68" t="s">
        <v>41</v>
      </c>
      <c r="T318" s="56">
        <v>2</v>
      </c>
      <c r="U318" s="56">
        <v>4</v>
      </c>
    </row>
    <row r="319" spans="1:21" ht="14.25" customHeight="1" x14ac:dyDescent="0.35">
      <c r="A319" s="47">
        <v>303</v>
      </c>
      <c r="B319" s="69" t="s">
        <v>1553</v>
      </c>
      <c r="C319" s="69" t="s">
        <v>1554</v>
      </c>
      <c r="D319" s="70" t="s">
        <v>116</v>
      </c>
      <c r="E319" s="69" t="s">
        <v>1562</v>
      </c>
      <c r="F319" s="69" t="s">
        <v>1563</v>
      </c>
      <c r="G319" s="69" t="s">
        <v>54</v>
      </c>
      <c r="H319" s="70">
        <v>2005</v>
      </c>
      <c r="I319" s="69"/>
      <c r="J319" s="69" t="s">
        <v>1688</v>
      </c>
      <c r="K319" s="71" t="s">
        <v>1689</v>
      </c>
      <c r="L319" s="71" t="s">
        <v>1690</v>
      </c>
      <c r="M319" s="71" t="s">
        <v>1691</v>
      </c>
      <c r="N319" s="69" t="s">
        <v>57</v>
      </c>
      <c r="O319" s="64">
        <v>1</v>
      </c>
      <c r="P319" s="72">
        <v>164963</v>
      </c>
      <c r="Q319" s="69" t="s">
        <v>435</v>
      </c>
      <c r="R319" s="69"/>
      <c r="S319" s="68" t="s">
        <v>41</v>
      </c>
      <c r="T319" s="56">
        <v>2</v>
      </c>
      <c r="U319" s="56">
        <v>4</v>
      </c>
    </row>
    <row r="320" spans="1:21" ht="14.25" customHeight="1" thickBot="1" x14ac:dyDescent="0.4">
      <c r="A320" s="58">
        <v>304</v>
      </c>
      <c r="B320" s="69" t="s">
        <v>1553</v>
      </c>
      <c r="C320" s="69" t="s">
        <v>1554</v>
      </c>
      <c r="D320" s="70" t="s">
        <v>122</v>
      </c>
      <c r="E320" s="69" t="s">
        <v>1692</v>
      </c>
      <c r="F320" s="69" t="s">
        <v>1693</v>
      </c>
      <c r="G320" s="69" t="s">
        <v>54</v>
      </c>
      <c r="H320" s="70">
        <v>2008</v>
      </c>
      <c r="I320" s="69"/>
      <c r="J320" s="69" t="s">
        <v>1694</v>
      </c>
      <c r="K320" s="71" t="s">
        <v>1695</v>
      </c>
      <c r="L320" s="71" t="s">
        <v>1696</v>
      </c>
      <c r="M320" s="71" t="s">
        <v>1697</v>
      </c>
      <c r="N320" s="69" t="s">
        <v>57</v>
      </c>
      <c r="O320" s="64">
        <v>1</v>
      </c>
      <c r="P320" s="72">
        <v>124000</v>
      </c>
      <c r="Q320" s="69" t="s">
        <v>1698</v>
      </c>
      <c r="R320" s="69"/>
      <c r="S320" s="68" t="s">
        <v>41</v>
      </c>
      <c r="T320" s="56">
        <v>2</v>
      </c>
      <c r="U320" s="56">
        <v>4</v>
      </c>
    </row>
    <row r="321" spans="1:21" ht="14.25" customHeight="1" x14ac:dyDescent="0.35">
      <c r="A321" s="47">
        <v>305</v>
      </c>
      <c r="B321" s="69" t="s">
        <v>1553</v>
      </c>
      <c r="C321" s="69" t="s">
        <v>1554</v>
      </c>
      <c r="D321" s="70" t="s">
        <v>126</v>
      </c>
      <c r="E321" s="69" t="s">
        <v>1699</v>
      </c>
      <c r="F321" s="69"/>
      <c r="G321" s="69" t="s">
        <v>953</v>
      </c>
      <c r="H321" s="70">
        <v>2025</v>
      </c>
      <c r="I321" s="69" t="s">
        <v>63</v>
      </c>
      <c r="J321" s="69" t="s">
        <v>1700</v>
      </c>
      <c r="K321" s="71" t="s">
        <v>1701</v>
      </c>
      <c r="L321" s="71" t="s">
        <v>1702</v>
      </c>
      <c r="M321" s="71" t="s">
        <v>1703</v>
      </c>
      <c r="N321" s="69" t="s">
        <v>44</v>
      </c>
      <c r="O321" s="64">
        <v>1</v>
      </c>
      <c r="P321" s="72">
        <v>728160</v>
      </c>
      <c r="Q321" s="69" t="s">
        <v>1704</v>
      </c>
      <c r="R321" s="69"/>
      <c r="S321" s="68" t="s">
        <v>41</v>
      </c>
      <c r="T321" s="56">
        <v>2</v>
      </c>
      <c r="U321" s="56">
        <v>4</v>
      </c>
    </row>
    <row r="322" spans="1:21" ht="14.25" customHeight="1" thickBot="1" x14ac:dyDescent="0.4">
      <c r="A322" s="58">
        <v>306</v>
      </c>
      <c r="B322" s="69" t="s">
        <v>1553</v>
      </c>
      <c r="C322" s="69" t="s">
        <v>1554</v>
      </c>
      <c r="D322" s="70" t="s">
        <v>132</v>
      </c>
      <c r="E322" s="69" t="s">
        <v>1705</v>
      </c>
      <c r="F322" s="69"/>
      <c r="G322" s="69" t="s">
        <v>953</v>
      </c>
      <c r="H322" s="70">
        <v>2025</v>
      </c>
      <c r="I322" s="69" t="s">
        <v>63</v>
      </c>
      <c r="J322" s="69" t="s">
        <v>1706</v>
      </c>
      <c r="K322" s="71" t="s">
        <v>1707</v>
      </c>
      <c r="L322" s="71" t="s">
        <v>1708</v>
      </c>
      <c r="M322" s="71" t="s">
        <v>1709</v>
      </c>
      <c r="N322" s="69" t="s">
        <v>44</v>
      </c>
      <c r="O322" s="64">
        <v>1</v>
      </c>
      <c r="P322" s="72">
        <v>695970</v>
      </c>
      <c r="Q322" s="69" t="s">
        <v>1710</v>
      </c>
      <c r="R322" s="69"/>
      <c r="S322" s="68" t="s">
        <v>41</v>
      </c>
      <c r="T322" s="56">
        <v>2</v>
      </c>
      <c r="U322" s="56">
        <v>4</v>
      </c>
    </row>
    <row r="323" spans="1:21" ht="14.25" customHeight="1" x14ac:dyDescent="0.35">
      <c r="A323" s="47">
        <v>307</v>
      </c>
      <c r="B323" s="69" t="s">
        <v>1711</v>
      </c>
      <c r="C323" s="69" t="s">
        <v>1712</v>
      </c>
      <c r="D323" s="70" t="s">
        <v>51</v>
      </c>
      <c r="E323" s="69" t="s">
        <v>1713</v>
      </c>
      <c r="F323" s="69" t="s">
        <v>1714</v>
      </c>
      <c r="G323" s="69" t="s">
        <v>140</v>
      </c>
      <c r="H323" s="70">
        <v>2020</v>
      </c>
      <c r="I323" s="69" t="s">
        <v>63</v>
      </c>
      <c r="J323" s="69" t="s">
        <v>1715</v>
      </c>
      <c r="K323" s="71" t="s">
        <v>1716</v>
      </c>
      <c r="L323" s="71" t="s">
        <v>1717</v>
      </c>
      <c r="M323" s="71" t="s">
        <v>1718</v>
      </c>
      <c r="N323" s="69" t="s">
        <v>57</v>
      </c>
      <c r="O323" s="64">
        <v>1</v>
      </c>
      <c r="P323" s="72">
        <v>643500</v>
      </c>
      <c r="Q323" s="69" t="s">
        <v>1719</v>
      </c>
      <c r="R323" s="69"/>
      <c r="S323" s="68" t="s">
        <v>41</v>
      </c>
      <c r="T323" s="56">
        <v>2</v>
      </c>
      <c r="U323" s="56">
        <v>6</v>
      </c>
    </row>
    <row r="324" spans="1:21" ht="14.25" customHeight="1" thickBot="1" x14ac:dyDescent="0.4">
      <c r="A324" s="58">
        <v>308</v>
      </c>
      <c r="B324" s="69" t="s">
        <v>1720</v>
      </c>
      <c r="C324" s="69" t="s">
        <v>1721</v>
      </c>
      <c r="D324" s="70" t="s">
        <v>51</v>
      </c>
      <c r="E324" s="69" t="s">
        <v>1722</v>
      </c>
      <c r="F324" s="69" t="s">
        <v>1582</v>
      </c>
      <c r="G324" s="69" t="s">
        <v>1645</v>
      </c>
      <c r="H324" s="70">
        <v>2015</v>
      </c>
      <c r="I324" s="69"/>
      <c r="J324" s="69" t="s">
        <v>1723</v>
      </c>
      <c r="K324" s="71" t="s">
        <v>1724</v>
      </c>
      <c r="L324" s="71" t="s">
        <v>1725</v>
      </c>
      <c r="M324" s="71" t="s">
        <v>1726</v>
      </c>
      <c r="N324" s="69" t="s">
        <v>57</v>
      </c>
      <c r="O324" s="64">
        <v>1</v>
      </c>
      <c r="P324" s="72">
        <v>265805</v>
      </c>
      <c r="Q324" s="69" t="s">
        <v>1727</v>
      </c>
      <c r="R324" s="69"/>
      <c r="S324" s="68" t="s">
        <v>41</v>
      </c>
      <c r="T324" s="56">
        <v>2</v>
      </c>
      <c r="U324" s="56">
        <v>4</v>
      </c>
    </row>
    <row r="325" spans="1:21" ht="14.25" customHeight="1" x14ac:dyDescent="0.35">
      <c r="A325" s="47">
        <v>309</v>
      </c>
      <c r="B325" s="69" t="s">
        <v>1720</v>
      </c>
      <c r="C325" s="69" t="s">
        <v>1721</v>
      </c>
      <c r="D325" s="70" t="s">
        <v>51</v>
      </c>
      <c r="E325" s="69" t="s">
        <v>1722</v>
      </c>
      <c r="F325" s="69" t="s">
        <v>1582</v>
      </c>
      <c r="G325" s="69" t="s">
        <v>1645</v>
      </c>
      <c r="H325" s="70">
        <v>2015</v>
      </c>
      <c r="I325" s="69"/>
      <c r="J325" s="69" t="s">
        <v>1728</v>
      </c>
      <c r="K325" s="71" t="s">
        <v>1729</v>
      </c>
      <c r="L325" s="71" t="s">
        <v>1730</v>
      </c>
      <c r="M325" s="71" t="s">
        <v>1731</v>
      </c>
      <c r="N325" s="69" t="s">
        <v>57</v>
      </c>
      <c r="O325" s="64">
        <v>1</v>
      </c>
      <c r="P325" s="72">
        <v>265805</v>
      </c>
      <c r="Q325" s="69" t="s">
        <v>1732</v>
      </c>
      <c r="R325" s="69"/>
      <c r="S325" s="68" t="s">
        <v>41</v>
      </c>
      <c r="T325" s="56">
        <v>2</v>
      </c>
      <c r="U325" s="56">
        <v>4</v>
      </c>
    </row>
    <row r="326" spans="1:21" ht="14.25" customHeight="1" thickBot="1" x14ac:dyDescent="0.4">
      <c r="A326" s="58">
        <v>310</v>
      </c>
      <c r="B326" s="69" t="s">
        <v>1720</v>
      </c>
      <c r="C326" s="69" t="s">
        <v>1721</v>
      </c>
      <c r="D326" s="70" t="s">
        <v>51</v>
      </c>
      <c r="E326" s="69" t="s">
        <v>1722</v>
      </c>
      <c r="F326" s="69" t="s">
        <v>1582</v>
      </c>
      <c r="G326" s="69" t="s">
        <v>1645</v>
      </c>
      <c r="H326" s="70">
        <v>2015</v>
      </c>
      <c r="I326" s="69"/>
      <c r="J326" s="69" t="s">
        <v>1733</v>
      </c>
      <c r="K326" s="71" t="s">
        <v>1734</v>
      </c>
      <c r="L326" s="71" t="s">
        <v>1735</v>
      </c>
      <c r="M326" s="71" t="s">
        <v>1736</v>
      </c>
      <c r="N326" s="69" t="s">
        <v>57</v>
      </c>
      <c r="O326" s="64">
        <v>1</v>
      </c>
      <c r="P326" s="72">
        <v>265805</v>
      </c>
      <c r="Q326" s="69" t="s">
        <v>1737</v>
      </c>
      <c r="R326" s="69"/>
      <c r="S326" s="68" t="s">
        <v>41</v>
      </c>
      <c r="T326" s="56">
        <v>2</v>
      </c>
      <c r="U326" s="56">
        <v>4</v>
      </c>
    </row>
    <row r="327" spans="1:21" ht="14.25" customHeight="1" x14ac:dyDescent="0.35">
      <c r="A327" s="47">
        <v>311</v>
      </c>
      <c r="B327" s="69" t="s">
        <v>1720</v>
      </c>
      <c r="C327" s="69" t="s">
        <v>1721</v>
      </c>
      <c r="D327" s="70" t="s">
        <v>51</v>
      </c>
      <c r="E327" s="69" t="s">
        <v>1677</v>
      </c>
      <c r="F327" s="69" t="s">
        <v>1678</v>
      </c>
      <c r="G327" s="69" t="s">
        <v>54</v>
      </c>
      <c r="H327" s="70">
        <v>2020</v>
      </c>
      <c r="I327" s="69" t="s">
        <v>63</v>
      </c>
      <c r="J327" s="69" t="s">
        <v>1679</v>
      </c>
      <c r="K327" s="71" t="s">
        <v>1680</v>
      </c>
      <c r="L327" s="71" t="s">
        <v>1686</v>
      </c>
      <c r="M327" s="71" t="s">
        <v>63</v>
      </c>
      <c r="N327" s="69" t="s">
        <v>57</v>
      </c>
      <c r="O327" s="64">
        <v>1</v>
      </c>
      <c r="P327" s="72">
        <v>470400</v>
      </c>
      <c r="Q327" s="69" t="s">
        <v>1738</v>
      </c>
      <c r="R327" s="69"/>
      <c r="S327" s="68" t="s">
        <v>41</v>
      </c>
      <c r="T327" s="56">
        <v>2</v>
      </c>
      <c r="U327" s="56">
        <v>4</v>
      </c>
    </row>
    <row r="328" spans="1:21" ht="14.25" customHeight="1" thickBot="1" x14ac:dyDescent="0.4">
      <c r="A328" s="58">
        <v>312</v>
      </c>
      <c r="B328" s="69" t="s">
        <v>1720</v>
      </c>
      <c r="C328" s="69" t="s">
        <v>1721</v>
      </c>
      <c r="D328" s="70" t="s">
        <v>59</v>
      </c>
      <c r="E328" s="69" t="s">
        <v>1739</v>
      </c>
      <c r="F328" s="69"/>
      <c r="G328" s="69" t="s">
        <v>54</v>
      </c>
      <c r="H328" s="70">
        <v>2024</v>
      </c>
      <c r="I328" s="69" t="s">
        <v>63</v>
      </c>
      <c r="J328" s="69" t="s">
        <v>1740</v>
      </c>
      <c r="K328" s="71" t="s">
        <v>1741</v>
      </c>
      <c r="L328" s="71" t="s">
        <v>1742</v>
      </c>
      <c r="M328" s="71" t="s">
        <v>1743</v>
      </c>
      <c r="N328" s="69" t="s">
        <v>44</v>
      </c>
      <c r="O328" s="64">
        <v>1</v>
      </c>
      <c r="P328" s="72">
        <v>597200</v>
      </c>
      <c r="Q328" s="69" t="s">
        <v>1744</v>
      </c>
      <c r="R328" s="69"/>
      <c r="S328" s="68" t="s">
        <v>41</v>
      </c>
      <c r="T328" s="56">
        <v>2</v>
      </c>
      <c r="U328" s="56">
        <v>4</v>
      </c>
    </row>
    <row r="329" spans="1:21" ht="14.25" customHeight="1" x14ac:dyDescent="0.35">
      <c r="A329" s="47">
        <v>313</v>
      </c>
      <c r="B329" s="69" t="s">
        <v>1745</v>
      </c>
      <c r="C329" s="69" t="s">
        <v>1746</v>
      </c>
      <c r="D329" s="70" t="s">
        <v>51</v>
      </c>
      <c r="E329" s="69" t="s">
        <v>1747</v>
      </c>
      <c r="F329" s="69" t="s">
        <v>1748</v>
      </c>
      <c r="G329" s="69" t="s">
        <v>140</v>
      </c>
      <c r="H329" s="70">
        <v>2015</v>
      </c>
      <c r="I329" s="69"/>
      <c r="J329" s="69" t="s">
        <v>1749</v>
      </c>
      <c r="K329" s="71" t="s">
        <v>1750</v>
      </c>
      <c r="L329" s="71" t="s">
        <v>1751</v>
      </c>
      <c r="M329" s="71" t="s">
        <v>1752</v>
      </c>
      <c r="N329" s="69" t="s">
        <v>57</v>
      </c>
      <c r="O329" s="64">
        <v>1</v>
      </c>
      <c r="P329" s="72">
        <v>175130</v>
      </c>
      <c r="Q329" s="69" t="s">
        <v>1753</v>
      </c>
      <c r="R329" s="69"/>
      <c r="S329" s="68" t="s">
        <v>1754</v>
      </c>
      <c r="T329" s="56">
        <v>3</v>
      </c>
      <c r="U329" s="56">
        <v>4</v>
      </c>
    </row>
    <row r="330" spans="1:21" ht="14.25" customHeight="1" thickBot="1" x14ac:dyDescent="0.4">
      <c r="A330" s="58">
        <v>314</v>
      </c>
      <c r="B330" s="69" t="s">
        <v>1745</v>
      </c>
      <c r="C330" s="69" t="s">
        <v>1746</v>
      </c>
      <c r="D330" s="70" t="s">
        <v>59</v>
      </c>
      <c r="E330" s="69" t="s">
        <v>1755</v>
      </c>
      <c r="F330" s="69" t="s">
        <v>1756</v>
      </c>
      <c r="G330" s="69" t="s">
        <v>140</v>
      </c>
      <c r="H330" s="70">
        <v>2016</v>
      </c>
      <c r="I330" s="69"/>
      <c r="J330" s="69" t="s">
        <v>1757</v>
      </c>
      <c r="K330" s="71" t="s">
        <v>1758</v>
      </c>
      <c r="L330" s="71" t="s">
        <v>1759</v>
      </c>
      <c r="M330" s="71" t="s">
        <v>1760</v>
      </c>
      <c r="N330" s="69" t="s">
        <v>57</v>
      </c>
      <c r="O330" s="64">
        <v>1</v>
      </c>
      <c r="P330" s="72">
        <v>185080</v>
      </c>
      <c r="Q330" s="69" t="s">
        <v>1754</v>
      </c>
      <c r="R330" s="69"/>
      <c r="S330" s="68" t="s">
        <v>1754</v>
      </c>
      <c r="T330" s="56">
        <v>3</v>
      </c>
      <c r="U330" s="56">
        <v>4</v>
      </c>
    </row>
    <row r="331" spans="1:21" ht="14.25" customHeight="1" x14ac:dyDescent="0.35">
      <c r="A331" s="47">
        <v>315</v>
      </c>
      <c r="B331" s="69" t="s">
        <v>1745</v>
      </c>
      <c r="C331" s="69" t="s">
        <v>1746</v>
      </c>
      <c r="D331" s="70" t="s">
        <v>97</v>
      </c>
      <c r="E331" s="69" t="s">
        <v>1755</v>
      </c>
      <c r="F331" s="69" t="s">
        <v>1756</v>
      </c>
      <c r="G331" s="69" t="s">
        <v>140</v>
      </c>
      <c r="H331" s="70">
        <v>2016</v>
      </c>
      <c r="I331" s="69"/>
      <c r="J331" s="69" t="s">
        <v>1761</v>
      </c>
      <c r="K331" s="71" t="s">
        <v>1762</v>
      </c>
      <c r="L331" s="71" t="s">
        <v>1763</v>
      </c>
      <c r="M331" s="71" t="s">
        <v>1764</v>
      </c>
      <c r="N331" s="69" t="s">
        <v>57</v>
      </c>
      <c r="O331" s="64">
        <v>1</v>
      </c>
      <c r="P331" s="72">
        <v>185080</v>
      </c>
      <c r="Q331" s="69" t="s">
        <v>1765</v>
      </c>
      <c r="R331" s="69"/>
      <c r="S331" s="68" t="s">
        <v>1754</v>
      </c>
      <c r="T331" s="56">
        <v>3</v>
      </c>
      <c r="U331" s="56">
        <v>4</v>
      </c>
    </row>
    <row r="332" spans="1:21" ht="14.25" customHeight="1" thickBot="1" x14ac:dyDescent="0.4">
      <c r="A332" s="58">
        <v>316</v>
      </c>
      <c r="B332" s="69" t="s">
        <v>1745</v>
      </c>
      <c r="C332" s="69" t="s">
        <v>1746</v>
      </c>
      <c r="D332" s="70" t="s">
        <v>101</v>
      </c>
      <c r="E332" s="69" t="s">
        <v>1766</v>
      </c>
      <c r="F332" s="69" t="s">
        <v>1756</v>
      </c>
      <c r="G332" s="69" t="s">
        <v>140</v>
      </c>
      <c r="H332" s="70">
        <v>2017</v>
      </c>
      <c r="I332" s="69" t="s">
        <v>63</v>
      </c>
      <c r="J332" s="69" t="s">
        <v>1767</v>
      </c>
      <c r="K332" s="71" t="s">
        <v>1768</v>
      </c>
      <c r="L332" s="71" t="s">
        <v>1769</v>
      </c>
      <c r="M332" s="71" t="s">
        <v>1770</v>
      </c>
      <c r="N332" s="69" t="s">
        <v>57</v>
      </c>
      <c r="O332" s="64">
        <v>1</v>
      </c>
      <c r="P332" s="72">
        <v>190700</v>
      </c>
      <c r="Q332" s="69" t="s">
        <v>1771</v>
      </c>
      <c r="R332" s="69"/>
      <c r="S332" s="68" t="s">
        <v>1754</v>
      </c>
      <c r="T332" s="56">
        <v>3</v>
      </c>
      <c r="U332" s="56">
        <v>4</v>
      </c>
    </row>
    <row r="333" spans="1:21" ht="14.25" customHeight="1" x14ac:dyDescent="0.35">
      <c r="A333" s="47">
        <v>317</v>
      </c>
      <c r="B333" s="69" t="s">
        <v>1745</v>
      </c>
      <c r="C333" s="69" t="s">
        <v>1746</v>
      </c>
      <c r="D333" s="70" t="s">
        <v>107</v>
      </c>
      <c r="E333" s="69" t="s">
        <v>1766</v>
      </c>
      <c r="F333" s="69" t="s">
        <v>1756</v>
      </c>
      <c r="G333" s="69" t="s">
        <v>140</v>
      </c>
      <c r="H333" s="70">
        <v>2017</v>
      </c>
      <c r="I333" s="69" t="s">
        <v>63</v>
      </c>
      <c r="J333" s="69" t="s">
        <v>1772</v>
      </c>
      <c r="K333" s="71" t="s">
        <v>1773</v>
      </c>
      <c r="L333" s="71" t="s">
        <v>1774</v>
      </c>
      <c r="M333" s="71" t="s">
        <v>1775</v>
      </c>
      <c r="N333" s="69" t="s">
        <v>57</v>
      </c>
      <c r="O333" s="64">
        <v>1</v>
      </c>
      <c r="P333" s="72">
        <v>190700</v>
      </c>
      <c r="Q333" s="69" t="s">
        <v>1776</v>
      </c>
      <c r="R333" s="69"/>
      <c r="S333" s="68" t="s">
        <v>1754</v>
      </c>
      <c r="T333" s="56">
        <v>3</v>
      </c>
      <c r="U333" s="56">
        <v>4</v>
      </c>
    </row>
    <row r="334" spans="1:21" ht="14.25" customHeight="1" thickBot="1" x14ac:dyDescent="0.4">
      <c r="A334" s="58">
        <v>318</v>
      </c>
      <c r="B334" s="69" t="s">
        <v>1745</v>
      </c>
      <c r="C334" s="69" t="s">
        <v>1746</v>
      </c>
      <c r="D334" s="70" t="s">
        <v>112</v>
      </c>
      <c r="E334" s="69" t="s">
        <v>1777</v>
      </c>
      <c r="F334" s="69" t="s">
        <v>1756</v>
      </c>
      <c r="G334" s="69" t="s">
        <v>140</v>
      </c>
      <c r="H334" s="70">
        <v>2017</v>
      </c>
      <c r="I334" s="69" t="s">
        <v>63</v>
      </c>
      <c r="J334" s="69" t="s">
        <v>1778</v>
      </c>
      <c r="K334" s="71" t="s">
        <v>1779</v>
      </c>
      <c r="L334" s="71" t="s">
        <v>1780</v>
      </c>
      <c r="M334" s="71" t="s">
        <v>1781</v>
      </c>
      <c r="N334" s="69" t="s">
        <v>57</v>
      </c>
      <c r="O334" s="64">
        <v>1</v>
      </c>
      <c r="P334" s="72">
        <v>190700</v>
      </c>
      <c r="Q334" s="69" t="s">
        <v>1782</v>
      </c>
      <c r="R334" s="69"/>
      <c r="S334" s="68" t="s">
        <v>1754</v>
      </c>
      <c r="T334" s="56">
        <v>3</v>
      </c>
      <c r="U334" s="56">
        <v>4</v>
      </c>
    </row>
    <row r="335" spans="1:21" ht="14.25" customHeight="1" x14ac:dyDescent="0.35">
      <c r="A335" s="47">
        <v>319</v>
      </c>
      <c r="B335" s="69" t="s">
        <v>1745</v>
      </c>
      <c r="C335" s="69" t="s">
        <v>1746</v>
      </c>
      <c r="D335" s="70" t="s">
        <v>116</v>
      </c>
      <c r="E335" s="69" t="s">
        <v>1783</v>
      </c>
      <c r="F335" s="69" t="s">
        <v>1784</v>
      </c>
      <c r="G335" s="69" t="s">
        <v>140</v>
      </c>
      <c r="H335" s="70">
        <v>2019</v>
      </c>
      <c r="I335" s="69" t="s">
        <v>63</v>
      </c>
      <c r="J335" s="69" t="s">
        <v>1785</v>
      </c>
      <c r="K335" s="71" t="s">
        <v>1786</v>
      </c>
      <c r="L335" s="71" t="s">
        <v>1613</v>
      </c>
      <c r="M335" s="71" t="s">
        <v>1787</v>
      </c>
      <c r="N335" s="69" t="s">
        <v>57</v>
      </c>
      <c r="O335" s="64">
        <v>1</v>
      </c>
      <c r="P335" s="72">
        <v>282880</v>
      </c>
      <c r="Q335" s="69" t="s">
        <v>1788</v>
      </c>
      <c r="R335" s="69"/>
      <c r="S335" s="68" t="s">
        <v>1754</v>
      </c>
      <c r="T335" s="56">
        <v>3</v>
      </c>
      <c r="U335" s="56">
        <v>4</v>
      </c>
    </row>
    <row r="336" spans="1:21" ht="14.25" customHeight="1" thickBot="1" x14ac:dyDescent="0.4">
      <c r="A336" s="58">
        <v>320</v>
      </c>
      <c r="B336" s="69" t="s">
        <v>1745</v>
      </c>
      <c r="C336" s="69" t="s">
        <v>1746</v>
      </c>
      <c r="D336" s="70" t="s">
        <v>841</v>
      </c>
      <c r="E336" s="69" t="s">
        <v>1747</v>
      </c>
      <c r="F336" s="69" t="s">
        <v>1748</v>
      </c>
      <c r="G336" s="69" t="s">
        <v>140</v>
      </c>
      <c r="H336" s="70">
        <v>2015</v>
      </c>
      <c r="I336" s="69"/>
      <c r="J336" s="69" t="s">
        <v>1789</v>
      </c>
      <c r="K336" s="71" t="s">
        <v>1790</v>
      </c>
      <c r="L336" s="71" t="s">
        <v>1791</v>
      </c>
      <c r="M336" s="71" t="s">
        <v>1792</v>
      </c>
      <c r="N336" s="69" t="s">
        <v>57</v>
      </c>
      <c r="O336" s="64">
        <v>1</v>
      </c>
      <c r="P336" s="72">
        <v>175130</v>
      </c>
      <c r="Q336" s="69" t="s">
        <v>1793</v>
      </c>
      <c r="R336" s="69"/>
      <c r="S336" s="68" t="s">
        <v>1754</v>
      </c>
      <c r="T336" s="56">
        <v>3</v>
      </c>
      <c r="U336" s="56">
        <v>4</v>
      </c>
    </row>
    <row r="337" spans="1:21" ht="14.25" customHeight="1" x14ac:dyDescent="0.35">
      <c r="A337" s="47">
        <v>321</v>
      </c>
      <c r="B337" s="69" t="s">
        <v>1745</v>
      </c>
      <c r="C337" s="69" t="s">
        <v>1746</v>
      </c>
      <c r="D337" s="70" t="s">
        <v>904</v>
      </c>
      <c r="E337" s="69" t="s">
        <v>1747</v>
      </c>
      <c r="F337" s="69" t="s">
        <v>1748</v>
      </c>
      <c r="G337" s="69" t="s">
        <v>140</v>
      </c>
      <c r="H337" s="70">
        <v>2015</v>
      </c>
      <c r="I337" s="69"/>
      <c r="J337" s="69" t="s">
        <v>1794</v>
      </c>
      <c r="K337" s="71" t="s">
        <v>1795</v>
      </c>
      <c r="L337" s="71" t="s">
        <v>1796</v>
      </c>
      <c r="M337" s="71" t="s">
        <v>1797</v>
      </c>
      <c r="N337" s="69" t="s">
        <v>57</v>
      </c>
      <c r="O337" s="64">
        <v>1</v>
      </c>
      <c r="P337" s="72">
        <v>175130</v>
      </c>
      <c r="Q337" s="69" t="s">
        <v>1793</v>
      </c>
      <c r="R337" s="69"/>
      <c r="S337" s="68" t="s">
        <v>1754</v>
      </c>
      <c r="T337" s="56">
        <v>3</v>
      </c>
      <c r="U337" s="56">
        <v>4</v>
      </c>
    </row>
    <row r="338" spans="1:21" ht="14.25" customHeight="1" thickBot="1" x14ac:dyDescent="0.4">
      <c r="A338" s="58">
        <v>322</v>
      </c>
      <c r="B338" s="69" t="s">
        <v>1745</v>
      </c>
      <c r="C338" s="69" t="s">
        <v>1746</v>
      </c>
      <c r="D338" s="70" t="s">
        <v>122</v>
      </c>
      <c r="E338" s="69" t="s">
        <v>1766</v>
      </c>
      <c r="F338" s="69" t="s">
        <v>1756</v>
      </c>
      <c r="G338" s="69" t="s">
        <v>140</v>
      </c>
      <c r="H338" s="70">
        <v>2017</v>
      </c>
      <c r="I338" s="69" t="s">
        <v>63</v>
      </c>
      <c r="J338" s="69" t="s">
        <v>1798</v>
      </c>
      <c r="K338" s="71" t="s">
        <v>1799</v>
      </c>
      <c r="L338" s="71" t="s">
        <v>1800</v>
      </c>
      <c r="M338" s="71" t="s">
        <v>1801</v>
      </c>
      <c r="N338" s="69" t="s">
        <v>57</v>
      </c>
      <c r="O338" s="64">
        <v>1</v>
      </c>
      <c r="P338" s="72">
        <v>190700</v>
      </c>
      <c r="Q338" s="69" t="s">
        <v>1793</v>
      </c>
      <c r="R338" s="69"/>
      <c r="S338" s="68" t="s">
        <v>1754</v>
      </c>
      <c r="T338" s="56">
        <v>3</v>
      </c>
      <c r="U338" s="56">
        <v>4</v>
      </c>
    </row>
    <row r="339" spans="1:21" ht="14.25" customHeight="1" x14ac:dyDescent="0.35">
      <c r="A339" s="47">
        <v>323</v>
      </c>
      <c r="B339" s="69" t="s">
        <v>1745</v>
      </c>
      <c r="C339" s="69" t="s">
        <v>1746</v>
      </c>
      <c r="D339" s="70" t="s">
        <v>126</v>
      </c>
      <c r="E339" s="69" t="s">
        <v>1766</v>
      </c>
      <c r="F339" s="69" t="s">
        <v>1756</v>
      </c>
      <c r="G339" s="69" t="s">
        <v>140</v>
      </c>
      <c r="H339" s="70">
        <v>2017</v>
      </c>
      <c r="I339" s="69" t="s">
        <v>63</v>
      </c>
      <c r="J339" s="69" t="s">
        <v>1802</v>
      </c>
      <c r="K339" s="71" t="s">
        <v>1803</v>
      </c>
      <c r="L339" s="71" t="s">
        <v>1804</v>
      </c>
      <c r="M339" s="71" t="s">
        <v>1805</v>
      </c>
      <c r="N339" s="69" t="s">
        <v>57</v>
      </c>
      <c r="O339" s="64">
        <v>1</v>
      </c>
      <c r="P339" s="72">
        <v>190700</v>
      </c>
      <c r="Q339" s="69" t="s">
        <v>1793</v>
      </c>
      <c r="R339" s="69"/>
      <c r="S339" s="68" t="s">
        <v>1754</v>
      </c>
      <c r="T339" s="56">
        <v>3</v>
      </c>
      <c r="U339" s="56">
        <v>4</v>
      </c>
    </row>
    <row r="340" spans="1:21" ht="14.25" customHeight="1" thickBot="1" x14ac:dyDescent="0.4">
      <c r="A340" s="58">
        <v>324</v>
      </c>
      <c r="B340" s="69" t="s">
        <v>1806</v>
      </c>
      <c r="C340" s="69" t="s">
        <v>1807</v>
      </c>
      <c r="D340" s="70" t="s">
        <v>51</v>
      </c>
      <c r="E340" s="69" t="s">
        <v>1808</v>
      </c>
      <c r="F340" s="69" t="s">
        <v>1809</v>
      </c>
      <c r="G340" s="69" t="s">
        <v>54</v>
      </c>
      <c r="H340" s="70">
        <v>2013</v>
      </c>
      <c r="I340" s="69" t="s">
        <v>63</v>
      </c>
      <c r="J340" s="69" t="s">
        <v>1810</v>
      </c>
      <c r="K340" s="71" t="s">
        <v>1811</v>
      </c>
      <c r="L340" s="71" t="s">
        <v>1812</v>
      </c>
      <c r="M340" s="71" t="s">
        <v>1813</v>
      </c>
      <c r="N340" s="69" t="s">
        <v>57</v>
      </c>
      <c r="O340" s="64">
        <v>1</v>
      </c>
      <c r="P340" s="72">
        <v>178200</v>
      </c>
      <c r="Q340" s="69" t="s">
        <v>1814</v>
      </c>
      <c r="R340" s="69"/>
      <c r="S340" s="68" t="s">
        <v>1754</v>
      </c>
      <c r="T340" s="56">
        <v>3</v>
      </c>
      <c r="U340" s="56">
        <v>4</v>
      </c>
    </row>
    <row r="341" spans="1:21" ht="14.25" customHeight="1" x14ac:dyDescent="0.35">
      <c r="A341" s="47">
        <v>325</v>
      </c>
      <c r="B341" s="69" t="s">
        <v>1806</v>
      </c>
      <c r="C341" s="69" t="s">
        <v>1807</v>
      </c>
      <c r="D341" s="70" t="s">
        <v>59</v>
      </c>
      <c r="E341" s="69" t="s">
        <v>1815</v>
      </c>
      <c r="F341" s="69" t="s">
        <v>1748</v>
      </c>
      <c r="G341" s="69" t="s">
        <v>140</v>
      </c>
      <c r="H341" s="70">
        <v>2014</v>
      </c>
      <c r="I341" s="69"/>
      <c r="J341" s="69" t="s">
        <v>1816</v>
      </c>
      <c r="K341" s="71" t="s">
        <v>1817</v>
      </c>
      <c r="L341" s="71" t="s">
        <v>1818</v>
      </c>
      <c r="M341" s="71" t="s">
        <v>1819</v>
      </c>
      <c r="N341" s="69" t="s">
        <v>57</v>
      </c>
      <c r="O341" s="64">
        <v>1</v>
      </c>
      <c r="P341" s="72">
        <v>190070</v>
      </c>
      <c r="Q341" s="69" t="s">
        <v>1820</v>
      </c>
      <c r="R341" s="69"/>
      <c r="S341" s="68" t="s">
        <v>1754</v>
      </c>
      <c r="T341" s="56">
        <v>3</v>
      </c>
      <c r="U341" s="56">
        <v>4</v>
      </c>
    </row>
    <row r="342" spans="1:21" ht="14.25" customHeight="1" thickBot="1" x14ac:dyDescent="0.4">
      <c r="A342" s="58">
        <v>326</v>
      </c>
      <c r="B342" s="69" t="s">
        <v>1806</v>
      </c>
      <c r="C342" s="69" t="s">
        <v>1807</v>
      </c>
      <c r="D342" s="70" t="s">
        <v>97</v>
      </c>
      <c r="E342" s="69" t="s">
        <v>1815</v>
      </c>
      <c r="F342" s="69" t="s">
        <v>1748</v>
      </c>
      <c r="G342" s="69" t="s">
        <v>140</v>
      </c>
      <c r="H342" s="70">
        <v>2014</v>
      </c>
      <c r="I342" s="69"/>
      <c r="J342" s="69" t="s">
        <v>1821</v>
      </c>
      <c r="K342" s="71" t="s">
        <v>1822</v>
      </c>
      <c r="L342" s="71" t="s">
        <v>1823</v>
      </c>
      <c r="M342" s="71" t="s">
        <v>1824</v>
      </c>
      <c r="N342" s="69" t="s">
        <v>57</v>
      </c>
      <c r="O342" s="64">
        <v>1</v>
      </c>
      <c r="P342" s="72">
        <v>190070</v>
      </c>
      <c r="Q342" s="69" t="s">
        <v>1825</v>
      </c>
      <c r="R342" s="69"/>
      <c r="S342" s="68" t="s">
        <v>1754</v>
      </c>
      <c r="T342" s="56">
        <v>3</v>
      </c>
      <c r="U342" s="56">
        <v>4</v>
      </c>
    </row>
    <row r="343" spans="1:21" ht="14.25" customHeight="1" x14ac:dyDescent="0.35">
      <c r="A343" s="47">
        <v>327</v>
      </c>
      <c r="B343" s="69" t="s">
        <v>1806</v>
      </c>
      <c r="C343" s="69" t="s">
        <v>1807</v>
      </c>
      <c r="D343" s="70" t="s">
        <v>101</v>
      </c>
      <c r="E343" s="69" t="s">
        <v>1815</v>
      </c>
      <c r="F343" s="69" t="s">
        <v>1748</v>
      </c>
      <c r="G343" s="69" t="s">
        <v>140</v>
      </c>
      <c r="H343" s="70">
        <v>2014</v>
      </c>
      <c r="I343" s="69"/>
      <c r="J343" s="69" t="s">
        <v>1826</v>
      </c>
      <c r="K343" s="71" t="s">
        <v>1827</v>
      </c>
      <c r="L343" s="71" t="s">
        <v>1828</v>
      </c>
      <c r="M343" s="71" t="s">
        <v>1829</v>
      </c>
      <c r="N343" s="69" t="s">
        <v>57</v>
      </c>
      <c r="O343" s="64">
        <v>1</v>
      </c>
      <c r="P343" s="72">
        <v>190070</v>
      </c>
      <c r="Q343" s="69" t="s">
        <v>1754</v>
      </c>
      <c r="R343" s="69"/>
      <c r="S343" s="68" t="s">
        <v>1754</v>
      </c>
      <c r="T343" s="56">
        <v>3</v>
      </c>
      <c r="U343" s="56">
        <v>4</v>
      </c>
    </row>
    <row r="344" spans="1:21" ht="14.25" customHeight="1" thickBot="1" x14ac:dyDescent="0.4">
      <c r="A344" s="58">
        <v>328</v>
      </c>
      <c r="B344" s="69" t="s">
        <v>1806</v>
      </c>
      <c r="C344" s="69" t="s">
        <v>1807</v>
      </c>
      <c r="D344" s="70" t="s">
        <v>107</v>
      </c>
      <c r="E344" s="69" t="s">
        <v>1830</v>
      </c>
      <c r="F344" s="69" t="s">
        <v>1831</v>
      </c>
      <c r="G344" s="69" t="s">
        <v>54</v>
      </c>
      <c r="H344" s="70">
        <v>2011</v>
      </c>
      <c r="I344" s="69" t="s">
        <v>63</v>
      </c>
      <c r="J344" s="69" t="s">
        <v>1832</v>
      </c>
      <c r="K344" s="71" t="s">
        <v>1833</v>
      </c>
      <c r="L344" s="71" t="s">
        <v>1834</v>
      </c>
      <c r="M344" s="71" t="s">
        <v>1835</v>
      </c>
      <c r="N344" s="69" t="s">
        <v>57</v>
      </c>
      <c r="O344" s="64">
        <v>1</v>
      </c>
      <c r="P344" s="72">
        <v>314183.875</v>
      </c>
      <c r="Q344" s="69" t="s">
        <v>1836</v>
      </c>
      <c r="R344" s="69"/>
      <c r="S344" s="68" t="s">
        <v>1754</v>
      </c>
      <c r="T344" s="56">
        <v>3</v>
      </c>
      <c r="U344" s="56">
        <v>4</v>
      </c>
    </row>
    <row r="345" spans="1:21" ht="14.25" customHeight="1" x14ac:dyDescent="0.35">
      <c r="A345" s="47">
        <v>329</v>
      </c>
      <c r="B345" s="69" t="s">
        <v>1806</v>
      </c>
      <c r="C345" s="69" t="s">
        <v>1807</v>
      </c>
      <c r="D345" s="70" t="s">
        <v>112</v>
      </c>
      <c r="E345" s="69" t="s">
        <v>1830</v>
      </c>
      <c r="F345" s="69" t="s">
        <v>1831</v>
      </c>
      <c r="G345" s="69" t="s">
        <v>54</v>
      </c>
      <c r="H345" s="70">
        <v>2011</v>
      </c>
      <c r="I345" s="69" t="s">
        <v>63</v>
      </c>
      <c r="J345" s="69" t="s">
        <v>1837</v>
      </c>
      <c r="K345" s="71" t="s">
        <v>1838</v>
      </c>
      <c r="L345" s="71" t="s">
        <v>1839</v>
      </c>
      <c r="M345" s="71" t="s">
        <v>1840</v>
      </c>
      <c r="N345" s="69" t="s">
        <v>57</v>
      </c>
      <c r="O345" s="64">
        <v>1</v>
      </c>
      <c r="P345" s="72">
        <v>314183.875</v>
      </c>
      <c r="Q345" s="69" t="s">
        <v>1841</v>
      </c>
      <c r="R345" s="69"/>
      <c r="S345" s="68" t="s">
        <v>1754</v>
      </c>
      <c r="T345" s="56">
        <v>3</v>
      </c>
      <c r="U345" s="56">
        <v>4</v>
      </c>
    </row>
    <row r="346" spans="1:21" ht="14.25" customHeight="1" thickBot="1" x14ac:dyDescent="0.4">
      <c r="A346" s="58">
        <v>330</v>
      </c>
      <c r="B346" s="69" t="s">
        <v>79</v>
      </c>
      <c r="C346" s="69" t="s">
        <v>80</v>
      </c>
      <c r="D346" s="70" t="s">
        <v>59</v>
      </c>
      <c r="E346" s="69" t="s">
        <v>230</v>
      </c>
      <c r="F346" s="69" t="s">
        <v>483</v>
      </c>
      <c r="G346" s="69" t="s">
        <v>54</v>
      </c>
      <c r="H346" s="70">
        <v>2013</v>
      </c>
      <c r="I346" s="69" t="s">
        <v>63</v>
      </c>
      <c r="J346" s="69" t="s">
        <v>1842</v>
      </c>
      <c r="K346" s="71" t="s">
        <v>1843</v>
      </c>
      <c r="L346" s="71" t="s">
        <v>1844</v>
      </c>
      <c r="M346" s="71" t="s">
        <v>1845</v>
      </c>
      <c r="N346" s="69" t="s">
        <v>57</v>
      </c>
      <c r="O346" s="64">
        <v>1</v>
      </c>
      <c r="P346" s="72">
        <v>18381.099999999999</v>
      </c>
      <c r="Q346" s="69" t="s">
        <v>1846</v>
      </c>
      <c r="R346" s="69"/>
      <c r="S346" s="68" t="s">
        <v>1754</v>
      </c>
      <c r="T346" s="56">
        <v>3</v>
      </c>
      <c r="U346" s="56">
        <v>3</v>
      </c>
    </row>
    <row r="347" spans="1:21" ht="14.25" customHeight="1" x14ac:dyDescent="0.35">
      <c r="A347" s="47">
        <v>331</v>
      </c>
      <c r="B347" s="69" t="s">
        <v>79</v>
      </c>
      <c r="C347" s="69" t="s">
        <v>80</v>
      </c>
      <c r="D347" s="70" t="s">
        <v>97</v>
      </c>
      <c r="E347" s="69" t="s">
        <v>1847</v>
      </c>
      <c r="F347" s="69" t="s">
        <v>171</v>
      </c>
      <c r="G347" s="69" t="s">
        <v>54</v>
      </c>
      <c r="H347" s="70">
        <v>2008</v>
      </c>
      <c r="I347" s="69" t="s">
        <v>63</v>
      </c>
      <c r="J347" s="69" t="s">
        <v>1848</v>
      </c>
      <c r="K347" s="71" t="s">
        <v>1849</v>
      </c>
      <c r="L347" s="71" t="s">
        <v>1850</v>
      </c>
      <c r="M347" s="71" t="s">
        <v>1851</v>
      </c>
      <c r="N347" s="69" t="s">
        <v>57</v>
      </c>
      <c r="O347" s="64">
        <v>1</v>
      </c>
      <c r="P347" s="72">
        <v>15000</v>
      </c>
      <c r="Q347" s="69" t="s">
        <v>1852</v>
      </c>
      <c r="R347" s="69"/>
      <c r="S347" s="68" t="s">
        <v>1754</v>
      </c>
      <c r="T347" s="56">
        <v>3</v>
      </c>
      <c r="U347" s="56">
        <v>3</v>
      </c>
    </row>
    <row r="348" spans="1:21" ht="14.25" customHeight="1" thickBot="1" x14ac:dyDescent="0.4">
      <c r="A348" s="58">
        <v>332</v>
      </c>
      <c r="B348" s="69" t="s">
        <v>79</v>
      </c>
      <c r="C348" s="69" t="s">
        <v>80</v>
      </c>
      <c r="D348" s="70" t="s">
        <v>101</v>
      </c>
      <c r="E348" s="69" t="s">
        <v>1853</v>
      </c>
      <c r="F348" s="69" t="s">
        <v>1854</v>
      </c>
      <c r="G348" s="69" t="s">
        <v>140</v>
      </c>
      <c r="H348" s="70">
        <v>2011</v>
      </c>
      <c r="I348" s="69"/>
      <c r="J348" s="69" t="s">
        <v>1855</v>
      </c>
      <c r="K348" s="71" t="s">
        <v>1856</v>
      </c>
      <c r="L348" s="71" t="s">
        <v>1857</v>
      </c>
      <c r="M348" s="71" t="s">
        <v>1858</v>
      </c>
      <c r="N348" s="69" t="s">
        <v>57</v>
      </c>
      <c r="O348" s="64">
        <v>1</v>
      </c>
      <c r="P348" s="72">
        <v>16584</v>
      </c>
      <c r="Q348" s="69" t="s">
        <v>1859</v>
      </c>
      <c r="R348" s="69"/>
      <c r="S348" s="68" t="s">
        <v>1754</v>
      </c>
      <c r="T348" s="56">
        <v>3</v>
      </c>
      <c r="U348" s="56">
        <v>3</v>
      </c>
    </row>
    <row r="349" spans="1:21" ht="14.25" customHeight="1" x14ac:dyDescent="0.35">
      <c r="A349" s="47">
        <v>333</v>
      </c>
      <c r="B349" s="69" t="s">
        <v>79</v>
      </c>
      <c r="C349" s="69" t="s">
        <v>80</v>
      </c>
      <c r="D349" s="70" t="s">
        <v>107</v>
      </c>
      <c r="E349" s="69" t="s">
        <v>1860</v>
      </c>
      <c r="F349" s="69" t="s">
        <v>202</v>
      </c>
      <c r="G349" s="69" t="s">
        <v>54</v>
      </c>
      <c r="H349" s="70">
        <v>2012</v>
      </c>
      <c r="I349" s="69"/>
      <c r="J349" s="69" t="s">
        <v>1861</v>
      </c>
      <c r="K349" s="71" t="s">
        <v>1862</v>
      </c>
      <c r="L349" s="71" t="s">
        <v>1863</v>
      </c>
      <c r="M349" s="71" t="s">
        <v>1864</v>
      </c>
      <c r="N349" s="69" t="s">
        <v>57</v>
      </c>
      <c r="O349" s="64">
        <v>1</v>
      </c>
      <c r="P349" s="72">
        <v>13177.55</v>
      </c>
      <c r="Q349" s="69" t="s">
        <v>1852</v>
      </c>
      <c r="R349" s="69"/>
      <c r="S349" s="68" t="s">
        <v>1754</v>
      </c>
      <c r="T349" s="56">
        <v>3</v>
      </c>
      <c r="U349" s="56">
        <v>3</v>
      </c>
    </row>
    <row r="350" spans="1:21" ht="14.25" customHeight="1" thickBot="1" x14ac:dyDescent="0.4">
      <c r="A350" s="58">
        <v>334</v>
      </c>
      <c r="B350" s="69" t="s">
        <v>79</v>
      </c>
      <c r="C350" s="69" t="s">
        <v>80</v>
      </c>
      <c r="D350" s="70" t="s">
        <v>112</v>
      </c>
      <c r="E350" s="69" t="s">
        <v>1860</v>
      </c>
      <c r="F350" s="69" t="s">
        <v>202</v>
      </c>
      <c r="G350" s="69" t="s">
        <v>54</v>
      </c>
      <c r="H350" s="70">
        <v>2012</v>
      </c>
      <c r="I350" s="69"/>
      <c r="J350" s="69" t="s">
        <v>1865</v>
      </c>
      <c r="K350" s="71" t="s">
        <v>1866</v>
      </c>
      <c r="L350" s="71" t="s">
        <v>1867</v>
      </c>
      <c r="M350" s="71" t="s">
        <v>1868</v>
      </c>
      <c r="N350" s="69" t="s">
        <v>57</v>
      </c>
      <c r="O350" s="64">
        <v>1</v>
      </c>
      <c r="P350" s="72">
        <v>13177.55</v>
      </c>
      <c r="Q350" s="69"/>
      <c r="R350" s="69"/>
      <c r="S350" s="68" t="s">
        <v>1754</v>
      </c>
      <c r="T350" s="56">
        <v>3</v>
      </c>
      <c r="U350" s="56">
        <v>3</v>
      </c>
    </row>
    <row r="351" spans="1:21" ht="14.25" customHeight="1" x14ac:dyDescent="0.35">
      <c r="A351" s="47">
        <v>335</v>
      </c>
      <c r="B351" s="69" t="s">
        <v>79</v>
      </c>
      <c r="C351" s="69" t="s">
        <v>80</v>
      </c>
      <c r="D351" s="70" t="s">
        <v>116</v>
      </c>
      <c r="E351" s="69" t="s">
        <v>1860</v>
      </c>
      <c r="F351" s="69" t="s">
        <v>202</v>
      </c>
      <c r="G351" s="69" t="s">
        <v>54</v>
      </c>
      <c r="H351" s="70">
        <v>2012</v>
      </c>
      <c r="I351" s="69"/>
      <c r="J351" s="69" t="s">
        <v>1869</v>
      </c>
      <c r="K351" s="71" t="s">
        <v>1870</v>
      </c>
      <c r="L351" s="71" t="s">
        <v>1871</v>
      </c>
      <c r="M351" s="71" t="s">
        <v>1872</v>
      </c>
      <c r="N351" s="69" t="s">
        <v>57</v>
      </c>
      <c r="O351" s="64">
        <v>1</v>
      </c>
      <c r="P351" s="72">
        <v>13177.55</v>
      </c>
      <c r="Q351" s="69" t="s">
        <v>1873</v>
      </c>
      <c r="R351" s="69"/>
      <c r="S351" s="68" t="s">
        <v>1754</v>
      </c>
      <c r="T351" s="56">
        <v>3</v>
      </c>
      <c r="U351" s="56">
        <v>3</v>
      </c>
    </row>
    <row r="352" spans="1:21" ht="14.25" customHeight="1" thickBot="1" x14ac:dyDescent="0.4">
      <c r="A352" s="58">
        <v>336</v>
      </c>
      <c r="B352" s="69" t="s">
        <v>79</v>
      </c>
      <c r="C352" s="69" t="s">
        <v>80</v>
      </c>
      <c r="D352" s="70" t="s">
        <v>841</v>
      </c>
      <c r="E352" s="69" t="s">
        <v>1860</v>
      </c>
      <c r="F352" s="69" t="s">
        <v>202</v>
      </c>
      <c r="G352" s="69" t="s">
        <v>54</v>
      </c>
      <c r="H352" s="70">
        <v>2012</v>
      </c>
      <c r="I352" s="69"/>
      <c r="J352" s="69" t="s">
        <v>1874</v>
      </c>
      <c r="K352" s="71" t="s">
        <v>1875</v>
      </c>
      <c r="L352" s="71" t="s">
        <v>1876</v>
      </c>
      <c r="M352" s="71" t="s">
        <v>1877</v>
      </c>
      <c r="N352" s="69" t="s">
        <v>57</v>
      </c>
      <c r="O352" s="64">
        <v>1</v>
      </c>
      <c r="P352" s="72">
        <v>13177.55</v>
      </c>
      <c r="Q352" s="69" t="s">
        <v>1878</v>
      </c>
      <c r="R352" s="69"/>
      <c r="S352" s="68" t="s">
        <v>1754</v>
      </c>
      <c r="T352" s="56">
        <v>3</v>
      </c>
      <c r="U352" s="56">
        <v>3</v>
      </c>
    </row>
    <row r="353" spans="1:21" ht="14.25" customHeight="1" x14ac:dyDescent="0.35">
      <c r="A353" s="47">
        <v>337</v>
      </c>
      <c r="B353" s="69" t="s">
        <v>79</v>
      </c>
      <c r="C353" s="69" t="s">
        <v>80</v>
      </c>
      <c r="D353" s="70" t="s">
        <v>904</v>
      </c>
      <c r="E353" s="69" t="s">
        <v>1860</v>
      </c>
      <c r="F353" s="69" t="s">
        <v>202</v>
      </c>
      <c r="G353" s="69" t="s">
        <v>54</v>
      </c>
      <c r="H353" s="70">
        <v>2012</v>
      </c>
      <c r="I353" s="69"/>
      <c r="J353" s="69" t="s">
        <v>1879</v>
      </c>
      <c r="K353" s="71" t="s">
        <v>1880</v>
      </c>
      <c r="L353" s="71" t="s">
        <v>1881</v>
      </c>
      <c r="M353" s="71" t="s">
        <v>1882</v>
      </c>
      <c r="N353" s="69" t="s">
        <v>57</v>
      </c>
      <c r="O353" s="64">
        <v>1</v>
      </c>
      <c r="P353" s="72">
        <v>13177.55</v>
      </c>
      <c r="Q353" s="69" t="s">
        <v>1873</v>
      </c>
      <c r="R353" s="69"/>
      <c r="S353" s="68" t="s">
        <v>1754</v>
      </c>
      <c r="T353" s="56">
        <v>3</v>
      </c>
      <c r="U353" s="56">
        <v>3</v>
      </c>
    </row>
    <row r="354" spans="1:21" ht="14.25" customHeight="1" thickBot="1" x14ac:dyDescent="0.4">
      <c r="A354" s="58">
        <v>338</v>
      </c>
      <c r="B354" s="69" t="s">
        <v>79</v>
      </c>
      <c r="C354" s="69" t="s">
        <v>80</v>
      </c>
      <c r="D354" s="70" t="s">
        <v>122</v>
      </c>
      <c r="E354" s="69" t="s">
        <v>1860</v>
      </c>
      <c r="F354" s="69" t="s">
        <v>202</v>
      </c>
      <c r="G354" s="69" t="s">
        <v>54</v>
      </c>
      <c r="H354" s="70">
        <v>2012</v>
      </c>
      <c r="I354" s="69"/>
      <c r="J354" s="69" t="s">
        <v>1883</v>
      </c>
      <c r="K354" s="71" t="s">
        <v>1884</v>
      </c>
      <c r="L354" s="71" t="s">
        <v>1885</v>
      </c>
      <c r="M354" s="71" t="s">
        <v>1886</v>
      </c>
      <c r="N354" s="69" t="s">
        <v>57</v>
      </c>
      <c r="O354" s="64">
        <v>1</v>
      </c>
      <c r="P354" s="72">
        <v>13177.55</v>
      </c>
      <c r="Q354" s="69" t="s">
        <v>1887</v>
      </c>
      <c r="R354" s="69"/>
      <c r="S354" s="68" t="s">
        <v>1754</v>
      </c>
      <c r="T354" s="56">
        <v>3</v>
      </c>
      <c r="U354" s="56">
        <v>3</v>
      </c>
    </row>
    <row r="355" spans="1:21" ht="14.25" customHeight="1" x14ac:dyDescent="0.35">
      <c r="A355" s="47">
        <v>339</v>
      </c>
      <c r="B355" s="69" t="s">
        <v>79</v>
      </c>
      <c r="C355" s="69" t="s">
        <v>80</v>
      </c>
      <c r="D355" s="70" t="s">
        <v>126</v>
      </c>
      <c r="E355" s="69" t="s">
        <v>1888</v>
      </c>
      <c r="F355" s="69" t="s">
        <v>246</v>
      </c>
      <c r="G355" s="69" t="s">
        <v>54</v>
      </c>
      <c r="H355" s="70">
        <v>2013</v>
      </c>
      <c r="I355" s="69" t="s">
        <v>63</v>
      </c>
      <c r="J355" s="69" t="s">
        <v>1889</v>
      </c>
      <c r="K355" s="71" t="s">
        <v>1890</v>
      </c>
      <c r="L355" s="71" t="s">
        <v>1891</v>
      </c>
      <c r="M355" s="71" t="s">
        <v>1892</v>
      </c>
      <c r="N355" s="69" t="s">
        <v>57</v>
      </c>
      <c r="O355" s="64">
        <v>1</v>
      </c>
      <c r="P355" s="72">
        <v>14108.5</v>
      </c>
      <c r="Q355" s="69" t="s">
        <v>1893</v>
      </c>
      <c r="R355" s="69"/>
      <c r="S355" s="68" t="s">
        <v>1754</v>
      </c>
      <c r="T355" s="56">
        <v>3</v>
      </c>
      <c r="U355" s="56">
        <v>3</v>
      </c>
    </row>
    <row r="356" spans="1:21" ht="14.25" customHeight="1" thickBot="1" x14ac:dyDescent="0.4">
      <c r="A356" s="58">
        <v>340</v>
      </c>
      <c r="B356" s="69" t="s">
        <v>79</v>
      </c>
      <c r="C356" s="69" t="s">
        <v>80</v>
      </c>
      <c r="D356" s="70" t="s">
        <v>132</v>
      </c>
      <c r="E356" s="69" t="s">
        <v>1383</v>
      </c>
      <c r="F356" s="69" t="s">
        <v>1894</v>
      </c>
      <c r="G356" s="69" t="s">
        <v>140</v>
      </c>
      <c r="H356" s="70">
        <v>2015</v>
      </c>
      <c r="I356" s="69"/>
      <c r="J356" s="69" t="s">
        <v>1895</v>
      </c>
      <c r="K356" s="71" t="s">
        <v>1896</v>
      </c>
      <c r="L356" s="71" t="s">
        <v>1897</v>
      </c>
      <c r="M356" s="71" t="s">
        <v>1898</v>
      </c>
      <c r="N356" s="69" t="s">
        <v>57</v>
      </c>
      <c r="O356" s="64">
        <v>1</v>
      </c>
      <c r="P356" s="72">
        <v>14962.333000000001</v>
      </c>
      <c r="Q356" s="69" t="s">
        <v>1899</v>
      </c>
      <c r="R356" s="69"/>
      <c r="S356" s="68" t="s">
        <v>1754</v>
      </c>
      <c r="T356" s="56">
        <v>3</v>
      </c>
      <c r="U356" s="56">
        <v>3</v>
      </c>
    </row>
    <row r="357" spans="1:21" ht="14.25" customHeight="1" x14ac:dyDescent="0.35">
      <c r="A357" s="47">
        <v>341</v>
      </c>
      <c r="B357" s="69" t="s">
        <v>79</v>
      </c>
      <c r="C357" s="69" t="s">
        <v>80</v>
      </c>
      <c r="D357" s="70" t="s">
        <v>137</v>
      </c>
      <c r="E357" s="69" t="s">
        <v>1383</v>
      </c>
      <c r="F357" s="69" t="s">
        <v>1894</v>
      </c>
      <c r="G357" s="69" t="s">
        <v>140</v>
      </c>
      <c r="H357" s="70">
        <v>2015</v>
      </c>
      <c r="I357" s="69"/>
      <c r="J357" s="69" t="s">
        <v>1900</v>
      </c>
      <c r="K357" s="71" t="s">
        <v>1901</v>
      </c>
      <c r="L357" s="71" t="s">
        <v>1902</v>
      </c>
      <c r="M357" s="71" t="s">
        <v>1903</v>
      </c>
      <c r="N357" s="69" t="s">
        <v>57</v>
      </c>
      <c r="O357" s="64">
        <v>1</v>
      </c>
      <c r="P357" s="72">
        <v>14962.333000000001</v>
      </c>
      <c r="Q357" s="69" t="s">
        <v>1904</v>
      </c>
      <c r="R357" s="69"/>
      <c r="S357" s="68" t="s">
        <v>1754</v>
      </c>
      <c r="T357" s="56">
        <v>3</v>
      </c>
      <c r="U357" s="56">
        <v>3</v>
      </c>
    </row>
    <row r="358" spans="1:21" ht="14.25" customHeight="1" thickBot="1" x14ac:dyDescent="0.4">
      <c r="A358" s="58">
        <v>342</v>
      </c>
      <c r="B358" s="69" t="s">
        <v>79</v>
      </c>
      <c r="C358" s="69" t="s">
        <v>80</v>
      </c>
      <c r="D358" s="70" t="s">
        <v>146</v>
      </c>
      <c r="E358" s="69" t="s">
        <v>1905</v>
      </c>
      <c r="F358" s="69" t="s">
        <v>1906</v>
      </c>
      <c r="G358" s="69" t="s">
        <v>1907</v>
      </c>
      <c r="H358" s="70">
        <v>2005</v>
      </c>
      <c r="I358" s="69" t="s">
        <v>63</v>
      </c>
      <c r="J358" s="69" t="s">
        <v>1908</v>
      </c>
      <c r="K358" s="71" t="s">
        <v>1909</v>
      </c>
      <c r="L358" s="71" t="s">
        <v>1910</v>
      </c>
      <c r="M358" s="71" t="s">
        <v>1911</v>
      </c>
      <c r="N358" s="69" t="s">
        <v>57</v>
      </c>
      <c r="O358" s="64">
        <v>1</v>
      </c>
      <c r="P358" s="72">
        <v>15500</v>
      </c>
      <c r="Q358" s="69"/>
      <c r="R358" s="69"/>
      <c r="S358" s="68" t="s">
        <v>1754</v>
      </c>
      <c r="T358" s="56">
        <v>3</v>
      </c>
      <c r="U358" s="56">
        <v>3</v>
      </c>
    </row>
    <row r="359" spans="1:21" ht="14.25" customHeight="1" x14ac:dyDescent="0.35">
      <c r="A359" s="47">
        <v>343</v>
      </c>
      <c r="B359" s="69" t="s">
        <v>1553</v>
      </c>
      <c r="C359" s="69" t="s">
        <v>1554</v>
      </c>
      <c r="D359" s="70" t="s">
        <v>101</v>
      </c>
      <c r="E359" s="69" t="s">
        <v>1912</v>
      </c>
      <c r="F359" s="69" t="s">
        <v>1652</v>
      </c>
      <c r="G359" s="69" t="s">
        <v>1913</v>
      </c>
      <c r="H359" s="70">
        <v>2015</v>
      </c>
      <c r="I359" s="69"/>
      <c r="J359" s="69" t="s">
        <v>1914</v>
      </c>
      <c r="K359" s="71" t="s">
        <v>1915</v>
      </c>
      <c r="L359" s="71" t="s">
        <v>1916</v>
      </c>
      <c r="M359" s="71" t="s">
        <v>1917</v>
      </c>
      <c r="N359" s="69" t="s">
        <v>57</v>
      </c>
      <c r="O359" s="64">
        <v>1</v>
      </c>
      <c r="P359" s="72">
        <v>346470</v>
      </c>
      <c r="Q359" s="69"/>
      <c r="R359" s="69"/>
      <c r="S359" s="68" t="s">
        <v>1754</v>
      </c>
      <c r="T359" s="56">
        <v>3</v>
      </c>
      <c r="U359" s="56">
        <v>4</v>
      </c>
    </row>
    <row r="360" spans="1:21" ht="14.25" customHeight="1" thickBot="1" x14ac:dyDescent="0.4">
      <c r="A360" s="58">
        <v>344</v>
      </c>
      <c r="B360" s="69" t="s">
        <v>1553</v>
      </c>
      <c r="C360" s="69" t="s">
        <v>1554</v>
      </c>
      <c r="D360" s="70" t="s">
        <v>107</v>
      </c>
      <c r="E360" s="69" t="s">
        <v>1912</v>
      </c>
      <c r="F360" s="69" t="s">
        <v>1652</v>
      </c>
      <c r="G360" s="69" t="s">
        <v>1913</v>
      </c>
      <c r="H360" s="70">
        <v>2015</v>
      </c>
      <c r="I360" s="69"/>
      <c r="J360" s="69" t="s">
        <v>1918</v>
      </c>
      <c r="K360" s="71" t="s">
        <v>1919</v>
      </c>
      <c r="L360" s="71" t="s">
        <v>1920</v>
      </c>
      <c r="M360" s="71" t="s">
        <v>1921</v>
      </c>
      <c r="N360" s="69" t="s">
        <v>57</v>
      </c>
      <c r="O360" s="64">
        <v>1</v>
      </c>
      <c r="P360" s="72">
        <v>346470</v>
      </c>
      <c r="Q360" s="69"/>
      <c r="R360" s="69"/>
      <c r="S360" s="68" t="s">
        <v>1754</v>
      </c>
      <c r="T360" s="56">
        <v>3</v>
      </c>
      <c r="U360" s="56">
        <v>4</v>
      </c>
    </row>
    <row r="361" spans="1:21" ht="14.25" customHeight="1" x14ac:dyDescent="0.35">
      <c r="A361" s="47">
        <v>345</v>
      </c>
      <c r="B361" s="69" t="s">
        <v>1553</v>
      </c>
      <c r="C361" s="69" t="s">
        <v>1554</v>
      </c>
      <c r="D361" s="70" t="s">
        <v>112</v>
      </c>
      <c r="E361" s="69" t="s">
        <v>1922</v>
      </c>
      <c r="F361" s="69" t="s">
        <v>1923</v>
      </c>
      <c r="G361" s="69" t="s">
        <v>54</v>
      </c>
      <c r="H361" s="70">
        <v>2018</v>
      </c>
      <c r="I361" s="69" t="s">
        <v>63</v>
      </c>
      <c r="J361" s="69" t="s">
        <v>1924</v>
      </c>
      <c r="K361" s="71" t="s">
        <v>1925</v>
      </c>
      <c r="L361" s="71" t="s">
        <v>1926</v>
      </c>
      <c r="M361" s="71" t="s">
        <v>1927</v>
      </c>
      <c r="N361" s="69" t="s">
        <v>57</v>
      </c>
      <c r="O361" s="64">
        <v>1</v>
      </c>
      <c r="P361" s="72">
        <v>212910</v>
      </c>
      <c r="Q361" s="69"/>
      <c r="R361" s="69"/>
      <c r="S361" s="68" t="s">
        <v>1754</v>
      </c>
      <c r="T361" s="56">
        <v>3</v>
      </c>
      <c r="U361" s="56">
        <v>4</v>
      </c>
    </row>
    <row r="362" spans="1:21" ht="14.25" customHeight="1" thickBot="1" x14ac:dyDescent="0.4">
      <c r="A362" s="58">
        <v>346</v>
      </c>
      <c r="B362" s="69" t="s">
        <v>1806</v>
      </c>
      <c r="C362" s="69" t="s">
        <v>1807</v>
      </c>
      <c r="D362" s="70" t="s">
        <v>51</v>
      </c>
      <c r="E362" s="69" t="s">
        <v>1928</v>
      </c>
      <c r="F362" s="69" t="s">
        <v>1929</v>
      </c>
      <c r="G362" s="69" t="s">
        <v>54</v>
      </c>
      <c r="H362" s="70">
        <v>2021</v>
      </c>
      <c r="I362" s="69" t="s">
        <v>63</v>
      </c>
      <c r="J362" s="69" t="s">
        <v>1930</v>
      </c>
      <c r="K362" s="71" t="s">
        <v>1931</v>
      </c>
      <c r="L362" s="71" t="s">
        <v>1932</v>
      </c>
      <c r="M362" s="71" t="s">
        <v>1933</v>
      </c>
      <c r="N362" s="69" t="s">
        <v>57</v>
      </c>
      <c r="O362" s="64">
        <v>1</v>
      </c>
      <c r="P362" s="72">
        <v>277000</v>
      </c>
      <c r="Q362" s="69" t="s">
        <v>1934</v>
      </c>
      <c r="R362" s="69"/>
      <c r="S362" s="68" t="s">
        <v>1935</v>
      </c>
      <c r="T362" s="56">
        <v>4</v>
      </c>
      <c r="U362" s="56">
        <v>4</v>
      </c>
    </row>
    <row r="363" spans="1:21" ht="14.25" customHeight="1" x14ac:dyDescent="0.35">
      <c r="A363" s="47">
        <v>347</v>
      </c>
      <c r="B363" s="69" t="s">
        <v>79</v>
      </c>
      <c r="C363" s="69" t="s">
        <v>80</v>
      </c>
      <c r="D363" s="70" t="s">
        <v>51</v>
      </c>
      <c r="E363" s="69" t="s">
        <v>1936</v>
      </c>
      <c r="F363" s="69" t="s">
        <v>246</v>
      </c>
      <c r="G363" s="69" t="s">
        <v>54</v>
      </c>
      <c r="H363" s="70">
        <v>2021</v>
      </c>
      <c r="I363" s="69" t="s">
        <v>63</v>
      </c>
      <c r="J363" s="69" t="s">
        <v>1937</v>
      </c>
      <c r="K363" s="71" t="s">
        <v>1938</v>
      </c>
      <c r="L363" s="71" t="s">
        <v>1939</v>
      </c>
      <c r="M363" s="71" t="s">
        <v>1940</v>
      </c>
      <c r="N363" s="69" t="s">
        <v>57</v>
      </c>
      <c r="O363" s="64">
        <v>1</v>
      </c>
      <c r="P363" s="72">
        <v>17500</v>
      </c>
      <c r="Q363" s="69" t="s">
        <v>1941</v>
      </c>
      <c r="R363" s="69"/>
      <c r="S363" s="68" t="s">
        <v>1935</v>
      </c>
      <c r="T363" s="56">
        <v>4</v>
      </c>
      <c r="U363" s="56">
        <v>3</v>
      </c>
    </row>
    <row r="364" spans="1:21" ht="14.25" customHeight="1" thickBot="1" x14ac:dyDescent="0.4">
      <c r="A364" s="58">
        <v>348</v>
      </c>
      <c r="B364" s="69" t="s">
        <v>79</v>
      </c>
      <c r="C364" s="69" t="s">
        <v>80</v>
      </c>
      <c r="D364" s="70" t="s">
        <v>59</v>
      </c>
      <c r="E364" s="69" t="s">
        <v>1936</v>
      </c>
      <c r="F364" s="69" t="s">
        <v>246</v>
      </c>
      <c r="G364" s="69" t="s">
        <v>54</v>
      </c>
      <c r="H364" s="70">
        <v>2021</v>
      </c>
      <c r="I364" s="69" t="s">
        <v>63</v>
      </c>
      <c r="J364" s="69" t="s">
        <v>1942</v>
      </c>
      <c r="K364" s="71" t="s">
        <v>1943</v>
      </c>
      <c r="L364" s="71" t="s">
        <v>1944</v>
      </c>
      <c r="M364" s="71" t="s">
        <v>1945</v>
      </c>
      <c r="N364" s="69" t="s">
        <v>57</v>
      </c>
      <c r="O364" s="64">
        <v>1</v>
      </c>
      <c r="P364" s="72">
        <v>17500</v>
      </c>
      <c r="Q364" s="69" t="s">
        <v>1946</v>
      </c>
      <c r="R364" s="69"/>
      <c r="S364" s="68" t="s">
        <v>1935</v>
      </c>
      <c r="T364" s="56">
        <v>4</v>
      </c>
      <c r="U364" s="56">
        <v>3</v>
      </c>
    </row>
    <row r="365" spans="1:21" ht="14.25" customHeight="1" x14ac:dyDescent="0.35">
      <c r="A365" s="47">
        <v>349</v>
      </c>
      <c r="B365" s="69" t="s">
        <v>79</v>
      </c>
      <c r="C365" s="69" t="s">
        <v>80</v>
      </c>
      <c r="D365" s="70" t="s">
        <v>97</v>
      </c>
      <c r="E365" s="69" t="s">
        <v>1936</v>
      </c>
      <c r="F365" s="69" t="s">
        <v>246</v>
      </c>
      <c r="G365" s="69" t="s">
        <v>54</v>
      </c>
      <c r="H365" s="70">
        <v>2021</v>
      </c>
      <c r="I365" s="69" t="s">
        <v>63</v>
      </c>
      <c r="J365" s="69" t="s">
        <v>1947</v>
      </c>
      <c r="K365" s="71" t="s">
        <v>1948</v>
      </c>
      <c r="L365" s="71" t="s">
        <v>1949</v>
      </c>
      <c r="M365" s="71" t="s">
        <v>1950</v>
      </c>
      <c r="N365" s="69" t="s">
        <v>57</v>
      </c>
      <c r="O365" s="64">
        <v>1</v>
      </c>
      <c r="P365" s="72">
        <v>17500</v>
      </c>
      <c r="Q365" s="69" t="s">
        <v>1951</v>
      </c>
      <c r="R365" s="69"/>
      <c r="S365" s="68" t="s">
        <v>1935</v>
      </c>
      <c r="T365" s="56">
        <v>4</v>
      </c>
      <c r="U365" s="56">
        <v>3</v>
      </c>
    </row>
    <row r="366" spans="1:21" ht="14.25" customHeight="1" thickBot="1" x14ac:dyDescent="0.4">
      <c r="A366" s="58">
        <v>350</v>
      </c>
      <c r="B366" s="69" t="s">
        <v>79</v>
      </c>
      <c r="C366" s="69" t="s">
        <v>80</v>
      </c>
      <c r="D366" s="70" t="s">
        <v>101</v>
      </c>
      <c r="E366" s="69" t="s">
        <v>1936</v>
      </c>
      <c r="F366" s="69" t="s">
        <v>246</v>
      </c>
      <c r="G366" s="69" t="s">
        <v>54</v>
      </c>
      <c r="H366" s="70">
        <v>2021</v>
      </c>
      <c r="I366" s="69" t="s">
        <v>63</v>
      </c>
      <c r="J366" s="69" t="s">
        <v>1952</v>
      </c>
      <c r="K366" s="71" t="s">
        <v>1953</v>
      </c>
      <c r="L366" s="71" t="s">
        <v>1954</v>
      </c>
      <c r="M366" s="71" t="s">
        <v>1955</v>
      </c>
      <c r="N366" s="69" t="s">
        <v>57</v>
      </c>
      <c r="O366" s="64">
        <v>1</v>
      </c>
      <c r="P366" s="72">
        <v>17500</v>
      </c>
      <c r="Q366" s="69" t="s">
        <v>1956</v>
      </c>
      <c r="R366" s="69"/>
      <c r="S366" s="68" t="s">
        <v>1935</v>
      </c>
      <c r="T366" s="56">
        <v>4</v>
      </c>
      <c r="U366" s="56">
        <v>3</v>
      </c>
    </row>
    <row r="367" spans="1:21" ht="14.25" customHeight="1" x14ac:dyDescent="0.35">
      <c r="A367" s="47">
        <v>351</v>
      </c>
      <c r="B367" s="69" t="s">
        <v>79</v>
      </c>
      <c r="C367" s="69" t="s">
        <v>80</v>
      </c>
      <c r="D367" s="70" t="s">
        <v>107</v>
      </c>
      <c r="E367" s="69" t="s">
        <v>1936</v>
      </c>
      <c r="F367" s="69" t="s">
        <v>246</v>
      </c>
      <c r="G367" s="69" t="s">
        <v>54</v>
      </c>
      <c r="H367" s="70">
        <v>2021</v>
      </c>
      <c r="I367" s="69" t="s">
        <v>63</v>
      </c>
      <c r="J367" s="69" t="s">
        <v>1957</v>
      </c>
      <c r="K367" s="71" t="s">
        <v>1958</v>
      </c>
      <c r="L367" s="71" t="s">
        <v>1959</v>
      </c>
      <c r="M367" s="71" t="s">
        <v>1960</v>
      </c>
      <c r="N367" s="69" t="s">
        <v>57</v>
      </c>
      <c r="O367" s="64">
        <v>1</v>
      </c>
      <c r="P367" s="72">
        <v>17500</v>
      </c>
      <c r="Q367" s="69" t="s">
        <v>1961</v>
      </c>
      <c r="R367" s="69"/>
      <c r="S367" s="68" t="s">
        <v>1935</v>
      </c>
      <c r="T367" s="56">
        <v>4</v>
      </c>
      <c r="U367" s="56">
        <v>3</v>
      </c>
    </row>
    <row r="368" spans="1:21" ht="14.25" customHeight="1" thickBot="1" x14ac:dyDescent="0.4">
      <c r="A368" s="58">
        <v>352</v>
      </c>
      <c r="B368" s="69" t="s">
        <v>79</v>
      </c>
      <c r="C368" s="69" t="s">
        <v>80</v>
      </c>
      <c r="D368" s="70" t="s">
        <v>112</v>
      </c>
      <c r="E368" s="69" t="s">
        <v>1936</v>
      </c>
      <c r="F368" s="69" t="s">
        <v>246</v>
      </c>
      <c r="G368" s="69" t="s">
        <v>54</v>
      </c>
      <c r="H368" s="70">
        <v>2021</v>
      </c>
      <c r="I368" s="69" t="s">
        <v>63</v>
      </c>
      <c r="J368" s="69" t="s">
        <v>1962</v>
      </c>
      <c r="K368" s="71" t="s">
        <v>1963</v>
      </c>
      <c r="L368" s="71" t="s">
        <v>1964</v>
      </c>
      <c r="M368" s="71" t="s">
        <v>1965</v>
      </c>
      <c r="N368" s="69" t="s">
        <v>57</v>
      </c>
      <c r="O368" s="64">
        <v>1</v>
      </c>
      <c r="P368" s="72">
        <v>17500</v>
      </c>
      <c r="Q368" s="69" t="s">
        <v>1966</v>
      </c>
      <c r="R368" s="69"/>
      <c r="S368" s="68" t="s">
        <v>1935</v>
      </c>
      <c r="T368" s="56">
        <v>4</v>
      </c>
      <c r="U368" s="56">
        <v>3</v>
      </c>
    </row>
    <row r="369" spans="1:21" ht="14.25" customHeight="1" x14ac:dyDescent="0.35">
      <c r="A369" s="47">
        <v>353</v>
      </c>
      <c r="B369" s="69" t="s">
        <v>79</v>
      </c>
      <c r="C369" s="69" t="s">
        <v>80</v>
      </c>
      <c r="D369" s="70" t="s">
        <v>116</v>
      </c>
      <c r="E369" s="69" t="s">
        <v>1936</v>
      </c>
      <c r="F369" s="69" t="s">
        <v>246</v>
      </c>
      <c r="G369" s="69" t="s">
        <v>54</v>
      </c>
      <c r="H369" s="70">
        <v>2021</v>
      </c>
      <c r="I369" s="69" t="s">
        <v>63</v>
      </c>
      <c r="J369" s="69" t="s">
        <v>1967</v>
      </c>
      <c r="K369" s="71" t="s">
        <v>1968</v>
      </c>
      <c r="L369" s="71" t="s">
        <v>1969</v>
      </c>
      <c r="M369" s="71" t="s">
        <v>1970</v>
      </c>
      <c r="N369" s="69" t="s">
        <v>57</v>
      </c>
      <c r="O369" s="64">
        <v>1</v>
      </c>
      <c r="P369" s="72">
        <v>17500</v>
      </c>
      <c r="Q369" s="69" t="s">
        <v>1971</v>
      </c>
      <c r="R369" s="69"/>
      <c r="S369" s="68" t="s">
        <v>1935</v>
      </c>
      <c r="T369" s="56">
        <v>4</v>
      </c>
      <c r="U369" s="56">
        <v>3</v>
      </c>
    </row>
    <row r="370" spans="1:21" ht="14.25" customHeight="1" thickBot="1" x14ac:dyDescent="0.4">
      <c r="A370" s="58">
        <v>354</v>
      </c>
      <c r="B370" s="69" t="s">
        <v>79</v>
      </c>
      <c r="C370" s="69" t="s">
        <v>80</v>
      </c>
      <c r="D370" s="70" t="s">
        <v>841</v>
      </c>
      <c r="E370" s="69" t="s">
        <v>1936</v>
      </c>
      <c r="F370" s="69" t="s">
        <v>246</v>
      </c>
      <c r="G370" s="69" t="s">
        <v>54</v>
      </c>
      <c r="H370" s="70">
        <v>2021</v>
      </c>
      <c r="I370" s="69" t="s">
        <v>63</v>
      </c>
      <c r="J370" s="69" t="s">
        <v>1972</v>
      </c>
      <c r="K370" s="71" t="s">
        <v>1973</v>
      </c>
      <c r="L370" s="71" t="s">
        <v>1974</v>
      </c>
      <c r="M370" s="71" t="s">
        <v>1975</v>
      </c>
      <c r="N370" s="69" t="s">
        <v>57</v>
      </c>
      <c r="O370" s="64">
        <v>1</v>
      </c>
      <c r="P370" s="72">
        <v>17500</v>
      </c>
      <c r="Q370" s="69" t="s">
        <v>1976</v>
      </c>
      <c r="R370" s="69"/>
      <c r="S370" s="68" t="s">
        <v>1935</v>
      </c>
      <c r="T370" s="56">
        <v>4</v>
      </c>
      <c r="U370" s="56">
        <v>3</v>
      </c>
    </row>
    <row r="371" spans="1:21" ht="14.25" customHeight="1" x14ac:dyDescent="0.35">
      <c r="A371" s="47">
        <v>355</v>
      </c>
      <c r="B371" s="69" t="s">
        <v>79</v>
      </c>
      <c r="C371" s="69" t="s">
        <v>80</v>
      </c>
      <c r="D371" s="70" t="s">
        <v>904</v>
      </c>
      <c r="E371" s="69" t="s">
        <v>1936</v>
      </c>
      <c r="F371" s="69" t="s">
        <v>246</v>
      </c>
      <c r="G371" s="69" t="s">
        <v>54</v>
      </c>
      <c r="H371" s="70">
        <v>2021</v>
      </c>
      <c r="I371" s="69" t="s">
        <v>63</v>
      </c>
      <c r="J371" s="69" t="s">
        <v>1977</v>
      </c>
      <c r="K371" s="71" t="s">
        <v>1978</v>
      </c>
      <c r="L371" s="71" t="s">
        <v>1979</v>
      </c>
      <c r="M371" s="71" t="s">
        <v>1980</v>
      </c>
      <c r="N371" s="69" t="s">
        <v>57</v>
      </c>
      <c r="O371" s="64">
        <v>1</v>
      </c>
      <c r="P371" s="72">
        <v>17500</v>
      </c>
      <c r="Q371" s="69" t="s">
        <v>1981</v>
      </c>
      <c r="R371" s="69"/>
      <c r="S371" s="68" t="s">
        <v>1935</v>
      </c>
      <c r="T371" s="56">
        <v>4</v>
      </c>
      <c r="U371" s="56">
        <v>3</v>
      </c>
    </row>
    <row r="372" spans="1:21" ht="14.25" customHeight="1" thickBot="1" x14ac:dyDescent="0.4">
      <c r="A372" s="58">
        <v>356</v>
      </c>
      <c r="B372" s="69" t="s">
        <v>79</v>
      </c>
      <c r="C372" s="69" t="s">
        <v>80</v>
      </c>
      <c r="D372" s="70" t="s">
        <v>122</v>
      </c>
      <c r="E372" s="69" t="s">
        <v>1936</v>
      </c>
      <c r="F372" s="69" t="s">
        <v>246</v>
      </c>
      <c r="G372" s="69" t="s">
        <v>54</v>
      </c>
      <c r="H372" s="70">
        <v>2021</v>
      </c>
      <c r="I372" s="69" t="s">
        <v>63</v>
      </c>
      <c r="J372" s="69" t="s">
        <v>1982</v>
      </c>
      <c r="K372" s="71" t="s">
        <v>1983</v>
      </c>
      <c r="L372" s="71" t="s">
        <v>1984</v>
      </c>
      <c r="M372" s="71" t="s">
        <v>1985</v>
      </c>
      <c r="N372" s="69" t="s">
        <v>57</v>
      </c>
      <c r="O372" s="64">
        <v>1</v>
      </c>
      <c r="P372" s="72">
        <v>17500</v>
      </c>
      <c r="Q372" s="69" t="s">
        <v>1986</v>
      </c>
      <c r="R372" s="69"/>
      <c r="S372" s="68" t="s">
        <v>1935</v>
      </c>
      <c r="T372" s="56">
        <v>4</v>
      </c>
      <c r="U372" s="56">
        <v>3</v>
      </c>
    </row>
    <row r="373" spans="1:21" ht="14.25" customHeight="1" x14ac:dyDescent="0.35">
      <c r="A373" s="47">
        <v>357</v>
      </c>
      <c r="B373" s="69" t="s">
        <v>79</v>
      </c>
      <c r="C373" s="69" t="s">
        <v>80</v>
      </c>
      <c r="D373" s="70" t="s">
        <v>126</v>
      </c>
      <c r="E373" s="69" t="s">
        <v>1987</v>
      </c>
      <c r="F373" s="69" t="s">
        <v>1988</v>
      </c>
      <c r="G373" s="69" t="s">
        <v>54</v>
      </c>
      <c r="H373" s="70">
        <v>2023</v>
      </c>
      <c r="I373" s="69" t="s">
        <v>63</v>
      </c>
      <c r="J373" s="69" t="s">
        <v>1989</v>
      </c>
      <c r="K373" s="71" t="s">
        <v>1990</v>
      </c>
      <c r="L373" s="71" t="s">
        <v>1991</v>
      </c>
      <c r="M373" s="71" t="s">
        <v>1992</v>
      </c>
      <c r="N373" s="69" t="s">
        <v>44</v>
      </c>
      <c r="O373" s="64">
        <v>1</v>
      </c>
      <c r="P373" s="72">
        <v>30465</v>
      </c>
      <c r="Q373" s="69" t="s">
        <v>1993</v>
      </c>
      <c r="R373" s="69"/>
      <c r="S373" s="68" t="s">
        <v>1935</v>
      </c>
      <c r="T373" s="56">
        <v>4</v>
      </c>
      <c r="U373" s="56">
        <v>3</v>
      </c>
    </row>
    <row r="374" spans="1:21" ht="14.25" customHeight="1" thickBot="1" x14ac:dyDescent="0.4">
      <c r="A374" s="58">
        <v>358</v>
      </c>
      <c r="B374" s="69" t="s">
        <v>79</v>
      </c>
      <c r="C374" s="69" t="s">
        <v>80</v>
      </c>
      <c r="D374" s="70" t="s">
        <v>132</v>
      </c>
      <c r="E374" s="69" t="s">
        <v>1994</v>
      </c>
      <c r="F374" s="69" t="s">
        <v>1988</v>
      </c>
      <c r="G374" s="69" t="s">
        <v>54</v>
      </c>
      <c r="H374" s="70">
        <v>2023</v>
      </c>
      <c r="I374" s="69" t="s">
        <v>63</v>
      </c>
      <c r="J374" s="69" t="s">
        <v>1995</v>
      </c>
      <c r="K374" s="71" t="s">
        <v>1996</v>
      </c>
      <c r="L374" s="71" t="s">
        <v>1997</v>
      </c>
      <c r="M374" s="71" t="s">
        <v>1998</v>
      </c>
      <c r="N374" s="69" t="s">
        <v>44</v>
      </c>
      <c r="O374" s="64">
        <v>1</v>
      </c>
      <c r="P374" s="72">
        <v>30465</v>
      </c>
      <c r="Q374" s="69" t="s">
        <v>1999</v>
      </c>
      <c r="R374" s="69"/>
      <c r="S374" s="68" t="s">
        <v>1935</v>
      </c>
      <c r="T374" s="56">
        <v>4</v>
      </c>
      <c r="U374" s="56">
        <v>3</v>
      </c>
    </row>
    <row r="375" spans="1:21" ht="14.25" customHeight="1" x14ac:dyDescent="0.35">
      <c r="A375" s="47">
        <v>359</v>
      </c>
      <c r="B375" s="69" t="s">
        <v>79</v>
      </c>
      <c r="C375" s="69" t="s">
        <v>80</v>
      </c>
      <c r="D375" s="70" t="s">
        <v>137</v>
      </c>
      <c r="E375" s="69" t="s">
        <v>1987</v>
      </c>
      <c r="F375" s="69" t="s">
        <v>1988</v>
      </c>
      <c r="G375" s="69" t="s">
        <v>54</v>
      </c>
      <c r="H375" s="70">
        <v>2023</v>
      </c>
      <c r="I375" s="69" t="s">
        <v>63</v>
      </c>
      <c r="J375" s="69" t="s">
        <v>2000</v>
      </c>
      <c r="K375" s="71" t="s">
        <v>2001</v>
      </c>
      <c r="L375" s="71" t="s">
        <v>2002</v>
      </c>
      <c r="M375" s="71" t="s">
        <v>2003</v>
      </c>
      <c r="N375" s="69" t="s">
        <v>44</v>
      </c>
      <c r="O375" s="64">
        <v>1</v>
      </c>
      <c r="P375" s="72">
        <v>30465</v>
      </c>
      <c r="Q375" s="69" t="s">
        <v>2004</v>
      </c>
      <c r="R375" s="69"/>
      <c r="S375" s="68" t="s">
        <v>1935</v>
      </c>
      <c r="T375" s="56">
        <v>4</v>
      </c>
      <c r="U375" s="56">
        <v>3</v>
      </c>
    </row>
    <row r="376" spans="1:21" ht="14.25" customHeight="1" thickBot="1" x14ac:dyDescent="0.4">
      <c r="A376" s="58">
        <v>360</v>
      </c>
      <c r="B376" s="69" t="s">
        <v>79</v>
      </c>
      <c r="C376" s="69" t="s">
        <v>80</v>
      </c>
      <c r="D376" s="70" t="s">
        <v>146</v>
      </c>
      <c r="E376" s="69" t="s">
        <v>1987</v>
      </c>
      <c r="F376" s="69" t="s">
        <v>1988</v>
      </c>
      <c r="G376" s="69" t="s">
        <v>54</v>
      </c>
      <c r="H376" s="70">
        <v>2023</v>
      </c>
      <c r="I376" s="69" t="s">
        <v>63</v>
      </c>
      <c r="J376" s="69" t="s">
        <v>2005</v>
      </c>
      <c r="K376" s="71" t="s">
        <v>2006</v>
      </c>
      <c r="L376" s="71" t="s">
        <v>2007</v>
      </c>
      <c r="M376" s="71" t="s">
        <v>2008</v>
      </c>
      <c r="N376" s="69" t="s">
        <v>44</v>
      </c>
      <c r="O376" s="64">
        <v>1</v>
      </c>
      <c r="P376" s="72">
        <v>30465</v>
      </c>
      <c r="Q376" s="69" t="s">
        <v>2009</v>
      </c>
      <c r="R376" s="69"/>
      <c r="S376" s="68" t="s">
        <v>1935</v>
      </c>
      <c r="T376" s="56">
        <v>4</v>
      </c>
      <c r="U376" s="56">
        <v>3</v>
      </c>
    </row>
    <row r="377" spans="1:21" ht="14.25" customHeight="1" x14ac:dyDescent="0.35">
      <c r="A377" s="47">
        <v>361</v>
      </c>
      <c r="B377" s="69" t="s">
        <v>79</v>
      </c>
      <c r="C377" s="69" t="s">
        <v>80</v>
      </c>
      <c r="D377" s="70" t="s">
        <v>154</v>
      </c>
      <c r="E377" s="69" t="s">
        <v>1987</v>
      </c>
      <c r="F377" s="69" t="s">
        <v>1988</v>
      </c>
      <c r="G377" s="69" t="s">
        <v>54</v>
      </c>
      <c r="H377" s="70">
        <v>2023</v>
      </c>
      <c r="I377" s="69" t="s">
        <v>63</v>
      </c>
      <c r="J377" s="69" t="s">
        <v>2010</v>
      </c>
      <c r="K377" s="71" t="s">
        <v>2011</v>
      </c>
      <c r="L377" s="71" t="s">
        <v>2012</v>
      </c>
      <c r="M377" s="71" t="s">
        <v>2013</v>
      </c>
      <c r="N377" s="69" t="s">
        <v>44</v>
      </c>
      <c r="O377" s="64">
        <v>1</v>
      </c>
      <c r="P377" s="72">
        <v>30465</v>
      </c>
      <c r="Q377" s="69" t="s">
        <v>1852</v>
      </c>
      <c r="R377" s="69"/>
      <c r="S377" s="68" t="s">
        <v>1935</v>
      </c>
      <c r="T377" s="56">
        <v>4</v>
      </c>
      <c r="U377" s="56">
        <v>3</v>
      </c>
    </row>
    <row r="378" spans="1:21" ht="14.25" customHeight="1" thickBot="1" x14ac:dyDescent="0.4">
      <c r="A378" s="58">
        <v>362</v>
      </c>
      <c r="B378" s="69" t="s">
        <v>1553</v>
      </c>
      <c r="C378" s="69" t="s">
        <v>1554</v>
      </c>
      <c r="D378" s="70" t="s">
        <v>51</v>
      </c>
      <c r="E378" s="69" t="s">
        <v>2014</v>
      </c>
      <c r="F378" s="69" t="s">
        <v>2015</v>
      </c>
      <c r="G378" s="69" t="s">
        <v>415</v>
      </c>
      <c r="H378" s="70">
        <v>2022</v>
      </c>
      <c r="I378" s="69"/>
      <c r="J378" s="69" t="s">
        <v>2016</v>
      </c>
      <c r="K378" s="71" t="s">
        <v>2017</v>
      </c>
      <c r="L378" s="71" t="s">
        <v>2018</v>
      </c>
      <c r="M378" s="71" t="s">
        <v>2019</v>
      </c>
      <c r="N378" s="69" t="s">
        <v>44</v>
      </c>
      <c r="O378" s="64">
        <v>1</v>
      </c>
      <c r="P378" s="72">
        <v>650000</v>
      </c>
      <c r="Q378" s="69"/>
      <c r="R378" s="69"/>
      <c r="S378" s="68" t="s">
        <v>1935</v>
      </c>
      <c r="T378" s="56">
        <v>4</v>
      </c>
      <c r="U378" s="56">
        <v>4</v>
      </c>
    </row>
    <row r="379" spans="1:21" ht="14.25" customHeight="1" x14ac:dyDescent="0.35">
      <c r="A379" s="47">
        <v>363</v>
      </c>
      <c r="B379" s="69" t="s">
        <v>2020</v>
      </c>
      <c r="C379" s="69" t="s">
        <v>2021</v>
      </c>
      <c r="D379" s="70" t="s">
        <v>51</v>
      </c>
      <c r="E379" s="69" t="s">
        <v>2022</v>
      </c>
      <c r="F379" s="69" t="s">
        <v>2023</v>
      </c>
      <c r="G379" s="69" t="s">
        <v>140</v>
      </c>
      <c r="H379" s="70">
        <v>2008</v>
      </c>
      <c r="I379" s="69"/>
      <c r="J379" s="69" t="s">
        <v>2024</v>
      </c>
      <c r="K379" s="71" t="s">
        <v>2025</v>
      </c>
      <c r="L379" s="71" t="s">
        <v>2026</v>
      </c>
      <c r="M379" s="71" t="s">
        <v>2027</v>
      </c>
      <c r="N379" s="69" t="s">
        <v>57</v>
      </c>
      <c r="O379" s="64">
        <v>1</v>
      </c>
      <c r="P379" s="72">
        <v>241500</v>
      </c>
      <c r="Q379" s="69" t="s">
        <v>2028</v>
      </c>
      <c r="R379" s="69"/>
      <c r="S379" s="68" t="s">
        <v>106</v>
      </c>
      <c r="T379" s="56">
        <v>5</v>
      </c>
      <c r="U379" s="56">
        <v>6</v>
      </c>
    </row>
    <row r="380" spans="1:21" ht="14.25" customHeight="1" thickBot="1" x14ac:dyDescent="0.4">
      <c r="A380" s="58">
        <v>364</v>
      </c>
      <c r="B380" s="69" t="s">
        <v>2020</v>
      </c>
      <c r="C380" s="69" t="s">
        <v>2021</v>
      </c>
      <c r="D380" s="70" t="s">
        <v>59</v>
      </c>
      <c r="E380" s="69" t="s">
        <v>2029</v>
      </c>
      <c r="F380" s="69" t="s">
        <v>2030</v>
      </c>
      <c r="G380" s="69" t="s">
        <v>62</v>
      </c>
      <c r="H380" s="70">
        <v>2017</v>
      </c>
      <c r="I380" s="69" t="s">
        <v>63</v>
      </c>
      <c r="J380" s="69" t="s">
        <v>2031</v>
      </c>
      <c r="K380" s="71" t="s">
        <v>2032</v>
      </c>
      <c r="L380" s="71" t="s">
        <v>2033</v>
      </c>
      <c r="M380" s="71" t="s">
        <v>2034</v>
      </c>
      <c r="N380" s="69" t="s">
        <v>57</v>
      </c>
      <c r="O380" s="64">
        <v>1</v>
      </c>
      <c r="P380" s="72">
        <v>376723.01500000001</v>
      </c>
      <c r="Q380" s="69" t="s">
        <v>2035</v>
      </c>
      <c r="R380" s="69"/>
      <c r="S380" s="68" t="s">
        <v>106</v>
      </c>
      <c r="T380" s="56">
        <v>5</v>
      </c>
      <c r="U380" s="56">
        <v>6</v>
      </c>
    </row>
    <row r="381" spans="1:21" ht="14.25" customHeight="1" x14ac:dyDescent="0.35">
      <c r="A381" s="47">
        <v>365</v>
      </c>
      <c r="B381" s="69" t="s">
        <v>2020</v>
      </c>
      <c r="C381" s="69" t="s">
        <v>2021</v>
      </c>
      <c r="D381" s="70" t="s">
        <v>97</v>
      </c>
      <c r="E381" s="69" t="s">
        <v>2036</v>
      </c>
      <c r="F381" s="69" t="s">
        <v>2030</v>
      </c>
      <c r="G381" s="69" t="s">
        <v>62</v>
      </c>
      <c r="H381" s="70">
        <v>2019</v>
      </c>
      <c r="I381" s="69" t="s">
        <v>2037</v>
      </c>
      <c r="J381" s="69" t="s">
        <v>2038</v>
      </c>
      <c r="K381" s="71" t="s">
        <v>2039</v>
      </c>
      <c r="L381" s="71" t="s">
        <v>2040</v>
      </c>
      <c r="M381" s="71" t="s">
        <v>2041</v>
      </c>
      <c r="N381" s="69" t="s">
        <v>57</v>
      </c>
      <c r="O381" s="64">
        <v>1</v>
      </c>
      <c r="P381" s="72">
        <v>399000</v>
      </c>
      <c r="Q381" s="69" t="s">
        <v>2042</v>
      </c>
      <c r="R381" s="69"/>
      <c r="S381" s="68" t="s">
        <v>106</v>
      </c>
      <c r="T381" s="56">
        <v>5</v>
      </c>
      <c r="U381" s="56">
        <v>6</v>
      </c>
    </row>
    <row r="382" spans="1:21" ht="14.25" customHeight="1" thickBot="1" x14ac:dyDescent="0.4">
      <c r="A382" s="58">
        <v>366</v>
      </c>
      <c r="B382" s="69" t="s">
        <v>2043</v>
      </c>
      <c r="C382" s="69" t="s">
        <v>2044</v>
      </c>
      <c r="D382" s="70" t="s">
        <v>51</v>
      </c>
      <c r="E382" s="69" t="s">
        <v>2045</v>
      </c>
      <c r="F382" s="93">
        <v>7684</v>
      </c>
      <c r="G382" s="69" t="s">
        <v>62</v>
      </c>
      <c r="H382" s="70">
        <v>2016</v>
      </c>
      <c r="I382" s="69"/>
      <c r="J382" s="69"/>
      <c r="K382" s="71"/>
      <c r="L382" s="71"/>
      <c r="M382" s="71"/>
      <c r="N382" s="69" t="s">
        <v>57</v>
      </c>
      <c r="O382" s="64">
        <v>1</v>
      </c>
      <c r="P382" s="72">
        <v>1300000</v>
      </c>
      <c r="Q382" s="69" t="s">
        <v>2046</v>
      </c>
      <c r="R382" s="69"/>
      <c r="S382" s="68" t="s">
        <v>106</v>
      </c>
      <c r="T382" s="56">
        <v>5</v>
      </c>
      <c r="U382" s="56">
        <v>6</v>
      </c>
    </row>
    <row r="383" spans="1:21" ht="14.25" customHeight="1" x14ac:dyDescent="0.35">
      <c r="A383" s="47">
        <v>367</v>
      </c>
      <c r="B383" s="69" t="s">
        <v>2043</v>
      </c>
      <c r="C383" s="69" t="s">
        <v>2044</v>
      </c>
      <c r="D383" s="70" t="s">
        <v>59</v>
      </c>
      <c r="E383" s="69" t="s">
        <v>2047</v>
      </c>
      <c r="F383" s="69" t="s">
        <v>2048</v>
      </c>
      <c r="G383" s="69" t="s">
        <v>62</v>
      </c>
      <c r="H383" s="70">
        <v>2019</v>
      </c>
      <c r="I383" s="69" t="s">
        <v>63</v>
      </c>
      <c r="J383" s="69" t="s">
        <v>63</v>
      </c>
      <c r="K383" s="71" t="s">
        <v>63</v>
      </c>
      <c r="L383" s="71" t="s">
        <v>63</v>
      </c>
      <c r="M383" s="71" t="s">
        <v>63</v>
      </c>
      <c r="N383" s="69" t="s">
        <v>57</v>
      </c>
      <c r="O383" s="64">
        <v>1</v>
      </c>
      <c r="P383" s="72">
        <v>1497445</v>
      </c>
      <c r="Q383" s="69" t="s">
        <v>2049</v>
      </c>
      <c r="R383" s="69"/>
      <c r="S383" s="68" t="s">
        <v>106</v>
      </c>
      <c r="T383" s="56">
        <v>5</v>
      </c>
      <c r="U383" s="56">
        <v>6</v>
      </c>
    </row>
    <row r="384" spans="1:21" ht="14.25" customHeight="1" thickBot="1" x14ac:dyDescent="0.4">
      <c r="A384" s="58">
        <v>368</v>
      </c>
      <c r="B384" s="69" t="s">
        <v>1806</v>
      </c>
      <c r="C384" s="69" t="s">
        <v>1807</v>
      </c>
      <c r="D384" s="70" t="s">
        <v>51</v>
      </c>
      <c r="E384" s="69" t="s">
        <v>2050</v>
      </c>
      <c r="F384" s="69" t="s">
        <v>1595</v>
      </c>
      <c r="G384" s="69" t="s">
        <v>140</v>
      </c>
      <c r="H384" s="70">
        <v>2015</v>
      </c>
      <c r="I384" s="69" t="s">
        <v>2051</v>
      </c>
      <c r="J384" s="69" t="s">
        <v>2052</v>
      </c>
      <c r="K384" s="71" t="s">
        <v>2053</v>
      </c>
      <c r="L384" s="71" t="s">
        <v>2054</v>
      </c>
      <c r="M384" s="71" t="s">
        <v>2055</v>
      </c>
      <c r="N384" s="69" t="s">
        <v>57</v>
      </c>
      <c r="O384" s="64">
        <v>1</v>
      </c>
      <c r="P384" s="72">
        <v>318490</v>
      </c>
      <c r="Q384" s="69" t="s">
        <v>2056</v>
      </c>
      <c r="R384" s="69"/>
      <c r="S384" s="68" t="s">
        <v>106</v>
      </c>
      <c r="T384" s="56">
        <v>5</v>
      </c>
      <c r="U384" s="56">
        <v>4</v>
      </c>
    </row>
    <row r="385" spans="1:21" ht="14.25" customHeight="1" x14ac:dyDescent="0.35">
      <c r="A385" s="47">
        <v>369</v>
      </c>
      <c r="B385" s="69" t="s">
        <v>2057</v>
      </c>
      <c r="C385" s="69" t="s">
        <v>2058</v>
      </c>
      <c r="D385" s="70" t="s">
        <v>51</v>
      </c>
      <c r="E385" s="69" t="s">
        <v>63</v>
      </c>
      <c r="F385" s="94">
        <v>1987</v>
      </c>
      <c r="G385" s="95" t="s">
        <v>247</v>
      </c>
      <c r="H385" s="70">
        <v>2023</v>
      </c>
      <c r="I385" s="69" t="s">
        <v>63</v>
      </c>
      <c r="J385" s="95" t="s">
        <v>2059</v>
      </c>
      <c r="K385" s="96" t="s">
        <v>2060</v>
      </c>
      <c r="L385" s="97" t="s">
        <v>2061</v>
      </c>
      <c r="M385" s="96" t="s">
        <v>2062</v>
      </c>
      <c r="N385" s="69" t="s">
        <v>44</v>
      </c>
      <c r="O385" s="64">
        <v>1</v>
      </c>
      <c r="P385" s="72">
        <v>632400</v>
      </c>
      <c r="Q385" s="69" t="s">
        <v>2063</v>
      </c>
      <c r="R385" s="69"/>
      <c r="S385" s="68" t="s">
        <v>106</v>
      </c>
      <c r="T385" s="56">
        <v>5</v>
      </c>
      <c r="U385" s="56">
        <v>4</v>
      </c>
    </row>
    <row r="386" spans="1:21" ht="14.25" customHeight="1" thickBot="1" x14ac:dyDescent="0.4">
      <c r="A386" s="58">
        <v>370</v>
      </c>
      <c r="B386" s="69" t="s">
        <v>2064</v>
      </c>
      <c r="C386" s="69" t="s">
        <v>2065</v>
      </c>
      <c r="D386" s="70" t="s">
        <v>51</v>
      </c>
      <c r="E386" s="69" t="s">
        <v>2066</v>
      </c>
      <c r="F386" s="69"/>
      <c r="G386" s="69" t="s">
        <v>63</v>
      </c>
      <c r="H386" s="70">
        <v>2024</v>
      </c>
      <c r="I386" s="69" t="s">
        <v>63</v>
      </c>
      <c r="J386" s="69" t="s">
        <v>63</v>
      </c>
      <c r="K386" s="71" t="s">
        <v>63</v>
      </c>
      <c r="L386" s="71" t="s">
        <v>63</v>
      </c>
      <c r="M386" s="71" t="s">
        <v>63</v>
      </c>
      <c r="N386" s="69" t="s">
        <v>44</v>
      </c>
      <c r="O386" s="64">
        <v>1</v>
      </c>
      <c r="P386" s="72">
        <v>585000</v>
      </c>
      <c r="Q386" s="69" t="s">
        <v>2067</v>
      </c>
      <c r="R386" s="69"/>
      <c r="S386" s="68" t="s">
        <v>106</v>
      </c>
      <c r="T386" s="56">
        <v>5</v>
      </c>
      <c r="U386" s="56">
        <v>6</v>
      </c>
    </row>
    <row r="387" spans="1:21" ht="14.25" customHeight="1" x14ac:dyDescent="0.35">
      <c r="A387" s="47">
        <v>371</v>
      </c>
      <c r="B387" s="69" t="s">
        <v>70</v>
      </c>
      <c r="C387" s="69" t="s">
        <v>71</v>
      </c>
      <c r="D387" s="70" t="s">
        <v>51</v>
      </c>
      <c r="E387" s="69" t="s">
        <v>2068</v>
      </c>
      <c r="F387" s="69" t="s">
        <v>1683</v>
      </c>
      <c r="G387" s="69" t="s">
        <v>140</v>
      </c>
      <c r="H387" s="70">
        <v>2015</v>
      </c>
      <c r="I387" s="69"/>
      <c r="J387" s="69" t="s">
        <v>2069</v>
      </c>
      <c r="K387" s="71" t="s">
        <v>2070</v>
      </c>
      <c r="L387" s="71" t="s">
        <v>2071</v>
      </c>
      <c r="M387" s="71" t="s">
        <v>2072</v>
      </c>
      <c r="N387" s="69" t="s">
        <v>57</v>
      </c>
      <c r="O387" s="64">
        <v>1</v>
      </c>
      <c r="P387" s="72">
        <v>381520</v>
      </c>
      <c r="Q387" s="69" t="s">
        <v>2073</v>
      </c>
      <c r="R387" s="69"/>
      <c r="S387" s="68" t="s">
        <v>106</v>
      </c>
      <c r="T387" s="56">
        <v>5</v>
      </c>
      <c r="U387" s="56">
        <v>4</v>
      </c>
    </row>
    <row r="388" spans="1:21" ht="14.25" customHeight="1" thickBot="1" x14ac:dyDescent="0.4">
      <c r="A388" s="58">
        <v>372</v>
      </c>
      <c r="B388" s="69" t="s">
        <v>70</v>
      </c>
      <c r="C388" s="69" t="s">
        <v>71</v>
      </c>
      <c r="D388" s="70" t="s">
        <v>97</v>
      </c>
      <c r="E388" s="69" t="s">
        <v>2074</v>
      </c>
      <c r="F388" s="93">
        <v>2.3929999999999998</v>
      </c>
      <c r="G388" s="95" t="s">
        <v>247</v>
      </c>
      <c r="H388" s="70">
        <v>2023</v>
      </c>
      <c r="I388" s="69" t="s">
        <v>63</v>
      </c>
      <c r="J388" s="98" t="s">
        <v>2075</v>
      </c>
      <c r="K388" s="99" t="s">
        <v>2076</v>
      </c>
      <c r="L388" s="100" t="s">
        <v>2077</v>
      </c>
      <c r="M388" s="99" t="s">
        <v>2078</v>
      </c>
      <c r="N388" s="69" t="s">
        <v>44</v>
      </c>
      <c r="O388" s="64">
        <v>1</v>
      </c>
      <c r="P388" s="72">
        <v>465500</v>
      </c>
      <c r="Q388" s="69" t="s">
        <v>2079</v>
      </c>
      <c r="R388" s="69"/>
      <c r="S388" s="68" t="s">
        <v>106</v>
      </c>
      <c r="T388" s="56">
        <v>5</v>
      </c>
      <c r="U388" s="56">
        <v>4</v>
      </c>
    </row>
    <row r="389" spans="1:21" ht="14.25" customHeight="1" x14ac:dyDescent="0.35">
      <c r="A389" s="47">
        <v>373</v>
      </c>
      <c r="B389" s="69" t="s">
        <v>70</v>
      </c>
      <c r="C389" s="69" t="s">
        <v>71</v>
      </c>
      <c r="D389" s="70" t="s">
        <v>101</v>
      </c>
      <c r="E389" s="69" t="s">
        <v>2080</v>
      </c>
      <c r="F389" s="94"/>
      <c r="H389" s="70">
        <v>2026</v>
      </c>
      <c r="I389" s="101" t="s">
        <v>63</v>
      </c>
      <c r="J389" t="s">
        <v>7858</v>
      </c>
      <c r="K389" s="96" t="s">
        <v>7859</v>
      </c>
      <c r="L389" s="97" t="s">
        <v>7860</v>
      </c>
      <c r="M389" s="96"/>
      <c r="N389" s="102" t="s">
        <v>44</v>
      </c>
      <c r="O389" s="64">
        <v>1</v>
      </c>
      <c r="P389" s="72">
        <v>433800</v>
      </c>
      <c r="Q389" s="69" t="s">
        <v>2081</v>
      </c>
      <c r="R389" s="69"/>
      <c r="S389" s="68" t="s">
        <v>106</v>
      </c>
      <c r="T389" s="56">
        <v>5</v>
      </c>
      <c r="U389" s="56">
        <v>4</v>
      </c>
    </row>
    <row r="390" spans="1:21" ht="14.25" customHeight="1" thickBot="1" x14ac:dyDescent="0.4">
      <c r="A390" s="58">
        <v>374</v>
      </c>
      <c r="B390" s="69" t="s">
        <v>2082</v>
      </c>
      <c r="C390" s="69" t="s">
        <v>2083</v>
      </c>
      <c r="D390" s="70" t="s">
        <v>51</v>
      </c>
      <c r="E390" s="69" t="s">
        <v>63</v>
      </c>
      <c r="F390" s="94">
        <v>2.3929999999999998</v>
      </c>
      <c r="G390" s="95" t="s">
        <v>247</v>
      </c>
      <c r="H390" s="70">
        <v>2023</v>
      </c>
      <c r="I390" s="101" t="s">
        <v>63</v>
      </c>
      <c r="J390" s="95" t="s">
        <v>2084</v>
      </c>
      <c r="K390" s="96" t="s">
        <v>2085</v>
      </c>
      <c r="L390" s="97" t="s">
        <v>2086</v>
      </c>
      <c r="M390" s="97" t="s">
        <v>2087</v>
      </c>
      <c r="N390" s="102" t="s">
        <v>44</v>
      </c>
      <c r="O390" s="64">
        <v>1</v>
      </c>
      <c r="P390" s="72">
        <v>470900</v>
      </c>
      <c r="Q390" s="69" t="s">
        <v>2088</v>
      </c>
      <c r="R390" s="69"/>
      <c r="S390" s="68" t="s">
        <v>106</v>
      </c>
      <c r="T390" s="56">
        <v>5</v>
      </c>
      <c r="U390" s="56">
        <v>4</v>
      </c>
    </row>
    <row r="391" spans="1:21" ht="14.25" customHeight="1" x14ac:dyDescent="0.35">
      <c r="A391" s="47">
        <v>375</v>
      </c>
      <c r="B391" s="69" t="s">
        <v>2082</v>
      </c>
      <c r="C391" s="69" t="s">
        <v>2083</v>
      </c>
      <c r="D391" s="70" t="s">
        <v>59</v>
      </c>
      <c r="E391" s="69" t="s">
        <v>63</v>
      </c>
      <c r="F391" s="94">
        <v>2393</v>
      </c>
      <c r="G391" s="95" t="s">
        <v>247</v>
      </c>
      <c r="H391" s="70">
        <v>2023</v>
      </c>
      <c r="I391" s="101" t="s">
        <v>63</v>
      </c>
      <c r="J391" s="95" t="s">
        <v>2089</v>
      </c>
      <c r="K391" s="96" t="s">
        <v>2090</v>
      </c>
      <c r="L391" s="97" t="s">
        <v>2091</v>
      </c>
      <c r="M391" s="96" t="s">
        <v>2092</v>
      </c>
      <c r="N391" s="102" t="s">
        <v>44</v>
      </c>
      <c r="O391" s="64">
        <v>1</v>
      </c>
      <c r="P391" s="72">
        <v>470900</v>
      </c>
      <c r="Q391" s="69" t="s">
        <v>2093</v>
      </c>
      <c r="R391" s="69"/>
      <c r="S391" s="68" t="s">
        <v>106</v>
      </c>
      <c r="T391" s="56">
        <v>5</v>
      </c>
      <c r="U391" s="56">
        <v>4</v>
      </c>
    </row>
    <row r="392" spans="1:21" ht="14.25" customHeight="1" thickBot="1" x14ac:dyDescent="0.4">
      <c r="A392" s="58">
        <v>376</v>
      </c>
      <c r="B392" s="69" t="s">
        <v>79</v>
      </c>
      <c r="C392" s="69" t="s">
        <v>80</v>
      </c>
      <c r="D392" s="70" t="s">
        <v>51</v>
      </c>
      <c r="E392" s="69" t="s">
        <v>2094</v>
      </c>
      <c r="F392" s="69" t="s">
        <v>82</v>
      </c>
      <c r="G392" s="69" t="s">
        <v>54</v>
      </c>
      <c r="H392" s="70">
        <v>2002</v>
      </c>
      <c r="I392" s="69"/>
      <c r="J392" s="103" t="s">
        <v>2095</v>
      </c>
      <c r="K392" s="104" t="s">
        <v>2096</v>
      </c>
      <c r="L392" s="104" t="s">
        <v>2097</v>
      </c>
      <c r="M392" s="104" t="s">
        <v>2098</v>
      </c>
      <c r="N392" s="69" t="s">
        <v>57</v>
      </c>
      <c r="O392" s="64">
        <v>1</v>
      </c>
      <c r="P392" s="72">
        <v>15500</v>
      </c>
      <c r="Q392" s="69" t="s">
        <v>2099</v>
      </c>
      <c r="R392" s="69"/>
      <c r="S392" s="68" t="s">
        <v>106</v>
      </c>
      <c r="T392" s="56">
        <v>5</v>
      </c>
      <c r="U392" s="56">
        <v>3</v>
      </c>
    </row>
    <row r="393" spans="1:21" ht="14.25" customHeight="1" x14ac:dyDescent="0.35">
      <c r="A393" s="47">
        <v>377</v>
      </c>
      <c r="B393" s="69" t="s">
        <v>79</v>
      </c>
      <c r="C393" s="69" t="s">
        <v>80</v>
      </c>
      <c r="D393" s="70" t="s">
        <v>59</v>
      </c>
      <c r="E393" s="69" t="s">
        <v>2100</v>
      </c>
      <c r="F393" s="69" t="s">
        <v>82</v>
      </c>
      <c r="G393" s="69" t="s">
        <v>54</v>
      </c>
      <c r="H393" s="70">
        <v>2003</v>
      </c>
      <c r="I393" s="69"/>
      <c r="J393" s="69" t="s">
        <v>2101</v>
      </c>
      <c r="K393" s="71" t="s">
        <v>2102</v>
      </c>
      <c r="L393" s="71" t="s">
        <v>2103</v>
      </c>
      <c r="M393" s="71" t="s">
        <v>2104</v>
      </c>
      <c r="N393" s="69" t="s">
        <v>57</v>
      </c>
      <c r="O393" s="64">
        <v>1</v>
      </c>
      <c r="P393" s="72">
        <v>12750</v>
      </c>
      <c r="Q393" s="69" t="s">
        <v>2105</v>
      </c>
      <c r="R393" s="69"/>
      <c r="S393" s="68" t="s">
        <v>106</v>
      </c>
      <c r="T393" s="56">
        <v>5</v>
      </c>
      <c r="U393" s="56">
        <v>3</v>
      </c>
    </row>
    <row r="394" spans="1:21" ht="14.25" customHeight="1" thickBot="1" x14ac:dyDescent="0.4">
      <c r="A394" s="58">
        <v>378</v>
      </c>
      <c r="B394" s="69" t="s">
        <v>79</v>
      </c>
      <c r="C394" s="69" t="s">
        <v>80</v>
      </c>
      <c r="D394" s="70" t="s">
        <v>97</v>
      </c>
      <c r="E394" s="69" t="s">
        <v>2100</v>
      </c>
      <c r="F394" s="69" t="s">
        <v>82</v>
      </c>
      <c r="G394" s="69" t="s">
        <v>54</v>
      </c>
      <c r="H394" s="70">
        <v>2004</v>
      </c>
      <c r="I394" s="69" t="s">
        <v>63</v>
      </c>
      <c r="J394" s="69" t="s">
        <v>2106</v>
      </c>
      <c r="K394" s="71" t="s">
        <v>2107</v>
      </c>
      <c r="L394" s="71" t="s">
        <v>2108</v>
      </c>
      <c r="M394" s="71" t="s">
        <v>2109</v>
      </c>
      <c r="N394" s="69" t="s">
        <v>57</v>
      </c>
      <c r="O394" s="64">
        <v>1</v>
      </c>
      <c r="P394" s="72">
        <v>12750</v>
      </c>
      <c r="Q394" s="69" t="s">
        <v>2105</v>
      </c>
      <c r="R394" s="69"/>
      <c r="S394" s="68" t="s">
        <v>106</v>
      </c>
      <c r="T394" s="56">
        <v>5</v>
      </c>
      <c r="U394" s="56">
        <v>3</v>
      </c>
    </row>
    <row r="395" spans="1:21" ht="14.25" customHeight="1" x14ac:dyDescent="0.35">
      <c r="A395" s="47">
        <v>379</v>
      </c>
      <c r="B395" s="69" t="s">
        <v>79</v>
      </c>
      <c r="C395" s="69" t="s">
        <v>80</v>
      </c>
      <c r="D395" s="70" t="s">
        <v>101</v>
      </c>
      <c r="E395" s="69" t="s">
        <v>1377</v>
      </c>
      <c r="F395" s="69" t="s">
        <v>1378</v>
      </c>
      <c r="G395" s="69" t="s">
        <v>140</v>
      </c>
      <c r="H395" s="70">
        <v>2014</v>
      </c>
      <c r="I395" s="69"/>
      <c r="J395" s="69" t="s">
        <v>2110</v>
      </c>
      <c r="K395" s="71" t="s">
        <v>2111</v>
      </c>
      <c r="L395" s="71" t="s">
        <v>2112</v>
      </c>
      <c r="M395" s="71" t="s">
        <v>2113</v>
      </c>
      <c r="N395" s="69" t="s">
        <v>57</v>
      </c>
      <c r="O395" s="64">
        <v>1</v>
      </c>
      <c r="P395" s="72">
        <v>19189.532999999999</v>
      </c>
      <c r="Q395" s="69" t="s">
        <v>2114</v>
      </c>
      <c r="R395" s="69"/>
      <c r="S395" s="68" t="s">
        <v>106</v>
      </c>
      <c r="T395" s="56">
        <v>5</v>
      </c>
      <c r="U395" s="56">
        <v>3</v>
      </c>
    </row>
    <row r="396" spans="1:21" ht="14.25" customHeight="1" thickBot="1" x14ac:dyDescent="0.4">
      <c r="A396" s="58">
        <v>380</v>
      </c>
      <c r="B396" s="69" t="s">
        <v>79</v>
      </c>
      <c r="C396" s="69" t="s">
        <v>80</v>
      </c>
      <c r="D396" s="70" t="s">
        <v>107</v>
      </c>
      <c r="E396" s="69" t="s">
        <v>2115</v>
      </c>
      <c r="F396" s="69" t="s">
        <v>2116</v>
      </c>
      <c r="G396" s="69" t="s">
        <v>54</v>
      </c>
      <c r="H396" s="70">
        <v>2014</v>
      </c>
      <c r="I396" s="69"/>
      <c r="J396" s="69" t="s">
        <v>2117</v>
      </c>
      <c r="K396" s="71" t="s">
        <v>2118</v>
      </c>
      <c r="L396" s="71" t="s">
        <v>2119</v>
      </c>
      <c r="M396" s="71" t="s">
        <v>2120</v>
      </c>
      <c r="N396" s="69" t="s">
        <v>57</v>
      </c>
      <c r="O396" s="64">
        <v>1</v>
      </c>
      <c r="P396" s="72">
        <v>26870</v>
      </c>
      <c r="Q396" s="69" t="s">
        <v>2121</v>
      </c>
      <c r="R396" s="69"/>
      <c r="S396" s="68" t="s">
        <v>106</v>
      </c>
      <c r="T396" s="56">
        <v>5</v>
      </c>
      <c r="U396" s="56">
        <v>3</v>
      </c>
    </row>
    <row r="397" spans="1:21" ht="14.25" customHeight="1" x14ac:dyDescent="0.35">
      <c r="A397" s="47">
        <v>381</v>
      </c>
      <c r="B397" s="69" t="s">
        <v>79</v>
      </c>
      <c r="C397" s="69" t="s">
        <v>80</v>
      </c>
      <c r="D397" s="70" t="s">
        <v>112</v>
      </c>
      <c r="E397" s="69" t="s">
        <v>2115</v>
      </c>
      <c r="F397" s="69" t="s">
        <v>2116</v>
      </c>
      <c r="G397" s="69" t="s">
        <v>54</v>
      </c>
      <c r="H397" s="70">
        <v>2014</v>
      </c>
      <c r="I397" s="69"/>
      <c r="J397" s="69" t="s">
        <v>2122</v>
      </c>
      <c r="K397" s="71" t="s">
        <v>2123</v>
      </c>
      <c r="L397" s="71" t="s">
        <v>2124</v>
      </c>
      <c r="M397" s="71" t="s">
        <v>2125</v>
      </c>
      <c r="N397" s="69" t="s">
        <v>57</v>
      </c>
      <c r="O397" s="64">
        <v>1</v>
      </c>
      <c r="P397" s="72">
        <v>26880</v>
      </c>
      <c r="Q397" s="69" t="s">
        <v>2126</v>
      </c>
      <c r="R397" s="69"/>
      <c r="S397" s="68" t="s">
        <v>106</v>
      </c>
      <c r="T397" s="56">
        <v>5</v>
      </c>
      <c r="U397" s="56">
        <v>3</v>
      </c>
    </row>
    <row r="398" spans="1:21" ht="14.25" customHeight="1" thickBot="1" x14ac:dyDescent="0.4">
      <c r="A398" s="58">
        <v>382</v>
      </c>
      <c r="B398" s="69" t="s">
        <v>79</v>
      </c>
      <c r="C398" s="69" t="s">
        <v>80</v>
      </c>
      <c r="D398" s="70" t="s">
        <v>116</v>
      </c>
      <c r="E398" s="69" t="s">
        <v>2115</v>
      </c>
      <c r="F398" s="69" t="s">
        <v>2116</v>
      </c>
      <c r="G398" s="69" t="s">
        <v>54</v>
      </c>
      <c r="H398" s="70">
        <v>2014</v>
      </c>
      <c r="I398" s="69"/>
      <c r="J398" s="69" t="s">
        <v>2127</v>
      </c>
      <c r="K398" s="71" t="s">
        <v>2128</v>
      </c>
      <c r="L398" s="71" t="s">
        <v>2129</v>
      </c>
      <c r="M398" s="71" t="s">
        <v>2130</v>
      </c>
      <c r="N398" s="69" t="s">
        <v>57</v>
      </c>
      <c r="O398" s="64">
        <v>1</v>
      </c>
      <c r="P398" s="72">
        <v>26880</v>
      </c>
      <c r="Q398" s="69" t="s">
        <v>2126</v>
      </c>
      <c r="R398" s="69"/>
      <c r="S398" s="68" t="s">
        <v>106</v>
      </c>
      <c r="T398" s="56">
        <v>5</v>
      </c>
      <c r="U398" s="56">
        <v>3</v>
      </c>
    </row>
    <row r="399" spans="1:21" ht="14.25" customHeight="1" x14ac:dyDescent="0.35">
      <c r="A399" s="47">
        <v>383</v>
      </c>
      <c r="B399" s="69" t="s">
        <v>79</v>
      </c>
      <c r="C399" s="69" t="s">
        <v>80</v>
      </c>
      <c r="D399" s="70" t="s">
        <v>841</v>
      </c>
      <c r="E399" s="69" t="s">
        <v>2115</v>
      </c>
      <c r="F399" s="69" t="s">
        <v>2116</v>
      </c>
      <c r="G399" s="69" t="s">
        <v>54</v>
      </c>
      <c r="H399" s="70">
        <v>2014</v>
      </c>
      <c r="I399" s="69"/>
      <c r="J399" s="69" t="s">
        <v>2131</v>
      </c>
      <c r="K399" s="71" t="s">
        <v>2132</v>
      </c>
      <c r="L399" s="71" t="s">
        <v>2133</v>
      </c>
      <c r="M399" s="71" t="s">
        <v>2134</v>
      </c>
      <c r="N399" s="69" t="s">
        <v>57</v>
      </c>
      <c r="O399" s="64">
        <v>1</v>
      </c>
      <c r="P399" s="72">
        <v>26880</v>
      </c>
      <c r="Q399" s="69" t="s">
        <v>2135</v>
      </c>
      <c r="R399" s="69"/>
      <c r="S399" s="68" t="s">
        <v>106</v>
      </c>
      <c r="T399" s="56">
        <v>5</v>
      </c>
      <c r="U399" s="56">
        <v>3</v>
      </c>
    </row>
    <row r="400" spans="1:21" ht="14.25" customHeight="1" thickBot="1" x14ac:dyDescent="0.4">
      <c r="A400" s="58">
        <v>384</v>
      </c>
      <c r="B400" s="69" t="s">
        <v>79</v>
      </c>
      <c r="C400" s="69" t="s">
        <v>80</v>
      </c>
      <c r="D400" s="70" t="s">
        <v>904</v>
      </c>
      <c r="E400" s="69" t="s">
        <v>2115</v>
      </c>
      <c r="F400" s="69" t="s">
        <v>2116</v>
      </c>
      <c r="G400" s="69" t="s">
        <v>54</v>
      </c>
      <c r="H400" s="70">
        <v>2014</v>
      </c>
      <c r="I400" s="69"/>
      <c r="J400" s="69" t="s">
        <v>2136</v>
      </c>
      <c r="K400" s="71" t="s">
        <v>2137</v>
      </c>
      <c r="L400" s="71" t="s">
        <v>2138</v>
      </c>
      <c r="M400" s="71" t="s">
        <v>2139</v>
      </c>
      <c r="N400" s="69" t="s">
        <v>57</v>
      </c>
      <c r="O400" s="64">
        <v>1</v>
      </c>
      <c r="P400" s="72">
        <v>26880</v>
      </c>
      <c r="Q400" s="69" t="s">
        <v>2140</v>
      </c>
      <c r="R400" s="69"/>
      <c r="S400" s="68" t="s">
        <v>106</v>
      </c>
      <c r="T400" s="56">
        <v>5</v>
      </c>
      <c r="U400" s="56">
        <v>3</v>
      </c>
    </row>
    <row r="401" spans="1:21" ht="14.25" customHeight="1" x14ac:dyDescent="0.35">
      <c r="A401" s="47">
        <v>385</v>
      </c>
      <c r="B401" s="69" t="s">
        <v>79</v>
      </c>
      <c r="C401" s="69" t="s">
        <v>80</v>
      </c>
      <c r="D401" s="70" t="s">
        <v>122</v>
      </c>
      <c r="E401" s="69" t="s">
        <v>2115</v>
      </c>
      <c r="F401" s="69" t="s">
        <v>2116</v>
      </c>
      <c r="G401" s="69" t="s">
        <v>54</v>
      </c>
      <c r="H401" s="70">
        <v>2014</v>
      </c>
      <c r="I401" s="69"/>
      <c r="J401" s="69" t="s">
        <v>2141</v>
      </c>
      <c r="K401" s="71" t="s">
        <v>2142</v>
      </c>
      <c r="L401" s="71" t="s">
        <v>2143</v>
      </c>
      <c r="M401" s="71" t="s">
        <v>2144</v>
      </c>
      <c r="N401" s="69" t="s">
        <v>57</v>
      </c>
      <c r="O401" s="64">
        <v>1</v>
      </c>
      <c r="P401" s="72">
        <v>26880</v>
      </c>
      <c r="Q401" s="69" t="s">
        <v>2140</v>
      </c>
      <c r="R401" s="69"/>
      <c r="S401" s="68" t="s">
        <v>106</v>
      </c>
      <c r="T401" s="56">
        <v>5</v>
      </c>
      <c r="U401" s="56">
        <v>3</v>
      </c>
    </row>
    <row r="402" spans="1:21" ht="14.25" customHeight="1" thickBot="1" x14ac:dyDescent="0.4">
      <c r="A402" s="58">
        <v>386</v>
      </c>
      <c r="B402" s="69" t="s">
        <v>79</v>
      </c>
      <c r="C402" s="69" t="s">
        <v>80</v>
      </c>
      <c r="D402" s="70" t="s">
        <v>126</v>
      </c>
      <c r="E402" s="69" t="s">
        <v>2115</v>
      </c>
      <c r="F402" s="69" t="s">
        <v>2116</v>
      </c>
      <c r="G402" s="69" t="s">
        <v>54</v>
      </c>
      <c r="H402" s="70">
        <v>2014</v>
      </c>
      <c r="I402" s="69"/>
      <c r="J402" s="69" t="s">
        <v>2145</v>
      </c>
      <c r="K402" s="71" t="s">
        <v>2146</v>
      </c>
      <c r="L402" s="71" t="s">
        <v>2147</v>
      </c>
      <c r="M402" s="71" t="s">
        <v>2148</v>
      </c>
      <c r="N402" s="69" t="s">
        <v>57</v>
      </c>
      <c r="O402" s="64">
        <v>1</v>
      </c>
      <c r="P402" s="72">
        <v>26880</v>
      </c>
      <c r="Q402" s="69" t="s">
        <v>2135</v>
      </c>
      <c r="R402" s="69"/>
      <c r="S402" s="68" t="s">
        <v>106</v>
      </c>
      <c r="T402" s="56">
        <v>5</v>
      </c>
      <c r="U402" s="56">
        <v>3</v>
      </c>
    </row>
    <row r="403" spans="1:21" ht="14.25" customHeight="1" x14ac:dyDescent="0.35">
      <c r="A403" s="47">
        <v>387</v>
      </c>
      <c r="B403" s="69" t="s">
        <v>79</v>
      </c>
      <c r="C403" s="69" t="s">
        <v>80</v>
      </c>
      <c r="D403" s="70" t="s">
        <v>132</v>
      </c>
      <c r="E403" s="69" t="s">
        <v>2149</v>
      </c>
      <c r="F403" s="69" t="s">
        <v>88</v>
      </c>
      <c r="G403" s="69" t="s">
        <v>54</v>
      </c>
      <c r="H403" s="70">
        <v>2010</v>
      </c>
      <c r="I403" s="69"/>
      <c r="J403" s="69" t="s">
        <v>2150</v>
      </c>
      <c r="K403" s="71" t="s">
        <v>2151</v>
      </c>
      <c r="L403" s="71" t="s">
        <v>2152</v>
      </c>
      <c r="M403" s="71" t="s">
        <v>2153</v>
      </c>
      <c r="N403" s="69" t="s">
        <v>57</v>
      </c>
      <c r="O403" s="64">
        <v>1</v>
      </c>
      <c r="P403" s="72">
        <v>17565</v>
      </c>
      <c r="Q403" s="69" t="s">
        <v>2154</v>
      </c>
      <c r="R403" s="69"/>
      <c r="S403" s="68" t="s">
        <v>106</v>
      </c>
      <c r="T403" s="56">
        <v>5</v>
      </c>
      <c r="U403" s="56">
        <v>3</v>
      </c>
    </row>
    <row r="404" spans="1:21" ht="14.25" customHeight="1" thickBot="1" x14ac:dyDescent="0.4">
      <c r="A404" s="58">
        <v>388</v>
      </c>
      <c r="B404" s="69" t="s">
        <v>79</v>
      </c>
      <c r="C404" s="69" t="s">
        <v>80</v>
      </c>
      <c r="D404" s="70" t="s">
        <v>137</v>
      </c>
      <c r="E404" s="69" t="s">
        <v>1860</v>
      </c>
      <c r="F404" s="69" t="s">
        <v>202</v>
      </c>
      <c r="G404" s="69" t="s">
        <v>54</v>
      </c>
      <c r="H404" s="70">
        <v>2012</v>
      </c>
      <c r="I404" s="69"/>
      <c r="J404" s="69" t="s">
        <v>2155</v>
      </c>
      <c r="K404" s="71" t="s">
        <v>2156</v>
      </c>
      <c r="L404" s="71" t="s">
        <v>2157</v>
      </c>
      <c r="M404" s="71" t="s">
        <v>2158</v>
      </c>
      <c r="N404" s="69" t="s">
        <v>57</v>
      </c>
      <c r="O404" s="64">
        <v>1</v>
      </c>
      <c r="P404" s="72">
        <v>13177.55</v>
      </c>
      <c r="Q404" s="69" t="s">
        <v>2159</v>
      </c>
      <c r="R404" s="69"/>
      <c r="S404" s="68" t="s">
        <v>106</v>
      </c>
      <c r="T404" s="56">
        <v>5</v>
      </c>
      <c r="U404" s="56">
        <v>3</v>
      </c>
    </row>
    <row r="405" spans="1:21" ht="14.25" customHeight="1" x14ac:dyDescent="0.35">
      <c r="A405" s="47">
        <v>389</v>
      </c>
      <c r="B405" s="69" t="s">
        <v>79</v>
      </c>
      <c r="C405" s="69" t="s">
        <v>80</v>
      </c>
      <c r="D405" s="70" t="s">
        <v>146</v>
      </c>
      <c r="E405" s="69" t="s">
        <v>2149</v>
      </c>
      <c r="F405" s="69" t="s">
        <v>88</v>
      </c>
      <c r="G405" s="69" t="s">
        <v>54</v>
      </c>
      <c r="H405" s="70">
        <v>2010</v>
      </c>
      <c r="I405" s="69"/>
      <c r="J405" s="69" t="s">
        <v>2160</v>
      </c>
      <c r="K405" s="71" t="s">
        <v>2161</v>
      </c>
      <c r="L405" s="71" t="s">
        <v>2162</v>
      </c>
      <c r="M405" s="71" t="s">
        <v>2163</v>
      </c>
      <c r="N405" s="69" t="s">
        <v>57</v>
      </c>
      <c r="O405" s="64">
        <v>1</v>
      </c>
      <c r="P405" s="72">
        <v>17565</v>
      </c>
      <c r="Q405" s="69" t="s">
        <v>2164</v>
      </c>
      <c r="R405" s="69"/>
      <c r="S405" s="68" t="s">
        <v>106</v>
      </c>
      <c r="T405" s="56">
        <v>5</v>
      </c>
      <c r="U405" s="56">
        <v>3</v>
      </c>
    </row>
    <row r="406" spans="1:21" ht="14.25" customHeight="1" thickBot="1" x14ac:dyDescent="0.4">
      <c r="A406" s="58">
        <v>390</v>
      </c>
      <c r="B406" s="69" t="s">
        <v>79</v>
      </c>
      <c r="C406" s="69" t="s">
        <v>80</v>
      </c>
      <c r="D406" s="70" t="s">
        <v>154</v>
      </c>
      <c r="E406" s="69" t="s">
        <v>2149</v>
      </c>
      <c r="F406" s="69" t="s">
        <v>88</v>
      </c>
      <c r="G406" s="69" t="s">
        <v>54</v>
      </c>
      <c r="H406" s="70">
        <v>2010</v>
      </c>
      <c r="I406" s="69"/>
      <c r="J406" s="69" t="s">
        <v>2165</v>
      </c>
      <c r="K406" s="71" t="s">
        <v>2166</v>
      </c>
      <c r="L406" s="71" t="s">
        <v>2167</v>
      </c>
      <c r="M406" s="71" t="s">
        <v>2168</v>
      </c>
      <c r="N406" s="69" t="s">
        <v>57</v>
      </c>
      <c r="O406" s="64">
        <v>1</v>
      </c>
      <c r="P406" s="72">
        <v>17565</v>
      </c>
      <c r="Q406" s="69" t="s">
        <v>2164</v>
      </c>
      <c r="R406" s="69"/>
      <c r="S406" s="68" t="s">
        <v>106</v>
      </c>
      <c r="T406" s="56">
        <v>5</v>
      </c>
      <c r="U406" s="56">
        <v>3</v>
      </c>
    </row>
    <row r="407" spans="1:21" ht="14.25" customHeight="1" x14ac:dyDescent="0.35">
      <c r="A407" s="47">
        <v>391</v>
      </c>
      <c r="B407" s="69" t="s">
        <v>79</v>
      </c>
      <c r="C407" s="69" t="s">
        <v>80</v>
      </c>
      <c r="D407" s="70" t="s">
        <v>161</v>
      </c>
      <c r="E407" s="69" t="s">
        <v>2149</v>
      </c>
      <c r="F407" s="69" t="s">
        <v>88</v>
      </c>
      <c r="G407" s="69" t="s">
        <v>54</v>
      </c>
      <c r="H407" s="70">
        <v>2010</v>
      </c>
      <c r="I407" s="69"/>
      <c r="J407" s="69" t="s">
        <v>2169</v>
      </c>
      <c r="K407" s="71" t="s">
        <v>2170</v>
      </c>
      <c r="L407" s="71" t="s">
        <v>2171</v>
      </c>
      <c r="M407" s="71" t="s">
        <v>2172</v>
      </c>
      <c r="N407" s="69" t="s">
        <v>57</v>
      </c>
      <c r="O407" s="64">
        <v>1</v>
      </c>
      <c r="P407" s="72">
        <v>17565</v>
      </c>
      <c r="Q407" s="69" t="s">
        <v>2154</v>
      </c>
      <c r="R407" s="69"/>
      <c r="S407" s="68" t="s">
        <v>106</v>
      </c>
      <c r="T407" s="56">
        <v>5</v>
      </c>
      <c r="U407" s="56">
        <v>3</v>
      </c>
    </row>
    <row r="408" spans="1:21" ht="14.25" customHeight="1" thickBot="1" x14ac:dyDescent="0.4">
      <c r="A408" s="58">
        <v>392</v>
      </c>
      <c r="B408" s="69" t="s">
        <v>79</v>
      </c>
      <c r="C408" s="69" t="s">
        <v>80</v>
      </c>
      <c r="D408" s="70" t="s">
        <v>169</v>
      </c>
      <c r="E408" s="69" t="s">
        <v>2173</v>
      </c>
      <c r="F408" s="69" t="s">
        <v>88</v>
      </c>
      <c r="G408" s="69" t="s">
        <v>54</v>
      </c>
      <c r="H408" s="70">
        <v>2008</v>
      </c>
      <c r="I408" s="69"/>
      <c r="J408" s="69" t="s">
        <v>2174</v>
      </c>
      <c r="K408" s="71" t="s">
        <v>2175</v>
      </c>
      <c r="L408" s="71" t="s">
        <v>2176</v>
      </c>
      <c r="M408" s="71"/>
      <c r="N408" s="69" t="s">
        <v>57</v>
      </c>
      <c r="O408" s="64">
        <v>1</v>
      </c>
      <c r="P408" s="72">
        <v>16950</v>
      </c>
      <c r="Q408" s="69" t="s">
        <v>2177</v>
      </c>
      <c r="R408" s="69"/>
      <c r="S408" s="68" t="s">
        <v>106</v>
      </c>
      <c r="T408" s="56">
        <v>5</v>
      </c>
      <c r="U408" s="56">
        <v>3</v>
      </c>
    </row>
    <row r="409" spans="1:21" ht="14.25" customHeight="1" x14ac:dyDescent="0.35">
      <c r="A409" s="47">
        <v>393</v>
      </c>
      <c r="B409" s="69" t="s">
        <v>79</v>
      </c>
      <c r="C409" s="69" t="s">
        <v>80</v>
      </c>
      <c r="D409" s="70" t="s">
        <v>176</v>
      </c>
      <c r="E409" s="69" t="s">
        <v>2178</v>
      </c>
      <c r="F409" s="69" t="s">
        <v>2179</v>
      </c>
      <c r="G409" s="69" t="s">
        <v>54</v>
      </c>
      <c r="H409" s="70">
        <v>2015</v>
      </c>
      <c r="I409" s="69"/>
      <c r="J409" s="69" t="s">
        <v>2180</v>
      </c>
      <c r="K409" s="71" t="s">
        <v>2181</v>
      </c>
      <c r="L409" s="71" t="s">
        <v>2182</v>
      </c>
      <c r="M409" s="71" t="s">
        <v>2183</v>
      </c>
      <c r="N409" s="69" t="s">
        <v>57</v>
      </c>
      <c r="O409" s="64">
        <v>1</v>
      </c>
      <c r="P409" s="72">
        <v>18876</v>
      </c>
      <c r="Q409" s="69" t="s">
        <v>621</v>
      </c>
      <c r="R409" s="69"/>
      <c r="S409" s="68" t="s">
        <v>106</v>
      </c>
      <c r="T409" s="56">
        <v>5</v>
      </c>
      <c r="U409" s="56">
        <v>3</v>
      </c>
    </row>
    <row r="410" spans="1:21" ht="14.25" customHeight="1" thickBot="1" x14ac:dyDescent="0.4">
      <c r="A410" s="58">
        <v>394</v>
      </c>
      <c r="B410" s="69" t="s">
        <v>79</v>
      </c>
      <c r="C410" s="69" t="s">
        <v>80</v>
      </c>
      <c r="D410" s="70" t="s">
        <v>1236</v>
      </c>
      <c r="E410" s="69" t="s">
        <v>147</v>
      </c>
      <c r="F410" s="69" t="s">
        <v>148</v>
      </c>
      <c r="G410" s="69" t="s">
        <v>140</v>
      </c>
      <c r="H410" s="70">
        <v>2015</v>
      </c>
      <c r="I410" s="69"/>
      <c r="J410" s="69" t="s">
        <v>2184</v>
      </c>
      <c r="K410" s="71" t="s">
        <v>2185</v>
      </c>
      <c r="L410" s="71" t="s">
        <v>2186</v>
      </c>
      <c r="M410" s="71" t="s">
        <v>2187</v>
      </c>
      <c r="N410" s="69" t="s">
        <v>57</v>
      </c>
      <c r="O410" s="64">
        <v>1</v>
      </c>
      <c r="P410" s="72">
        <v>19430</v>
      </c>
      <c r="Q410" s="69" t="s">
        <v>2188</v>
      </c>
      <c r="R410" s="69"/>
      <c r="S410" s="68" t="s">
        <v>106</v>
      </c>
      <c r="T410" s="56">
        <v>5</v>
      </c>
      <c r="U410" s="56">
        <v>3</v>
      </c>
    </row>
    <row r="411" spans="1:21" ht="14.25" customHeight="1" x14ac:dyDescent="0.35">
      <c r="A411" s="47">
        <v>395</v>
      </c>
      <c r="B411" s="69" t="s">
        <v>79</v>
      </c>
      <c r="C411" s="69" t="s">
        <v>80</v>
      </c>
      <c r="D411" s="70" t="s">
        <v>181</v>
      </c>
      <c r="E411" s="69" t="s">
        <v>2189</v>
      </c>
      <c r="F411" s="69" t="s">
        <v>217</v>
      </c>
      <c r="G411" s="69" t="s">
        <v>247</v>
      </c>
      <c r="H411" s="70">
        <v>2020</v>
      </c>
      <c r="I411" s="69" t="s">
        <v>63</v>
      </c>
      <c r="J411" s="69" t="s">
        <v>2190</v>
      </c>
      <c r="K411" s="71" t="s">
        <v>2191</v>
      </c>
      <c r="L411" s="71" t="s">
        <v>2192</v>
      </c>
      <c r="M411" s="71" t="s">
        <v>2193</v>
      </c>
      <c r="N411" s="69" t="s">
        <v>57</v>
      </c>
      <c r="O411" s="64">
        <v>1</v>
      </c>
      <c r="P411" s="72">
        <v>23800</v>
      </c>
      <c r="Q411" s="69" t="s">
        <v>2194</v>
      </c>
      <c r="R411" s="69"/>
      <c r="S411" s="68" t="s">
        <v>106</v>
      </c>
      <c r="T411" s="56">
        <v>5</v>
      </c>
      <c r="U411" s="56">
        <v>3</v>
      </c>
    </row>
    <row r="412" spans="1:21" ht="14.25" customHeight="1" thickBot="1" x14ac:dyDescent="0.4">
      <c r="A412" s="58">
        <v>396</v>
      </c>
      <c r="B412" s="69" t="s">
        <v>79</v>
      </c>
      <c r="C412" s="69" t="s">
        <v>80</v>
      </c>
      <c r="D412" s="70" t="s">
        <v>187</v>
      </c>
      <c r="E412" s="69" t="s">
        <v>2189</v>
      </c>
      <c r="F412" s="69" t="s">
        <v>217</v>
      </c>
      <c r="G412" s="69" t="s">
        <v>247</v>
      </c>
      <c r="H412" s="70">
        <v>2020</v>
      </c>
      <c r="I412" s="69" t="s">
        <v>63</v>
      </c>
      <c r="J412" s="69" t="s">
        <v>2195</v>
      </c>
      <c r="K412" s="71" t="s">
        <v>2196</v>
      </c>
      <c r="L412" s="71" t="s">
        <v>2197</v>
      </c>
      <c r="M412" s="71" t="s">
        <v>2198</v>
      </c>
      <c r="N412" s="69" t="s">
        <v>57</v>
      </c>
      <c r="O412" s="64">
        <v>1</v>
      </c>
      <c r="P412" s="72">
        <v>23800</v>
      </c>
      <c r="Q412" s="69" t="s">
        <v>2194</v>
      </c>
      <c r="R412" s="69"/>
      <c r="S412" s="68" t="s">
        <v>106</v>
      </c>
      <c r="T412" s="56">
        <v>5</v>
      </c>
      <c r="U412" s="56">
        <v>3</v>
      </c>
    </row>
    <row r="413" spans="1:21" ht="14.25" customHeight="1" x14ac:dyDescent="0.35">
      <c r="A413" s="47">
        <v>397</v>
      </c>
      <c r="B413" s="69" t="s">
        <v>79</v>
      </c>
      <c r="C413" s="69" t="s">
        <v>80</v>
      </c>
      <c r="D413" s="70" t="s">
        <v>190</v>
      </c>
      <c r="E413" s="69" t="s">
        <v>2189</v>
      </c>
      <c r="F413" s="69" t="s">
        <v>217</v>
      </c>
      <c r="G413" s="69" t="s">
        <v>247</v>
      </c>
      <c r="H413" s="70">
        <v>2020</v>
      </c>
      <c r="I413" s="69" t="s">
        <v>63</v>
      </c>
      <c r="J413" s="69" t="s">
        <v>2199</v>
      </c>
      <c r="K413" s="71" t="s">
        <v>2200</v>
      </c>
      <c r="L413" s="71" t="s">
        <v>2201</v>
      </c>
      <c r="M413" s="71" t="s">
        <v>2202</v>
      </c>
      <c r="N413" s="69" t="s">
        <v>57</v>
      </c>
      <c r="O413" s="64">
        <v>1</v>
      </c>
      <c r="P413" s="72">
        <v>23800</v>
      </c>
      <c r="Q413" s="69" t="s">
        <v>2194</v>
      </c>
      <c r="R413" s="69"/>
      <c r="S413" s="68" t="s">
        <v>106</v>
      </c>
      <c r="T413" s="56">
        <v>5</v>
      </c>
      <c r="U413" s="56">
        <v>3</v>
      </c>
    </row>
    <row r="414" spans="1:21" ht="14.25" customHeight="1" thickBot="1" x14ac:dyDescent="0.4">
      <c r="A414" s="58">
        <v>398</v>
      </c>
      <c r="B414" s="69" t="s">
        <v>79</v>
      </c>
      <c r="C414" s="69" t="s">
        <v>80</v>
      </c>
      <c r="D414" s="70" t="s">
        <v>192</v>
      </c>
      <c r="E414" s="69" t="s">
        <v>2189</v>
      </c>
      <c r="F414" s="69" t="s">
        <v>217</v>
      </c>
      <c r="G414" s="69" t="s">
        <v>247</v>
      </c>
      <c r="H414" s="70">
        <v>2020</v>
      </c>
      <c r="I414" s="69" t="s">
        <v>63</v>
      </c>
      <c r="J414" s="69" t="s">
        <v>2203</v>
      </c>
      <c r="K414" s="71" t="s">
        <v>2204</v>
      </c>
      <c r="L414" s="71" t="s">
        <v>2205</v>
      </c>
      <c r="M414" s="71" t="s">
        <v>2206</v>
      </c>
      <c r="N414" s="69" t="s">
        <v>57</v>
      </c>
      <c r="O414" s="64">
        <v>1</v>
      </c>
      <c r="P414" s="72">
        <v>23800</v>
      </c>
      <c r="Q414" s="69" t="s">
        <v>2194</v>
      </c>
      <c r="R414" s="69"/>
      <c r="S414" s="68" t="s">
        <v>106</v>
      </c>
      <c r="T414" s="56">
        <v>5</v>
      </c>
      <c r="U414" s="56">
        <v>3</v>
      </c>
    </row>
    <row r="415" spans="1:21" ht="14.25" customHeight="1" x14ac:dyDescent="0.35">
      <c r="A415" s="47">
        <v>399</v>
      </c>
      <c r="B415" s="69" t="s">
        <v>79</v>
      </c>
      <c r="C415" s="69" t="s">
        <v>80</v>
      </c>
      <c r="D415" s="70" t="s">
        <v>194</v>
      </c>
      <c r="E415" s="69" t="s">
        <v>2100</v>
      </c>
      <c r="F415" s="69" t="s">
        <v>82</v>
      </c>
      <c r="G415" s="69" t="s">
        <v>54</v>
      </c>
      <c r="H415" s="70">
        <v>2004</v>
      </c>
      <c r="I415" s="69"/>
      <c r="J415" s="69" t="s">
        <v>2207</v>
      </c>
      <c r="K415" s="71" t="s">
        <v>2208</v>
      </c>
      <c r="L415" s="71" t="s">
        <v>2209</v>
      </c>
      <c r="M415" s="71" t="s">
        <v>2210</v>
      </c>
      <c r="N415" s="69" t="s">
        <v>57</v>
      </c>
      <c r="O415" s="64">
        <v>1</v>
      </c>
      <c r="P415" s="72">
        <v>12750</v>
      </c>
      <c r="Q415" s="69" t="s">
        <v>2105</v>
      </c>
      <c r="R415" s="69"/>
      <c r="S415" s="68" t="s">
        <v>106</v>
      </c>
      <c r="T415" s="56">
        <v>5</v>
      </c>
      <c r="U415" s="56">
        <v>3</v>
      </c>
    </row>
    <row r="416" spans="1:21" ht="14.25" customHeight="1" thickBot="1" x14ac:dyDescent="0.4">
      <c r="A416" s="58">
        <v>400</v>
      </c>
      <c r="B416" s="69" t="s">
        <v>79</v>
      </c>
      <c r="C416" s="69" t="s">
        <v>80</v>
      </c>
      <c r="D416" s="70" t="s">
        <v>2211</v>
      </c>
      <c r="E416" s="69" t="s">
        <v>63</v>
      </c>
      <c r="F416" s="93">
        <v>150</v>
      </c>
      <c r="G416" s="69" t="s">
        <v>247</v>
      </c>
      <c r="H416" s="70">
        <v>2023</v>
      </c>
      <c r="I416" s="69" t="s">
        <v>63</v>
      </c>
      <c r="J416" s="105" t="s">
        <v>2212</v>
      </c>
      <c r="K416" s="105" t="s">
        <v>2213</v>
      </c>
      <c r="L416" s="106" t="s">
        <v>2214</v>
      </c>
      <c r="M416" s="105" t="s">
        <v>2215</v>
      </c>
      <c r="N416" s="69" t="s">
        <v>44</v>
      </c>
      <c r="O416" s="64">
        <v>1</v>
      </c>
      <c r="P416" s="72">
        <v>71224</v>
      </c>
      <c r="Q416" s="69" t="s">
        <v>2216</v>
      </c>
      <c r="R416" s="69"/>
      <c r="S416" s="68" t="s">
        <v>106</v>
      </c>
      <c r="T416" s="56">
        <v>5</v>
      </c>
      <c r="U416" s="56">
        <v>3</v>
      </c>
    </row>
    <row r="417" spans="1:21" ht="14.25" customHeight="1" x14ac:dyDescent="0.35">
      <c r="A417" s="47">
        <v>401</v>
      </c>
      <c r="B417" s="69" t="s">
        <v>79</v>
      </c>
      <c r="C417" s="69" t="s">
        <v>80</v>
      </c>
      <c r="D417" s="70" t="s">
        <v>2217</v>
      </c>
      <c r="E417" s="69" t="s">
        <v>2218</v>
      </c>
      <c r="F417" s="93">
        <v>149.15</v>
      </c>
      <c r="G417" s="69" t="s">
        <v>247</v>
      </c>
      <c r="H417" s="70">
        <v>2024</v>
      </c>
      <c r="I417" s="69" t="s">
        <v>63</v>
      </c>
      <c r="J417" s="107" t="s">
        <v>2219</v>
      </c>
      <c r="K417" s="108" t="s">
        <v>2220</v>
      </c>
      <c r="L417" s="109" t="s">
        <v>2221</v>
      </c>
      <c r="M417" s="108" t="s">
        <v>2222</v>
      </c>
      <c r="N417" s="69" t="s">
        <v>44</v>
      </c>
      <c r="O417" s="64">
        <v>1</v>
      </c>
      <c r="P417" s="72">
        <v>111900</v>
      </c>
      <c r="Q417" s="69" t="s">
        <v>2223</v>
      </c>
      <c r="R417" s="69"/>
      <c r="S417" s="68" t="s">
        <v>106</v>
      </c>
      <c r="T417" s="56">
        <v>5</v>
      </c>
      <c r="U417" s="56">
        <v>3</v>
      </c>
    </row>
    <row r="418" spans="1:21" ht="14.25" customHeight="1" thickBot="1" x14ac:dyDescent="0.4">
      <c r="A418" s="58">
        <v>402</v>
      </c>
      <c r="B418" s="69" t="s">
        <v>79</v>
      </c>
      <c r="C418" s="69" t="s">
        <v>80</v>
      </c>
      <c r="D418" s="70" t="s">
        <v>2224</v>
      </c>
      <c r="E418" s="69" t="s">
        <v>2225</v>
      </c>
      <c r="F418" s="93">
        <v>109.51</v>
      </c>
      <c r="G418" s="69" t="s">
        <v>247</v>
      </c>
      <c r="H418" s="70">
        <v>2024</v>
      </c>
      <c r="I418" s="69" t="s">
        <v>63</v>
      </c>
      <c r="J418" s="110" t="s">
        <v>2226</v>
      </c>
      <c r="K418" s="111" t="s">
        <v>2227</v>
      </c>
      <c r="L418" s="112" t="s">
        <v>2228</v>
      </c>
      <c r="M418" s="108" t="s">
        <v>2229</v>
      </c>
      <c r="N418" s="69" t="s">
        <v>44</v>
      </c>
      <c r="O418" s="64">
        <v>1</v>
      </c>
      <c r="P418" s="72">
        <v>40810</v>
      </c>
      <c r="Q418" s="69" t="s">
        <v>2230</v>
      </c>
      <c r="R418" s="69"/>
      <c r="S418" s="68" t="s">
        <v>106</v>
      </c>
      <c r="T418" s="56">
        <v>5</v>
      </c>
      <c r="U418" s="56">
        <v>3</v>
      </c>
    </row>
    <row r="419" spans="1:21" ht="14.25" customHeight="1" x14ac:dyDescent="0.35">
      <c r="A419" s="47">
        <v>403</v>
      </c>
      <c r="B419" s="69" t="s">
        <v>79</v>
      </c>
      <c r="C419" s="69" t="s">
        <v>80</v>
      </c>
      <c r="D419" s="70" t="s">
        <v>2231</v>
      </c>
      <c r="E419" s="69" t="s">
        <v>63</v>
      </c>
      <c r="F419" s="93">
        <v>150</v>
      </c>
      <c r="G419" s="69" t="s">
        <v>247</v>
      </c>
      <c r="H419" s="70">
        <v>2025</v>
      </c>
      <c r="I419" s="69" t="s">
        <v>63</v>
      </c>
      <c r="J419" s="107" t="s">
        <v>2232</v>
      </c>
      <c r="K419" s="107" t="s">
        <v>2233</v>
      </c>
      <c r="L419" s="93" t="s">
        <v>2234</v>
      </c>
      <c r="M419" s="107" t="s">
        <v>2235</v>
      </c>
      <c r="N419" s="69" t="s">
        <v>44</v>
      </c>
      <c r="O419" s="64">
        <v>1</v>
      </c>
      <c r="P419" s="72">
        <v>75018</v>
      </c>
      <c r="Q419" s="69" t="s">
        <v>2223</v>
      </c>
      <c r="R419" s="69"/>
      <c r="S419" s="68" t="s">
        <v>106</v>
      </c>
      <c r="T419" s="56">
        <v>5</v>
      </c>
      <c r="U419" s="56">
        <v>3</v>
      </c>
    </row>
    <row r="420" spans="1:21" ht="14.25" customHeight="1" thickBot="1" x14ac:dyDescent="0.4">
      <c r="A420" s="58">
        <v>404</v>
      </c>
      <c r="B420" s="69" t="s">
        <v>79</v>
      </c>
      <c r="C420" s="69" t="s">
        <v>80</v>
      </c>
      <c r="D420" s="70" t="s">
        <v>2236</v>
      </c>
      <c r="E420" s="69" t="s">
        <v>63</v>
      </c>
      <c r="F420" s="93">
        <v>156.93</v>
      </c>
      <c r="G420" s="69" t="s">
        <v>247</v>
      </c>
      <c r="H420" s="70">
        <v>2025</v>
      </c>
      <c r="I420" s="69" t="s">
        <v>63</v>
      </c>
      <c r="J420" s="107" t="s">
        <v>2237</v>
      </c>
      <c r="K420" s="107" t="s">
        <v>2238</v>
      </c>
      <c r="L420" s="93" t="s">
        <v>2239</v>
      </c>
      <c r="M420" s="113" t="s">
        <v>2240</v>
      </c>
      <c r="N420" s="69" t="s">
        <v>44</v>
      </c>
      <c r="O420" s="64">
        <v>1</v>
      </c>
      <c r="P420" s="72">
        <v>69803.612999999998</v>
      </c>
      <c r="Q420" s="69" t="s">
        <v>2241</v>
      </c>
      <c r="R420" s="69"/>
      <c r="S420" s="68" t="s">
        <v>106</v>
      </c>
      <c r="T420" s="56">
        <v>5</v>
      </c>
      <c r="U420" s="56">
        <v>3</v>
      </c>
    </row>
    <row r="421" spans="1:21" ht="14.25" customHeight="1" x14ac:dyDescent="0.35">
      <c r="A421" s="47">
        <v>405</v>
      </c>
      <c r="B421" s="69" t="s">
        <v>79</v>
      </c>
      <c r="C421" s="69" t="s">
        <v>80</v>
      </c>
      <c r="D421" s="70" t="s">
        <v>264</v>
      </c>
      <c r="E421" s="69" t="s">
        <v>2242</v>
      </c>
      <c r="F421" s="69"/>
      <c r="G421" s="69" t="s">
        <v>247</v>
      </c>
      <c r="H421" s="70">
        <v>2026</v>
      </c>
      <c r="I421" s="69" t="s">
        <v>63</v>
      </c>
      <c r="J421" s="69" t="s">
        <v>63</v>
      </c>
      <c r="K421" s="71" t="s">
        <v>63</v>
      </c>
      <c r="L421" s="71" t="s">
        <v>63</v>
      </c>
      <c r="M421" s="71" t="s">
        <v>63</v>
      </c>
      <c r="N421" s="69" t="s">
        <v>44</v>
      </c>
      <c r="O421" s="64">
        <v>1</v>
      </c>
      <c r="P421" s="72">
        <v>38411</v>
      </c>
      <c r="Q421" s="69" t="s">
        <v>2243</v>
      </c>
      <c r="R421" s="69"/>
      <c r="S421" s="68" t="s">
        <v>106</v>
      </c>
      <c r="T421" s="56">
        <v>5</v>
      </c>
      <c r="U421" s="56">
        <v>3</v>
      </c>
    </row>
    <row r="422" spans="1:21" ht="14.25" customHeight="1" thickBot="1" x14ac:dyDescent="0.4">
      <c r="A422" s="58">
        <v>406</v>
      </c>
      <c r="B422" s="69" t="s">
        <v>2244</v>
      </c>
      <c r="C422" s="69" t="s">
        <v>2245</v>
      </c>
      <c r="D422" s="70" t="s">
        <v>51</v>
      </c>
      <c r="E422" s="69" t="s">
        <v>2246</v>
      </c>
      <c r="F422" s="69" t="s">
        <v>293</v>
      </c>
      <c r="G422" s="69" t="s">
        <v>415</v>
      </c>
      <c r="H422" s="70">
        <v>2019</v>
      </c>
      <c r="I422" s="69" t="s">
        <v>63</v>
      </c>
      <c r="J422" s="69" t="s">
        <v>2247</v>
      </c>
      <c r="K422" s="71" t="s">
        <v>2248</v>
      </c>
      <c r="L422" s="71" t="s">
        <v>2249</v>
      </c>
      <c r="M422" s="71" t="s">
        <v>2250</v>
      </c>
      <c r="N422" s="69" t="s">
        <v>57</v>
      </c>
      <c r="O422" s="64">
        <v>1</v>
      </c>
      <c r="P422" s="72">
        <v>33000</v>
      </c>
      <c r="Q422" s="69" t="s">
        <v>63</v>
      </c>
      <c r="R422" s="69"/>
      <c r="S422" s="68" t="s">
        <v>106</v>
      </c>
      <c r="T422" s="56">
        <v>5</v>
      </c>
      <c r="U422" s="56">
        <v>3</v>
      </c>
    </row>
    <row r="423" spans="1:21" ht="14.25" customHeight="1" x14ac:dyDescent="0.35">
      <c r="A423" s="47">
        <v>407</v>
      </c>
      <c r="B423" s="69" t="s">
        <v>2244</v>
      </c>
      <c r="C423" s="69" t="s">
        <v>2245</v>
      </c>
      <c r="D423" s="70" t="s">
        <v>59</v>
      </c>
      <c r="E423" s="69" t="s">
        <v>2246</v>
      </c>
      <c r="F423" s="69" t="s">
        <v>293</v>
      </c>
      <c r="G423" s="69" t="s">
        <v>415</v>
      </c>
      <c r="H423" s="70">
        <v>2019</v>
      </c>
      <c r="I423" s="69" t="s">
        <v>63</v>
      </c>
      <c r="J423" s="69" t="s">
        <v>2251</v>
      </c>
      <c r="K423" s="71" t="s">
        <v>2252</v>
      </c>
      <c r="L423" s="71" t="s">
        <v>2253</v>
      </c>
      <c r="M423" s="71" t="s">
        <v>2254</v>
      </c>
      <c r="N423" s="69" t="s">
        <v>57</v>
      </c>
      <c r="O423" s="64">
        <v>1</v>
      </c>
      <c r="P423" s="72">
        <v>33000</v>
      </c>
      <c r="Q423" s="69" t="s">
        <v>63</v>
      </c>
      <c r="R423" s="69"/>
      <c r="S423" s="68" t="s">
        <v>106</v>
      </c>
      <c r="T423" s="56">
        <v>5</v>
      </c>
      <c r="U423" s="56">
        <v>3</v>
      </c>
    </row>
    <row r="424" spans="1:21" ht="14.25" customHeight="1" thickBot="1" x14ac:dyDescent="0.4">
      <c r="A424" s="58">
        <v>408</v>
      </c>
      <c r="B424" s="69" t="s">
        <v>2244</v>
      </c>
      <c r="C424" s="69" t="s">
        <v>2245</v>
      </c>
      <c r="D424" s="70" t="s">
        <v>97</v>
      </c>
      <c r="E424" s="69" t="s">
        <v>2246</v>
      </c>
      <c r="F424" s="69" t="s">
        <v>293</v>
      </c>
      <c r="G424" s="69" t="s">
        <v>415</v>
      </c>
      <c r="H424" s="70">
        <v>2019</v>
      </c>
      <c r="I424" s="69" t="s">
        <v>63</v>
      </c>
      <c r="J424" s="69" t="s">
        <v>2255</v>
      </c>
      <c r="K424" s="71" t="s">
        <v>2256</v>
      </c>
      <c r="L424" s="71" t="s">
        <v>2257</v>
      </c>
      <c r="M424" s="71" t="s">
        <v>2258</v>
      </c>
      <c r="N424" s="69" t="s">
        <v>57</v>
      </c>
      <c r="O424" s="64">
        <v>1</v>
      </c>
      <c r="P424" s="72">
        <v>33000</v>
      </c>
      <c r="Q424" s="69" t="s">
        <v>63</v>
      </c>
      <c r="R424" s="69"/>
      <c r="S424" s="68" t="s">
        <v>106</v>
      </c>
      <c r="T424" s="56">
        <v>5</v>
      </c>
      <c r="U424" s="56">
        <v>3</v>
      </c>
    </row>
    <row r="425" spans="1:21" ht="14.25" customHeight="1" x14ac:dyDescent="0.35">
      <c r="A425" s="47">
        <v>409</v>
      </c>
      <c r="B425" s="69" t="s">
        <v>2244</v>
      </c>
      <c r="C425" s="69" t="s">
        <v>2245</v>
      </c>
      <c r="D425" s="70" t="s">
        <v>101</v>
      </c>
      <c r="E425" s="69" t="s">
        <v>2246</v>
      </c>
      <c r="F425" s="69" t="s">
        <v>293</v>
      </c>
      <c r="G425" s="69" t="s">
        <v>415</v>
      </c>
      <c r="H425" s="70">
        <v>2019</v>
      </c>
      <c r="I425" s="69" t="s">
        <v>63</v>
      </c>
      <c r="J425" s="69" t="s">
        <v>2259</v>
      </c>
      <c r="K425" s="71" t="s">
        <v>2260</v>
      </c>
      <c r="L425" s="71" t="s">
        <v>2261</v>
      </c>
      <c r="M425" s="71" t="s">
        <v>2262</v>
      </c>
      <c r="N425" s="69" t="s">
        <v>57</v>
      </c>
      <c r="O425" s="64">
        <v>1</v>
      </c>
      <c r="P425" s="72">
        <v>33000</v>
      </c>
      <c r="Q425" s="69" t="s">
        <v>63</v>
      </c>
      <c r="R425" s="69"/>
      <c r="S425" s="68" t="s">
        <v>106</v>
      </c>
      <c r="T425" s="56">
        <v>5</v>
      </c>
      <c r="U425" s="56">
        <v>3</v>
      </c>
    </row>
    <row r="426" spans="1:21" ht="14.25" customHeight="1" thickBot="1" x14ac:dyDescent="0.4">
      <c r="A426" s="58">
        <v>410</v>
      </c>
      <c r="B426" s="69" t="s">
        <v>2244</v>
      </c>
      <c r="C426" s="69" t="s">
        <v>2245</v>
      </c>
      <c r="D426" s="70" t="s">
        <v>107</v>
      </c>
      <c r="E426" s="69" t="s">
        <v>63</v>
      </c>
      <c r="F426" s="93" t="s">
        <v>2263</v>
      </c>
      <c r="G426" s="69" t="s">
        <v>415</v>
      </c>
      <c r="H426" s="70">
        <v>2023</v>
      </c>
      <c r="I426" s="69" t="s">
        <v>63</v>
      </c>
      <c r="J426" s="105" t="s">
        <v>2264</v>
      </c>
      <c r="K426" s="105" t="s">
        <v>2265</v>
      </c>
      <c r="L426" s="114" t="s">
        <v>2266</v>
      </c>
      <c r="M426" s="115" t="s">
        <v>2267</v>
      </c>
      <c r="N426" s="69" t="s">
        <v>44</v>
      </c>
      <c r="O426" s="64">
        <v>1</v>
      </c>
      <c r="P426" s="72">
        <v>27450</v>
      </c>
      <c r="Q426" s="69" t="s">
        <v>2268</v>
      </c>
      <c r="R426" s="69"/>
      <c r="S426" s="68" t="s">
        <v>106</v>
      </c>
      <c r="T426" s="56">
        <v>5</v>
      </c>
      <c r="U426" s="56">
        <v>3</v>
      </c>
    </row>
    <row r="427" spans="1:21" ht="14.25" customHeight="1" x14ac:dyDescent="0.35">
      <c r="A427" s="47">
        <v>411</v>
      </c>
      <c r="B427" s="69" t="s">
        <v>2244</v>
      </c>
      <c r="C427" s="69" t="s">
        <v>2245</v>
      </c>
      <c r="D427" s="70" t="s">
        <v>2269</v>
      </c>
      <c r="E427" s="69" t="s">
        <v>63</v>
      </c>
      <c r="F427" s="93">
        <v>156.93</v>
      </c>
      <c r="G427" s="69" t="s">
        <v>415</v>
      </c>
      <c r="H427" s="70">
        <v>2023</v>
      </c>
      <c r="I427" s="69" t="s">
        <v>63</v>
      </c>
      <c r="J427" s="105" t="s">
        <v>2270</v>
      </c>
      <c r="K427" s="105" t="s">
        <v>2271</v>
      </c>
      <c r="L427" s="114" t="s">
        <v>2272</v>
      </c>
      <c r="M427" s="115" t="s">
        <v>2273</v>
      </c>
      <c r="N427" s="69" t="s">
        <v>44</v>
      </c>
      <c r="O427" s="64">
        <v>1</v>
      </c>
      <c r="P427" s="72">
        <v>82350</v>
      </c>
      <c r="Q427" s="69" t="s">
        <v>2274</v>
      </c>
      <c r="R427" s="69"/>
      <c r="S427" s="68" t="s">
        <v>106</v>
      </c>
      <c r="T427" s="56">
        <v>5</v>
      </c>
      <c r="U427" s="56">
        <v>3</v>
      </c>
    </row>
    <row r="428" spans="1:21" ht="14.25" customHeight="1" thickBot="1" x14ac:dyDescent="0.4">
      <c r="A428" s="58">
        <v>412</v>
      </c>
      <c r="B428" s="69" t="s">
        <v>2244</v>
      </c>
      <c r="C428" s="69" t="s">
        <v>2245</v>
      </c>
      <c r="D428" s="70" t="s">
        <v>2275</v>
      </c>
      <c r="E428" s="69" t="s">
        <v>63</v>
      </c>
      <c r="F428" s="93">
        <v>149</v>
      </c>
      <c r="G428" s="69" t="s">
        <v>415</v>
      </c>
      <c r="H428" s="70">
        <v>2023</v>
      </c>
      <c r="I428" s="69" t="s">
        <v>63</v>
      </c>
      <c r="J428" s="105" t="s">
        <v>2276</v>
      </c>
      <c r="K428" s="105" t="s">
        <v>2277</v>
      </c>
      <c r="L428" s="114" t="s">
        <v>2278</v>
      </c>
      <c r="M428" s="115" t="s">
        <v>2279</v>
      </c>
      <c r="N428" s="69" t="s">
        <v>44</v>
      </c>
      <c r="O428" s="64">
        <v>1</v>
      </c>
      <c r="P428" s="72">
        <v>103837.314</v>
      </c>
      <c r="Q428" s="69" t="s">
        <v>2280</v>
      </c>
      <c r="R428" s="69"/>
      <c r="S428" s="68" t="s">
        <v>106</v>
      </c>
      <c r="T428" s="56">
        <v>5</v>
      </c>
      <c r="U428" s="56">
        <v>3</v>
      </c>
    </row>
    <row r="429" spans="1:21" ht="14.25" customHeight="1" x14ac:dyDescent="0.35">
      <c r="A429" s="47">
        <v>413</v>
      </c>
      <c r="B429" s="69" t="s">
        <v>2244</v>
      </c>
      <c r="C429" s="69" t="s">
        <v>2245</v>
      </c>
      <c r="D429" s="70" t="s">
        <v>2281</v>
      </c>
      <c r="E429" s="69" t="s">
        <v>63</v>
      </c>
      <c r="F429" s="93">
        <v>150</v>
      </c>
      <c r="G429" s="69" t="s">
        <v>415</v>
      </c>
      <c r="H429" s="70">
        <v>2023</v>
      </c>
      <c r="I429" s="69" t="s">
        <v>63</v>
      </c>
      <c r="J429" s="105" t="s">
        <v>2282</v>
      </c>
      <c r="K429" s="105" t="s">
        <v>2283</v>
      </c>
      <c r="L429" s="114" t="s">
        <v>2284</v>
      </c>
      <c r="M429" s="115" t="s">
        <v>2285</v>
      </c>
      <c r="N429" s="69" t="s">
        <v>44</v>
      </c>
      <c r="O429" s="64">
        <v>1</v>
      </c>
      <c r="P429" s="72">
        <v>217297.5</v>
      </c>
      <c r="Q429" s="69" t="s">
        <v>2286</v>
      </c>
      <c r="R429" s="69"/>
      <c r="S429" s="68" t="s">
        <v>106</v>
      </c>
      <c r="T429" s="56">
        <v>5</v>
      </c>
      <c r="U429" s="56">
        <v>3</v>
      </c>
    </row>
    <row r="430" spans="1:21" ht="14.25" customHeight="1" thickBot="1" x14ac:dyDescent="0.4">
      <c r="A430" s="58">
        <v>414</v>
      </c>
      <c r="B430" s="69" t="s">
        <v>2244</v>
      </c>
      <c r="C430" s="69" t="s">
        <v>2245</v>
      </c>
      <c r="D430" s="70" t="s">
        <v>176</v>
      </c>
      <c r="E430" s="69" t="s">
        <v>63</v>
      </c>
      <c r="F430" s="93" t="s">
        <v>2263</v>
      </c>
      <c r="G430" s="69" t="s">
        <v>415</v>
      </c>
      <c r="H430" s="70">
        <v>2023</v>
      </c>
      <c r="I430" s="69" t="s">
        <v>63</v>
      </c>
      <c r="J430" s="105" t="s">
        <v>2287</v>
      </c>
      <c r="K430" s="105" t="s">
        <v>2288</v>
      </c>
      <c r="L430" s="114" t="s">
        <v>2289</v>
      </c>
      <c r="M430" s="115" t="s">
        <v>2290</v>
      </c>
      <c r="N430" s="69" t="s">
        <v>44</v>
      </c>
      <c r="O430" s="64">
        <v>1</v>
      </c>
      <c r="P430" s="72">
        <v>27450</v>
      </c>
      <c r="Q430" s="69" t="s">
        <v>2274</v>
      </c>
      <c r="R430" s="69"/>
      <c r="S430" s="68" t="s">
        <v>106</v>
      </c>
      <c r="T430" s="56">
        <v>5</v>
      </c>
      <c r="U430" s="56">
        <v>3</v>
      </c>
    </row>
    <row r="431" spans="1:21" ht="14.25" customHeight="1" x14ac:dyDescent="0.35">
      <c r="A431" s="47">
        <v>415</v>
      </c>
      <c r="B431" s="69" t="s">
        <v>2244</v>
      </c>
      <c r="C431" s="69" t="s">
        <v>2245</v>
      </c>
      <c r="D431" s="70" t="s">
        <v>2291</v>
      </c>
      <c r="E431" s="69" t="s">
        <v>63</v>
      </c>
      <c r="F431" s="93">
        <v>149.15</v>
      </c>
      <c r="G431" s="69" t="s">
        <v>415</v>
      </c>
      <c r="H431" s="70">
        <v>2023</v>
      </c>
      <c r="I431" s="69" t="s">
        <v>63</v>
      </c>
      <c r="J431" s="105" t="s">
        <v>2292</v>
      </c>
      <c r="K431" s="105" t="s">
        <v>2293</v>
      </c>
      <c r="L431" s="114" t="s">
        <v>2294</v>
      </c>
      <c r="M431" s="115" t="s">
        <v>2295</v>
      </c>
      <c r="N431" s="69" t="s">
        <v>44</v>
      </c>
      <c r="O431" s="64">
        <v>1</v>
      </c>
      <c r="P431" s="72">
        <v>178060</v>
      </c>
      <c r="Q431" s="69" t="s">
        <v>2296</v>
      </c>
      <c r="R431" s="69"/>
      <c r="S431" s="68" t="s">
        <v>106</v>
      </c>
      <c r="T431" s="56">
        <v>5</v>
      </c>
      <c r="U431" s="56">
        <v>3</v>
      </c>
    </row>
    <row r="432" spans="1:21" ht="14.25" customHeight="1" thickBot="1" x14ac:dyDescent="0.4">
      <c r="A432" s="58">
        <v>416</v>
      </c>
      <c r="B432" s="69" t="s">
        <v>2297</v>
      </c>
      <c r="C432" s="69" t="s">
        <v>2298</v>
      </c>
      <c r="D432" s="70" t="s">
        <v>51</v>
      </c>
      <c r="E432" s="69" t="s">
        <v>63</v>
      </c>
      <c r="F432" s="116">
        <v>3907</v>
      </c>
      <c r="G432" s="69" t="s">
        <v>415</v>
      </c>
      <c r="H432" s="70">
        <v>2025</v>
      </c>
      <c r="I432" s="69" t="s">
        <v>63</v>
      </c>
      <c r="J432" s="117" t="s">
        <v>2299</v>
      </c>
      <c r="K432" s="117" t="s">
        <v>2300</v>
      </c>
      <c r="L432" s="118" t="s">
        <v>2301</v>
      </c>
      <c r="M432" s="118" t="s">
        <v>2302</v>
      </c>
      <c r="N432" s="69" t="s">
        <v>44</v>
      </c>
      <c r="O432" s="64">
        <v>1</v>
      </c>
      <c r="P432" s="72">
        <v>847596</v>
      </c>
      <c r="Q432" s="69" t="s">
        <v>2303</v>
      </c>
      <c r="R432" s="69"/>
      <c r="S432" s="68" t="s">
        <v>106</v>
      </c>
      <c r="T432" s="56">
        <v>5</v>
      </c>
      <c r="U432" s="56">
        <v>6</v>
      </c>
    </row>
    <row r="433" spans="1:21" ht="14.25" customHeight="1" x14ac:dyDescent="0.35">
      <c r="A433" s="47">
        <v>417</v>
      </c>
      <c r="B433" s="69" t="s">
        <v>2304</v>
      </c>
      <c r="C433" s="69" t="s">
        <v>2305</v>
      </c>
      <c r="D433" s="70" t="s">
        <v>51</v>
      </c>
      <c r="E433" s="69" t="s">
        <v>2306</v>
      </c>
      <c r="F433" s="69" t="s">
        <v>2307</v>
      </c>
      <c r="G433" s="69" t="s">
        <v>2308</v>
      </c>
      <c r="H433" s="70">
        <v>2016</v>
      </c>
      <c r="I433" s="69" t="s">
        <v>63</v>
      </c>
      <c r="J433" s="69" t="s">
        <v>2309</v>
      </c>
      <c r="K433" s="119" t="s">
        <v>2310</v>
      </c>
      <c r="L433" s="71" t="s">
        <v>2311</v>
      </c>
      <c r="M433" s="71" t="s">
        <v>2312</v>
      </c>
      <c r="N433" s="69" t="s">
        <v>57</v>
      </c>
      <c r="O433" s="64">
        <v>1</v>
      </c>
      <c r="P433" s="72">
        <v>350000</v>
      </c>
      <c r="Q433" s="69" t="s">
        <v>2313</v>
      </c>
      <c r="R433" s="69"/>
      <c r="S433" s="68" t="s">
        <v>106</v>
      </c>
      <c r="T433" s="56">
        <v>5</v>
      </c>
      <c r="U433" s="56">
        <v>6</v>
      </c>
    </row>
    <row r="434" spans="1:21" ht="14.25" customHeight="1" thickBot="1" x14ac:dyDescent="0.4">
      <c r="A434" s="58">
        <v>418</v>
      </c>
      <c r="B434" s="69" t="s">
        <v>2304</v>
      </c>
      <c r="C434" s="69" t="s">
        <v>2305</v>
      </c>
      <c r="D434" s="70" t="s">
        <v>59</v>
      </c>
      <c r="E434" s="69" t="s">
        <v>2306</v>
      </c>
      <c r="F434" s="69" t="s">
        <v>2307</v>
      </c>
      <c r="G434" s="69" t="s">
        <v>2312</v>
      </c>
      <c r="H434" s="70">
        <v>2016</v>
      </c>
      <c r="I434" s="69" t="s">
        <v>63</v>
      </c>
      <c r="J434" s="95" t="s">
        <v>2314</v>
      </c>
      <c r="K434" s="120" t="s">
        <v>2315</v>
      </c>
      <c r="L434" s="71" t="s">
        <v>2316</v>
      </c>
      <c r="M434" s="71" t="s">
        <v>2317</v>
      </c>
      <c r="N434" s="69" t="s">
        <v>57</v>
      </c>
      <c r="O434" s="64">
        <v>1</v>
      </c>
      <c r="P434" s="72">
        <v>350000</v>
      </c>
      <c r="Q434" s="69" t="s">
        <v>2313</v>
      </c>
      <c r="R434" s="69"/>
      <c r="S434" s="68" t="s">
        <v>106</v>
      </c>
      <c r="T434" s="56">
        <v>5</v>
      </c>
      <c r="U434" s="56">
        <v>6</v>
      </c>
    </row>
    <row r="435" spans="1:21" ht="14.25" customHeight="1" x14ac:dyDescent="0.35">
      <c r="A435" s="47">
        <v>419</v>
      </c>
      <c r="B435" s="69" t="s">
        <v>2304</v>
      </c>
      <c r="C435" s="69" t="s">
        <v>2305</v>
      </c>
      <c r="D435" s="70" t="s">
        <v>97</v>
      </c>
      <c r="E435" s="69" t="s">
        <v>2306</v>
      </c>
      <c r="F435" s="69" t="s">
        <v>2307</v>
      </c>
      <c r="G435" s="69" t="s">
        <v>2318</v>
      </c>
      <c r="H435" s="70">
        <v>2016</v>
      </c>
      <c r="I435" s="69" t="s">
        <v>63</v>
      </c>
      <c r="J435" s="69" t="s">
        <v>2319</v>
      </c>
      <c r="K435" s="71" t="s">
        <v>2320</v>
      </c>
      <c r="L435" s="71" t="s">
        <v>2321</v>
      </c>
      <c r="M435" s="71" t="s">
        <v>2318</v>
      </c>
      <c r="N435" s="69" t="s">
        <v>57</v>
      </c>
      <c r="O435" s="64">
        <v>1</v>
      </c>
      <c r="P435" s="72">
        <v>350000</v>
      </c>
      <c r="Q435" s="69" t="s">
        <v>2313</v>
      </c>
      <c r="R435" s="69"/>
      <c r="S435" s="68" t="s">
        <v>106</v>
      </c>
      <c r="T435" s="56">
        <v>5</v>
      </c>
      <c r="U435" s="56">
        <v>6</v>
      </c>
    </row>
    <row r="436" spans="1:21" ht="14.25" customHeight="1" thickBot="1" x14ac:dyDescent="0.4">
      <c r="A436" s="58">
        <v>420</v>
      </c>
      <c r="B436" s="69" t="s">
        <v>2304</v>
      </c>
      <c r="C436" s="69" t="s">
        <v>2305</v>
      </c>
      <c r="D436" s="70" t="s">
        <v>101</v>
      </c>
      <c r="E436" s="69" t="s">
        <v>2306</v>
      </c>
      <c r="F436" s="69" t="s">
        <v>2307</v>
      </c>
      <c r="G436" s="69" t="s">
        <v>2308</v>
      </c>
      <c r="H436" s="70">
        <v>2016</v>
      </c>
      <c r="I436" s="69" t="s">
        <v>63</v>
      </c>
      <c r="J436" s="69" t="s">
        <v>2309</v>
      </c>
      <c r="K436" s="71" t="s">
        <v>2322</v>
      </c>
      <c r="L436" s="71" t="s">
        <v>2323</v>
      </c>
      <c r="M436" s="71" t="s">
        <v>2308</v>
      </c>
      <c r="N436" s="69" t="s">
        <v>57</v>
      </c>
      <c r="O436" s="64">
        <v>1</v>
      </c>
      <c r="P436" s="72">
        <v>350000</v>
      </c>
      <c r="Q436" s="69" t="s">
        <v>2313</v>
      </c>
      <c r="R436" s="69"/>
      <c r="S436" s="68" t="s">
        <v>106</v>
      </c>
      <c r="T436" s="56">
        <v>5</v>
      </c>
      <c r="U436" s="56">
        <v>6</v>
      </c>
    </row>
    <row r="437" spans="1:21" ht="14.25" customHeight="1" x14ac:dyDescent="0.35">
      <c r="A437" s="47">
        <v>421</v>
      </c>
      <c r="B437" s="69" t="s">
        <v>2324</v>
      </c>
      <c r="C437" s="69" t="s">
        <v>2325</v>
      </c>
      <c r="D437" s="70" t="s">
        <v>51</v>
      </c>
      <c r="E437" s="69" t="s">
        <v>63</v>
      </c>
      <c r="F437" s="93">
        <v>4.7779999999999996</v>
      </c>
      <c r="G437" s="69" t="s">
        <v>415</v>
      </c>
      <c r="H437" s="70">
        <v>2023</v>
      </c>
      <c r="I437" s="69" t="s">
        <v>63</v>
      </c>
      <c r="J437" s="105" t="s">
        <v>2326</v>
      </c>
      <c r="K437" s="105" t="s">
        <v>2327</v>
      </c>
      <c r="L437" s="115" t="s">
        <v>2328</v>
      </c>
      <c r="M437" s="115" t="s">
        <v>2329</v>
      </c>
      <c r="N437" s="69" t="s">
        <v>44</v>
      </c>
      <c r="O437" s="64">
        <v>1</v>
      </c>
      <c r="P437" s="72">
        <v>988000</v>
      </c>
      <c r="Q437" s="69" t="s">
        <v>2330</v>
      </c>
      <c r="R437" s="69"/>
      <c r="S437" s="68" t="s">
        <v>106</v>
      </c>
      <c r="T437" s="56">
        <v>5</v>
      </c>
      <c r="U437" s="56">
        <v>6</v>
      </c>
    </row>
    <row r="438" spans="1:21" ht="14.25" customHeight="1" thickBot="1" x14ac:dyDescent="0.4">
      <c r="A438" s="58">
        <v>422</v>
      </c>
      <c r="B438" s="69" t="s">
        <v>1806</v>
      </c>
      <c r="C438" s="69" t="s">
        <v>1807</v>
      </c>
      <c r="D438" s="70" t="s">
        <v>97</v>
      </c>
      <c r="E438" s="69" t="s">
        <v>2331</v>
      </c>
      <c r="F438" s="69" t="s">
        <v>2332</v>
      </c>
      <c r="G438" s="69" t="s">
        <v>54</v>
      </c>
      <c r="H438" s="70">
        <v>2023</v>
      </c>
      <c r="I438" s="69" t="s">
        <v>63</v>
      </c>
      <c r="J438" s="69" t="s">
        <v>2333</v>
      </c>
      <c r="K438" s="71" t="s">
        <v>2334</v>
      </c>
      <c r="L438" s="71" t="s">
        <v>2335</v>
      </c>
      <c r="M438" s="71" t="s">
        <v>2336</v>
      </c>
      <c r="N438" s="69" t="s">
        <v>44</v>
      </c>
      <c r="O438" s="64">
        <v>1</v>
      </c>
      <c r="P438" s="72">
        <v>554200</v>
      </c>
      <c r="Q438" s="69" t="s">
        <v>2337</v>
      </c>
      <c r="R438" s="69"/>
      <c r="S438" s="68" t="s">
        <v>128</v>
      </c>
      <c r="T438" s="56">
        <v>6</v>
      </c>
      <c r="U438" s="56">
        <v>4</v>
      </c>
    </row>
    <row r="439" spans="1:21" ht="14.25" customHeight="1" x14ac:dyDescent="0.35">
      <c r="A439" s="47">
        <v>423</v>
      </c>
      <c r="B439" s="69" t="s">
        <v>70</v>
      </c>
      <c r="C439" s="69" t="s">
        <v>71</v>
      </c>
      <c r="D439" s="70" t="s">
        <v>51</v>
      </c>
      <c r="E439" s="69" t="s">
        <v>2338</v>
      </c>
      <c r="F439" s="69">
        <v>1462</v>
      </c>
      <c r="G439" s="69" t="s">
        <v>140</v>
      </c>
      <c r="H439" s="70">
        <v>2024</v>
      </c>
      <c r="I439" s="69" t="s">
        <v>63</v>
      </c>
      <c r="J439" s="69" t="s">
        <v>2339</v>
      </c>
      <c r="K439" s="71" t="s">
        <v>2340</v>
      </c>
      <c r="L439" s="71" t="s">
        <v>2341</v>
      </c>
      <c r="M439" s="71" t="s">
        <v>2342</v>
      </c>
      <c r="N439" s="69" t="s">
        <v>44</v>
      </c>
      <c r="O439" s="64">
        <v>1</v>
      </c>
      <c r="P439" s="72">
        <v>190000</v>
      </c>
      <c r="Q439" s="69" t="s">
        <v>2343</v>
      </c>
      <c r="R439" s="69"/>
      <c r="S439" s="68" t="s">
        <v>128</v>
      </c>
      <c r="T439" s="56">
        <v>6</v>
      </c>
      <c r="U439" s="56">
        <v>4</v>
      </c>
    </row>
    <row r="440" spans="1:21" ht="14.25" customHeight="1" thickBot="1" x14ac:dyDescent="0.4">
      <c r="A440" s="58">
        <v>424</v>
      </c>
      <c r="B440" s="69" t="s">
        <v>79</v>
      </c>
      <c r="C440" s="69" t="s">
        <v>80</v>
      </c>
      <c r="D440" s="70" t="s">
        <v>51</v>
      </c>
      <c r="E440" s="69" t="s">
        <v>1383</v>
      </c>
      <c r="F440" s="69" t="s">
        <v>163</v>
      </c>
      <c r="G440" s="69" t="s">
        <v>140</v>
      </c>
      <c r="H440" s="70">
        <v>2015</v>
      </c>
      <c r="I440" s="69" t="s">
        <v>63</v>
      </c>
      <c r="J440" s="69" t="s">
        <v>2344</v>
      </c>
      <c r="K440" s="71" t="s">
        <v>2345</v>
      </c>
      <c r="L440" s="71" t="s">
        <v>2346</v>
      </c>
      <c r="M440" s="71" t="s">
        <v>2347</v>
      </c>
      <c r="N440" s="69" t="s">
        <v>57</v>
      </c>
      <c r="O440" s="64">
        <v>1</v>
      </c>
      <c r="P440" s="72">
        <v>14962.333000000001</v>
      </c>
      <c r="Q440" s="69" t="s">
        <v>2348</v>
      </c>
      <c r="R440" s="69"/>
      <c r="S440" s="68" t="s">
        <v>128</v>
      </c>
      <c r="T440" s="56">
        <v>6</v>
      </c>
      <c r="U440" s="56">
        <v>3</v>
      </c>
    </row>
    <row r="441" spans="1:21" ht="14.25" customHeight="1" x14ac:dyDescent="0.35">
      <c r="A441" s="47">
        <v>425</v>
      </c>
      <c r="B441" s="69" t="s">
        <v>79</v>
      </c>
      <c r="C441" s="69" t="s">
        <v>80</v>
      </c>
      <c r="D441" s="70" t="s">
        <v>59</v>
      </c>
      <c r="E441" s="69" t="s">
        <v>147</v>
      </c>
      <c r="F441" s="69" t="s">
        <v>148</v>
      </c>
      <c r="G441" s="69" t="s">
        <v>140</v>
      </c>
      <c r="H441" s="70">
        <v>2015</v>
      </c>
      <c r="I441" s="69"/>
      <c r="J441" s="69" t="s">
        <v>2349</v>
      </c>
      <c r="K441" s="71" t="s">
        <v>2350</v>
      </c>
      <c r="L441" s="71" t="s">
        <v>2351</v>
      </c>
      <c r="M441" s="71" t="s">
        <v>2352</v>
      </c>
      <c r="N441" s="69" t="s">
        <v>57</v>
      </c>
      <c r="O441" s="64">
        <v>1</v>
      </c>
      <c r="P441" s="72">
        <v>19430</v>
      </c>
      <c r="Q441" s="69" t="s">
        <v>2353</v>
      </c>
      <c r="R441" s="69"/>
      <c r="S441" s="68" t="s">
        <v>128</v>
      </c>
      <c r="T441" s="56">
        <v>6</v>
      </c>
      <c r="U441" s="56">
        <v>3</v>
      </c>
    </row>
    <row r="442" spans="1:21" ht="14.25" customHeight="1" thickBot="1" x14ac:dyDescent="0.4">
      <c r="A442" s="58">
        <v>426</v>
      </c>
      <c r="B442" s="69" t="s">
        <v>79</v>
      </c>
      <c r="C442" s="69" t="s">
        <v>80</v>
      </c>
      <c r="D442" s="70" t="s">
        <v>97</v>
      </c>
      <c r="E442" s="69" t="s">
        <v>2354</v>
      </c>
      <c r="F442" s="69" t="s">
        <v>88</v>
      </c>
      <c r="G442" s="69" t="s">
        <v>140</v>
      </c>
      <c r="H442" s="70">
        <v>2010</v>
      </c>
      <c r="I442" s="69" t="s">
        <v>63</v>
      </c>
      <c r="J442" s="69" t="s">
        <v>2355</v>
      </c>
      <c r="K442" s="71" t="s">
        <v>2356</v>
      </c>
      <c r="L442" s="71" t="s">
        <v>2357</v>
      </c>
      <c r="M442" s="71" t="s">
        <v>2358</v>
      </c>
      <c r="N442" s="69" t="s">
        <v>57</v>
      </c>
      <c r="O442" s="64">
        <v>1</v>
      </c>
      <c r="P442" s="72">
        <v>17890</v>
      </c>
      <c r="Q442" s="69" t="s">
        <v>2359</v>
      </c>
      <c r="R442" s="69"/>
      <c r="S442" s="68" t="s">
        <v>128</v>
      </c>
      <c r="T442" s="56">
        <v>6</v>
      </c>
      <c r="U442" s="56">
        <v>3</v>
      </c>
    </row>
    <row r="443" spans="1:21" ht="14.25" customHeight="1" x14ac:dyDescent="0.35">
      <c r="A443" s="47">
        <v>427</v>
      </c>
      <c r="B443" s="69" t="s">
        <v>79</v>
      </c>
      <c r="C443" s="69" t="s">
        <v>80</v>
      </c>
      <c r="D443" s="70" t="s">
        <v>101</v>
      </c>
      <c r="E443" s="69" t="s">
        <v>2354</v>
      </c>
      <c r="F443" s="69" t="s">
        <v>88</v>
      </c>
      <c r="G443" s="69" t="s">
        <v>140</v>
      </c>
      <c r="H443" s="70">
        <v>2010</v>
      </c>
      <c r="I443" s="69" t="s">
        <v>63</v>
      </c>
      <c r="J443" s="69" t="s">
        <v>2360</v>
      </c>
      <c r="K443" s="71" t="s">
        <v>2361</v>
      </c>
      <c r="L443" s="71" t="s">
        <v>2362</v>
      </c>
      <c r="M443" s="71" t="s">
        <v>2363</v>
      </c>
      <c r="N443" s="69" t="s">
        <v>57</v>
      </c>
      <c r="O443" s="64">
        <v>1</v>
      </c>
      <c r="P443" s="72">
        <v>17890</v>
      </c>
      <c r="Q443" s="69" t="s">
        <v>2364</v>
      </c>
      <c r="R443" s="69"/>
      <c r="S443" s="68" t="s">
        <v>128</v>
      </c>
      <c r="T443" s="56">
        <v>6</v>
      </c>
      <c r="U443" s="56">
        <v>3</v>
      </c>
    </row>
    <row r="444" spans="1:21" ht="14.25" customHeight="1" thickBot="1" x14ac:dyDescent="0.4">
      <c r="A444" s="58">
        <v>428</v>
      </c>
      <c r="B444" s="69" t="s">
        <v>79</v>
      </c>
      <c r="C444" s="69" t="s">
        <v>80</v>
      </c>
      <c r="D444" s="70" t="s">
        <v>107</v>
      </c>
      <c r="E444" s="69" t="s">
        <v>2354</v>
      </c>
      <c r="F444" s="69" t="s">
        <v>88</v>
      </c>
      <c r="G444" s="69" t="s">
        <v>140</v>
      </c>
      <c r="H444" s="70">
        <v>2010</v>
      </c>
      <c r="I444" s="69" t="s">
        <v>63</v>
      </c>
      <c r="J444" s="69" t="s">
        <v>2365</v>
      </c>
      <c r="K444" s="71" t="s">
        <v>2366</v>
      </c>
      <c r="L444" s="71" t="s">
        <v>2367</v>
      </c>
      <c r="M444" s="71" t="s">
        <v>2368</v>
      </c>
      <c r="N444" s="69" t="s">
        <v>57</v>
      </c>
      <c r="O444" s="64">
        <v>1</v>
      </c>
      <c r="P444" s="72">
        <v>17890</v>
      </c>
      <c r="Q444" s="69" t="s">
        <v>2369</v>
      </c>
      <c r="R444" s="69"/>
      <c r="S444" s="68" t="s">
        <v>128</v>
      </c>
      <c r="T444" s="56">
        <v>6</v>
      </c>
      <c r="U444" s="56">
        <v>3</v>
      </c>
    </row>
    <row r="445" spans="1:21" ht="14.25" customHeight="1" x14ac:dyDescent="0.35">
      <c r="A445" s="47">
        <v>429</v>
      </c>
      <c r="B445" s="69" t="s">
        <v>79</v>
      </c>
      <c r="C445" s="69" t="s">
        <v>80</v>
      </c>
      <c r="D445" s="70" t="s">
        <v>116</v>
      </c>
      <c r="E445" s="69" t="s">
        <v>2354</v>
      </c>
      <c r="F445" s="69" t="s">
        <v>88</v>
      </c>
      <c r="G445" s="69" t="s">
        <v>140</v>
      </c>
      <c r="H445" s="70">
        <v>2010</v>
      </c>
      <c r="I445" s="69" t="s">
        <v>63</v>
      </c>
      <c r="J445" s="69" t="s">
        <v>2370</v>
      </c>
      <c r="K445" s="71" t="s">
        <v>2371</v>
      </c>
      <c r="L445" s="71" t="s">
        <v>2372</v>
      </c>
      <c r="M445" s="71" t="s">
        <v>2373</v>
      </c>
      <c r="N445" s="69" t="s">
        <v>57</v>
      </c>
      <c r="O445" s="64">
        <v>1</v>
      </c>
      <c r="P445" s="72">
        <v>17890</v>
      </c>
      <c r="Q445" s="69" t="s">
        <v>2374</v>
      </c>
      <c r="R445" s="69"/>
      <c r="S445" s="68" t="s">
        <v>128</v>
      </c>
      <c r="T445" s="56">
        <v>6</v>
      </c>
      <c r="U445" s="56">
        <v>3</v>
      </c>
    </row>
    <row r="446" spans="1:21" ht="14.25" customHeight="1" thickBot="1" x14ac:dyDescent="0.4">
      <c r="A446" s="58">
        <v>430</v>
      </c>
      <c r="B446" s="69" t="s">
        <v>79</v>
      </c>
      <c r="C446" s="69" t="s">
        <v>80</v>
      </c>
      <c r="D446" s="70" t="s">
        <v>841</v>
      </c>
      <c r="E446" s="69" t="s">
        <v>2354</v>
      </c>
      <c r="F446" s="69" t="s">
        <v>88</v>
      </c>
      <c r="G446" s="69" t="s">
        <v>140</v>
      </c>
      <c r="H446" s="70">
        <v>2010</v>
      </c>
      <c r="I446" s="69" t="s">
        <v>63</v>
      </c>
      <c r="J446" s="69" t="s">
        <v>2375</v>
      </c>
      <c r="K446" s="71" t="s">
        <v>2376</v>
      </c>
      <c r="L446" s="71" t="s">
        <v>2377</v>
      </c>
      <c r="M446" s="71" t="s">
        <v>2378</v>
      </c>
      <c r="N446" s="69" t="s">
        <v>57</v>
      </c>
      <c r="O446" s="64">
        <v>1</v>
      </c>
      <c r="P446" s="72">
        <v>17890</v>
      </c>
      <c r="Q446" s="69" t="s">
        <v>2379</v>
      </c>
      <c r="R446" s="69"/>
      <c r="S446" s="68" t="s">
        <v>128</v>
      </c>
      <c r="T446" s="56">
        <v>6</v>
      </c>
      <c r="U446" s="56">
        <v>3</v>
      </c>
    </row>
    <row r="447" spans="1:21" ht="14.25" customHeight="1" x14ac:dyDescent="0.35">
      <c r="A447" s="47">
        <v>431</v>
      </c>
      <c r="B447" s="69" t="s">
        <v>79</v>
      </c>
      <c r="C447" s="69" t="s">
        <v>80</v>
      </c>
      <c r="D447" s="70" t="s">
        <v>904</v>
      </c>
      <c r="E447" s="69" t="s">
        <v>2354</v>
      </c>
      <c r="F447" s="69" t="s">
        <v>88</v>
      </c>
      <c r="G447" s="69" t="s">
        <v>140</v>
      </c>
      <c r="H447" s="70">
        <v>2010</v>
      </c>
      <c r="I447" s="69" t="s">
        <v>63</v>
      </c>
      <c r="J447" s="69" t="s">
        <v>2380</v>
      </c>
      <c r="K447" s="71" t="s">
        <v>2381</v>
      </c>
      <c r="L447" s="71" t="s">
        <v>2382</v>
      </c>
      <c r="M447" s="71" t="s">
        <v>2383</v>
      </c>
      <c r="N447" s="69" t="s">
        <v>57</v>
      </c>
      <c r="O447" s="64">
        <v>1</v>
      </c>
      <c r="P447" s="72">
        <v>17890</v>
      </c>
      <c r="Q447" s="69" t="s">
        <v>2384</v>
      </c>
      <c r="R447" s="69"/>
      <c r="S447" s="68" t="s">
        <v>128</v>
      </c>
      <c r="T447" s="56">
        <v>6</v>
      </c>
      <c r="U447" s="56">
        <v>3</v>
      </c>
    </row>
    <row r="448" spans="1:21" ht="14.25" customHeight="1" thickBot="1" x14ac:dyDescent="0.4">
      <c r="A448" s="58">
        <v>432</v>
      </c>
      <c r="B448" s="69" t="s">
        <v>79</v>
      </c>
      <c r="C448" s="69" t="s">
        <v>80</v>
      </c>
      <c r="D448" s="70" t="s">
        <v>122</v>
      </c>
      <c r="E448" s="69" t="s">
        <v>2385</v>
      </c>
      <c r="F448" s="69" t="s">
        <v>2386</v>
      </c>
      <c r="G448" s="69" t="s">
        <v>54</v>
      </c>
      <c r="H448" s="70">
        <v>2008</v>
      </c>
      <c r="I448" s="69"/>
      <c r="J448" s="69" t="s">
        <v>2387</v>
      </c>
      <c r="K448" s="71" t="s">
        <v>2388</v>
      </c>
      <c r="L448" s="71" t="s">
        <v>2389</v>
      </c>
      <c r="M448" s="71" t="s">
        <v>2390</v>
      </c>
      <c r="N448" s="69" t="s">
        <v>57</v>
      </c>
      <c r="O448" s="64">
        <v>1</v>
      </c>
      <c r="P448" s="72">
        <v>16950</v>
      </c>
      <c r="Q448" s="69" t="s">
        <v>2391</v>
      </c>
      <c r="R448" s="69"/>
      <c r="S448" s="68" t="s">
        <v>128</v>
      </c>
      <c r="T448" s="56">
        <v>6</v>
      </c>
      <c r="U448" s="56">
        <v>3</v>
      </c>
    </row>
    <row r="449" spans="1:21" ht="14.25" customHeight="1" x14ac:dyDescent="0.35">
      <c r="A449" s="47">
        <v>433</v>
      </c>
      <c r="B449" s="69" t="s">
        <v>79</v>
      </c>
      <c r="C449" s="69" t="s">
        <v>80</v>
      </c>
      <c r="D449" s="70" t="s">
        <v>126</v>
      </c>
      <c r="E449" s="69" t="s">
        <v>2392</v>
      </c>
      <c r="F449" s="69" t="s">
        <v>88</v>
      </c>
      <c r="G449" s="69" t="s">
        <v>54</v>
      </c>
      <c r="H449" s="70">
        <v>2008</v>
      </c>
      <c r="I449" s="69" t="s">
        <v>63</v>
      </c>
      <c r="J449" s="69" t="s">
        <v>2393</v>
      </c>
      <c r="K449" s="71" t="s">
        <v>2394</v>
      </c>
      <c r="L449" s="71" t="s">
        <v>2395</v>
      </c>
      <c r="M449" s="71" t="s">
        <v>2396</v>
      </c>
      <c r="N449" s="69" t="s">
        <v>57</v>
      </c>
      <c r="O449" s="64">
        <v>1</v>
      </c>
      <c r="P449" s="72">
        <v>16950</v>
      </c>
      <c r="Q449" s="69" t="s">
        <v>2397</v>
      </c>
      <c r="R449" s="69"/>
      <c r="S449" s="68" t="s">
        <v>128</v>
      </c>
      <c r="T449" s="56">
        <v>6</v>
      </c>
      <c r="U449" s="56">
        <v>3</v>
      </c>
    </row>
    <row r="450" spans="1:21" ht="14.25" customHeight="1" thickBot="1" x14ac:dyDescent="0.4">
      <c r="A450" s="58">
        <v>434</v>
      </c>
      <c r="B450" s="69" t="s">
        <v>79</v>
      </c>
      <c r="C450" s="69" t="s">
        <v>80</v>
      </c>
      <c r="D450" s="70" t="s">
        <v>132</v>
      </c>
      <c r="E450" s="69" t="s">
        <v>2398</v>
      </c>
      <c r="F450" s="69" t="s">
        <v>148</v>
      </c>
      <c r="G450" s="69" t="s">
        <v>140</v>
      </c>
      <c r="H450" s="70">
        <v>2023</v>
      </c>
      <c r="I450" s="69" t="s">
        <v>63</v>
      </c>
      <c r="J450" s="69" t="s">
        <v>2399</v>
      </c>
      <c r="K450" s="71" t="s">
        <v>2400</v>
      </c>
      <c r="L450" s="71" t="s">
        <v>2401</v>
      </c>
      <c r="M450" s="71" t="s">
        <v>2402</v>
      </c>
      <c r="N450" s="69" t="s">
        <v>44</v>
      </c>
      <c r="O450" s="64">
        <v>1</v>
      </c>
      <c r="P450" s="72">
        <v>22089</v>
      </c>
      <c r="Q450" s="69" t="s">
        <v>2403</v>
      </c>
      <c r="R450" s="69"/>
      <c r="S450" s="68" t="s">
        <v>128</v>
      </c>
      <c r="T450" s="56">
        <v>6</v>
      </c>
      <c r="U450" s="56">
        <v>3</v>
      </c>
    </row>
    <row r="451" spans="1:21" ht="14.25" customHeight="1" x14ac:dyDescent="0.35">
      <c r="A451" s="47">
        <v>435</v>
      </c>
      <c r="B451" s="69" t="s">
        <v>79</v>
      </c>
      <c r="C451" s="69" t="s">
        <v>80</v>
      </c>
      <c r="D451" s="70" t="s">
        <v>137</v>
      </c>
      <c r="E451" s="69" t="s">
        <v>2404</v>
      </c>
      <c r="F451" s="69" t="s">
        <v>148</v>
      </c>
      <c r="G451" s="69" t="s">
        <v>140</v>
      </c>
      <c r="H451" s="70">
        <v>2023</v>
      </c>
      <c r="I451" s="69" t="s">
        <v>63</v>
      </c>
      <c r="J451" s="69" t="s">
        <v>2405</v>
      </c>
      <c r="K451" s="71" t="s">
        <v>2406</v>
      </c>
      <c r="L451" s="71" t="s">
        <v>2407</v>
      </c>
      <c r="M451" s="71" t="s">
        <v>2408</v>
      </c>
      <c r="N451" s="69" t="s">
        <v>44</v>
      </c>
      <c r="O451" s="64">
        <v>1</v>
      </c>
      <c r="P451" s="72">
        <v>22089</v>
      </c>
      <c r="Q451" s="69" t="s">
        <v>2409</v>
      </c>
      <c r="R451" s="69"/>
      <c r="S451" s="68" t="s">
        <v>128</v>
      </c>
      <c r="T451" s="56">
        <v>6</v>
      </c>
      <c r="U451" s="56">
        <v>3</v>
      </c>
    </row>
    <row r="452" spans="1:21" ht="14.25" customHeight="1" thickBot="1" x14ac:dyDescent="0.4">
      <c r="A452" s="58">
        <v>436</v>
      </c>
      <c r="B452" s="69" t="s">
        <v>79</v>
      </c>
      <c r="C452" s="69" t="s">
        <v>80</v>
      </c>
      <c r="D452" s="70" t="s">
        <v>146</v>
      </c>
      <c r="E452" s="69" t="s">
        <v>2398</v>
      </c>
      <c r="F452" s="69" t="s">
        <v>148</v>
      </c>
      <c r="G452" s="69" t="s">
        <v>140</v>
      </c>
      <c r="H452" s="70">
        <v>2023</v>
      </c>
      <c r="I452" s="69" t="s">
        <v>63</v>
      </c>
      <c r="J452" s="69" t="s">
        <v>2410</v>
      </c>
      <c r="K452" s="71" t="s">
        <v>2411</v>
      </c>
      <c r="L452" s="71" t="s">
        <v>2412</v>
      </c>
      <c r="M452" s="71" t="s">
        <v>2413</v>
      </c>
      <c r="N452" s="69" t="s">
        <v>44</v>
      </c>
      <c r="O452" s="64">
        <v>1</v>
      </c>
      <c r="P452" s="72">
        <v>22089</v>
      </c>
      <c r="Q452" s="69" t="s">
        <v>2414</v>
      </c>
      <c r="R452" s="69"/>
      <c r="S452" s="68" t="s">
        <v>128</v>
      </c>
      <c r="T452" s="56">
        <v>6</v>
      </c>
      <c r="U452" s="56">
        <v>3</v>
      </c>
    </row>
    <row r="453" spans="1:21" ht="14.25" customHeight="1" x14ac:dyDescent="0.35">
      <c r="A453" s="47">
        <v>437</v>
      </c>
      <c r="B453" s="69" t="s">
        <v>79</v>
      </c>
      <c r="C453" s="69" t="s">
        <v>80</v>
      </c>
      <c r="D453" s="70" t="s">
        <v>154</v>
      </c>
      <c r="E453" s="69" t="s">
        <v>2415</v>
      </c>
      <c r="F453" s="69" t="s">
        <v>2416</v>
      </c>
      <c r="G453" s="69" t="s">
        <v>2417</v>
      </c>
      <c r="H453" s="70">
        <v>2023</v>
      </c>
      <c r="I453" s="69" t="s">
        <v>63</v>
      </c>
      <c r="J453" s="69" t="s">
        <v>2418</v>
      </c>
      <c r="K453" s="71" t="s">
        <v>2419</v>
      </c>
      <c r="L453" s="71" t="s">
        <v>2420</v>
      </c>
      <c r="M453" s="71" t="s">
        <v>2421</v>
      </c>
      <c r="N453" s="69" t="s">
        <v>44</v>
      </c>
      <c r="O453" s="64">
        <v>1</v>
      </c>
      <c r="P453" s="72">
        <v>27450</v>
      </c>
      <c r="Q453" s="69" t="s">
        <v>2422</v>
      </c>
      <c r="R453" s="69"/>
      <c r="S453" s="68" t="s">
        <v>128</v>
      </c>
      <c r="T453" s="56">
        <v>6</v>
      </c>
      <c r="U453" s="56">
        <v>3</v>
      </c>
    </row>
    <row r="454" spans="1:21" ht="14.25" customHeight="1" thickBot="1" x14ac:dyDescent="0.4">
      <c r="A454" s="58">
        <v>438</v>
      </c>
      <c r="B454" s="69" t="s">
        <v>79</v>
      </c>
      <c r="C454" s="69" t="s">
        <v>80</v>
      </c>
      <c r="D454" s="70" t="s">
        <v>161</v>
      </c>
      <c r="E454" s="69" t="s">
        <v>2415</v>
      </c>
      <c r="F454" s="69" t="s">
        <v>2416</v>
      </c>
      <c r="G454" s="69" t="s">
        <v>2417</v>
      </c>
      <c r="H454" s="70">
        <v>2023</v>
      </c>
      <c r="I454" s="69" t="s">
        <v>63</v>
      </c>
      <c r="J454" s="69" t="s">
        <v>2423</v>
      </c>
      <c r="K454" s="71" t="s">
        <v>2424</v>
      </c>
      <c r="L454" s="71" t="s">
        <v>2425</v>
      </c>
      <c r="M454" s="71" t="s">
        <v>2426</v>
      </c>
      <c r="N454" s="69" t="s">
        <v>44</v>
      </c>
      <c r="O454" s="64">
        <v>1</v>
      </c>
      <c r="P454" s="72">
        <v>27450</v>
      </c>
      <c r="Q454" s="69" t="s">
        <v>2427</v>
      </c>
      <c r="R454" s="69"/>
      <c r="S454" s="68" t="s">
        <v>128</v>
      </c>
      <c r="T454" s="56">
        <v>6</v>
      </c>
      <c r="U454" s="56">
        <v>3</v>
      </c>
    </row>
    <row r="455" spans="1:21" ht="14.25" customHeight="1" x14ac:dyDescent="0.35">
      <c r="A455" s="47">
        <v>439</v>
      </c>
      <c r="B455" s="69" t="s">
        <v>79</v>
      </c>
      <c r="C455" s="69" t="s">
        <v>80</v>
      </c>
      <c r="D455" s="70" t="s">
        <v>169</v>
      </c>
      <c r="E455" s="69" t="s">
        <v>2415</v>
      </c>
      <c r="F455" s="69" t="s">
        <v>2416</v>
      </c>
      <c r="G455" s="69" t="s">
        <v>2417</v>
      </c>
      <c r="H455" s="70">
        <v>2023</v>
      </c>
      <c r="I455" s="69" t="s">
        <v>63</v>
      </c>
      <c r="J455" s="69" t="s">
        <v>2428</v>
      </c>
      <c r="K455" s="71" t="s">
        <v>2429</v>
      </c>
      <c r="L455" s="71" t="s">
        <v>2430</v>
      </c>
      <c r="M455" s="71" t="s">
        <v>2431</v>
      </c>
      <c r="N455" s="69" t="s">
        <v>44</v>
      </c>
      <c r="O455" s="64">
        <v>1</v>
      </c>
      <c r="P455" s="72">
        <v>27450</v>
      </c>
      <c r="Q455" s="69" t="s">
        <v>2432</v>
      </c>
      <c r="R455" s="69"/>
      <c r="S455" s="68" t="s">
        <v>128</v>
      </c>
      <c r="T455" s="56">
        <v>6</v>
      </c>
      <c r="U455" s="56">
        <v>3</v>
      </c>
    </row>
    <row r="456" spans="1:21" ht="14.25" customHeight="1" thickBot="1" x14ac:dyDescent="0.4">
      <c r="A456" s="58">
        <v>440</v>
      </c>
      <c r="B456" s="69" t="s">
        <v>79</v>
      </c>
      <c r="C456" s="69" t="s">
        <v>80</v>
      </c>
      <c r="D456" s="70" t="s">
        <v>176</v>
      </c>
      <c r="E456" s="69" t="s">
        <v>2415</v>
      </c>
      <c r="F456" s="69" t="s">
        <v>2416</v>
      </c>
      <c r="G456" s="69" t="s">
        <v>2417</v>
      </c>
      <c r="H456" s="70">
        <v>2023</v>
      </c>
      <c r="I456" s="69" t="s">
        <v>63</v>
      </c>
      <c r="J456" s="69" t="s">
        <v>2433</v>
      </c>
      <c r="K456" s="71" t="s">
        <v>2434</v>
      </c>
      <c r="L456" s="71" t="s">
        <v>2435</v>
      </c>
      <c r="M456" s="71" t="s">
        <v>2436</v>
      </c>
      <c r="N456" s="69" t="s">
        <v>44</v>
      </c>
      <c r="O456" s="64">
        <v>1</v>
      </c>
      <c r="P456" s="72">
        <v>27450</v>
      </c>
      <c r="Q456" s="69" t="s">
        <v>2437</v>
      </c>
      <c r="R456" s="69"/>
      <c r="S456" s="68" t="s">
        <v>128</v>
      </c>
      <c r="T456" s="56">
        <v>6</v>
      </c>
      <c r="U456" s="56">
        <v>3</v>
      </c>
    </row>
    <row r="457" spans="1:21" ht="14.25" customHeight="1" x14ac:dyDescent="0.35">
      <c r="A457" s="47">
        <v>441</v>
      </c>
      <c r="B457" s="69" t="s">
        <v>79</v>
      </c>
      <c r="C457" s="69" t="s">
        <v>80</v>
      </c>
      <c r="D457" s="70" t="s">
        <v>1236</v>
      </c>
      <c r="E457" s="69" t="s">
        <v>2415</v>
      </c>
      <c r="F457" s="69" t="s">
        <v>2416</v>
      </c>
      <c r="G457" s="69" t="s">
        <v>2417</v>
      </c>
      <c r="H457" s="70">
        <v>2023</v>
      </c>
      <c r="I457" s="69" t="s">
        <v>63</v>
      </c>
      <c r="J457" s="69" t="s">
        <v>2438</v>
      </c>
      <c r="K457" s="71" t="s">
        <v>2439</v>
      </c>
      <c r="L457" s="71" t="s">
        <v>2430</v>
      </c>
      <c r="M457" s="71" t="s">
        <v>2431</v>
      </c>
      <c r="N457" s="69" t="s">
        <v>44</v>
      </c>
      <c r="O457" s="64">
        <v>1</v>
      </c>
      <c r="P457" s="72">
        <v>27450</v>
      </c>
      <c r="Q457" s="69" t="s">
        <v>2440</v>
      </c>
      <c r="R457" s="69"/>
      <c r="S457" s="68" t="s">
        <v>128</v>
      </c>
      <c r="T457" s="56">
        <v>6</v>
      </c>
      <c r="U457" s="56">
        <v>3</v>
      </c>
    </row>
    <row r="458" spans="1:21" ht="14.25" customHeight="1" thickBot="1" x14ac:dyDescent="0.4">
      <c r="A458" s="58">
        <v>442</v>
      </c>
      <c r="B458" s="69" t="s">
        <v>79</v>
      </c>
      <c r="C458" s="69" t="s">
        <v>80</v>
      </c>
      <c r="D458" s="70" t="s">
        <v>181</v>
      </c>
      <c r="E458" s="69" t="s">
        <v>2441</v>
      </c>
      <c r="F458" s="69" t="s">
        <v>2442</v>
      </c>
      <c r="G458" s="69" t="s">
        <v>2443</v>
      </c>
      <c r="H458" s="70">
        <v>2024</v>
      </c>
      <c r="I458" s="69" t="s">
        <v>63</v>
      </c>
      <c r="J458" s="69" t="s">
        <v>2444</v>
      </c>
      <c r="K458" s="71" t="s">
        <v>2445</v>
      </c>
      <c r="L458" s="71" t="s">
        <v>2446</v>
      </c>
      <c r="M458" s="71" t="s">
        <v>2447</v>
      </c>
      <c r="N458" s="69" t="s">
        <v>44</v>
      </c>
      <c r="O458" s="64">
        <v>1</v>
      </c>
      <c r="P458" s="72">
        <v>31000</v>
      </c>
      <c r="Q458" s="69" t="s">
        <v>2448</v>
      </c>
      <c r="R458" s="69"/>
      <c r="S458" s="68" t="s">
        <v>128</v>
      </c>
      <c r="T458" s="56">
        <v>6</v>
      </c>
      <c r="U458" s="56">
        <v>3</v>
      </c>
    </row>
    <row r="459" spans="1:21" ht="14.25" customHeight="1" x14ac:dyDescent="0.35">
      <c r="A459" s="47">
        <v>443</v>
      </c>
      <c r="B459" s="69" t="s">
        <v>79</v>
      </c>
      <c r="C459" s="69" t="s">
        <v>80</v>
      </c>
      <c r="D459" s="70" t="s">
        <v>187</v>
      </c>
      <c r="E459" s="69" t="s">
        <v>2441</v>
      </c>
      <c r="F459" s="69" t="s">
        <v>2442</v>
      </c>
      <c r="G459" s="69" t="s">
        <v>2443</v>
      </c>
      <c r="H459" s="70">
        <v>2024</v>
      </c>
      <c r="I459" s="69" t="s">
        <v>63</v>
      </c>
      <c r="J459" s="69" t="s">
        <v>2449</v>
      </c>
      <c r="K459" s="71" t="s">
        <v>2450</v>
      </c>
      <c r="L459" s="71" t="s">
        <v>2451</v>
      </c>
      <c r="M459" s="71" t="s">
        <v>2452</v>
      </c>
      <c r="N459" s="69" t="s">
        <v>44</v>
      </c>
      <c r="O459" s="64">
        <v>1</v>
      </c>
      <c r="P459" s="72">
        <v>31000</v>
      </c>
      <c r="Q459" s="69" t="s">
        <v>2453</v>
      </c>
      <c r="R459" s="69"/>
      <c r="S459" s="68" t="s">
        <v>128</v>
      </c>
      <c r="T459" s="56">
        <v>6</v>
      </c>
      <c r="U459" s="56">
        <v>3</v>
      </c>
    </row>
    <row r="460" spans="1:21" ht="14.25" customHeight="1" thickBot="1" x14ac:dyDescent="0.4">
      <c r="A460" s="58">
        <v>444</v>
      </c>
      <c r="B460" s="69" t="s">
        <v>79</v>
      </c>
      <c r="C460" s="69" t="s">
        <v>80</v>
      </c>
      <c r="D460" s="70" t="s">
        <v>190</v>
      </c>
      <c r="E460" s="69" t="s">
        <v>2441</v>
      </c>
      <c r="F460" s="69" t="s">
        <v>2442</v>
      </c>
      <c r="G460" s="69" t="s">
        <v>2443</v>
      </c>
      <c r="H460" s="70">
        <v>2024</v>
      </c>
      <c r="I460" s="69" t="s">
        <v>63</v>
      </c>
      <c r="J460" s="69" t="s">
        <v>2454</v>
      </c>
      <c r="K460" s="71" t="s">
        <v>2455</v>
      </c>
      <c r="L460" s="71" t="s">
        <v>2456</v>
      </c>
      <c r="M460" s="71" t="s">
        <v>2457</v>
      </c>
      <c r="N460" s="69" t="s">
        <v>44</v>
      </c>
      <c r="O460" s="64">
        <v>1</v>
      </c>
      <c r="P460" s="72">
        <v>31000</v>
      </c>
      <c r="Q460" s="69" t="s">
        <v>2458</v>
      </c>
      <c r="R460" s="69"/>
      <c r="S460" s="68" t="s">
        <v>128</v>
      </c>
      <c r="T460" s="56">
        <v>6</v>
      </c>
      <c r="U460" s="56">
        <v>3</v>
      </c>
    </row>
    <row r="461" spans="1:21" ht="14.25" customHeight="1" x14ac:dyDescent="0.35">
      <c r="A461" s="47">
        <v>445</v>
      </c>
      <c r="B461" s="69" t="s">
        <v>79</v>
      </c>
      <c r="C461" s="69" t="s">
        <v>80</v>
      </c>
      <c r="D461" s="70" t="s">
        <v>192</v>
      </c>
      <c r="E461" s="69" t="s">
        <v>2441</v>
      </c>
      <c r="F461" s="69" t="s">
        <v>2442</v>
      </c>
      <c r="G461" s="69" t="s">
        <v>2443</v>
      </c>
      <c r="H461" s="70">
        <v>2024</v>
      </c>
      <c r="I461" s="69" t="s">
        <v>63</v>
      </c>
      <c r="J461" s="69" t="s">
        <v>2459</v>
      </c>
      <c r="K461" s="71" t="s">
        <v>2455</v>
      </c>
      <c r="L461" s="71" t="s">
        <v>2460</v>
      </c>
      <c r="M461" s="71" t="s">
        <v>2461</v>
      </c>
      <c r="N461" s="69" t="s">
        <v>44</v>
      </c>
      <c r="O461" s="64">
        <v>1</v>
      </c>
      <c r="P461" s="72">
        <v>31000</v>
      </c>
      <c r="Q461" s="69" t="s">
        <v>2462</v>
      </c>
      <c r="R461" s="69"/>
      <c r="S461" s="68" t="s">
        <v>128</v>
      </c>
      <c r="T461" s="56">
        <v>6</v>
      </c>
      <c r="U461" s="56">
        <v>3</v>
      </c>
    </row>
    <row r="462" spans="1:21" ht="14.25" customHeight="1" thickBot="1" x14ac:dyDescent="0.4">
      <c r="A462" s="58">
        <v>446</v>
      </c>
      <c r="B462" s="69" t="s">
        <v>79</v>
      </c>
      <c r="C462" s="69" t="s">
        <v>80</v>
      </c>
      <c r="D462" s="70" t="s">
        <v>194</v>
      </c>
      <c r="E462" s="69" t="s">
        <v>2441</v>
      </c>
      <c r="F462" s="69" t="s">
        <v>2442</v>
      </c>
      <c r="G462" s="69" t="s">
        <v>2443</v>
      </c>
      <c r="H462" s="70">
        <v>2024</v>
      </c>
      <c r="I462" s="69" t="s">
        <v>63</v>
      </c>
      <c r="J462" s="69" t="s">
        <v>2463</v>
      </c>
      <c r="K462" s="71" t="s">
        <v>2464</v>
      </c>
      <c r="L462" s="71" t="s">
        <v>2465</v>
      </c>
      <c r="M462" s="71" t="s">
        <v>2466</v>
      </c>
      <c r="N462" s="69" t="s">
        <v>44</v>
      </c>
      <c r="O462" s="64">
        <v>1</v>
      </c>
      <c r="P462" s="72">
        <v>31000</v>
      </c>
      <c r="Q462" s="69" t="s">
        <v>2467</v>
      </c>
      <c r="R462" s="69"/>
      <c r="S462" s="68" t="s">
        <v>128</v>
      </c>
      <c r="T462" s="56">
        <v>6</v>
      </c>
      <c r="U462" s="56">
        <v>3</v>
      </c>
    </row>
    <row r="463" spans="1:21" ht="14.25" customHeight="1" x14ac:dyDescent="0.35">
      <c r="A463" s="47">
        <v>447</v>
      </c>
      <c r="B463" s="69" t="s">
        <v>79</v>
      </c>
      <c r="C463" s="69" t="s">
        <v>80</v>
      </c>
      <c r="D463" s="70" t="s">
        <v>195</v>
      </c>
      <c r="E463" s="69" t="s">
        <v>2441</v>
      </c>
      <c r="F463" s="69" t="s">
        <v>2442</v>
      </c>
      <c r="G463" s="69" t="s">
        <v>2443</v>
      </c>
      <c r="H463" s="70">
        <v>2024</v>
      </c>
      <c r="I463" s="69" t="s">
        <v>63</v>
      </c>
      <c r="J463" s="69" t="s">
        <v>2468</v>
      </c>
      <c r="K463" s="71" t="s">
        <v>2469</v>
      </c>
      <c r="L463" s="71" t="s">
        <v>2470</v>
      </c>
      <c r="M463" s="71" t="s">
        <v>2471</v>
      </c>
      <c r="N463" s="69" t="s">
        <v>44</v>
      </c>
      <c r="O463" s="64">
        <v>1</v>
      </c>
      <c r="P463" s="72">
        <v>31000</v>
      </c>
      <c r="Q463" s="69" t="s">
        <v>2472</v>
      </c>
      <c r="R463" s="69"/>
      <c r="S463" s="68" t="s">
        <v>128</v>
      </c>
      <c r="T463" s="56">
        <v>6</v>
      </c>
      <c r="U463" s="56">
        <v>3</v>
      </c>
    </row>
    <row r="464" spans="1:21" ht="14.25" customHeight="1" thickBot="1" x14ac:dyDescent="0.4">
      <c r="A464" s="58">
        <v>448</v>
      </c>
      <c r="B464" s="69" t="s">
        <v>1806</v>
      </c>
      <c r="C464" s="69" t="s">
        <v>1807</v>
      </c>
      <c r="D464" s="70" t="s">
        <v>59</v>
      </c>
      <c r="E464" s="69" t="s">
        <v>2473</v>
      </c>
      <c r="F464" s="69" t="s">
        <v>1595</v>
      </c>
      <c r="G464" s="69" t="s">
        <v>54</v>
      </c>
      <c r="H464" s="70">
        <v>2015</v>
      </c>
      <c r="I464" s="69" t="s">
        <v>2474</v>
      </c>
      <c r="J464" s="69" t="s">
        <v>2475</v>
      </c>
      <c r="K464" s="71" t="s">
        <v>2476</v>
      </c>
      <c r="L464" s="71" t="s">
        <v>2477</v>
      </c>
      <c r="M464" s="71" t="s">
        <v>2478</v>
      </c>
      <c r="N464" s="69" t="s">
        <v>57</v>
      </c>
      <c r="O464" s="64">
        <v>1</v>
      </c>
      <c r="P464" s="72">
        <v>270000</v>
      </c>
      <c r="Q464" s="69" t="s">
        <v>2479</v>
      </c>
      <c r="R464" s="69"/>
      <c r="S464" s="121" t="s">
        <v>153</v>
      </c>
      <c r="T464" s="56">
        <v>7</v>
      </c>
      <c r="U464" s="56">
        <v>4</v>
      </c>
    </row>
    <row r="465" spans="1:21" ht="14.25" customHeight="1" x14ac:dyDescent="0.35">
      <c r="A465" s="47">
        <v>449</v>
      </c>
      <c r="B465" s="69" t="s">
        <v>2057</v>
      </c>
      <c r="C465" s="69" t="s">
        <v>2058</v>
      </c>
      <c r="D465" s="70" t="s">
        <v>51</v>
      </c>
      <c r="E465" s="69" t="s">
        <v>2480</v>
      </c>
      <c r="F465" s="69" t="s">
        <v>2481</v>
      </c>
      <c r="G465" s="69" t="s">
        <v>54</v>
      </c>
      <c r="H465" s="70">
        <v>2026</v>
      </c>
      <c r="I465" s="69" t="s">
        <v>63</v>
      </c>
      <c r="J465" s="69" t="s">
        <v>2482</v>
      </c>
      <c r="K465" s="71" t="s">
        <v>2483</v>
      </c>
      <c r="L465" s="71" t="s">
        <v>2484</v>
      </c>
      <c r="M465" s="122" t="s">
        <v>2485</v>
      </c>
      <c r="N465" s="69" t="s">
        <v>44</v>
      </c>
      <c r="O465" s="64">
        <v>1</v>
      </c>
      <c r="P465" s="72">
        <v>394100</v>
      </c>
      <c r="Q465" s="69" t="s">
        <v>2486</v>
      </c>
      <c r="R465" s="69"/>
      <c r="S465" s="121" t="s">
        <v>153</v>
      </c>
      <c r="T465" s="56">
        <v>7</v>
      </c>
      <c r="U465" s="56">
        <v>4</v>
      </c>
    </row>
    <row r="466" spans="1:21" ht="14.25" customHeight="1" thickBot="1" x14ac:dyDescent="0.4">
      <c r="A466" s="58">
        <v>450</v>
      </c>
      <c r="B466" s="69" t="s">
        <v>2064</v>
      </c>
      <c r="C466" s="69" t="s">
        <v>2065</v>
      </c>
      <c r="D466" s="70" t="s">
        <v>51</v>
      </c>
      <c r="E466" s="69" t="s">
        <v>2487</v>
      </c>
      <c r="F466" s="69" t="s">
        <v>2488</v>
      </c>
      <c r="G466" s="69" t="s">
        <v>54</v>
      </c>
      <c r="H466" s="70">
        <v>2012</v>
      </c>
      <c r="I466" s="69" t="s">
        <v>63</v>
      </c>
      <c r="J466" s="69" t="s">
        <v>2489</v>
      </c>
      <c r="K466" s="71" t="s">
        <v>2490</v>
      </c>
      <c r="L466" s="71" t="s">
        <v>2491</v>
      </c>
      <c r="M466" s="71" t="s">
        <v>2492</v>
      </c>
      <c r="N466" s="69" t="s">
        <v>57</v>
      </c>
      <c r="O466" s="64">
        <v>1</v>
      </c>
      <c r="P466" s="72">
        <v>358291</v>
      </c>
      <c r="Q466" s="69" t="s">
        <v>2493</v>
      </c>
      <c r="R466" s="69"/>
      <c r="S466" s="121" t="s">
        <v>153</v>
      </c>
      <c r="T466" s="56">
        <v>7</v>
      </c>
      <c r="U466" s="56">
        <v>6</v>
      </c>
    </row>
    <row r="467" spans="1:21" ht="14.25" customHeight="1" x14ac:dyDescent="0.35">
      <c r="A467" s="47">
        <v>451</v>
      </c>
      <c r="B467" s="69" t="s">
        <v>70</v>
      </c>
      <c r="C467" s="69" t="s">
        <v>71</v>
      </c>
      <c r="D467" s="70" t="s">
        <v>51</v>
      </c>
      <c r="E467" s="69" t="s">
        <v>2494</v>
      </c>
      <c r="F467" s="69" t="s">
        <v>2495</v>
      </c>
      <c r="G467" s="69" t="s">
        <v>54</v>
      </c>
      <c r="H467" s="70">
        <v>2013</v>
      </c>
      <c r="I467" s="69" t="s">
        <v>63</v>
      </c>
      <c r="J467" s="69" t="s">
        <v>2496</v>
      </c>
      <c r="K467" s="71" t="s">
        <v>2497</v>
      </c>
      <c r="L467" s="71" t="s">
        <v>2498</v>
      </c>
      <c r="M467" s="71" t="s">
        <v>2499</v>
      </c>
      <c r="N467" s="69" t="s">
        <v>57</v>
      </c>
      <c r="O467" s="64">
        <v>1</v>
      </c>
      <c r="P467" s="72">
        <v>343370</v>
      </c>
      <c r="Q467" s="69" t="s">
        <v>2500</v>
      </c>
      <c r="R467" s="69"/>
      <c r="S467" s="121" t="s">
        <v>153</v>
      </c>
      <c r="T467" s="56">
        <v>7</v>
      </c>
      <c r="U467" s="56">
        <v>4</v>
      </c>
    </row>
    <row r="468" spans="1:21" ht="14.25" customHeight="1" thickBot="1" x14ac:dyDescent="0.4">
      <c r="A468" s="58">
        <v>452</v>
      </c>
      <c r="B468" s="69" t="s">
        <v>70</v>
      </c>
      <c r="C468" s="69" t="s">
        <v>71</v>
      </c>
      <c r="D468" s="70" t="s">
        <v>59</v>
      </c>
      <c r="E468" s="69" t="s">
        <v>2501</v>
      </c>
      <c r="F468" s="69" t="s">
        <v>1683</v>
      </c>
      <c r="G468" s="69" t="s">
        <v>140</v>
      </c>
      <c r="H468" s="70">
        <v>2017</v>
      </c>
      <c r="I468" s="69" t="s">
        <v>63</v>
      </c>
      <c r="J468" s="69" t="s">
        <v>2502</v>
      </c>
      <c r="K468" s="71" t="s">
        <v>2503</v>
      </c>
      <c r="L468" s="71" t="s">
        <v>2504</v>
      </c>
      <c r="M468" s="71" t="s">
        <v>2505</v>
      </c>
      <c r="N468" s="69" t="s">
        <v>57</v>
      </c>
      <c r="O468" s="64">
        <v>1</v>
      </c>
      <c r="P468" s="72">
        <v>399250</v>
      </c>
      <c r="Q468" s="69" t="s">
        <v>2506</v>
      </c>
      <c r="R468" s="69"/>
      <c r="S468" s="121" t="s">
        <v>153</v>
      </c>
      <c r="T468" s="56">
        <v>7</v>
      </c>
      <c r="U468" s="56">
        <v>4</v>
      </c>
    </row>
    <row r="469" spans="1:21" ht="14.25" customHeight="1" x14ac:dyDescent="0.35">
      <c r="A469" s="47">
        <v>453</v>
      </c>
      <c r="B469" s="69" t="s">
        <v>79</v>
      </c>
      <c r="C469" s="69" t="s">
        <v>80</v>
      </c>
      <c r="D469" s="70" t="s">
        <v>59</v>
      </c>
      <c r="E469" s="69" t="s">
        <v>2507</v>
      </c>
      <c r="F469" s="69" t="s">
        <v>88</v>
      </c>
      <c r="G469" s="69" t="s">
        <v>54</v>
      </c>
      <c r="H469" s="70">
        <v>2004</v>
      </c>
      <c r="I469" s="69"/>
      <c r="J469" s="69" t="s">
        <v>2508</v>
      </c>
      <c r="K469" s="71" t="s">
        <v>2509</v>
      </c>
      <c r="L469" s="71" t="s">
        <v>2510</v>
      </c>
      <c r="M469" s="71" t="s">
        <v>2511</v>
      </c>
      <c r="N469" s="69" t="s">
        <v>57</v>
      </c>
      <c r="O469" s="64">
        <v>1</v>
      </c>
      <c r="P469" s="72">
        <v>18950</v>
      </c>
      <c r="Q469" s="69" t="s">
        <v>2512</v>
      </c>
      <c r="R469" s="69"/>
      <c r="S469" s="121" t="s">
        <v>153</v>
      </c>
      <c r="T469" s="56">
        <v>7</v>
      </c>
      <c r="U469" s="56">
        <v>3</v>
      </c>
    </row>
    <row r="470" spans="1:21" ht="14.25" customHeight="1" thickBot="1" x14ac:dyDescent="0.4">
      <c r="A470" s="58">
        <v>454</v>
      </c>
      <c r="B470" s="69" t="s">
        <v>79</v>
      </c>
      <c r="C470" s="69" t="s">
        <v>80</v>
      </c>
      <c r="D470" s="70" t="s">
        <v>101</v>
      </c>
      <c r="E470" s="69" t="s">
        <v>2513</v>
      </c>
      <c r="F470" s="69" t="s">
        <v>202</v>
      </c>
      <c r="G470" s="69" t="s">
        <v>54</v>
      </c>
      <c r="H470" s="70">
        <v>2010</v>
      </c>
      <c r="I470" s="69"/>
      <c r="J470" s="69" t="s">
        <v>2514</v>
      </c>
      <c r="K470" s="71" t="s">
        <v>2515</v>
      </c>
      <c r="L470" s="71" t="s">
        <v>2516</v>
      </c>
      <c r="M470" s="71" t="s">
        <v>2517</v>
      </c>
      <c r="N470" s="69" t="s">
        <v>57</v>
      </c>
      <c r="O470" s="64">
        <v>1</v>
      </c>
      <c r="P470" s="72">
        <v>16050</v>
      </c>
      <c r="Q470" s="69" t="s">
        <v>2518</v>
      </c>
      <c r="R470" s="69"/>
      <c r="S470" s="121" t="s">
        <v>153</v>
      </c>
      <c r="T470" s="56">
        <v>7</v>
      </c>
      <c r="U470" s="56">
        <v>3</v>
      </c>
    </row>
    <row r="471" spans="1:21" ht="14.25" customHeight="1" x14ac:dyDescent="0.35">
      <c r="A471" s="47">
        <v>455</v>
      </c>
      <c r="B471" s="69" t="s">
        <v>79</v>
      </c>
      <c r="C471" s="69" t="s">
        <v>80</v>
      </c>
      <c r="D471" s="70" t="s">
        <v>112</v>
      </c>
      <c r="E471" s="69" t="s">
        <v>147</v>
      </c>
      <c r="F471" s="69" t="s">
        <v>148</v>
      </c>
      <c r="G471" s="69" t="s">
        <v>140</v>
      </c>
      <c r="H471" s="70">
        <v>2015</v>
      </c>
      <c r="I471" s="69"/>
      <c r="J471" s="69" t="s">
        <v>2519</v>
      </c>
      <c r="K471" s="71" t="s">
        <v>2520</v>
      </c>
      <c r="L471" s="71" t="s">
        <v>2521</v>
      </c>
      <c r="M471" s="71" t="s">
        <v>2522</v>
      </c>
      <c r="N471" s="69" t="s">
        <v>57</v>
      </c>
      <c r="O471" s="64">
        <v>1</v>
      </c>
      <c r="P471" s="72">
        <v>19430</v>
      </c>
      <c r="Q471" s="69" t="s">
        <v>2523</v>
      </c>
      <c r="R471" s="69"/>
      <c r="S471" s="121" t="s">
        <v>153</v>
      </c>
      <c r="T471" s="56">
        <v>7</v>
      </c>
      <c r="U471" s="56">
        <v>3</v>
      </c>
    </row>
    <row r="472" spans="1:21" ht="14.25" customHeight="1" thickBot="1" x14ac:dyDescent="0.4">
      <c r="A472" s="58">
        <v>456</v>
      </c>
      <c r="B472" s="69" t="s">
        <v>79</v>
      </c>
      <c r="C472" s="69" t="s">
        <v>80</v>
      </c>
      <c r="D472" s="70" t="s">
        <v>116</v>
      </c>
      <c r="E472" s="69" t="s">
        <v>2524</v>
      </c>
      <c r="F472" s="69" t="s">
        <v>217</v>
      </c>
      <c r="G472" s="69" t="s">
        <v>2525</v>
      </c>
      <c r="H472" s="70">
        <v>2020</v>
      </c>
      <c r="I472" s="69" t="s">
        <v>63</v>
      </c>
      <c r="J472" s="69" t="s">
        <v>2526</v>
      </c>
      <c r="K472" s="71" t="s">
        <v>2527</v>
      </c>
      <c r="L472" s="71" t="s">
        <v>2528</v>
      </c>
      <c r="M472" s="71" t="s">
        <v>2529</v>
      </c>
      <c r="N472" s="69" t="s">
        <v>57</v>
      </c>
      <c r="O472" s="64">
        <v>1</v>
      </c>
      <c r="P472" s="72">
        <v>33000</v>
      </c>
      <c r="Q472" s="69" t="s">
        <v>2530</v>
      </c>
      <c r="R472" s="69"/>
      <c r="S472" s="121" t="s">
        <v>153</v>
      </c>
      <c r="T472" s="56">
        <v>7</v>
      </c>
      <c r="U472" s="56">
        <v>3</v>
      </c>
    </row>
    <row r="473" spans="1:21" ht="14.25" customHeight="1" x14ac:dyDescent="0.35">
      <c r="A473" s="47">
        <v>457</v>
      </c>
      <c r="B473" s="69" t="s">
        <v>79</v>
      </c>
      <c r="C473" s="69" t="s">
        <v>80</v>
      </c>
      <c r="D473" s="70" t="s">
        <v>841</v>
      </c>
      <c r="E473" s="69" t="s">
        <v>414</v>
      </c>
      <c r="F473" s="69" t="s">
        <v>217</v>
      </c>
      <c r="G473" s="69" t="s">
        <v>415</v>
      </c>
      <c r="H473" s="70">
        <v>2021</v>
      </c>
      <c r="I473" s="69" t="s">
        <v>63</v>
      </c>
      <c r="J473" s="123" t="s">
        <v>2531</v>
      </c>
      <c r="K473" s="71" t="s">
        <v>2532</v>
      </c>
      <c r="L473" s="71" t="s">
        <v>2533</v>
      </c>
      <c r="M473" s="71" t="s">
        <v>2534</v>
      </c>
      <c r="N473" s="69" t="s">
        <v>57</v>
      </c>
      <c r="O473" s="64">
        <v>1</v>
      </c>
      <c r="P473" s="72">
        <v>33100</v>
      </c>
      <c r="Q473" s="69" t="s">
        <v>420</v>
      </c>
      <c r="R473" s="69"/>
      <c r="S473" s="121" t="s">
        <v>153</v>
      </c>
      <c r="T473" s="56">
        <v>7</v>
      </c>
      <c r="U473" s="56">
        <v>3</v>
      </c>
    </row>
    <row r="474" spans="1:21" ht="14.25" customHeight="1" thickBot="1" x14ac:dyDescent="0.4">
      <c r="A474" s="58">
        <v>458</v>
      </c>
      <c r="B474" s="69" t="s">
        <v>79</v>
      </c>
      <c r="C474" s="69" t="s">
        <v>80</v>
      </c>
      <c r="D474" s="70" t="s">
        <v>904</v>
      </c>
      <c r="E474" s="69" t="s">
        <v>414</v>
      </c>
      <c r="F474" s="69" t="s">
        <v>217</v>
      </c>
      <c r="G474" s="69" t="s">
        <v>415</v>
      </c>
      <c r="H474" s="70">
        <v>2021</v>
      </c>
      <c r="I474" s="69" t="s">
        <v>63</v>
      </c>
      <c r="J474" s="123" t="s">
        <v>2535</v>
      </c>
      <c r="K474" s="71" t="s">
        <v>2536</v>
      </c>
      <c r="L474" s="71" t="s">
        <v>2537</v>
      </c>
      <c r="M474" s="71" t="s">
        <v>2538</v>
      </c>
      <c r="N474" s="69" t="s">
        <v>57</v>
      </c>
      <c r="O474" s="64">
        <v>1</v>
      </c>
      <c r="P474" s="72">
        <v>33100</v>
      </c>
      <c r="Q474" s="69" t="s">
        <v>420</v>
      </c>
      <c r="R474" s="69"/>
      <c r="S474" s="121" t="s">
        <v>153</v>
      </c>
      <c r="T474" s="56">
        <v>7</v>
      </c>
      <c r="U474" s="56">
        <v>3</v>
      </c>
    </row>
    <row r="475" spans="1:21" ht="14.25" customHeight="1" x14ac:dyDescent="0.35">
      <c r="A475" s="47">
        <v>459</v>
      </c>
      <c r="B475" s="69" t="s">
        <v>79</v>
      </c>
      <c r="C475" s="69" t="s">
        <v>80</v>
      </c>
      <c r="D475" s="70" t="s">
        <v>122</v>
      </c>
      <c r="E475" s="69" t="s">
        <v>414</v>
      </c>
      <c r="F475" s="69" t="s">
        <v>217</v>
      </c>
      <c r="G475" s="69" t="s">
        <v>415</v>
      </c>
      <c r="H475" s="70">
        <v>2021</v>
      </c>
      <c r="I475" s="69" t="s">
        <v>63</v>
      </c>
      <c r="J475" s="123" t="s">
        <v>2539</v>
      </c>
      <c r="K475" s="71" t="s">
        <v>2540</v>
      </c>
      <c r="L475" s="71" t="s">
        <v>2541</v>
      </c>
      <c r="M475" s="71" t="s">
        <v>2542</v>
      </c>
      <c r="N475" s="69" t="s">
        <v>57</v>
      </c>
      <c r="O475" s="64">
        <v>1</v>
      </c>
      <c r="P475" s="72">
        <v>33100</v>
      </c>
      <c r="Q475" s="69" t="s">
        <v>420</v>
      </c>
      <c r="R475" s="69"/>
      <c r="S475" s="121" t="s">
        <v>153</v>
      </c>
      <c r="T475" s="56">
        <v>7</v>
      </c>
      <c r="U475" s="56">
        <v>3</v>
      </c>
    </row>
    <row r="476" spans="1:21" ht="14.25" customHeight="1" thickBot="1" x14ac:dyDescent="0.4">
      <c r="A476" s="58">
        <v>460</v>
      </c>
      <c r="B476" s="69" t="s">
        <v>79</v>
      </c>
      <c r="C476" s="69" t="s">
        <v>80</v>
      </c>
      <c r="D476" s="70" t="s">
        <v>126</v>
      </c>
      <c r="E476" s="69" t="s">
        <v>2543</v>
      </c>
      <c r="F476" s="69" t="s">
        <v>2544</v>
      </c>
      <c r="G476" s="69" t="s">
        <v>2545</v>
      </c>
      <c r="H476" s="70">
        <v>2025</v>
      </c>
      <c r="I476" s="69" t="s">
        <v>63</v>
      </c>
      <c r="J476" s="69" t="s">
        <v>2546</v>
      </c>
      <c r="K476" s="71" t="s">
        <v>2547</v>
      </c>
      <c r="L476" s="71" t="s">
        <v>2548</v>
      </c>
      <c r="M476" s="71" t="s">
        <v>2549</v>
      </c>
      <c r="N476" s="69" t="s">
        <v>44</v>
      </c>
      <c r="O476" s="64">
        <v>1</v>
      </c>
      <c r="P476" s="72">
        <v>31858</v>
      </c>
      <c r="Q476" s="69" t="s">
        <v>2550</v>
      </c>
      <c r="R476" s="69"/>
      <c r="S476" s="121" t="s">
        <v>153</v>
      </c>
      <c r="T476" s="56">
        <v>7</v>
      </c>
      <c r="U476" s="56">
        <v>3</v>
      </c>
    </row>
    <row r="477" spans="1:21" ht="14.25" customHeight="1" x14ac:dyDescent="0.35">
      <c r="A477" s="47">
        <v>461</v>
      </c>
      <c r="B477" s="69" t="s">
        <v>1806</v>
      </c>
      <c r="C477" s="69" t="s">
        <v>1807</v>
      </c>
      <c r="D477" s="70" t="s">
        <v>51</v>
      </c>
      <c r="E477" s="69" t="s">
        <v>2551</v>
      </c>
      <c r="F477" s="69" t="s">
        <v>2552</v>
      </c>
      <c r="G477" s="69" t="s">
        <v>54</v>
      </c>
      <c r="H477" s="70">
        <v>2014</v>
      </c>
      <c r="I477" s="69" t="s">
        <v>63</v>
      </c>
      <c r="J477" s="69" t="s">
        <v>2553</v>
      </c>
      <c r="K477" s="71" t="s">
        <v>2554</v>
      </c>
      <c r="L477" s="71" t="s">
        <v>2555</v>
      </c>
      <c r="M477" s="71" t="s">
        <v>2556</v>
      </c>
      <c r="N477" s="69" t="s">
        <v>57</v>
      </c>
      <c r="O477" s="64">
        <v>1</v>
      </c>
      <c r="P477" s="72">
        <v>304130</v>
      </c>
      <c r="Q477" s="69" t="s">
        <v>2557</v>
      </c>
      <c r="R477" s="69"/>
      <c r="S477" s="68" t="s">
        <v>182</v>
      </c>
      <c r="T477" s="56">
        <v>8</v>
      </c>
      <c r="U477" s="56">
        <v>4</v>
      </c>
    </row>
    <row r="478" spans="1:21" ht="14.25" customHeight="1" thickBot="1" x14ac:dyDescent="0.4">
      <c r="A478" s="58">
        <v>462</v>
      </c>
      <c r="B478" s="69" t="s">
        <v>1806</v>
      </c>
      <c r="C478" s="69" t="s">
        <v>1807</v>
      </c>
      <c r="D478" s="70" t="s">
        <v>59</v>
      </c>
      <c r="E478" s="69" t="s">
        <v>2558</v>
      </c>
      <c r="F478" s="69" t="s">
        <v>2559</v>
      </c>
      <c r="G478" s="69" t="s">
        <v>54</v>
      </c>
      <c r="H478" s="70">
        <v>2011</v>
      </c>
      <c r="I478" s="69" t="s">
        <v>63</v>
      </c>
      <c r="J478" s="69" t="s">
        <v>2560</v>
      </c>
      <c r="K478" s="71" t="s">
        <v>2561</v>
      </c>
      <c r="L478" s="71" t="s">
        <v>2562</v>
      </c>
      <c r="M478" s="71" t="s">
        <v>2563</v>
      </c>
      <c r="N478" s="69" t="s">
        <v>57</v>
      </c>
      <c r="O478" s="64">
        <v>1</v>
      </c>
      <c r="P478" s="72">
        <v>228815</v>
      </c>
      <c r="Q478" s="69" t="s">
        <v>2564</v>
      </c>
      <c r="R478" s="69"/>
      <c r="S478" s="68" t="s">
        <v>182</v>
      </c>
      <c r="T478" s="56">
        <v>8</v>
      </c>
      <c r="U478" s="56">
        <v>4</v>
      </c>
    </row>
    <row r="479" spans="1:21" ht="14.25" customHeight="1" x14ac:dyDescent="0.35">
      <c r="A479" s="47">
        <v>463</v>
      </c>
      <c r="B479" s="69" t="s">
        <v>79</v>
      </c>
      <c r="C479" s="69" t="s">
        <v>80</v>
      </c>
      <c r="D479" s="70" t="s">
        <v>51</v>
      </c>
      <c r="E479" s="69" t="s">
        <v>1110</v>
      </c>
      <c r="F479" s="69" t="s">
        <v>163</v>
      </c>
      <c r="G479" s="69" t="s">
        <v>140</v>
      </c>
      <c r="H479" s="70">
        <v>2017</v>
      </c>
      <c r="I479" s="69" t="s">
        <v>63</v>
      </c>
      <c r="J479" s="69" t="s">
        <v>2565</v>
      </c>
      <c r="K479" s="71" t="s">
        <v>2566</v>
      </c>
      <c r="L479" s="71" t="s">
        <v>2567</v>
      </c>
      <c r="M479" s="71" t="s">
        <v>2568</v>
      </c>
      <c r="N479" s="69" t="s">
        <v>57</v>
      </c>
      <c r="O479" s="64">
        <v>1</v>
      </c>
      <c r="P479" s="72">
        <v>15846.6</v>
      </c>
      <c r="Q479" s="69" t="s">
        <v>2564</v>
      </c>
      <c r="R479" s="69"/>
      <c r="S479" s="68" t="s">
        <v>182</v>
      </c>
      <c r="T479" s="56">
        <v>8</v>
      </c>
      <c r="U479" s="56">
        <v>3</v>
      </c>
    </row>
    <row r="480" spans="1:21" ht="14.25" customHeight="1" thickBot="1" x14ac:dyDescent="0.4">
      <c r="A480" s="58">
        <v>464</v>
      </c>
      <c r="B480" s="69" t="s">
        <v>79</v>
      </c>
      <c r="C480" s="69" t="s">
        <v>80</v>
      </c>
      <c r="D480" s="70" t="s">
        <v>59</v>
      </c>
      <c r="E480" s="69" t="s">
        <v>1110</v>
      </c>
      <c r="F480" s="69" t="s">
        <v>163</v>
      </c>
      <c r="G480" s="69" t="s">
        <v>140</v>
      </c>
      <c r="H480" s="70">
        <v>2017</v>
      </c>
      <c r="I480" s="69" t="s">
        <v>63</v>
      </c>
      <c r="J480" s="69" t="s">
        <v>2569</v>
      </c>
      <c r="K480" s="71" t="s">
        <v>2570</v>
      </c>
      <c r="L480" s="71" t="s">
        <v>2571</v>
      </c>
      <c r="M480" s="71" t="s">
        <v>2572</v>
      </c>
      <c r="N480" s="69" t="s">
        <v>57</v>
      </c>
      <c r="O480" s="64">
        <v>1</v>
      </c>
      <c r="P480" s="72">
        <v>15846.6</v>
      </c>
      <c r="Q480" s="69" t="s">
        <v>2573</v>
      </c>
      <c r="R480" s="69"/>
      <c r="S480" s="68" t="s">
        <v>182</v>
      </c>
      <c r="T480" s="56">
        <v>8</v>
      </c>
      <c r="U480" s="56">
        <v>3</v>
      </c>
    </row>
    <row r="481" spans="1:21" ht="14.25" customHeight="1" x14ac:dyDescent="0.35">
      <c r="A481" s="47">
        <v>465</v>
      </c>
      <c r="B481" s="69" t="s">
        <v>79</v>
      </c>
      <c r="C481" s="69" t="s">
        <v>80</v>
      </c>
      <c r="D481" s="70" t="s">
        <v>97</v>
      </c>
      <c r="E481" s="69" t="s">
        <v>2574</v>
      </c>
      <c r="F481" s="69" t="s">
        <v>88</v>
      </c>
      <c r="G481" s="69" t="s">
        <v>140</v>
      </c>
      <c r="H481" s="70">
        <v>2015</v>
      </c>
      <c r="I481" s="69"/>
      <c r="J481" s="69" t="s">
        <v>2575</v>
      </c>
      <c r="K481" s="71" t="s">
        <v>2576</v>
      </c>
      <c r="L481" s="71" t="s">
        <v>2577</v>
      </c>
      <c r="M481" s="71" t="s">
        <v>2578</v>
      </c>
      <c r="N481" s="69" t="s">
        <v>57</v>
      </c>
      <c r="O481" s="64">
        <v>1</v>
      </c>
      <c r="P481" s="72">
        <v>16898</v>
      </c>
      <c r="Q481" s="69" t="s">
        <v>2579</v>
      </c>
      <c r="R481" s="69"/>
      <c r="S481" s="68" t="s">
        <v>182</v>
      </c>
      <c r="T481" s="56">
        <v>8</v>
      </c>
      <c r="U481" s="56">
        <v>3</v>
      </c>
    </row>
    <row r="482" spans="1:21" ht="14.25" customHeight="1" thickBot="1" x14ac:dyDescent="0.4">
      <c r="A482" s="58">
        <v>466</v>
      </c>
      <c r="B482" s="69" t="s">
        <v>79</v>
      </c>
      <c r="C482" s="69" t="s">
        <v>80</v>
      </c>
      <c r="D482" s="70" t="s">
        <v>101</v>
      </c>
      <c r="E482" s="69" t="s">
        <v>230</v>
      </c>
      <c r="F482" s="69" t="s">
        <v>231</v>
      </c>
      <c r="G482" s="69" t="s">
        <v>54</v>
      </c>
      <c r="H482" s="70">
        <v>2013</v>
      </c>
      <c r="I482" s="69" t="s">
        <v>63</v>
      </c>
      <c r="J482" s="69" t="s">
        <v>2580</v>
      </c>
      <c r="K482" s="71" t="s">
        <v>2581</v>
      </c>
      <c r="L482" s="71" t="s">
        <v>2582</v>
      </c>
      <c r="M482" s="71" t="s">
        <v>2583</v>
      </c>
      <c r="N482" s="69" t="s">
        <v>57</v>
      </c>
      <c r="O482" s="64">
        <v>1</v>
      </c>
      <c r="P482" s="72">
        <v>18004.099999999999</v>
      </c>
      <c r="Q482" s="69" t="s">
        <v>2584</v>
      </c>
      <c r="R482" s="69"/>
      <c r="S482" s="68" t="s">
        <v>182</v>
      </c>
      <c r="T482" s="56">
        <v>8</v>
      </c>
      <c r="U482" s="56">
        <v>3</v>
      </c>
    </row>
    <row r="483" spans="1:21" ht="14.25" customHeight="1" x14ac:dyDescent="0.35">
      <c r="A483" s="47">
        <v>467</v>
      </c>
      <c r="B483" s="69" t="s">
        <v>79</v>
      </c>
      <c r="C483" s="69" t="s">
        <v>80</v>
      </c>
      <c r="D483" s="70" t="s">
        <v>107</v>
      </c>
      <c r="E483" s="69" t="s">
        <v>2585</v>
      </c>
      <c r="F483" s="69">
        <v>110</v>
      </c>
      <c r="G483" s="69" t="s">
        <v>63</v>
      </c>
      <c r="H483" s="70">
        <v>2021</v>
      </c>
      <c r="I483" s="69" t="s">
        <v>63</v>
      </c>
      <c r="J483" s="69" t="s">
        <v>2586</v>
      </c>
      <c r="K483" s="71" t="s">
        <v>2587</v>
      </c>
      <c r="L483" s="71" t="s">
        <v>2588</v>
      </c>
      <c r="M483" s="71" t="s">
        <v>2589</v>
      </c>
      <c r="N483" s="69" t="s">
        <v>57</v>
      </c>
      <c r="O483" s="64">
        <v>1</v>
      </c>
      <c r="P483" s="72">
        <v>17500</v>
      </c>
      <c r="Q483" s="69" t="s">
        <v>2590</v>
      </c>
      <c r="R483" s="69"/>
      <c r="S483" s="68" t="s">
        <v>182</v>
      </c>
      <c r="T483" s="56">
        <v>8</v>
      </c>
      <c r="U483" s="56">
        <v>3</v>
      </c>
    </row>
    <row r="484" spans="1:21" ht="14.25" customHeight="1" thickBot="1" x14ac:dyDescent="0.4">
      <c r="A484" s="58">
        <v>468</v>
      </c>
      <c r="B484" s="69" t="s">
        <v>79</v>
      </c>
      <c r="C484" s="69" t="s">
        <v>80</v>
      </c>
      <c r="D484" s="70" t="s">
        <v>112</v>
      </c>
      <c r="E484" s="69" t="s">
        <v>2585</v>
      </c>
      <c r="F484" s="69">
        <v>110</v>
      </c>
      <c r="G484" s="69" t="s">
        <v>63</v>
      </c>
      <c r="H484" s="70">
        <v>2021</v>
      </c>
      <c r="I484" s="69" t="s">
        <v>63</v>
      </c>
      <c r="J484" s="69" t="s">
        <v>2591</v>
      </c>
      <c r="K484" s="71" t="s">
        <v>2592</v>
      </c>
      <c r="L484" s="71" t="s">
        <v>2593</v>
      </c>
      <c r="M484" s="71" t="s">
        <v>2594</v>
      </c>
      <c r="N484" s="69" t="s">
        <v>57</v>
      </c>
      <c r="O484" s="64">
        <v>1</v>
      </c>
      <c r="P484" s="72">
        <v>17500</v>
      </c>
      <c r="Q484" s="69" t="s">
        <v>2595</v>
      </c>
      <c r="R484" s="69"/>
      <c r="S484" s="68" t="s">
        <v>182</v>
      </c>
      <c r="T484" s="56">
        <v>8</v>
      </c>
      <c r="U484" s="56">
        <v>3</v>
      </c>
    </row>
    <row r="485" spans="1:21" ht="14.25" customHeight="1" x14ac:dyDescent="0.35">
      <c r="A485" s="47">
        <v>469</v>
      </c>
      <c r="B485" s="69" t="s">
        <v>79</v>
      </c>
      <c r="C485" s="69" t="s">
        <v>80</v>
      </c>
      <c r="D485" s="70" t="s">
        <v>116</v>
      </c>
      <c r="E485" s="69" t="s">
        <v>2596</v>
      </c>
      <c r="F485" s="69" t="s">
        <v>88</v>
      </c>
      <c r="G485" s="69" t="s">
        <v>54</v>
      </c>
      <c r="H485" s="70">
        <v>2008</v>
      </c>
      <c r="I485" s="69"/>
      <c r="J485" s="69" t="s">
        <v>2597</v>
      </c>
      <c r="K485" s="71" t="s">
        <v>2598</v>
      </c>
      <c r="L485" s="71" t="s">
        <v>2599</v>
      </c>
      <c r="M485" s="71" t="s">
        <v>2600</v>
      </c>
      <c r="N485" s="69" t="s">
        <v>57</v>
      </c>
      <c r="O485" s="64">
        <v>1</v>
      </c>
      <c r="P485" s="72">
        <v>16000</v>
      </c>
      <c r="Q485" s="69" t="s">
        <v>2579</v>
      </c>
      <c r="R485" s="69"/>
      <c r="S485" s="68" t="s">
        <v>182</v>
      </c>
      <c r="T485" s="56">
        <v>8</v>
      </c>
      <c r="U485" s="56">
        <v>3</v>
      </c>
    </row>
    <row r="486" spans="1:21" ht="14.25" customHeight="1" thickBot="1" x14ac:dyDescent="0.4">
      <c r="A486" s="58">
        <v>470</v>
      </c>
      <c r="B486" s="69" t="s">
        <v>79</v>
      </c>
      <c r="C486" s="69" t="s">
        <v>80</v>
      </c>
      <c r="D486" s="70" t="s">
        <v>841</v>
      </c>
      <c r="E486" s="69" t="s">
        <v>2601</v>
      </c>
      <c r="F486" s="69" t="s">
        <v>88</v>
      </c>
      <c r="G486" s="69" t="s">
        <v>54</v>
      </c>
      <c r="H486" s="70">
        <v>2010</v>
      </c>
      <c r="I486" s="69"/>
      <c r="J486" s="69" t="s">
        <v>2602</v>
      </c>
      <c r="K486" s="71" t="s">
        <v>2603</v>
      </c>
      <c r="L486" s="71" t="s">
        <v>2604</v>
      </c>
      <c r="M486" s="71" t="s">
        <v>2605</v>
      </c>
      <c r="N486" s="69" t="s">
        <v>57</v>
      </c>
      <c r="O486" s="64">
        <v>1</v>
      </c>
      <c r="P486" s="72">
        <v>16433</v>
      </c>
      <c r="Q486" s="69" t="s">
        <v>2606</v>
      </c>
      <c r="R486" s="69"/>
      <c r="S486" s="68" t="s">
        <v>182</v>
      </c>
      <c r="T486" s="56">
        <v>8</v>
      </c>
      <c r="U486" s="56">
        <v>3</v>
      </c>
    </row>
    <row r="487" spans="1:21" ht="14.25" customHeight="1" x14ac:dyDescent="0.35">
      <c r="A487" s="47">
        <v>471</v>
      </c>
      <c r="B487" s="69" t="s">
        <v>2244</v>
      </c>
      <c r="C487" s="69" t="s">
        <v>2245</v>
      </c>
      <c r="D487" s="70" t="s">
        <v>51</v>
      </c>
      <c r="E487" s="69" t="s">
        <v>2607</v>
      </c>
      <c r="F487" s="69" t="s">
        <v>231</v>
      </c>
      <c r="G487" s="69" t="s">
        <v>140</v>
      </c>
      <c r="H487" s="70">
        <v>2015</v>
      </c>
      <c r="I487" s="69"/>
      <c r="J487" s="69" t="s">
        <v>2608</v>
      </c>
      <c r="K487" s="71" t="s">
        <v>2609</v>
      </c>
      <c r="L487" s="71" t="s">
        <v>2610</v>
      </c>
      <c r="M487" s="71" t="s">
        <v>2611</v>
      </c>
      <c r="N487" s="69" t="s">
        <v>57</v>
      </c>
      <c r="O487" s="64">
        <v>1</v>
      </c>
      <c r="P487" s="72">
        <v>33600</v>
      </c>
      <c r="Q487" s="69" t="s">
        <v>2612</v>
      </c>
      <c r="R487" s="69"/>
      <c r="S487" s="68" t="s">
        <v>182</v>
      </c>
      <c r="T487" s="56">
        <v>8</v>
      </c>
      <c r="U487" s="56">
        <v>3</v>
      </c>
    </row>
    <row r="488" spans="1:21" ht="14.25" customHeight="1" thickBot="1" x14ac:dyDescent="0.4">
      <c r="A488" s="58">
        <v>472</v>
      </c>
      <c r="B488" s="69" t="s">
        <v>1806</v>
      </c>
      <c r="C488" s="69" t="s">
        <v>1807</v>
      </c>
      <c r="D488" s="70" t="s">
        <v>51</v>
      </c>
      <c r="E488" s="69" t="s">
        <v>2613</v>
      </c>
      <c r="F488" s="69" t="s">
        <v>2559</v>
      </c>
      <c r="G488" s="69" t="s">
        <v>54</v>
      </c>
      <c r="H488" s="70">
        <v>2013</v>
      </c>
      <c r="I488" s="69" t="s">
        <v>63</v>
      </c>
      <c r="J488" s="69" t="s">
        <v>2614</v>
      </c>
      <c r="K488" s="71" t="s">
        <v>2615</v>
      </c>
      <c r="L488" s="71" t="s">
        <v>2616</v>
      </c>
      <c r="M488" s="71" t="s">
        <v>2617</v>
      </c>
      <c r="N488" s="69" t="s">
        <v>57</v>
      </c>
      <c r="O488" s="64">
        <v>1</v>
      </c>
      <c r="P488" s="72">
        <v>239750</v>
      </c>
      <c r="Q488" s="69" t="s">
        <v>2618</v>
      </c>
      <c r="R488" s="69"/>
      <c r="S488" s="121" t="s">
        <v>193</v>
      </c>
      <c r="T488" s="56">
        <v>9</v>
      </c>
      <c r="U488" s="56">
        <v>4</v>
      </c>
    </row>
    <row r="489" spans="1:21" ht="14.25" customHeight="1" x14ac:dyDescent="0.35">
      <c r="A489" s="47">
        <v>473</v>
      </c>
      <c r="B489" s="69" t="s">
        <v>70</v>
      </c>
      <c r="C489" s="69" t="s">
        <v>71</v>
      </c>
      <c r="D489" s="70" t="s">
        <v>51</v>
      </c>
      <c r="E489" s="69" t="s">
        <v>2619</v>
      </c>
      <c r="F489" s="69" t="s">
        <v>1683</v>
      </c>
      <c r="G489" s="69" t="s">
        <v>140</v>
      </c>
      <c r="H489" s="70">
        <v>2015</v>
      </c>
      <c r="I489" s="69"/>
      <c r="J489" s="69" t="s">
        <v>2620</v>
      </c>
      <c r="K489" s="71" t="s">
        <v>2621</v>
      </c>
      <c r="L489" s="71" t="s">
        <v>2622</v>
      </c>
      <c r="M489" s="71" t="s">
        <v>2623</v>
      </c>
      <c r="N489" s="69" t="s">
        <v>57</v>
      </c>
      <c r="O489" s="64">
        <v>1</v>
      </c>
      <c r="P489" s="72">
        <v>374510</v>
      </c>
      <c r="Q489" s="69" t="s">
        <v>2624</v>
      </c>
      <c r="R489" s="69"/>
      <c r="S489" s="121" t="s">
        <v>193</v>
      </c>
      <c r="T489" s="56">
        <v>9</v>
      </c>
      <c r="U489" s="56">
        <v>4</v>
      </c>
    </row>
    <row r="490" spans="1:21" ht="14.25" customHeight="1" thickBot="1" x14ac:dyDescent="0.4">
      <c r="A490" s="58">
        <v>474</v>
      </c>
      <c r="B490" s="69" t="s">
        <v>70</v>
      </c>
      <c r="C490" s="69" t="s">
        <v>71</v>
      </c>
      <c r="D490" s="70" t="s">
        <v>59</v>
      </c>
      <c r="E490" s="69" t="s">
        <v>2625</v>
      </c>
      <c r="F490" s="69" t="s">
        <v>2626</v>
      </c>
      <c r="G490" s="69" t="s">
        <v>415</v>
      </c>
      <c r="H490" s="70">
        <v>2019</v>
      </c>
      <c r="I490" s="69" t="s">
        <v>63</v>
      </c>
      <c r="J490" s="69" t="s">
        <v>2627</v>
      </c>
      <c r="K490" s="71" t="s">
        <v>2628</v>
      </c>
      <c r="L490" s="71" t="s">
        <v>2629</v>
      </c>
      <c r="M490" s="71" t="s">
        <v>2630</v>
      </c>
      <c r="N490" s="69" t="s">
        <v>57</v>
      </c>
      <c r="O490" s="64">
        <v>1</v>
      </c>
      <c r="P490" s="72">
        <v>549010</v>
      </c>
      <c r="Q490" s="69" t="s">
        <v>2631</v>
      </c>
      <c r="R490" s="69"/>
      <c r="S490" s="121" t="s">
        <v>193</v>
      </c>
      <c r="T490" s="56">
        <v>9</v>
      </c>
      <c r="U490" s="56">
        <v>4</v>
      </c>
    </row>
    <row r="491" spans="1:21" ht="14.25" customHeight="1" x14ac:dyDescent="0.35">
      <c r="A491" s="47">
        <v>475</v>
      </c>
      <c r="B491" s="69" t="s">
        <v>79</v>
      </c>
      <c r="C491" s="69" t="s">
        <v>80</v>
      </c>
      <c r="D491" s="70" t="s">
        <v>51</v>
      </c>
      <c r="E491" s="69" t="s">
        <v>147</v>
      </c>
      <c r="F491" s="69" t="s">
        <v>148</v>
      </c>
      <c r="G491" s="69" t="s">
        <v>140</v>
      </c>
      <c r="H491" s="70">
        <v>2015</v>
      </c>
      <c r="I491" s="69" t="s">
        <v>63</v>
      </c>
      <c r="J491" s="69" t="s">
        <v>2632</v>
      </c>
      <c r="K491" s="71" t="s">
        <v>2633</v>
      </c>
      <c r="L491" s="71" t="s">
        <v>2634</v>
      </c>
      <c r="M491" s="71" t="s">
        <v>2635</v>
      </c>
      <c r="N491" s="69" t="s">
        <v>57</v>
      </c>
      <c r="O491" s="64">
        <v>1</v>
      </c>
      <c r="P491" s="72">
        <v>19430</v>
      </c>
      <c r="Q491" s="69" t="s">
        <v>2636</v>
      </c>
      <c r="R491" s="69"/>
      <c r="S491" s="121" t="s">
        <v>193</v>
      </c>
      <c r="T491" s="56">
        <v>9</v>
      </c>
      <c r="U491" s="56">
        <v>3</v>
      </c>
    </row>
    <row r="492" spans="1:21" ht="14.25" customHeight="1" thickBot="1" x14ac:dyDescent="0.4">
      <c r="A492" s="58">
        <v>476</v>
      </c>
      <c r="B492" s="69" t="s">
        <v>79</v>
      </c>
      <c r="C492" s="69" t="s">
        <v>80</v>
      </c>
      <c r="D492" s="70" t="s">
        <v>59</v>
      </c>
      <c r="E492" s="69" t="s">
        <v>1847</v>
      </c>
      <c r="F492" s="69" t="s">
        <v>88</v>
      </c>
      <c r="G492" s="69" t="s">
        <v>2637</v>
      </c>
      <c r="H492" s="70">
        <v>2010</v>
      </c>
      <c r="I492" s="69" t="s">
        <v>63</v>
      </c>
      <c r="J492" s="69" t="s">
        <v>2638</v>
      </c>
      <c r="K492" s="71" t="s">
        <v>2639</v>
      </c>
      <c r="L492" s="71" t="s">
        <v>2640</v>
      </c>
      <c r="M492" s="71" t="s">
        <v>2641</v>
      </c>
      <c r="N492" s="69" t="s">
        <v>57</v>
      </c>
      <c r="O492" s="64">
        <v>1</v>
      </c>
      <c r="P492" s="72">
        <v>17800</v>
      </c>
      <c r="Q492" s="69" t="s">
        <v>2642</v>
      </c>
      <c r="R492" s="69"/>
      <c r="S492" s="121" t="s">
        <v>193</v>
      </c>
      <c r="T492" s="56">
        <v>9</v>
      </c>
      <c r="U492" s="56">
        <v>3</v>
      </c>
    </row>
    <row r="493" spans="1:21" ht="14.25" customHeight="1" x14ac:dyDescent="0.35">
      <c r="A493" s="47">
        <v>477</v>
      </c>
      <c r="B493" s="69" t="s">
        <v>79</v>
      </c>
      <c r="C493" s="69" t="s">
        <v>80</v>
      </c>
      <c r="D493" s="70" t="s">
        <v>97</v>
      </c>
      <c r="E493" s="69" t="s">
        <v>1847</v>
      </c>
      <c r="F493" s="69" t="s">
        <v>88</v>
      </c>
      <c r="G493" s="69" t="s">
        <v>2637</v>
      </c>
      <c r="H493" s="70">
        <v>2008</v>
      </c>
      <c r="I493" s="69" t="s">
        <v>63</v>
      </c>
      <c r="J493" s="69" t="s">
        <v>2643</v>
      </c>
      <c r="K493" s="71" t="s">
        <v>2644</v>
      </c>
      <c r="L493" s="71" t="s">
        <v>2645</v>
      </c>
      <c r="M493" s="71" t="s">
        <v>2646</v>
      </c>
      <c r="N493" s="69" t="s">
        <v>57</v>
      </c>
      <c r="O493" s="64">
        <v>1</v>
      </c>
      <c r="P493" s="72">
        <v>16950</v>
      </c>
      <c r="Q493" s="69" t="s">
        <v>2647</v>
      </c>
      <c r="R493" s="69"/>
      <c r="S493" s="121" t="s">
        <v>193</v>
      </c>
      <c r="T493" s="56">
        <v>9</v>
      </c>
      <c r="U493" s="56">
        <v>3</v>
      </c>
    </row>
    <row r="494" spans="1:21" ht="14.25" customHeight="1" thickBot="1" x14ac:dyDescent="0.4">
      <c r="A494" s="58">
        <v>478</v>
      </c>
      <c r="B494" s="69" t="s">
        <v>79</v>
      </c>
      <c r="C494" s="69" t="s">
        <v>80</v>
      </c>
      <c r="D494" s="70" t="s">
        <v>101</v>
      </c>
      <c r="E494" s="69" t="s">
        <v>2648</v>
      </c>
      <c r="F494" s="69" t="s">
        <v>2386</v>
      </c>
      <c r="G494" s="69" t="s">
        <v>54</v>
      </c>
      <c r="H494" s="70">
        <v>2007</v>
      </c>
      <c r="I494" s="69" t="s">
        <v>63</v>
      </c>
      <c r="J494" s="69" t="s">
        <v>2649</v>
      </c>
      <c r="K494" s="71" t="s">
        <v>2650</v>
      </c>
      <c r="L494" s="71" t="s">
        <v>2651</v>
      </c>
      <c r="M494" s="71" t="s">
        <v>2652</v>
      </c>
      <c r="N494" s="69" t="s">
        <v>57</v>
      </c>
      <c r="O494" s="64">
        <v>1</v>
      </c>
      <c r="P494" s="72">
        <v>14500</v>
      </c>
      <c r="Q494" s="69" t="s">
        <v>2653</v>
      </c>
      <c r="R494" s="69"/>
      <c r="S494" s="121" t="s">
        <v>193</v>
      </c>
      <c r="T494" s="56">
        <v>9</v>
      </c>
      <c r="U494" s="56">
        <v>3</v>
      </c>
    </row>
    <row r="495" spans="1:21" ht="14.25" customHeight="1" x14ac:dyDescent="0.35">
      <c r="A495" s="47">
        <v>479</v>
      </c>
      <c r="B495" s="69" t="s">
        <v>79</v>
      </c>
      <c r="C495" s="69" t="s">
        <v>80</v>
      </c>
      <c r="D495" s="70" t="s">
        <v>107</v>
      </c>
      <c r="E495" s="69" t="s">
        <v>2654</v>
      </c>
      <c r="F495" s="69" t="s">
        <v>82</v>
      </c>
      <c r="G495" s="69" t="s">
        <v>2637</v>
      </c>
      <c r="H495" s="70">
        <v>2008</v>
      </c>
      <c r="I495" s="69" t="s">
        <v>63</v>
      </c>
      <c r="J495" s="69" t="s">
        <v>2655</v>
      </c>
      <c r="K495" s="71" t="s">
        <v>2656</v>
      </c>
      <c r="L495" s="71" t="s">
        <v>2657</v>
      </c>
      <c r="M495" s="71" t="s">
        <v>2658</v>
      </c>
      <c r="N495" s="69" t="s">
        <v>57</v>
      </c>
      <c r="O495" s="64">
        <v>1</v>
      </c>
      <c r="P495" s="72">
        <v>10525</v>
      </c>
      <c r="Q495" s="69" t="s">
        <v>2659</v>
      </c>
      <c r="R495" s="69"/>
      <c r="S495" s="121" t="s">
        <v>193</v>
      </c>
      <c r="T495" s="56">
        <v>9</v>
      </c>
      <c r="U495" s="56">
        <v>3</v>
      </c>
    </row>
    <row r="496" spans="1:21" ht="14.25" customHeight="1" thickBot="1" x14ac:dyDescent="0.4">
      <c r="A496" s="58">
        <v>480</v>
      </c>
      <c r="B496" s="69" t="s">
        <v>79</v>
      </c>
      <c r="C496" s="69" t="s">
        <v>80</v>
      </c>
      <c r="D496" s="70" t="s">
        <v>112</v>
      </c>
      <c r="E496" s="69" t="s">
        <v>1847</v>
      </c>
      <c r="F496" s="69" t="s">
        <v>88</v>
      </c>
      <c r="G496" s="69" t="s">
        <v>2637</v>
      </c>
      <c r="H496" s="70">
        <v>2010</v>
      </c>
      <c r="I496" s="69" t="s">
        <v>63</v>
      </c>
      <c r="J496" s="69" t="s">
        <v>2660</v>
      </c>
      <c r="K496" s="71" t="s">
        <v>2661</v>
      </c>
      <c r="L496" s="71" t="s">
        <v>2662</v>
      </c>
      <c r="M496" s="71" t="s">
        <v>2663</v>
      </c>
      <c r="N496" s="69" t="s">
        <v>57</v>
      </c>
      <c r="O496" s="64">
        <v>1</v>
      </c>
      <c r="P496" s="72">
        <v>17800</v>
      </c>
      <c r="Q496" s="69" t="s">
        <v>2664</v>
      </c>
      <c r="R496" s="69"/>
      <c r="S496" s="121" t="s">
        <v>193</v>
      </c>
      <c r="T496" s="56">
        <v>9</v>
      </c>
      <c r="U496" s="56">
        <v>3</v>
      </c>
    </row>
    <row r="497" spans="1:21" ht="28.5" customHeight="1" x14ac:dyDescent="0.35">
      <c r="A497" s="47">
        <v>481</v>
      </c>
      <c r="B497" s="69" t="s">
        <v>79</v>
      </c>
      <c r="C497" s="69" t="s">
        <v>80</v>
      </c>
      <c r="D497" s="70" t="s">
        <v>116</v>
      </c>
      <c r="E497" s="69" t="s">
        <v>216</v>
      </c>
      <c r="F497" s="69" t="s">
        <v>217</v>
      </c>
      <c r="G497" s="69" t="s">
        <v>54</v>
      </c>
      <c r="H497" s="70">
        <v>2012</v>
      </c>
      <c r="I497" s="69"/>
      <c r="J497" s="69" t="s">
        <v>2665</v>
      </c>
      <c r="K497" s="71" t="s">
        <v>2666</v>
      </c>
      <c r="L497" s="71" t="s">
        <v>2667</v>
      </c>
      <c r="M497" s="71" t="s">
        <v>2668</v>
      </c>
      <c r="N497" s="69" t="s">
        <v>57</v>
      </c>
      <c r="O497" s="64">
        <v>1</v>
      </c>
      <c r="P497" s="72">
        <v>19426.599999999999</v>
      </c>
      <c r="Q497" s="69" t="s">
        <v>2669</v>
      </c>
      <c r="R497" s="69"/>
      <c r="S497" s="121" t="s">
        <v>193</v>
      </c>
      <c r="T497" s="56">
        <v>9</v>
      </c>
      <c r="U497" s="56">
        <v>3</v>
      </c>
    </row>
    <row r="498" spans="1:21" ht="14.25" customHeight="1" thickBot="1" x14ac:dyDescent="0.4">
      <c r="A498" s="58">
        <v>482</v>
      </c>
      <c r="B498" s="69" t="s">
        <v>79</v>
      </c>
      <c r="C498" s="69" t="s">
        <v>80</v>
      </c>
      <c r="D498" s="70" t="s">
        <v>841</v>
      </c>
      <c r="E498" s="69" t="s">
        <v>2670</v>
      </c>
      <c r="F498" s="69" t="s">
        <v>443</v>
      </c>
      <c r="G498" s="69" t="s">
        <v>2637</v>
      </c>
      <c r="H498" s="70">
        <v>2007</v>
      </c>
      <c r="I498" s="69" t="s">
        <v>63</v>
      </c>
      <c r="J498" s="69" t="s">
        <v>2671</v>
      </c>
      <c r="K498" s="71" t="s">
        <v>2672</v>
      </c>
      <c r="L498" s="71" t="s">
        <v>2673</v>
      </c>
      <c r="M498" s="71" t="s">
        <v>2674</v>
      </c>
      <c r="N498" s="69" t="s">
        <v>57</v>
      </c>
      <c r="O498" s="64">
        <v>1</v>
      </c>
      <c r="P498" s="72">
        <v>10525</v>
      </c>
      <c r="Q498" s="69" t="s">
        <v>2675</v>
      </c>
      <c r="R498" s="69"/>
      <c r="S498" s="121" t="s">
        <v>193</v>
      </c>
      <c r="T498" s="56">
        <v>9</v>
      </c>
      <c r="U498" s="56">
        <v>3</v>
      </c>
    </row>
    <row r="499" spans="1:21" ht="14.25" customHeight="1" x14ac:dyDescent="0.35">
      <c r="A499" s="47">
        <v>483</v>
      </c>
      <c r="B499" s="69" t="s">
        <v>2676</v>
      </c>
      <c r="C499" s="69" t="s">
        <v>2677</v>
      </c>
      <c r="D499" s="70" t="s">
        <v>51</v>
      </c>
      <c r="E499" s="69" t="s">
        <v>2678</v>
      </c>
      <c r="F499" s="69" t="s">
        <v>88</v>
      </c>
      <c r="G499" s="69" t="s">
        <v>2679</v>
      </c>
      <c r="H499" s="70">
        <v>2010</v>
      </c>
      <c r="I499" s="69"/>
      <c r="J499" s="69" t="s">
        <v>2680</v>
      </c>
      <c r="K499" s="71" t="s">
        <v>2681</v>
      </c>
      <c r="L499" s="71" t="s">
        <v>2682</v>
      </c>
      <c r="M499" s="71" t="s">
        <v>2683</v>
      </c>
      <c r="N499" s="69" t="s">
        <v>57</v>
      </c>
      <c r="O499" s="64">
        <v>1</v>
      </c>
      <c r="P499" s="72">
        <v>17300</v>
      </c>
      <c r="Q499" s="69" t="s">
        <v>2684</v>
      </c>
      <c r="R499" s="69"/>
      <c r="S499" s="121" t="s">
        <v>193</v>
      </c>
      <c r="T499" s="56">
        <v>9</v>
      </c>
      <c r="U499" s="56">
        <v>3</v>
      </c>
    </row>
    <row r="500" spans="1:21" ht="14.25" customHeight="1" thickBot="1" x14ac:dyDescent="0.4">
      <c r="A500" s="58">
        <v>484</v>
      </c>
      <c r="B500" s="69" t="s">
        <v>2685</v>
      </c>
      <c r="C500" s="69" t="s">
        <v>2686</v>
      </c>
      <c r="D500" s="70" t="s">
        <v>51</v>
      </c>
      <c r="E500" s="69" t="s">
        <v>2687</v>
      </c>
      <c r="F500" s="69" t="s">
        <v>231</v>
      </c>
      <c r="G500" s="69" t="s">
        <v>2679</v>
      </c>
      <c r="H500" s="70">
        <v>2010</v>
      </c>
      <c r="I500" s="69"/>
      <c r="J500" s="69" t="s">
        <v>2688</v>
      </c>
      <c r="K500" s="71" t="s">
        <v>2689</v>
      </c>
      <c r="L500" s="71" t="s">
        <v>2690</v>
      </c>
      <c r="M500" s="71"/>
      <c r="N500" s="69" t="s">
        <v>57</v>
      </c>
      <c r="O500" s="64">
        <v>1</v>
      </c>
      <c r="P500" s="72">
        <v>34535</v>
      </c>
      <c r="Q500" s="69" t="s">
        <v>2669</v>
      </c>
      <c r="R500" s="69"/>
      <c r="S500" s="121" t="s">
        <v>193</v>
      </c>
      <c r="T500" s="56">
        <v>9</v>
      </c>
      <c r="U500" s="56">
        <v>3</v>
      </c>
    </row>
    <row r="501" spans="1:21" ht="14.25" customHeight="1" x14ac:dyDescent="0.35">
      <c r="A501" s="47">
        <v>485</v>
      </c>
      <c r="B501" s="69" t="s">
        <v>1745</v>
      </c>
      <c r="C501" s="69" t="s">
        <v>1746</v>
      </c>
      <c r="D501" s="70" t="s">
        <v>51</v>
      </c>
      <c r="E501" s="69" t="s">
        <v>1755</v>
      </c>
      <c r="F501" s="69" t="s">
        <v>2691</v>
      </c>
      <c r="G501" s="69" t="s">
        <v>140</v>
      </c>
      <c r="H501" s="70">
        <v>2016</v>
      </c>
      <c r="I501" s="69"/>
      <c r="J501" s="69" t="s">
        <v>2692</v>
      </c>
      <c r="K501" s="71" t="s">
        <v>2693</v>
      </c>
      <c r="L501" s="71" t="s">
        <v>2694</v>
      </c>
      <c r="M501" s="71" t="s">
        <v>2695</v>
      </c>
      <c r="N501" s="69" t="s">
        <v>57</v>
      </c>
      <c r="O501" s="64">
        <v>1</v>
      </c>
      <c r="P501" s="72">
        <v>185080</v>
      </c>
      <c r="Q501" s="69" t="s">
        <v>1793</v>
      </c>
      <c r="R501" s="69"/>
      <c r="S501" s="121" t="s">
        <v>204</v>
      </c>
      <c r="T501" s="56">
        <v>10</v>
      </c>
      <c r="U501" s="56">
        <v>4</v>
      </c>
    </row>
    <row r="502" spans="1:21" ht="14.25" customHeight="1" thickBot="1" x14ac:dyDescent="0.4">
      <c r="A502" s="58">
        <v>486</v>
      </c>
      <c r="B502" s="69" t="s">
        <v>70</v>
      </c>
      <c r="C502" s="69" t="s">
        <v>71</v>
      </c>
      <c r="D502" s="70" t="s">
        <v>59</v>
      </c>
      <c r="E502" s="69" t="s">
        <v>2696</v>
      </c>
      <c r="F502" s="124" t="s">
        <v>2697</v>
      </c>
      <c r="G502" s="69" t="s">
        <v>63</v>
      </c>
      <c r="H502" s="70">
        <v>2025</v>
      </c>
      <c r="I502" s="69" t="s">
        <v>63</v>
      </c>
      <c r="J502" s="69" t="s">
        <v>2698</v>
      </c>
      <c r="K502" s="71" t="s">
        <v>2699</v>
      </c>
      <c r="L502" s="71" t="s">
        <v>2700</v>
      </c>
      <c r="M502" s="71" t="s">
        <v>2701</v>
      </c>
      <c r="N502" s="69" t="s">
        <v>422</v>
      </c>
      <c r="O502" s="64">
        <v>1</v>
      </c>
      <c r="P502" s="72">
        <v>287707.2</v>
      </c>
      <c r="Q502" s="69" t="s">
        <v>2702</v>
      </c>
      <c r="R502" s="69"/>
      <c r="S502" s="121" t="s">
        <v>204</v>
      </c>
      <c r="T502" s="56">
        <v>10</v>
      </c>
      <c r="U502" s="56">
        <v>4</v>
      </c>
    </row>
    <row r="503" spans="1:21" ht="14.25" customHeight="1" x14ac:dyDescent="0.35">
      <c r="A503" s="47">
        <v>487</v>
      </c>
      <c r="B503" s="69" t="s">
        <v>79</v>
      </c>
      <c r="C503" s="69" t="s">
        <v>80</v>
      </c>
      <c r="D503" s="70" t="s">
        <v>51</v>
      </c>
      <c r="E503" s="69" t="s">
        <v>162</v>
      </c>
      <c r="F503" s="69" t="s">
        <v>163</v>
      </c>
      <c r="G503" s="69" t="s">
        <v>140</v>
      </c>
      <c r="H503" s="70">
        <v>2018</v>
      </c>
      <c r="I503" s="69" t="s">
        <v>63</v>
      </c>
      <c r="J503" s="69" t="s">
        <v>2703</v>
      </c>
      <c r="K503" s="71" t="s">
        <v>2704</v>
      </c>
      <c r="L503" s="71" t="s">
        <v>2705</v>
      </c>
      <c r="M503" s="71" t="s">
        <v>2706</v>
      </c>
      <c r="N503" s="69" t="s">
        <v>57</v>
      </c>
      <c r="O503" s="64">
        <v>1</v>
      </c>
      <c r="P503" s="72">
        <v>15534</v>
      </c>
      <c r="Q503" s="69" t="s">
        <v>168</v>
      </c>
      <c r="R503" s="69"/>
      <c r="S503" s="121" t="s">
        <v>204</v>
      </c>
      <c r="T503" s="56">
        <v>10</v>
      </c>
      <c r="U503" s="56">
        <v>3</v>
      </c>
    </row>
    <row r="504" spans="1:21" ht="14.25" customHeight="1" thickBot="1" x14ac:dyDescent="0.4">
      <c r="A504" s="58">
        <v>488</v>
      </c>
      <c r="B504" s="69" t="s">
        <v>79</v>
      </c>
      <c r="C504" s="69" t="s">
        <v>80</v>
      </c>
      <c r="D504" s="70" t="s">
        <v>59</v>
      </c>
      <c r="E504" s="69" t="s">
        <v>1383</v>
      </c>
      <c r="F504" s="69" t="s">
        <v>163</v>
      </c>
      <c r="G504" s="69" t="s">
        <v>140</v>
      </c>
      <c r="H504" s="70">
        <v>2015</v>
      </c>
      <c r="I504" s="69"/>
      <c r="J504" s="69" t="s">
        <v>2707</v>
      </c>
      <c r="K504" s="71" t="s">
        <v>2708</v>
      </c>
      <c r="L504" s="71" t="s">
        <v>2709</v>
      </c>
      <c r="M504" s="71" t="s">
        <v>2710</v>
      </c>
      <c r="N504" s="69" t="s">
        <v>57</v>
      </c>
      <c r="O504" s="64">
        <v>1</v>
      </c>
      <c r="P504" s="72">
        <v>14962.333000000001</v>
      </c>
      <c r="Q504" s="69" t="s">
        <v>2711</v>
      </c>
      <c r="R504" s="69"/>
      <c r="S504" s="121" t="s">
        <v>204</v>
      </c>
      <c r="T504" s="56">
        <v>10</v>
      </c>
      <c r="U504" s="56">
        <v>3</v>
      </c>
    </row>
    <row r="505" spans="1:21" ht="14.25" customHeight="1" x14ac:dyDescent="0.35">
      <c r="A505" s="47">
        <v>489</v>
      </c>
      <c r="B505" s="69" t="s">
        <v>79</v>
      </c>
      <c r="C505" s="69" t="s">
        <v>80</v>
      </c>
      <c r="D505" s="70" t="s">
        <v>97</v>
      </c>
      <c r="E505" s="69" t="s">
        <v>147</v>
      </c>
      <c r="F505" s="69" t="s">
        <v>148</v>
      </c>
      <c r="G505" s="69" t="s">
        <v>140</v>
      </c>
      <c r="H505" s="70">
        <v>2015</v>
      </c>
      <c r="I505" s="69"/>
      <c r="J505" s="69" t="s">
        <v>2712</v>
      </c>
      <c r="K505" s="71" t="s">
        <v>2713</v>
      </c>
      <c r="L505" s="71" t="s">
        <v>2714</v>
      </c>
      <c r="M505" s="71" t="s">
        <v>2715</v>
      </c>
      <c r="N505" s="69" t="s">
        <v>57</v>
      </c>
      <c r="O505" s="64">
        <v>1</v>
      </c>
      <c r="P505" s="72">
        <v>19430</v>
      </c>
      <c r="Q505" s="69" t="s">
        <v>2716</v>
      </c>
      <c r="R505" s="69"/>
      <c r="S505" s="121" t="s">
        <v>204</v>
      </c>
      <c r="T505" s="56">
        <v>10</v>
      </c>
      <c r="U505" s="56">
        <v>3</v>
      </c>
    </row>
    <row r="506" spans="1:21" ht="14.25" customHeight="1" thickBot="1" x14ac:dyDescent="0.4">
      <c r="A506" s="58">
        <v>490</v>
      </c>
      <c r="B506" s="69" t="s">
        <v>79</v>
      </c>
      <c r="C506" s="69" t="s">
        <v>80</v>
      </c>
      <c r="D506" s="70" t="s">
        <v>101</v>
      </c>
      <c r="E506" s="69" t="s">
        <v>2717</v>
      </c>
      <c r="F506" s="69" t="s">
        <v>202</v>
      </c>
      <c r="G506" s="69" t="s">
        <v>247</v>
      </c>
      <c r="H506" s="70">
        <v>2008</v>
      </c>
      <c r="I506" s="69"/>
      <c r="J506" s="69" t="s">
        <v>2718</v>
      </c>
      <c r="K506" s="71" t="s">
        <v>2719</v>
      </c>
      <c r="L506" s="71" t="s">
        <v>2720</v>
      </c>
      <c r="M506" s="71" t="s">
        <v>2721</v>
      </c>
      <c r="N506" s="69" t="s">
        <v>57</v>
      </c>
      <c r="O506" s="64">
        <v>1</v>
      </c>
      <c r="P506" s="72">
        <v>14765</v>
      </c>
      <c r="Q506" s="69" t="s">
        <v>2722</v>
      </c>
      <c r="R506" s="69"/>
      <c r="S506" s="121" t="s">
        <v>204</v>
      </c>
      <c r="T506" s="56">
        <v>10</v>
      </c>
      <c r="U506" s="56">
        <v>3</v>
      </c>
    </row>
    <row r="507" spans="1:21" ht="14.25" customHeight="1" x14ac:dyDescent="0.35">
      <c r="A507" s="47">
        <v>491</v>
      </c>
      <c r="B507" s="69" t="s">
        <v>79</v>
      </c>
      <c r="C507" s="69" t="s">
        <v>80</v>
      </c>
      <c r="D507" s="70" t="s">
        <v>107</v>
      </c>
      <c r="E507" s="69" t="s">
        <v>2717</v>
      </c>
      <c r="F507" s="69" t="s">
        <v>202</v>
      </c>
      <c r="G507" s="69" t="s">
        <v>247</v>
      </c>
      <c r="H507" s="70">
        <v>2008</v>
      </c>
      <c r="I507" s="69"/>
      <c r="J507" s="69" t="s">
        <v>2723</v>
      </c>
      <c r="K507" s="71" t="s">
        <v>2724</v>
      </c>
      <c r="L507" s="71" t="s">
        <v>2725</v>
      </c>
      <c r="M507" s="71" t="s">
        <v>2726</v>
      </c>
      <c r="N507" s="69" t="s">
        <v>57</v>
      </c>
      <c r="O507" s="64">
        <v>1</v>
      </c>
      <c r="P507" s="72">
        <v>14765</v>
      </c>
      <c r="Q507" s="69" t="s">
        <v>2727</v>
      </c>
      <c r="R507" s="69"/>
      <c r="S507" s="121" t="s">
        <v>204</v>
      </c>
      <c r="T507" s="56">
        <v>10</v>
      </c>
      <c r="U507" s="56">
        <v>3</v>
      </c>
    </row>
    <row r="508" spans="1:21" ht="14.25" customHeight="1" thickBot="1" x14ac:dyDescent="0.4">
      <c r="A508" s="58">
        <v>492</v>
      </c>
      <c r="B508" s="69" t="s">
        <v>79</v>
      </c>
      <c r="C508" s="69" t="s">
        <v>80</v>
      </c>
      <c r="D508" s="70" t="s">
        <v>112</v>
      </c>
      <c r="E508" s="69" t="s">
        <v>2717</v>
      </c>
      <c r="F508" s="69" t="s">
        <v>202</v>
      </c>
      <c r="G508" s="69" t="s">
        <v>247</v>
      </c>
      <c r="H508" s="70">
        <v>2008</v>
      </c>
      <c r="I508" s="69"/>
      <c r="J508" s="69" t="s">
        <v>2728</v>
      </c>
      <c r="K508" s="71" t="s">
        <v>2729</v>
      </c>
      <c r="L508" s="71" t="s">
        <v>2730</v>
      </c>
      <c r="M508" s="71" t="s">
        <v>2731</v>
      </c>
      <c r="N508" s="69" t="s">
        <v>57</v>
      </c>
      <c r="O508" s="64">
        <v>1</v>
      </c>
      <c r="P508" s="72">
        <v>14765</v>
      </c>
      <c r="Q508" s="69" t="s">
        <v>2732</v>
      </c>
      <c r="R508" s="69"/>
      <c r="S508" s="121" t="s">
        <v>204</v>
      </c>
      <c r="T508" s="56">
        <v>10</v>
      </c>
      <c r="U508" s="56">
        <v>3</v>
      </c>
    </row>
    <row r="509" spans="1:21" ht="14.25" customHeight="1" x14ac:dyDescent="0.35">
      <c r="A509" s="47">
        <v>493</v>
      </c>
      <c r="B509" s="69" t="s">
        <v>79</v>
      </c>
      <c r="C509" s="69" t="s">
        <v>80</v>
      </c>
      <c r="D509" s="70" t="s">
        <v>116</v>
      </c>
      <c r="E509" s="69" t="s">
        <v>2513</v>
      </c>
      <c r="F509" s="69" t="s">
        <v>202</v>
      </c>
      <c r="G509" s="69" t="s">
        <v>54</v>
      </c>
      <c r="H509" s="70">
        <v>2010</v>
      </c>
      <c r="I509" s="69"/>
      <c r="J509" s="69" t="s">
        <v>2733</v>
      </c>
      <c r="K509" s="71" t="s">
        <v>2734</v>
      </c>
      <c r="L509" s="71" t="s">
        <v>2735</v>
      </c>
      <c r="M509" s="71" t="s">
        <v>2736</v>
      </c>
      <c r="N509" s="69" t="s">
        <v>57</v>
      </c>
      <c r="O509" s="64">
        <v>1</v>
      </c>
      <c r="P509" s="72">
        <v>16050</v>
      </c>
      <c r="Q509" s="69" t="s">
        <v>2737</v>
      </c>
      <c r="R509" s="69"/>
      <c r="S509" s="121" t="s">
        <v>204</v>
      </c>
      <c r="T509" s="56">
        <v>10</v>
      </c>
      <c r="U509" s="56">
        <v>3</v>
      </c>
    </row>
    <row r="510" spans="1:21" ht="14.25" customHeight="1" thickBot="1" x14ac:dyDescent="0.4">
      <c r="A510" s="58">
        <v>494</v>
      </c>
      <c r="B510" s="69" t="s">
        <v>79</v>
      </c>
      <c r="C510" s="69" t="s">
        <v>80</v>
      </c>
      <c r="D510" s="70" t="s">
        <v>841</v>
      </c>
      <c r="E510" s="69" t="s">
        <v>2738</v>
      </c>
      <c r="F510" s="69" t="s">
        <v>2739</v>
      </c>
      <c r="G510" s="69" t="s">
        <v>247</v>
      </c>
      <c r="H510" s="70">
        <v>2010</v>
      </c>
      <c r="I510" s="69"/>
      <c r="J510" s="69" t="s">
        <v>2740</v>
      </c>
      <c r="K510" s="71" t="s">
        <v>2741</v>
      </c>
      <c r="L510" s="71" t="s">
        <v>2742</v>
      </c>
      <c r="M510" s="71" t="s">
        <v>2743</v>
      </c>
      <c r="N510" s="69" t="s">
        <v>57</v>
      </c>
      <c r="O510" s="64">
        <v>1</v>
      </c>
      <c r="P510" s="72">
        <v>17350</v>
      </c>
      <c r="Q510" s="69" t="s">
        <v>2744</v>
      </c>
      <c r="R510" s="69"/>
      <c r="S510" s="121" t="s">
        <v>204</v>
      </c>
      <c r="T510" s="56">
        <v>10</v>
      </c>
      <c r="U510" s="56">
        <v>3</v>
      </c>
    </row>
    <row r="511" spans="1:21" ht="14.25" customHeight="1" x14ac:dyDescent="0.35">
      <c r="A511" s="47">
        <v>495</v>
      </c>
      <c r="B511" s="69" t="s">
        <v>79</v>
      </c>
      <c r="C511" s="69" t="s">
        <v>80</v>
      </c>
      <c r="D511" s="70" t="s">
        <v>122</v>
      </c>
      <c r="E511" s="69" t="s">
        <v>1860</v>
      </c>
      <c r="F511" s="69" t="s">
        <v>202</v>
      </c>
      <c r="G511" s="69" t="s">
        <v>54</v>
      </c>
      <c r="H511" s="70">
        <v>2012</v>
      </c>
      <c r="I511" s="69"/>
      <c r="J511" s="69" t="s">
        <v>2745</v>
      </c>
      <c r="K511" s="71" t="s">
        <v>2746</v>
      </c>
      <c r="L511" s="71" t="s">
        <v>2747</v>
      </c>
      <c r="M511" s="71" t="s">
        <v>2748</v>
      </c>
      <c r="N511" s="69" t="s">
        <v>57</v>
      </c>
      <c r="O511" s="64">
        <v>1</v>
      </c>
      <c r="P511" s="72">
        <v>13177.55</v>
      </c>
      <c r="Q511" s="69" t="s">
        <v>2749</v>
      </c>
      <c r="R511" s="69"/>
      <c r="S511" s="121" t="s">
        <v>204</v>
      </c>
      <c r="T511" s="56">
        <v>10</v>
      </c>
      <c r="U511" s="56">
        <v>3</v>
      </c>
    </row>
    <row r="512" spans="1:21" ht="14.25" customHeight="1" thickBot="1" x14ac:dyDescent="0.4">
      <c r="A512" s="58">
        <v>496</v>
      </c>
      <c r="B512" s="69" t="s">
        <v>79</v>
      </c>
      <c r="C512" s="69" t="s">
        <v>80</v>
      </c>
      <c r="D512" s="70" t="s">
        <v>126</v>
      </c>
      <c r="E512" s="69" t="s">
        <v>1860</v>
      </c>
      <c r="F512" s="69" t="s">
        <v>202</v>
      </c>
      <c r="G512" s="69" t="s">
        <v>54</v>
      </c>
      <c r="H512" s="70">
        <v>2012</v>
      </c>
      <c r="I512" s="69"/>
      <c r="J512" s="69" t="s">
        <v>2750</v>
      </c>
      <c r="K512" s="71" t="s">
        <v>2751</v>
      </c>
      <c r="L512" s="71" t="s">
        <v>2752</v>
      </c>
      <c r="M512" s="71" t="s">
        <v>2753</v>
      </c>
      <c r="N512" s="69" t="s">
        <v>57</v>
      </c>
      <c r="O512" s="64">
        <v>1</v>
      </c>
      <c r="P512" s="72">
        <v>13177.55</v>
      </c>
      <c r="Q512" s="69" t="s">
        <v>2754</v>
      </c>
      <c r="R512" s="69"/>
      <c r="S512" s="121" t="s">
        <v>204</v>
      </c>
      <c r="T512" s="56">
        <v>10</v>
      </c>
      <c r="U512" s="56">
        <v>3</v>
      </c>
    </row>
    <row r="513" spans="1:21" ht="14.25" customHeight="1" x14ac:dyDescent="0.35">
      <c r="A513" s="47">
        <v>497</v>
      </c>
      <c r="B513" s="69" t="s">
        <v>79</v>
      </c>
      <c r="C513" s="69" t="s">
        <v>80</v>
      </c>
      <c r="D513" s="70" t="s">
        <v>132</v>
      </c>
      <c r="E513" s="69" t="s">
        <v>1860</v>
      </c>
      <c r="F513" s="69" t="s">
        <v>202</v>
      </c>
      <c r="G513" s="69" t="s">
        <v>54</v>
      </c>
      <c r="H513" s="70">
        <v>2012</v>
      </c>
      <c r="I513" s="69"/>
      <c r="J513" s="69" t="s">
        <v>2755</v>
      </c>
      <c r="K513" s="71" t="s">
        <v>2756</v>
      </c>
      <c r="L513" s="71" t="s">
        <v>2757</v>
      </c>
      <c r="M513" s="71" t="s">
        <v>2758</v>
      </c>
      <c r="N513" s="69" t="s">
        <v>57</v>
      </c>
      <c r="O513" s="64">
        <v>1</v>
      </c>
      <c r="P513" s="72">
        <v>13177.55</v>
      </c>
      <c r="Q513" s="69" t="s">
        <v>2759</v>
      </c>
      <c r="R513" s="69"/>
      <c r="S513" s="121" t="s">
        <v>204</v>
      </c>
      <c r="T513" s="56">
        <v>10</v>
      </c>
      <c r="U513" s="56">
        <v>3</v>
      </c>
    </row>
    <row r="514" spans="1:21" ht="14.25" customHeight="1" thickBot="1" x14ac:dyDescent="0.4">
      <c r="A514" s="58">
        <v>498</v>
      </c>
      <c r="B514" s="69" t="s">
        <v>79</v>
      </c>
      <c r="C514" s="69" t="s">
        <v>80</v>
      </c>
      <c r="D514" s="70" t="s">
        <v>137</v>
      </c>
      <c r="E514" s="69" t="s">
        <v>2760</v>
      </c>
      <c r="F514" s="69" t="s">
        <v>217</v>
      </c>
      <c r="G514" s="69" t="s">
        <v>54</v>
      </c>
      <c r="H514" s="70">
        <v>2012</v>
      </c>
      <c r="I514" s="69"/>
      <c r="J514" s="69" t="s">
        <v>2761</v>
      </c>
      <c r="K514" s="71" t="s">
        <v>2762</v>
      </c>
      <c r="L514" s="71" t="s">
        <v>2763</v>
      </c>
      <c r="M514" s="71" t="s">
        <v>2764</v>
      </c>
      <c r="N514" s="69" t="s">
        <v>57</v>
      </c>
      <c r="O514" s="64">
        <v>1</v>
      </c>
      <c r="P514" s="72">
        <v>27400</v>
      </c>
      <c r="Q514" s="69" t="s">
        <v>2765</v>
      </c>
      <c r="R514" s="69"/>
      <c r="S514" s="121" t="s">
        <v>204</v>
      </c>
      <c r="T514" s="56">
        <v>10</v>
      </c>
      <c r="U514" s="56">
        <v>3</v>
      </c>
    </row>
    <row r="515" spans="1:21" ht="14.25" customHeight="1" x14ac:dyDescent="0.35">
      <c r="A515" s="47">
        <v>499</v>
      </c>
      <c r="B515" s="69" t="s">
        <v>79</v>
      </c>
      <c r="C515" s="69" t="s">
        <v>80</v>
      </c>
      <c r="D515" s="70" t="s">
        <v>2766</v>
      </c>
      <c r="E515" s="69" t="s">
        <v>2178</v>
      </c>
      <c r="F515" s="69" t="s">
        <v>2179</v>
      </c>
      <c r="G515" s="69" t="s">
        <v>54</v>
      </c>
      <c r="H515" s="70">
        <v>2015</v>
      </c>
      <c r="I515" s="69"/>
      <c r="J515" s="69" t="s">
        <v>2767</v>
      </c>
      <c r="K515" s="71" t="s">
        <v>2768</v>
      </c>
      <c r="L515" s="71" t="s">
        <v>2769</v>
      </c>
      <c r="M515" s="71" t="s">
        <v>2770</v>
      </c>
      <c r="N515" s="69" t="s">
        <v>57</v>
      </c>
      <c r="O515" s="64">
        <v>1</v>
      </c>
      <c r="P515" s="72">
        <v>18876</v>
      </c>
      <c r="Q515" s="69" t="s">
        <v>621</v>
      </c>
      <c r="R515" s="69"/>
      <c r="S515" s="121" t="s">
        <v>204</v>
      </c>
      <c r="T515" s="56">
        <v>10</v>
      </c>
      <c r="U515" s="56">
        <v>3</v>
      </c>
    </row>
    <row r="516" spans="1:21" ht="14.25" customHeight="1" thickBot="1" x14ac:dyDescent="0.4">
      <c r="A516" s="58">
        <v>500</v>
      </c>
      <c r="B516" s="69" t="s">
        <v>1745</v>
      </c>
      <c r="C516" s="69" t="s">
        <v>1746</v>
      </c>
      <c r="D516" s="70" t="s">
        <v>51</v>
      </c>
      <c r="E516" s="69" t="s">
        <v>2771</v>
      </c>
      <c r="F516" s="69" t="s">
        <v>2772</v>
      </c>
      <c r="G516" s="69" t="s">
        <v>62</v>
      </c>
      <c r="H516" s="70">
        <v>2019</v>
      </c>
      <c r="I516" s="69" t="s">
        <v>2773</v>
      </c>
      <c r="J516" s="69" t="s">
        <v>2774</v>
      </c>
      <c r="K516" s="71" t="s">
        <v>2775</v>
      </c>
      <c r="L516" s="71" t="s">
        <v>2776</v>
      </c>
      <c r="M516" s="71" t="s">
        <v>2777</v>
      </c>
      <c r="N516" s="69" t="s">
        <v>57</v>
      </c>
      <c r="O516" s="64">
        <v>1</v>
      </c>
      <c r="P516" s="72">
        <v>512695</v>
      </c>
      <c r="Q516" s="69" t="s">
        <v>2778</v>
      </c>
      <c r="R516" s="69"/>
      <c r="S516" s="68" t="s">
        <v>234</v>
      </c>
      <c r="T516" s="56">
        <v>11</v>
      </c>
      <c r="U516" s="56">
        <v>4</v>
      </c>
    </row>
    <row r="517" spans="1:21" ht="14.25" customHeight="1" x14ac:dyDescent="0.35">
      <c r="A517" s="47">
        <v>501</v>
      </c>
      <c r="B517" s="69" t="s">
        <v>1806</v>
      </c>
      <c r="C517" s="69" t="s">
        <v>1807</v>
      </c>
      <c r="D517" s="70" t="s">
        <v>59</v>
      </c>
      <c r="E517" s="69" t="s">
        <v>2779</v>
      </c>
      <c r="F517" s="69" t="s">
        <v>2015</v>
      </c>
      <c r="G517" s="69" t="s">
        <v>62</v>
      </c>
      <c r="H517" s="70">
        <v>2024</v>
      </c>
      <c r="I517" s="69" t="s">
        <v>63</v>
      </c>
      <c r="J517" s="69" t="s">
        <v>2780</v>
      </c>
      <c r="K517" s="71" t="s">
        <v>2781</v>
      </c>
      <c r="L517" s="71" t="s">
        <v>2782</v>
      </c>
      <c r="M517" s="71" t="s">
        <v>2783</v>
      </c>
      <c r="N517" s="69" t="s">
        <v>44</v>
      </c>
      <c r="O517" s="64">
        <v>1</v>
      </c>
      <c r="P517" s="72">
        <v>394400</v>
      </c>
      <c r="Q517" s="69" t="s">
        <v>2784</v>
      </c>
      <c r="R517" s="69"/>
      <c r="S517" s="68" t="s">
        <v>234</v>
      </c>
      <c r="T517" s="56">
        <v>11</v>
      </c>
      <c r="U517" s="56">
        <v>4</v>
      </c>
    </row>
    <row r="518" spans="1:21" ht="14.25" customHeight="1" thickBot="1" x14ac:dyDescent="0.4">
      <c r="A518" s="58">
        <v>502</v>
      </c>
      <c r="B518" s="69" t="s">
        <v>79</v>
      </c>
      <c r="C518" s="69" t="s">
        <v>80</v>
      </c>
      <c r="D518" s="70" t="s">
        <v>59</v>
      </c>
      <c r="E518" s="69" t="s">
        <v>2785</v>
      </c>
      <c r="F518" s="69" t="s">
        <v>1906</v>
      </c>
      <c r="G518" s="69" t="s">
        <v>54</v>
      </c>
      <c r="H518" s="70">
        <v>2005</v>
      </c>
      <c r="I518" s="69" t="s">
        <v>63</v>
      </c>
      <c r="J518" s="69" t="s">
        <v>2786</v>
      </c>
      <c r="K518" s="71" t="s">
        <v>2787</v>
      </c>
      <c r="L518" s="71" t="s">
        <v>2788</v>
      </c>
      <c r="M518" s="71" t="s">
        <v>63</v>
      </c>
      <c r="N518" s="69" t="s">
        <v>57</v>
      </c>
      <c r="O518" s="64">
        <v>1</v>
      </c>
      <c r="P518" s="72">
        <v>17975</v>
      </c>
      <c r="Q518" s="69" t="s">
        <v>7879</v>
      </c>
      <c r="R518" s="69"/>
      <c r="S518" s="68" t="s">
        <v>234</v>
      </c>
      <c r="T518" s="56">
        <v>11</v>
      </c>
      <c r="U518" s="56">
        <v>3</v>
      </c>
    </row>
    <row r="519" spans="1:21" ht="14.25" customHeight="1" x14ac:dyDescent="0.35">
      <c r="A519" s="47">
        <v>503</v>
      </c>
      <c r="B519" s="69" t="s">
        <v>79</v>
      </c>
      <c r="C519" s="69" t="s">
        <v>80</v>
      </c>
      <c r="D519" s="70" t="s">
        <v>97</v>
      </c>
      <c r="E519" s="69" t="s">
        <v>2789</v>
      </c>
      <c r="F519" s="69" t="s">
        <v>88</v>
      </c>
      <c r="G519" s="69" t="s">
        <v>54</v>
      </c>
      <c r="H519" s="70">
        <v>2006</v>
      </c>
      <c r="I519" s="69" t="s">
        <v>63</v>
      </c>
      <c r="J519" s="69" t="s">
        <v>2790</v>
      </c>
      <c r="K519" s="71" t="s">
        <v>2791</v>
      </c>
      <c r="L519" s="71" t="s">
        <v>2792</v>
      </c>
      <c r="M519" s="71" t="s">
        <v>2793</v>
      </c>
      <c r="N519" s="69" t="s">
        <v>57</v>
      </c>
      <c r="O519" s="64">
        <v>1</v>
      </c>
      <c r="P519" s="72">
        <v>15950</v>
      </c>
      <c r="Q519" s="69" t="s">
        <v>2794</v>
      </c>
      <c r="R519" s="69"/>
      <c r="S519" s="68" t="s">
        <v>234</v>
      </c>
      <c r="T519" s="56">
        <v>11</v>
      </c>
      <c r="U519" s="56">
        <v>3</v>
      </c>
    </row>
    <row r="520" spans="1:21" ht="14.25" customHeight="1" thickBot="1" x14ac:dyDescent="0.4">
      <c r="A520" s="58">
        <v>504</v>
      </c>
      <c r="B520" s="69" t="s">
        <v>79</v>
      </c>
      <c r="C520" s="69" t="s">
        <v>80</v>
      </c>
      <c r="D520" s="70" t="s">
        <v>101</v>
      </c>
      <c r="E520" s="69" t="s">
        <v>2795</v>
      </c>
      <c r="F520" s="69" t="s">
        <v>88</v>
      </c>
      <c r="G520" s="69" t="s">
        <v>415</v>
      </c>
      <c r="H520" s="70">
        <v>2010</v>
      </c>
      <c r="I520" s="69" t="s">
        <v>63</v>
      </c>
      <c r="J520" s="69" t="s">
        <v>2796</v>
      </c>
      <c r="K520" s="71" t="s">
        <v>2797</v>
      </c>
      <c r="L520" s="71" t="s">
        <v>2798</v>
      </c>
      <c r="M520" s="71" t="s">
        <v>2799</v>
      </c>
      <c r="N520" s="69" t="s">
        <v>57</v>
      </c>
      <c r="O520" s="64">
        <v>1</v>
      </c>
      <c r="P520" s="72">
        <v>16800</v>
      </c>
      <c r="Q520" s="69" t="s">
        <v>2800</v>
      </c>
      <c r="R520" s="69"/>
      <c r="S520" s="68" t="s">
        <v>234</v>
      </c>
      <c r="T520" s="56">
        <v>11</v>
      </c>
      <c r="U520" s="56">
        <v>3</v>
      </c>
    </row>
    <row r="521" spans="1:21" ht="14.25" customHeight="1" x14ac:dyDescent="0.35">
      <c r="A521" s="47">
        <v>505</v>
      </c>
      <c r="B521" s="69" t="s">
        <v>79</v>
      </c>
      <c r="C521" s="69" t="s">
        <v>80</v>
      </c>
      <c r="D521" s="70" t="s">
        <v>107</v>
      </c>
      <c r="E521" s="69" t="s">
        <v>2795</v>
      </c>
      <c r="F521" s="69" t="s">
        <v>88</v>
      </c>
      <c r="G521" s="69" t="s">
        <v>415</v>
      </c>
      <c r="H521" s="70">
        <v>2010</v>
      </c>
      <c r="I521" s="69" t="s">
        <v>63</v>
      </c>
      <c r="J521" s="69" t="s">
        <v>2801</v>
      </c>
      <c r="K521" s="71" t="s">
        <v>2802</v>
      </c>
      <c r="L521" s="71" t="s">
        <v>2803</v>
      </c>
      <c r="M521" s="71" t="s">
        <v>2804</v>
      </c>
      <c r="N521" s="69" t="s">
        <v>57</v>
      </c>
      <c r="O521" s="64">
        <v>1</v>
      </c>
      <c r="P521" s="72">
        <v>16800</v>
      </c>
      <c r="Q521" s="69" t="s">
        <v>2805</v>
      </c>
      <c r="R521" s="69"/>
      <c r="S521" s="68" t="s">
        <v>234</v>
      </c>
      <c r="T521" s="56">
        <v>11</v>
      </c>
      <c r="U521" s="56">
        <v>3</v>
      </c>
    </row>
    <row r="522" spans="1:21" ht="14.25" customHeight="1" thickBot="1" x14ac:dyDescent="0.4">
      <c r="A522" s="58">
        <v>506</v>
      </c>
      <c r="B522" s="69" t="s">
        <v>79</v>
      </c>
      <c r="C522" s="69" t="s">
        <v>80</v>
      </c>
      <c r="D522" s="70" t="s">
        <v>112</v>
      </c>
      <c r="E522" s="69" t="s">
        <v>2806</v>
      </c>
      <c r="F522" s="69" t="s">
        <v>2807</v>
      </c>
      <c r="G522" s="69" t="s">
        <v>140</v>
      </c>
      <c r="H522" s="70">
        <v>2014</v>
      </c>
      <c r="I522" s="69" t="s">
        <v>63</v>
      </c>
      <c r="J522" s="69" t="s">
        <v>2808</v>
      </c>
      <c r="K522" s="71" t="s">
        <v>2809</v>
      </c>
      <c r="L522" s="71" t="s">
        <v>2810</v>
      </c>
      <c r="M522" s="71" t="s">
        <v>2811</v>
      </c>
      <c r="N522" s="69" t="s">
        <v>57</v>
      </c>
      <c r="O522" s="64">
        <v>1</v>
      </c>
      <c r="P522" s="72">
        <v>13816</v>
      </c>
      <c r="Q522" s="69" t="s">
        <v>2812</v>
      </c>
      <c r="R522" s="69"/>
      <c r="S522" s="68" t="s">
        <v>234</v>
      </c>
      <c r="T522" s="56">
        <v>11</v>
      </c>
      <c r="U522" s="56">
        <v>3</v>
      </c>
    </row>
    <row r="523" spans="1:21" ht="14.25" customHeight="1" x14ac:dyDescent="0.35">
      <c r="A523" s="47">
        <v>507</v>
      </c>
      <c r="B523" s="69" t="s">
        <v>79</v>
      </c>
      <c r="C523" s="69" t="s">
        <v>80</v>
      </c>
      <c r="D523" s="70" t="s">
        <v>116</v>
      </c>
      <c r="E523" s="69" t="s">
        <v>138</v>
      </c>
      <c r="F523" s="69" t="s">
        <v>139</v>
      </c>
      <c r="G523" s="69" t="s">
        <v>140</v>
      </c>
      <c r="H523" s="70">
        <v>2014</v>
      </c>
      <c r="I523" s="69" t="s">
        <v>63</v>
      </c>
      <c r="J523" s="69" t="s">
        <v>2813</v>
      </c>
      <c r="K523" s="71" t="s">
        <v>2814</v>
      </c>
      <c r="L523" s="71" t="s">
        <v>2815</v>
      </c>
      <c r="M523" s="71" t="s">
        <v>2816</v>
      </c>
      <c r="N523" s="69" t="s">
        <v>57</v>
      </c>
      <c r="O523" s="64">
        <v>1</v>
      </c>
      <c r="P523" s="72">
        <v>17194</v>
      </c>
      <c r="Q523" s="69" t="s">
        <v>2817</v>
      </c>
      <c r="R523" s="69"/>
      <c r="S523" s="68" t="s">
        <v>234</v>
      </c>
      <c r="T523" s="56">
        <v>11</v>
      </c>
      <c r="U523" s="56">
        <v>3</v>
      </c>
    </row>
    <row r="524" spans="1:21" ht="14.25" customHeight="1" thickBot="1" x14ac:dyDescent="0.4">
      <c r="A524" s="58">
        <v>508</v>
      </c>
      <c r="B524" s="69" t="s">
        <v>79</v>
      </c>
      <c r="C524" s="69" t="s">
        <v>80</v>
      </c>
      <c r="D524" s="70" t="s">
        <v>841</v>
      </c>
      <c r="E524" s="69" t="s">
        <v>1383</v>
      </c>
      <c r="F524" s="69" t="s">
        <v>163</v>
      </c>
      <c r="G524" s="69" t="s">
        <v>140</v>
      </c>
      <c r="H524" s="70">
        <v>2015</v>
      </c>
      <c r="I524" s="69" t="s">
        <v>63</v>
      </c>
      <c r="J524" s="69" t="s">
        <v>2818</v>
      </c>
      <c r="K524" s="71" t="s">
        <v>2819</v>
      </c>
      <c r="L524" s="71" t="s">
        <v>2820</v>
      </c>
      <c r="M524" s="71" t="s">
        <v>2821</v>
      </c>
      <c r="N524" s="69" t="s">
        <v>57</v>
      </c>
      <c r="O524" s="64">
        <v>1</v>
      </c>
      <c r="P524" s="72">
        <v>14962.333000000001</v>
      </c>
      <c r="Q524" s="69" t="s">
        <v>2822</v>
      </c>
      <c r="R524" s="69"/>
      <c r="S524" s="68" t="s">
        <v>234</v>
      </c>
      <c r="T524" s="56">
        <v>11</v>
      </c>
      <c r="U524" s="56">
        <v>3</v>
      </c>
    </row>
    <row r="525" spans="1:21" ht="14.25" customHeight="1" x14ac:dyDescent="0.35">
      <c r="A525" s="47">
        <v>509</v>
      </c>
      <c r="B525" s="69" t="s">
        <v>79</v>
      </c>
      <c r="C525" s="69" t="s">
        <v>80</v>
      </c>
      <c r="D525" s="70" t="s">
        <v>904</v>
      </c>
      <c r="E525" s="69" t="s">
        <v>147</v>
      </c>
      <c r="F525" s="69" t="s">
        <v>148</v>
      </c>
      <c r="G525" s="69" t="s">
        <v>140</v>
      </c>
      <c r="H525" s="70">
        <v>2015</v>
      </c>
      <c r="I525" s="69" t="s">
        <v>63</v>
      </c>
      <c r="J525" s="69" t="s">
        <v>2823</v>
      </c>
      <c r="K525" s="71" t="s">
        <v>2824</v>
      </c>
      <c r="L525" s="71" t="s">
        <v>2825</v>
      </c>
      <c r="M525" s="71" t="s">
        <v>2826</v>
      </c>
      <c r="N525" s="69" t="s">
        <v>57</v>
      </c>
      <c r="O525" s="64">
        <v>1</v>
      </c>
      <c r="P525" s="72">
        <v>19430</v>
      </c>
      <c r="Q525" s="69" t="s">
        <v>2827</v>
      </c>
      <c r="R525" s="69"/>
      <c r="S525" s="68" t="s">
        <v>234</v>
      </c>
      <c r="T525" s="56">
        <v>11</v>
      </c>
      <c r="U525" s="56">
        <v>3</v>
      </c>
    </row>
    <row r="526" spans="1:21" ht="14.25" customHeight="1" thickBot="1" x14ac:dyDescent="0.4">
      <c r="A526" s="58">
        <v>510</v>
      </c>
      <c r="B526" s="69" t="s">
        <v>79</v>
      </c>
      <c r="C526" s="69" t="s">
        <v>80</v>
      </c>
      <c r="D526" s="70" t="s">
        <v>122</v>
      </c>
      <c r="E526" s="69" t="s">
        <v>2795</v>
      </c>
      <c r="F526" s="69" t="s">
        <v>88</v>
      </c>
      <c r="G526" s="69" t="s">
        <v>415</v>
      </c>
      <c r="H526" s="70">
        <v>2010</v>
      </c>
      <c r="I526" s="69" t="s">
        <v>63</v>
      </c>
      <c r="J526" s="69" t="s">
        <v>2828</v>
      </c>
      <c r="K526" s="71" t="s">
        <v>2829</v>
      </c>
      <c r="L526" s="71" t="s">
        <v>2830</v>
      </c>
      <c r="M526" s="71" t="s">
        <v>2831</v>
      </c>
      <c r="N526" s="69" t="s">
        <v>57</v>
      </c>
      <c r="O526" s="64">
        <v>1</v>
      </c>
      <c r="P526" s="72">
        <v>16800</v>
      </c>
      <c r="Q526" s="69" t="s">
        <v>2832</v>
      </c>
      <c r="R526" s="69"/>
      <c r="S526" s="68" t="s">
        <v>234</v>
      </c>
      <c r="T526" s="56">
        <v>11</v>
      </c>
      <c r="U526" s="56">
        <v>3</v>
      </c>
    </row>
    <row r="527" spans="1:21" ht="14.25" customHeight="1" x14ac:dyDescent="0.35">
      <c r="A527" s="47">
        <v>511</v>
      </c>
      <c r="B527" s="69" t="s">
        <v>79</v>
      </c>
      <c r="C527" s="69" t="s">
        <v>80</v>
      </c>
      <c r="D527" s="70" t="s">
        <v>132</v>
      </c>
      <c r="E527" s="69" t="s">
        <v>2795</v>
      </c>
      <c r="F527" s="69" t="s">
        <v>88</v>
      </c>
      <c r="G527" s="69" t="s">
        <v>415</v>
      </c>
      <c r="H527" s="70">
        <v>2010</v>
      </c>
      <c r="I527" s="69" t="s">
        <v>63</v>
      </c>
      <c r="J527" s="69" t="s">
        <v>2833</v>
      </c>
      <c r="K527" s="71" t="s">
        <v>2834</v>
      </c>
      <c r="L527" s="71" t="s">
        <v>2835</v>
      </c>
      <c r="M527" s="71" t="s">
        <v>2836</v>
      </c>
      <c r="N527" s="69" t="s">
        <v>57</v>
      </c>
      <c r="O527" s="64">
        <v>1</v>
      </c>
      <c r="P527" s="72">
        <v>16800</v>
      </c>
      <c r="Q527" s="69" t="s">
        <v>2837</v>
      </c>
      <c r="R527" s="69"/>
      <c r="S527" s="68" t="s">
        <v>234</v>
      </c>
      <c r="T527" s="56">
        <v>11</v>
      </c>
      <c r="U527" s="56">
        <v>3</v>
      </c>
    </row>
    <row r="528" spans="1:21" ht="14.25" customHeight="1" thickBot="1" x14ac:dyDescent="0.4">
      <c r="A528" s="58">
        <v>512</v>
      </c>
      <c r="B528" s="69" t="s">
        <v>79</v>
      </c>
      <c r="C528" s="69" t="s">
        <v>80</v>
      </c>
      <c r="D528" s="70" t="s">
        <v>137</v>
      </c>
      <c r="E528" s="69" t="s">
        <v>2795</v>
      </c>
      <c r="F528" s="69" t="s">
        <v>88</v>
      </c>
      <c r="G528" s="69" t="s">
        <v>415</v>
      </c>
      <c r="H528" s="70">
        <v>2010</v>
      </c>
      <c r="I528" s="69" t="s">
        <v>63</v>
      </c>
      <c r="J528" s="69" t="s">
        <v>2838</v>
      </c>
      <c r="K528" s="71" t="s">
        <v>2839</v>
      </c>
      <c r="L528" s="71" t="s">
        <v>2840</v>
      </c>
      <c r="M528" s="71" t="s">
        <v>2841</v>
      </c>
      <c r="N528" s="69" t="s">
        <v>57</v>
      </c>
      <c r="O528" s="64">
        <v>1</v>
      </c>
      <c r="P528" s="72">
        <v>16800</v>
      </c>
      <c r="Q528" s="69" t="s">
        <v>2842</v>
      </c>
      <c r="R528" s="69"/>
      <c r="S528" s="68" t="s">
        <v>234</v>
      </c>
      <c r="T528" s="56">
        <v>11</v>
      </c>
      <c r="U528" s="56">
        <v>3</v>
      </c>
    </row>
    <row r="529" spans="1:21" ht="14.25" customHeight="1" x14ac:dyDescent="0.35">
      <c r="A529" s="47">
        <v>513</v>
      </c>
      <c r="B529" s="69" t="s">
        <v>79</v>
      </c>
      <c r="C529" s="69" t="s">
        <v>80</v>
      </c>
      <c r="D529" s="70" t="s">
        <v>146</v>
      </c>
      <c r="E529" s="69" t="s">
        <v>2795</v>
      </c>
      <c r="F529" s="69" t="s">
        <v>88</v>
      </c>
      <c r="G529" s="69" t="s">
        <v>415</v>
      </c>
      <c r="H529" s="70">
        <v>2010</v>
      </c>
      <c r="I529" s="69" t="s">
        <v>63</v>
      </c>
      <c r="J529" s="69" t="s">
        <v>2843</v>
      </c>
      <c r="K529" s="71" t="s">
        <v>2844</v>
      </c>
      <c r="L529" s="71" t="s">
        <v>2845</v>
      </c>
      <c r="M529" s="71" t="s">
        <v>2836</v>
      </c>
      <c r="N529" s="69" t="s">
        <v>57</v>
      </c>
      <c r="O529" s="64">
        <v>1</v>
      </c>
      <c r="P529" s="72">
        <v>16800</v>
      </c>
      <c r="Q529" s="69" t="s">
        <v>2846</v>
      </c>
      <c r="R529" s="69"/>
      <c r="S529" s="68" t="s">
        <v>234</v>
      </c>
      <c r="T529" s="56">
        <v>11</v>
      </c>
      <c r="U529" s="56">
        <v>3</v>
      </c>
    </row>
    <row r="530" spans="1:21" ht="14.25" customHeight="1" thickBot="1" x14ac:dyDescent="0.4">
      <c r="A530" s="58">
        <v>514</v>
      </c>
      <c r="B530" s="69" t="s">
        <v>79</v>
      </c>
      <c r="C530" s="69" t="s">
        <v>80</v>
      </c>
      <c r="D530" s="70" t="s">
        <v>154</v>
      </c>
      <c r="E530" s="69" t="s">
        <v>2795</v>
      </c>
      <c r="F530" s="69" t="s">
        <v>88</v>
      </c>
      <c r="G530" s="69" t="s">
        <v>415</v>
      </c>
      <c r="H530" s="70">
        <v>2010</v>
      </c>
      <c r="I530" s="69" t="s">
        <v>63</v>
      </c>
      <c r="J530" s="69" t="s">
        <v>2847</v>
      </c>
      <c r="K530" s="71" t="s">
        <v>2848</v>
      </c>
      <c r="L530" s="71" t="s">
        <v>2849</v>
      </c>
      <c r="M530" s="71" t="s">
        <v>2850</v>
      </c>
      <c r="N530" s="69" t="s">
        <v>57</v>
      </c>
      <c r="O530" s="64">
        <v>1</v>
      </c>
      <c r="P530" s="72">
        <v>16800</v>
      </c>
      <c r="Q530" s="69" t="s">
        <v>2851</v>
      </c>
      <c r="R530" s="69"/>
      <c r="S530" s="68" t="s">
        <v>234</v>
      </c>
      <c r="T530" s="56">
        <v>11</v>
      </c>
      <c r="U530" s="56">
        <v>3</v>
      </c>
    </row>
    <row r="531" spans="1:21" ht="14.25" customHeight="1" x14ac:dyDescent="0.35">
      <c r="A531" s="47">
        <v>515</v>
      </c>
      <c r="B531" s="69" t="s">
        <v>79</v>
      </c>
      <c r="C531" s="69" t="s">
        <v>80</v>
      </c>
      <c r="D531" s="70" t="s">
        <v>161</v>
      </c>
      <c r="E531" s="69" t="s">
        <v>2795</v>
      </c>
      <c r="F531" s="69" t="s">
        <v>88</v>
      </c>
      <c r="G531" s="69" t="s">
        <v>415</v>
      </c>
      <c r="H531" s="70">
        <v>2010</v>
      </c>
      <c r="I531" s="69" t="s">
        <v>63</v>
      </c>
      <c r="J531" s="69" t="s">
        <v>2852</v>
      </c>
      <c r="K531" s="71" t="s">
        <v>2853</v>
      </c>
      <c r="L531" s="71" t="s">
        <v>2854</v>
      </c>
      <c r="M531" s="71" t="s">
        <v>2855</v>
      </c>
      <c r="N531" s="69" t="s">
        <v>57</v>
      </c>
      <c r="O531" s="64">
        <v>1</v>
      </c>
      <c r="P531" s="72">
        <v>16800</v>
      </c>
      <c r="Q531" s="69" t="s">
        <v>2856</v>
      </c>
      <c r="R531" s="69"/>
      <c r="S531" s="68" t="s">
        <v>234</v>
      </c>
      <c r="T531" s="56">
        <v>11</v>
      </c>
      <c r="U531" s="56">
        <v>3</v>
      </c>
    </row>
    <row r="532" spans="1:21" ht="14.25" customHeight="1" thickBot="1" x14ac:dyDescent="0.4">
      <c r="A532" s="58">
        <v>516</v>
      </c>
      <c r="B532" s="69" t="s">
        <v>79</v>
      </c>
      <c r="C532" s="69" t="s">
        <v>80</v>
      </c>
      <c r="D532" s="70" t="s">
        <v>169</v>
      </c>
      <c r="E532" s="69" t="s">
        <v>2795</v>
      </c>
      <c r="F532" s="69" t="s">
        <v>88</v>
      </c>
      <c r="G532" s="69" t="s">
        <v>415</v>
      </c>
      <c r="H532" s="70">
        <v>2010</v>
      </c>
      <c r="I532" s="69" t="s">
        <v>63</v>
      </c>
      <c r="J532" s="69" t="s">
        <v>2857</v>
      </c>
      <c r="K532" s="71" t="s">
        <v>2858</v>
      </c>
      <c r="L532" s="71" t="s">
        <v>2859</v>
      </c>
      <c r="M532" s="71" t="s">
        <v>2860</v>
      </c>
      <c r="N532" s="69" t="s">
        <v>57</v>
      </c>
      <c r="O532" s="64">
        <v>1</v>
      </c>
      <c r="P532" s="72">
        <v>16800</v>
      </c>
      <c r="Q532" s="69" t="s">
        <v>2861</v>
      </c>
      <c r="R532" s="69"/>
      <c r="S532" s="68" t="s">
        <v>234</v>
      </c>
      <c r="T532" s="56">
        <v>11</v>
      </c>
      <c r="U532" s="56">
        <v>3</v>
      </c>
    </row>
    <row r="533" spans="1:21" ht="14.25" customHeight="1" x14ac:dyDescent="0.35">
      <c r="A533" s="47">
        <v>517</v>
      </c>
      <c r="B533" s="69" t="s">
        <v>79</v>
      </c>
      <c r="C533" s="69" t="s">
        <v>80</v>
      </c>
      <c r="D533" s="70" t="s">
        <v>181</v>
      </c>
      <c r="E533" s="69" t="s">
        <v>2862</v>
      </c>
      <c r="F533" s="69" t="s">
        <v>88</v>
      </c>
      <c r="G533" s="69" t="s">
        <v>54</v>
      </c>
      <c r="H533" s="70">
        <v>2006</v>
      </c>
      <c r="I533" s="69" t="s">
        <v>63</v>
      </c>
      <c r="J533" s="69" t="s">
        <v>2863</v>
      </c>
      <c r="K533" s="71" t="s">
        <v>2864</v>
      </c>
      <c r="L533" s="71" t="s">
        <v>2865</v>
      </c>
      <c r="M533" s="71" t="s">
        <v>2866</v>
      </c>
      <c r="N533" s="69" t="s">
        <v>57</v>
      </c>
      <c r="O533" s="64">
        <v>1</v>
      </c>
      <c r="P533" s="72">
        <v>17080</v>
      </c>
      <c r="Q533" s="69" t="s">
        <v>2867</v>
      </c>
      <c r="R533" s="69"/>
      <c r="S533" s="68" t="s">
        <v>234</v>
      </c>
      <c r="T533" s="56">
        <v>11</v>
      </c>
      <c r="U533" s="56">
        <v>3</v>
      </c>
    </row>
    <row r="534" spans="1:21" ht="14.25" customHeight="1" thickBot="1" x14ac:dyDescent="0.4">
      <c r="A534" s="58">
        <v>518</v>
      </c>
      <c r="B534" s="69" t="s">
        <v>79</v>
      </c>
      <c r="C534" s="69" t="s">
        <v>80</v>
      </c>
      <c r="D534" s="70" t="s">
        <v>190</v>
      </c>
      <c r="E534" s="69" t="s">
        <v>2868</v>
      </c>
      <c r="F534" s="69" t="s">
        <v>2869</v>
      </c>
      <c r="G534" s="69" t="s">
        <v>62</v>
      </c>
      <c r="H534" s="70">
        <v>2024</v>
      </c>
      <c r="I534" s="69" t="s">
        <v>63</v>
      </c>
      <c r="J534" s="69" t="s">
        <v>2870</v>
      </c>
      <c r="K534" s="71" t="s">
        <v>2871</v>
      </c>
      <c r="L534" s="71" t="s">
        <v>2872</v>
      </c>
      <c r="M534" s="71" t="s">
        <v>2873</v>
      </c>
      <c r="N534" s="69" t="s">
        <v>44</v>
      </c>
      <c r="O534" s="64">
        <v>1</v>
      </c>
      <c r="P534" s="72">
        <v>20450</v>
      </c>
      <c r="Q534" s="69" t="s">
        <v>2874</v>
      </c>
      <c r="R534" s="69"/>
      <c r="S534" s="68" t="s">
        <v>234</v>
      </c>
      <c r="T534" s="56">
        <v>11</v>
      </c>
      <c r="U534" s="56">
        <v>3</v>
      </c>
    </row>
    <row r="535" spans="1:21" ht="14.25" customHeight="1" x14ac:dyDescent="0.35">
      <c r="A535" s="47">
        <v>519</v>
      </c>
      <c r="B535" s="69" t="s">
        <v>79</v>
      </c>
      <c r="C535" s="69" t="s">
        <v>80</v>
      </c>
      <c r="D535" s="70" t="s">
        <v>192</v>
      </c>
      <c r="E535" s="69" t="s">
        <v>2868</v>
      </c>
      <c r="F535" s="69" t="s">
        <v>2869</v>
      </c>
      <c r="G535" s="69" t="s">
        <v>62</v>
      </c>
      <c r="H535" s="70">
        <v>2024</v>
      </c>
      <c r="I535" s="69" t="s">
        <v>63</v>
      </c>
      <c r="J535" s="69" t="s">
        <v>2875</v>
      </c>
      <c r="K535" s="71" t="s">
        <v>2876</v>
      </c>
      <c r="L535" s="71" t="s">
        <v>2877</v>
      </c>
      <c r="M535" s="71" t="s">
        <v>2878</v>
      </c>
      <c r="N535" s="69" t="s">
        <v>44</v>
      </c>
      <c r="O535" s="64">
        <v>1</v>
      </c>
      <c r="P535" s="72">
        <v>20450</v>
      </c>
      <c r="Q535" s="69" t="s">
        <v>2879</v>
      </c>
      <c r="R535" s="69"/>
      <c r="S535" s="68" t="s">
        <v>234</v>
      </c>
      <c r="T535" s="56">
        <v>11</v>
      </c>
      <c r="U535" s="56">
        <v>3</v>
      </c>
    </row>
    <row r="536" spans="1:21" ht="14.25" customHeight="1" thickBot="1" x14ac:dyDescent="0.4">
      <c r="A536" s="58">
        <v>520</v>
      </c>
      <c r="B536" s="69" t="s">
        <v>79</v>
      </c>
      <c r="C536" s="69" t="s">
        <v>80</v>
      </c>
      <c r="D536" s="70" t="s">
        <v>194</v>
      </c>
      <c r="E536" s="69" t="s">
        <v>2868</v>
      </c>
      <c r="F536" s="69" t="s">
        <v>2869</v>
      </c>
      <c r="G536" s="69" t="s">
        <v>62</v>
      </c>
      <c r="H536" s="70">
        <v>2024</v>
      </c>
      <c r="I536" s="69" t="s">
        <v>63</v>
      </c>
      <c r="J536" s="69" t="s">
        <v>2880</v>
      </c>
      <c r="K536" s="71" t="s">
        <v>2881</v>
      </c>
      <c r="L536" s="71" t="s">
        <v>2882</v>
      </c>
      <c r="M536" s="71" t="s">
        <v>2883</v>
      </c>
      <c r="N536" s="69" t="s">
        <v>44</v>
      </c>
      <c r="O536" s="64">
        <v>1</v>
      </c>
      <c r="P536" s="72">
        <v>20450</v>
      </c>
      <c r="Q536" s="69" t="s">
        <v>2884</v>
      </c>
      <c r="R536" s="69"/>
      <c r="S536" s="68" t="s">
        <v>234</v>
      </c>
      <c r="T536" s="56">
        <v>11</v>
      </c>
      <c r="U536" s="56">
        <v>3</v>
      </c>
    </row>
    <row r="537" spans="1:21" ht="14.25" customHeight="1" x14ac:dyDescent="0.35">
      <c r="A537" s="47">
        <v>521</v>
      </c>
      <c r="B537" s="69" t="s">
        <v>79</v>
      </c>
      <c r="C537" s="69" t="s">
        <v>80</v>
      </c>
      <c r="D537" s="70" t="s">
        <v>195</v>
      </c>
      <c r="E537" s="69" t="s">
        <v>2885</v>
      </c>
      <c r="F537" s="69" t="s">
        <v>2886</v>
      </c>
      <c r="G537" s="69" t="s">
        <v>62</v>
      </c>
      <c r="H537" s="70">
        <v>2024</v>
      </c>
      <c r="I537" s="69" t="s">
        <v>63</v>
      </c>
      <c r="J537" s="69" t="s">
        <v>2887</v>
      </c>
      <c r="K537" s="71" t="s">
        <v>2888</v>
      </c>
      <c r="L537" s="71" t="s">
        <v>2889</v>
      </c>
      <c r="M537" s="71" t="s">
        <v>2890</v>
      </c>
      <c r="N537" s="69" t="s">
        <v>44</v>
      </c>
      <c r="O537" s="64">
        <v>1</v>
      </c>
      <c r="P537" s="72">
        <v>28150</v>
      </c>
      <c r="Q537" s="69" t="s">
        <v>2891</v>
      </c>
      <c r="R537" s="69"/>
      <c r="S537" s="68" t="s">
        <v>234</v>
      </c>
      <c r="T537" s="56">
        <v>11</v>
      </c>
      <c r="U537" s="56">
        <v>3</v>
      </c>
    </row>
    <row r="538" spans="1:21" ht="14.25" customHeight="1" thickBot="1" x14ac:dyDescent="0.4">
      <c r="A538" s="58">
        <v>522</v>
      </c>
      <c r="B538" s="69" t="s">
        <v>79</v>
      </c>
      <c r="C538" s="69" t="s">
        <v>80</v>
      </c>
      <c r="D538" s="70" t="s">
        <v>199</v>
      </c>
      <c r="E538" s="69" t="s">
        <v>2885</v>
      </c>
      <c r="F538" s="69" t="s">
        <v>2886</v>
      </c>
      <c r="G538" s="69" t="s">
        <v>62</v>
      </c>
      <c r="H538" s="70">
        <v>2024</v>
      </c>
      <c r="I538" s="69" t="s">
        <v>63</v>
      </c>
      <c r="J538" s="69" t="s">
        <v>2892</v>
      </c>
      <c r="K538" s="71" t="s">
        <v>2893</v>
      </c>
      <c r="L538" s="71" t="s">
        <v>2894</v>
      </c>
      <c r="M538" s="71" t="s">
        <v>2895</v>
      </c>
      <c r="N538" s="69" t="s">
        <v>44</v>
      </c>
      <c r="O538" s="64">
        <v>1</v>
      </c>
      <c r="P538" s="72">
        <v>28150</v>
      </c>
      <c r="Q538" s="69" t="s">
        <v>2896</v>
      </c>
      <c r="R538" s="69"/>
      <c r="S538" s="68" t="s">
        <v>234</v>
      </c>
      <c r="T538" s="56">
        <v>11</v>
      </c>
      <c r="U538" s="56">
        <v>3</v>
      </c>
    </row>
    <row r="539" spans="1:21" ht="14.25" customHeight="1" x14ac:dyDescent="0.35">
      <c r="A539" s="47">
        <v>523</v>
      </c>
      <c r="B539" s="69" t="s">
        <v>79</v>
      </c>
      <c r="C539" s="69" t="s">
        <v>80</v>
      </c>
      <c r="D539" s="70" t="s">
        <v>200</v>
      </c>
      <c r="E539" s="69" t="s">
        <v>2885</v>
      </c>
      <c r="F539" s="69" t="s">
        <v>2886</v>
      </c>
      <c r="G539" s="69" t="s">
        <v>62</v>
      </c>
      <c r="H539" s="70">
        <v>2024</v>
      </c>
      <c r="I539" s="69" t="s">
        <v>63</v>
      </c>
      <c r="J539" s="69" t="s">
        <v>2897</v>
      </c>
      <c r="K539" s="71" t="s">
        <v>2898</v>
      </c>
      <c r="L539" s="71" t="s">
        <v>2899</v>
      </c>
      <c r="M539" s="71" t="s">
        <v>2900</v>
      </c>
      <c r="N539" s="69" t="s">
        <v>44</v>
      </c>
      <c r="O539" s="64">
        <v>1</v>
      </c>
      <c r="P539" s="72">
        <v>28150</v>
      </c>
      <c r="Q539" s="69" t="s">
        <v>2901</v>
      </c>
      <c r="R539" s="69"/>
      <c r="S539" s="68" t="s">
        <v>234</v>
      </c>
      <c r="T539" s="56">
        <v>11</v>
      </c>
      <c r="U539" s="56">
        <v>3</v>
      </c>
    </row>
    <row r="540" spans="1:21" ht="14.25" customHeight="1" thickBot="1" x14ac:dyDescent="0.4">
      <c r="A540" s="58">
        <v>524</v>
      </c>
      <c r="B540" s="69" t="s">
        <v>79</v>
      </c>
      <c r="C540" s="69" t="s">
        <v>80</v>
      </c>
      <c r="D540" s="70" t="s">
        <v>209</v>
      </c>
      <c r="E540" s="69" t="s">
        <v>2885</v>
      </c>
      <c r="F540" s="69" t="s">
        <v>2886</v>
      </c>
      <c r="G540" s="69" t="s">
        <v>62</v>
      </c>
      <c r="H540" s="70">
        <v>2024</v>
      </c>
      <c r="I540" s="69" t="s">
        <v>63</v>
      </c>
      <c r="J540" s="69" t="s">
        <v>2902</v>
      </c>
      <c r="K540" s="71" t="s">
        <v>2903</v>
      </c>
      <c r="L540" s="71" t="s">
        <v>2904</v>
      </c>
      <c r="M540" s="71" t="s">
        <v>2905</v>
      </c>
      <c r="N540" s="69" t="s">
        <v>44</v>
      </c>
      <c r="O540" s="64">
        <v>1</v>
      </c>
      <c r="P540" s="72">
        <v>28150</v>
      </c>
      <c r="Q540" s="69" t="s">
        <v>2784</v>
      </c>
      <c r="R540" s="69"/>
      <c r="S540" s="68" t="s">
        <v>234</v>
      </c>
      <c r="T540" s="56">
        <v>11</v>
      </c>
      <c r="U540" s="56">
        <v>3</v>
      </c>
    </row>
    <row r="541" spans="1:21" ht="14.25" customHeight="1" x14ac:dyDescent="0.35">
      <c r="A541" s="47">
        <v>525</v>
      </c>
      <c r="B541" s="69" t="s">
        <v>79</v>
      </c>
      <c r="C541" s="69" t="s">
        <v>80</v>
      </c>
      <c r="D541" s="70" t="s">
        <v>215</v>
      </c>
      <c r="E541" s="69" t="s">
        <v>2885</v>
      </c>
      <c r="F541" s="69" t="s">
        <v>2886</v>
      </c>
      <c r="G541" s="69" t="s">
        <v>62</v>
      </c>
      <c r="H541" s="70">
        <v>2024</v>
      </c>
      <c r="I541" s="69" t="s">
        <v>63</v>
      </c>
      <c r="J541" s="69" t="s">
        <v>2906</v>
      </c>
      <c r="K541" s="71" t="s">
        <v>2907</v>
      </c>
      <c r="L541" s="71" t="s">
        <v>2908</v>
      </c>
      <c r="M541" s="71" t="s">
        <v>2909</v>
      </c>
      <c r="N541" s="69" t="s">
        <v>44</v>
      </c>
      <c r="O541" s="64">
        <v>1</v>
      </c>
      <c r="P541" s="72">
        <v>28150</v>
      </c>
      <c r="Q541" s="69" t="s">
        <v>2910</v>
      </c>
      <c r="R541" s="69"/>
      <c r="S541" s="68" t="s">
        <v>234</v>
      </c>
      <c r="T541" s="56">
        <v>11</v>
      </c>
      <c r="U541" s="56">
        <v>3</v>
      </c>
    </row>
    <row r="542" spans="1:21" ht="14.25" customHeight="1" thickBot="1" x14ac:dyDescent="0.4">
      <c r="A542" s="58">
        <v>526</v>
      </c>
      <c r="B542" s="69" t="s">
        <v>1806</v>
      </c>
      <c r="C542" s="69" t="s">
        <v>1807</v>
      </c>
      <c r="D542" s="70" t="s">
        <v>51</v>
      </c>
      <c r="E542" s="69" t="s">
        <v>2613</v>
      </c>
      <c r="F542" s="69" t="s">
        <v>2559</v>
      </c>
      <c r="G542" s="69" t="s">
        <v>54</v>
      </c>
      <c r="H542" s="70">
        <v>2013</v>
      </c>
      <c r="I542" s="69" t="s">
        <v>63</v>
      </c>
      <c r="J542" s="69" t="s">
        <v>2911</v>
      </c>
      <c r="K542" s="71" t="s">
        <v>2912</v>
      </c>
      <c r="L542" s="71" t="s">
        <v>2913</v>
      </c>
      <c r="M542" s="71" t="s">
        <v>2914</v>
      </c>
      <c r="N542" s="69" t="s">
        <v>57</v>
      </c>
      <c r="O542" s="64">
        <v>1</v>
      </c>
      <c r="P542" s="72">
        <v>239750</v>
      </c>
      <c r="Q542" s="69" t="s">
        <v>2915</v>
      </c>
      <c r="R542" s="69"/>
      <c r="S542" s="121" t="s">
        <v>258</v>
      </c>
      <c r="T542" s="56">
        <v>12</v>
      </c>
      <c r="U542" s="56">
        <v>4</v>
      </c>
    </row>
    <row r="543" spans="1:21" ht="14.25" customHeight="1" x14ac:dyDescent="0.35">
      <c r="A543" s="47">
        <v>527</v>
      </c>
      <c r="B543" s="69" t="s">
        <v>1806</v>
      </c>
      <c r="C543" s="69" t="s">
        <v>1807</v>
      </c>
      <c r="D543" s="70" t="s">
        <v>59</v>
      </c>
      <c r="E543" s="69" t="s">
        <v>2916</v>
      </c>
      <c r="F543" s="69" t="s">
        <v>2559</v>
      </c>
      <c r="G543" s="69" t="s">
        <v>54</v>
      </c>
      <c r="H543" s="70">
        <v>2013</v>
      </c>
      <c r="I543" s="69" t="s">
        <v>63</v>
      </c>
      <c r="J543" s="69" t="s">
        <v>2917</v>
      </c>
      <c r="K543" s="71" t="s">
        <v>2918</v>
      </c>
      <c r="L543" s="71" t="s">
        <v>2919</v>
      </c>
      <c r="M543" s="71" t="s">
        <v>2920</v>
      </c>
      <c r="N543" s="69" t="s">
        <v>57</v>
      </c>
      <c r="O543" s="64">
        <v>1</v>
      </c>
      <c r="P543" s="72">
        <v>268810</v>
      </c>
      <c r="Q543" s="69" t="s">
        <v>2921</v>
      </c>
      <c r="R543" s="69"/>
      <c r="S543" s="121" t="s">
        <v>258</v>
      </c>
      <c r="T543" s="56">
        <v>12</v>
      </c>
      <c r="U543" s="56">
        <v>4</v>
      </c>
    </row>
    <row r="544" spans="1:21" ht="14.25" customHeight="1" thickBot="1" x14ac:dyDescent="0.4">
      <c r="A544" s="58">
        <v>528</v>
      </c>
      <c r="B544" s="69" t="s">
        <v>70</v>
      </c>
      <c r="C544" s="69" t="s">
        <v>71</v>
      </c>
      <c r="D544" s="70" t="s">
        <v>51</v>
      </c>
      <c r="E544" s="69" t="s">
        <v>2922</v>
      </c>
      <c r="F544" s="69" t="s">
        <v>2923</v>
      </c>
      <c r="G544" s="69" t="s">
        <v>54</v>
      </c>
      <c r="H544" s="70">
        <v>2006</v>
      </c>
      <c r="I544" s="69"/>
      <c r="J544" s="69" t="s">
        <v>2924</v>
      </c>
      <c r="K544" s="71" t="s">
        <v>2925</v>
      </c>
      <c r="L544" s="71" t="s">
        <v>2926</v>
      </c>
      <c r="M544" s="71" t="s">
        <v>2927</v>
      </c>
      <c r="N544" s="69" t="s">
        <v>57</v>
      </c>
      <c r="O544" s="64">
        <v>1</v>
      </c>
      <c r="P544" s="72">
        <v>129000</v>
      </c>
      <c r="Q544" s="69"/>
      <c r="R544" s="69"/>
      <c r="S544" s="121" t="s">
        <v>258</v>
      </c>
      <c r="T544" s="56">
        <v>12</v>
      </c>
      <c r="U544" s="56">
        <v>4</v>
      </c>
    </row>
    <row r="545" spans="1:21" ht="14.25" customHeight="1" x14ac:dyDescent="0.35">
      <c r="A545" s="47">
        <v>529</v>
      </c>
      <c r="B545" s="69" t="s">
        <v>70</v>
      </c>
      <c r="C545" s="69" t="s">
        <v>71</v>
      </c>
      <c r="D545" s="70" t="s">
        <v>59</v>
      </c>
      <c r="E545" s="69" t="s">
        <v>2928</v>
      </c>
      <c r="F545" s="69" t="s">
        <v>2929</v>
      </c>
      <c r="G545" s="69" t="s">
        <v>54</v>
      </c>
      <c r="H545" s="70">
        <v>2012</v>
      </c>
      <c r="I545" s="69" t="s">
        <v>63</v>
      </c>
      <c r="J545" s="69" t="s">
        <v>2930</v>
      </c>
      <c r="K545" s="71" t="s">
        <v>2931</v>
      </c>
      <c r="L545" s="71" t="s">
        <v>2932</v>
      </c>
      <c r="M545" s="71" t="s">
        <v>2933</v>
      </c>
      <c r="N545" s="69" t="s">
        <v>57</v>
      </c>
      <c r="O545" s="64">
        <v>1</v>
      </c>
      <c r="P545" s="72">
        <v>326600</v>
      </c>
      <c r="Q545" s="69" t="s">
        <v>2915</v>
      </c>
      <c r="R545" s="69"/>
      <c r="S545" s="121" t="s">
        <v>258</v>
      </c>
      <c r="T545" s="56">
        <v>12</v>
      </c>
      <c r="U545" s="56">
        <v>4</v>
      </c>
    </row>
    <row r="546" spans="1:21" ht="14.25" customHeight="1" thickBot="1" x14ac:dyDescent="0.4">
      <c r="A546" s="58">
        <v>530</v>
      </c>
      <c r="B546" s="69" t="s">
        <v>70</v>
      </c>
      <c r="C546" s="69" t="s">
        <v>71</v>
      </c>
      <c r="D546" s="70" t="s">
        <v>97</v>
      </c>
      <c r="E546" s="69" t="s">
        <v>2934</v>
      </c>
      <c r="F546" s="69" t="s">
        <v>2935</v>
      </c>
      <c r="G546" s="69" t="s">
        <v>140</v>
      </c>
      <c r="H546" s="70">
        <v>2023</v>
      </c>
      <c r="I546" s="69" t="s">
        <v>63</v>
      </c>
      <c r="J546" s="69" t="s">
        <v>2936</v>
      </c>
      <c r="K546" s="71" t="s">
        <v>2937</v>
      </c>
      <c r="L546" s="71" t="s">
        <v>2938</v>
      </c>
      <c r="M546" s="71" t="s">
        <v>2939</v>
      </c>
      <c r="N546" s="69" t="s">
        <v>44</v>
      </c>
      <c r="O546" s="64">
        <v>1</v>
      </c>
      <c r="P546" s="72">
        <v>190000</v>
      </c>
      <c r="Q546" s="69" t="s">
        <v>2940</v>
      </c>
      <c r="R546" s="69"/>
      <c r="S546" s="121" t="s">
        <v>258</v>
      </c>
      <c r="T546" s="56">
        <v>12</v>
      </c>
      <c r="U546" s="56">
        <v>4</v>
      </c>
    </row>
    <row r="547" spans="1:21" ht="14.25" customHeight="1" x14ac:dyDescent="0.35">
      <c r="A547" s="47">
        <v>531</v>
      </c>
      <c r="B547" s="69" t="s">
        <v>79</v>
      </c>
      <c r="C547" s="69" t="s">
        <v>80</v>
      </c>
      <c r="D547" s="70" t="s">
        <v>51</v>
      </c>
      <c r="E547" s="69" t="s">
        <v>2941</v>
      </c>
      <c r="F547" s="69" t="s">
        <v>82</v>
      </c>
      <c r="G547" s="69" t="s">
        <v>54</v>
      </c>
      <c r="H547" s="70">
        <v>1999</v>
      </c>
      <c r="I547" s="69"/>
      <c r="J547" s="69" t="s">
        <v>2942</v>
      </c>
      <c r="K547" s="71" t="s">
        <v>2943</v>
      </c>
      <c r="L547" s="71" t="s">
        <v>2944</v>
      </c>
      <c r="M547" s="71"/>
      <c r="N547" s="69" t="s">
        <v>57</v>
      </c>
      <c r="O547" s="64">
        <v>1</v>
      </c>
      <c r="P547" s="72">
        <v>8500</v>
      </c>
      <c r="Q547" s="69" t="s">
        <v>2945</v>
      </c>
      <c r="R547" s="69"/>
      <c r="S547" s="121" t="s">
        <v>258</v>
      </c>
      <c r="T547" s="56">
        <v>12</v>
      </c>
      <c r="U547" s="56">
        <v>3</v>
      </c>
    </row>
    <row r="548" spans="1:21" ht="14.25" customHeight="1" thickBot="1" x14ac:dyDescent="0.4">
      <c r="A548" s="58">
        <v>532</v>
      </c>
      <c r="B548" s="69" t="s">
        <v>79</v>
      </c>
      <c r="C548" s="69" t="s">
        <v>80</v>
      </c>
      <c r="D548" s="70" t="s">
        <v>59</v>
      </c>
      <c r="E548" s="69" t="s">
        <v>2946</v>
      </c>
      <c r="F548" s="69" t="s">
        <v>483</v>
      </c>
      <c r="G548" s="69" t="s">
        <v>54</v>
      </c>
      <c r="H548" s="70">
        <v>2006</v>
      </c>
      <c r="I548" s="69"/>
      <c r="J548" s="69"/>
      <c r="K548" s="71"/>
      <c r="L548" s="71" t="s">
        <v>2947</v>
      </c>
      <c r="M548" s="71"/>
      <c r="N548" s="69" t="s">
        <v>57</v>
      </c>
      <c r="O548" s="64">
        <v>1</v>
      </c>
      <c r="P548" s="72">
        <v>18950</v>
      </c>
      <c r="Q548" s="69" t="s">
        <v>80</v>
      </c>
      <c r="R548" s="69"/>
      <c r="S548" s="121" t="s">
        <v>258</v>
      </c>
      <c r="T548" s="56">
        <v>12</v>
      </c>
      <c r="U548" s="56">
        <v>3</v>
      </c>
    </row>
    <row r="549" spans="1:21" ht="14.25" customHeight="1" x14ac:dyDescent="0.35">
      <c r="A549" s="47">
        <v>533</v>
      </c>
      <c r="B549" s="69" t="s">
        <v>79</v>
      </c>
      <c r="C549" s="69" t="s">
        <v>80</v>
      </c>
      <c r="D549" s="70" t="s">
        <v>97</v>
      </c>
      <c r="E549" s="69" t="s">
        <v>2948</v>
      </c>
      <c r="F549" s="69" t="s">
        <v>231</v>
      </c>
      <c r="G549" s="69" t="s">
        <v>54</v>
      </c>
      <c r="H549" s="70">
        <v>2013</v>
      </c>
      <c r="I549" s="69"/>
      <c r="J549" s="69" t="s">
        <v>2949</v>
      </c>
      <c r="K549" s="71" t="s">
        <v>2950</v>
      </c>
      <c r="L549" s="71" t="s">
        <v>2951</v>
      </c>
      <c r="M549" s="71" t="s">
        <v>2952</v>
      </c>
      <c r="N549" s="69" t="s">
        <v>57</v>
      </c>
      <c r="O549" s="64">
        <v>1</v>
      </c>
      <c r="P549" s="72">
        <v>18004.099999999999</v>
      </c>
      <c r="Q549" s="69"/>
      <c r="R549" s="69"/>
      <c r="S549" s="121" t="s">
        <v>258</v>
      </c>
      <c r="T549" s="56">
        <v>12</v>
      </c>
      <c r="U549" s="56">
        <v>3</v>
      </c>
    </row>
    <row r="550" spans="1:21" ht="14.25" customHeight="1" thickBot="1" x14ac:dyDescent="0.4">
      <c r="A550" s="58">
        <v>534</v>
      </c>
      <c r="B550" s="69" t="s">
        <v>79</v>
      </c>
      <c r="C550" s="69" t="s">
        <v>80</v>
      </c>
      <c r="D550" s="70" t="s">
        <v>101</v>
      </c>
      <c r="E550" s="69" t="s">
        <v>2953</v>
      </c>
      <c r="F550" s="69" t="s">
        <v>231</v>
      </c>
      <c r="G550" s="69" t="s">
        <v>2954</v>
      </c>
      <c r="H550" s="70">
        <v>2014</v>
      </c>
      <c r="I550" s="69"/>
      <c r="J550" s="69" t="s">
        <v>2955</v>
      </c>
      <c r="K550" s="71" t="s">
        <v>2956</v>
      </c>
      <c r="L550" s="71" t="s">
        <v>2957</v>
      </c>
      <c r="M550" s="71" t="s">
        <v>2958</v>
      </c>
      <c r="N550" s="69" t="s">
        <v>57</v>
      </c>
      <c r="O550" s="64">
        <v>1</v>
      </c>
      <c r="P550" s="72">
        <v>27500</v>
      </c>
      <c r="Q550" s="69" t="s">
        <v>2959</v>
      </c>
      <c r="R550" s="69"/>
      <c r="S550" s="121" t="s">
        <v>258</v>
      </c>
      <c r="T550" s="56">
        <v>12</v>
      </c>
      <c r="U550" s="56">
        <v>3</v>
      </c>
    </row>
    <row r="551" spans="1:21" ht="14.25" customHeight="1" x14ac:dyDescent="0.35">
      <c r="A551" s="47">
        <v>535</v>
      </c>
      <c r="B551" s="69" t="s">
        <v>79</v>
      </c>
      <c r="C551" s="69" t="s">
        <v>80</v>
      </c>
      <c r="D551" s="70" t="s">
        <v>107</v>
      </c>
      <c r="E551" s="69" t="s">
        <v>1383</v>
      </c>
      <c r="F551" s="69" t="s">
        <v>163</v>
      </c>
      <c r="G551" s="69" t="s">
        <v>140</v>
      </c>
      <c r="H551" s="70">
        <v>2015</v>
      </c>
      <c r="I551" s="69"/>
      <c r="J551" s="69" t="s">
        <v>2960</v>
      </c>
      <c r="K551" s="71" t="s">
        <v>2961</v>
      </c>
      <c r="L551" s="71" t="s">
        <v>2962</v>
      </c>
      <c r="M551" s="71" t="s">
        <v>2963</v>
      </c>
      <c r="N551" s="69" t="s">
        <v>57</v>
      </c>
      <c r="O551" s="64">
        <v>1</v>
      </c>
      <c r="P551" s="72">
        <v>14962.333000000001</v>
      </c>
      <c r="Q551" s="69" t="s">
        <v>2964</v>
      </c>
      <c r="R551" s="69"/>
      <c r="S551" s="121" t="s">
        <v>258</v>
      </c>
      <c r="T551" s="56">
        <v>12</v>
      </c>
      <c r="U551" s="56">
        <v>3</v>
      </c>
    </row>
    <row r="552" spans="1:21" ht="14.25" customHeight="1" thickBot="1" x14ac:dyDescent="0.4">
      <c r="A552" s="58">
        <v>536</v>
      </c>
      <c r="B552" s="69" t="s">
        <v>79</v>
      </c>
      <c r="C552" s="69" t="s">
        <v>80</v>
      </c>
      <c r="D552" s="70" t="s">
        <v>112</v>
      </c>
      <c r="E552" s="69" t="s">
        <v>2574</v>
      </c>
      <c r="F552" s="69" t="s">
        <v>88</v>
      </c>
      <c r="G552" s="69" t="s">
        <v>140</v>
      </c>
      <c r="H552" s="70">
        <v>2015</v>
      </c>
      <c r="I552" s="69"/>
      <c r="J552" s="69" t="s">
        <v>2965</v>
      </c>
      <c r="K552" s="71" t="s">
        <v>2966</v>
      </c>
      <c r="L552" s="71" t="s">
        <v>2967</v>
      </c>
      <c r="M552" s="71" t="s">
        <v>2968</v>
      </c>
      <c r="N552" s="69" t="s">
        <v>57</v>
      </c>
      <c r="O552" s="64">
        <v>1</v>
      </c>
      <c r="P552" s="72">
        <v>16898</v>
      </c>
      <c r="Q552" s="69" t="s">
        <v>2969</v>
      </c>
      <c r="R552" s="69"/>
      <c r="S552" s="121" t="s">
        <v>258</v>
      </c>
      <c r="T552" s="56">
        <v>12</v>
      </c>
      <c r="U552" s="56">
        <v>3</v>
      </c>
    </row>
    <row r="553" spans="1:21" ht="14.25" customHeight="1" x14ac:dyDescent="0.35">
      <c r="A553" s="47">
        <v>537</v>
      </c>
      <c r="B553" s="69" t="s">
        <v>79</v>
      </c>
      <c r="C553" s="69" t="s">
        <v>80</v>
      </c>
      <c r="D553" s="70" t="s">
        <v>116</v>
      </c>
      <c r="E553" s="69" t="s">
        <v>2970</v>
      </c>
      <c r="F553" s="69" t="s">
        <v>171</v>
      </c>
      <c r="G553" s="69" t="s">
        <v>2971</v>
      </c>
      <c r="H553" s="70">
        <v>2020</v>
      </c>
      <c r="I553" s="69" t="s">
        <v>2972</v>
      </c>
      <c r="J553" s="69" t="s">
        <v>2973</v>
      </c>
      <c r="K553" s="71" t="s">
        <v>2974</v>
      </c>
      <c r="L553" s="71" t="s">
        <v>2972</v>
      </c>
      <c r="M553" s="71" t="s">
        <v>2972</v>
      </c>
      <c r="N553" s="69" t="s">
        <v>57</v>
      </c>
      <c r="O553" s="64">
        <v>1</v>
      </c>
      <c r="P553" s="72">
        <v>19000</v>
      </c>
      <c r="Q553" s="69" t="s">
        <v>2975</v>
      </c>
      <c r="R553" s="69"/>
      <c r="S553" s="121" t="s">
        <v>258</v>
      </c>
      <c r="T553" s="56">
        <v>12</v>
      </c>
      <c r="U553" s="56">
        <v>3</v>
      </c>
    </row>
    <row r="554" spans="1:21" ht="14.25" customHeight="1" thickBot="1" x14ac:dyDescent="0.4">
      <c r="A554" s="58">
        <v>538</v>
      </c>
      <c r="B554" s="69" t="s">
        <v>79</v>
      </c>
      <c r="C554" s="69" t="s">
        <v>80</v>
      </c>
      <c r="D554" s="70" t="s">
        <v>841</v>
      </c>
      <c r="E554" s="69" t="s">
        <v>2970</v>
      </c>
      <c r="F554" s="69" t="s">
        <v>171</v>
      </c>
      <c r="G554" s="69" t="s">
        <v>2971</v>
      </c>
      <c r="H554" s="70">
        <v>2020</v>
      </c>
      <c r="I554" s="69" t="s">
        <v>2972</v>
      </c>
      <c r="J554" s="69" t="s">
        <v>2976</v>
      </c>
      <c r="K554" s="71" t="s">
        <v>2977</v>
      </c>
      <c r="L554" s="71" t="s">
        <v>2972</v>
      </c>
      <c r="M554" s="71" t="s">
        <v>2972</v>
      </c>
      <c r="N554" s="69" t="s">
        <v>57</v>
      </c>
      <c r="O554" s="64">
        <v>1</v>
      </c>
      <c r="P554" s="72">
        <v>19000</v>
      </c>
      <c r="Q554" s="69" t="s">
        <v>2978</v>
      </c>
      <c r="R554" s="69"/>
      <c r="S554" s="121" t="s">
        <v>258</v>
      </c>
      <c r="T554" s="56">
        <v>12</v>
      </c>
      <c r="U554" s="56">
        <v>3</v>
      </c>
    </row>
    <row r="555" spans="1:21" ht="14.25" customHeight="1" x14ac:dyDescent="0.35">
      <c r="A555" s="47">
        <v>539</v>
      </c>
      <c r="B555" s="69" t="s">
        <v>79</v>
      </c>
      <c r="C555" s="69" t="s">
        <v>80</v>
      </c>
      <c r="D555" s="70" t="s">
        <v>904</v>
      </c>
      <c r="E555" s="69" t="s">
        <v>2979</v>
      </c>
      <c r="F555" s="69" t="s">
        <v>2980</v>
      </c>
      <c r="G555" s="69" t="s">
        <v>54</v>
      </c>
      <c r="H555" s="70">
        <v>1995</v>
      </c>
      <c r="I555" s="69"/>
      <c r="J555" s="69" t="s">
        <v>2981</v>
      </c>
      <c r="K555" s="71" t="s">
        <v>2982</v>
      </c>
      <c r="L555" s="71" t="s">
        <v>2983</v>
      </c>
      <c r="M555" s="71"/>
      <c r="N555" s="69" t="s">
        <v>57</v>
      </c>
      <c r="O555" s="64">
        <v>1</v>
      </c>
      <c r="P555" s="72">
        <v>13665</v>
      </c>
      <c r="Q555" s="69" t="s">
        <v>2984</v>
      </c>
      <c r="R555" s="69"/>
      <c r="S555" s="121" t="s">
        <v>258</v>
      </c>
      <c r="T555" s="56">
        <v>12</v>
      </c>
      <c r="U555" s="56">
        <v>3</v>
      </c>
    </row>
    <row r="556" spans="1:21" ht="14.25" customHeight="1" thickBot="1" x14ac:dyDescent="0.4">
      <c r="A556" s="58">
        <v>540</v>
      </c>
      <c r="B556" s="69" t="s">
        <v>79</v>
      </c>
      <c r="C556" s="69" t="s">
        <v>80</v>
      </c>
      <c r="D556" s="70" t="s">
        <v>122</v>
      </c>
      <c r="E556" s="69" t="s">
        <v>2985</v>
      </c>
      <c r="F556" s="69" t="s">
        <v>88</v>
      </c>
      <c r="G556" s="69" t="s">
        <v>54</v>
      </c>
      <c r="H556" s="70">
        <v>1997</v>
      </c>
      <c r="I556" s="69"/>
      <c r="J556" s="69" t="s">
        <v>2986</v>
      </c>
      <c r="K556" s="71" t="s">
        <v>2987</v>
      </c>
      <c r="L556" s="71" t="s">
        <v>2988</v>
      </c>
      <c r="M556" s="71"/>
      <c r="N556" s="69" t="s">
        <v>57</v>
      </c>
      <c r="O556" s="64">
        <v>1</v>
      </c>
      <c r="P556" s="72">
        <v>10525</v>
      </c>
      <c r="Q556" s="69" t="s">
        <v>2989</v>
      </c>
      <c r="R556" s="69"/>
      <c r="S556" s="121" t="s">
        <v>258</v>
      </c>
      <c r="T556" s="56">
        <v>12</v>
      </c>
      <c r="U556" s="56">
        <v>3</v>
      </c>
    </row>
    <row r="557" spans="1:21" ht="14.25" customHeight="1" x14ac:dyDescent="0.35">
      <c r="A557" s="47">
        <v>541</v>
      </c>
      <c r="B557" s="69" t="s">
        <v>79</v>
      </c>
      <c r="C557" s="69" t="s">
        <v>80</v>
      </c>
      <c r="D557" s="70" t="s">
        <v>126</v>
      </c>
      <c r="E557" s="69" t="s">
        <v>2941</v>
      </c>
      <c r="F557" s="69" t="s">
        <v>82</v>
      </c>
      <c r="G557" s="69" t="s">
        <v>54</v>
      </c>
      <c r="H557" s="70">
        <v>1999</v>
      </c>
      <c r="I557" s="69"/>
      <c r="J557" s="69" t="s">
        <v>2990</v>
      </c>
      <c r="K557" s="71" t="s">
        <v>2991</v>
      </c>
      <c r="L557" s="71" t="s">
        <v>2992</v>
      </c>
      <c r="M557" s="71"/>
      <c r="N557" s="69" t="s">
        <v>57</v>
      </c>
      <c r="O557" s="64">
        <v>1</v>
      </c>
      <c r="P557" s="72">
        <v>8500</v>
      </c>
      <c r="Q557" s="69" t="s">
        <v>2993</v>
      </c>
      <c r="R557" s="69"/>
      <c r="S557" s="121" t="s">
        <v>258</v>
      </c>
      <c r="T557" s="56">
        <v>12</v>
      </c>
      <c r="U557" s="56">
        <v>3</v>
      </c>
    </row>
    <row r="558" spans="1:21" ht="14.25" customHeight="1" thickBot="1" x14ac:dyDescent="0.4">
      <c r="A558" s="58">
        <v>542</v>
      </c>
      <c r="B558" s="69" t="s">
        <v>79</v>
      </c>
      <c r="C558" s="69" t="s">
        <v>80</v>
      </c>
      <c r="D558" s="70" t="s">
        <v>132</v>
      </c>
      <c r="E558" s="69" t="s">
        <v>2941</v>
      </c>
      <c r="F558" s="69" t="s">
        <v>82</v>
      </c>
      <c r="G558" s="69" t="s">
        <v>54</v>
      </c>
      <c r="H558" s="70">
        <v>1999</v>
      </c>
      <c r="I558" s="69"/>
      <c r="J558" s="69" t="s">
        <v>2994</v>
      </c>
      <c r="K558" s="71" t="s">
        <v>2995</v>
      </c>
      <c r="L558" s="71" t="s">
        <v>2996</v>
      </c>
      <c r="M558" s="71"/>
      <c r="N558" s="69" t="s">
        <v>57</v>
      </c>
      <c r="O558" s="64">
        <v>1</v>
      </c>
      <c r="P558" s="72">
        <v>8500</v>
      </c>
      <c r="Q558" s="69" t="s">
        <v>2993</v>
      </c>
      <c r="R558" s="69"/>
      <c r="S558" s="121" t="s">
        <v>258</v>
      </c>
      <c r="T558" s="56">
        <v>12</v>
      </c>
      <c r="U558" s="56">
        <v>3</v>
      </c>
    </row>
    <row r="559" spans="1:21" ht="14.25" customHeight="1" x14ac:dyDescent="0.35">
      <c r="A559" s="47">
        <v>543</v>
      </c>
      <c r="B559" s="69" t="s">
        <v>79</v>
      </c>
      <c r="C559" s="69" t="s">
        <v>80</v>
      </c>
      <c r="D559" s="70" t="s">
        <v>137</v>
      </c>
      <c r="E559" s="69" t="s">
        <v>2941</v>
      </c>
      <c r="F559" s="69" t="s">
        <v>82</v>
      </c>
      <c r="G559" s="69" t="s">
        <v>54</v>
      </c>
      <c r="H559" s="70">
        <v>1999</v>
      </c>
      <c r="I559" s="69"/>
      <c r="J559" s="69" t="s">
        <v>2997</v>
      </c>
      <c r="K559" s="71" t="s">
        <v>2998</v>
      </c>
      <c r="L559" s="71" t="s">
        <v>2999</v>
      </c>
      <c r="M559" s="71"/>
      <c r="N559" s="69" t="s">
        <v>57</v>
      </c>
      <c r="O559" s="64">
        <v>1</v>
      </c>
      <c r="P559" s="72">
        <v>8500</v>
      </c>
      <c r="Q559" s="69" t="s">
        <v>3000</v>
      </c>
      <c r="R559" s="69"/>
      <c r="S559" s="121" t="s">
        <v>258</v>
      </c>
      <c r="T559" s="56">
        <v>12</v>
      </c>
      <c r="U559" s="56">
        <v>3</v>
      </c>
    </row>
    <row r="560" spans="1:21" ht="14.25" customHeight="1" thickBot="1" x14ac:dyDescent="0.4">
      <c r="A560" s="58">
        <v>544</v>
      </c>
      <c r="B560" s="69" t="s">
        <v>79</v>
      </c>
      <c r="C560" s="69" t="s">
        <v>80</v>
      </c>
      <c r="D560" s="70" t="s">
        <v>146</v>
      </c>
      <c r="E560" s="69" t="s">
        <v>2941</v>
      </c>
      <c r="F560" s="69" t="s">
        <v>82</v>
      </c>
      <c r="G560" s="69" t="s">
        <v>54</v>
      </c>
      <c r="H560" s="70">
        <v>1999</v>
      </c>
      <c r="I560" s="69"/>
      <c r="J560" s="69" t="s">
        <v>3001</v>
      </c>
      <c r="K560" s="71" t="s">
        <v>3002</v>
      </c>
      <c r="L560" s="71" t="s">
        <v>3003</v>
      </c>
      <c r="M560" s="71"/>
      <c r="N560" s="69" t="s">
        <v>57</v>
      </c>
      <c r="O560" s="64">
        <v>1</v>
      </c>
      <c r="P560" s="72">
        <v>8500</v>
      </c>
      <c r="Q560" s="69" t="s">
        <v>2993</v>
      </c>
      <c r="R560" s="69"/>
      <c r="S560" s="121" t="s">
        <v>258</v>
      </c>
      <c r="T560" s="56">
        <v>12</v>
      </c>
      <c r="U560" s="56">
        <v>3</v>
      </c>
    </row>
    <row r="561" spans="1:21" ht="14.25" customHeight="1" x14ac:dyDescent="0.35">
      <c r="A561" s="47">
        <v>545</v>
      </c>
      <c r="B561" s="69" t="s">
        <v>79</v>
      </c>
      <c r="C561" s="69" t="s">
        <v>80</v>
      </c>
      <c r="D561" s="70" t="s">
        <v>154</v>
      </c>
      <c r="E561" s="69" t="s">
        <v>3004</v>
      </c>
      <c r="F561" s="69" t="s">
        <v>82</v>
      </c>
      <c r="G561" s="69" t="s">
        <v>54</v>
      </c>
      <c r="H561" s="70">
        <v>1999</v>
      </c>
      <c r="I561" s="69"/>
      <c r="J561" s="69" t="s">
        <v>3005</v>
      </c>
      <c r="K561" s="71" t="s">
        <v>3006</v>
      </c>
      <c r="L561" s="71" t="s">
        <v>3007</v>
      </c>
      <c r="M561" s="71"/>
      <c r="N561" s="69" t="s">
        <v>57</v>
      </c>
      <c r="O561" s="64">
        <v>1</v>
      </c>
      <c r="P561" s="72">
        <v>8500</v>
      </c>
      <c r="Q561" s="69" t="s">
        <v>2993</v>
      </c>
      <c r="R561" s="69"/>
      <c r="S561" s="121" t="s">
        <v>258</v>
      </c>
      <c r="T561" s="56">
        <v>12</v>
      </c>
      <c r="U561" s="56">
        <v>3</v>
      </c>
    </row>
    <row r="562" spans="1:21" ht="14.25" customHeight="1" thickBot="1" x14ac:dyDescent="0.4">
      <c r="A562" s="58">
        <v>546</v>
      </c>
      <c r="B562" s="69" t="s">
        <v>79</v>
      </c>
      <c r="C562" s="69" t="s">
        <v>80</v>
      </c>
      <c r="D562" s="70" t="s">
        <v>161</v>
      </c>
      <c r="E562" s="69" t="s">
        <v>2941</v>
      </c>
      <c r="F562" s="69" t="s">
        <v>82</v>
      </c>
      <c r="G562" s="69" t="s">
        <v>54</v>
      </c>
      <c r="H562" s="70">
        <v>1999</v>
      </c>
      <c r="I562" s="69"/>
      <c r="J562" s="69" t="s">
        <v>3008</v>
      </c>
      <c r="K562" s="71" t="s">
        <v>3009</v>
      </c>
      <c r="L562" s="71" t="s">
        <v>3010</v>
      </c>
      <c r="M562" s="71"/>
      <c r="N562" s="69" t="s">
        <v>57</v>
      </c>
      <c r="O562" s="64">
        <v>1</v>
      </c>
      <c r="P562" s="72">
        <v>8500</v>
      </c>
      <c r="Q562" s="69" t="s">
        <v>3011</v>
      </c>
      <c r="R562" s="69"/>
      <c r="S562" s="121" t="s">
        <v>258</v>
      </c>
      <c r="T562" s="56">
        <v>12</v>
      </c>
      <c r="U562" s="56">
        <v>3</v>
      </c>
    </row>
    <row r="563" spans="1:21" ht="14.25" customHeight="1" x14ac:dyDescent="0.35">
      <c r="A563" s="47">
        <v>547</v>
      </c>
      <c r="B563" s="69" t="s">
        <v>79</v>
      </c>
      <c r="C563" s="69" t="s">
        <v>80</v>
      </c>
      <c r="D563" s="70" t="s">
        <v>169</v>
      </c>
      <c r="E563" s="69" t="s">
        <v>2941</v>
      </c>
      <c r="F563" s="69" t="s">
        <v>82</v>
      </c>
      <c r="G563" s="69" t="s">
        <v>54</v>
      </c>
      <c r="H563" s="70">
        <v>1999</v>
      </c>
      <c r="I563" s="69"/>
      <c r="J563" s="69" t="s">
        <v>3012</v>
      </c>
      <c r="K563" s="71" t="s">
        <v>3013</v>
      </c>
      <c r="L563" s="71" t="s">
        <v>3014</v>
      </c>
      <c r="M563" s="71"/>
      <c r="N563" s="69" t="s">
        <v>57</v>
      </c>
      <c r="O563" s="64">
        <v>1</v>
      </c>
      <c r="P563" s="72">
        <v>8500</v>
      </c>
      <c r="Q563" s="69" t="s">
        <v>2993</v>
      </c>
      <c r="R563" s="69"/>
      <c r="S563" s="121" t="s">
        <v>258</v>
      </c>
      <c r="T563" s="56">
        <v>12</v>
      </c>
      <c r="U563" s="56">
        <v>3</v>
      </c>
    </row>
    <row r="564" spans="1:21" ht="14.25" customHeight="1" thickBot="1" x14ac:dyDescent="0.4">
      <c r="A564" s="58">
        <v>548</v>
      </c>
      <c r="B564" s="69" t="s">
        <v>79</v>
      </c>
      <c r="C564" s="69" t="s">
        <v>80</v>
      </c>
      <c r="D564" s="70" t="s">
        <v>176</v>
      </c>
      <c r="E564" s="69" t="s">
        <v>2941</v>
      </c>
      <c r="F564" s="69" t="s">
        <v>82</v>
      </c>
      <c r="G564" s="69" t="s">
        <v>54</v>
      </c>
      <c r="H564" s="70">
        <v>2004</v>
      </c>
      <c r="I564" s="69"/>
      <c r="J564" s="69" t="s">
        <v>3015</v>
      </c>
      <c r="K564" s="71" t="s">
        <v>3016</v>
      </c>
      <c r="L564" s="71" t="s">
        <v>3017</v>
      </c>
      <c r="M564" s="71"/>
      <c r="N564" s="69" t="s">
        <v>57</v>
      </c>
      <c r="O564" s="64">
        <v>1</v>
      </c>
      <c r="P564" s="72">
        <v>8500</v>
      </c>
      <c r="Q564" s="69" t="s">
        <v>3018</v>
      </c>
      <c r="R564" s="69"/>
      <c r="S564" s="121" t="s">
        <v>258</v>
      </c>
      <c r="T564" s="56">
        <v>12</v>
      </c>
      <c r="U564" s="56">
        <v>3</v>
      </c>
    </row>
    <row r="565" spans="1:21" ht="14.25" customHeight="1" x14ac:dyDescent="0.35">
      <c r="A565" s="47">
        <v>549</v>
      </c>
      <c r="B565" s="69" t="s">
        <v>79</v>
      </c>
      <c r="C565" s="69" t="s">
        <v>80</v>
      </c>
      <c r="D565" s="70" t="s">
        <v>1236</v>
      </c>
      <c r="E565" s="69" t="s">
        <v>2941</v>
      </c>
      <c r="F565" s="69" t="s">
        <v>82</v>
      </c>
      <c r="G565" s="69" t="s">
        <v>54</v>
      </c>
      <c r="H565" s="70">
        <v>2004</v>
      </c>
      <c r="I565" s="69"/>
      <c r="J565" s="69" t="s">
        <v>3019</v>
      </c>
      <c r="K565" s="71" t="s">
        <v>3020</v>
      </c>
      <c r="L565" s="71" t="s">
        <v>3021</v>
      </c>
      <c r="M565" s="71"/>
      <c r="N565" s="69" t="s">
        <v>57</v>
      </c>
      <c r="O565" s="64">
        <v>1</v>
      </c>
      <c r="P565" s="72">
        <v>8500</v>
      </c>
      <c r="Q565" s="69" t="s">
        <v>3022</v>
      </c>
      <c r="R565" s="69"/>
      <c r="S565" s="121" t="s">
        <v>258</v>
      </c>
      <c r="T565" s="56">
        <v>12</v>
      </c>
      <c r="U565" s="56">
        <v>3</v>
      </c>
    </row>
    <row r="566" spans="1:21" ht="14.25" customHeight="1" thickBot="1" x14ac:dyDescent="0.4">
      <c r="A566" s="58">
        <v>550</v>
      </c>
      <c r="B566" s="69" t="s">
        <v>79</v>
      </c>
      <c r="C566" s="69" t="s">
        <v>80</v>
      </c>
      <c r="D566" s="70" t="s">
        <v>181</v>
      </c>
      <c r="E566" s="69" t="s">
        <v>2941</v>
      </c>
      <c r="F566" s="69" t="s">
        <v>82</v>
      </c>
      <c r="G566" s="69" t="s">
        <v>54</v>
      </c>
      <c r="H566" s="70">
        <v>2005</v>
      </c>
      <c r="I566" s="69"/>
      <c r="J566" s="69" t="s">
        <v>3023</v>
      </c>
      <c r="K566" s="71" t="s">
        <v>3024</v>
      </c>
      <c r="L566" s="71" t="s">
        <v>3025</v>
      </c>
      <c r="M566" s="71"/>
      <c r="N566" s="69" t="s">
        <v>57</v>
      </c>
      <c r="O566" s="64">
        <v>1</v>
      </c>
      <c r="P566" s="72">
        <v>8500</v>
      </c>
      <c r="Q566" s="69" t="s">
        <v>3026</v>
      </c>
      <c r="R566" s="69"/>
      <c r="S566" s="121" t="s">
        <v>258</v>
      </c>
      <c r="T566" s="56">
        <v>12</v>
      </c>
      <c r="U566" s="56">
        <v>3</v>
      </c>
    </row>
    <row r="567" spans="1:21" ht="14.25" customHeight="1" x14ac:dyDescent="0.35">
      <c r="A567" s="47">
        <v>551</v>
      </c>
      <c r="B567" s="69" t="s">
        <v>79</v>
      </c>
      <c r="C567" s="69" t="s">
        <v>80</v>
      </c>
      <c r="D567" s="70" t="s">
        <v>187</v>
      </c>
      <c r="E567" s="69" t="s">
        <v>2941</v>
      </c>
      <c r="F567" s="69" t="s">
        <v>82</v>
      </c>
      <c r="G567" s="69" t="s">
        <v>54</v>
      </c>
      <c r="H567" s="70">
        <v>2005</v>
      </c>
      <c r="I567" s="69"/>
      <c r="J567" s="69" t="s">
        <v>3027</v>
      </c>
      <c r="K567" s="71" t="s">
        <v>3028</v>
      </c>
      <c r="L567" s="71" t="s">
        <v>3029</v>
      </c>
      <c r="M567" s="71"/>
      <c r="N567" s="69" t="s">
        <v>57</v>
      </c>
      <c r="O567" s="64">
        <v>1</v>
      </c>
      <c r="P567" s="72">
        <v>8500</v>
      </c>
      <c r="Q567" s="69" t="s">
        <v>3030</v>
      </c>
      <c r="R567" s="69"/>
      <c r="S567" s="121" t="s">
        <v>258</v>
      </c>
      <c r="T567" s="56">
        <v>12</v>
      </c>
      <c r="U567" s="56">
        <v>3</v>
      </c>
    </row>
    <row r="568" spans="1:21" ht="14.25" customHeight="1" thickBot="1" x14ac:dyDescent="0.4">
      <c r="A568" s="58">
        <v>552</v>
      </c>
      <c r="B568" s="69" t="s">
        <v>79</v>
      </c>
      <c r="C568" s="69" t="s">
        <v>80</v>
      </c>
      <c r="D568" s="70" t="s">
        <v>190</v>
      </c>
      <c r="E568" s="69" t="s">
        <v>2941</v>
      </c>
      <c r="F568" s="69" t="s">
        <v>82</v>
      </c>
      <c r="G568" s="69" t="s">
        <v>54</v>
      </c>
      <c r="H568" s="70">
        <v>2005</v>
      </c>
      <c r="I568" s="69"/>
      <c r="J568" s="69" t="s">
        <v>3015</v>
      </c>
      <c r="K568" s="71"/>
      <c r="L568" s="71" t="s">
        <v>3031</v>
      </c>
      <c r="M568" s="71"/>
      <c r="N568" s="69" t="s">
        <v>57</v>
      </c>
      <c r="O568" s="64">
        <v>1</v>
      </c>
      <c r="P568" s="72">
        <v>8500</v>
      </c>
      <c r="Q568" s="69"/>
      <c r="R568" s="69"/>
      <c r="S568" s="121" t="s">
        <v>258</v>
      </c>
      <c r="T568" s="56">
        <v>12</v>
      </c>
      <c r="U568" s="56">
        <v>3</v>
      </c>
    </row>
    <row r="569" spans="1:21" ht="14.25" customHeight="1" x14ac:dyDescent="0.35">
      <c r="A569" s="47">
        <v>553</v>
      </c>
      <c r="B569" s="69" t="s">
        <v>79</v>
      </c>
      <c r="C569" s="69" t="s">
        <v>80</v>
      </c>
      <c r="D569" s="70" t="s">
        <v>192</v>
      </c>
      <c r="E569" s="69" t="s">
        <v>2941</v>
      </c>
      <c r="F569" s="69" t="s">
        <v>82</v>
      </c>
      <c r="G569" s="69" t="s">
        <v>54</v>
      </c>
      <c r="H569" s="70">
        <v>2005</v>
      </c>
      <c r="I569" s="69"/>
      <c r="J569" s="69" t="s">
        <v>3032</v>
      </c>
      <c r="K569" s="71"/>
      <c r="L569" s="71" t="s">
        <v>3033</v>
      </c>
      <c r="M569" s="71"/>
      <c r="N569" s="69" t="s">
        <v>57</v>
      </c>
      <c r="O569" s="64">
        <v>1</v>
      </c>
      <c r="P569" s="72">
        <v>8500</v>
      </c>
      <c r="Q569" s="69"/>
      <c r="R569" s="69"/>
      <c r="S569" s="121" t="s">
        <v>258</v>
      </c>
      <c r="T569" s="56">
        <v>12</v>
      </c>
      <c r="U569" s="56">
        <v>3</v>
      </c>
    </row>
    <row r="570" spans="1:21" ht="14.25" customHeight="1" thickBot="1" x14ac:dyDescent="0.4">
      <c r="A570" s="58">
        <v>554</v>
      </c>
      <c r="B570" s="69" t="s">
        <v>79</v>
      </c>
      <c r="C570" s="69" t="s">
        <v>80</v>
      </c>
      <c r="D570" s="70" t="s">
        <v>194</v>
      </c>
      <c r="E570" s="69" t="s">
        <v>2941</v>
      </c>
      <c r="F570" s="69" t="s">
        <v>82</v>
      </c>
      <c r="G570" s="69" t="s">
        <v>54</v>
      </c>
      <c r="H570" s="70">
        <v>2005</v>
      </c>
      <c r="I570" s="69"/>
      <c r="J570" s="69" t="s">
        <v>3034</v>
      </c>
      <c r="K570" s="71" t="s">
        <v>3035</v>
      </c>
      <c r="L570" s="71" t="s">
        <v>3036</v>
      </c>
      <c r="M570" s="71"/>
      <c r="N570" s="69" t="s">
        <v>57</v>
      </c>
      <c r="O570" s="64">
        <v>1</v>
      </c>
      <c r="P570" s="72">
        <v>8500</v>
      </c>
      <c r="Q570" s="69"/>
      <c r="R570" s="69"/>
      <c r="S570" s="121" t="s">
        <v>258</v>
      </c>
      <c r="T570" s="56">
        <v>12</v>
      </c>
      <c r="U570" s="56">
        <v>3</v>
      </c>
    </row>
    <row r="571" spans="1:21" ht="14.25" customHeight="1" x14ac:dyDescent="0.35">
      <c r="A571" s="47">
        <v>555</v>
      </c>
      <c r="B571" s="69" t="s">
        <v>79</v>
      </c>
      <c r="C571" s="69" t="s">
        <v>80</v>
      </c>
      <c r="D571" s="70" t="s">
        <v>195</v>
      </c>
      <c r="E571" s="69" t="s">
        <v>3037</v>
      </c>
      <c r="F571" s="69" t="s">
        <v>231</v>
      </c>
      <c r="G571" s="69" t="s">
        <v>54</v>
      </c>
      <c r="H571" s="70">
        <v>2007</v>
      </c>
      <c r="I571" s="69"/>
      <c r="J571" s="69" t="s">
        <v>3038</v>
      </c>
      <c r="K571" s="71" t="s">
        <v>3039</v>
      </c>
      <c r="L571" s="71" t="s">
        <v>3040</v>
      </c>
      <c r="M571" s="71"/>
      <c r="N571" s="69" t="s">
        <v>422</v>
      </c>
      <c r="O571" s="64">
        <v>1</v>
      </c>
      <c r="P571" s="72">
        <v>7500</v>
      </c>
      <c r="Q571" s="69" t="s">
        <v>2993</v>
      </c>
      <c r="R571" s="69"/>
      <c r="S571" s="121" t="s">
        <v>258</v>
      </c>
      <c r="T571" s="56">
        <v>12</v>
      </c>
      <c r="U571" s="56">
        <v>3</v>
      </c>
    </row>
    <row r="572" spans="1:21" ht="14.25" customHeight="1" thickBot="1" x14ac:dyDescent="0.4">
      <c r="A572" s="58">
        <v>556</v>
      </c>
      <c r="B572" s="69" t="s">
        <v>79</v>
      </c>
      <c r="C572" s="69" t="s">
        <v>80</v>
      </c>
      <c r="D572" s="70" t="s">
        <v>199</v>
      </c>
      <c r="E572" s="69" t="s">
        <v>3037</v>
      </c>
      <c r="F572" s="69" t="s">
        <v>231</v>
      </c>
      <c r="G572" s="69" t="s">
        <v>54</v>
      </c>
      <c r="H572" s="70">
        <v>2007</v>
      </c>
      <c r="I572" s="69"/>
      <c r="J572" s="69" t="s">
        <v>3041</v>
      </c>
      <c r="K572" s="71" t="s">
        <v>3042</v>
      </c>
      <c r="L572" s="71" t="s">
        <v>3043</v>
      </c>
      <c r="M572" s="71"/>
      <c r="N572" s="69" t="s">
        <v>422</v>
      </c>
      <c r="O572" s="64">
        <v>1</v>
      </c>
      <c r="P572" s="72">
        <v>7500</v>
      </c>
      <c r="Q572" s="69" t="s">
        <v>2993</v>
      </c>
      <c r="R572" s="69"/>
      <c r="S572" s="121" t="s">
        <v>258</v>
      </c>
      <c r="T572" s="56">
        <v>12</v>
      </c>
      <c r="U572" s="56">
        <v>3</v>
      </c>
    </row>
    <row r="573" spans="1:21" ht="14.25" customHeight="1" x14ac:dyDescent="0.35">
      <c r="A573" s="47">
        <v>557</v>
      </c>
      <c r="B573" s="69" t="s">
        <v>79</v>
      </c>
      <c r="C573" s="69" t="s">
        <v>80</v>
      </c>
      <c r="D573" s="70" t="s">
        <v>200</v>
      </c>
      <c r="E573" s="69" t="s">
        <v>3037</v>
      </c>
      <c r="F573" s="69" t="s">
        <v>231</v>
      </c>
      <c r="G573" s="69" t="s">
        <v>54</v>
      </c>
      <c r="H573" s="70">
        <v>2007</v>
      </c>
      <c r="I573" s="69"/>
      <c r="J573" s="69" t="s">
        <v>3044</v>
      </c>
      <c r="K573" s="71" t="s">
        <v>3045</v>
      </c>
      <c r="L573" s="71" t="s">
        <v>3046</v>
      </c>
      <c r="M573" s="71"/>
      <c r="N573" s="69" t="s">
        <v>422</v>
      </c>
      <c r="O573" s="64">
        <v>1</v>
      </c>
      <c r="P573" s="72">
        <v>7500</v>
      </c>
      <c r="Q573" s="69" t="s">
        <v>2993</v>
      </c>
      <c r="R573" s="69"/>
      <c r="S573" s="121" t="s">
        <v>258</v>
      </c>
      <c r="T573" s="56">
        <v>12</v>
      </c>
      <c r="U573" s="56">
        <v>3</v>
      </c>
    </row>
    <row r="574" spans="1:21" ht="14.25" customHeight="1" thickBot="1" x14ac:dyDescent="0.4">
      <c r="A574" s="58">
        <v>558</v>
      </c>
      <c r="B574" s="69" t="s">
        <v>79</v>
      </c>
      <c r="C574" s="69" t="s">
        <v>80</v>
      </c>
      <c r="D574" s="70" t="s">
        <v>209</v>
      </c>
      <c r="E574" s="69" t="s">
        <v>3037</v>
      </c>
      <c r="F574" s="69" t="s">
        <v>231</v>
      </c>
      <c r="G574" s="69" t="s">
        <v>54</v>
      </c>
      <c r="H574" s="70">
        <v>2007</v>
      </c>
      <c r="I574" s="69"/>
      <c r="J574" s="69" t="s">
        <v>3047</v>
      </c>
      <c r="K574" s="71" t="s">
        <v>3048</v>
      </c>
      <c r="L574" s="71" t="s">
        <v>3049</v>
      </c>
      <c r="M574" s="71"/>
      <c r="N574" s="69" t="s">
        <v>422</v>
      </c>
      <c r="O574" s="64">
        <v>1</v>
      </c>
      <c r="P574" s="72">
        <v>7500</v>
      </c>
      <c r="Q574" s="69" t="s">
        <v>2993</v>
      </c>
      <c r="R574" s="69"/>
      <c r="S574" s="121" t="s">
        <v>258</v>
      </c>
      <c r="T574" s="56">
        <v>12</v>
      </c>
      <c r="U574" s="56">
        <v>3</v>
      </c>
    </row>
    <row r="575" spans="1:21" ht="14.25" customHeight="1" x14ac:dyDescent="0.35">
      <c r="A575" s="47">
        <v>559</v>
      </c>
      <c r="B575" s="69" t="s">
        <v>79</v>
      </c>
      <c r="C575" s="69" t="s">
        <v>80</v>
      </c>
      <c r="D575" s="70" t="s">
        <v>215</v>
      </c>
      <c r="E575" s="69" t="s">
        <v>3037</v>
      </c>
      <c r="F575" s="69" t="s">
        <v>231</v>
      </c>
      <c r="G575" s="69" t="s">
        <v>54</v>
      </c>
      <c r="H575" s="70">
        <v>2007</v>
      </c>
      <c r="I575" s="69"/>
      <c r="J575" s="69" t="s">
        <v>3050</v>
      </c>
      <c r="K575" s="71" t="s">
        <v>3051</v>
      </c>
      <c r="L575" s="71" t="s">
        <v>3052</v>
      </c>
      <c r="M575" s="71"/>
      <c r="N575" s="69" t="s">
        <v>57</v>
      </c>
      <c r="O575" s="64">
        <v>1</v>
      </c>
      <c r="P575" s="72">
        <v>7500</v>
      </c>
      <c r="Q575" s="69" t="s">
        <v>2993</v>
      </c>
      <c r="R575" s="69"/>
      <c r="S575" s="121" t="s">
        <v>258</v>
      </c>
      <c r="T575" s="56">
        <v>12</v>
      </c>
      <c r="U575" s="56">
        <v>3</v>
      </c>
    </row>
    <row r="576" spans="1:21" ht="14.25" customHeight="1" thickBot="1" x14ac:dyDescent="0.4">
      <c r="A576" s="58">
        <v>560</v>
      </c>
      <c r="B576" s="69" t="s">
        <v>79</v>
      </c>
      <c r="C576" s="69" t="s">
        <v>80</v>
      </c>
      <c r="D576" s="70" t="s">
        <v>223</v>
      </c>
      <c r="E576" s="69" t="s">
        <v>3037</v>
      </c>
      <c r="F576" s="69" t="s">
        <v>231</v>
      </c>
      <c r="G576" s="69" t="s">
        <v>54</v>
      </c>
      <c r="H576" s="70">
        <v>2007</v>
      </c>
      <c r="I576" s="69"/>
      <c r="J576" s="69"/>
      <c r="K576" s="71" t="s">
        <v>2972</v>
      </c>
      <c r="L576" s="71" t="s">
        <v>2972</v>
      </c>
      <c r="M576" s="71" t="s">
        <v>2972</v>
      </c>
      <c r="N576" s="69" t="s">
        <v>57</v>
      </c>
      <c r="O576" s="64">
        <v>1</v>
      </c>
      <c r="P576" s="72">
        <v>7500</v>
      </c>
      <c r="Q576" s="69" t="s">
        <v>63</v>
      </c>
      <c r="R576" s="69"/>
      <c r="S576" s="121" t="s">
        <v>258</v>
      </c>
      <c r="T576" s="56">
        <v>12</v>
      </c>
      <c r="U576" s="56">
        <v>3</v>
      </c>
    </row>
    <row r="577" spans="1:21" ht="14.25" customHeight="1" x14ac:dyDescent="0.35">
      <c r="A577" s="47">
        <v>561</v>
      </c>
      <c r="B577" s="69" t="s">
        <v>79</v>
      </c>
      <c r="C577" s="69" t="s">
        <v>80</v>
      </c>
      <c r="D577" s="70" t="s">
        <v>229</v>
      </c>
      <c r="E577" s="69" t="s">
        <v>3037</v>
      </c>
      <c r="F577" s="69" t="s">
        <v>231</v>
      </c>
      <c r="G577" s="69" t="s">
        <v>54</v>
      </c>
      <c r="H577" s="70">
        <v>2007</v>
      </c>
      <c r="I577" s="69"/>
      <c r="J577" s="69" t="s">
        <v>3053</v>
      </c>
      <c r="K577" s="71" t="s">
        <v>3054</v>
      </c>
      <c r="L577" s="71"/>
      <c r="M577" s="71"/>
      <c r="N577" s="69" t="s">
        <v>422</v>
      </c>
      <c r="O577" s="64">
        <v>1</v>
      </c>
      <c r="P577" s="72">
        <v>7500</v>
      </c>
      <c r="Q577" s="69" t="s">
        <v>2993</v>
      </c>
      <c r="R577" s="69"/>
      <c r="S577" s="121" t="s">
        <v>258</v>
      </c>
      <c r="T577" s="56">
        <v>12</v>
      </c>
      <c r="U577" s="56">
        <v>3</v>
      </c>
    </row>
    <row r="578" spans="1:21" ht="14.25" customHeight="1" thickBot="1" x14ac:dyDescent="0.4">
      <c r="A578" s="58">
        <v>562</v>
      </c>
      <c r="B578" s="69" t="s">
        <v>79</v>
      </c>
      <c r="C578" s="69" t="s">
        <v>80</v>
      </c>
      <c r="D578" s="70" t="s">
        <v>238</v>
      </c>
      <c r="E578" s="69" t="s">
        <v>3037</v>
      </c>
      <c r="F578" s="69"/>
      <c r="G578" s="69" t="s">
        <v>54</v>
      </c>
      <c r="H578" s="70">
        <v>2007</v>
      </c>
      <c r="I578" s="69"/>
      <c r="J578" s="69" t="s">
        <v>3055</v>
      </c>
      <c r="K578" s="71" t="s">
        <v>3056</v>
      </c>
      <c r="L578" s="71" t="s">
        <v>3057</v>
      </c>
      <c r="M578" s="71"/>
      <c r="N578" s="69" t="s">
        <v>422</v>
      </c>
      <c r="O578" s="64">
        <v>1</v>
      </c>
      <c r="P578" s="72">
        <v>7500</v>
      </c>
      <c r="Q578" s="69" t="s">
        <v>2993</v>
      </c>
      <c r="R578" s="69"/>
      <c r="S578" s="121" t="s">
        <v>258</v>
      </c>
      <c r="T578" s="56">
        <v>12</v>
      </c>
      <c r="U578" s="56">
        <v>3</v>
      </c>
    </row>
    <row r="579" spans="1:21" ht="14.25" customHeight="1" x14ac:dyDescent="0.35">
      <c r="A579" s="47">
        <v>563</v>
      </c>
      <c r="B579" s="69" t="s">
        <v>79</v>
      </c>
      <c r="C579" s="69" t="s">
        <v>80</v>
      </c>
      <c r="D579" s="70" t="s">
        <v>269</v>
      </c>
      <c r="E579" s="69" t="s">
        <v>3058</v>
      </c>
      <c r="F579" s="69"/>
      <c r="G579" s="69" t="s">
        <v>54</v>
      </c>
      <c r="H579" s="70">
        <v>2014</v>
      </c>
      <c r="I579" s="69"/>
      <c r="J579" s="69"/>
      <c r="K579" s="71"/>
      <c r="L579" s="71" t="s">
        <v>3010</v>
      </c>
      <c r="M579" s="71"/>
      <c r="N579" s="69" t="s">
        <v>422</v>
      </c>
      <c r="O579" s="64">
        <v>1</v>
      </c>
      <c r="P579" s="72">
        <v>6750</v>
      </c>
      <c r="Q579" s="69" t="s">
        <v>3059</v>
      </c>
      <c r="R579" s="69"/>
      <c r="S579" s="121" t="s">
        <v>258</v>
      </c>
      <c r="T579" s="56">
        <v>12</v>
      </c>
      <c r="U579" s="56">
        <v>3</v>
      </c>
    </row>
    <row r="580" spans="1:21" ht="14.25" customHeight="1" thickBot="1" x14ac:dyDescent="0.4">
      <c r="A580" s="58">
        <v>564</v>
      </c>
      <c r="B580" s="69" t="s">
        <v>79</v>
      </c>
      <c r="C580" s="69" t="s">
        <v>80</v>
      </c>
      <c r="D580" s="70" t="s">
        <v>274</v>
      </c>
      <c r="E580" s="69" t="s">
        <v>3060</v>
      </c>
      <c r="F580" s="69"/>
      <c r="G580" s="69" t="s">
        <v>2954</v>
      </c>
      <c r="H580" s="70">
        <v>2014</v>
      </c>
      <c r="I580" s="69"/>
      <c r="J580" s="69" t="s">
        <v>2997</v>
      </c>
      <c r="K580" s="71" t="s">
        <v>2998</v>
      </c>
      <c r="L580" s="71" t="s">
        <v>3061</v>
      </c>
      <c r="M580" s="71"/>
      <c r="N580" s="69" t="s">
        <v>422</v>
      </c>
      <c r="O580" s="64">
        <v>1</v>
      </c>
      <c r="P580" s="72">
        <v>6750</v>
      </c>
      <c r="Q580" s="69" t="s">
        <v>3059</v>
      </c>
      <c r="R580" s="69"/>
      <c r="S580" s="121" t="s">
        <v>258</v>
      </c>
      <c r="T580" s="56">
        <v>12</v>
      </c>
      <c r="U580" s="56">
        <v>3</v>
      </c>
    </row>
    <row r="581" spans="1:21" ht="14.25" customHeight="1" x14ac:dyDescent="0.35">
      <c r="A581" s="47">
        <v>565</v>
      </c>
      <c r="B581" s="69" t="s">
        <v>79</v>
      </c>
      <c r="C581" s="69" t="s">
        <v>80</v>
      </c>
      <c r="D581" s="70" t="s">
        <v>280</v>
      </c>
      <c r="E581" s="69" t="s">
        <v>3058</v>
      </c>
      <c r="F581" s="69"/>
      <c r="G581" s="69" t="s">
        <v>2954</v>
      </c>
      <c r="H581" s="70">
        <v>2014</v>
      </c>
      <c r="I581" s="69"/>
      <c r="J581" s="69" t="s">
        <v>3034</v>
      </c>
      <c r="K581" s="71" t="s">
        <v>3035</v>
      </c>
      <c r="L581" s="71" t="s">
        <v>3036</v>
      </c>
      <c r="M581" s="71"/>
      <c r="N581" s="69" t="s">
        <v>422</v>
      </c>
      <c r="O581" s="64">
        <v>1</v>
      </c>
      <c r="P581" s="72">
        <v>6750</v>
      </c>
      <c r="Q581" s="69" t="s">
        <v>3059</v>
      </c>
      <c r="R581" s="69"/>
      <c r="S581" s="121" t="s">
        <v>258</v>
      </c>
      <c r="T581" s="56">
        <v>12</v>
      </c>
      <c r="U581" s="56">
        <v>3</v>
      </c>
    </row>
    <row r="582" spans="1:21" ht="14.25" customHeight="1" thickBot="1" x14ac:dyDescent="0.4">
      <c r="A582" s="58">
        <v>566</v>
      </c>
      <c r="B582" s="69" t="s">
        <v>79</v>
      </c>
      <c r="C582" s="69" t="s">
        <v>80</v>
      </c>
      <c r="D582" s="70" t="s">
        <v>286</v>
      </c>
      <c r="E582" s="69" t="s">
        <v>3058</v>
      </c>
      <c r="F582" s="69"/>
      <c r="G582" s="69" t="s">
        <v>54</v>
      </c>
      <c r="H582" s="70">
        <v>2014</v>
      </c>
      <c r="I582" s="69"/>
      <c r="J582" s="69" t="s">
        <v>2942</v>
      </c>
      <c r="K582" s="71" t="s">
        <v>2943</v>
      </c>
      <c r="L582" s="71" t="s">
        <v>3062</v>
      </c>
      <c r="M582" s="71"/>
      <c r="N582" s="69" t="s">
        <v>422</v>
      </c>
      <c r="O582" s="64">
        <v>1</v>
      </c>
      <c r="P582" s="72">
        <v>6750</v>
      </c>
      <c r="Q582" s="69" t="s">
        <v>3059</v>
      </c>
      <c r="R582" s="69"/>
      <c r="S582" s="121" t="s">
        <v>258</v>
      </c>
      <c r="T582" s="56">
        <v>12</v>
      </c>
      <c r="U582" s="56">
        <v>3</v>
      </c>
    </row>
    <row r="583" spans="1:21" ht="14.25" customHeight="1" x14ac:dyDescent="0.35">
      <c r="A583" s="47">
        <v>567</v>
      </c>
      <c r="B583" s="69" t="s">
        <v>79</v>
      </c>
      <c r="C583" s="69" t="s">
        <v>80</v>
      </c>
      <c r="D583" s="70" t="s">
        <v>291</v>
      </c>
      <c r="E583" s="69" t="s">
        <v>3058</v>
      </c>
      <c r="F583" s="69"/>
      <c r="G583" s="69" t="s">
        <v>2954</v>
      </c>
      <c r="H583" s="70">
        <v>2014</v>
      </c>
      <c r="I583" s="69"/>
      <c r="J583" s="69" t="s">
        <v>2994</v>
      </c>
      <c r="K583" s="71" t="s">
        <v>2995</v>
      </c>
      <c r="L583" s="71" t="s">
        <v>2996</v>
      </c>
      <c r="M583" s="71"/>
      <c r="N583" s="69" t="s">
        <v>422</v>
      </c>
      <c r="O583" s="64">
        <v>1</v>
      </c>
      <c r="P583" s="72">
        <v>6750</v>
      </c>
      <c r="Q583" s="69" t="s">
        <v>3059</v>
      </c>
      <c r="R583" s="69"/>
      <c r="S583" s="121" t="s">
        <v>258</v>
      </c>
      <c r="T583" s="56">
        <v>12</v>
      </c>
      <c r="U583" s="56">
        <v>3</v>
      </c>
    </row>
    <row r="584" spans="1:21" ht="14.25" customHeight="1" thickBot="1" x14ac:dyDescent="0.4">
      <c r="A584" s="58">
        <v>568</v>
      </c>
      <c r="B584" s="69" t="s">
        <v>79</v>
      </c>
      <c r="C584" s="69" t="s">
        <v>80</v>
      </c>
      <c r="D584" s="70" t="s">
        <v>298</v>
      </c>
      <c r="E584" s="69" t="s">
        <v>3063</v>
      </c>
      <c r="F584" s="69"/>
      <c r="G584" s="69" t="s">
        <v>2954</v>
      </c>
      <c r="H584" s="70">
        <v>2014</v>
      </c>
      <c r="I584" s="69"/>
      <c r="J584" s="69" t="s">
        <v>3001</v>
      </c>
      <c r="K584" s="71" t="s">
        <v>3002</v>
      </c>
      <c r="L584" s="71" t="s">
        <v>3064</v>
      </c>
      <c r="M584" s="71"/>
      <c r="N584" s="69" t="s">
        <v>422</v>
      </c>
      <c r="O584" s="64">
        <v>1</v>
      </c>
      <c r="P584" s="72">
        <v>6750</v>
      </c>
      <c r="Q584" s="69" t="s">
        <v>3059</v>
      </c>
      <c r="R584" s="69"/>
      <c r="S584" s="121" t="s">
        <v>258</v>
      </c>
      <c r="T584" s="56">
        <v>12</v>
      </c>
      <c r="U584" s="56">
        <v>3</v>
      </c>
    </row>
    <row r="585" spans="1:21" ht="14.25" customHeight="1" x14ac:dyDescent="0.35">
      <c r="A585" s="47">
        <v>569</v>
      </c>
      <c r="B585" s="69" t="s">
        <v>79</v>
      </c>
      <c r="C585" s="69" t="s">
        <v>80</v>
      </c>
      <c r="D585" s="70" t="s">
        <v>304</v>
      </c>
      <c r="E585" s="69" t="s">
        <v>3058</v>
      </c>
      <c r="F585" s="69"/>
      <c r="G585" s="69" t="s">
        <v>54</v>
      </c>
      <c r="H585" s="70">
        <v>2014</v>
      </c>
      <c r="I585" s="69"/>
      <c r="J585" s="69" t="s">
        <v>3005</v>
      </c>
      <c r="K585" s="71" t="s">
        <v>3006</v>
      </c>
      <c r="L585" s="71" t="s">
        <v>3007</v>
      </c>
      <c r="M585" s="71"/>
      <c r="N585" s="69" t="s">
        <v>422</v>
      </c>
      <c r="O585" s="64">
        <v>1</v>
      </c>
      <c r="P585" s="72">
        <v>6750</v>
      </c>
      <c r="Q585" s="69" t="s">
        <v>3059</v>
      </c>
      <c r="R585" s="69"/>
      <c r="S585" s="121" t="s">
        <v>258</v>
      </c>
      <c r="T585" s="56">
        <v>12</v>
      </c>
      <c r="U585" s="56">
        <v>3</v>
      </c>
    </row>
    <row r="586" spans="1:21" ht="14.25" customHeight="1" thickBot="1" x14ac:dyDescent="0.4">
      <c r="A586" s="58">
        <v>570</v>
      </c>
      <c r="B586" s="69" t="s">
        <v>79</v>
      </c>
      <c r="C586" s="69" t="s">
        <v>80</v>
      </c>
      <c r="D586" s="70" t="s">
        <v>310</v>
      </c>
      <c r="E586" s="69" t="s">
        <v>3058</v>
      </c>
      <c r="F586" s="69"/>
      <c r="G586" s="69" t="s">
        <v>54</v>
      </c>
      <c r="H586" s="70">
        <v>2014</v>
      </c>
      <c r="I586" s="69"/>
      <c r="J586" s="69"/>
      <c r="K586" s="71"/>
      <c r="L586" s="71" t="s">
        <v>3065</v>
      </c>
      <c r="M586" s="71"/>
      <c r="N586" s="69" t="s">
        <v>422</v>
      </c>
      <c r="O586" s="64">
        <v>1</v>
      </c>
      <c r="P586" s="72">
        <v>6750</v>
      </c>
      <c r="Q586" s="69" t="s">
        <v>3059</v>
      </c>
      <c r="R586" s="69"/>
      <c r="S586" s="121" t="s">
        <v>258</v>
      </c>
      <c r="T586" s="56">
        <v>12</v>
      </c>
      <c r="U586" s="56">
        <v>3</v>
      </c>
    </row>
    <row r="587" spans="1:21" ht="14.25" customHeight="1" x14ac:dyDescent="0.35">
      <c r="A587" s="47">
        <v>571</v>
      </c>
      <c r="B587" s="69" t="s">
        <v>79</v>
      </c>
      <c r="C587" s="69" t="s">
        <v>80</v>
      </c>
      <c r="D587" s="70" t="s">
        <v>319</v>
      </c>
      <c r="E587" s="69" t="s">
        <v>3066</v>
      </c>
      <c r="F587" s="69"/>
      <c r="G587" s="69" t="s">
        <v>54</v>
      </c>
      <c r="H587" s="70">
        <v>2014</v>
      </c>
      <c r="I587" s="69"/>
      <c r="J587" s="69"/>
      <c r="K587" s="71"/>
      <c r="L587" s="71" t="s">
        <v>3067</v>
      </c>
      <c r="M587" s="71"/>
      <c r="N587" s="69" t="s">
        <v>422</v>
      </c>
      <c r="O587" s="64">
        <v>1</v>
      </c>
      <c r="P587" s="72">
        <v>6750</v>
      </c>
      <c r="Q587" s="69" t="s">
        <v>3059</v>
      </c>
      <c r="R587" s="69"/>
      <c r="S587" s="121" t="s">
        <v>258</v>
      </c>
      <c r="T587" s="56">
        <v>12</v>
      </c>
      <c r="U587" s="56">
        <v>3</v>
      </c>
    </row>
    <row r="588" spans="1:21" ht="14.25" customHeight="1" thickBot="1" x14ac:dyDescent="0.4">
      <c r="A588" s="58">
        <v>572</v>
      </c>
      <c r="B588" s="69" t="s">
        <v>79</v>
      </c>
      <c r="C588" s="69" t="s">
        <v>80</v>
      </c>
      <c r="D588" s="70" t="s">
        <v>325</v>
      </c>
      <c r="E588" s="69" t="s">
        <v>3058</v>
      </c>
      <c r="F588" s="69"/>
      <c r="G588" s="69" t="s">
        <v>54</v>
      </c>
      <c r="H588" s="70">
        <v>2014</v>
      </c>
      <c r="I588" s="69"/>
      <c r="J588" s="69"/>
      <c r="K588" s="71"/>
      <c r="L588" s="71" t="s">
        <v>2992</v>
      </c>
      <c r="M588" s="71"/>
      <c r="N588" s="69" t="s">
        <v>422</v>
      </c>
      <c r="O588" s="64">
        <v>1</v>
      </c>
      <c r="P588" s="72">
        <v>6750</v>
      </c>
      <c r="Q588" s="69" t="s">
        <v>3059</v>
      </c>
      <c r="R588" s="69"/>
      <c r="S588" s="121" t="s">
        <v>258</v>
      </c>
      <c r="T588" s="56">
        <v>12</v>
      </c>
      <c r="U588" s="56">
        <v>3</v>
      </c>
    </row>
    <row r="589" spans="1:21" ht="14.25" customHeight="1" x14ac:dyDescent="0.35">
      <c r="A589" s="47">
        <v>573</v>
      </c>
      <c r="B589" s="69" t="s">
        <v>79</v>
      </c>
      <c r="C589" s="69" t="s">
        <v>80</v>
      </c>
      <c r="D589" s="70" t="s">
        <v>332</v>
      </c>
      <c r="E589" s="69" t="s">
        <v>3058</v>
      </c>
      <c r="F589" s="69"/>
      <c r="G589" s="69" t="s">
        <v>54</v>
      </c>
      <c r="H589" s="70">
        <v>2014</v>
      </c>
      <c r="I589" s="69"/>
      <c r="J589" s="69"/>
      <c r="K589" s="71"/>
      <c r="L589" s="71" t="s">
        <v>3068</v>
      </c>
      <c r="M589" s="71"/>
      <c r="N589" s="69" t="s">
        <v>422</v>
      </c>
      <c r="O589" s="64">
        <v>1</v>
      </c>
      <c r="P589" s="72">
        <v>6750</v>
      </c>
      <c r="Q589" s="69" t="s">
        <v>3059</v>
      </c>
      <c r="R589" s="69"/>
      <c r="S589" s="121" t="s">
        <v>258</v>
      </c>
      <c r="T589" s="56">
        <v>12</v>
      </c>
      <c r="U589" s="56">
        <v>3</v>
      </c>
    </row>
    <row r="590" spans="1:21" ht="14.25" customHeight="1" thickBot="1" x14ac:dyDescent="0.4">
      <c r="A590" s="58">
        <v>574</v>
      </c>
      <c r="B590" s="69" t="s">
        <v>79</v>
      </c>
      <c r="C590" s="69" t="s">
        <v>80</v>
      </c>
      <c r="D590" s="70" t="s">
        <v>338</v>
      </c>
      <c r="E590" s="69" t="s">
        <v>3069</v>
      </c>
      <c r="F590" s="69" t="s">
        <v>82</v>
      </c>
      <c r="G590" s="69" t="s">
        <v>54</v>
      </c>
      <c r="H590" s="70">
        <v>2007</v>
      </c>
      <c r="I590" s="69"/>
      <c r="J590" s="69" t="s">
        <v>3070</v>
      </c>
      <c r="K590" s="71" t="s">
        <v>3071</v>
      </c>
      <c r="L590" s="71" t="s">
        <v>3072</v>
      </c>
      <c r="M590" s="71"/>
      <c r="N590" s="69" t="s">
        <v>422</v>
      </c>
      <c r="O590" s="64">
        <v>1</v>
      </c>
      <c r="P590" s="72">
        <v>11750</v>
      </c>
      <c r="Q590" s="69"/>
      <c r="R590" s="69"/>
      <c r="S590" s="121" t="s">
        <v>258</v>
      </c>
      <c r="T590" s="56">
        <v>12</v>
      </c>
      <c r="U590" s="56">
        <v>3</v>
      </c>
    </row>
    <row r="591" spans="1:21" ht="14.25" customHeight="1" x14ac:dyDescent="0.35">
      <c r="A591" s="47">
        <v>575</v>
      </c>
      <c r="B591" s="69" t="s">
        <v>79</v>
      </c>
      <c r="C591" s="69" t="s">
        <v>80</v>
      </c>
      <c r="D591" s="70" t="s">
        <v>343</v>
      </c>
      <c r="E591" s="69" t="s">
        <v>3073</v>
      </c>
      <c r="F591" s="69" t="s">
        <v>82</v>
      </c>
      <c r="G591" s="69" t="s">
        <v>54</v>
      </c>
      <c r="H591" s="70">
        <v>2007</v>
      </c>
      <c r="I591" s="69"/>
      <c r="J591" s="69" t="s">
        <v>3074</v>
      </c>
      <c r="K591" s="71" t="s">
        <v>3075</v>
      </c>
      <c r="L591" s="71" t="s">
        <v>3076</v>
      </c>
      <c r="M591" s="71"/>
      <c r="N591" s="69" t="s">
        <v>422</v>
      </c>
      <c r="O591" s="64">
        <v>1</v>
      </c>
      <c r="P591" s="72">
        <v>14350</v>
      </c>
      <c r="Q591" s="69"/>
      <c r="R591" s="69"/>
      <c r="S591" s="121" t="s">
        <v>258</v>
      </c>
      <c r="T591" s="56">
        <v>12</v>
      </c>
      <c r="U591" s="56">
        <v>3</v>
      </c>
    </row>
    <row r="592" spans="1:21" ht="14.25" customHeight="1" thickBot="1" x14ac:dyDescent="0.4">
      <c r="A592" s="58">
        <v>576</v>
      </c>
      <c r="B592" s="69" t="s">
        <v>79</v>
      </c>
      <c r="C592" s="69" t="s">
        <v>80</v>
      </c>
      <c r="D592" s="70" t="s">
        <v>353</v>
      </c>
      <c r="E592" s="69" t="s">
        <v>3077</v>
      </c>
      <c r="F592" s="69" t="s">
        <v>88</v>
      </c>
      <c r="G592" s="69" t="s">
        <v>54</v>
      </c>
      <c r="H592" s="70">
        <v>2010</v>
      </c>
      <c r="I592" s="69"/>
      <c r="J592" s="69" t="s">
        <v>3078</v>
      </c>
      <c r="K592" s="71" t="s">
        <v>3079</v>
      </c>
      <c r="L592" s="71" t="s">
        <v>3080</v>
      </c>
      <c r="M592" s="71" t="s">
        <v>3081</v>
      </c>
      <c r="N592" s="69" t="s">
        <v>57</v>
      </c>
      <c r="O592" s="64">
        <v>1</v>
      </c>
      <c r="P592" s="72">
        <v>16433</v>
      </c>
      <c r="Q592" s="69" t="s">
        <v>3082</v>
      </c>
      <c r="R592" s="69"/>
      <c r="S592" s="121" t="s">
        <v>258</v>
      </c>
      <c r="T592" s="56">
        <v>12</v>
      </c>
      <c r="U592" s="56">
        <v>3</v>
      </c>
    </row>
    <row r="593" spans="1:21" ht="14.25" customHeight="1" x14ac:dyDescent="0.35">
      <c r="A593" s="47">
        <v>577</v>
      </c>
      <c r="B593" s="69" t="s">
        <v>79</v>
      </c>
      <c r="C593" s="69" t="s">
        <v>80</v>
      </c>
      <c r="D593" s="70" t="s">
        <v>359</v>
      </c>
      <c r="E593" s="69" t="s">
        <v>3077</v>
      </c>
      <c r="F593" s="69" t="s">
        <v>88</v>
      </c>
      <c r="G593" s="69" t="s">
        <v>54</v>
      </c>
      <c r="H593" s="70">
        <v>2010</v>
      </c>
      <c r="I593" s="69"/>
      <c r="J593" s="69" t="s">
        <v>3083</v>
      </c>
      <c r="K593" s="71" t="s">
        <v>3084</v>
      </c>
      <c r="L593" s="71" t="s">
        <v>3085</v>
      </c>
      <c r="M593" s="71" t="s">
        <v>3086</v>
      </c>
      <c r="N593" s="69" t="s">
        <v>57</v>
      </c>
      <c r="O593" s="64">
        <v>1</v>
      </c>
      <c r="P593" s="72">
        <v>16433</v>
      </c>
      <c r="Q593" s="69" t="s">
        <v>3087</v>
      </c>
      <c r="R593" s="69"/>
      <c r="S593" s="121" t="s">
        <v>258</v>
      </c>
      <c r="T593" s="56">
        <v>12</v>
      </c>
      <c r="U593" s="56">
        <v>3</v>
      </c>
    </row>
    <row r="594" spans="1:21" ht="14.25" customHeight="1" thickBot="1" x14ac:dyDescent="0.4">
      <c r="A594" s="58">
        <v>578</v>
      </c>
      <c r="B594" s="69" t="s">
        <v>79</v>
      </c>
      <c r="C594" s="69" t="s">
        <v>80</v>
      </c>
      <c r="D594" s="70" t="s">
        <v>366</v>
      </c>
      <c r="E594" s="69" t="s">
        <v>3088</v>
      </c>
      <c r="F594" s="69" t="s">
        <v>88</v>
      </c>
      <c r="G594" s="69" t="s">
        <v>54</v>
      </c>
      <c r="H594" s="70">
        <v>2012</v>
      </c>
      <c r="I594" s="69"/>
      <c r="J594" s="69" t="s">
        <v>3089</v>
      </c>
      <c r="K594" s="71" t="s">
        <v>3090</v>
      </c>
      <c r="L594" s="71" t="s">
        <v>3091</v>
      </c>
      <c r="M594" s="71" t="s">
        <v>3092</v>
      </c>
      <c r="N594" s="69" t="s">
        <v>57</v>
      </c>
      <c r="O594" s="64">
        <v>1</v>
      </c>
      <c r="P594" s="72">
        <v>15459.15</v>
      </c>
      <c r="Q594" s="69" t="s">
        <v>3093</v>
      </c>
      <c r="R594" s="69"/>
      <c r="S594" s="121" t="s">
        <v>258</v>
      </c>
      <c r="T594" s="56">
        <v>12</v>
      </c>
      <c r="U594" s="56">
        <v>3</v>
      </c>
    </row>
    <row r="595" spans="1:21" ht="14.25" customHeight="1" x14ac:dyDescent="0.35">
      <c r="A595" s="47">
        <v>579</v>
      </c>
      <c r="B595" s="69" t="s">
        <v>79</v>
      </c>
      <c r="C595" s="69" t="s">
        <v>80</v>
      </c>
      <c r="D595" s="70" t="s">
        <v>371</v>
      </c>
      <c r="E595" s="69" t="s">
        <v>3094</v>
      </c>
      <c r="F595" s="69" t="s">
        <v>88</v>
      </c>
      <c r="G595" s="69" t="s">
        <v>54</v>
      </c>
      <c r="H595" s="70">
        <v>2012</v>
      </c>
      <c r="I595" s="69"/>
      <c r="J595" s="69" t="s">
        <v>3095</v>
      </c>
      <c r="K595" s="71" t="s">
        <v>3096</v>
      </c>
      <c r="L595" s="71" t="s">
        <v>3097</v>
      </c>
      <c r="M595" s="71" t="s">
        <v>3098</v>
      </c>
      <c r="N595" s="69" t="s">
        <v>57</v>
      </c>
      <c r="O595" s="64">
        <v>1</v>
      </c>
      <c r="P595" s="72">
        <v>16923.924999999999</v>
      </c>
      <c r="Q595" s="69" t="s">
        <v>3099</v>
      </c>
      <c r="R595" s="69"/>
      <c r="S595" s="121" t="s">
        <v>258</v>
      </c>
      <c r="T595" s="56">
        <v>12</v>
      </c>
      <c r="U595" s="56">
        <v>3</v>
      </c>
    </row>
    <row r="596" spans="1:21" ht="14.25" customHeight="1" thickBot="1" x14ac:dyDescent="0.4">
      <c r="A596" s="58">
        <v>580</v>
      </c>
      <c r="B596" s="69" t="s">
        <v>79</v>
      </c>
      <c r="C596" s="69" t="s">
        <v>80</v>
      </c>
      <c r="D596" s="70" t="s">
        <v>376</v>
      </c>
      <c r="E596" s="69" t="s">
        <v>3094</v>
      </c>
      <c r="F596" s="69" t="s">
        <v>88</v>
      </c>
      <c r="G596" s="69" t="s">
        <v>54</v>
      </c>
      <c r="H596" s="70">
        <v>2012</v>
      </c>
      <c r="I596" s="69"/>
      <c r="J596" s="69" t="s">
        <v>3100</v>
      </c>
      <c r="K596" s="71" t="s">
        <v>3101</v>
      </c>
      <c r="L596" s="71" t="s">
        <v>3102</v>
      </c>
      <c r="M596" s="71" t="s">
        <v>3103</v>
      </c>
      <c r="N596" s="69" t="s">
        <v>57</v>
      </c>
      <c r="O596" s="64">
        <v>1</v>
      </c>
      <c r="P596" s="72">
        <v>16923.924999999999</v>
      </c>
      <c r="Q596" s="69" t="s">
        <v>3104</v>
      </c>
      <c r="R596" s="69"/>
      <c r="S596" s="121" t="s">
        <v>258</v>
      </c>
      <c r="T596" s="56">
        <v>12</v>
      </c>
      <c r="U596" s="56">
        <v>3</v>
      </c>
    </row>
    <row r="597" spans="1:21" ht="14.25" customHeight="1" x14ac:dyDescent="0.35">
      <c r="A597" s="47">
        <v>581</v>
      </c>
      <c r="B597" s="69" t="s">
        <v>79</v>
      </c>
      <c r="C597" s="69" t="s">
        <v>80</v>
      </c>
      <c r="D597" s="70" t="s">
        <v>382</v>
      </c>
      <c r="E597" s="69" t="s">
        <v>3094</v>
      </c>
      <c r="F597" s="69" t="s">
        <v>88</v>
      </c>
      <c r="G597" s="69" t="s">
        <v>54</v>
      </c>
      <c r="H597" s="70">
        <v>2012</v>
      </c>
      <c r="I597" s="69"/>
      <c r="J597" s="69" t="s">
        <v>3105</v>
      </c>
      <c r="K597" s="71" t="s">
        <v>3106</v>
      </c>
      <c r="L597" s="71" t="s">
        <v>3107</v>
      </c>
      <c r="M597" s="71" t="s">
        <v>3108</v>
      </c>
      <c r="N597" s="69" t="s">
        <v>57</v>
      </c>
      <c r="O597" s="64">
        <v>1</v>
      </c>
      <c r="P597" s="72">
        <v>16923.924999999999</v>
      </c>
      <c r="Q597" s="69" t="s">
        <v>3109</v>
      </c>
      <c r="R597" s="69"/>
      <c r="S597" s="121" t="s">
        <v>258</v>
      </c>
      <c r="T597" s="56">
        <v>12</v>
      </c>
      <c r="U597" s="56">
        <v>3</v>
      </c>
    </row>
    <row r="598" spans="1:21" ht="14.25" customHeight="1" thickBot="1" x14ac:dyDescent="0.4">
      <c r="A598" s="58">
        <v>582</v>
      </c>
      <c r="B598" s="69" t="s">
        <v>79</v>
      </c>
      <c r="C598" s="69" t="s">
        <v>80</v>
      </c>
      <c r="D598" s="70" t="s">
        <v>387</v>
      </c>
      <c r="E598" s="69" t="s">
        <v>3094</v>
      </c>
      <c r="F598" s="69" t="s">
        <v>88</v>
      </c>
      <c r="G598" s="69" t="s">
        <v>54</v>
      </c>
      <c r="H598" s="70">
        <v>2012</v>
      </c>
      <c r="I598" s="69"/>
      <c r="J598" s="69" t="s">
        <v>3110</v>
      </c>
      <c r="K598" s="71" t="s">
        <v>3111</v>
      </c>
      <c r="L598" s="71" t="s">
        <v>3112</v>
      </c>
      <c r="M598" s="71" t="s">
        <v>3113</v>
      </c>
      <c r="N598" s="69" t="s">
        <v>57</v>
      </c>
      <c r="O598" s="64">
        <v>1</v>
      </c>
      <c r="P598" s="72">
        <v>16923.924999999999</v>
      </c>
      <c r="Q598" s="69" t="s">
        <v>3114</v>
      </c>
      <c r="R598" s="69"/>
      <c r="S598" s="121" t="s">
        <v>258</v>
      </c>
      <c r="T598" s="56">
        <v>12</v>
      </c>
      <c r="U598" s="56">
        <v>3</v>
      </c>
    </row>
    <row r="599" spans="1:21" ht="14.25" customHeight="1" x14ac:dyDescent="0.35">
      <c r="A599" s="47">
        <v>583</v>
      </c>
      <c r="B599" s="69" t="s">
        <v>79</v>
      </c>
      <c r="C599" s="69" t="s">
        <v>80</v>
      </c>
      <c r="D599" s="70" t="s">
        <v>392</v>
      </c>
      <c r="E599" s="69" t="s">
        <v>3094</v>
      </c>
      <c r="F599" s="69" t="s">
        <v>88</v>
      </c>
      <c r="G599" s="69" t="s">
        <v>54</v>
      </c>
      <c r="H599" s="70">
        <v>2012</v>
      </c>
      <c r="I599" s="69"/>
      <c r="J599" s="69" t="s">
        <v>3115</v>
      </c>
      <c r="K599" s="71" t="s">
        <v>3116</v>
      </c>
      <c r="L599" s="71" t="s">
        <v>3117</v>
      </c>
      <c r="M599" s="71" t="s">
        <v>3118</v>
      </c>
      <c r="N599" s="69" t="s">
        <v>57</v>
      </c>
      <c r="O599" s="64">
        <v>1</v>
      </c>
      <c r="P599" s="72">
        <v>16923.924999999999</v>
      </c>
      <c r="Q599" s="69" t="s">
        <v>3119</v>
      </c>
      <c r="R599" s="69"/>
      <c r="S599" s="121" t="s">
        <v>258</v>
      </c>
      <c r="T599" s="56">
        <v>12</v>
      </c>
      <c r="U599" s="56">
        <v>3</v>
      </c>
    </row>
    <row r="600" spans="1:21" ht="14.25" customHeight="1" thickBot="1" x14ac:dyDescent="0.4">
      <c r="A600" s="58">
        <v>584</v>
      </c>
      <c r="B600" s="69" t="s">
        <v>79</v>
      </c>
      <c r="C600" s="69" t="s">
        <v>80</v>
      </c>
      <c r="D600" s="70" t="s">
        <v>398</v>
      </c>
      <c r="E600" s="69" t="s">
        <v>3094</v>
      </c>
      <c r="F600" s="69" t="s">
        <v>88</v>
      </c>
      <c r="G600" s="69" t="s">
        <v>54</v>
      </c>
      <c r="H600" s="70">
        <v>2012</v>
      </c>
      <c r="I600" s="69"/>
      <c r="J600" s="69" t="s">
        <v>3120</v>
      </c>
      <c r="K600" s="71" t="s">
        <v>3121</v>
      </c>
      <c r="L600" s="71" t="s">
        <v>3122</v>
      </c>
      <c r="M600" s="71" t="s">
        <v>3123</v>
      </c>
      <c r="N600" s="69" t="s">
        <v>57</v>
      </c>
      <c r="O600" s="64">
        <v>1</v>
      </c>
      <c r="P600" s="72">
        <v>16923.924999999999</v>
      </c>
      <c r="Q600" s="69" t="s">
        <v>3124</v>
      </c>
      <c r="R600" s="69"/>
      <c r="S600" s="121" t="s">
        <v>258</v>
      </c>
      <c r="T600" s="56">
        <v>12</v>
      </c>
      <c r="U600" s="56">
        <v>3</v>
      </c>
    </row>
    <row r="601" spans="1:21" ht="14.25" customHeight="1" x14ac:dyDescent="0.35">
      <c r="A601" s="47">
        <v>585</v>
      </c>
      <c r="B601" s="69" t="s">
        <v>79</v>
      </c>
      <c r="C601" s="69" t="s">
        <v>80</v>
      </c>
      <c r="D601" s="70" t="s">
        <v>403</v>
      </c>
      <c r="E601" s="69" t="s">
        <v>3094</v>
      </c>
      <c r="F601" s="69" t="s">
        <v>88</v>
      </c>
      <c r="G601" s="69" t="s">
        <v>54</v>
      </c>
      <c r="H601" s="70">
        <v>2012</v>
      </c>
      <c r="I601" s="69"/>
      <c r="J601" s="69" t="s">
        <v>3125</v>
      </c>
      <c r="K601" s="71" t="s">
        <v>3126</v>
      </c>
      <c r="L601" s="71" t="s">
        <v>3127</v>
      </c>
      <c r="M601" s="71" t="s">
        <v>3128</v>
      </c>
      <c r="N601" s="69" t="s">
        <v>57</v>
      </c>
      <c r="O601" s="64">
        <v>1</v>
      </c>
      <c r="P601" s="72">
        <v>16923.924999999999</v>
      </c>
      <c r="Q601" s="69" t="s">
        <v>3129</v>
      </c>
      <c r="R601" s="69"/>
      <c r="S601" s="121" t="s">
        <v>258</v>
      </c>
      <c r="T601" s="56">
        <v>12</v>
      </c>
      <c r="U601" s="56">
        <v>3</v>
      </c>
    </row>
    <row r="602" spans="1:21" ht="14.25" customHeight="1" thickBot="1" x14ac:dyDescent="0.4">
      <c r="A602" s="58">
        <v>586</v>
      </c>
      <c r="B602" s="69" t="s">
        <v>79</v>
      </c>
      <c r="C602" s="69" t="s">
        <v>80</v>
      </c>
      <c r="D602" s="70" t="s">
        <v>408</v>
      </c>
      <c r="E602" s="69" t="s">
        <v>3094</v>
      </c>
      <c r="F602" s="69" t="s">
        <v>88</v>
      </c>
      <c r="G602" s="69" t="s">
        <v>54</v>
      </c>
      <c r="H602" s="70">
        <v>2012</v>
      </c>
      <c r="I602" s="69"/>
      <c r="J602" s="69" t="s">
        <v>3130</v>
      </c>
      <c r="K602" s="71" t="s">
        <v>3131</v>
      </c>
      <c r="L602" s="71" t="s">
        <v>3132</v>
      </c>
      <c r="M602" s="71" t="s">
        <v>3133</v>
      </c>
      <c r="N602" s="69" t="s">
        <v>57</v>
      </c>
      <c r="O602" s="64">
        <v>1</v>
      </c>
      <c r="P602" s="72">
        <v>16923.924999999999</v>
      </c>
      <c r="Q602" s="69" t="s">
        <v>3134</v>
      </c>
      <c r="R602" s="69"/>
      <c r="S602" s="121" t="s">
        <v>258</v>
      </c>
      <c r="T602" s="56">
        <v>12</v>
      </c>
      <c r="U602" s="56">
        <v>3</v>
      </c>
    </row>
    <row r="603" spans="1:21" ht="14.25" customHeight="1" x14ac:dyDescent="0.35">
      <c r="A603" s="47">
        <v>587</v>
      </c>
      <c r="B603" s="69" t="s">
        <v>79</v>
      </c>
      <c r="C603" s="69" t="s">
        <v>80</v>
      </c>
      <c r="D603" s="70" t="s">
        <v>413</v>
      </c>
      <c r="E603" s="69" t="s">
        <v>3094</v>
      </c>
      <c r="F603" s="69" t="s">
        <v>88</v>
      </c>
      <c r="G603" s="69" t="s">
        <v>54</v>
      </c>
      <c r="H603" s="70">
        <v>2012</v>
      </c>
      <c r="I603" s="69"/>
      <c r="J603" s="69" t="s">
        <v>3135</v>
      </c>
      <c r="K603" s="71" t="s">
        <v>3136</v>
      </c>
      <c r="L603" s="71" t="s">
        <v>3137</v>
      </c>
      <c r="M603" s="71" t="s">
        <v>3138</v>
      </c>
      <c r="N603" s="69" t="s">
        <v>57</v>
      </c>
      <c r="O603" s="64">
        <v>1</v>
      </c>
      <c r="P603" s="72">
        <v>16923.924999999999</v>
      </c>
      <c r="Q603" s="69" t="s">
        <v>3139</v>
      </c>
      <c r="R603" s="69"/>
      <c r="S603" s="121" t="s">
        <v>258</v>
      </c>
      <c r="T603" s="56">
        <v>12</v>
      </c>
      <c r="U603" s="56">
        <v>3</v>
      </c>
    </row>
    <row r="604" spans="1:21" ht="14.25" customHeight="1" thickBot="1" x14ac:dyDescent="0.4">
      <c r="A604" s="58">
        <v>588</v>
      </c>
      <c r="B604" s="69" t="s">
        <v>79</v>
      </c>
      <c r="C604" s="69" t="s">
        <v>80</v>
      </c>
      <c r="D604" s="70" t="s">
        <v>3140</v>
      </c>
      <c r="E604" s="69" t="s">
        <v>3094</v>
      </c>
      <c r="F604" s="69" t="s">
        <v>88</v>
      </c>
      <c r="G604" s="69" t="s">
        <v>54</v>
      </c>
      <c r="H604" s="70">
        <v>2012</v>
      </c>
      <c r="I604" s="69"/>
      <c r="J604" s="69" t="s">
        <v>3141</v>
      </c>
      <c r="K604" s="71" t="s">
        <v>3142</v>
      </c>
      <c r="L604" s="71" t="s">
        <v>3143</v>
      </c>
      <c r="M604" s="71" t="s">
        <v>3144</v>
      </c>
      <c r="N604" s="69" t="s">
        <v>57</v>
      </c>
      <c r="O604" s="64">
        <v>1</v>
      </c>
      <c r="P604" s="72">
        <v>16923.924999999999</v>
      </c>
      <c r="Q604" s="69" t="s">
        <v>3145</v>
      </c>
      <c r="R604" s="69"/>
      <c r="S604" s="121" t="s">
        <v>258</v>
      </c>
      <c r="T604" s="56">
        <v>12</v>
      </c>
      <c r="U604" s="56">
        <v>3</v>
      </c>
    </row>
    <row r="605" spans="1:21" ht="14.25" customHeight="1" x14ac:dyDescent="0.35">
      <c r="A605" s="47">
        <v>589</v>
      </c>
      <c r="B605" s="69" t="s">
        <v>79</v>
      </c>
      <c r="C605" s="69" t="s">
        <v>80</v>
      </c>
      <c r="D605" s="70" t="s">
        <v>1450</v>
      </c>
      <c r="E605" s="69" t="s">
        <v>3094</v>
      </c>
      <c r="F605" s="69" t="s">
        <v>88</v>
      </c>
      <c r="G605" s="69" t="s">
        <v>54</v>
      </c>
      <c r="H605" s="70">
        <v>2012</v>
      </c>
      <c r="I605" s="69"/>
      <c r="J605" s="69" t="s">
        <v>3146</v>
      </c>
      <c r="K605" s="71" t="s">
        <v>3147</v>
      </c>
      <c r="L605" s="71" t="s">
        <v>3148</v>
      </c>
      <c r="M605" s="71" t="s">
        <v>3149</v>
      </c>
      <c r="N605" s="69" t="s">
        <v>57</v>
      </c>
      <c r="O605" s="64">
        <v>1</v>
      </c>
      <c r="P605" s="72">
        <v>16923.924999999999</v>
      </c>
      <c r="Q605" s="69" t="s">
        <v>3150</v>
      </c>
      <c r="R605" s="69"/>
      <c r="S605" s="121" t="s">
        <v>258</v>
      </c>
      <c r="T605" s="56">
        <v>12</v>
      </c>
      <c r="U605" s="56">
        <v>3</v>
      </c>
    </row>
    <row r="606" spans="1:21" ht="14.25" customHeight="1" thickBot="1" x14ac:dyDescent="0.4">
      <c r="A606" s="58">
        <v>590</v>
      </c>
      <c r="B606" s="69" t="s">
        <v>79</v>
      </c>
      <c r="C606" s="69" t="s">
        <v>80</v>
      </c>
      <c r="D606" s="70" t="s">
        <v>1456</v>
      </c>
      <c r="E606" s="69" t="s">
        <v>3094</v>
      </c>
      <c r="F606" s="69" t="s">
        <v>88</v>
      </c>
      <c r="G606" s="69" t="s">
        <v>54</v>
      </c>
      <c r="H606" s="70">
        <v>2012</v>
      </c>
      <c r="I606" s="69"/>
      <c r="J606" s="69" t="s">
        <v>3151</v>
      </c>
      <c r="K606" s="71" t="s">
        <v>3152</v>
      </c>
      <c r="L606" s="71" t="s">
        <v>3153</v>
      </c>
      <c r="M606" s="71" t="s">
        <v>3154</v>
      </c>
      <c r="N606" s="69" t="s">
        <v>57</v>
      </c>
      <c r="O606" s="64">
        <v>1</v>
      </c>
      <c r="P606" s="72">
        <v>16923.924999999999</v>
      </c>
      <c r="Q606" s="69" t="s">
        <v>3155</v>
      </c>
      <c r="R606" s="69"/>
      <c r="S606" s="121" t="s">
        <v>258</v>
      </c>
      <c r="T606" s="56">
        <v>12</v>
      </c>
      <c r="U606" s="56">
        <v>3</v>
      </c>
    </row>
    <row r="607" spans="1:21" ht="14.25" customHeight="1" x14ac:dyDescent="0.35">
      <c r="A607" s="47">
        <v>591</v>
      </c>
      <c r="B607" s="69" t="s">
        <v>79</v>
      </c>
      <c r="C607" s="69" t="s">
        <v>80</v>
      </c>
      <c r="D607" s="70" t="s">
        <v>1462</v>
      </c>
      <c r="E607" s="69" t="s">
        <v>3156</v>
      </c>
      <c r="F607" s="69" t="s">
        <v>231</v>
      </c>
      <c r="G607" s="69" t="s">
        <v>54</v>
      </c>
      <c r="H607" s="70">
        <v>2012</v>
      </c>
      <c r="I607" s="69"/>
      <c r="J607" s="69" t="s">
        <v>3157</v>
      </c>
      <c r="K607" s="71" t="s">
        <v>3158</v>
      </c>
      <c r="L607" s="71" t="s">
        <v>3159</v>
      </c>
      <c r="M607" s="71" t="s">
        <v>3160</v>
      </c>
      <c r="N607" s="69" t="s">
        <v>57</v>
      </c>
      <c r="O607" s="64">
        <v>1</v>
      </c>
      <c r="P607" s="72">
        <v>19426.599999999999</v>
      </c>
      <c r="Q607" s="69" t="s">
        <v>3161</v>
      </c>
      <c r="R607" s="69"/>
      <c r="S607" s="121" t="s">
        <v>258</v>
      </c>
      <c r="T607" s="56">
        <v>12</v>
      </c>
      <c r="U607" s="56">
        <v>3</v>
      </c>
    </row>
    <row r="608" spans="1:21" ht="14.25" customHeight="1" thickBot="1" x14ac:dyDescent="0.4">
      <c r="A608" s="58">
        <v>592</v>
      </c>
      <c r="B608" s="69" t="s">
        <v>79</v>
      </c>
      <c r="C608" s="69" t="s">
        <v>80</v>
      </c>
      <c r="D608" s="70" t="s">
        <v>1469</v>
      </c>
      <c r="E608" s="69" t="s">
        <v>3156</v>
      </c>
      <c r="F608" s="69" t="s">
        <v>231</v>
      </c>
      <c r="G608" s="69" t="s">
        <v>54</v>
      </c>
      <c r="H608" s="70">
        <v>2012</v>
      </c>
      <c r="I608" s="69"/>
      <c r="J608" s="69" t="s">
        <v>3162</v>
      </c>
      <c r="K608" s="71" t="s">
        <v>3163</v>
      </c>
      <c r="L608" s="71" t="s">
        <v>3164</v>
      </c>
      <c r="M608" s="71" t="s">
        <v>3165</v>
      </c>
      <c r="N608" s="69" t="s">
        <v>57</v>
      </c>
      <c r="O608" s="64">
        <v>1</v>
      </c>
      <c r="P608" s="72">
        <v>19426.599999999999</v>
      </c>
      <c r="Q608" s="69" t="s">
        <v>3166</v>
      </c>
      <c r="R608" s="69"/>
      <c r="S608" s="121" t="s">
        <v>258</v>
      </c>
      <c r="T608" s="56">
        <v>12</v>
      </c>
      <c r="U608" s="56">
        <v>3</v>
      </c>
    </row>
    <row r="609" spans="1:21" ht="14.25" customHeight="1" x14ac:dyDescent="0.35">
      <c r="A609" s="47">
        <v>593</v>
      </c>
      <c r="B609" s="69" t="s">
        <v>79</v>
      </c>
      <c r="C609" s="69" t="s">
        <v>80</v>
      </c>
      <c r="D609" s="70" t="s">
        <v>1475</v>
      </c>
      <c r="E609" s="69" t="s">
        <v>3156</v>
      </c>
      <c r="F609" s="69" t="s">
        <v>231</v>
      </c>
      <c r="G609" s="69" t="s">
        <v>54</v>
      </c>
      <c r="H609" s="70">
        <v>2012</v>
      </c>
      <c r="I609" s="69"/>
      <c r="J609" s="69" t="s">
        <v>3167</v>
      </c>
      <c r="K609" s="71" t="s">
        <v>3168</v>
      </c>
      <c r="L609" s="71" t="s">
        <v>3169</v>
      </c>
      <c r="M609" s="71" t="s">
        <v>3170</v>
      </c>
      <c r="N609" s="69" t="s">
        <v>57</v>
      </c>
      <c r="O609" s="64">
        <v>1</v>
      </c>
      <c r="P609" s="72">
        <v>19426.599999999999</v>
      </c>
      <c r="Q609" s="69" t="s">
        <v>3171</v>
      </c>
      <c r="R609" s="69"/>
      <c r="S609" s="121" t="s">
        <v>258</v>
      </c>
      <c r="T609" s="56">
        <v>12</v>
      </c>
      <c r="U609" s="56">
        <v>3</v>
      </c>
    </row>
    <row r="610" spans="1:21" ht="14.25" customHeight="1" thickBot="1" x14ac:dyDescent="0.4">
      <c r="A610" s="58">
        <v>594</v>
      </c>
      <c r="B610" s="69" t="s">
        <v>79</v>
      </c>
      <c r="C610" s="69" t="s">
        <v>80</v>
      </c>
      <c r="D610" s="70" t="s">
        <v>1480</v>
      </c>
      <c r="E610" s="69" t="s">
        <v>3156</v>
      </c>
      <c r="F610" s="69" t="s">
        <v>231</v>
      </c>
      <c r="G610" s="69" t="s">
        <v>54</v>
      </c>
      <c r="H610" s="70">
        <v>2012</v>
      </c>
      <c r="I610" s="69"/>
      <c r="J610" s="69" t="s">
        <v>3172</v>
      </c>
      <c r="K610" s="71" t="s">
        <v>3173</v>
      </c>
      <c r="L610" s="71" t="s">
        <v>3174</v>
      </c>
      <c r="M610" s="71" t="s">
        <v>3175</v>
      </c>
      <c r="N610" s="69" t="s">
        <v>57</v>
      </c>
      <c r="O610" s="64">
        <v>1</v>
      </c>
      <c r="P610" s="72">
        <v>19426.599999999999</v>
      </c>
      <c r="Q610" s="69" t="s">
        <v>3176</v>
      </c>
      <c r="R610" s="69"/>
      <c r="S610" s="121" t="s">
        <v>258</v>
      </c>
      <c r="T610" s="56">
        <v>12</v>
      </c>
      <c r="U610" s="56">
        <v>3</v>
      </c>
    </row>
    <row r="611" spans="1:21" ht="14.25" customHeight="1" x14ac:dyDescent="0.35">
      <c r="A611" s="47">
        <v>595</v>
      </c>
      <c r="B611" s="69" t="s">
        <v>79</v>
      </c>
      <c r="C611" s="69" t="s">
        <v>80</v>
      </c>
      <c r="D611" s="70" t="s">
        <v>1485</v>
      </c>
      <c r="E611" s="69" t="s">
        <v>3156</v>
      </c>
      <c r="F611" s="69" t="s">
        <v>231</v>
      </c>
      <c r="G611" s="69" t="s">
        <v>54</v>
      </c>
      <c r="H611" s="70">
        <v>2012</v>
      </c>
      <c r="I611" s="69"/>
      <c r="J611" s="69" t="s">
        <v>3177</v>
      </c>
      <c r="K611" s="71" t="s">
        <v>3178</v>
      </c>
      <c r="L611" s="71" t="s">
        <v>3179</v>
      </c>
      <c r="M611" s="71" t="s">
        <v>3180</v>
      </c>
      <c r="N611" s="69" t="s">
        <v>57</v>
      </c>
      <c r="O611" s="64">
        <v>1</v>
      </c>
      <c r="P611" s="72">
        <v>19426.599999999999</v>
      </c>
      <c r="Q611" s="69" t="s">
        <v>3181</v>
      </c>
      <c r="R611" s="69"/>
      <c r="S611" s="121" t="s">
        <v>258</v>
      </c>
      <c r="T611" s="56">
        <v>12</v>
      </c>
      <c r="U611" s="56">
        <v>3</v>
      </c>
    </row>
    <row r="612" spans="1:21" ht="14.25" customHeight="1" thickBot="1" x14ac:dyDescent="0.4">
      <c r="A612" s="58">
        <v>596</v>
      </c>
      <c r="B612" s="69" t="s">
        <v>79</v>
      </c>
      <c r="C612" s="69" t="s">
        <v>80</v>
      </c>
      <c r="D612" s="70" t="s">
        <v>1490</v>
      </c>
      <c r="E612" s="69" t="s">
        <v>3156</v>
      </c>
      <c r="F612" s="69" t="s">
        <v>231</v>
      </c>
      <c r="G612" s="69" t="s">
        <v>54</v>
      </c>
      <c r="H612" s="70">
        <v>2012</v>
      </c>
      <c r="I612" s="69"/>
      <c r="J612" s="69" t="s">
        <v>3182</v>
      </c>
      <c r="K612" s="71" t="s">
        <v>3183</v>
      </c>
      <c r="L612" s="71" t="s">
        <v>3184</v>
      </c>
      <c r="M612" s="71" t="s">
        <v>3185</v>
      </c>
      <c r="N612" s="69" t="s">
        <v>57</v>
      </c>
      <c r="O612" s="64">
        <v>1</v>
      </c>
      <c r="P612" s="72">
        <v>19426.599999999999</v>
      </c>
      <c r="Q612" s="69" t="s">
        <v>3186</v>
      </c>
      <c r="R612" s="69"/>
      <c r="S612" s="121" t="s">
        <v>258</v>
      </c>
      <c r="T612" s="56">
        <v>12</v>
      </c>
      <c r="U612" s="56">
        <v>3</v>
      </c>
    </row>
    <row r="613" spans="1:21" ht="14.25" customHeight="1" x14ac:dyDescent="0.35">
      <c r="A613" s="47">
        <v>597</v>
      </c>
      <c r="B613" s="69" t="s">
        <v>79</v>
      </c>
      <c r="C613" s="69" t="s">
        <v>80</v>
      </c>
      <c r="D613" s="70" t="s">
        <v>1498</v>
      </c>
      <c r="E613" s="69" t="s">
        <v>3156</v>
      </c>
      <c r="F613" s="69" t="s">
        <v>231</v>
      </c>
      <c r="G613" s="69" t="s">
        <v>54</v>
      </c>
      <c r="H613" s="70">
        <v>2012</v>
      </c>
      <c r="I613" s="69"/>
      <c r="J613" s="69" t="s">
        <v>3187</v>
      </c>
      <c r="K613" s="71" t="s">
        <v>3188</v>
      </c>
      <c r="L613" s="71" t="s">
        <v>3189</v>
      </c>
      <c r="M613" s="71" t="s">
        <v>3190</v>
      </c>
      <c r="N613" s="69" t="s">
        <v>57</v>
      </c>
      <c r="O613" s="64">
        <v>1</v>
      </c>
      <c r="P613" s="72">
        <v>19426.599999999999</v>
      </c>
      <c r="Q613" s="69" t="s">
        <v>3191</v>
      </c>
      <c r="R613" s="69"/>
      <c r="S613" s="121" t="s">
        <v>258</v>
      </c>
      <c r="T613" s="56">
        <v>12</v>
      </c>
      <c r="U613" s="56">
        <v>3</v>
      </c>
    </row>
    <row r="614" spans="1:21" ht="14.25" customHeight="1" thickBot="1" x14ac:dyDescent="0.4">
      <c r="A614" s="58">
        <v>598</v>
      </c>
      <c r="B614" s="69" t="s">
        <v>79</v>
      </c>
      <c r="C614" s="69" t="s">
        <v>80</v>
      </c>
      <c r="D614" s="70" t="s">
        <v>1506</v>
      </c>
      <c r="E614" s="69" t="s">
        <v>3156</v>
      </c>
      <c r="F614" s="69" t="s">
        <v>231</v>
      </c>
      <c r="G614" s="69" t="s">
        <v>54</v>
      </c>
      <c r="H614" s="70">
        <v>2012</v>
      </c>
      <c r="I614" s="69"/>
      <c r="J614" s="69" t="s">
        <v>3192</v>
      </c>
      <c r="K614" s="71" t="s">
        <v>3193</v>
      </c>
      <c r="L614" s="71" t="s">
        <v>3194</v>
      </c>
      <c r="M614" s="71" t="s">
        <v>3195</v>
      </c>
      <c r="N614" s="69" t="s">
        <v>57</v>
      </c>
      <c r="O614" s="64">
        <v>1</v>
      </c>
      <c r="P614" s="72">
        <v>19426.599999999999</v>
      </c>
      <c r="Q614" s="69" t="s">
        <v>3196</v>
      </c>
      <c r="R614" s="69"/>
      <c r="S614" s="121" t="s">
        <v>258</v>
      </c>
      <c r="T614" s="56">
        <v>12</v>
      </c>
      <c r="U614" s="56">
        <v>3</v>
      </c>
    </row>
    <row r="615" spans="1:21" ht="14.25" customHeight="1" x14ac:dyDescent="0.35">
      <c r="A615" s="47">
        <v>599</v>
      </c>
      <c r="B615" s="69" t="s">
        <v>79</v>
      </c>
      <c r="C615" s="69" t="s">
        <v>80</v>
      </c>
      <c r="D615" s="70" t="s">
        <v>1520</v>
      </c>
      <c r="E615" s="69" t="s">
        <v>3156</v>
      </c>
      <c r="F615" s="69" t="s">
        <v>231</v>
      </c>
      <c r="G615" s="69" t="s">
        <v>54</v>
      </c>
      <c r="H615" s="70">
        <v>2012</v>
      </c>
      <c r="I615" s="69"/>
      <c r="J615" s="69" t="s">
        <v>3197</v>
      </c>
      <c r="K615" s="71" t="s">
        <v>3198</v>
      </c>
      <c r="L615" s="71" t="s">
        <v>3199</v>
      </c>
      <c r="M615" s="71" t="s">
        <v>3200</v>
      </c>
      <c r="N615" s="69" t="s">
        <v>57</v>
      </c>
      <c r="O615" s="64">
        <v>1</v>
      </c>
      <c r="P615" s="72">
        <v>19426.599999999999</v>
      </c>
      <c r="Q615" s="69" t="s">
        <v>3201</v>
      </c>
      <c r="R615" s="69"/>
      <c r="S615" s="121" t="s">
        <v>258</v>
      </c>
      <c r="T615" s="56">
        <v>12</v>
      </c>
      <c r="U615" s="56">
        <v>3</v>
      </c>
    </row>
    <row r="616" spans="1:21" ht="14.25" customHeight="1" thickBot="1" x14ac:dyDescent="0.4">
      <c r="A616" s="58">
        <v>600</v>
      </c>
      <c r="B616" s="69" t="s">
        <v>79</v>
      </c>
      <c r="C616" s="69" t="s">
        <v>80</v>
      </c>
      <c r="D616" s="70" t="s">
        <v>1532</v>
      </c>
      <c r="E616" s="69" t="s">
        <v>3156</v>
      </c>
      <c r="F616" s="69" t="s">
        <v>231</v>
      </c>
      <c r="G616" s="69" t="s">
        <v>54</v>
      </c>
      <c r="H616" s="70">
        <v>2012</v>
      </c>
      <c r="I616" s="69"/>
      <c r="J616" s="69" t="s">
        <v>3202</v>
      </c>
      <c r="K616" s="71" t="s">
        <v>3203</v>
      </c>
      <c r="L616" s="71" t="s">
        <v>3204</v>
      </c>
      <c r="M616" s="71" t="s">
        <v>3205</v>
      </c>
      <c r="N616" s="69" t="s">
        <v>57</v>
      </c>
      <c r="O616" s="64">
        <v>1</v>
      </c>
      <c r="P616" s="72">
        <v>19426.599999999999</v>
      </c>
      <c r="Q616" s="69" t="s">
        <v>3206</v>
      </c>
      <c r="R616" s="69"/>
      <c r="S616" s="121" t="s">
        <v>258</v>
      </c>
      <c r="T616" s="56">
        <v>12</v>
      </c>
      <c r="U616" s="56">
        <v>3</v>
      </c>
    </row>
    <row r="617" spans="1:21" ht="14.25" customHeight="1" x14ac:dyDescent="0.35">
      <c r="A617" s="47">
        <v>601</v>
      </c>
      <c r="B617" s="69" t="s">
        <v>79</v>
      </c>
      <c r="C617" s="69" t="s">
        <v>80</v>
      </c>
      <c r="D617" s="70" t="s">
        <v>1537</v>
      </c>
      <c r="E617" s="69" t="s">
        <v>3156</v>
      </c>
      <c r="F617" s="69" t="s">
        <v>231</v>
      </c>
      <c r="G617" s="69" t="s">
        <v>54</v>
      </c>
      <c r="H617" s="70">
        <v>2012</v>
      </c>
      <c r="I617" s="69"/>
      <c r="J617" s="69" t="s">
        <v>3207</v>
      </c>
      <c r="K617" s="71" t="s">
        <v>3208</v>
      </c>
      <c r="L617" s="71" t="s">
        <v>3209</v>
      </c>
      <c r="M617" s="71" t="s">
        <v>3210</v>
      </c>
      <c r="N617" s="69" t="s">
        <v>57</v>
      </c>
      <c r="O617" s="64">
        <v>1</v>
      </c>
      <c r="P617" s="72">
        <v>19426.599999999999</v>
      </c>
      <c r="Q617" s="69" t="s">
        <v>3211</v>
      </c>
      <c r="R617" s="69"/>
      <c r="S617" s="121" t="s">
        <v>258</v>
      </c>
      <c r="T617" s="56">
        <v>12</v>
      </c>
      <c r="U617" s="56">
        <v>3</v>
      </c>
    </row>
    <row r="618" spans="1:21" ht="14.25" customHeight="1" thickBot="1" x14ac:dyDescent="0.4">
      <c r="A618" s="58">
        <v>602</v>
      </c>
      <c r="B618" s="69" t="s">
        <v>79</v>
      </c>
      <c r="C618" s="69" t="s">
        <v>80</v>
      </c>
      <c r="D618" s="70" t="s">
        <v>1543</v>
      </c>
      <c r="E618" s="69" t="s">
        <v>3156</v>
      </c>
      <c r="F618" s="69" t="s">
        <v>231</v>
      </c>
      <c r="G618" s="69" t="s">
        <v>54</v>
      </c>
      <c r="H618" s="70">
        <v>2012</v>
      </c>
      <c r="I618" s="69"/>
      <c r="J618" s="69" t="s">
        <v>3212</v>
      </c>
      <c r="K618" s="71" t="s">
        <v>3213</v>
      </c>
      <c r="L618" s="71" t="s">
        <v>3214</v>
      </c>
      <c r="M618" s="71" t="s">
        <v>3215</v>
      </c>
      <c r="N618" s="69" t="s">
        <v>57</v>
      </c>
      <c r="O618" s="64">
        <v>1</v>
      </c>
      <c r="P618" s="72">
        <v>19426.599999999999</v>
      </c>
      <c r="Q618" s="69" t="s">
        <v>3216</v>
      </c>
      <c r="R618" s="69"/>
      <c r="S618" s="121" t="s">
        <v>258</v>
      </c>
      <c r="T618" s="56">
        <v>12</v>
      </c>
      <c r="U618" s="56">
        <v>3</v>
      </c>
    </row>
    <row r="619" spans="1:21" ht="14.25" customHeight="1" x14ac:dyDescent="0.35">
      <c r="A619" s="47">
        <v>603</v>
      </c>
      <c r="B619" s="69" t="s">
        <v>79</v>
      </c>
      <c r="C619" s="69" t="s">
        <v>80</v>
      </c>
      <c r="D619" s="70" t="s">
        <v>1548</v>
      </c>
      <c r="E619" s="69" t="s">
        <v>3156</v>
      </c>
      <c r="F619" s="69" t="s">
        <v>231</v>
      </c>
      <c r="G619" s="69" t="s">
        <v>54</v>
      </c>
      <c r="H619" s="70">
        <v>2012</v>
      </c>
      <c r="I619" s="69"/>
      <c r="J619" s="69" t="s">
        <v>3217</v>
      </c>
      <c r="K619" s="71" t="s">
        <v>3218</v>
      </c>
      <c r="L619" s="71" t="s">
        <v>3219</v>
      </c>
      <c r="M619" s="71" t="s">
        <v>3220</v>
      </c>
      <c r="N619" s="69" t="s">
        <v>57</v>
      </c>
      <c r="O619" s="64">
        <v>1</v>
      </c>
      <c r="P619" s="72">
        <v>19426.599999999999</v>
      </c>
      <c r="Q619" s="69" t="s">
        <v>3221</v>
      </c>
      <c r="R619" s="69"/>
      <c r="S619" s="121" t="s">
        <v>258</v>
      </c>
      <c r="T619" s="56">
        <v>12</v>
      </c>
      <c r="U619" s="56">
        <v>3</v>
      </c>
    </row>
    <row r="620" spans="1:21" ht="14.25" customHeight="1" thickBot="1" x14ac:dyDescent="0.4">
      <c r="A620" s="58">
        <v>604</v>
      </c>
      <c r="B620" s="69" t="s">
        <v>79</v>
      </c>
      <c r="C620" s="69" t="s">
        <v>80</v>
      </c>
      <c r="D620" s="70" t="s">
        <v>3222</v>
      </c>
      <c r="E620" s="69" t="s">
        <v>3223</v>
      </c>
      <c r="F620" s="69"/>
      <c r="G620" s="69" t="s">
        <v>63</v>
      </c>
      <c r="H620" s="70">
        <v>2024</v>
      </c>
      <c r="I620" s="69" t="s">
        <v>63</v>
      </c>
      <c r="J620" s="69" t="s">
        <v>63</v>
      </c>
      <c r="K620" s="71" t="s">
        <v>63</v>
      </c>
      <c r="L620" s="71" t="s">
        <v>63</v>
      </c>
      <c r="M620" s="71" t="s">
        <v>63</v>
      </c>
      <c r="N620" s="69" t="s">
        <v>44</v>
      </c>
      <c r="O620" s="64">
        <v>1</v>
      </c>
      <c r="P620" s="72">
        <v>74700</v>
      </c>
      <c r="Q620" s="69" t="s">
        <v>3224</v>
      </c>
      <c r="R620" s="69"/>
      <c r="S620" s="121" t="s">
        <v>258</v>
      </c>
      <c r="T620" s="56">
        <v>12</v>
      </c>
      <c r="U620" s="56">
        <v>3</v>
      </c>
    </row>
    <row r="621" spans="1:21" ht="14.25" customHeight="1" x14ac:dyDescent="0.35">
      <c r="A621" s="47">
        <v>605</v>
      </c>
      <c r="B621" s="69" t="s">
        <v>2244</v>
      </c>
      <c r="C621" s="69" t="s">
        <v>2245</v>
      </c>
      <c r="D621" s="70" t="s">
        <v>3225</v>
      </c>
      <c r="E621" s="69" t="s">
        <v>3226</v>
      </c>
      <c r="F621" s="69"/>
      <c r="G621" s="69" t="s">
        <v>54</v>
      </c>
      <c r="H621" s="70">
        <v>2008</v>
      </c>
      <c r="I621" s="69"/>
      <c r="J621" s="69"/>
      <c r="K621" s="71"/>
      <c r="L621" s="71"/>
      <c r="M621" s="71"/>
      <c r="N621" s="69" t="s">
        <v>57</v>
      </c>
      <c r="O621" s="64">
        <v>1</v>
      </c>
      <c r="P621" s="72">
        <v>51000</v>
      </c>
      <c r="Q621" s="69" t="s">
        <v>3227</v>
      </c>
      <c r="R621" s="69"/>
      <c r="S621" s="121" t="s">
        <v>258</v>
      </c>
      <c r="T621" s="56">
        <v>12</v>
      </c>
      <c r="U621" s="56">
        <v>3</v>
      </c>
    </row>
    <row r="622" spans="1:21" ht="14.25" customHeight="1" thickBot="1" x14ac:dyDescent="0.4">
      <c r="A622" s="58">
        <v>606</v>
      </c>
      <c r="B622" s="69" t="s">
        <v>2244</v>
      </c>
      <c r="C622" s="69" t="s">
        <v>2245</v>
      </c>
      <c r="D622" s="70" t="s">
        <v>97</v>
      </c>
      <c r="E622" s="69" t="s">
        <v>2607</v>
      </c>
      <c r="F622" s="69" t="s">
        <v>231</v>
      </c>
      <c r="G622" s="69" t="s">
        <v>2954</v>
      </c>
      <c r="H622" s="70">
        <v>2015</v>
      </c>
      <c r="I622" s="69"/>
      <c r="J622" s="69" t="s">
        <v>3228</v>
      </c>
      <c r="K622" s="71" t="s">
        <v>3229</v>
      </c>
      <c r="L622" s="71" t="s">
        <v>3230</v>
      </c>
      <c r="M622" s="71" t="s">
        <v>3231</v>
      </c>
      <c r="N622" s="69" t="s">
        <v>57</v>
      </c>
      <c r="O622" s="64">
        <v>1</v>
      </c>
      <c r="P622" s="72">
        <v>33600</v>
      </c>
      <c r="Q622" s="69" t="s">
        <v>3166</v>
      </c>
      <c r="R622" s="69"/>
      <c r="S622" s="121" t="s">
        <v>258</v>
      </c>
      <c r="T622" s="56">
        <v>12</v>
      </c>
      <c r="U622" s="56">
        <v>3</v>
      </c>
    </row>
    <row r="623" spans="1:21" ht="14.25" customHeight="1" x14ac:dyDescent="0.35">
      <c r="A623" s="47">
        <v>607</v>
      </c>
      <c r="B623" s="69" t="s">
        <v>2244</v>
      </c>
      <c r="C623" s="69" t="s">
        <v>2245</v>
      </c>
      <c r="D623" s="70" t="s">
        <v>101</v>
      </c>
      <c r="E623" s="69" t="s">
        <v>2607</v>
      </c>
      <c r="F623" s="69" t="s">
        <v>231</v>
      </c>
      <c r="G623" s="69" t="s">
        <v>140</v>
      </c>
      <c r="H623" s="70">
        <v>2015</v>
      </c>
      <c r="I623" s="69"/>
      <c r="J623" s="69" t="s">
        <v>3232</v>
      </c>
      <c r="K623" s="71" t="s">
        <v>3233</v>
      </c>
      <c r="L623" s="71" t="s">
        <v>3234</v>
      </c>
      <c r="M623" s="71" t="s">
        <v>3235</v>
      </c>
      <c r="N623" s="69" t="s">
        <v>57</v>
      </c>
      <c r="O623" s="64">
        <v>1</v>
      </c>
      <c r="P623" s="72">
        <v>33600</v>
      </c>
      <c r="Q623" s="69" t="s">
        <v>3236</v>
      </c>
      <c r="R623" s="69"/>
      <c r="S623" s="121" t="s">
        <v>258</v>
      </c>
      <c r="T623" s="56">
        <v>12</v>
      </c>
      <c r="U623" s="56">
        <v>3</v>
      </c>
    </row>
    <row r="624" spans="1:21" ht="14.25" customHeight="1" thickBot="1" x14ac:dyDescent="0.4">
      <c r="A624" s="58">
        <v>608</v>
      </c>
      <c r="B624" s="69" t="s">
        <v>2685</v>
      </c>
      <c r="C624" s="69" t="s">
        <v>2686</v>
      </c>
      <c r="D624" s="70" t="s">
        <v>51</v>
      </c>
      <c r="E624" s="69" t="s">
        <v>3237</v>
      </c>
      <c r="F624" s="69"/>
      <c r="G624" s="69" t="s">
        <v>54</v>
      </c>
      <c r="H624" s="70">
        <v>2016</v>
      </c>
      <c r="I624" s="69"/>
      <c r="J624" s="69"/>
      <c r="K624" s="71"/>
      <c r="L624" s="71"/>
      <c r="M624" s="71"/>
      <c r="N624" s="69" t="s">
        <v>57</v>
      </c>
      <c r="O624" s="64">
        <v>1</v>
      </c>
      <c r="P624" s="72">
        <v>31488</v>
      </c>
      <c r="Q624" s="69" t="s">
        <v>3238</v>
      </c>
      <c r="R624" s="69"/>
      <c r="S624" s="121" t="s">
        <v>258</v>
      </c>
      <c r="T624" s="56">
        <v>12</v>
      </c>
      <c r="U624" s="56">
        <v>3</v>
      </c>
    </row>
    <row r="625" spans="1:21" ht="14.25" customHeight="1" x14ac:dyDescent="0.35">
      <c r="A625" s="47">
        <v>609</v>
      </c>
      <c r="B625" s="69" t="s">
        <v>2020</v>
      </c>
      <c r="C625" s="69" t="s">
        <v>2021</v>
      </c>
      <c r="D625" s="70" t="s">
        <v>97</v>
      </c>
      <c r="E625" s="69" t="s">
        <v>3239</v>
      </c>
      <c r="F625" s="69" t="s">
        <v>3240</v>
      </c>
      <c r="G625" s="69" t="s">
        <v>54</v>
      </c>
      <c r="H625" s="70">
        <v>2018</v>
      </c>
      <c r="I625" s="69" t="s">
        <v>63</v>
      </c>
      <c r="J625" s="69" t="s">
        <v>3241</v>
      </c>
      <c r="K625" s="71" t="s">
        <v>3242</v>
      </c>
      <c r="L625" s="71" t="s">
        <v>3243</v>
      </c>
      <c r="M625" s="71" t="s">
        <v>3244</v>
      </c>
      <c r="N625" s="69" t="s">
        <v>57</v>
      </c>
      <c r="O625" s="64">
        <v>1</v>
      </c>
      <c r="P625" s="72">
        <v>438265.59999999998</v>
      </c>
      <c r="Q625" s="69" t="s">
        <v>3245</v>
      </c>
      <c r="R625" s="69"/>
      <c r="S625" s="121" t="s">
        <v>283</v>
      </c>
      <c r="T625" s="56">
        <v>13</v>
      </c>
      <c r="U625" s="56">
        <v>6</v>
      </c>
    </row>
    <row r="626" spans="1:21" ht="14.25" customHeight="1" thickBot="1" x14ac:dyDescent="0.4">
      <c r="A626" s="58">
        <v>610</v>
      </c>
      <c r="B626" s="69" t="s">
        <v>2020</v>
      </c>
      <c r="C626" s="69" t="s">
        <v>2021</v>
      </c>
      <c r="D626" s="70" t="s">
        <v>101</v>
      </c>
      <c r="E626" s="69" t="s">
        <v>3246</v>
      </c>
      <c r="F626" s="69" t="s">
        <v>2023</v>
      </c>
      <c r="G626" s="69" t="s">
        <v>54</v>
      </c>
      <c r="H626" s="70">
        <v>2022</v>
      </c>
      <c r="I626" s="69" t="s">
        <v>63</v>
      </c>
      <c r="J626" s="69" t="s">
        <v>3247</v>
      </c>
      <c r="K626" s="71" t="s">
        <v>3248</v>
      </c>
      <c r="L626" s="71" t="s">
        <v>3249</v>
      </c>
      <c r="M626" s="71" t="s">
        <v>3250</v>
      </c>
      <c r="N626" s="69" t="s">
        <v>44</v>
      </c>
      <c r="O626" s="64">
        <v>1</v>
      </c>
      <c r="P626" s="72">
        <v>622061</v>
      </c>
      <c r="Q626" s="69"/>
      <c r="R626" s="69"/>
      <c r="S626" s="121" t="s">
        <v>283</v>
      </c>
      <c r="T626" s="56">
        <v>13</v>
      </c>
      <c r="U626" s="56">
        <v>6</v>
      </c>
    </row>
    <row r="627" spans="1:21" ht="14.25" customHeight="1" x14ac:dyDescent="0.35">
      <c r="A627" s="47">
        <v>611</v>
      </c>
      <c r="B627" s="69" t="s">
        <v>2020</v>
      </c>
      <c r="C627" s="69" t="s">
        <v>2021</v>
      </c>
      <c r="D627" s="70" t="s">
        <v>107</v>
      </c>
      <c r="E627" s="69" t="s">
        <v>3251</v>
      </c>
      <c r="F627" s="69">
        <v>4009</v>
      </c>
      <c r="G627" s="69" t="s">
        <v>140</v>
      </c>
      <c r="H627" s="70">
        <v>2023</v>
      </c>
      <c r="I627" s="69" t="s">
        <v>63</v>
      </c>
      <c r="J627" s="69" t="s">
        <v>3252</v>
      </c>
      <c r="K627" s="71" t="s">
        <v>3253</v>
      </c>
      <c r="L627" s="71" t="s">
        <v>3254</v>
      </c>
      <c r="M627" s="71" t="s">
        <v>3255</v>
      </c>
      <c r="N627" s="69" t="s">
        <v>44</v>
      </c>
      <c r="O627" s="64">
        <v>1</v>
      </c>
      <c r="P627" s="72">
        <v>562700</v>
      </c>
      <c r="Q627" s="69" t="s">
        <v>3256</v>
      </c>
      <c r="R627" s="69"/>
      <c r="S627" s="121" t="s">
        <v>283</v>
      </c>
      <c r="T627" s="56">
        <v>13</v>
      </c>
      <c r="U627" s="56">
        <v>6</v>
      </c>
    </row>
    <row r="628" spans="1:21" ht="14.25" customHeight="1" thickBot="1" x14ac:dyDescent="0.4">
      <c r="A628" s="58">
        <v>612</v>
      </c>
      <c r="B628" s="69" t="s">
        <v>3257</v>
      </c>
      <c r="C628" s="69" t="s">
        <v>3258</v>
      </c>
      <c r="D628" s="70" t="s">
        <v>51</v>
      </c>
      <c r="E628" s="69" t="s">
        <v>3259</v>
      </c>
      <c r="F628" s="69"/>
      <c r="G628" s="69" t="s">
        <v>140</v>
      </c>
      <c r="H628" s="70">
        <v>2025</v>
      </c>
      <c r="I628" s="69" t="s">
        <v>63</v>
      </c>
      <c r="J628" s="69" t="s">
        <v>3260</v>
      </c>
      <c r="K628" s="71" t="s">
        <v>3261</v>
      </c>
      <c r="L628" s="71" t="s">
        <v>3262</v>
      </c>
      <c r="M628" s="71" t="s">
        <v>3263</v>
      </c>
      <c r="N628" s="69" t="s">
        <v>44</v>
      </c>
      <c r="O628" s="64">
        <v>1</v>
      </c>
      <c r="P628" s="72">
        <v>478000</v>
      </c>
      <c r="Q628" s="69" t="s">
        <v>3264</v>
      </c>
      <c r="R628" s="69"/>
      <c r="S628" s="121" t="s">
        <v>283</v>
      </c>
      <c r="T628" s="56">
        <v>13</v>
      </c>
      <c r="U628" s="56">
        <v>4</v>
      </c>
    </row>
    <row r="629" spans="1:21" ht="14.25" customHeight="1" x14ac:dyDescent="0.35">
      <c r="A629" s="47">
        <v>613</v>
      </c>
      <c r="B629" s="69" t="s">
        <v>2064</v>
      </c>
      <c r="C629" s="69" t="s">
        <v>2065</v>
      </c>
      <c r="D629" s="70" t="s">
        <v>51</v>
      </c>
      <c r="E629" s="69" t="s">
        <v>3265</v>
      </c>
      <c r="F629" s="69" t="s">
        <v>2023</v>
      </c>
      <c r="G629" s="69" t="s">
        <v>140</v>
      </c>
      <c r="H629" s="70">
        <v>2017</v>
      </c>
      <c r="I629" s="69" t="s">
        <v>63</v>
      </c>
      <c r="J629" s="69" t="s">
        <v>3266</v>
      </c>
      <c r="K629" s="71" t="s">
        <v>3267</v>
      </c>
      <c r="L629" s="71" t="s">
        <v>3268</v>
      </c>
      <c r="M629" s="71" t="s">
        <v>3269</v>
      </c>
      <c r="N629" s="69" t="s">
        <v>57</v>
      </c>
      <c r="O629" s="64">
        <v>1</v>
      </c>
      <c r="P629" s="72">
        <v>361368.2</v>
      </c>
      <c r="Q629" s="69" t="s">
        <v>3270</v>
      </c>
      <c r="R629" s="69"/>
      <c r="S629" s="121" t="s">
        <v>283</v>
      </c>
      <c r="T629" s="56">
        <v>13</v>
      </c>
      <c r="U629" s="56">
        <v>6</v>
      </c>
    </row>
    <row r="630" spans="1:21" ht="14.25" customHeight="1" thickBot="1" x14ac:dyDescent="0.4">
      <c r="A630" s="58">
        <v>614</v>
      </c>
      <c r="B630" s="69" t="s">
        <v>2064</v>
      </c>
      <c r="C630" s="69" t="s">
        <v>2065</v>
      </c>
      <c r="D630" s="70" t="s">
        <v>59</v>
      </c>
      <c r="E630" s="69" t="s">
        <v>3265</v>
      </c>
      <c r="F630" s="69" t="s">
        <v>2023</v>
      </c>
      <c r="G630" s="69" t="s">
        <v>140</v>
      </c>
      <c r="H630" s="70">
        <v>2017</v>
      </c>
      <c r="I630" s="69" t="s">
        <v>63</v>
      </c>
      <c r="J630" s="69" t="s">
        <v>3271</v>
      </c>
      <c r="K630" s="71" t="s">
        <v>3272</v>
      </c>
      <c r="L630" s="71" t="s">
        <v>3273</v>
      </c>
      <c r="M630" s="71" t="s">
        <v>3274</v>
      </c>
      <c r="N630" s="69" t="s">
        <v>57</v>
      </c>
      <c r="O630" s="64">
        <v>1</v>
      </c>
      <c r="P630" s="72">
        <v>361368.2</v>
      </c>
      <c r="Q630" s="69" t="s">
        <v>3270</v>
      </c>
      <c r="R630" s="69"/>
      <c r="S630" s="121" t="s">
        <v>283</v>
      </c>
      <c r="T630" s="56">
        <v>13</v>
      </c>
      <c r="U630" s="56">
        <v>6</v>
      </c>
    </row>
    <row r="631" spans="1:21" ht="14.25" customHeight="1" x14ac:dyDescent="0.35">
      <c r="A631" s="47">
        <v>615</v>
      </c>
      <c r="B631" s="69" t="s">
        <v>70</v>
      </c>
      <c r="C631" s="69" t="s">
        <v>71</v>
      </c>
      <c r="D631" s="70" t="s">
        <v>51</v>
      </c>
      <c r="E631" s="69" t="s">
        <v>3275</v>
      </c>
      <c r="F631" s="69" t="s">
        <v>2015</v>
      </c>
      <c r="G631" s="69" t="s">
        <v>247</v>
      </c>
      <c r="H631" s="70">
        <v>2008</v>
      </c>
      <c r="I631" s="69" t="s">
        <v>63</v>
      </c>
      <c r="J631" s="69" t="s">
        <v>3276</v>
      </c>
      <c r="K631" s="71" t="s">
        <v>3277</v>
      </c>
      <c r="L631" s="71" t="s">
        <v>3278</v>
      </c>
      <c r="M631" s="71" t="s">
        <v>63</v>
      </c>
      <c r="N631" s="69" t="s">
        <v>57</v>
      </c>
      <c r="O631" s="64">
        <v>1</v>
      </c>
      <c r="P631" s="72">
        <v>149625</v>
      </c>
      <c r="Q631" s="69" t="s">
        <v>3279</v>
      </c>
      <c r="R631" s="69"/>
      <c r="S631" s="121" t="s">
        <v>283</v>
      </c>
      <c r="T631" s="56">
        <v>13</v>
      </c>
      <c r="U631" s="56">
        <v>4</v>
      </c>
    </row>
    <row r="632" spans="1:21" ht="14.25" customHeight="1" thickBot="1" x14ac:dyDescent="0.4">
      <c r="A632" s="58">
        <v>616</v>
      </c>
      <c r="B632" s="69" t="s">
        <v>70</v>
      </c>
      <c r="C632" s="69" t="s">
        <v>71</v>
      </c>
      <c r="D632" s="70" t="s">
        <v>59</v>
      </c>
      <c r="E632" s="69" t="s">
        <v>3280</v>
      </c>
      <c r="F632" s="69" t="s">
        <v>1582</v>
      </c>
      <c r="G632" s="69" t="s">
        <v>140</v>
      </c>
      <c r="H632" s="70">
        <v>2017</v>
      </c>
      <c r="I632" s="69" t="s">
        <v>63</v>
      </c>
      <c r="J632" s="69" t="s">
        <v>3281</v>
      </c>
      <c r="K632" s="71" t="s">
        <v>3282</v>
      </c>
      <c r="L632" s="71" t="s">
        <v>3283</v>
      </c>
      <c r="M632" s="71" t="s">
        <v>3284</v>
      </c>
      <c r="N632" s="69" t="s">
        <v>57</v>
      </c>
      <c r="O632" s="64">
        <v>1</v>
      </c>
      <c r="P632" s="72">
        <v>147400</v>
      </c>
      <c r="Q632" s="69" t="s">
        <v>3270</v>
      </c>
      <c r="R632" s="69"/>
      <c r="S632" s="121" t="s">
        <v>283</v>
      </c>
      <c r="T632" s="56">
        <v>13</v>
      </c>
      <c r="U632" s="56">
        <v>4</v>
      </c>
    </row>
    <row r="633" spans="1:21" ht="14.25" customHeight="1" x14ac:dyDescent="0.35">
      <c r="A633" s="47">
        <v>617</v>
      </c>
      <c r="B633" s="69" t="s">
        <v>70</v>
      </c>
      <c r="C633" s="69" t="s">
        <v>71</v>
      </c>
      <c r="D633" s="70" t="s">
        <v>904</v>
      </c>
      <c r="E633" s="69" t="s">
        <v>3285</v>
      </c>
      <c r="F633" s="69" t="s">
        <v>3286</v>
      </c>
      <c r="G633" s="69" t="s">
        <v>54</v>
      </c>
      <c r="H633" s="70">
        <v>2022</v>
      </c>
      <c r="I633" s="69" t="s">
        <v>63</v>
      </c>
      <c r="J633" s="69" t="s">
        <v>3287</v>
      </c>
      <c r="K633" s="71" t="s">
        <v>3288</v>
      </c>
      <c r="L633" s="71" t="s">
        <v>3289</v>
      </c>
      <c r="M633" s="71" t="s">
        <v>3290</v>
      </c>
      <c r="N633" s="69" t="s">
        <v>44</v>
      </c>
      <c r="O633" s="64">
        <v>1</v>
      </c>
      <c r="P633" s="72">
        <v>499333.5</v>
      </c>
      <c r="Q633" s="69" t="s">
        <v>3291</v>
      </c>
      <c r="R633" s="69"/>
      <c r="S633" s="121" t="s">
        <v>283</v>
      </c>
      <c r="T633" s="56">
        <v>13</v>
      </c>
      <c r="U633" s="56">
        <v>4</v>
      </c>
    </row>
    <row r="634" spans="1:21" ht="14.25" customHeight="1" thickBot="1" x14ac:dyDescent="0.4">
      <c r="A634" s="58">
        <v>618</v>
      </c>
      <c r="B634" s="69" t="s">
        <v>70</v>
      </c>
      <c r="C634" s="69" t="s">
        <v>71</v>
      </c>
      <c r="D634" s="70" t="s">
        <v>122</v>
      </c>
      <c r="E634" s="69" t="s">
        <v>3292</v>
      </c>
      <c r="F634" s="69">
        <v>2393</v>
      </c>
      <c r="G634" s="69" t="s">
        <v>140</v>
      </c>
      <c r="H634" s="70">
        <v>2023</v>
      </c>
      <c r="I634" s="69" t="s">
        <v>63</v>
      </c>
      <c r="J634" s="69" t="s">
        <v>3293</v>
      </c>
      <c r="K634" s="71" t="s">
        <v>3294</v>
      </c>
      <c r="L634" s="71" t="s">
        <v>3295</v>
      </c>
      <c r="M634" s="71" t="s">
        <v>3296</v>
      </c>
      <c r="N634" s="69" t="s">
        <v>44</v>
      </c>
      <c r="O634" s="64">
        <v>1</v>
      </c>
      <c r="P634" s="72">
        <v>519700</v>
      </c>
      <c r="Q634" s="69" t="s">
        <v>3297</v>
      </c>
      <c r="R634" s="69"/>
      <c r="S634" s="121" t="s">
        <v>283</v>
      </c>
      <c r="T634" s="56">
        <v>13</v>
      </c>
      <c r="U634" s="56">
        <v>4</v>
      </c>
    </row>
    <row r="635" spans="1:21" ht="14.25" customHeight="1" x14ac:dyDescent="0.35">
      <c r="A635" s="47">
        <v>619</v>
      </c>
      <c r="B635" s="69" t="s">
        <v>79</v>
      </c>
      <c r="C635" s="69" t="s">
        <v>80</v>
      </c>
      <c r="D635" s="70" t="s">
        <v>51</v>
      </c>
      <c r="E635" s="69" t="s">
        <v>147</v>
      </c>
      <c r="F635" s="69" t="s">
        <v>148</v>
      </c>
      <c r="G635" s="69" t="s">
        <v>140</v>
      </c>
      <c r="H635" s="70">
        <v>2015</v>
      </c>
      <c r="I635" s="69"/>
      <c r="J635" s="69" t="s">
        <v>3298</v>
      </c>
      <c r="K635" s="71" t="s">
        <v>3299</v>
      </c>
      <c r="L635" s="71" t="s">
        <v>3300</v>
      </c>
      <c r="M635" s="71" t="s">
        <v>3301</v>
      </c>
      <c r="N635" s="69" t="s">
        <v>57</v>
      </c>
      <c r="O635" s="64">
        <v>1</v>
      </c>
      <c r="P635" s="72">
        <v>19430</v>
      </c>
      <c r="Q635" s="69" t="s">
        <v>3302</v>
      </c>
      <c r="R635" s="69"/>
      <c r="S635" s="121" t="s">
        <v>283</v>
      </c>
      <c r="T635" s="56">
        <v>13</v>
      </c>
      <c r="U635" s="56">
        <v>3</v>
      </c>
    </row>
    <row r="636" spans="1:21" ht="14.25" customHeight="1" thickBot="1" x14ac:dyDescent="0.4">
      <c r="A636" s="58">
        <v>620</v>
      </c>
      <c r="B636" s="69" t="s">
        <v>79</v>
      </c>
      <c r="C636" s="69" t="s">
        <v>80</v>
      </c>
      <c r="D636" s="70" t="s">
        <v>59</v>
      </c>
      <c r="E636" s="69" t="s">
        <v>3303</v>
      </c>
      <c r="F636" s="69" t="s">
        <v>443</v>
      </c>
      <c r="G636" s="69" t="s">
        <v>54</v>
      </c>
      <c r="H636" s="70">
        <v>2013</v>
      </c>
      <c r="I636" s="69" t="s">
        <v>63</v>
      </c>
      <c r="J636" s="69" t="s">
        <v>3304</v>
      </c>
      <c r="K636" s="71" t="s">
        <v>3305</v>
      </c>
      <c r="L636" s="71" t="s">
        <v>3306</v>
      </c>
      <c r="M636" s="71" t="s">
        <v>3307</v>
      </c>
      <c r="N636" s="69" t="s">
        <v>57</v>
      </c>
      <c r="O636" s="64">
        <v>1</v>
      </c>
      <c r="P636" s="72">
        <v>13055.5</v>
      </c>
      <c r="Q636" s="69" t="s">
        <v>283</v>
      </c>
      <c r="R636" s="69"/>
      <c r="S636" s="121" t="s">
        <v>283</v>
      </c>
      <c r="T636" s="56">
        <v>13</v>
      </c>
      <c r="U636" s="56">
        <v>3</v>
      </c>
    </row>
    <row r="637" spans="1:21" ht="14.25" customHeight="1" x14ac:dyDescent="0.35">
      <c r="A637" s="47">
        <v>621</v>
      </c>
      <c r="B637" s="69" t="s">
        <v>79</v>
      </c>
      <c r="C637" s="69" t="s">
        <v>80</v>
      </c>
      <c r="D637" s="70" t="s">
        <v>97</v>
      </c>
      <c r="E637" s="69" t="s">
        <v>3308</v>
      </c>
      <c r="F637" s="69" t="s">
        <v>163</v>
      </c>
      <c r="G637" s="69" t="s">
        <v>140</v>
      </c>
      <c r="H637" s="70">
        <v>2014</v>
      </c>
      <c r="I637" s="69"/>
      <c r="J637" s="69" t="s">
        <v>3309</v>
      </c>
      <c r="K637" s="71" t="s">
        <v>3310</v>
      </c>
      <c r="L637" s="71" t="s">
        <v>3311</v>
      </c>
      <c r="M637" s="71" t="s">
        <v>3312</v>
      </c>
      <c r="N637" s="69" t="s">
        <v>57</v>
      </c>
      <c r="O637" s="64">
        <v>1</v>
      </c>
      <c r="P637" s="72">
        <v>14403.12</v>
      </c>
      <c r="Q637" s="69" t="s">
        <v>3313</v>
      </c>
      <c r="R637" s="69"/>
      <c r="S637" s="121" t="s">
        <v>283</v>
      </c>
      <c r="T637" s="56">
        <v>13</v>
      </c>
      <c r="U637" s="56">
        <v>3</v>
      </c>
    </row>
    <row r="638" spans="1:21" ht="14.25" customHeight="1" thickBot="1" x14ac:dyDescent="0.4">
      <c r="A638" s="58">
        <v>622</v>
      </c>
      <c r="B638" s="69" t="s">
        <v>79</v>
      </c>
      <c r="C638" s="69" t="s">
        <v>80</v>
      </c>
      <c r="D638" s="70" t="s">
        <v>101</v>
      </c>
      <c r="E638" s="69" t="s">
        <v>1377</v>
      </c>
      <c r="F638" s="69" t="s">
        <v>1378</v>
      </c>
      <c r="G638" s="69" t="s">
        <v>140</v>
      </c>
      <c r="H638" s="70">
        <v>2014</v>
      </c>
      <c r="I638" s="69"/>
      <c r="J638" s="69" t="s">
        <v>3314</v>
      </c>
      <c r="K638" s="71" t="s">
        <v>3315</v>
      </c>
      <c r="L638" s="71" t="s">
        <v>3316</v>
      </c>
      <c r="M638" s="71" t="s">
        <v>3317</v>
      </c>
      <c r="N638" s="69" t="s">
        <v>57</v>
      </c>
      <c r="O638" s="64">
        <v>1</v>
      </c>
      <c r="P638" s="72">
        <v>19189.532999999999</v>
      </c>
      <c r="Q638" s="69" t="s">
        <v>283</v>
      </c>
      <c r="R638" s="69"/>
      <c r="S638" s="121" t="s">
        <v>283</v>
      </c>
      <c r="T638" s="56">
        <v>13</v>
      </c>
      <c r="U638" s="56">
        <v>3</v>
      </c>
    </row>
    <row r="639" spans="1:21" ht="14.25" customHeight="1" x14ac:dyDescent="0.35">
      <c r="A639" s="47">
        <v>623</v>
      </c>
      <c r="B639" s="69" t="s">
        <v>79</v>
      </c>
      <c r="C639" s="69" t="s">
        <v>80</v>
      </c>
      <c r="D639" s="70" t="s">
        <v>107</v>
      </c>
      <c r="E639" s="69" t="s">
        <v>1860</v>
      </c>
      <c r="F639" s="69" t="s">
        <v>202</v>
      </c>
      <c r="G639" s="69" t="s">
        <v>54</v>
      </c>
      <c r="H639" s="70">
        <v>2012</v>
      </c>
      <c r="I639" s="69"/>
      <c r="J639" s="69" t="s">
        <v>3318</v>
      </c>
      <c r="K639" s="71" t="s">
        <v>3319</v>
      </c>
      <c r="L639" s="71" t="s">
        <v>3320</v>
      </c>
      <c r="M639" s="71" t="s">
        <v>3321</v>
      </c>
      <c r="N639" s="69" t="s">
        <v>57</v>
      </c>
      <c r="O639" s="64">
        <v>1</v>
      </c>
      <c r="P639" s="72">
        <v>13177.55</v>
      </c>
      <c r="Q639" s="69" t="s">
        <v>3302</v>
      </c>
      <c r="R639" s="69"/>
      <c r="S639" s="121" t="s">
        <v>283</v>
      </c>
      <c r="T639" s="56">
        <v>13</v>
      </c>
      <c r="U639" s="56">
        <v>3</v>
      </c>
    </row>
    <row r="640" spans="1:21" ht="14.25" customHeight="1" thickBot="1" x14ac:dyDescent="0.4">
      <c r="A640" s="58">
        <v>624</v>
      </c>
      <c r="B640" s="69" t="s">
        <v>79</v>
      </c>
      <c r="C640" s="69" t="s">
        <v>80</v>
      </c>
      <c r="D640" s="70" t="s">
        <v>112</v>
      </c>
      <c r="E640" s="69" t="s">
        <v>3303</v>
      </c>
      <c r="F640" s="69" t="s">
        <v>443</v>
      </c>
      <c r="G640" s="69" t="s">
        <v>54</v>
      </c>
      <c r="H640" s="70">
        <v>2013</v>
      </c>
      <c r="I640" s="69" t="s">
        <v>63</v>
      </c>
      <c r="J640" s="69" t="s">
        <v>3322</v>
      </c>
      <c r="K640" s="71" t="s">
        <v>3323</v>
      </c>
      <c r="L640" s="71" t="s">
        <v>3324</v>
      </c>
      <c r="M640" s="71" t="s">
        <v>3325</v>
      </c>
      <c r="N640" s="69" t="s">
        <v>57</v>
      </c>
      <c r="O640" s="64">
        <v>1</v>
      </c>
      <c r="P640" s="72">
        <v>13055.5</v>
      </c>
      <c r="Q640" s="69" t="s">
        <v>283</v>
      </c>
      <c r="R640" s="69"/>
      <c r="S640" s="121" t="s">
        <v>283</v>
      </c>
      <c r="T640" s="56">
        <v>13</v>
      </c>
      <c r="U640" s="56">
        <v>3</v>
      </c>
    </row>
    <row r="641" spans="1:21" ht="14.25" customHeight="1" x14ac:dyDescent="0.35">
      <c r="A641" s="47">
        <v>625</v>
      </c>
      <c r="B641" s="69" t="s">
        <v>79</v>
      </c>
      <c r="C641" s="69" t="s">
        <v>80</v>
      </c>
      <c r="D641" s="70" t="s">
        <v>116</v>
      </c>
      <c r="E641" s="69" t="s">
        <v>3088</v>
      </c>
      <c r="F641" s="69" t="s">
        <v>1433</v>
      </c>
      <c r="G641" s="69" t="s">
        <v>54</v>
      </c>
      <c r="H641" s="70">
        <v>2012</v>
      </c>
      <c r="I641" s="69"/>
      <c r="J641" s="69" t="s">
        <v>3326</v>
      </c>
      <c r="K641" s="71" t="s">
        <v>3327</v>
      </c>
      <c r="L641" s="71" t="s">
        <v>3328</v>
      </c>
      <c r="M641" s="71" t="s">
        <v>3329</v>
      </c>
      <c r="N641" s="69" t="s">
        <v>57</v>
      </c>
      <c r="O641" s="64">
        <v>1</v>
      </c>
      <c r="P641" s="72">
        <v>15459.15</v>
      </c>
      <c r="Q641" s="69"/>
      <c r="R641" s="69"/>
      <c r="S641" s="121" t="s">
        <v>283</v>
      </c>
      <c r="T641" s="56">
        <v>13</v>
      </c>
      <c r="U641" s="56">
        <v>3</v>
      </c>
    </row>
    <row r="642" spans="1:21" ht="14.25" customHeight="1" thickBot="1" x14ac:dyDescent="0.4">
      <c r="A642" s="58">
        <v>626</v>
      </c>
      <c r="B642" s="69" t="s">
        <v>79</v>
      </c>
      <c r="C642" s="69" t="s">
        <v>80</v>
      </c>
      <c r="D642" s="70" t="s">
        <v>841</v>
      </c>
      <c r="E642" s="69" t="s">
        <v>3330</v>
      </c>
      <c r="F642" s="69" t="s">
        <v>231</v>
      </c>
      <c r="G642" s="69" t="s">
        <v>2954</v>
      </c>
      <c r="H642" s="70">
        <v>2014</v>
      </c>
      <c r="I642" s="69"/>
      <c r="J642" s="69" t="s">
        <v>3331</v>
      </c>
      <c r="K642" s="71" t="s">
        <v>3332</v>
      </c>
      <c r="L642" s="71" t="s">
        <v>3333</v>
      </c>
      <c r="M642" s="71" t="s">
        <v>3334</v>
      </c>
      <c r="N642" s="69" t="s">
        <v>57</v>
      </c>
      <c r="O642" s="64">
        <v>1</v>
      </c>
      <c r="P642" s="72">
        <v>27500</v>
      </c>
      <c r="Q642" s="69" t="s">
        <v>3302</v>
      </c>
      <c r="R642" s="69"/>
      <c r="S642" s="121" t="s">
        <v>283</v>
      </c>
      <c r="T642" s="56">
        <v>13</v>
      </c>
      <c r="U642" s="56">
        <v>3</v>
      </c>
    </row>
    <row r="643" spans="1:21" ht="14.25" customHeight="1" x14ac:dyDescent="0.35">
      <c r="A643" s="47">
        <v>627</v>
      </c>
      <c r="B643" s="69" t="s">
        <v>79</v>
      </c>
      <c r="C643" s="69" t="s">
        <v>80</v>
      </c>
      <c r="D643" s="70" t="s">
        <v>904</v>
      </c>
      <c r="E643" s="69" t="s">
        <v>1110</v>
      </c>
      <c r="F643" s="69" t="s">
        <v>163</v>
      </c>
      <c r="G643" s="69" t="s">
        <v>140</v>
      </c>
      <c r="H643" s="70">
        <v>2017</v>
      </c>
      <c r="I643" s="69" t="s">
        <v>63</v>
      </c>
      <c r="J643" s="69" t="s">
        <v>3335</v>
      </c>
      <c r="K643" s="71" t="s">
        <v>3336</v>
      </c>
      <c r="L643" s="71" t="s">
        <v>3337</v>
      </c>
      <c r="M643" s="71" t="s">
        <v>3338</v>
      </c>
      <c r="N643" s="69" t="s">
        <v>57</v>
      </c>
      <c r="O643" s="64">
        <v>1</v>
      </c>
      <c r="P643" s="72">
        <v>15846.6</v>
      </c>
      <c r="Q643" s="69" t="s">
        <v>3270</v>
      </c>
      <c r="R643" s="69"/>
      <c r="S643" s="121" t="s">
        <v>283</v>
      </c>
      <c r="T643" s="56">
        <v>13</v>
      </c>
      <c r="U643" s="56">
        <v>3</v>
      </c>
    </row>
    <row r="644" spans="1:21" ht="14.25" customHeight="1" thickBot="1" x14ac:dyDescent="0.4">
      <c r="A644" s="58">
        <v>628</v>
      </c>
      <c r="B644" s="69" t="s">
        <v>79</v>
      </c>
      <c r="C644" s="69" t="s">
        <v>80</v>
      </c>
      <c r="D644" s="70" t="s">
        <v>122</v>
      </c>
      <c r="E644" s="69" t="s">
        <v>3339</v>
      </c>
      <c r="F644" s="69" t="s">
        <v>246</v>
      </c>
      <c r="G644" s="69" t="s">
        <v>54</v>
      </c>
      <c r="H644" s="70">
        <v>2022</v>
      </c>
      <c r="I644" s="69" t="s">
        <v>63</v>
      </c>
      <c r="J644" s="69" t="s">
        <v>3340</v>
      </c>
      <c r="K644" s="71" t="s">
        <v>3341</v>
      </c>
      <c r="L644" s="71" t="s">
        <v>3342</v>
      </c>
      <c r="M644" s="71" t="s">
        <v>3343</v>
      </c>
      <c r="N644" s="69" t="s">
        <v>44</v>
      </c>
      <c r="O644" s="64">
        <v>1</v>
      </c>
      <c r="P644" s="72">
        <v>19234.807000000001</v>
      </c>
      <c r="Q644" s="69"/>
      <c r="R644" s="69"/>
      <c r="S644" s="121" t="s">
        <v>283</v>
      </c>
      <c r="T644" s="56">
        <v>13</v>
      </c>
      <c r="U644" s="56">
        <v>3</v>
      </c>
    </row>
    <row r="645" spans="1:21" ht="14.25" customHeight="1" x14ac:dyDescent="0.35">
      <c r="A645" s="47">
        <v>629</v>
      </c>
      <c r="B645" s="69" t="s">
        <v>79</v>
      </c>
      <c r="C645" s="69" t="s">
        <v>80</v>
      </c>
      <c r="D645" s="70" t="s">
        <v>132</v>
      </c>
      <c r="E645" s="69" t="s">
        <v>3339</v>
      </c>
      <c r="F645" s="69" t="s">
        <v>246</v>
      </c>
      <c r="G645" s="69" t="s">
        <v>54</v>
      </c>
      <c r="H645" s="70">
        <v>2022</v>
      </c>
      <c r="I645" s="69" t="s">
        <v>63</v>
      </c>
      <c r="J645" s="69" t="s">
        <v>3344</v>
      </c>
      <c r="K645" s="71" t="s">
        <v>3345</v>
      </c>
      <c r="L645" s="71" t="s">
        <v>3346</v>
      </c>
      <c r="M645" s="71" t="s">
        <v>3347</v>
      </c>
      <c r="N645" s="69" t="s">
        <v>44</v>
      </c>
      <c r="O645" s="64">
        <v>1</v>
      </c>
      <c r="P645" s="72">
        <v>19234.807000000001</v>
      </c>
      <c r="Q645" s="69"/>
      <c r="R645" s="69"/>
      <c r="S645" s="121" t="s">
        <v>283</v>
      </c>
      <c r="T645" s="56">
        <v>13</v>
      </c>
      <c r="U645" s="56">
        <v>3</v>
      </c>
    </row>
    <row r="646" spans="1:21" ht="14.25" customHeight="1" thickBot="1" x14ac:dyDescent="0.4">
      <c r="A646" s="58">
        <v>630</v>
      </c>
      <c r="B646" s="69" t="s">
        <v>79</v>
      </c>
      <c r="C646" s="69" t="s">
        <v>80</v>
      </c>
      <c r="D646" s="70" t="s">
        <v>137</v>
      </c>
      <c r="E646" s="69" t="s">
        <v>3339</v>
      </c>
      <c r="F646" s="69" t="s">
        <v>246</v>
      </c>
      <c r="G646" s="69" t="s">
        <v>54</v>
      </c>
      <c r="H646" s="70">
        <v>2022</v>
      </c>
      <c r="I646" s="69" t="s">
        <v>63</v>
      </c>
      <c r="J646" s="69" t="s">
        <v>3348</v>
      </c>
      <c r="K646" s="71" t="s">
        <v>3349</v>
      </c>
      <c r="L646" s="71" t="s">
        <v>3350</v>
      </c>
      <c r="M646" s="71" t="s">
        <v>3351</v>
      </c>
      <c r="N646" s="69" t="s">
        <v>44</v>
      </c>
      <c r="O646" s="64">
        <v>1</v>
      </c>
      <c r="P646" s="72">
        <v>19234.807000000001</v>
      </c>
      <c r="Q646" s="69"/>
      <c r="R646" s="69"/>
      <c r="S646" s="121" t="s">
        <v>283</v>
      </c>
      <c r="T646" s="56">
        <v>13</v>
      </c>
      <c r="U646" s="56">
        <v>3</v>
      </c>
    </row>
    <row r="647" spans="1:21" ht="14.25" customHeight="1" x14ac:dyDescent="0.35">
      <c r="A647" s="47">
        <v>631</v>
      </c>
      <c r="B647" s="69" t="s">
        <v>79</v>
      </c>
      <c r="C647" s="69" t="s">
        <v>80</v>
      </c>
      <c r="D647" s="70" t="s">
        <v>146</v>
      </c>
      <c r="E647" s="69" t="s">
        <v>3352</v>
      </c>
      <c r="F647" s="69" t="s">
        <v>3353</v>
      </c>
      <c r="G647" s="69" t="s">
        <v>54</v>
      </c>
      <c r="H647" s="70">
        <v>2022</v>
      </c>
      <c r="I647" s="69" t="s">
        <v>63</v>
      </c>
      <c r="J647" s="69" t="s">
        <v>3354</v>
      </c>
      <c r="K647" s="71" t="s">
        <v>3355</v>
      </c>
      <c r="L647" s="71" t="s">
        <v>3356</v>
      </c>
      <c r="M647" s="71" t="s">
        <v>3357</v>
      </c>
      <c r="N647" s="69" t="s">
        <v>44</v>
      </c>
      <c r="O647" s="64">
        <v>1</v>
      </c>
      <c r="P647" s="72">
        <v>56550</v>
      </c>
      <c r="Q647" s="69"/>
      <c r="R647" s="69"/>
      <c r="S647" s="121" t="s">
        <v>283</v>
      </c>
      <c r="T647" s="56">
        <v>13</v>
      </c>
      <c r="U647" s="56">
        <v>3</v>
      </c>
    </row>
    <row r="648" spans="1:21" ht="14.25" customHeight="1" thickBot="1" x14ac:dyDescent="0.4">
      <c r="A648" s="58">
        <v>632</v>
      </c>
      <c r="B648" s="69" t="s">
        <v>79</v>
      </c>
      <c r="C648" s="69" t="s">
        <v>80</v>
      </c>
      <c r="D648" s="70" t="s">
        <v>161</v>
      </c>
      <c r="E648" s="69" t="s">
        <v>3352</v>
      </c>
      <c r="F648" s="69" t="s">
        <v>3353</v>
      </c>
      <c r="G648" s="69" t="s">
        <v>54</v>
      </c>
      <c r="H648" s="70">
        <v>2022</v>
      </c>
      <c r="I648" s="69" t="s">
        <v>63</v>
      </c>
      <c r="J648" s="69" t="s">
        <v>3358</v>
      </c>
      <c r="K648" s="71" t="s">
        <v>3359</v>
      </c>
      <c r="L648" s="71" t="s">
        <v>3360</v>
      </c>
      <c r="M648" s="71" t="s">
        <v>3361</v>
      </c>
      <c r="N648" s="69" t="s">
        <v>44</v>
      </c>
      <c r="O648" s="64">
        <v>1</v>
      </c>
      <c r="P648" s="72">
        <v>56550</v>
      </c>
      <c r="Q648" s="69"/>
      <c r="R648" s="69"/>
      <c r="S648" s="121" t="s">
        <v>283</v>
      </c>
      <c r="T648" s="56">
        <v>13</v>
      </c>
      <c r="U648" s="56">
        <v>3</v>
      </c>
    </row>
    <row r="649" spans="1:21" ht="14.25" customHeight="1" x14ac:dyDescent="0.35">
      <c r="A649" s="47">
        <v>633</v>
      </c>
      <c r="B649" s="69" t="s">
        <v>79</v>
      </c>
      <c r="C649" s="69" t="s">
        <v>80</v>
      </c>
      <c r="D649" s="70" t="s">
        <v>169</v>
      </c>
      <c r="E649" s="69" t="s">
        <v>3352</v>
      </c>
      <c r="F649" s="69" t="s">
        <v>3353</v>
      </c>
      <c r="G649" s="69" t="s">
        <v>54</v>
      </c>
      <c r="H649" s="70">
        <v>2022</v>
      </c>
      <c r="I649" s="69" t="s">
        <v>63</v>
      </c>
      <c r="J649" s="69" t="s">
        <v>3362</v>
      </c>
      <c r="K649" s="71" t="s">
        <v>3363</v>
      </c>
      <c r="L649" s="71" t="s">
        <v>3364</v>
      </c>
      <c r="M649" s="71" t="s">
        <v>3365</v>
      </c>
      <c r="N649" s="69" t="s">
        <v>44</v>
      </c>
      <c r="O649" s="64">
        <v>1</v>
      </c>
      <c r="P649" s="72">
        <v>56550</v>
      </c>
      <c r="Q649" s="69"/>
      <c r="R649" s="69"/>
      <c r="S649" s="121" t="s">
        <v>283</v>
      </c>
      <c r="T649" s="56">
        <v>13</v>
      </c>
      <c r="U649" s="56">
        <v>3</v>
      </c>
    </row>
    <row r="650" spans="1:21" ht="14.25" customHeight="1" thickBot="1" x14ac:dyDescent="0.4">
      <c r="A650" s="58">
        <v>634</v>
      </c>
      <c r="B650" s="69" t="s">
        <v>79</v>
      </c>
      <c r="C650" s="69" t="s">
        <v>80</v>
      </c>
      <c r="D650" s="70" t="s">
        <v>176</v>
      </c>
      <c r="E650" s="69" t="s">
        <v>3352</v>
      </c>
      <c r="F650" s="69" t="s">
        <v>3353</v>
      </c>
      <c r="G650" s="69" t="s">
        <v>54</v>
      </c>
      <c r="H650" s="70">
        <v>2022</v>
      </c>
      <c r="I650" s="69" t="s">
        <v>63</v>
      </c>
      <c r="J650" s="69" t="s">
        <v>3366</v>
      </c>
      <c r="K650" s="71" t="s">
        <v>3367</v>
      </c>
      <c r="L650" s="71" t="s">
        <v>3368</v>
      </c>
      <c r="M650" s="71" t="s">
        <v>3369</v>
      </c>
      <c r="N650" s="69" t="s">
        <v>44</v>
      </c>
      <c r="O650" s="64">
        <v>1</v>
      </c>
      <c r="P650" s="72">
        <v>56550</v>
      </c>
      <c r="Q650" s="69"/>
      <c r="R650" s="69"/>
      <c r="S650" s="121" t="s">
        <v>283</v>
      </c>
      <c r="T650" s="56">
        <v>13</v>
      </c>
      <c r="U650" s="56">
        <v>3</v>
      </c>
    </row>
    <row r="651" spans="1:21" ht="14.25" customHeight="1" x14ac:dyDescent="0.35">
      <c r="A651" s="47">
        <v>635</v>
      </c>
      <c r="B651" s="69" t="s">
        <v>79</v>
      </c>
      <c r="C651" s="69" t="s">
        <v>80</v>
      </c>
      <c r="D651" s="70" t="s">
        <v>1236</v>
      </c>
      <c r="E651" s="69" t="s">
        <v>3352</v>
      </c>
      <c r="F651" s="69" t="s">
        <v>3353</v>
      </c>
      <c r="G651" s="69" t="s">
        <v>54</v>
      </c>
      <c r="H651" s="70">
        <v>2022</v>
      </c>
      <c r="I651" s="69" t="s">
        <v>63</v>
      </c>
      <c r="J651" s="69" t="s">
        <v>3370</v>
      </c>
      <c r="K651" s="71" t="s">
        <v>3371</v>
      </c>
      <c r="L651" s="71" t="s">
        <v>3372</v>
      </c>
      <c r="M651" s="71" t="s">
        <v>3373</v>
      </c>
      <c r="N651" s="69" t="s">
        <v>44</v>
      </c>
      <c r="O651" s="64">
        <v>1</v>
      </c>
      <c r="P651" s="72">
        <v>56550</v>
      </c>
      <c r="Q651" s="69"/>
      <c r="R651" s="69"/>
      <c r="S651" s="121" t="s">
        <v>283</v>
      </c>
      <c r="T651" s="56">
        <v>13</v>
      </c>
      <c r="U651" s="56">
        <v>3</v>
      </c>
    </row>
    <row r="652" spans="1:21" ht="14.25" customHeight="1" thickBot="1" x14ac:dyDescent="0.4">
      <c r="A652" s="58">
        <v>636</v>
      </c>
      <c r="B652" s="69" t="s">
        <v>79</v>
      </c>
      <c r="C652" s="69" t="s">
        <v>80</v>
      </c>
      <c r="D652" s="70" t="s">
        <v>181</v>
      </c>
      <c r="E652" s="69" t="s">
        <v>3374</v>
      </c>
      <c r="F652" s="69" t="s">
        <v>3375</v>
      </c>
      <c r="G652" s="69" t="s">
        <v>140</v>
      </c>
      <c r="H652" s="70">
        <v>2023</v>
      </c>
      <c r="I652" s="69" t="s">
        <v>63</v>
      </c>
      <c r="J652" s="69" t="s">
        <v>3376</v>
      </c>
      <c r="K652" s="71" t="s">
        <v>3377</v>
      </c>
      <c r="L652" s="71" t="s">
        <v>3378</v>
      </c>
      <c r="M652" s="71" t="s">
        <v>3379</v>
      </c>
      <c r="N652" s="69" t="s">
        <v>44</v>
      </c>
      <c r="O652" s="64">
        <v>1</v>
      </c>
      <c r="P652" s="72">
        <v>36451</v>
      </c>
      <c r="Q652" s="69" t="s">
        <v>3380</v>
      </c>
      <c r="R652" s="69"/>
      <c r="S652" s="121" t="s">
        <v>283</v>
      </c>
      <c r="T652" s="56">
        <v>13</v>
      </c>
      <c r="U652" s="56">
        <v>3</v>
      </c>
    </row>
    <row r="653" spans="1:21" ht="14.25" customHeight="1" x14ac:dyDescent="0.35">
      <c r="A653" s="47">
        <v>637</v>
      </c>
      <c r="B653" s="69" t="s">
        <v>79</v>
      </c>
      <c r="C653" s="69" t="s">
        <v>80</v>
      </c>
      <c r="D653" s="70" t="s">
        <v>187</v>
      </c>
      <c r="E653" s="69" t="s">
        <v>3374</v>
      </c>
      <c r="F653" s="69" t="s">
        <v>3375</v>
      </c>
      <c r="G653" s="69" t="s">
        <v>140</v>
      </c>
      <c r="H653" s="70">
        <v>2023</v>
      </c>
      <c r="I653" s="69" t="s">
        <v>63</v>
      </c>
      <c r="J653" s="69" t="s">
        <v>3381</v>
      </c>
      <c r="K653" s="71" t="s">
        <v>3382</v>
      </c>
      <c r="L653" s="71" t="s">
        <v>3383</v>
      </c>
      <c r="M653" s="71" t="s">
        <v>3384</v>
      </c>
      <c r="N653" s="69" t="s">
        <v>44</v>
      </c>
      <c r="O653" s="64">
        <v>1</v>
      </c>
      <c r="P653" s="72">
        <v>36451</v>
      </c>
      <c r="Q653" s="69" t="s">
        <v>3380</v>
      </c>
      <c r="R653" s="69"/>
      <c r="S653" s="121" t="s">
        <v>283</v>
      </c>
      <c r="T653" s="56">
        <v>13</v>
      </c>
      <c r="U653" s="56">
        <v>3</v>
      </c>
    </row>
    <row r="654" spans="1:21" ht="14.25" customHeight="1" thickBot="1" x14ac:dyDescent="0.4">
      <c r="A654" s="58">
        <v>638</v>
      </c>
      <c r="B654" s="69" t="s">
        <v>79</v>
      </c>
      <c r="C654" s="69" t="s">
        <v>80</v>
      </c>
      <c r="D654" s="70" t="s">
        <v>190</v>
      </c>
      <c r="E654" s="69" t="s">
        <v>3385</v>
      </c>
      <c r="F654" s="69" t="s">
        <v>3375</v>
      </c>
      <c r="G654" s="69" t="s">
        <v>140</v>
      </c>
      <c r="H654" s="70">
        <v>2023</v>
      </c>
      <c r="I654" s="69" t="s">
        <v>63</v>
      </c>
      <c r="J654" s="69" t="s">
        <v>3386</v>
      </c>
      <c r="K654" s="71" t="s">
        <v>3387</v>
      </c>
      <c r="L654" s="71" t="s">
        <v>3388</v>
      </c>
      <c r="M654" s="71" t="s">
        <v>3389</v>
      </c>
      <c r="N654" s="69" t="s">
        <v>44</v>
      </c>
      <c r="O654" s="64">
        <v>1</v>
      </c>
      <c r="P654" s="72">
        <v>30465</v>
      </c>
      <c r="Q654" s="69" t="s">
        <v>1531</v>
      </c>
      <c r="R654" s="69"/>
      <c r="S654" s="121" t="s">
        <v>283</v>
      </c>
      <c r="T654" s="56">
        <v>13</v>
      </c>
      <c r="U654" s="56">
        <v>3</v>
      </c>
    </row>
    <row r="655" spans="1:21" ht="14.25" customHeight="1" x14ac:dyDescent="0.35">
      <c r="A655" s="47">
        <v>639</v>
      </c>
      <c r="B655" s="69" t="s">
        <v>79</v>
      </c>
      <c r="C655" s="69" t="s">
        <v>80</v>
      </c>
      <c r="D655" s="70" t="s">
        <v>192</v>
      </c>
      <c r="E655" s="69" t="s">
        <v>3385</v>
      </c>
      <c r="F655" s="69" t="s">
        <v>3375</v>
      </c>
      <c r="G655" s="69" t="s">
        <v>140</v>
      </c>
      <c r="H655" s="70">
        <v>2023</v>
      </c>
      <c r="I655" s="69" t="s">
        <v>63</v>
      </c>
      <c r="J655" s="69" t="s">
        <v>3390</v>
      </c>
      <c r="K655" s="71" t="s">
        <v>3391</v>
      </c>
      <c r="L655" s="71" t="s">
        <v>3392</v>
      </c>
      <c r="M655" s="71" t="s">
        <v>3393</v>
      </c>
      <c r="N655" s="69" t="s">
        <v>44</v>
      </c>
      <c r="O655" s="64">
        <v>1</v>
      </c>
      <c r="P655" s="72">
        <v>30465</v>
      </c>
      <c r="Q655" s="69" t="s">
        <v>1531</v>
      </c>
      <c r="R655" s="69"/>
      <c r="S655" s="121" t="s">
        <v>283</v>
      </c>
      <c r="T655" s="56">
        <v>13</v>
      </c>
      <c r="U655" s="56">
        <v>3</v>
      </c>
    </row>
    <row r="656" spans="1:21" ht="14.25" customHeight="1" thickBot="1" x14ac:dyDescent="0.4">
      <c r="A656" s="58">
        <v>640</v>
      </c>
      <c r="B656" s="69" t="s">
        <v>79</v>
      </c>
      <c r="C656" s="69" t="s">
        <v>80</v>
      </c>
      <c r="D656" s="70" t="s">
        <v>194</v>
      </c>
      <c r="E656" s="69" t="s">
        <v>3394</v>
      </c>
      <c r="F656" s="69">
        <v>160</v>
      </c>
      <c r="G656" s="69" t="s">
        <v>140</v>
      </c>
      <c r="H656" s="70">
        <v>2024</v>
      </c>
      <c r="I656" s="69" t="s">
        <v>63</v>
      </c>
      <c r="J656" s="69" t="s">
        <v>3395</v>
      </c>
      <c r="K656" s="71" t="s">
        <v>3396</v>
      </c>
      <c r="L656" s="71" t="s">
        <v>3397</v>
      </c>
      <c r="M656" s="71" t="s">
        <v>3398</v>
      </c>
      <c r="N656" s="69" t="s">
        <v>44</v>
      </c>
      <c r="O656" s="64">
        <v>1</v>
      </c>
      <c r="P656" s="72">
        <v>28200</v>
      </c>
      <c r="Q656" s="69" t="s">
        <v>3399</v>
      </c>
      <c r="R656" s="69"/>
      <c r="S656" s="121" t="s">
        <v>283</v>
      </c>
      <c r="T656" s="56">
        <v>13</v>
      </c>
      <c r="U656" s="56">
        <v>3</v>
      </c>
    </row>
    <row r="657" spans="1:21" ht="14.25" customHeight="1" x14ac:dyDescent="0.35">
      <c r="A657" s="47">
        <v>641</v>
      </c>
      <c r="B657" s="69" t="s">
        <v>79</v>
      </c>
      <c r="C657" s="69" t="s">
        <v>80</v>
      </c>
      <c r="D657" s="70" t="s">
        <v>195</v>
      </c>
      <c r="E657" s="69" t="s">
        <v>3394</v>
      </c>
      <c r="F657" s="69">
        <v>160</v>
      </c>
      <c r="G657" s="69" t="s">
        <v>140</v>
      </c>
      <c r="H657" s="70">
        <v>2024</v>
      </c>
      <c r="I657" s="69" t="s">
        <v>63</v>
      </c>
      <c r="J657" s="69" t="s">
        <v>3400</v>
      </c>
      <c r="K657" s="71" t="s">
        <v>3401</v>
      </c>
      <c r="L657" s="71" t="s">
        <v>3402</v>
      </c>
      <c r="M657" s="71" t="s">
        <v>3403</v>
      </c>
      <c r="N657" s="69" t="s">
        <v>44</v>
      </c>
      <c r="O657" s="64">
        <v>1</v>
      </c>
      <c r="P657" s="72">
        <v>28200</v>
      </c>
      <c r="Q657" s="69" t="s">
        <v>3399</v>
      </c>
      <c r="R657" s="69"/>
      <c r="S657" s="121" t="s">
        <v>283</v>
      </c>
      <c r="T657" s="56">
        <v>13</v>
      </c>
      <c r="U657" s="56">
        <v>3</v>
      </c>
    </row>
    <row r="658" spans="1:21" ht="14.25" customHeight="1" thickBot="1" x14ac:dyDescent="0.4">
      <c r="A658" s="58">
        <v>642</v>
      </c>
      <c r="B658" s="69" t="s">
        <v>2244</v>
      </c>
      <c r="C658" s="69" t="s">
        <v>2245</v>
      </c>
      <c r="D658" s="70" t="s">
        <v>51</v>
      </c>
      <c r="E658" s="69" t="s">
        <v>3404</v>
      </c>
      <c r="F658" s="69" t="s">
        <v>3405</v>
      </c>
      <c r="G658" s="69" t="s">
        <v>54</v>
      </c>
      <c r="H658" s="70">
        <v>2017</v>
      </c>
      <c r="I658" s="69" t="s">
        <v>63</v>
      </c>
      <c r="J658" s="69" t="s">
        <v>3406</v>
      </c>
      <c r="K658" s="71" t="s">
        <v>3407</v>
      </c>
      <c r="L658" s="71" t="s">
        <v>3408</v>
      </c>
      <c r="M658" s="71" t="s">
        <v>3409</v>
      </c>
      <c r="N658" s="69" t="s">
        <v>57</v>
      </c>
      <c r="O658" s="64">
        <v>1</v>
      </c>
      <c r="P658" s="72">
        <v>35550</v>
      </c>
      <c r="Q658" s="69" t="s">
        <v>3410</v>
      </c>
      <c r="R658" s="69"/>
      <c r="S658" s="121" t="s">
        <v>283</v>
      </c>
      <c r="T658" s="56">
        <v>13</v>
      </c>
      <c r="U658" s="56">
        <v>3</v>
      </c>
    </row>
    <row r="659" spans="1:21" ht="14.25" customHeight="1" x14ac:dyDescent="0.35">
      <c r="A659" s="47">
        <v>643</v>
      </c>
      <c r="B659" s="69" t="s">
        <v>2244</v>
      </c>
      <c r="C659" s="69" t="s">
        <v>2245</v>
      </c>
      <c r="D659" s="70" t="s">
        <v>59</v>
      </c>
      <c r="E659" s="69" t="s">
        <v>3404</v>
      </c>
      <c r="F659" s="69" t="s">
        <v>3405</v>
      </c>
      <c r="G659" s="69" t="s">
        <v>54</v>
      </c>
      <c r="H659" s="70">
        <v>2017</v>
      </c>
      <c r="I659" s="69" t="s">
        <v>63</v>
      </c>
      <c r="J659" s="69" t="s">
        <v>3411</v>
      </c>
      <c r="K659" s="71" t="s">
        <v>3412</v>
      </c>
      <c r="L659" s="71" t="s">
        <v>3413</v>
      </c>
      <c r="M659" s="71" t="s">
        <v>3414</v>
      </c>
      <c r="N659" s="69" t="s">
        <v>57</v>
      </c>
      <c r="O659" s="64">
        <v>1</v>
      </c>
      <c r="P659" s="72">
        <v>35550</v>
      </c>
      <c r="Q659" s="69" t="s">
        <v>3410</v>
      </c>
      <c r="R659" s="69"/>
      <c r="S659" s="121" t="s">
        <v>283</v>
      </c>
      <c r="T659" s="56">
        <v>13</v>
      </c>
      <c r="U659" s="56">
        <v>3</v>
      </c>
    </row>
    <row r="660" spans="1:21" ht="14.25" customHeight="1" thickBot="1" x14ac:dyDescent="0.4">
      <c r="A660" s="58">
        <v>644</v>
      </c>
      <c r="B660" s="69" t="s">
        <v>2244</v>
      </c>
      <c r="C660" s="69" t="s">
        <v>2245</v>
      </c>
      <c r="D660" s="70" t="s">
        <v>97</v>
      </c>
      <c r="E660" s="69" t="s">
        <v>3404</v>
      </c>
      <c r="F660" s="69" t="s">
        <v>3405</v>
      </c>
      <c r="G660" s="69" t="s">
        <v>54</v>
      </c>
      <c r="H660" s="70">
        <v>2017</v>
      </c>
      <c r="I660" s="69" t="s">
        <v>63</v>
      </c>
      <c r="J660" s="69" t="s">
        <v>3415</v>
      </c>
      <c r="K660" s="71" t="s">
        <v>3416</v>
      </c>
      <c r="L660" s="71" t="s">
        <v>3417</v>
      </c>
      <c r="M660" s="71" t="s">
        <v>3418</v>
      </c>
      <c r="N660" s="69" t="s">
        <v>57</v>
      </c>
      <c r="O660" s="64">
        <v>1</v>
      </c>
      <c r="P660" s="72">
        <v>35550</v>
      </c>
      <c r="Q660" s="69" t="s">
        <v>3410</v>
      </c>
      <c r="R660" s="69"/>
      <c r="S660" s="121" t="s">
        <v>283</v>
      </c>
      <c r="T660" s="56">
        <v>13</v>
      </c>
      <c r="U660" s="56">
        <v>3</v>
      </c>
    </row>
    <row r="661" spans="1:21" ht="14.25" customHeight="1" x14ac:dyDescent="0.35">
      <c r="A661" s="47">
        <v>645</v>
      </c>
      <c r="B661" s="69" t="s">
        <v>2244</v>
      </c>
      <c r="C661" s="69" t="s">
        <v>2245</v>
      </c>
      <c r="D661" s="70" t="s">
        <v>101</v>
      </c>
      <c r="E661" s="69" t="s">
        <v>3404</v>
      </c>
      <c r="F661" s="69" t="s">
        <v>3405</v>
      </c>
      <c r="G661" s="69" t="s">
        <v>54</v>
      </c>
      <c r="H661" s="70">
        <v>2017</v>
      </c>
      <c r="I661" s="69" t="s">
        <v>63</v>
      </c>
      <c r="J661" s="69" t="s">
        <v>3419</v>
      </c>
      <c r="K661" s="71" t="s">
        <v>3420</v>
      </c>
      <c r="L661" s="71" t="s">
        <v>3421</v>
      </c>
      <c r="M661" s="71" t="s">
        <v>3422</v>
      </c>
      <c r="N661" s="69" t="s">
        <v>57</v>
      </c>
      <c r="O661" s="64">
        <v>1</v>
      </c>
      <c r="P661" s="72">
        <v>35550</v>
      </c>
      <c r="Q661" s="69" t="s">
        <v>3410</v>
      </c>
      <c r="R661" s="69"/>
      <c r="S661" s="121" t="s">
        <v>283</v>
      </c>
      <c r="T661" s="56">
        <v>13</v>
      </c>
      <c r="U661" s="56">
        <v>3</v>
      </c>
    </row>
    <row r="662" spans="1:21" ht="14.25" customHeight="1" thickBot="1" x14ac:dyDescent="0.4">
      <c r="A662" s="58">
        <v>646</v>
      </c>
      <c r="B662" s="69" t="s">
        <v>2244</v>
      </c>
      <c r="C662" s="69" t="s">
        <v>2245</v>
      </c>
      <c r="D662" s="70" t="s">
        <v>107</v>
      </c>
      <c r="E662" s="69" t="s">
        <v>3404</v>
      </c>
      <c r="F662" s="69" t="s">
        <v>3405</v>
      </c>
      <c r="G662" s="69" t="s">
        <v>54</v>
      </c>
      <c r="H662" s="70">
        <v>2017</v>
      </c>
      <c r="I662" s="69" t="s">
        <v>63</v>
      </c>
      <c r="J662" s="69" t="s">
        <v>3423</v>
      </c>
      <c r="K662" s="71" t="s">
        <v>3424</v>
      </c>
      <c r="L662" s="71" t="s">
        <v>3425</v>
      </c>
      <c r="M662" s="71" t="s">
        <v>3426</v>
      </c>
      <c r="N662" s="69" t="s">
        <v>57</v>
      </c>
      <c r="O662" s="64">
        <v>1</v>
      </c>
      <c r="P662" s="72">
        <v>35550</v>
      </c>
      <c r="Q662" s="69" t="s">
        <v>3410</v>
      </c>
      <c r="R662" s="69"/>
      <c r="S662" s="121" t="s">
        <v>283</v>
      </c>
      <c r="T662" s="56">
        <v>13</v>
      </c>
      <c r="U662" s="56">
        <v>3</v>
      </c>
    </row>
    <row r="663" spans="1:21" ht="14.25" customHeight="1" x14ac:dyDescent="0.35">
      <c r="A663" s="47">
        <v>647</v>
      </c>
      <c r="B663" s="69" t="s">
        <v>3427</v>
      </c>
      <c r="C663" s="69" t="s">
        <v>3428</v>
      </c>
      <c r="D663" s="70" t="s">
        <v>51</v>
      </c>
      <c r="E663" s="69" t="s">
        <v>3429</v>
      </c>
      <c r="F663" s="69">
        <v>4.7779999999999996</v>
      </c>
      <c r="G663" s="69" t="s">
        <v>140</v>
      </c>
      <c r="H663" s="70">
        <v>2025</v>
      </c>
      <c r="I663" s="69" t="s">
        <v>63</v>
      </c>
      <c r="J663" s="69" t="s">
        <v>3430</v>
      </c>
      <c r="K663" s="71" t="s">
        <v>3431</v>
      </c>
      <c r="L663" s="71" t="s">
        <v>3432</v>
      </c>
      <c r="M663" s="71" t="s">
        <v>63</v>
      </c>
      <c r="N663" s="69" t="s">
        <v>422</v>
      </c>
      <c r="O663" s="64">
        <v>1</v>
      </c>
      <c r="P663" s="72">
        <v>1452500</v>
      </c>
      <c r="Q663" s="69" t="s">
        <v>3433</v>
      </c>
      <c r="R663" s="69"/>
      <c r="S663" s="121" t="s">
        <v>283</v>
      </c>
      <c r="T663" s="56">
        <v>13</v>
      </c>
      <c r="U663" s="56">
        <v>6</v>
      </c>
    </row>
    <row r="664" spans="1:21" ht="14.25" customHeight="1" thickBot="1" x14ac:dyDescent="0.4">
      <c r="A664" s="58">
        <v>648</v>
      </c>
      <c r="B664" s="69" t="s">
        <v>3427</v>
      </c>
      <c r="C664" s="69" t="s">
        <v>3428</v>
      </c>
      <c r="D664" s="70" t="s">
        <v>59</v>
      </c>
      <c r="E664" s="69" t="s">
        <v>3434</v>
      </c>
      <c r="F664" s="69">
        <v>4.7779999999999996</v>
      </c>
      <c r="G664" s="69" t="s">
        <v>140</v>
      </c>
      <c r="H664" s="70">
        <v>2025</v>
      </c>
      <c r="I664" s="69" t="s">
        <v>63</v>
      </c>
      <c r="J664" s="69" t="s">
        <v>3435</v>
      </c>
      <c r="K664" s="71" t="s">
        <v>3436</v>
      </c>
      <c r="L664" s="71" t="s">
        <v>3437</v>
      </c>
      <c r="M664" s="71" t="s">
        <v>3438</v>
      </c>
      <c r="N664" s="69" t="s">
        <v>422</v>
      </c>
      <c r="O664" s="64">
        <v>1</v>
      </c>
      <c r="P664" s="72">
        <v>677000</v>
      </c>
      <c r="Q664" s="69" t="s">
        <v>3439</v>
      </c>
      <c r="R664" s="69"/>
      <c r="S664" s="121" t="s">
        <v>283</v>
      </c>
      <c r="T664" s="56">
        <v>13</v>
      </c>
      <c r="U664" s="56">
        <v>6</v>
      </c>
    </row>
    <row r="665" spans="1:21" ht="14.25" customHeight="1" x14ac:dyDescent="0.35">
      <c r="A665" s="47">
        <v>649</v>
      </c>
      <c r="B665" s="69" t="s">
        <v>3427</v>
      </c>
      <c r="C665" s="69" t="s">
        <v>3428</v>
      </c>
      <c r="D665" s="70" t="s">
        <v>97</v>
      </c>
      <c r="E665" s="69" t="s">
        <v>3440</v>
      </c>
      <c r="F665" s="69">
        <v>4.7779999999999996</v>
      </c>
      <c r="G665" s="69" t="s">
        <v>140</v>
      </c>
      <c r="H665" s="70">
        <v>2025</v>
      </c>
      <c r="I665" s="69" t="s">
        <v>63</v>
      </c>
      <c r="J665" s="69" t="s">
        <v>3441</v>
      </c>
      <c r="K665" s="71" t="s">
        <v>3442</v>
      </c>
      <c r="L665" s="71" t="s">
        <v>3443</v>
      </c>
      <c r="M665" s="71" t="s">
        <v>3444</v>
      </c>
      <c r="N665" s="69" t="s">
        <v>422</v>
      </c>
      <c r="O665" s="64">
        <v>1</v>
      </c>
      <c r="P665" s="72">
        <v>585000</v>
      </c>
      <c r="Q665" s="69" t="s">
        <v>3445</v>
      </c>
      <c r="R665" s="69"/>
      <c r="S665" s="121" t="s">
        <v>283</v>
      </c>
      <c r="T665" s="56">
        <v>13</v>
      </c>
      <c r="U665" s="56">
        <v>6</v>
      </c>
    </row>
    <row r="666" spans="1:21" ht="14.25" customHeight="1" thickBot="1" x14ac:dyDescent="0.4">
      <c r="A666" s="58">
        <v>650</v>
      </c>
      <c r="B666" s="69" t="s">
        <v>2685</v>
      </c>
      <c r="C666" s="69" t="s">
        <v>2686</v>
      </c>
      <c r="D666" s="70" t="s">
        <v>51</v>
      </c>
      <c r="E666" s="69" t="s">
        <v>3446</v>
      </c>
      <c r="F666" s="69" t="s">
        <v>3447</v>
      </c>
      <c r="G666" s="69" t="s">
        <v>54</v>
      </c>
      <c r="H666" s="70">
        <v>2019</v>
      </c>
      <c r="I666" s="69" t="s">
        <v>63</v>
      </c>
      <c r="J666" s="69" t="s">
        <v>3448</v>
      </c>
      <c r="K666" s="71" t="s">
        <v>3449</v>
      </c>
      <c r="L666" s="71" t="s">
        <v>3450</v>
      </c>
      <c r="M666" s="71" t="s">
        <v>3451</v>
      </c>
      <c r="N666" s="69" t="s">
        <v>57</v>
      </c>
      <c r="O666" s="64">
        <v>1</v>
      </c>
      <c r="P666" s="72">
        <v>38269.152999999998</v>
      </c>
      <c r="Q666" s="69" t="s">
        <v>3452</v>
      </c>
      <c r="R666" s="69"/>
      <c r="S666" s="121" t="s">
        <v>283</v>
      </c>
      <c r="T666" s="56">
        <v>13</v>
      </c>
      <c r="U666" s="56">
        <v>3</v>
      </c>
    </row>
    <row r="667" spans="1:21" ht="14.25" customHeight="1" x14ac:dyDescent="0.35">
      <c r="A667" s="47">
        <v>651</v>
      </c>
      <c r="B667" s="69" t="s">
        <v>2685</v>
      </c>
      <c r="C667" s="69" t="s">
        <v>2686</v>
      </c>
      <c r="D667" s="70" t="s">
        <v>59</v>
      </c>
      <c r="E667" s="69" t="s">
        <v>3453</v>
      </c>
      <c r="F667" s="69">
        <v>200</v>
      </c>
      <c r="G667" s="69" t="s">
        <v>140</v>
      </c>
      <c r="H667" s="70">
        <v>2023</v>
      </c>
      <c r="I667" s="69" t="s">
        <v>63</v>
      </c>
      <c r="J667" s="69" t="s">
        <v>3454</v>
      </c>
      <c r="K667" s="71" t="s">
        <v>3455</v>
      </c>
      <c r="L667" s="71" t="s">
        <v>3456</v>
      </c>
      <c r="M667" s="71" t="s">
        <v>3457</v>
      </c>
      <c r="N667" s="69" t="s">
        <v>44</v>
      </c>
      <c r="O667" s="64">
        <v>1</v>
      </c>
      <c r="P667" s="72">
        <v>52614.555</v>
      </c>
      <c r="Q667" s="69" t="s">
        <v>3458</v>
      </c>
      <c r="R667" s="69"/>
      <c r="S667" s="121" t="s">
        <v>283</v>
      </c>
      <c r="T667" s="56">
        <v>13</v>
      </c>
      <c r="U667" s="56">
        <v>3</v>
      </c>
    </row>
    <row r="668" spans="1:21" ht="14.25" customHeight="1" thickBot="1" x14ac:dyDescent="0.4">
      <c r="A668" s="58">
        <v>652</v>
      </c>
      <c r="B668" s="69" t="s">
        <v>1806</v>
      </c>
      <c r="C668" s="69" t="s">
        <v>1807</v>
      </c>
      <c r="D668" s="70" t="s">
        <v>51</v>
      </c>
      <c r="E668" s="69" t="s">
        <v>3459</v>
      </c>
      <c r="F668" s="69" t="s">
        <v>3460</v>
      </c>
      <c r="G668" s="69" t="s">
        <v>54</v>
      </c>
      <c r="H668" s="70">
        <v>2010</v>
      </c>
      <c r="I668" s="69"/>
      <c r="J668" s="69" t="s">
        <v>3461</v>
      </c>
      <c r="K668" s="71" t="s">
        <v>3462</v>
      </c>
      <c r="L668" s="71" t="s">
        <v>3463</v>
      </c>
      <c r="M668" s="71" t="s">
        <v>3464</v>
      </c>
      <c r="N668" s="69" t="s">
        <v>57</v>
      </c>
      <c r="O668" s="64">
        <v>1</v>
      </c>
      <c r="P668" s="72">
        <v>240000</v>
      </c>
      <c r="Q668" s="69" t="s">
        <v>3465</v>
      </c>
      <c r="R668" s="69"/>
      <c r="S668" s="121" t="s">
        <v>309</v>
      </c>
      <c r="T668" s="56">
        <v>14</v>
      </c>
      <c r="U668" s="56">
        <v>4</v>
      </c>
    </row>
    <row r="669" spans="1:21" ht="14.25" customHeight="1" x14ac:dyDescent="0.35">
      <c r="A669" s="47">
        <v>653</v>
      </c>
      <c r="B669" s="69" t="s">
        <v>79</v>
      </c>
      <c r="C669" s="69" t="s">
        <v>80</v>
      </c>
      <c r="D669" s="70" t="s">
        <v>51</v>
      </c>
      <c r="E669" s="69" t="s">
        <v>1860</v>
      </c>
      <c r="F669" s="69" t="s">
        <v>202</v>
      </c>
      <c r="G669" s="69" t="s">
        <v>54</v>
      </c>
      <c r="H669" s="70">
        <v>2012</v>
      </c>
      <c r="I669" s="69"/>
      <c r="J669" s="69" t="s">
        <v>3466</v>
      </c>
      <c r="K669" s="71" t="s">
        <v>3467</v>
      </c>
      <c r="L669" s="71" t="s">
        <v>3468</v>
      </c>
      <c r="M669" s="71" t="s">
        <v>3469</v>
      </c>
      <c r="N669" s="69" t="s">
        <v>57</v>
      </c>
      <c r="O669" s="64">
        <v>1</v>
      </c>
      <c r="P669" s="72">
        <v>13177.55</v>
      </c>
      <c r="Q669" s="69" t="s">
        <v>3470</v>
      </c>
      <c r="R669" s="69"/>
      <c r="S669" s="121" t="s">
        <v>309</v>
      </c>
      <c r="T669" s="56">
        <v>14</v>
      </c>
      <c r="U669" s="56">
        <v>3</v>
      </c>
    </row>
    <row r="670" spans="1:21" ht="14.25" customHeight="1" thickBot="1" x14ac:dyDescent="0.4">
      <c r="A670" s="58">
        <v>654</v>
      </c>
      <c r="B670" s="69" t="s">
        <v>79</v>
      </c>
      <c r="C670" s="69" t="s">
        <v>80</v>
      </c>
      <c r="D670" s="70" t="s">
        <v>59</v>
      </c>
      <c r="E670" s="69" t="s">
        <v>1860</v>
      </c>
      <c r="F670" s="69" t="s">
        <v>202</v>
      </c>
      <c r="G670" s="69" t="s">
        <v>54</v>
      </c>
      <c r="H670" s="70">
        <v>2012</v>
      </c>
      <c r="I670" s="69"/>
      <c r="J670" s="69" t="s">
        <v>3471</v>
      </c>
      <c r="K670" s="71" t="s">
        <v>3472</v>
      </c>
      <c r="L670" s="71" t="s">
        <v>3473</v>
      </c>
      <c r="M670" s="71" t="s">
        <v>3474</v>
      </c>
      <c r="N670" s="69" t="s">
        <v>57</v>
      </c>
      <c r="O670" s="64">
        <v>1</v>
      </c>
      <c r="P670" s="72">
        <v>13177.55</v>
      </c>
      <c r="Q670" s="69" t="s">
        <v>3470</v>
      </c>
      <c r="R670" s="69"/>
      <c r="S670" s="121" t="s">
        <v>309</v>
      </c>
      <c r="T670" s="56">
        <v>14</v>
      </c>
      <c r="U670" s="56">
        <v>3</v>
      </c>
    </row>
    <row r="671" spans="1:21" ht="14.25" customHeight="1" x14ac:dyDescent="0.35">
      <c r="A671" s="47">
        <v>655</v>
      </c>
      <c r="B671" s="69" t="s">
        <v>79</v>
      </c>
      <c r="C671" s="69" t="s">
        <v>80</v>
      </c>
      <c r="D671" s="70" t="s">
        <v>101</v>
      </c>
      <c r="E671" s="69" t="s">
        <v>2574</v>
      </c>
      <c r="F671" s="69" t="s">
        <v>88</v>
      </c>
      <c r="G671" s="69" t="s">
        <v>140</v>
      </c>
      <c r="H671" s="70">
        <v>2015</v>
      </c>
      <c r="I671" s="69"/>
      <c r="J671" s="69" t="s">
        <v>3475</v>
      </c>
      <c r="K671" s="71" t="s">
        <v>3476</v>
      </c>
      <c r="L671" s="71" t="s">
        <v>3477</v>
      </c>
      <c r="M671" s="71" t="s">
        <v>3478</v>
      </c>
      <c r="N671" s="69" t="s">
        <v>57</v>
      </c>
      <c r="O671" s="64">
        <v>1</v>
      </c>
      <c r="P671" s="72">
        <v>16898</v>
      </c>
      <c r="Q671" s="69" t="s">
        <v>3479</v>
      </c>
      <c r="R671" s="69"/>
      <c r="S671" s="121" t="s">
        <v>309</v>
      </c>
      <c r="T671" s="56">
        <v>14</v>
      </c>
      <c r="U671" s="56">
        <v>3</v>
      </c>
    </row>
    <row r="672" spans="1:21" ht="14.25" customHeight="1" thickBot="1" x14ac:dyDescent="0.4">
      <c r="A672" s="58">
        <v>656</v>
      </c>
      <c r="B672" s="69" t="s">
        <v>79</v>
      </c>
      <c r="C672" s="69" t="s">
        <v>80</v>
      </c>
      <c r="D672" s="70" t="s">
        <v>107</v>
      </c>
      <c r="E672" s="69" t="s">
        <v>147</v>
      </c>
      <c r="F672" s="69" t="s">
        <v>7861</v>
      </c>
      <c r="G672" s="69" t="s">
        <v>140</v>
      </c>
      <c r="H672" s="70">
        <v>2015</v>
      </c>
      <c r="I672" s="69"/>
      <c r="J672" s="69" t="s">
        <v>3480</v>
      </c>
      <c r="K672" s="71" t="s">
        <v>3481</v>
      </c>
      <c r="L672" s="71" t="s">
        <v>3482</v>
      </c>
      <c r="M672" s="71" t="s">
        <v>3483</v>
      </c>
      <c r="N672" s="69" t="s">
        <v>57</v>
      </c>
      <c r="O672" s="64">
        <v>1</v>
      </c>
      <c r="P672" s="72">
        <v>19430</v>
      </c>
      <c r="Q672" s="69" t="s">
        <v>3484</v>
      </c>
      <c r="R672" s="69"/>
      <c r="S672" s="121" t="s">
        <v>309</v>
      </c>
      <c r="T672" s="56">
        <v>14</v>
      </c>
      <c r="U672" s="56">
        <v>3</v>
      </c>
    </row>
    <row r="673" spans="1:21" ht="14.25" customHeight="1" x14ac:dyDescent="0.35">
      <c r="A673" s="47">
        <v>657</v>
      </c>
      <c r="B673" s="69" t="s">
        <v>79</v>
      </c>
      <c r="C673" s="69" t="s">
        <v>80</v>
      </c>
      <c r="D673" s="70" t="s">
        <v>116</v>
      </c>
      <c r="E673" s="69" t="s">
        <v>3485</v>
      </c>
      <c r="F673" s="69" t="s">
        <v>3486</v>
      </c>
      <c r="G673" s="69" t="s">
        <v>54</v>
      </c>
      <c r="H673" s="70">
        <v>2005</v>
      </c>
      <c r="I673" s="69" t="s">
        <v>63</v>
      </c>
      <c r="J673" s="69" t="s">
        <v>3487</v>
      </c>
      <c r="K673" s="71" t="s">
        <v>3488</v>
      </c>
      <c r="L673" s="71" t="s">
        <v>3489</v>
      </c>
      <c r="M673" s="71" t="s">
        <v>3490</v>
      </c>
      <c r="N673" s="69" t="s">
        <v>57</v>
      </c>
      <c r="O673" s="64">
        <v>1</v>
      </c>
      <c r="P673" s="72">
        <v>17975</v>
      </c>
      <c r="Q673" s="69" t="s">
        <v>3491</v>
      </c>
      <c r="R673" s="69"/>
      <c r="S673" s="121" t="s">
        <v>309</v>
      </c>
      <c r="T673" s="56">
        <v>14</v>
      </c>
      <c r="U673" s="56">
        <v>3</v>
      </c>
    </row>
    <row r="674" spans="1:21" ht="14.25" customHeight="1" thickBot="1" x14ac:dyDescent="0.4">
      <c r="A674" s="58">
        <v>658</v>
      </c>
      <c r="B674" s="69" t="s">
        <v>79</v>
      </c>
      <c r="C674" s="69" t="s">
        <v>80</v>
      </c>
      <c r="D674" s="70" t="s">
        <v>126</v>
      </c>
      <c r="E674" s="69" t="s">
        <v>3492</v>
      </c>
      <c r="F674" s="69" t="s">
        <v>7861</v>
      </c>
      <c r="G674" s="69" t="s">
        <v>54</v>
      </c>
      <c r="H674" s="70">
        <v>2024</v>
      </c>
      <c r="I674" s="69" t="s">
        <v>63</v>
      </c>
      <c r="J674" s="69" t="s">
        <v>3493</v>
      </c>
      <c r="K674" s="71" t="s">
        <v>3494</v>
      </c>
      <c r="L674" s="71" t="s">
        <v>3495</v>
      </c>
      <c r="M674" s="71" t="s">
        <v>3496</v>
      </c>
      <c r="N674" s="69" t="s">
        <v>44</v>
      </c>
      <c r="O674" s="64">
        <v>1</v>
      </c>
      <c r="P674" s="72">
        <v>36293</v>
      </c>
      <c r="Q674" s="69" t="s">
        <v>3497</v>
      </c>
      <c r="R674" s="69"/>
      <c r="S674" s="121" t="s">
        <v>309</v>
      </c>
      <c r="T674" s="56">
        <v>14</v>
      </c>
      <c r="U674" s="56">
        <v>3</v>
      </c>
    </row>
    <row r="675" spans="1:21" ht="14.25" customHeight="1" x14ac:dyDescent="0.35">
      <c r="A675" s="47">
        <v>659</v>
      </c>
      <c r="B675" s="69" t="s">
        <v>2244</v>
      </c>
      <c r="C675" s="69" t="s">
        <v>2245</v>
      </c>
      <c r="D675" s="70" t="s">
        <v>51</v>
      </c>
      <c r="E675" s="69" t="s">
        <v>3498</v>
      </c>
      <c r="F675" s="69" t="s">
        <v>7862</v>
      </c>
      <c r="G675" s="69" t="s">
        <v>415</v>
      </c>
      <c r="H675" s="70">
        <v>2019</v>
      </c>
      <c r="I675" s="69" t="s">
        <v>63</v>
      </c>
      <c r="J675" s="69" t="s">
        <v>3499</v>
      </c>
      <c r="K675" s="71" t="s">
        <v>3500</v>
      </c>
      <c r="L675" s="71" t="s">
        <v>3501</v>
      </c>
      <c r="M675" s="71" t="s">
        <v>3502</v>
      </c>
      <c r="N675" s="69" t="s">
        <v>57</v>
      </c>
      <c r="O675" s="64">
        <v>1</v>
      </c>
      <c r="P675" s="72">
        <v>15000</v>
      </c>
      <c r="Q675" s="69" t="s">
        <v>3503</v>
      </c>
      <c r="R675" s="69"/>
      <c r="S675" s="121" t="s">
        <v>309</v>
      </c>
      <c r="T675" s="56">
        <v>14</v>
      </c>
      <c r="U675" s="56">
        <v>3</v>
      </c>
    </row>
    <row r="676" spans="1:21" ht="14.25" customHeight="1" thickBot="1" x14ac:dyDescent="0.4">
      <c r="A676" s="58">
        <v>660</v>
      </c>
      <c r="B676" s="69" t="s">
        <v>2244</v>
      </c>
      <c r="C676" s="69" t="s">
        <v>2245</v>
      </c>
      <c r="D676" s="70" t="s">
        <v>59</v>
      </c>
      <c r="E676" s="69" t="s">
        <v>3498</v>
      </c>
      <c r="F676" s="69" t="s">
        <v>7862</v>
      </c>
      <c r="G676" s="69" t="s">
        <v>415</v>
      </c>
      <c r="H676" s="70">
        <v>2019</v>
      </c>
      <c r="I676" s="69" t="s">
        <v>63</v>
      </c>
      <c r="J676" s="69" t="s">
        <v>3504</v>
      </c>
      <c r="K676" s="71" t="s">
        <v>3505</v>
      </c>
      <c r="L676" s="71" t="s">
        <v>3506</v>
      </c>
      <c r="M676" s="71" t="s">
        <v>3507</v>
      </c>
      <c r="N676" s="69" t="s">
        <v>57</v>
      </c>
      <c r="O676" s="64">
        <v>1</v>
      </c>
      <c r="P676" s="72">
        <v>15000</v>
      </c>
      <c r="Q676" s="69" t="s">
        <v>3508</v>
      </c>
      <c r="R676" s="69"/>
      <c r="S676" s="121" t="s">
        <v>309</v>
      </c>
      <c r="T676" s="56">
        <v>14</v>
      </c>
      <c r="U676" s="56">
        <v>3</v>
      </c>
    </row>
    <row r="677" spans="1:21" ht="14.25" customHeight="1" x14ac:dyDescent="0.35">
      <c r="A677" s="47">
        <v>661</v>
      </c>
      <c r="B677" s="69" t="s">
        <v>2244</v>
      </c>
      <c r="C677" s="69" t="s">
        <v>2245</v>
      </c>
      <c r="D677" s="70" t="s">
        <v>97</v>
      </c>
      <c r="E677" s="69" t="s">
        <v>3498</v>
      </c>
      <c r="F677" s="69" t="s">
        <v>7862</v>
      </c>
      <c r="G677" s="69" t="s">
        <v>415</v>
      </c>
      <c r="H677" s="70">
        <v>2019</v>
      </c>
      <c r="I677" s="69" t="s">
        <v>63</v>
      </c>
      <c r="J677" s="69" t="s">
        <v>3509</v>
      </c>
      <c r="K677" s="71" t="s">
        <v>3510</v>
      </c>
      <c r="L677" s="71" t="s">
        <v>3511</v>
      </c>
      <c r="M677" s="71" t="s">
        <v>3512</v>
      </c>
      <c r="N677" s="69" t="s">
        <v>57</v>
      </c>
      <c r="O677" s="64">
        <v>1</v>
      </c>
      <c r="P677" s="72">
        <v>15000</v>
      </c>
      <c r="Q677" s="69" t="s">
        <v>3491</v>
      </c>
      <c r="R677" s="69"/>
      <c r="S677" s="121" t="s">
        <v>309</v>
      </c>
      <c r="T677" s="56">
        <v>14</v>
      </c>
      <c r="U677" s="56">
        <v>3</v>
      </c>
    </row>
    <row r="678" spans="1:21" ht="14.25" customHeight="1" thickBot="1" x14ac:dyDescent="0.4">
      <c r="A678" s="58">
        <v>662</v>
      </c>
      <c r="B678" s="69" t="s">
        <v>2244</v>
      </c>
      <c r="C678" s="69" t="s">
        <v>2245</v>
      </c>
      <c r="D678" s="70" t="s">
        <v>101</v>
      </c>
      <c r="E678" s="69" t="s">
        <v>3498</v>
      </c>
      <c r="F678" s="69" t="s">
        <v>7862</v>
      </c>
      <c r="G678" s="69" t="s">
        <v>415</v>
      </c>
      <c r="H678" s="70">
        <v>2019</v>
      </c>
      <c r="I678" s="69" t="s">
        <v>63</v>
      </c>
      <c r="J678" s="69" t="s">
        <v>3513</v>
      </c>
      <c r="K678" s="71" t="s">
        <v>3514</v>
      </c>
      <c r="L678" s="71" t="s">
        <v>3515</v>
      </c>
      <c r="M678" s="71" t="s">
        <v>3516</v>
      </c>
      <c r="N678" s="69" t="s">
        <v>57</v>
      </c>
      <c r="O678" s="64">
        <v>1</v>
      </c>
      <c r="P678" s="72">
        <v>15000</v>
      </c>
      <c r="Q678" s="69" t="s">
        <v>3517</v>
      </c>
      <c r="R678" s="69"/>
      <c r="S678" s="121" t="s">
        <v>309</v>
      </c>
      <c r="T678" s="56">
        <v>14</v>
      </c>
      <c r="U678" s="56">
        <v>3</v>
      </c>
    </row>
    <row r="679" spans="1:21" ht="14.25" customHeight="1" x14ac:dyDescent="0.35">
      <c r="A679" s="47">
        <v>663</v>
      </c>
      <c r="B679" s="69" t="s">
        <v>2244</v>
      </c>
      <c r="C679" s="69" t="s">
        <v>2245</v>
      </c>
      <c r="D679" s="70" t="s">
        <v>107</v>
      </c>
      <c r="E679" s="69" t="s">
        <v>3498</v>
      </c>
      <c r="F679" s="69" t="s">
        <v>7862</v>
      </c>
      <c r="G679" s="69" t="s">
        <v>415</v>
      </c>
      <c r="H679" s="70">
        <v>2019</v>
      </c>
      <c r="I679" s="69" t="s">
        <v>63</v>
      </c>
      <c r="J679" s="69" t="s">
        <v>3518</v>
      </c>
      <c r="K679" s="71" t="s">
        <v>3519</v>
      </c>
      <c r="L679" s="71" t="s">
        <v>3520</v>
      </c>
      <c r="M679" s="71" t="s">
        <v>3521</v>
      </c>
      <c r="N679" s="69" t="s">
        <v>57</v>
      </c>
      <c r="O679" s="64">
        <v>1</v>
      </c>
      <c r="P679" s="72">
        <v>15000</v>
      </c>
      <c r="Q679" s="69" t="s">
        <v>3522</v>
      </c>
      <c r="R679" s="69"/>
      <c r="S679" s="121" t="s">
        <v>309</v>
      </c>
      <c r="T679" s="56">
        <v>14</v>
      </c>
      <c r="U679" s="56">
        <v>3</v>
      </c>
    </row>
    <row r="680" spans="1:21" ht="14.25" customHeight="1" thickBot="1" x14ac:dyDescent="0.4">
      <c r="A680" s="58">
        <v>664</v>
      </c>
      <c r="B680" s="69" t="s">
        <v>2244</v>
      </c>
      <c r="C680" s="69" t="s">
        <v>2245</v>
      </c>
      <c r="D680" s="70" t="s">
        <v>112</v>
      </c>
      <c r="E680" s="69" t="s">
        <v>3498</v>
      </c>
      <c r="F680" s="69" t="s">
        <v>7862</v>
      </c>
      <c r="G680" s="69" t="s">
        <v>415</v>
      </c>
      <c r="H680" s="70">
        <v>2019</v>
      </c>
      <c r="I680" s="69" t="s">
        <v>63</v>
      </c>
      <c r="J680" s="69" t="s">
        <v>3523</v>
      </c>
      <c r="K680" s="71" t="s">
        <v>3524</v>
      </c>
      <c r="L680" s="71" t="s">
        <v>3525</v>
      </c>
      <c r="M680" s="71" t="s">
        <v>3526</v>
      </c>
      <c r="N680" s="69" t="s">
        <v>57</v>
      </c>
      <c r="O680" s="64">
        <v>1</v>
      </c>
      <c r="P680" s="72">
        <v>15000</v>
      </c>
      <c r="Q680" s="69" t="s">
        <v>63</v>
      </c>
      <c r="R680" s="69"/>
      <c r="S680" s="121" t="s">
        <v>309</v>
      </c>
      <c r="T680" s="56">
        <v>14</v>
      </c>
      <c r="U680" s="56">
        <v>3</v>
      </c>
    </row>
    <row r="681" spans="1:21" ht="14.25" customHeight="1" x14ac:dyDescent="0.35">
      <c r="A681" s="47">
        <v>665</v>
      </c>
      <c r="B681" s="69" t="s">
        <v>2244</v>
      </c>
      <c r="C681" s="69" t="s">
        <v>2245</v>
      </c>
      <c r="D681" s="70" t="s">
        <v>116</v>
      </c>
      <c r="E681" s="69" t="s">
        <v>3498</v>
      </c>
      <c r="F681" s="69" t="s">
        <v>7862</v>
      </c>
      <c r="G681" s="69" t="s">
        <v>415</v>
      </c>
      <c r="H681" s="70">
        <v>2019</v>
      </c>
      <c r="I681" s="69" t="s">
        <v>63</v>
      </c>
      <c r="J681" s="69" t="s">
        <v>3527</v>
      </c>
      <c r="K681" s="71" t="s">
        <v>3528</v>
      </c>
      <c r="L681" s="71" t="s">
        <v>3529</v>
      </c>
      <c r="M681" s="71" t="s">
        <v>3530</v>
      </c>
      <c r="N681" s="69" t="s">
        <v>57</v>
      </c>
      <c r="O681" s="64">
        <v>1</v>
      </c>
      <c r="P681" s="72">
        <v>15000</v>
      </c>
      <c r="Q681" s="69" t="s">
        <v>3531</v>
      </c>
      <c r="R681" s="69"/>
      <c r="S681" s="121" t="s">
        <v>309</v>
      </c>
      <c r="T681" s="56">
        <v>14</v>
      </c>
      <c r="U681" s="56">
        <v>3</v>
      </c>
    </row>
    <row r="682" spans="1:21" ht="14.25" customHeight="1" thickBot="1" x14ac:dyDescent="0.4">
      <c r="A682" s="58">
        <v>666</v>
      </c>
      <c r="B682" s="69" t="s">
        <v>2244</v>
      </c>
      <c r="C682" s="69" t="s">
        <v>2245</v>
      </c>
      <c r="D682" s="70" t="s">
        <v>841</v>
      </c>
      <c r="E682" s="69" t="s">
        <v>3498</v>
      </c>
      <c r="F682" s="69" t="s">
        <v>7862</v>
      </c>
      <c r="G682" s="69" t="s">
        <v>415</v>
      </c>
      <c r="H682" s="70">
        <v>2019</v>
      </c>
      <c r="I682" s="69" t="s">
        <v>63</v>
      </c>
      <c r="J682" s="69" t="s">
        <v>3532</v>
      </c>
      <c r="K682" s="71" t="s">
        <v>3533</v>
      </c>
      <c r="L682" s="71" t="s">
        <v>3534</v>
      </c>
      <c r="M682" s="71" t="s">
        <v>3535</v>
      </c>
      <c r="N682" s="69" t="s">
        <v>57</v>
      </c>
      <c r="O682" s="64">
        <v>1</v>
      </c>
      <c r="P682" s="72">
        <v>15000</v>
      </c>
      <c r="Q682" s="69" t="s">
        <v>3536</v>
      </c>
      <c r="R682" s="69"/>
      <c r="S682" s="121" t="s">
        <v>309</v>
      </c>
      <c r="T682" s="56">
        <v>14</v>
      </c>
      <c r="U682" s="56">
        <v>3</v>
      </c>
    </row>
    <row r="683" spans="1:21" ht="14.25" customHeight="1" x14ac:dyDescent="0.35">
      <c r="A683" s="47">
        <v>667</v>
      </c>
      <c r="B683" s="69" t="s">
        <v>2244</v>
      </c>
      <c r="C683" s="69" t="s">
        <v>2245</v>
      </c>
      <c r="D683" s="70" t="s">
        <v>904</v>
      </c>
      <c r="E683" s="69" t="s">
        <v>3498</v>
      </c>
      <c r="F683" s="69" t="s">
        <v>7862</v>
      </c>
      <c r="G683" s="69" t="s">
        <v>415</v>
      </c>
      <c r="H683" s="70">
        <v>2019</v>
      </c>
      <c r="I683" s="69" t="s">
        <v>63</v>
      </c>
      <c r="J683" s="69" t="s">
        <v>3537</v>
      </c>
      <c r="K683" s="71" t="s">
        <v>3538</v>
      </c>
      <c r="L683" s="71" t="s">
        <v>3539</v>
      </c>
      <c r="M683" s="71" t="s">
        <v>3540</v>
      </c>
      <c r="N683" s="69" t="s">
        <v>57</v>
      </c>
      <c r="O683" s="64">
        <v>1</v>
      </c>
      <c r="P683" s="72">
        <v>15000</v>
      </c>
      <c r="Q683" s="69" t="s">
        <v>3541</v>
      </c>
      <c r="R683" s="69"/>
      <c r="S683" s="121" t="s">
        <v>309</v>
      </c>
      <c r="T683" s="56">
        <v>14</v>
      </c>
      <c r="U683" s="56">
        <v>3</v>
      </c>
    </row>
    <row r="684" spans="1:21" ht="14.25" customHeight="1" thickBot="1" x14ac:dyDescent="0.4">
      <c r="A684" s="58">
        <v>668</v>
      </c>
      <c r="B684" s="69" t="s">
        <v>1745</v>
      </c>
      <c r="C684" s="69" t="s">
        <v>1746</v>
      </c>
      <c r="D684" s="70" t="s">
        <v>51</v>
      </c>
      <c r="E684" s="69" t="s">
        <v>3542</v>
      </c>
      <c r="F684" s="69" t="s">
        <v>63</v>
      </c>
      <c r="G684" s="69" t="s">
        <v>140</v>
      </c>
      <c r="H684" s="70">
        <v>2019</v>
      </c>
      <c r="I684" s="69" t="s">
        <v>63</v>
      </c>
      <c r="J684" s="69" t="s">
        <v>3543</v>
      </c>
      <c r="K684" s="71" t="s">
        <v>3544</v>
      </c>
      <c r="L684" s="71" t="s">
        <v>3545</v>
      </c>
      <c r="M684" s="71" t="s">
        <v>3546</v>
      </c>
      <c r="N684" s="69" t="s">
        <v>57</v>
      </c>
      <c r="O684" s="64">
        <v>1</v>
      </c>
      <c r="P684" s="72">
        <v>380000</v>
      </c>
      <c r="Q684" s="69" t="s">
        <v>3547</v>
      </c>
      <c r="R684" s="69"/>
      <c r="S684" s="121" t="s">
        <v>333</v>
      </c>
      <c r="T684" s="56">
        <v>15</v>
      </c>
      <c r="U684" s="56">
        <v>4</v>
      </c>
    </row>
    <row r="685" spans="1:21" ht="14.25" customHeight="1" x14ac:dyDescent="0.35">
      <c r="A685" s="47">
        <v>669</v>
      </c>
      <c r="B685" s="69" t="s">
        <v>1806</v>
      </c>
      <c r="C685" s="69" t="s">
        <v>1807</v>
      </c>
      <c r="D685" s="70" t="s">
        <v>51</v>
      </c>
      <c r="E685" s="69" t="s">
        <v>2916</v>
      </c>
      <c r="F685" s="69" t="s">
        <v>2559</v>
      </c>
      <c r="G685" s="69" t="s">
        <v>54</v>
      </c>
      <c r="H685" s="70">
        <v>2013</v>
      </c>
      <c r="I685" s="69" t="s">
        <v>63</v>
      </c>
      <c r="J685" s="69" t="s">
        <v>3548</v>
      </c>
      <c r="K685" s="71" t="s">
        <v>3549</v>
      </c>
      <c r="L685" s="71" t="s">
        <v>3550</v>
      </c>
      <c r="M685" s="71" t="s">
        <v>3551</v>
      </c>
      <c r="N685" s="69" t="s">
        <v>57</v>
      </c>
      <c r="O685" s="64">
        <v>1</v>
      </c>
      <c r="P685" s="72">
        <v>268810</v>
      </c>
      <c r="Q685" s="69" t="s">
        <v>3552</v>
      </c>
      <c r="R685" s="69"/>
      <c r="S685" s="121" t="s">
        <v>333</v>
      </c>
      <c r="T685" s="56">
        <v>15</v>
      </c>
      <c r="U685" s="56">
        <v>4</v>
      </c>
    </row>
    <row r="686" spans="1:21" ht="14.25" customHeight="1" thickBot="1" x14ac:dyDescent="0.4">
      <c r="A686" s="58">
        <v>670</v>
      </c>
      <c r="B686" s="69" t="s">
        <v>70</v>
      </c>
      <c r="C686" s="69" t="s">
        <v>71</v>
      </c>
      <c r="D686" s="70" t="s">
        <v>51</v>
      </c>
      <c r="E686" s="69" t="s">
        <v>3553</v>
      </c>
      <c r="F686" s="69" t="s">
        <v>3554</v>
      </c>
      <c r="G686" s="69" t="s">
        <v>54</v>
      </c>
      <c r="H686" s="70">
        <v>2010</v>
      </c>
      <c r="I686" s="69" t="s">
        <v>63</v>
      </c>
      <c r="J686" s="69" t="s">
        <v>3555</v>
      </c>
      <c r="K686" s="71" t="s">
        <v>3556</v>
      </c>
      <c r="L686" s="71" t="s">
        <v>3557</v>
      </c>
      <c r="M686" s="71" t="s">
        <v>3558</v>
      </c>
      <c r="N686" s="69" t="s">
        <v>57</v>
      </c>
      <c r="O686" s="64">
        <v>1</v>
      </c>
      <c r="P686" s="72">
        <v>348500</v>
      </c>
      <c r="Q686" s="69" t="s">
        <v>3559</v>
      </c>
      <c r="R686" s="69"/>
      <c r="S686" s="121" t="s">
        <v>333</v>
      </c>
      <c r="T686" s="56">
        <v>15</v>
      </c>
      <c r="U686" s="56">
        <v>4</v>
      </c>
    </row>
    <row r="687" spans="1:21" ht="14.25" customHeight="1" x14ac:dyDescent="0.35">
      <c r="A687" s="47">
        <v>671</v>
      </c>
      <c r="B687" s="69" t="s">
        <v>70</v>
      </c>
      <c r="C687" s="69" t="s">
        <v>71</v>
      </c>
      <c r="D687" s="70" t="s">
        <v>59</v>
      </c>
      <c r="E687" s="69" t="s">
        <v>3560</v>
      </c>
      <c r="F687" s="69"/>
      <c r="G687" s="69" t="s">
        <v>63</v>
      </c>
      <c r="H687" s="70">
        <v>2026</v>
      </c>
      <c r="I687" s="69" t="s">
        <v>63</v>
      </c>
      <c r="J687" s="69" t="s">
        <v>3561</v>
      </c>
      <c r="K687" s="71" t="s">
        <v>3562</v>
      </c>
      <c r="L687" s="71" t="s">
        <v>3563</v>
      </c>
      <c r="M687" s="71" t="s">
        <v>63</v>
      </c>
      <c r="N687" s="69" t="s">
        <v>44</v>
      </c>
      <c r="O687" s="64">
        <v>1</v>
      </c>
      <c r="P687" s="72">
        <v>551900</v>
      </c>
      <c r="Q687" s="69" t="s">
        <v>3564</v>
      </c>
      <c r="R687" s="69"/>
      <c r="S687" s="121" t="s">
        <v>333</v>
      </c>
      <c r="T687" s="56">
        <v>15</v>
      </c>
      <c r="U687" s="56">
        <v>4</v>
      </c>
    </row>
    <row r="688" spans="1:21" ht="14.25" customHeight="1" thickBot="1" x14ac:dyDescent="0.4">
      <c r="A688" s="58">
        <v>672</v>
      </c>
      <c r="B688" s="69" t="s">
        <v>79</v>
      </c>
      <c r="C688" s="69" t="s">
        <v>80</v>
      </c>
      <c r="D688" s="70" t="s">
        <v>59</v>
      </c>
      <c r="E688" s="69" t="s">
        <v>3565</v>
      </c>
      <c r="F688" s="69" t="s">
        <v>171</v>
      </c>
      <c r="G688" s="69" t="s">
        <v>415</v>
      </c>
      <c r="H688" s="70">
        <v>2010</v>
      </c>
      <c r="I688" s="69"/>
      <c r="J688" s="69" t="s">
        <v>3566</v>
      </c>
      <c r="K688" s="71" t="s">
        <v>3567</v>
      </c>
      <c r="L688" s="71" t="s">
        <v>3568</v>
      </c>
      <c r="M688" s="71" t="s">
        <v>3569</v>
      </c>
      <c r="N688" s="69" t="s">
        <v>57</v>
      </c>
      <c r="O688" s="64">
        <v>1</v>
      </c>
      <c r="P688" s="72">
        <v>16433</v>
      </c>
      <c r="Q688" s="69" t="s">
        <v>3570</v>
      </c>
      <c r="R688" s="69"/>
      <c r="S688" s="121" t="s">
        <v>333</v>
      </c>
      <c r="T688" s="56">
        <v>15</v>
      </c>
      <c r="U688" s="56">
        <v>3</v>
      </c>
    </row>
    <row r="689" spans="1:21" ht="14.25" customHeight="1" x14ac:dyDescent="0.35">
      <c r="A689" s="47">
        <v>673</v>
      </c>
      <c r="B689" s="69" t="s">
        <v>79</v>
      </c>
      <c r="C689" s="69" t="s">
        <v>80</v>
      </c>
      <c r="D689" s="70" t="s">
        <v>97</v>
      </c>
      <c r="E689" s="69" t="s">
        <v>3565</v>
      </c>
      <c r="F689" s="69" t="s">
        <v>171</v>
      </c>
      <c r="G689" s="69" t="s">
        <v>415</v>
      </c>
      <c r="H689" s="70">
        <v>2010</v>
      </c>
      <c r="I689" s="69"/>
      <c r="J689" s="69" t="s">
        <v>3571</v>
      </c>
      <c r="K689" s="71" t="s">
        <v>3572</v>
      </c>
      <c r="L689" s="71" t="s">
        <v>3573</v>
      </c>
      <c r="M689" s="71" t="s">
        <v>3574</v>
      </c>
      <c r="N689" s="69" t="s">
        <v>57</v>
      </c>
      <c r="O689" s="64">
        <v>1</v>
      </c>
      <c r="P689" s="72">
        <v>16433</v>
      </c>
      <c r="Q689" s="69" t="s">
        <v>3575</v>
      </c>
      <c r="R689" s="69"/>
      <c r="S689" s="121" t="s">
        <v>333</v>
      </c>
      <c r="T689" s="56">
        <v>15</v>
      </c>
      <c r="U689" s="56">
        <v>3</v>
      </c>
    </row>
    <row r="690" spans="1:21" ht="14.25" customHeight="1" thickBot="1" x14ac:dyDescent="0.4">
      <c r="A690" s="58">
        <v>674</v>
      </c>
      <c r="B690" s="69" t="s">
        <v>79</v>
      </c>
      <c r="C690" s="69" t="s">
        <v>80</v>
      </c>
      <c r="D690" s="70" t="s">
        <v>101</v>
      </c>
      <c r="E690" s="69" t="s">
        <v>3565</v>
      </c>
      <c r="F690" s="69" t="s">
        <v>171</v>
      </c>
      <c r="G690" s="69" t="s">
        <v>415</v>
      </c>
      <c r="H690" s="70">
        <v>2010</v>
      </c>
      <c r="I690" s="69"/>
      <c r="J690" s="69" t="s">
        <v>3576</v>
      </c>
      <c r="K690" s="71" t="s">
        <v>3577</v>
      </c>
      <c r="L690" s="71" t="s">
        <v>3578</v>
      </c>
      <c r="M690" s="71" t="s">
        <v>3579</v>
      </c>
      <c r="N690" s="69" t="s">
        <v>57</v>
      </c>
      <c r="O690" s="64">
        <v>1</v>
      </c>
      <c r="P690" s="72">
        <v>16433</v>
      </c>
      <c r="Q690" s="69" t="s">
        <v>3580</v>
      </c>
      <c r="R690" s="69"/>
      <c r="S690" s="121" t="s">
        <v>333</v>
      </c>
      <c r="T690" s="56">
        <v>15</v>
      </c>
      <c r="U690" s="56">
        <v>3</v>
      </c>
    </row>
    <row r="691" spans="1:21" ht="14.25" customHeight="1" x14ac:dyDescent="0.35">
      <c r="A691" s="47">
        <v>675</v>
      </c>
      <c r="B691" s="69" t="s">
        <v>79</v>
      </c>
      <c r="C691" s="69" t="s">
        <v>80</v>
      </c>
      <c r="D691" s="70" t="s">
        <v>107</v>
      </c>
      <c r="E691" s="69" t="s">
        <v>3565</v>
      </c>
      <c r="F691" s="69" t="s">
        <v>171</v>
      </c>
      <c r="G691" s="69" t="s">
        <v>415</v>
      </c>
      <c r="H691" s="70">
        <v>2010</v>
      </c>
      <c r="I691" s="69"/>
      <c r="J691" s="69" t="s">
        <v>3581</v>
      </c>
      <c r="K691" s="71" t="s">
        <v>3582</v>
      </c>
      <c r="L691" s="71" t="s">
        <v>3583</v>
      </c>
      <c r="M691" s="71" t="s">
        <v>3584</v>
      </c>
      <c r="N691" s="69" t="s">
        <v>57</v>
      </c>
      <c r="O691" s="64">
        <v>1</v>
      </c>
      <c r="P691" s="72">
        <v>16433</v>
      </c>
      <c r="Q691" s="69" t="s">
        <v>3585</v>
      </c>
      <c r="R691" s="69"/>
      <c r="S691" s="121" t="s">
        <v>333</v>
      </c>
      <c r="T691" s="56">
        <v>15</v>
      </c>
      <c r="U691" s="56">
        <v>3</v>
      </c>
    </row>
    <row r="692" spans="1:21" ht="14.25" customHeight="1" thickBot="1" x14ac:dyDescent="0.4">
      <c r="A692" s="58">
        <v>676</v>
      </c>
      <c r="B692" s="69" t="s">
        <v>79</v>
      </c>
      <c r="C692" s="69" t="s">
        <v>80</v>
      </c>
      <c r="D692" s="70" t="s">
        <v>112</v>
      </c>
      <c r="E692" s="69" t="s">
        <v>3565</v>
      </c>
      <c r="F692" s="69" t="s">
        <v>171</v>
      </c>
      <c r="G692" s="69" t="s">
        <v>415</v>
      </c>
      <c r="H692" s="70">
        <v>2010</v>
      </c>
      <c r="I692" s="69"/>
      <c r="J692" s="69" t="s">
        <v>3586</v>
      </c>
      <c r="K692" s="71" t="s">
        <v>3587</v>
      </c>
      <c r="L692" s="71" t="s">
        <v>3588</v>
      </c>
      <c r="M692" s="71" t="s">
        <v>3589</v>
      </c>
      <c r="N692" s="69" t="s">
        <v>57</v>
      </c>
      <c r="O692" s="64">
        <v>1</v>
      </c>
      <c r="P692" s="72">
        <v>16433</v>
      </c>
      <c r="Q692" s="69" t="s">
        <v>3590</v>
      </c>
      <c r="R692" s="69"/>
      <c r="S692" s="121" t="s">
        <v>333</v>
      </c>
      <c r="T692" s="56">
        <v>15</v>
      </c>
      <c r="U692" s="56">
        <v>3</v>
      </c>
    </row>
    <row r="693" spans="1:21" ht="14.25" customHeight="1" x14ac:dyDescent="0.35">
      <c r="A693" s="47">
        <v>677</v>
      </c>
      <c r="B693" s="69" t="s">
        <v>79</v>
      </c>
      <c r="C693" s="69" t="s">
        <v>80</v>
      </c>
      <c r="D693" s="70" t="s">
        <v>116</v>
      </c>
      <c r="E693" s="69" t="s">
        <v>1860</v>
      </c>
      <c r="F693" s="69" t="s">
        <v>202</v>
      </c>
      <c r="G693" s="69" t="s">
        <v>54</v>
      </c>
      <c r="H693" s="70">
        <v>2012</v>
      </c>
      <c r="I693" s="69"/>
      <c r="J693" s="69" t="s">
        <v>3591</v>
      </c>
      <c r="K693" s="71" t="s">
        <v>3592</v>
      </c>
      <c r="L693" s="71" t="s">
        <v>3593</v>
      </c>
      <c r="M693" s="71" t="s">
        <v>3594</v>
      </c>
      <c r="N693" s="69" t="s">
        <v>57</v>
      </c>
      <c r="O693" s="64">
        <v>1</v>
      </c>
      <c r="P693" s="72">
        <v>13177.55</v>
      </c>
      <c r="Q693" s="69" t="s">
        <v>3595</v>
      </c>
      <c r="R693" s="69"/>
      <c r="S693" s="121" t="s">
        <v>333</v>
      </c>
      <c r="T693" s="56">
        <v>15</v>
      </c>
      <c r="U693" s="56">
        <v>3</v>
      </c>
    </row>
    <row r="694" spans="1:21" ht="14.25" customHeight="1" thickBot="1" x14ac:dyDescent="0.4">
      <c r="A694" s="58">
        <v>678</v>
      </c>
      <c r="B694" s="69" t="s">
        <v>79</v>
      </c>
      <c r="C694" s="69" t="s">
        <v>80</v>
      </c>
      <c r="D694" s="70" t="s">
        <v>904</v>
      </c>
      <c r="E694" s="69" t="s">
        <v>155</v>
      </c>
      <c r="F694" s="69" t="s">
        <v>163</v>
      </c>
      <c r="G694" s="69" t="s">
        <v>140</v>
      </c>
      <c r="H694" s="70">
        <v>2017</v>
      </c>
      <c r="I694" s="69" t="s">
        <v>63</v>
      </c>
      <c r="J694" s="69" t="s">
        <v>3596</v>
      </c>
      <c r="K694" s="71" t="s">
        <v>3597</v>
      </c>
      <c r="L694" s="71" t="s">
        <v>3598</v>
      </c>
      <c r="M694" s="71" t="s">
        <v>3599</v>
      </c>
      <c r="N694" s="69" t="s">
        <v>57</v>
      </c>
      <c r="O694" s="64">
        <v>1</v>
      </c>
      <c r="P694" s="72">
        <v>15252.263999999999</v>
      </c>
      <c r="Q694" s="69" t="s">
        <v>3600</v>
      </c>
      <c r="R694" s="69"/>
      <c r="S694" s="121" t="s">
        <v>333</v>
      </c>
      <c r="T694" s="56">
        <v>15</v>
      </c>
      <c r="U694" s="56">
        <v>3</v>
      </c>
    </row>
    <row r="695" spans="1:21" ht="14.25" customHeight="1" x14ac:dyDescent="0.35">
      <c r="A695" s="47">
        <v>679</v>
      </c>
      <c r="B695" s="69" t="s">
        <v>79</v>
      </c>
      <c r="C695" s="69" t="s">
        <v>80</v>
      </c>
      <c r="D695" s="70" t="s">
        <v>122</v>
      </c>
      <c r="E695" s="69" t="s">
        <v>155</v>
      </c>
      <c r="F695" s="69" t="s">
        <v>163</v>
      </c>
      <c r="G695" s="69" t="s">
        <v>140</v>
      </c>
      <c r="H695" s="70">
        <v>2017</v>
      </c>
      <c r="I695" s="69" t="s">
        <v>63</v>
      </c>
      <c r="J695" s="69" t="s">
        <v>3601</v>
      </c>
      <c r="K695" s="71" t="s">
        <v>3602</v>
      </c>
      <c r="L695" s="71" t="s">
        <v>3603</v>
      </c>
      <c r="M695" s="71" t="s">
        <v>3604</v>
      </c>
      <c r="N695" s="69" t="s">
        <v>57</v>
      </c>
      <c r="O695" s="64">
        <v>1</v>
      </c>
      <c r="P695" s="72">
        <v>15252.263999999999</v>
      </c>
      <c r="Q695" s="69" t="s">
        <v>3605</v>
      </c>
      <c r="R695" s="69"/>
      <c r="S695" s="121" t="s">
        <v>333</v>
      </c>
      <c r="T695" s="56">
        <v>15</v>
      </c>
      <c r="U695" s="56">
        <v>3</v>
      </c>
    </row>
    <row r="696" spans="1:21" ht="14.25" customHeight="1" thickBot="1" x14ac:dyDescent="0.4">
      <c r="A696" s="58">
        <v>680</v>
      </c>
      <c r="B696" s="69" t="s">
        <v>79</v>
      </c>
      <c r="C696" s="69" t="s">
        <v>80</v>
      </c>
      <c r="D696" s="70" t="s">
        <v>126</v>
      </c>
      <c r="E696" s="69" t="s">
        <v>155</v>
      </c>
      <c r="F696" s="69" t="s">
        <v>163</v>
      </c>
      <c r="G696" s="69" t="s">
        <v>140</v>
      </c>
      <c r="H696" s="70">
        <v>2017</v>
      </c>
      <c r="I696" s="69" t="s">
        <v>63</v>
      </c>
      <c r="J696" s="69" t="s">
        <v>3606</v>
      </c>
      <c r="K696" s="71" t="s">
        <v>3607</v>
      </c>
      <c r="L696" s="71" t="s">
        <v>3608</v>
      </c>
      <c r="M696" s="71" t="s">
        <v>3609</v>
      </c>
      <c r="N696" s="69" t="s">
        <v>57</v>
      </c>
      <c r="O696" s="64">
        <v>1</v>
      </c>
      <c r="P696" s="72">
        <v>15252.263999999999</v>
      </c>
      <c r="Q696" s="69" t="s">
        <v>3610</v>
      </c>
      <c r="R696" s="69"/>
      <c r="S696" s="121" t="s">
        <v>333</v>
      </c>
      <c r="T696" s="56">
        <v>15</v>
      </c>
      <c r="U696" s="56">
        <v>3</v>
      </c>
    </row>
    <row r="697" spans="1:21" ht="14.25" customHeight="1" x14ac:dyDescent="0.35">
      <c r="A697" s="47">
        <v>681</v>
      </c>
      <c r="B697" s="69" t="s">
        <v>79</v>
      </c>
      <c r="C697" s="69" t="s">
        <v>80</v>
      </c>
      <c r="D697" s="70" t="s">
        <v>132</v>
      </c>
      <c r="E697" s="69" t="s">
        <v>155</v>
      </c>
      <c r="F697" s="69" t="s">
        <v>163</v>
      </c>
      <c r="G697" s="69" t="s">
        <v>140</v>
      </c>
      <c r="H697" s="70">
        <v>2017</v>
      </c>
      <c r="I697" s="69" t="s">
        <v>63</v>
      </c>
      <c r="J697" s="69" t="s">
        <v>3611</v>
      </c>
      <c r="K697" s="71" t="s">
        <v>3612</v>
      </c>
      <c r="L697" s="71" t="s">
        <v>3613</v>
      </c>
      <c r="M697" s="71" t="s">
        <v>3614</v>
      </c>
      <c r="N697" s="69" t="s">
        <v>57</v>
      </c>
      <c r="O697" s="64">
        <v>1</v>
      </c>
      <c r="P697" s="72">
        <v>15252.263999999999</v>
      </c>
      <c r="Q697" s="69" t="s">
        <v>3615</v>
      </c>
      <c r="R697" s="69"/>
      <c r="S697" s="121" t="s">
        <v>333</v>
      </c>
      <c r="T697" s="56">
        <v>15</v>
      </c>
      <c r="U697" s="56">
        <v>3</v>
      </c>
    </row>
    <row r="698" spans="1:21" ht="14.25" customHeight="1" thickBot="1" x14ac:dyDescent="0.4">
      <c r="A698" s="58">
        <v>682</v>
      </c>
      <c r="B698" s="69" t="s">
        <v>79</v>
      </c>
      <c r="C698" s="69" t="s">
        <v>80</v>
      </c>
      <c r="D698" s="70" t="s">
        <v>137</v>
      </c>
      <c r="E698" s="69" t="s">
        <v>155</v>
      </c>
      <c r="F698" s="69" t="s">
        <v>156</v>
      </c>
      <c r="G698" s="69" t="s">
        <v>140</v>
      </c>
      <c r="H698" s="70">
        <v>2017</v>
      </c>
      <c r="I698" s="69" t="s">
        <v>63</v>
      </c>
      <c r="J698" s="69" t="s">
        <v>3616</v>
      </c>
      <c r="K698" s="71" t="s">
        <v>3617</v>
      </c>
      <c r="L698" s="71" t="s">
        <v>3618</v>
      </c>
      <c r="M698" s="71" t="s">
        <v>3619</v>
      </c>
      <c r="N698" s="69" t="s">
        <v>57</v>
      </c>
      <c r="O698" s="64">
        <v>1</v>
      </c>
      <c r="P698" s="72">
        <v>15252.263999999999</v>
      </c>
      <c r="Q698" s="69" t="s">
        <v>3620</v>
      </c>
      <c r="R698" s="69"/>
      <c r="S698" s="121" t="s">
        <v>333</v>
      </c>
      <c r="T698" s="56">
        <v>15</v>
      </c>
      <c r="U698" s="56">
        <v>3</v>
      </c>
    </row>
    <row r="699" spans="1:21" ht="14.25" customHeight="1" x14ac:dyDescent="0.35">
      <c r="A699" s="47">
        <v>683</v>
      </c>
      <c r="B699" s="69" t="s">
        <v>79</v>
      </c>
      <c r="C699" s="69" t="s">
        <v>80</v>
      </c>
      <c r="D699" s="70" t="s">
        <v>146</v>
      </c>
      <c r="E699" s="69" t="s">
        <v>155</v>
      </c>
      <c r="F699" s="69" t="s">
        <v>156</v>
      </c>
      <c r="G699" s="69" t="s">
        <v>140</v>
      </c>
      <c r="H699" s="70">
        <v>2017</v>
      </c>
      <c r="I699" s="69" t="s">
        <v>63</v>
      </c>
      <c r="J699" s="69" t="s">
        <v>3621</v>
      </c>
      <c r="K699" s="71" t="s">
        <v>3622</v>
      </c>
      <c r="L699" s="71" t="s">
        <v>3623</v>
      </c>
      <c r="M699" s="71" t="s">
        <v>3624</v>
      </c>
      <c r="N699" s="69" t="s">
        <v>57</v>
      </c>
      <c r="O699" s="64">
        <v>1</v>
      </c>
      <c r="P699" s="72">
        <v>15252.263999999999</v>
      </c>
      <c r="Q699" s="69" t="s">
        <v>3625</v>
      </c>
      <c r="R699" s="69"/>
      <c r="S699" s="121" t="s">
        <v>333</v>
      </c>
      <c r="T699" s="56">
        <v>15</v>
      </c>
      <c r="U699" s="56">
        <v>3</v>
      </c>
    </row>
    <row r="700" spans="1:21" ht="14.25" customHeight="1" thickBot="1" x14ac:dyDescent="0.4">
      <c r="A700" s="58">
        <v>684</v>
      </c>
      <c r="B700" s="69" t="s">
        <v>79</v>
      </c>
      <c r="C700" s="69" t="s">
        <v>80</v>
      </c>
      <c r="D700" s="70" t="s">
        <v>154</v>
      </c>
      <c r="E700" s="69" t="s">
        <v>155</v>
      </c>
      <c r="F700" s="69" t="s">
        <v>156</v>
      </c>
      <c r="G700" s="69" t="s">
        <v>140</v>
      </c>
      <c r="H700" s="70">
        <v>2017</v>
      </c>
      <c r="I700" s="69" t="s">
        <v>63</v>
      </c>
      <c r="J700" s="69" t="s">
        <v>3626</v>
      </c>
      <c r="K700" s="71" t="s">
        <v>3627</v>
      </c>
      <c r="L700" s="71" t="s">
        <v>3628</v>
      </c>
      <c r="M700" s="71" t="s">
        <v>3629</v>
      </c>
      <c r="N700" s="69" t="s">
        <v>57</v>
      </c>
      <c r="O700" s="64">
        <v>1</v>
      </c>
      <c r="P700" s="72">
        <v>15252.263999999999</v>
      </c>
      <c r="Q700" s="69" t="s">
        <v>3630</v>
      </c>
      <c r="R700" s="69"/>
      <c r="S700" s="121" t="s">
        <v>333</v>
      </c>
      <c r="T700" s="56">
        <v>15</v>
      </c>
      <c r="U700" s="56">
        <v>3</v>
      </c>
    </row>
    <row r="701" spans="1:21" ht="14.25" customHeight="1" x14ac:dyDescent="0.35">
      <c r="A701" s="47">
        <v>685</v>
      </c>
      <c r="B701" s="69" t="s">
        <v>79</v>
      </c>
      <c r="C701" s="69" t="s">
        <v>80</v>
      </c>
      <c r="D701" s="70" t="s">
        <v>161</v>
      </c>
      <c r="E701" s="69" t="s">
        <v>155</v>
      </c>
      <c r="F701" s="69" t="s">
        <v>156</v>
      </c>
      <c r="G701" s="69" t="s">
        <v>140</v>
      </c>
      <c r="H701" s="70">
        <v>2017</v>
      </c>
      <c r="I701" s="69" t="s">
        <v>63</v>
      </c>
      <c r="J701" s="69" t="s">
        <v>3631</v>
      </c>
      <c r="K701" s="71" t="s">
        <v>3632</v>
      </c>
      <c r="L701" s="71" t="s">
        <v>3633</v>
      </c>
      <c r="M701" s="71" t="s">
        <v>3634</v>
      </c>
      <c r="N701" s="69" t="s">
        <v>57</v>
      </c>
      <c r="O701" s="64">
        <v>1</v>
      </c>
      <c r="P701" s="72">
        <v>15252.263999999999</v>
      </c>
      <c r="Q701" s="69" t="s">
        <v>3635</v>
      </c>
      <c r="R701" s="69"/>
      <c r="S701" s="121" t="s">
        <v>333</v>
      </c>
      <c r="T701" s="56">
        <v>15</v>
      </c>
      <c r="U701" s="56">
        <v>3</v>
      </c>
    </row>
    <row r="702" spans="1:21" ht="14.25" customHeight="1" thickBot="1" x14ac:dyDescent="0.4">
      <c r="A702" s="58">
        <v>686</v>
      </c>
      <c r="B702" s="69" t="s">
        <v>79</v>
      </c>
      <c r="C702" s="69" t="s">
        <v>80</v>
      </c>
      <c r="D702" s="70" t="s">
        <v>169</v>
      </c>
      <c r="E702" s="69" t="s">
        <v>1888</v>
      </c>
      <c r="F702" s="69" t="s">
        <v>443</v>
      </c>
      <c r="G702" s="69" t="s">
        <v>54</v>
      </c>
      <c r="H702" s="70">
        <v>2013</v>
      </c>
      <c r="I702" s="69" t="s">
        <v>63</v>
      </c>
      <c r="J702" s="69" t="s">
        <v>3636</v>
      </c>
      <c r="K702" s="71" t="s">
        <v>3637</v>
      </c>
      <c r="L702" s="71" t="s">
        <v>3638</v>
      </c>
      <c r="M702" s="71" t="s">
        <v>3639</v>
      </c>
      <c r="N702" s="69" t="s">
        <v>57</v>
      </c>
      <c r="O702" s="64">
        <v>1</v>
      </c>
      <c r="P702" s="72">
        <v>14108.5</v>
      </c>
      <c r="Q702" s="69" t="s">
        <v>3640</v>
      </c>
      <c r="R702" s="69"/>
      <c r="S702" s="121" t="s">
        <v>333</v>
      </c>
      <c r="T702" s="56">
        <v>15</v>
      </c>
      <c r="U702" s="56">
        <v>3</v>
      </c>
    </row>
    <row r="703" spans="1:21" ht="14.25" customHeight="1" x14ac:dyDescent="0.35">
      <c r="A703" s="47">
        <v>687</v>
      </c>
      <c r="B703" s="69" t="s">
        <v>79</v>
      </c>
      <c r="C703" s="69" t="s">
        <v>80</v>
      </c>
      <c r="D703" s="70" t="s">
        <v>176</v>
      </c>
      <c r="E703" s="69" t="s">
        <v>414</v>
      </c>
      <c r="F703" s="69" t="s">
        <v>217</v>
      </c>
      <c r="G703" s="69" t="s">
        <v>415</v>
      </c>
      <c r="H703" s="70">
        <v>2021</v>
      </c>
      <c r="I703" s="69" t="s">
        <v>63</v>
      </c>
      <c r="J703" s="69" t="s">
        <v>63</v>
      </c>
      <c r="K703" s="71" t="s">
        <v>3641</v>
      </c>
      <c r="L703" s="71" t="s">
        <v>3642</v>
      </c>
      <c r="M703" s="71" t="s">
        <v>3643</v>
      </c>
      <c r="N703" s="69" t="s">
        <v>57</v>
      </c>
      <c r="O703" s="64">
        <v>1</v>
      </c>
      <c r="P703" s="72">
        <v>33100</v>
      </c>
      <c r="Q703" s="69" t="s">
        <v>420</v>
      </c>
      <c r="R703" s="69"/>
      <c r="S703" s="121" t="s">
        <v>333</v>
      </c>
      <c r="T703" s="56">
        <v>15</v>
      </c>
      <c r="U703" s="56">
        <v>3</v>
      </c>
    </row>
    <row r="704" spans="1:21" ht="14.25" customHeight="1" thickBot="1" x14ac:dyDescent="0.4">
      <c r="A704" s="58">
        <v>688</v>
      </c>
      <c r="B704" s="125" t="s">
        <v>3644</v>
      </c>
      <c r="C704" s="126" t="s">
        <v>3645</v>
      </c>
      <c r="D704" s="70">
        <v>1</v>
      </c>
      <c r="E704" s="127" t="s">
        <v>3646</v>
      </c>
      <c r="F704" s="128" t="s">
        <v>3647</v>
      </c>
      <c r="G704" s="125" t="s">
        <v>247</v>
      </c>
      <c r="H704" s="128">
        <v>2019</v>
      </c>
      <c r="I704" s="126" t="s">
        <v>63</v>
      </c>
      <c r="J704" s="126" t="s">
        <v>3648</v>
      </c>
      <c r="K704" s="129" t="s">
        <v>3649</v>
      </c>
      <c r="L704" s="130" t="s">
        <v>3650</v>
      </c>
      <c r="M704" s="129" t="s">
        <v>3651</v>
      </c>
      <c r="N704" s="126" t="s">
        <v>57</v>
      </c>
      <c r="O704" s="126" t="s">
        <v>3652</v>
      </c>
      <c r="P704" s="72">
        <v>1498499.2</v>
      </c>
      <c r="Q704" s="69" t="s">
        <v>3653</v>
      </c>
      <c r="R704" s="69"/>
      <c r="S704" s="69" t="s">
        <v>3654</v>
      </c>
      <c r="T704" s="56">
        <v>16</v>
      </c>
      <c r="U704" s="56">
        <v>6</v>
      </c>
    </row>
    <row r="705" spans="1:21" ht="14.25" customHeight="1" x14ac:dyDescent="0.35">
      <c r="A705" s="47">
        <v>689</v>
      </c>
      <c r="B705" s="131" t="s">
        <v>3655</v>
      </c>
      <c r="C705" s="132" t="s">
        <v>3656</v>
      </c>
      <c r="D705" s="70">
        <v>1</v>
      </c>
      <c r="E705" s="133" t="s">
        <v>3657</v>
      </c>
      <c r="F705" s="134" t="s">
        <v>3658</v>
      </c>
      <c r="G705" s="131" t="s">
        <v>54</v>
      </c>
      <c r="H705" s="134">
        <v>2008</v>
      </c>
      <c r="I705" s="132" t="s">
        <v>63</v>
      </c>
      <c r="J705" s="132" t="s">
        <v>3659</v>
      </c>
      <c r="K705" s="135" t="s">
        <v>3660</v>
      </c>
      <c r="L705" s="136" t="s">
        <v>3661</v>
      </c>
      <c r="M705" s="137" t="s">
        <v>3662</v>
      </c>
      <c r="N705" s="132" t="s">
        <v>422</v>
      </c>
      <c r="O705" s="132" t="s">
        <v>3663</v>
      </c>
      <c r="P705" s="72">
        <v>109375</v>
      </c>
      <c r="Q705" s="69" t="s">
        <v>3664</v>
      </c>
      <c r="R705" s="69"/>
      <c r="S705" s="69" t="s">
        <v>3654</v>
      </c>
      <c r="T705" s="56">
        <v>16</v>
      </c>
      <c r="U705" s="56">
        <v>5</v>
      </c>
    </row>
    <row r="706" spans="1:21" ht="14.25" customHeight="1" thickBot="1" x14ac:dyDescent="0.4">
      <c r="A706" s="58">
        <v>690</v>
      </c>
      <c r="B706" s="131" t="s">
        <v>1745</v>
      </c>
      <c r="C706" s="132" t="s">
        <v>1746</v>
      </c>
      <c r="D706" s="70">
        <v>1</v>
      </c>
      <c r="E706" s="133" t="s">
        <v>3665</v>
      </c>
      <c r="F706" s="134" t="s">
        <v>3647</v>
      </c>
      <c r="G706" s="131" t="s">
        <v>54</v>
      </c>
      <c r="H706" s="134">
        <v>2018</v>
      </c>
      <c r="I706" s="132" t="s">
        <v>63</v>
      </c>
      <c r="J706" s="132" t="s">
        <v>3666</v>
      </c>
      <c r="K706" s="135" t="s">
        <v>3667</v>
      </c>
      <c r="L706" s="136" t="s">
        <v>3668</v>
      </c>
      <c r="M706" s="135" t="s">
        <v>3669</v>
      </c>
      <c r="N706" s="132" t="s">
        <v>57</v>
      </c>
      <c r="O706" s="132" t="s">
        <v>3670</v>
      </c>
      <c r="P706" s="72">
        <v>732396.8</v>
      </c>
      <c r="Q706" s="69" t="s">
        <v>3671</v>
      </c>
      <c r="R706" s="69"/>
      <c r="S706" s="69" t="s">
        <v>3654</v>
      </c>
      <c r="T706" s="56">
        <v>16</v>
      </c>
      <c r="U706" s="56">
        <v>4</v>
      </c>
    </row>
    <row r="707" spans="1:21" ht="14.25" customHeight="1" x14ac:dyDescent="0.35">
      <c r="A707" s="47">
        <v>691</v>
      </c>
      <c r="B707" s="131" t="s">
        <v>1745</v>
      </c>
      <c r="C707" s="132" t="s">
        <v>1746</v>
      </c>
      <c r="D707" s="70">
        <v>2</v>
      </c>
      <c r="E707" s="133" t="s">
        <v>3672</v>
      </c>
      <c r="F707" s="134" t="s">
        <v>3673</v>
      </c>
      <c r="G707" s="131" t="s">
        <v>54</v>
      </c>
      <c r="H707" s="134">
        <v>2020</v>
      </c>
      <c r="I707" s="132" t="s">
        <v>63</v>
      </c>
      <c r="J707" s="125" t="s">
        <v>3674</v>
      </c>
      <c r="K707" s="129" t="s">
        <v>3675</v>
      </c>
      <c r="L707" s="130" t="s">
        <v>3676</v>
      </c>
      <c r="M707" s="129" t="s">
        <v>3663</v>
      </c>
      <c r="N707" s="132" t="s">
        <v>44</v>
      </c>
      <c r="O707" s="132" t="s">
        <v>3677</v>
      </c>
      <c r="P707" s="72">
        <v>518590</v>
      </c>
      <c r="Q707" s="69" t="s">
        <v>3678</v>
      </c>
      <c r="R707" s="69"/>
      <c r="S707" s="69" t="s">
        <v>3654</v>
      </c>
      <c r="T707" s="56">
        <v>16</v>
      </c>
      <c r="U707" s="56">
        <v>4</v>
      </c>
    </row>
    <row r="708" spans="1:21" ht="14.25" customHeight="1" thickBot="1" x14ac:dyDescent="0.4">
      <c r="A708" s="58">
        <v>692</v>
      </c>
      <c r="B708" s="131" t="s">
        <v>1745</v>
      </c>
      <c r="C708" s="132" t="s">
        <v>1746</v>
      </c>
      <c r="D708" s="70">
        <v>3</v>
      </c>
      <c r="E708" s="133" t="s">
        <v>3672</v>
      </c>
      <c r="F708" s="134" t="s">
        <v>3679</v>
      </c>
      <c r="G708" s="131" t="s">
        <v>54</v>
      </c>
      <c r="H708" s="134">
        <v>2019</v>
      </c>
      <c r="I708" s="132" t="s">
        <v>63</v>
      </c>
      <c r="J708" s="125" t="s">
        <v>3680</v>
      </c>
      <c r="K708" s="129" t="s">
        <v>3681</v>
      </c>
      <c r="L708" s="130" t="s">
        <v>3682</v>
      </c>
      <c r="M708" s="129" t="s">
        <v>3670</v>
      </c>
      <c r="N708" s="132" t="s">
        <v>44</v>
      </c>
      <c r="O708" s="132"/>
      <c r="P708" s="72">
        <v>494420.11</v>
      </c>
      <c r="Q708" s="69" t="s">
        <v>3683</v>
      </c>
      <c r="R708" s="69"/>
      <c r="S708" s="69" t="s">
        <v>3654</v>
      </c>
      <c r="T708" s="56">
        <v>16</v>
      </c>
      <c r="U708" s="56">
        <v>4</v>
      </c>
    </row>
    <row r="709" spans="1:21" ht="14.25" customHeight="1" x14ac:dyDescent="0.35">
      <c r="A709" s="47">
        <v>693</v>
      </c>
      <c r="B709" s="138" t="s">
        <v>1806</v>
      </c>
      <c r="C709" s="139" t="s">
        <v>1807</v>
      </c>
      <c r="D709" s="140">
        <v>1</v>
      </c>
      <c r="E709" s="141" t="s">
        <v>3684</v>
      </c>
      <c r="F709" s="140" t="s">
        <v>1609</v>
      </c>
      <c r="G709" s="138" t="s">
        <v>54</v>
      </c>
      <c r="H709" s="140">
        <v>2008</v>
      </c>
      <c r="I709" s="132"/>
      <c r="J709" s="132" t="s">
        <v>3685</v>
      </c>
      <c r="K709" s="135" t="s">
        <v>3686</v>
      </c>
      <c r="L709" s="136" t="s">
        <v>3687</v>
      </c>
      <c r="M709" s="135" t="s">
        <v>3688</v>
      </c>
      <c r="N709" s="132" t="s">
        <v>57</v>
      </c>
      <c r="O709" s="132" t="s">
        <v>3689</v>
      </c>
      <c r="P709" s="72">
        <v>112500</v>
      </c>
      <c r="Q709" s="69" t="s">
        <v>3690</v>
      </c>
      <c r="R709" s="69"/>
      <c r="S709" s="69" t="s">
        <v>3654</v>
      </c>
      <c r="T709" s="56">
        <v>16</v>
      </c>
      <c r="U709" s="56">
        <v>4</v>
      </c>
    </row>
    <row r="710" spans="1:21" ht="14.25" customHeight="1" thickBot="1" x14ac:dyDescent="0.4">
      <c r="A710" s="58">
        <v>694</v>
      </c>
      <c r="B710" s="142" t="s">
        <v>1806</v>
      </c>
      <c r="C710" s="142" t="s">
        <v>1807</v>
      </c>
      <c r="D710" s="143">
        <v>2</v>
      </c>
      <c r="E710" s="144" t="s">
        <v>3691</v>
      </c>
      <c r="F710" s="145" t="s">
        <v>2332</v>
      </c>
      <c r="G710" s="146" t="s">
        <v>247</v>
      </c>
      <c r="H710" s="147">
        <v>2024</v>
      </c>
      <c r="I710" s="131" t="s">
        <v>63</v>
      </c>
      <c r="J710" s="148" t="s">
        <v>3692</v>
      </c>
      <c r="K710" s="125" t="s">
        <v>3693</v>
      </c>
      <c r="L710" s="149" t="s">
        <v>3694</v>
      </c>
      <c r="M710" s="126" t="s">
        <v>3677</v>
      </c>
      <c r="N710" s="69" t="s">
        <v>44</v>
      </c>
      <c r="O710" s="69" t="s">
        <v>3695</v>
      </c>
      <c r="P710" s="72">
        <v>429300</v>
      </c>
      <c r="Q710" s="69" t="s">
        <v>3696</v>
      </c>
      <c r="R710" s="69"/>
      <c r="S710" s="69" t="s">
        <v>3654</v>
      </c>
      <c r="T710" s="56">
        <v>16</v>
      </c>
      <c r="U710" s="56">
        <v>4</v>
      </c>
    </row>
    <row r="711" spans="1:21" ht="14.25" customHeight="1" x14ac:dyDescent="0.35">
      <c r="A711" s="47">
        <v>695</v>
      </c>
      <c r="B711" s="142" t="s">
        <v>70</v>
      </c>
      <c r="C711" s="142" t="s">
        <v>71</v>
      </c>
      <c r="D711" s="143">
        <v>3</v>
      </c>
      <c r="E711" s="150" t="s">
        <v>3697</v>
      </c>
      <c r="F711" s="151" t="s">
        <v>3698</v>
      </c>
      <c r="G711" s="142" t="s">
        <v>54</v>
      </c>
      <c r="H711" s="152">
        <v>2022</v>
      </c>
      <c r="I711" s="131"/>
      <c r="J711" s="125" t="s">
        <v>3699</v>
      </c>
      <c r="K711" s="126" t="s">
        <v>3700</v>
      </c>
      <c r="L711" s="130" t="s">
        <v>3701</v>
      </c>
      <c r="M711" s="71" t="s">
        <v>3702</v>
      </c>
      <c r="N711" s="69" t="s">
        <v>44</v>
      </c>
      <c r="O711" s="69" t="s">
        <v>3695</v>
      </c>
      <c r="P711" s="72">
        <v>425500</v>
      </c>
      <c r="Q711" s="69" t="s">
        <v>3703</v>
      </c>
      <c r="R711" s="69"/>
      <c r="S711" s="69" t="s">
        <v>3654</v>
      </c>
      <c r="T711" s="56">
        <v>16</v>
      </c>
      <c r="U711" s="56">
        <v>4</v>
      </c>
    </row>
    <row r="712" spans="1:21" ht="70.5" customHeight="1" thickBot="1" x14ac:dyDescent="0.4">
      <c r="A712" s="58">
        <v>696</v>
      </c>
      <c r="B712" s="142" t="s">
        <v>70</v>
      </c>
      <c r="C712" s="142" t="s">
        <v>71</v>
      </c>
      <c r="D712" s="123">
        <v>4</v>
      </c>
      <c r="E712" s="150" t="s">
        <v>3704</v>
      </c>
      <c r="F712" s="153" t="s">
        <v>3698</v>
      </c>
      <c r="G712" s="142" t="s">
        <v>54</v>
      </c>
      <c r="H712" s="152">
        <v>2024</v>
      </c>
      <c r="I712" s="131" t="s">
        <v>63</v>
      </c>
      <c r="J712" s="125" t="s">
        <v>3705</v>
      </c>
      <c r="K712" s="126" t="s">
        <v>3706</v>
      </c>
      <c r="L712" s="154" t="s">
        <v>3707</v>
      </c>
      <c r="M712" s="71" t="s">
        <v>3708</v>
      </c>
      <c r="N712" s="69" t="s">
        <v>44</v>
      </c>
      <c r="O712" s="69" t="s">
        <v>3695</v>
      </c>
      <c r="P712" s="72">
        <v>478300</v>
      </c>
      <c r="Q712" s="69" t="s">
        <v>3709</v>
      </c>
      <c r="R712" s="69"/>
      <c r="S712" s="69" t="s">
        <v>3654</v>
      </c>
      <c r="T712" s="56">
        <v>16</v>
      </c>
      <c r="U712" s="56">
        <v>4</v>
      </c>
    </row>
    <row r="713" spans="1:21" ht="14.25" customHeight="1" x14ac:dyDescent="0.35">
      <c r="A713" s="47">
        <v>697</v>
      </c>
      <c r="B713" s="142" t="s">
        <v>70</v>
      </c>
      <c r="C713" s="142" t="s">
        <v>71</v>
      </c>
      <c r="D713" s="143">
        <v>5</v>
      </c>
      <c r="E713" s="150" t="s">
        <v>3710</v>
      </c>
      <c r="F713" s="151" t="s">
        <v>3711</v>
      </c>
      <c r="G713" s="142" t="s">
        <v>54</v>
      </c>
      <c r="H713" s="152">
        <v>2014</v>
      </c>
      <c r="I713" s="131"/>
      <c r="J713" s="155" t="s">
        <v>3712</v>
      </c>
      <c r="K713" s="156" t="s">
        <v>3713</v>
      </c>
      <c r="L713" s="154" t="s">
        <v>3714</v>
      </c>
      <c r="M713" s="71" t="s">
        <v>3715</v>
      </c>
      <c r="N713" s="69" t="s">
        <v>57</v>
      </c>
      <c r="O713" s="69" t="s">
        <v>3695</v>
      </c>
      <c r="P713" s="72">
        <v>356889</v>
      </c>
      <c r="Q713" s="69" t="s">
        <v>3716</v>
      </c>
      <c r="R713" s="69"/>
      <c r="S713" s="69" t="s">
        <v>3654</v>
      </c>
      <c r="T713" s="56">
        <v>16</v>
      </c>
      <c r="U713" s="56">
        <v>4</v>
      </c>
    </row>
    <row r="714" spans="1:21" ht="14.25" customHeight="1" thickBot="1" x14ac:dyDescent="0.4">
      <c r="A714" s="58">
        <v>698</v>
      </c>
      <c r="B714" s="142" t="s">
        <v>79</v>
      </c>
      <c r="C714" s="142" t="s">
        <v>80</v>
      </c>
      <c r="D714" s="123">
        <v>2</v>
      </c>
      <c r="E714" s="144" t="s">
        <v>230</v>
      </c>
      <c r="F714" s="145" t="s">
        <v>217</v>
      </c>
      <c r="G714" s="146" t="s">
        <v>54</v>
      </c>
      <c r="H714" s="152">
        <v>2013</v>
      </c>
      <c r="I714" s="131" t="s">
        <v>63</v>
      </c>
      <c r="J714" s="148" t="s">
        <v>3717</v>
      </c>
      <c r="K714" s="156" t="s">
        <v>3718</v>
      </c>
      <c r="L714" s="71" t="s">
        <v>3719</v>
      </c>
      <c r="M714" s="71" t="s">
        <v>3720</v>
      </c>
      <c r="N714" s="69" t="s">
        <v>57</v>
      </c>
      <c r="O714" s="69" t="s">
        <v>3695</v>
      </c>
      <c r="P714" s="72">
        <v>18004.099999999999</v>
      </c>
      <c r="Q714" s="69" t="s">
        <v>3721</v>
      </c>
      <c r="R714" s="69"/>
      <c r="S714" s="69" t="s">
        <v>3654</v>
      </c>
      <c r="T714" s="56">
        <v>16</v>
      </c>
      <c r="U714" s="56">
        <v>3</v>
      </c>
    </row>
    <row r="715" spans="1:21" ht="14.25" customHeight="1" x14ac:dyDescent="0.35">
      <c r="A715" s="47">
        <v>699</v>
      </c>
      <c r="B715" s="142" t="s">
        <v>79</v>
      </c>
      <c r="C715" s="142" t="s">
        <v>80</v>
      </c>
      <c r="D715" s="123">
        <v>3</v>
      </c>
      <c r="E715" s="157" t="s">
        <v>3722</v>
      </c>
      <c r="F715" s="145">
        <v>110</v>
      </c>
      <c r="G715" s="146" t="s">
        <v>54</v>
      </c>
      <c r="H715" s="152">
        <v>2008</v>
      </c>
      <c r="I715" s="131" t="s">
        <v>63</v>
      </c>
      <c r="J715" s="148" t="s">
        <v>3723</v>
      </c>
      <c r="K715" s="156" t="s">
        <v>3724</v>
      </c>
      <c r="L715" s="71" t="s">
        <v>3725</v>
      </c>
      <c r="M715" s="158" t="s">
        <v>3662</v>
      </c>
      <c r="N715" s="69" t="s">
        <v>57</v>
      </c>
      <c r="O715" s="69" t="s">
        <v>3695</v>
      </c>
      <c r="P715" s="72">
        <v>11570</v>
      </c>
      <c r="Q715" s="69" t="s">
        <v>3726</v>
      </c>
      <c r="R715" s="69"/>
      <c r="S715" s="69" t="s">
        <v>3654</v>
      </c>
      <c r="T715" s="56">
        <v>16</v>
      </c>
      <c r="U715" s="56">
        <v>3</v>
      </c>
    </row>
    <row r="716" spans="1:21" ht="14.25" customHeight="1" thickBot="1" x14ac:dyDescent="0.4">
      <c r="A716" s="58">
        <v>700</v>
      </c>
      <c r="B716" s="142" t="s">
        <v>79</v>
      </c>
      <c r="C716" s="142" t="s">
        <v>80</v>
      </c>
      <c r="D716" s="123">
        <v>4</v>
      </c>
      <c r="E716" s="144" t="s">
        <v>3727</v>
      </c>
      <c r="F716" s="145">
        <v>125</v>
      </c>
      <c r="G716" s="146" t="s">
        <v>54</v>
      </c>
      <c r="H716" s="152">
        <v>2008</v>
      </c>
      <c r="I716" s="131" t="s">
        <v>63</v>
      </c>
      <c r="J716" s="148" t="s">
        <v>3728</v>
      </c>
      <c r="K716" s="156" t="s">
        <v>3729</v>
      </c>
      <c r="L716" s="71" t="s">
        <v>3730</v>
      </c>
      <c r="M716" s="71" t="s">
        <v>3731</v>
      </c>
      <c r="N716" s="69" t="s">
        <v>57</v>
      </c>
      <c r="O716" s="69" t="s">
        <v>3695</v>
      </c>
      <c r="P716" s="72">
        <v>11923</v>
      </c>
      <c r="Q716" s="69" t="s">
        <v>3732</v>
      </c>
      <c r="R716" s="69"/>
      <c r="S716" s="69" t="s">
        <v>3654</v>
      </c>
      <c r="T716" s="56">
        <v>16</v>
      </c>
      <c r="U716" s="56">
        <v>3</v>
      </c>
    </row>
    <row r="717" spans="1:21" ht="14.25" customHeight="1" x14ac:dyDescent="0.35">
      <c r="A717" s="47">
        <v>701</v>
      </c>
      <c r="B717" s="142" t="s">
        <v>79</v>
      </c>
      <c r="C717" s="142" t="s">
        <v>80</v>
      </c>
      <c r="D717" s="123">
        <v>5</v>
      </c>
      <c r="E717" s="144" t="s">
        <v>3727</v>
      </c>
      <c r="F717" s="145">
        <v>125</v>
      </c>
      <c r="G717" s="146" t="s">
        <v>54</v>
      </c>
      <c r="H717" s="152">
        <v>2008</v>
      </c>
      <c r="I717" s="131" t="s">
        <v>63</v>
      </c>
      <c r="J717" s="148" t="s">
        <v>3733</v>
      </c>
      <c r="K717" s="156" t="s">
        <v>3734</v>
      </c>
      <c r="L717" s="71" t="s">
        <v>3735</v>
      </c>
      <c r="M717" s="71" t="s">
        <v>3736</v>
      </c>
      <c r="N717" s="69" t="s">
        <v>57</v>
      </c>
      <c r="O717" s="69" t="s">
        <v>3695</v>
      </c>
      <c r="P717" s="72">
        <v>11923</v>
      </c>
      <c r="Q717" s="69" t="s">
        <v>3737</v>
      </c>
      <c r="R717" s="69"/>
      <c r="S717" s="69" t="s">
        <v>3654</v>
      </c>
      <c r="T717" s="56">
        <v>16</v>
      </c>
      <c r="U717" s="56">
        <v>3</v>
      </c>
    </row>
    <row r="718" spans="1:21" ht="14.25" customHeight="1" thickBot="1" x14ac:dyDescent="0.4">
      <c r="A718" s="58">
        <v>702</v>
      </c>
      <c r="B718" s="142" t="s">
        <v>79</v>
      </c>
      <c r="C718" s="142" t="s">
        <v>80</v>
      </c>
      <c r="D718" s="123">
        <v>6</v>
      </c>
      <c r="E718" s="144" t="s">
        <v>3738</v>
      </c>
      <c r="F718" s="145">
        <v>100</v>
      </c>
      <c r="G718" s="146" t="s">
        <v>54</v>
      </c>
      <c r="H718" s="152">
        <v>2008</v>
      </c>
      <c r="I718" s="131" t="s">
        <v>63</v>
      </c>
      <c r="J718" s="148" t="s">
        <v>3739</v>
      </c>
      <c r="K718" s="156" t="s">
        <v>3660</v>
      </c>
      <c r="L718" s="71" t="s">
        <v>3740</v>
      </c>
      <c r="M718" s="158" t="s">
        <v>3662</v>
      </c>
      <c r="N718" s="69" t="s">
        <v>57</v>
      </c>
      <c r="O718" s="69" t="s">
        <v>3695</v>
      </c>
      <c r="P718" s="72">
        <v>12198</v>
      </c>
      <c r="Q718" s="69" t="s">
        <v>3741</v>
      </c>
      <c r="R718" s="69"/>
      <c r="S718" s="69" t="s">
        <v>3654</v>
      </c>
      <c r="T718" s="56">
        <v>16</v>
      </c>
      <c r="U718" s="56">
        <v>3</v>
      </c>
    </row>
    <row r="719" spans="1:21" ht="14.25" customHeight="1" x14ac:dyDescent="0.35">
      <c r="A719" s="47">
        <v>703</v>
      </c>
      <c r="B719" s="142" t="s">
        <v>79</v>
      </c>
      <c r="C719" s="142" t="s">
        <v>80</v>
      </c>
      <c r="D719" s="123">
        <v>9</v>
      </c>
      <c r="E719" s="144" t="s">
        <v>3742</v>
      </c>
      <c r="F719" s="145">
        <v>100</v>
      </c>
      <c r="G719" s="146" t="s">
        <v>54</v>
      </c>
      <c r="H719" s="152">
        <v>2008</v>
      </c>
      <c r="I719" s="131" t="s">
        <v>63</v>
      </c>
      <c r="J719" s="148" t="s">
        <v>3743</v>
      </c>
      <c r="K719" s="156" t="s">
        <v>3744</v>
      </c>
      <c r="L719" s="71" t="s">
        <v>3745</v>
      </c>
      <c r="M719" s="71" t="s">
        <v>3746</v>
      </c>
      <c r="N719" s="69" t="s">
        <v>57</v>
      </c>
      <c r="O719" s="69" t="s">
        <v>3695</v>
      </c>
      <c r="P719" s="72">
        <v>17314</v>
      </c>
      <c r="Q719" s="69" t="s">
        <v>3726</v>
      </c>
      <c r="R719" s="69"/>
      <c r="S719" s="69" t="s">
        <v>3654</v>
      </c>
      <c r="T719" s="56">
        <v>16</v>
      </c>
      <c r="U719" s="56">
        <v>3</v>
      </c>
    </row>
    <row r="720" spans="1:21" ht="14.25" customHeight="1" thickBot="1" x14ac:dyDescent="0.4">
      <c r="A720" s="58">
        <v>704</v>
      </c>
      <c r="B720" s="142" t="s">
        <v>79</v>
      </c>
      <c r="C720" s="142" t="s">
        <v>80</v>
      </c>
      <c r="D720" s="123">
        <v>10</v>
      </c>
      <c r="E720" s="144" t="s">
        <v>3742</v>
      </c>
      <c r="F720" s="145">
        <v>100</v>
      </c>
      <c r="G720" s="146" t="s">
        <v>54</v>
      </c>
      <c r="H720" s="152">
        <v>2008</v>
      </c>
      <c r="I720" s="131" t="s">
        <v>63</v>
      </c>
      <c r="J720" s="148" t="s">
        <v>3747</v>
      </c>
      <c r="K720" s="156" t="s">
        <v>3748</v>
      </c>
      <c r="L720" s="71" t="s">
        <v>3749</v>
      </c>
      <c r="M720" s="71" t="s">
        <v>3750</v>
      </c>
      <c r="N720" s="69" t="s">
        <v>57</v>
      </c>
      <c r="O720" s="69" t="s">
        <v>3695</v>
      </c>
      <c r="P720" s="72">
        <v>17314</v>
      </c>
      <c r="Q720" s="69" t="s">
        <v>3726</v>
      </c>
      <c r="R720" s="69"/>
      <c r="S720" s="69" t="s">
        <v>3654</v>
      </c>
      <c r="T720" s="56">
        <v>16</v>
      </c>
      <c r="U720" s="56">
        <v>3</v>
      </c>
    </row>
    <row r="721" spans="1:21" ht="14.25" customHeight="1" x14ac:dyDescent="0.35">
      <c r="A721" s="47">
        <v>705</v>
      </c>
      <c r="B721" s="142" t="s">
        <v>79</v>
      </c>
      <c r="C721" s="142" t="s">
        <v>80</v>
      </c>
      <c r="D721" s="123">
        <v>11</v>
      </c>
      <c r="E721" s="157" t="s">
        <v>3751</v>
      </c>
      <c r="F721" s="145">
        <v>100</v>
      </c>
      <c r="G721" s="146" t="s">
        <v>54</v>
      </c>
      <c r="H721" s="152">
        <v>2008</v>
      </c>
      <c r="I721" s="131" t="s">
        <v>63</v>
      </c>
      <c r="J721" s="148" t="s">
        <v>3752</v>
      </c>
      <c r="K721" s="156" t="s">
        <v>3744</v>
      </c>
      <c r="L721" s="71" t="s">
        <v>3753</v>
      </c>
      <c r="M721" s="71" t="s">
        <v>3754</v>
      </c>
      <c r="N721" s="69" t="s">
        <v>57</v>
      </c>
      <c r="O721" s="69" t="s">
        <v>3695</v>
      </c>
      <c r="P721" s="72">
        <v>17314</v>
      </c>
      <c r="Q721" s="69" t="s">
        <v>3755</v>
      </c>
      <c r="R721" s="69"/>
      <c r="S721" s="69" t="s">
        <v>3654</v>
      </c>
      <c r="T721" s="56">
        <v>16</v>
      </c>
      <c r="U721" s="56">
        <v>3</v>
      </c>
    </row>
    <row r="722" spans="1:21" ht="14.25" customHeight="1" thickBot="1" x14ac:dyDescent="0.4">
      <c r="A722" s="58">
        <v>706</v>
      </c>
      <c r="B722" s="142" t="s">
        <v>79</v>
      </c>
      <c r="C722" s="142" t="s">
        <v>80</v>
      </c>
      <c r="D722" s="123">
        <v>12</v>
      </c>
      <c r="E722" s="144" t="s">
        <v>3742</v>
      </c>
      <c r="F722" s="145">
        <v>100</v>
      </c>
      <c r="G722" s="146" t="s">
        <v>54</v>
      </c>
      <c r="H722" s="152">
        <v>2008</v>
      </c>
      <c r="I722" s="131" t="s">
        <v>63</v>
      </c>
      <c r="J722" s="155" t="s">
        <v>3756</v>
      </c>
      <c r="K722" s="156" t="s">
        <v>3757</v>
      </c>
      <c r="L722" s="71" t="s">
        <v>3758</v>
      </c>
      <c r="M722" s="71" t="s">
        <v>3759</v>
      </c>
      <c r="N722" s="69" t="s">
        <v>57</v>
      </c>
      <c r="O722" s="69" t="s">
        <v>3695</v>
      </c>
      <c r="P722" s="72">
        <v>17314</v>
      </c>
      <c r="Q722" s="69" t="s">
        <v>3760</v>
      </c>
      <c r="R722" s="69"/>
      <c r="S722" s="69" t="s">
        <v>3654</v>
      </c>
      <c r="T722" s="56">
        <v>16</v>
      </c>
      <c r="U722" s="56">
        <v>3</v>
      </c>
    </row>
    <row r="723" spans="1:21" ht="14.25" customHeight="1" x14ac:dyDescent="0.35">
      <c r="A723" s="47">
        <v>707</v>
      </c>
      <c r="B723" s="142" t="s">
        <v>79</v>
      </c>
      <c r="C723" s="142" t="s">
        <v>80</v>
      </c>
      <c r="D723" s="123">
        <v>13</v>
      </c>
      <c r="E723" s="144" t="s">
        <v>3761</v>
      </c>
      <c r="F723" s="145">
        <v>125</v>
      </c>
      <c r="G723" s="146" t="s">
        <v>54</v>
      </c>
      <c r="H723" s="147">
        <v>2008</v>
      </c>
      <c r="I723" s="131" t="s">
        <v>63</v>
      </c>
      <c r="J723" s="148" t="s">
        <v>3762</v>
      </c>
      <c r="K723" s="156" t="s">
        <v>3763</v>
      </c>
      <c r="L723" s="71" t="s">
        <v>3764</v>
      </c>
      <c r="M723" s="71" t="s">
        <v>3765</v>
      </c>
      <c r="N723" s="69" t="s">
        <v>57</v>
      </c>
      <c r="O723" s="69" t="s">
        <v>3695</v>
      </c>
      <c r="P723" s="72">
        <v>17314</v>
      </c>
      <c r="Q723" s="69" t="s">
        <v>3726</v>
      </c>
      <c r="R723" s="69"/>
      <c r="S723" s="69" t="s">
        <v>3654</v>
      </c>
      <c r="T723" s="56">
        <v>16</v>
      </c>
      <c r="U723" s="56">
        <v>3</v>
      </c>
    </row>
    <row r="724" spans="1:21" ht="14.25" customHeight="1" thickBot="1" x14ac:dyDescent="0.4">
      <c r="A724" s="58">
        <v>708</v>
      </c>
      <c r="B724" s="103" t="s">
        <v>79</v>
      </c>
      <c r="C724" s="103" t="s">
        <v>80</v>
      </c>
      <c r="D724" s="159">
        <v>14</v>
      </c>
      <c r="E724" s="103" t="s">
        <v>3766</v>
      </c>
      <c r="F724" s="159">
        <v>149</v>
      </c>
      <c r="G724" s="103" t="s">
        <v>140</v>
      </c>
      <c r="H724" s="70">
        <v>2018</v>
      </c>
      <c r="I724" s="69" t="s">
        <v>63</v>
      </c>
      <c r="J724" s="69" t="s">
        <v>3767</v>
      </c>
      <c r="K724" s="71" t="s">
        <v>3768</v>
      </c>
      <c r="L724" s="71" t="s">
        <v>3769</v>
      </c>
      <c r="M724" s="71" t="s">
        <v>3770</v>
      </c>
      <c r="N724" s="69" t="s">
        <v>57</v>
      </c>
      <c r="O724" s="69" t="s">
        <v>3695</v>
      </c>
      <c r="P724" s="72">
        <v>31708</v>
      </c>
      <c r="Q724" s="160" t="s">
        <v>7880</v>
      </c>
      <c r="R724" s="160"/>
      <c r="S724" s="69" t="s">
        <v>3654</v>
      </c>
      <c r="T724" s="56">
        <v>16</v>
      </c>
      <c r="U724" s="56">
        <v>3</v>
      </c>
    </row>
    <row r="725" spans="1:21" ht="14.25" customHeight="1" x14ac:dyDescent="0.35">
      <c r="A725" s="47">
        <v>709</v>
      </c>
      <c r="B725" s="69" t="s">
        <v>79</v>
      </c>
      <c r="C725" s="69" t="s">
        <v>80</v>
      </c>
      <c r="D725" s="70">
        <v>15</v>
      </c>
      <c r="E725" s="69" t="s">
        <v>3771</v>
      </c>
      <c r="F725" s="70">
        <v>109</v>
      </c>
      <c r="G725" s="69" t="s">
        <v>140</v>
      </c>
      <c r="H725" s="70">
        <v>2015</v>
      </c>
      <c r="I725" s="69" t="s">
        <v>63</v>
      </c>
      <c r="J725" s="69" t="s">
        <v>3772</v>
      </c>
      <c r="K725" s="71" t="s">
        <v>3773</v>
      </c>
      <c r="L725" s="71" t="s">
        <v>3774</v>
      </c>
      <c r="M725" s="71" t="s">
        <v>3775</v>
      </c>
      <c r="N725" s="69" t="s">
        <v>57</v>
      </c>
      <c r="O725" s="69" t="s">
        <v>3695</v>
      </c>
      <c r="P725" s="72">
        <v>14654.5</v>
      </c>
      <c r="Q725" s="69" t="s">
        <v>3776</v>
      </c>
      <c r="R725" s="69"/>
      <c r="S725" s="69" t="s">
        <v>3654</v>
      </c>
      <c r="T725" s="56">
        <v>16</v>
      </c>
      <c r="U725" s="56">
        <v>3</v>
      </c>
    </row>
    <row r="726" spans="1:21" ht="14.25" customHeight="1" thickBot="1" x14ac:dyDescent="0.4">
      <c r="A726" s="58">
        <v>710</v>
      </c>
      <c r="B726" s="69" t="s">
        <v>79</v>
      </c>
      <c r="C726" s="69" t="s">
        <v>80</v>
      </c>
      <c r="D726" s="70">
        <v>17</v>
      </c>
      <c r="E726" s="69" t="s">
        <v>3777</v>
      </c>
      <c r="F726" s="70">
        <v>125</v>
      </c>
      <c r="G726" s="69" t="s">
        <v>140</v>
      </c>
      <c r="H726" s="70">
        <v>2018</v>
      </c>
      <c r="I726" s="69" t="s">
        <v>63</v>
      </c>
      <c r="J726" s="69" t="s">
        <v>3778</v>
      </c>
      <c r="K726" s="71" t="s">
        <v>3779</v>
      </c>
      <c r="L726" s="71" t="s">
        <v>3780</v>
      </c>
      <c r="M726" s="71" t="s">
        <v>3781</v>
      </c>
      <c r="N726" s="69" t="s">
        <v>57</v>
      </c>
      <c r="O726" s="69" t="s">
        <v>3695</v>
      </c>
      <c r="P726" s="72">
        <v>19471.2</v>
      </c>
      <c r="Q726" s="69" t="s">
        <v>7881</v>
      </c>
      <c r="R726" s="69"/>
      <c r="S726" s="69" t="s">
        <v>3654</v>
      </c>
      <c r="T726" s="56">
        <v>16</v>
      </c>
      <c r="U726" s="56">
        <v>3</v>
      </c>
    </row>
    <row r="727" spans="1:21" ht="14.25" customHeight="1" x14ac:dyDescent="0.35">
      <c r="A727" s="47">
        <v>711</v>
      </c>
      <c r="B727" s="69" t="s">
        <v>79</v>
      </c>
      <c r="C727" s="69" t="s">
        <v>80</v>
      </c>
      <c r="D727" s="70">
        <v>18</v>
      </c>
      <c r="E727" s="69" t="s">
        <v>3782</v>
      </c>
      <c r="F727" s="70">
        <v>149</v>
      </c>
      <c r="G727" s="69" t="s">
        <v>140</v>
      </c>
      <c r="H727" s="70">
        <v>2015</v>
      </c>
      <c r="I727" s="69"/>
      <c r="J727" s="69" t="s">
        <v>3783</v>
      </c>
      <c r="K727" s="71" t="s">
        <v>3784</v>
      </c>
      <c r="L727" s="71" t="s">
        <v>3785</v>
      </c>
      <c r="M727" s="71" t="s">
        <v>3786</v>
      </c>
      <c r="N727" s="69" t="s">
        <v>57</v>
      </c>
      <c r="O727" s="69" t="s">
        <v>3695</v>
      </c>
      <c r="P727" s="72">
        <v>19782.3</v>
      </c>
      <c r="Q727" s="69" t="s">
        <v>3787</v>
      </c>
      <c r="R727" s="69"/>
      <c r="S727" s="69" t="s">
        <v>3654</v>
      </c>
      <c r="T727" s="56">
        <v>16</v>
      </c>
      <c r="U727" s="56">
        <v>3</v>
      </c>
    </row>
    <row r="728" spans="1:21" ht="14.25" customHeight="1" thickBot="1" x14ac:dyDescent="0.4">
      <c r="A728" s="58">
        <v>712</v>
      </c>
      <c r="B728" s="69" t="s">
        <v>79</v>
      </c>
      <c r="C728" s="69" t="s">
        <v>80</v>
      </c>
      <c r="D728" s="70">
        <v>19</v>
      </c>
      <c r="E728" s="69" t="s">
        <v>155</v>
      </c>
      <c r="F728" s="70">
        <v>108</v>
      </c>
      <c r="G728" s="69" t="s">
        <v>140</v>
      </c>
      <c r="H728" s="70">
        <v>2017</v>
      </c>
      <c r="I728" s="69" t="s">
        <v>63</v>
      </c>
      <c r="J728" s="69" t="s">
        <v>3788</v>
      </c>
      <c r="K728" s="71" t="s">
        <v>3789</v>
      </c>
      <c r="L728" s="71" t="s">
        <v>3790</v>
      </c>
      <c r="M728" s="71" t="s">
        <v>3791</v>
      </c>
      <c r="N728" s="69" t="s">
        <v>57</v>
      </c>
      <c r="O728" s="69" t="s">
        <v>3695</v>
      </c>
      <c r="P728" s="72">
        <v>15252.263999999999</v>
      </c>
      <c r="Q728" s="69" t="s">
        <v>3792</v>
      </c>
      <c r="R728" s="69"/>
      <c r="S728" s="69" t="s">
        <v>3654</v>
      </c>
      <c r="T728" s="56">
        <v>16</v>
      </c>
      <c r="U728" s="56">
        <v>3</v>
      </c>
    </row>
    <row r="729" spans="1:21" ht="14.25" customHeight="1" x14ac:dyDescent="0.35">
      <c r="A729" s="47">
        <v>713</v>
      </c>
      <c r="B729" s="69" t="s">
        <v>79</v>
      </c>
      <c r="C729" s="69" t="s">
        <v>80</v>
      </c>
      <c r="D729" s="70">
        <v>20</v>
      </c>
      <c r="E729" s="69" t="s">
        <v>138</v>
      </c>
      <c r="F729" s="70">
        <v>124.8</v>
      </c>
      <c r="G729" s="69" t="s">
        <v>140</v>
      </c>
      <c r="H729" s="70">
        <v>2014</v>
      </c>
      <c r="I729" s="69"/>
      <c r="J729" s="69" t="s">
        <v>3793</v>
      </c>
      <c r="K729" s="71" t="s">
        <v>3794</v>
      </c>
      <c r="L729" s="71" t="s">
        <v>3795</v>
      </c>
      <c r="M729" s="71" t="s">
        <v>3796</v>
      </c>
      <c r="N729" s="69" t="s">
        <v>57</v>
      </c>
      <c r="O729" s="69" t="s">
        <v>3695</v>
      </c>
      <c r="P729" s="72">
        <v>17194</v>
      </c>
      <c r="Q729" s="69" t="s">
        <v>3797</v>
      </c>
      <c r="R729" s="69"/>
      <c r="S729" s="69" t="s">
        <v>3654</v>
      </c>
      <c r="T729" s="56">
        <v>16</v>
      </c>
      <c r="U729" s="56">
        <v>3</v>
      </c>
    </row>
    <row r="730" spans="1:21" ht="14.25" customHeight="1" thickBot="1" x14ac:dyDescent="0.4">
      <c r="A730" s="58">
        <v>714</v>
      </c>
      <c r="B730" s="69" t="s">
        <v>79</v>
      </c>
      <c r="C730" s="69" t="s">
        <v>80</v>
      </c>
      <c r="D730" s="70">
        <v>21</v>
      </c>
      <c r="E730" s="69" t="s">
        <v>3771</v>
      </c>
      <c r="F730" s="70">
        <v>109</v>
      </c>
      <c r="G730" s="69" t="s">
        <v>140</v>
      </c>
      <c r="H730" s="70">
        <v>2015</v>
      </c>
      <c r="I730" s="69" t="s">
        <v>63</v>
      </c>
      <c r="J730" s="69" t="s">
        <v>3798</v>
      </c>
      <c r="K730" s="71" t="s">
        <v>3799</v>
      </c>
      <c r="L730" s="71" t="s">
        <v>3800</v>
      </c>
      <c r="M730" s="71" t="s">
        <v>3801</v>
      </c>
      <c r="N730" s="69" t="s">
        <v>57</v>
      </c>
      <c r="O730" s="69" t="s">
        <v>3695</v>
      </c>
      <c r="P730" s="72">
        <v>14654.5</v>
      </c>
      <c r="Q730" s="69" t="s">
        <v>3802</v>
      </c>
      <c r="R730" s="69"/>
      <c r="S730" s="69" t="s">
        <v>3654</v>
      </c>
      <c r="T730" s="56">
        <v>16</v>
      </c>
      <c r="U730" s="56">
        <v>3</v>
      </c>
    </row>
    <row r="731" spans="1:21" ht="14.25" customHeight="1" x14ac:dyDescent="0.35">
      <c r="A731" s="47">
        <v>715</v>
      </c>
      <c r="B731" s="69" t="s">
        <v>79</v>
      </c>
      <c r="C731" s="69" t="s">
        <v>80</v>
      </c>
      <c r="D731" s="70">
        <v>24</v>
      </c>
      <c r="E731" s="69" t="s">
        <v>3771</v>
      </c>
      <c r="F731" s="70">
        <v>109</v>
      </c>
      <c r="G731" s="69" t="s">
        <v>140</v>
      </c>
      <c r="H731" s="70">
        <v>2015</v>
      </c>
      <c r="I731" s="69"/>
      <c r="J731" s="69" t="s">
        <v>3803</v>
      </c>
      <c r="K731" s="71" t="s">
        <v>3804</v>
      </c>
      <c r="L731" s="71" t="s">
        <v>3805</v>
      </c>
      <c r="M731" s="71" t="s">
        <v>3806</v>
      </c>
      <c r="N731" s="69" t="s">
        <v>57</v>
      </c>
      <c r="O731" s="69" t="s">
        <v>3695</v>
      </c>
      <c r="P731" s="72">
        <v>14654.5</v>
      </c>
      <c r="Q731" s="69" t="s">
        <v>3807</v>
      </c>
      <c r="R731" s="69"/>
      <c r="S731" s="69" t="s">
        <v>3654</v>
      </c>
      <c r="T731" s="56">
        <v>16</v>
      </c>
      <c r="U731" s="56">
        <v>3</v>
      </c>
    </row>
    <row r="732" spans="1:21" ht="14.25" customHeight="1" thickBot="1" x14ac:dyDescent="0.4">
      <c r="A732" s="58">
        <v>716</v>
      </c>
      <c r="B732" s="69" t="s">
        <v>3808</v>
      </c>
      <c r="C732" s="69" t="s">
        <v>3809</v>
      </c>
      <c r="D732" s="70">
        <v>1</v>
      </c>
      <c r="E732" s="69" t="s">
        <v>3810</v>
      </c>
      <c r="F732" s="70">
        <v>2499</v>
      </c>
      <c r="G732" s="69" t="s">
        <v>54</v>
      </c>
      <c r="H732" s="70">
        <v>2012</v>
      </c>
      <c r="I732" s="69"/>
      <c r="J732" s="69" t="s">
        <v>3811</v>
      </c>
      <c r="K732" s="71" t="s">
        <v>3812</v>
      </c>
      <c r="L732" s="71" t="s">
        <v>3813</v>
      </c>
      <c r="M732" s="158" t="s">
        <v>3814</v>
      </c>
      <c r="N732" s="69" t="s">
        <v>422</v>
      </c>
      <c r="O732" s="69" t="s">
        <v>3695</v>
      </c>
      <c r="P732" s="72">
        <v>296808.73200000002</v>
      </c>
      <c r="Q732" s="69" t="s">
        <v>3815</v>
      </c>
      <c r="R732" s="69"/>
      <c r="S732" s="69" t="s">
        <v>3654</v>
      </c>
      <c r="T732" s="56">
        <v>16</v>
      </c>
      <c r="U732" s="56">
        <v>4</v>
      </c>
    </row>
    <row r="733" spans="1:21" ht="14.25" customHeight="1" x14ac:dyDescent="0.35">
      <c r="A733" s="47">
        <v>717</v>
      </c>
      <c r="B733" s="69" t="s">
        <v>1806</v>
      </c>
      <c r="C733" s="69" t="s">
        <v>1807</v>
      </c>
      <c r="D733" s="70" t="s">
        <v>51</v>
      </c>
      <c r="E733" s="69" t="s">
        <v>2558</v>
      </c>
      <c r="F733" s="69" t="s">
        <v>2559</v>
      </c>
      <c r="G733" s="69" t="s">
        <v>54</v>
      </c>
      <c r="H733" s="70">
        <v>2011</v>
      </c>
      <c r="I733" s="69" t="s">
        <v>63</v>
      </c>
      <c r="J733" s="69" t="s">
        <v>3816</v>
      </c>
      <c r="K733" s="71" t="s">
        <v>3817</v>
      </c>
      <c r="L733" s="71" t="s">
        <v>3818</v>
      </c>
      <c r="M733" s="71" t="s">
        <v>3819</v>
      </c>
      <c r="N733" s="69" t="s">
        <v>57</v>
      </c>
      <c r="O733" s="64">
        <v>1</v>
      </c>
      <c r="P733" s="72">
        <v>228815</v>
      </c>
      <c r="Q733" s="69" t="s">
        <v>3820</v>
      </c>
      <c r="R733" s="69"/>
      <c r="S733" s="121" t="s">
        <v>377</v>
      </c>
      <c r="T733" s="56">
        <v>17</v>
      </c>
      <c r="U733" s="56">
        <v>4</v>
      </c>
    </row>
    <row r="734" spans="1:21" ht="14.25" customHeight="1" thickBot="1" x14ac:dyDescent="0.4">
      <c r="A734" s="58">
        <v>718</v>
      </c>
      <c r="B734" s="69" t="s">
        <v>70</v>
      </c>
      <c r="C734" s="69" t="s">
        <v>71</v>
      </c>
      <c r="D734" s="70" t="s">
        <v>51</v>
      </c>
      <c r="E734" s="69" t="s">
        <v>3821</v>
      </c>
      <c r="F734" s="69" t="s">
        <v>3822</v>
      </c>
      <c r="G734" s="69" t="s">
        <v>140</v>
      </c>
      <c r="H734" s="70">
        <v>2016</v>
      </c>
      <c r="I734" s="69"/>
      <c r="J734" s="69" t="s">
        <v>3823</v>
      </c>
      <c r="K734" s="71" t="s">
        <v>3824</v>
      </c>
      <c r="L734" s="71" t="s">
        <v>3825</v>
      </c>
      <c r="M734" s="71" t="s">
        <v>3826</v>
      </c>
      <c r="N734" s="69" t="s">
        <v>57</v>
      </c>
      <c r="O734" s="64">
        <v>1</v>
      </c>
      <c r="P734" s="72">
        <v>409652</v>
      </c>
      <c r="Q734" s="69" t="s">
        <v>3827</v>
      </c>
      <c r="R734" s="69"/>
      <c r="S734" s="121" t="s">
        <v>377</v>
      </c>
      <c r="T734" s="56">
        <v>17</v>
      </c>
      <c r="U734" s="56">
        <v>4</v>
      </c>
    </row>
    <row r="735" spans="1:21" ht="14.25" customHeight="1" x14ac:dyDescent="0.35">
      <c r="A735" s="47">
        <v>719</v>
      </c>
      <c r="B735" s="69" t="s">
        <v>79</v>
      </c>
      <c r="C735" s="69" t="s">
        <v>80</v>
      </c>
      <c r="D735" s="70" t="s">
        <v>51</v>
      </c>
      <c r="E735" s="69" t="s">
        <v>3771</v>
      </c>
      <c r="F735" s="69" t="s">
        <v>3828</v>
      </c>
      <c r="G735" s="69" t="s">
        <v>140</v>
      </c>
      <c r="H735" s="70">
        <v>2015</v>
      </c>
      <c r="I735" s="69"/>
      <c r="J735" s="69" t="s">
        <v>3829</v>
      </c>
      <c r="K735" s="71" t="s">
        <v>3830</v>
      </c>
      <c r="L735" s="71" t="s">
        <v>3831</v>
      </c>
      <c r="M735" s="71" t="s">
        <v>3832</v>
      </c>
      <c r="N735" s="69" t="s">
        <v>57</v>
      </c>
      <c r="O735" s="64">
        <v>1</v>
      </c>
      <c r="P735" s="72">
        <v>14654.5</v>
      </c>
      <c r="Q735" s="69" t="s">
        <v>3833</v>
      </c>
      <c r="R735" s="69"/>
      <c r="S735" s="121" t="s">
        <v>377</v>
      </c>
      <c r="T735" s="56">
        <v>17</v>
      </c>
      <c r="U735" s="56">
        <v>3</v>
      </c>
    </row>
    <row r="736" spans="1:21" ht="14.25" customHeight="1" thickBot="1" x14ac:dyDescent="0.4">
      <c r="A736" s="58">
        <v>720</v>
      </c>
      <c r="B736" s="69" t="s">
        <v>79</v>
      </c>
      <c r="C736" s="69" t="s">
        <v>80</v>
      </c>
      <c r="D736" s="70" t="s">
        <v>59</v>
      </c>
      <c r="E736" s="69" t="s">
        <v>3782</v>
      </c>
      <c r="F736" s="69" t="s">
        <v>148</v>
      </c>
      <c r="G736" s="69" t="s">
        <v>140</v>
      </c>
      <c r="H736" s="70">
        <v>2015</v>
      </c>
      <c r="I736" s="69"/>
      <c r="J736" s="69" t="s">
        <v>3834</v>
      </c>
      <c r="K736" s="71" t="s">
        <v>3835</v>
      </c>
      <c r="L736" s="71" t="s">
        <v>3836</v>
      </c>
      <c r="M736" s="71" t="s">
        <v>3837</v>
      </c>
      <c r="N736" s="69" t="s">
        <v>57</v>
      </c>
      <c r="O736" s="64">
        <v>1</v>
      </c>
      <c r="P736" s="72">
        <v>19782.3</v>
      </c>
      <c r="Q736" s="69" t="s">
        <v>3838</v>
      </c>
      <c r="R736" s="69"/>
      <c r="S736" s="121" t="s">
        <v>377</v>
      </c>
      <c r="T736" s="56">
        <v>17</v>
      </c>
      <c r="U736" s="56">
        <v>3</v>
      </c>
    </row>
    <row r="737" spans="1:23" ht="14.25" customHeight="1" x14ac:dyDescent="0.35">
      <c r="A737" s="47">
        <v>721</v>
      </c>
      <c r="B737" s="69" t="s">
        <v>79</v>
      </c>
      <c r="C737" s="69" t="s">
        <v>80</v>
      </c>
      <c r="D737" s="70" t="s">
        <v>97</v>
      </c>
      <c r="E737" s="69" t="s">
        <v>3839</v>
      </c>
      <c r="F737" s="69" t="s">
        <v>156</v>
      </c>
      <c r="G737" s="69" t="s">
        <v>140</v>
      </c>
      <c r="H737" s="70">
        <v>2011</v>
      </c>
      <c r="I737" s="69"/>
      <c r="J737" s="69" t="s">
        <v>3840</v>
      </c>
      <c r="K737" s="71" t="s">
        <v>3841</v>
      </c>
      <c r="L737" s="71" t="s">
        <v>3842</v>
      </c>
      <c r="M737" s="71" t="s">
        <v>3843</v>
      </c>
      <c r="N737" s="69" t="s">
        <v>57</v>
      </c>
      <c r="O737" s="64">
        <v>1</v>
      </c>
      <c r="P737" s="72">
        <v>16893</v>
      </c>
      <c r="Q737" s="69" t="s">
        <v>3844</v>
      </c>
      <c r="R737" s="69"/>
      <c r="S737" s="121" t="s">
        <v>377</v>
      </c>
      <c r="T737" s="56">
        <v>17</v>
      </c>
      <c r="U737" s="56">
        <v>3</v>
      </c>
    </row>
    <row r="738" spans="1:23" ht="14.25" customHeight="1" thickBot="1" x14ac:dyDescent="0.4">
      <c r="A738" s="58">
        <v>722</v>
      </c>
      <c r="B738" s="69" t="s">
        <v>79</v>
      </c>
      <c r="C738" s="69" t="s">
        <v>80</v>
      </c>
      <c r="D738" s="70" t="s">
        <v>101</v>
      </c>
      <c r="E738" s="69" t="s">
        <v>2513</v>
      </c>
      <c r="F738" s="69" t="s">
        <v>202</v>
      </c>
      <c r="G738" s="69" t="s">
        <v>54</v>
      </c>
      <c r="H738" s="70">
        <v>2010</v>
      </c>
      <c r="I738" s="69"/>
      <c r="J738" s="69" t="s">
        <v>3845</v>
      </c>
      <c r="K738" s="71" t="s">
        <v>3846</v>
      </c>
      <c r="L738" s="71" t="s">
        <v>3847</v>
      </c>
      <c r="M738" s="71" t="s">
        <v>3848</v>
      </c>
      <c r="N738" s="69" t="s">
        <v>57</v>
      </c>
      <c r="O738" s="64">
        <v>1</v>
      </c>
      <c r="P738" s="72">
        <v>16050</v>
      </c>
      <c r="Q738" s="69" t="s">
        <v>3849</v>
      </c>
      <c r="R738" s="69"/>
      <c r="S738" s="121" t="s">
        <v>377</v>
      </c>
      <c r="T738" s="56">
        <v>17</v>
      </c>
      <c r="U738" s="56">
        <v>3</v>
      </c>
    </row>
    <row r="739" spans="1:23" ht="14.25" customHeight="1" x14ac:dyDescent="0.35">
      <c r="A739" s="47">
        <v>723</v>
      </c>
      <c r="B739" s="69" t="s">
        <v>79</v>
      </c>
      <c r="C739" s="69" t="s">
        <v>80</v>
      </c>
      <c r="D739" s="70" t="s">
        <v>107</v>
      </c>
      <c r="E739" s="69" t="s">
        <v>155</v>
      </c>
      <c r="F739" s="69" t="s">
        <v>156</v>
      </c>
      <c r="G739" s="69" t="s">
        <v>140</v>
      </c>
      <c r="H739" s="70">
        <v>2017</v>
      </c>
      <c r="I739" s="69" t="s">
        <v>63</v>
      </c>
      <c r="J739" s="69" t="s">
        <v>3850</v>
      </c>
      <c r="K739" s="71" t="s">
        <v>3851</v>
      </c>
      <c r="L739" s="71" t="s">
        <v>3852</v>
      </c>
      <c r="M739" s="71" t="s">
        <v>3853</v>
      </c>
      <c r="N739" s="69" t="s">
        <v>57</v>
      </c>
      <c r="O739" s="64">
        <v>1</v>
      </c>
      <c r="P739" s="72">
        <v>15252.263999999999</v>
      </c>
      <c r="Q739" s="69" t="s">
        <v>3854</v>
      </c>
      <c r="R739" s="69"/>
      <c r="S739" s="121" t="s">
        <v>377</v>
      </c>
      <c r="T739" s="56">
        <v>17</v>
      </c>
      <c r="U739" s="56">
        <v>3</v>
      </c>
    </row>
    <row r="740" spans="1:23" ht="14.25" customHeight="1" thickBot="1" x14ac:dyDescent="0.4">
      <c r="A740" s="58">
        <v>724</v>
      </c>
      <c r="B740" s="69" t="s">
        <v>79</v>
      </c>
      <c r="C740" s="69" t="s">
        <v>80</v>
      </c>
      <c r="D740" s="70" t="s">
        <v>112</v>
      </c>
      <c r="E740" s="69" t="s">
        <v>1110</v>
      </c>
      <c r="F740" s="69" t="s">
        <v>163</v>
      </c>
      <c r="G740" s="69" t="s">
        <v>140</v>
      </c>
      <c r="H740" s="70">
        <v>2017</v>
      </c>
      <c r="I740" s="69" t="s">
        <v>63</v>
      </c>
      <c r="J740" s="69" t="s">
        <v>3855</v>
      </c>
      <c r="K740" s="71" t="s">
        <v>3856</v>
      </c>
      <c r="L740" s="71" t="s">
        <v>3857</v>
      </c>
      <c r="M740" s="71" t="s">
        <v>3858</v>
      </c>
      <c r="N740" s="69" t="s">
        <v>57</v>
      </c>
      <c r="O740" s="64">
        <v>1</v>
      </c>
      <c r="P740" s="72">
        <v>15846.6</v>
      </c>
      <c r="Q740" s="69" t="s">
        <v>3859</v>
      </c>
      <c r="R740" s="69"/>
      <c r="S740" s="121" t="s">
        <v>377</v>
      </c>
      <c r="T740" s="56">
        <v>17</v>
      </c>
      <c r="U740" s="56">
        <v>3</v>
      </c>
    </row>
    <row r="741" spans="1:23" ht="14.25" customHeight="1" x14ac:dyDescent="0.35">
      <c r="A741" s="47">
        <v>725</v>
      </c>
      <c r="B741" s="69" t="s">
        <v>79</v>
      </c>
      <c r="C741" s="69" t="s">
        <v>80</v>
      </c>
      <c r="D741" s="70" t="s">
        <v>116</v>
      </c>
      <c r="E741" s="69" t="s">
        <v>1110</v>
      </c>
      <c r="F741" s="69" t="s">
        <v>163</v>
      </c>
      <c r="G741" s="69" t="s">
        <v>140</v>
      </c>
      <c r="H741" s="70">
        <v>2017</v>
      </c>
      <c r="I741" s="69" t="s">
        <v>63</v>
      </c>
      <c r="J741" s="69" t="s">
        <v>3860</v>
      </c>
      <c r="K741" s="71" t="s">
        <v>3861</v>
      </c>
      <c r="L741" s="71" t="s">
        <v>3862</v>
      </c>
      <c r="M741" s="71" t="s">
        <v>3863</v>
      </c>
      <c r="N741" s="69" t="s">
        <v>57</v>
      </c>
      <c r="O741" s="64">
        <v>1</v>
      </c>
      <c r="P741" s="72">
        <v>15846.6</v>
      </c>
      <c r="Q741" s="69" t="s">
        <v>3864</v>
      </c>
      <c r="R741" s="69"/>
      <c r="S741" s="121" t="s">
        <v>377</v>
      </c>
      <c r="T741" s="56">
        <v>17</v>
      </c>
      <c r="U741" s="56">
        <v>3</v>
      </c>
    </row>
    <row r="742" spans="1:23" ht="14.25" customHeight="1" thickBot="1" x14ac:dyDescent="0.4">
      <c r="A742" s="58">
        <v>726</v>
      </c>
      <c r="B742" s="69" t="s">
        <v>79</v>
      </c>
      <c r="C742" s="69" t="s">
        <v>80</v>
      </c>
      <c r="D742" s="70" t="s">
        <v>841</v>
      </c>
      <c r="E742" s="69" t="s">
        <v>3865</v>
      </c>
      <c r="F742" s="69" t="s">
        <v>163</v>
      </c>
      <c r="G742" s="69" t="s">
        <v>140</v>
      </c>
      <c r="H742" s="70">
        <v>2017</v>
      </c>
      <c r="I742" s="69" t="s">
        <v>63</v>
      </c>
      <c r="J742" s="69" t="s">
        <v>3866</v>
      </c>
      <c r="K742" s="71" t="s">
        <v>3867</v>
      </c>
      <c r="L742" s="71" t="s">
        <v>3868</v>
      </c>
      <c r="M742" s="71" t="s">
        <v>3869</v>
      </c>
      <c r="N742" s="69" t="s">
        <v>57</v>
      </c>
      <c r="O742" s="64">
        <v>1</v>
      </c>
      <c r="P742" s="72">
        <v>15846.6</v>
      </c>
      <c r="Q742" s="69" t="s">
        <v>3870</v>
      </c>
      <c r="R742" s="69"/>
      <c r="S742" s="121" t="s">
        <v>377</v>
      </c>
      <c r="T742" s="56">
        <v>17</v>
      </c>
      <c r="U742" s="56">
        <v>3</v>
      </c>
    </row>
    <row r="743" spans="1:23" ht="14.25" customHeight="1" x14ac:dyDescent="0.35">
      <c r="A743" s="47">
        <v>727</v>
      </c>
      <c r="B743" s="69" t="s">
        <v>79</v>
      </c>
      <c r="C743" s="69" t="s">
        <v>80</v>
      </c>
      <c r="D743" s="70" t="s">
        <v>904</v>
      </c>
      <c r="E743" s="69" t="s">
        <v>1110</v>
      </c>
      <c r="F743" s="69" t="s">
        <v>163</v>
      </c>
      <c r="G743" s="69" t="s">
        <v>140</v>
      </c>
      <c r="H743" s="70">
        <v>2017</v>
      </c>
      <c r="I743" s="69" t="s">
        <v>63</v>
      </c>
      <c r="J743" s="69" t="s">
        <v>3871</v>
      </c>
      <c r="K743" s="71" t="s">
        <v>3872</v>
      </c>
      <c r="L743" s="71" t="s">
        <v>3873</v>
      </c>
      <c r="M743" s="71" t="s">
        <v>3874</v>
      </c>
      <c r="N743" s="69" t="s">
        <v>57</v>
      </c>
      <c r="O743" s="64">
        <v>1</v>
      </c>
      <c r="P743" s="72">
        <v>15846.6</v>
      </c>
      <c r="Q743" s="69" t="s">
        <v>3875</v>
      </c>
      <c r="R743" s="69"/>
      <c r="S743" s="121" t="s">
        <v>377</v>
      </c>
      <c r="T743" s="56">
        <v>17</v>
      </c>
      <c r="U743" s="56">
        <v>3</v>
      </c>
    </row>
    <row r="744" spans="1:23" ht="14.25" customHeight="1" thickBot="1" x14ac:dyDescent="0.4">
      <c r="A744" s="58">
        <v>728</v>
      </c>
      <c r="B744" s="69" t="s">
        <v>79</v>
      </c>
      <c r="C744" s="69" t="s">
        <v>80</v>
      </c>
      <c r="D744" s="70" t="s">
        <v>122</v>
      </c>
      <c r="E744" s="69" t="s">
        <v>162</v>
      </c>
      <c r="F744" s="69" t="s">
        <v>163</v>
      </c>
      <c r="G744" s="69" t="s">
        <v>140</v>
      </c>
      <c r="H744" s="70">
        <v>2018</v>
      </c>
      <c r="I744" s="69" t="s">
        <v>63</v>
      </c>
      <c r="J744" s="69" t="s">
        <v>3876</v>
      </c>
      <c r="K744" s="71" t="s">
        <v>3877</v>
      </c>
      <c r="L744" s="71" t="s">
        <v>3878</v>
      </c>
      <c r="M744" s="71" t="s">
        <v>3879</v>
      </c>
      <c r="N744" s="69" t="s">
        <v>57</v>
      </c>
      <c r="O744" s="64">
        <v>1</v>
      </c>
      <c r="P744" s="72">
        <v>15534</v>
      </c>
      <c r="Q744" s="69" t="s">
        <v>3880</v>
      </c>
      <c r="R744" s="69"/>
      <c r="S744" s="121" t="s">
        <v>377</v>
      </c>
      <c r="T744" s="56">
        <v>17</v>
      </c>
      <c r="U744" s="56">
        <v>3</v>
      </c>
    </row>
    <row r="745" spans="1:23" ht="14.25" customHeight="1" x14ac:dyDescent="0.35">
      <c r="A745" s="47">
        <v>729</v>
      </c>
      <c r="B745" s="69" t="s">
        <v>79</v>
      </c>
      <c r="C745" s="69" t="s">
        <v>80</v>
      </c>
      <c r="D745" s="70" t="s">
        <v>126</v>
      </c>
      <c r="E745" s="69" t="s">
        <v>239</v>
      </c>
      <c r="F745" s="69" t="s">
        <v>148</v>
      </c>
      <c r="G745" s="69" t="s">
        <v>140</v>
      </c>
      <c r="H745" s="70">
        <v>2018</v>
      </c>
      <c r="I745" s="69" t="s">
        <v>63</v>
      </c>
      <c r="J745" s="69" t="s">
        <v>3881</v>
      </c>
      <c r="K745" s="71" t="s">
        <v>3882</v>
      </c>
      <c r="L745" s="71" t="s">
        <v>3883</v>
      </c>
      <c r="M745" s="71" t="s">
        <v>3884</v>
      </c>
      <c r="N745" s="69" t="s">
        <v>57</v>
      </c>
      <c r="O745" s="64">
        <v>1</v>
      </c>
      <c r="P745" s="72">
        <v>20234.71</v>
      </c>
      <c r="Q745" s="69" t="s">
        <v>3885</v>
      </c>
      <c r="R745" s="69"/>
      <c r="S745" s="121" t="s">
        <v>377</v>
      </c>
      <c r="T745" s="56">
        <v>17</v>
      </c>
      <c r="U745" s="56">
        <v>3</v>
      </c>
    </row>
    <row r="746" spans="1:23" ht="14.25" customHeight="1" thickBot="1" x14ac:dyDescent="0.4">
      <c r="A746" s="58">
        <v>730</v>
      </c>
      <c r="B746" s="69" t="s">
        <v>79</v>
      </c>
      <c r="C746" s="69" t="s">
        <v>80</v>
      </c>
      <c r="D746" s="70" t="s">
        <v>137</v>
      </c>
      <c r="E746" s="69" t="s">
        <v>414</v>
      </c>
      <c r="F746" s="69" t="s">
        <v>217</v>
      </c>
      <c r="G746" s="69" t="s">
        <v>415</v>
      </c>
      <c r="H746" s="70">
        <v>2021</v>
      </c>
      <c r="I746" s="69" t="s">
        <v>63</v>
      </c>
      <c r="J746" s="69" t="s">
        <v>3886</v>
      </c>
      <c r="K746" s="71" t="s">
        <v>3887</v>
      </c>
      <c r="L746" s="71" t="s">
        <v>3888</v>
      </c>
      <c r="M746" s="71" t="s">
        <v>3889</v>
      </c>
      <c r="N746" s="69" t="s">
        <v>57</v>
      </c>
      <c r="O746" s="64">
        <v>1</v>
      </c>
      <c r="P746" s="72">
        <v>33100</v>
      </c>
      <c r="Q746" s="69" t="s">
        <v>420</v>
      </c>
      <c r="R746" s="69"/>
      <c r="S746" s="121" t="s">
        <v>377</v>
      </c>
      <c r="T746" s="56">
        <v>17</v>
      </c>
      <c r="U746" s="56">
        <v>3</v>
      </c>
    </row>
    <row r="747" spans="1:23" ht="14.25" customHeight="1" x14ac:dyDescent="0.35">
      <c r="A747" s="47">
        <v>731</v>
      </c>
      <c r="B747" s="69" t="s">
        <v>79</v>
      </c>
      <c r="C747" s="69" t="s">
        <v>80</v>
      </c>
      <c r="D747" s="70" t="s">
        <v>146</v>
      </c>
      <c r="E747" s="69" t="s">
        <v>162</v>
      </c>
      <c r="F747" s="69" t="s">
        <v>163</v>
      </c>
      <c r="G747" s="69" t="s">
        <v>140</v>
      </c>
      <c r="H747" s="70">
        <v>2018</v>
      </c>
      <c r="I747" s="69" t="s">
        <v>63</v>
      </c>
      <c r="J747" s="69" t="s">
        <v>3890</v>
      </c>
      <c r="K747" s="71" t="s">
        <v>3891</v>
      </c>
      <c r="L747" s="71" t="s">
        <v>3892</v>
      </c>
      <c r="M747" s="71" t="s">
        <v>3893</v>
      </c>
      <c r="N747" s="69" t="s">
        <v>57</v>
      </c>
      <c r="O747" s="64">
        <v>1</v>
      </c>
      <c r="P747" s="72">
        <v>15534</v>
      </c>
      <c r="Q747" s="69" t="s">
        <v>168</v>
      </c>
      <c r="R747" s="69"/>
      <c r="S747" s="121" t="s">
        <v>377</v>
      </c>
      <c r="T747" s="56">
        <v>17</v>
      </c>
      <c r="U747" s="56">
        <v>3</v>
      </c>
    </row>
    <row r="748" spans="1:23" ht="14.25" customHeight="1" thickBot="1" x14ac:dyDescent="0.4">
      <c r="A748" s="58">
        <v>732</v>
      </c>
      <c r="B748" s="69" t="s">
        <v>79</v>
      </c>
      <c r="C748" s="69" t="s">
        <v>80</v>
      </c>
      <c r="D748" s="70" t="s">
        <v>154</v>
      </c>
      <c r="E748" s="69" t="s">
        <v>1110</v>
      </c>
      <c r="F748" s="69" t="s">
        <v>163</v>
      </c>
      <c r="G748" s="69" t="s">
        <v>140</v>
      </c>
      <c r="H748" s="70">
        <v>2017</v>
      </c>
      <c r="I748" s="69" t="s">
        <v>63</v>
      </c>
      <c r="J748" s="69" t="s">
        <v>3894</v>
      </c>
      <c r="K748" s="71" t="s">
        <v>3895</v>
      </c>
      <c r="L748" s="71" t="s">
        <v>3896</v>
      </c>
      <c r="M748" s="71" t="s">
        <v>3897</v>
      </c>
      <c r="N748" s="69" t="s">
        <v>57</v>
      </c>
      <c r="O748" s="64">
        <v>1</v>
      </c>
      <c r="P748" s="72">
        <v>15846.6</v>
      </c>
      <c r="Q748" s="69" t="s">
        <v>1793</v>
      </c>
      <c r="R748" s="69"/>
      <c r="S748" s="121" t="s">
        <v>377</v>
      </c>
      <c r="T748" s="56">
        <v>17</v>
      </c>
      <c r="U748" s="56">
        <v>3</v>
      </c>
    </row>
    <row r="749" spans="1:23" ht="14.25" customHeight="1" x14ac:dyDescent="0.35">
      <c r="A749" s="47">
        <v>733</v>
      </c>
      <c r="B749" s="69" t="s">
        <v>79</v>
      </c>
      <c r="C749" s="69" t="s">
        <v>80</v>
      </c>
      <c r="D749" s="70" t="s">
        <v>161</v>
      </c>
      <c r="E749" s="69" t="s">
        <v>1110</v>
      </c>
      <c r="F749" s="69" t="s">
        <v>163</v>
      </c>
      <c r="G749" s="69" t="s">
        <v>140</v>
      </c>
      <c r="H749" s="70">
        <v>2017</v>
      </c>
      <c r="I749" s="69" t="s">
        <v>63</v>
      </c>
      <c r="J749" s="69" t="s">
        <v>3898</v>
      </c>
      <c r="K749" s="71" t="s">
        <v>3899</v>
      </c>
      <c r="L749" s="71" t="s">
        <v>3900</v>
      </c>
      <c r="M749" s="71" t="s">
        <v>3901</v>
      </c>
      <c r="N749" s="69" t="s">
        <v>57</v>
      </c>
      <c r="O749" s="64">
        <v>1</v>
      </c>
      <c r="P749" s="72">
        <v>15846.6</v>
      </c>
      <c r="Q749" s="69" t="s">
        <v>1793</v>
      </c>
      <c r="R749" s="69"/>
      <c r="S749" s="121" t="s">
        <v>377</v>
      </c>
      <c r="T749" s="56">
        <v>17</v>
      </c>
      <c r="U749" s="56">
        <v>3</v>
      </c>
    </row>
    <row r="750" spans="1:23" ht="14.25" customHeight="1" thickBot="1" x14ac:dyDescent="0.4">
      <c r="A750" s="58">
        <v>734</v>
      </c>
      <c r="B750" s="73" t="s">
        <v>1745</v>
      </c>
      <c r="C750" s="73" t="s">
        <v>1746</v>
      </c>
      <c r="D750" s="74" t="s">
        <v>51</v>
      </c>
      <c r="E750" s="73" t="s">
        <v>3902</v>
      </c>
      <c r="F750" s="161" t="s">
        <v>3903</v>
      </c>
      <c r="G750" s="73" t="s">
        <v>140</v>
      </c>
      <c r="H750" s="74">
        <v>2019</v>
      </c>
      <c r="I750" s="73" t="s">
        <v>63</v>
      </c>
      <c r="J750" s="73" t="s">
        <v>3904</v>
      </c>
      <c r="K750" s="73" t="s">
        <v>3905</v>
      </c>
      <c r="L750" s="73" t="s">
        <v>3906</v>
      </c>
      <c r="M750" s="73" t="s">
        <v>3907</v>
      </c>
      <c r="N750" s="73" t="s">
        <v>57</v>
      </c>
      <c r="O750" s="75">
        <v>1</v>
      </c>
      <c r="P750" s="76">
        <v>320050</v>
      </c>
      <c r="Q750" s="73" t="s">
        <v>3908</v>
      </c>
      <c r="R750" s="73"/>
      <c r="S750" s="162" t="s">
        <v>397</v>
      </c>
      <c r="T750" s="163">
        <v>18</v>
      </c>
      <c r="U750" s="163">
        <v>4</v>
      </c>
      <c r="V750" s="164"/>
      <c r="W750" s="164"/>
    </row>
    <row r="751" spans="1:23" ht="14.25" customHeight="1" x14ac:dyDescent="0.35">
      <c r="A751" s="47">
        <v>735</v>
      </c>
      <c r="B751" s="71" t="s">
        <v>70</v>
      </c>
      <c r="C751" s="71" t="s">
        <v>71</v>
      </c>
      <c r="D751" s="119" t="s">
        <v>51</v>
      </c>
      <c r="E751" s="71" t="s">
        <v>3909</v>
      </c>
      <c r="F751" s="158" t="s">
        <v>3910</v>
      </c>
      <c r="G751" s="71" t="s">
        <v>140</v>
      </c>
      <c r="H751" s="119">
        <v>2019</v>
      </c>
      <c r="I751" s="71" t="s">
        <v>63</v>
      </c>
      <c r="J751" s="71" t="s">
        <v>3911</v>
      </c>
      <c r="K751" s="71" t="s">
        <v>3912</v>
      </c>
      <c r="L751" s="71" t="s">
        <v>3913</v>
      </c>
      <c r="M751" s="71" t="s">
        <v>3914</v>
      </c>
      <c r="N751" s="71" t="s">
        <v>57</v>
      </c>
      <c r="O751" s="165">
        <v>1</v>
      </c>
      <c r="P751" s="166">
        <v>533450</v>
      </c>
      <c r="Q751" s="71" t="s">
        <v>3915</v>
      </c>
      <c r="R751" s="71"/>
      <c r="S751" s="167" t="s">
        <v>397</v>
      </c>
      <c r="T751" s="168">
        <v>18</v>
      </c>
      <c r="U751" s="168">
        <v>4</v>
      </c>
      <c r="V751" s="97"/>
      <c r="W751" s="97"/>
    </row>
    <row r="752" spans="1:23" ht="14.25" customHeight="1" thickBot="1" x14ac:dyDescent="0.4">
      <c r="A752" s="58">
        <v>736</v>
      </c>
      <c r="B752" s="71" t="s">
        <v>79</v>
      </c>
      <c r="C752" s="71" t="s">
        <v>80</v>
      </c>
      <c r="D752" s="119" t="s">
        <v>51</v>
      </c>
      <c r="E752" s="71" t="s">
        <v>2806</v>
      </c>
      <c r="F752" s="71" t="s">
        <v>2807</v>
      </c>
      <c r="G752" s="71" t="s">
        <v>140</v>
      </c>
      <c r="H752" s="119">
        <v>2014</v>
      </c>
      <c r="I752" s="71"/>
      <c r="J752" s="71" t="s">
        <v>3916</v>
      </c>
      <c r="K752" s="71" t="s">
        <v>3917</v>
      </c>
      <c r="L752" s="71" t="s">
        <v>3918</v>
      </c>
      <c r="M752" s="71" t="s">
        <v>3919</v>
      </c>
      <c r="N752" s="71" t="s">
        <v>57</v>
      </c>
      <c r="O752" s="165">
        <v>1</v>
      </c>
      <c r="P752" s="166">
        <v>13816</v>
      </c>
      <c r="Q752" s="71" t="s">
        <v>63</v>
      </c>
      <c r="R752" s="71"/>
      <c r="S752" s="167" t="s">
        <v>397</v>
      </c>
      <c r="T752" s="168">
        <v>18</v>
      </c>
      <c r="U752" s="168">
        <v>3</v>
      </c>
      <c r="V752" s="97"/>
      <c r="W752" s="97"/>
    </row>
    <row r="753" spans="1:23" ht="14.25" customHeight="1" x14ac:dyDescent="0.35">
      <c r="A753" s="47">
        <v>737</v>
      </c>
      <c r="B753" s="71" t="s">
        <v>79</v>
      </c>
      <c r="C753" s="71" t="s">
        <v>80</v>
      </c>
      <c r="D753" s="119" t="s">
        <v>59</v>
      </c>
      <c r="E753" s="71" t="s">
        <v>2806</v>
      </c>
      <c r="F753" s="71" t="s">
        <v>2807</v>
      </c>
      <c r="G753" s="71" t="s">
        <v>140</v>
      </c>
      <c r="H753" s="119">
        <v>2014</v>
      </c>
      <c r="I753" s="71"/>
      <c r="J753" s="71" t="s">
        <v>3920</v>
      </c>
      <c r="K753" s="71" t="s">
        <v>3921</v>
      </c>
      <c r="L753" s="71" t="s">
        <v>3922</v>
      </c>
      <c r="M753" s="71" t="s">
        <v>3923</v>
      </c>
      <c r="N753" s="71" t="s">
        <v>57</v>
      </c>
      <c r="O753" s="165">
        <v>1</v>
      </c>
      <c r="P753" s="166">
        <v>13816</v>
      </c>
      <c r="Q753" s="71" t="s">
        <v>63</v>
      </c>
      <c r="R753" s="71"/>
      <c r="S753" s="167" t="s">
        <v>397</v>
      </c>
      <c r="T753" s="168">
        <v>18</v>
      </c>
      <c r="U753" s="168">
        <v>3</v>
      </c>
      <c r="V753" s="97"/>
      <c r="W753" s="97"/>
    </row>
    <row r="754" spans="1:23" ht="14.25" customHeight="1" thickBot="1" x14ac:dyDescent="0.4">
      <c r="A754" s="58">
        <v>738</v>
      </c>
      <c r="B754" s="71" t="s">
        <v>79</v>
      </c>
      <c r="C754" s="71" t="s">
        <v>80</v>
      </c>
      <c r="D754" s="119" t="s">
        <v>97</v>
      </c>
      <c r="E754" s="71" t="s">
        <v>2806</v>
      </c>
      <c r="F754" s="71" t="s">
        <v>2807</v>
      </c>
      <c r="G754" s="71" t="s">
        <v>140</v>
      </c>
      <c r="H754" s="119">
        <v>2014</v>
      </c>
      <c r="I754" s="71"/>
      <c r="J754" s="71" t="s">
        <v>3924</v>
      </c>
      <c r="K754" s="71" t="s">
        <v>3925</v>
      </c>
      <c r="L754" s="71" t="s">
        <v>3926</v>
      </c>
      <c r="M754" s="71" t="s">
        <v>3927</v>
      </c>
      <c r="N754" s="71" t="s">
        <v>57</v>
      </c>
      <c r="O754" s="165">
        <v>1</v>
      </c>
      <c r="P754" s="166">
        <v>13816</v>
      </c>
      <c r="Q754" s="71" t="s">
        <v>63</v>
      </c>
      <c r="R754" s="71"/>
      <c r="S754" s="167" t="s">
        <v>397</v>
      </c>
      <c r="T754" s="168">
        <v>18</v>
      </c>
      <c r="U754" s="168">
        <v>3</v>
      </c>
      <c r="V754" s="97"/>
      <c r="W754" s="97"/>
    </row>
    <row r="755" spans="1:23" ht="14.25" customHeight="1" x14ac:dyDescent="0.35">
      <c r="A755" s="47">
        <v>739</v>
      </c>
      <c r="B755" s="71" t="s">
        <v>79</v>
      </c>
      <c r="C755" s="71" t="s">
        <v>80</v>
      </c>
      <c r="D755" s="119" t="s">
        <v>101</v>
      </c>
      <c r="E755" s="71" t="s">
        <v>2806</v>
      </c>
      <c r="F755" s="71" t="s">
        <v>2807</v>
      </c>
      <c r="G755" s="71" t="s">
        <v>140</v>
      </c>
      <c r="H755" s="119">
        <v>2014</v>
      </c>
      <c r="I755" s="71"/>
      <c r="J755" s="71" t="s">
        <v>3928</v>
      </c>
      <c r="K755" s="71" t="s">
        <v>3929</v>
      </c>
      <c r="L755" s="71" t="s">
        <v>3930</v>
      </c>
      <c r="M755" s="71" t="s">
        <v>3931</v>
      </c>
      <c r="N755" s="71" t="s">
        <v>57</v>
      </c>
      <c r="O755" s="165">
        <v>1</v>
      </c>
      <c r="P755" s="166">
        <v>13816</v>
      </c>
      <c r="Q755" s="71" t="s">
        <v>63</v>
      </c>
      <c r="R755" s="71"/>
      <c r="S755" s="167" t="s">
        <v>397</v>
      </c>
      <c r="T755" s="168">
        <v>18</v>
      </c>
      <c r="U755" s="168">
        <v>3</v>
      </c>
      <c r="V755" s="97"/>
      <c r="W755" s="97"/>
    </row>
    <row r="756" spans="1:23" ht="14.25" customHeight="1" thickBot="1" x14ac:dyDescent="0.4">
      <c r="A756" s="58">
        <v>740</v>
      </c>
      <c r="B756" s="71" t="s">
        <v>79</v>
      </c>
      <c r="C756" s="71" t="s">
        <v>80</v>
      </c>
      <c r="D756" s="119" t="s">
        <v>107</v>
      </c>
      <c r="E756" s="71" t="s">
        <v>2806</v>
      </c>
      <c r="F756" s="71" t="s">
        <v>2807</v>
      </c>
      <c r="G756" s="71" t="s">
        <v>140</v>
      </c>
      <c r="H756" s="119">
        <v>2014</v>
      </c>
      <c r="I756" s="71"/>
      <c r="J756" s="71" t="s">
        <v>3932</v>
      </c>
      <c r="K756" s="71" t="s">
        <v>3933</v>
      </c>
      <c r="L756" s="71" t="s">
        <v>3934</v>
      </c>
      <c r="M756" s="71" t="s">
        <v>3935</v>
      </c>
      <c r="N756" s="71" t="s">
        <v>57</v>
      </c>
      <c r="O756" s="165">
        <v>1</v>
      </c>
      <c r="P756" s="166">
        <v>13816</v>
      </c>
      <c r="Q756" s="71" t="s">
        <v>3936</v>
      </c>
      <c r="R756" s="71"/>
      <c r="S756" s="167" t="s">
        <v>397</v>
      </c>
      <c r="T756" s="168">
        <v>18</v>
      </c>
      <c r="U756" s="168">
        <v>3</v>
      </c>
      <c r="V756" s="97"/>
      <c r="W756" s="97"/>
    </row>
    <row r="757" spans="1:23" ht="14.25" customHeight="1" x14ac:dyDescent="0.35">
      <c r="A757" s="47">
        <v>741</v>
      </c>
      <c r="B757" s="71" t="s">
        <v>79</v>
      </c>
      <c r="C757" s="71" t="s">
        <v>80</v>
      </c>
      <c r="D757" s="119" t="s">
        <v>112</v>
      </c>
      <c r="E757" s="71" t="s">
        <v>1377</v>
      </c>
      <c r="F757" s="71" t="s">
        <v>1378</v>
      </c>
      <c r="G757" s="71" t="s">
        <v>140</v>
      </c>
      <c r="H757" s="119">
        <v>2014</v>
      </c>
      <c r="I757" s="71"/>
      <c r="J757" s="71" t="s">
        <v>3937</v>
      </c>
      <c r="K757" s="71" t="s">
        <v>3938</v>
      </c>
      <c r="L757" s="71" t="s">
        <v>3939</v>
      </c>
      <c r="M757" s="71" t="s">
        <v>3940</v>
      </c>
      <c r="N757" s="71" t="s">
        <v>57</v>
      </c>
      <c r="O757" s="165">
        <v>1</v>
      </c>
      <c r="P757" s="166">
        <v>19189.532999999999</v>
      </c>
      <c r="Q757" s="71" t="s">
        <v>3941</v>
      </c>
      <c r="R757" s="71"/>
      <c r="S757" s="167" t="s">
        <v>397</v>
      </c>
      <c r="T757" s="168">
        <v>18</v>
      </c>
      <c r="U757" s="168">
        <v>3</v>
      </c>
      <c r="V757" s="97"/>
      <c r="W757" s="97"/>
    </row>
    <row r="758" spans="1:23" ht="14.25" customHeight="1" thickBot="1" x14ac:dyDescent="0.4">
      <c r="A758" s="58">
        <v>742</v>
      </c>
      <c r="B758" s="71" t="s">
        <v>79</v>
      </c>
      <c r="C758" s="71" t="s">
        <v>80</v>
      </c>
      <c r="D758" s="119" t="s">
        <v>116</v>
      </c>
      <c r="E758" s="71" t="s">
        <v>1377</v>
      </c>
      <c r="F758" s="71" t="s">
        <v>1378</v>
      </c>
      <c r="G758" s="71" t="s">
        <v>140</v>
      </c>
      <c r="H758" s="119">
        <v>2014</v>
      </c>
      <c r="I758" s="71"/>
      <c r="J758" s="71" t="s">
        <v>3942</v>
      </c>
      <c r="K758" s="71" t="s">
        <v>3943</v>
      </c>
      <c r="L758" s="71" t="s">
        <v>3944</v>
      </c>
      <c r="M758" s="71" t="s">
        <v>3945</v>
      </c>
      <c r="N758" s="71" t="s">
        <v>57</v>
      </c>
      <c r="O758" s="165">
        <v>1</v>
      </c>
      <c r="P758" s="166">
        <v>19189.532999999999</v>
      </c>
      <c r="Q758" s="71" t="s">
        <v>3946</v>
      </c>
      <c r="R758" s="71"/>
      <c r="S758" s="167" t="s">
        <v>397</v>
      </c>
      <c r="T758" s="168">
        <v>18</v>
      </c>
      <c r="U758" s="168">
        <v>3</v>
      </c>
      <c r="V758" s="97"/>
      <c r="W758" s="97"/>
    </row>
    <row r="759" spans="1:23" ht="14.25" customHeight="1" x14ac:dyDescent="0.35">
      <c r="A759" s="47">
        <v>743</v>
      </c>
      <c r="B759" s="71" t="s">
        <v>79</v>
      </c>
      <c r="C759" s="71" t="s">
        <v>80</v>
      </c>
      <c r="D759" s="119" t="s">
        <v>841</v>
      </c>
      <c r="E759" s="71" t="s">
        <v>1377</v>
      </c>
      <c r="F759" s="71" t="s">
        <v>1378</v>
      </c>
      <c r="G759" s="71" t="s">
        <v>140</v>
      </c>
      <c r="H759" s="119">
        <v>2014</v>
      </c>
      <c r="I759" s="71"/>
      <c r="J759" s="71" t="s">
        <v>3947</v>
      </c>
      <c r="K759" s="71" t="s">
        <v>3948</v>
      </c>
      <c r="L759" s="71" t="s">
        <v>3949</v>
      </c>
      <c r="M759" s="71" t="s">
        <v>3950</v>
      </c>
      <c r="N759" s="71" t="s">
        <v>57</v>
      </c>
      <c r="O759" s="165">
        <v>1</v>
      </c>
      <c r="P759" s="166">
        <v>19189.532999999999</v>
      </c>
      <c r="Q759" s="71" t="s">
        <v>63</v>
      </c>
      <c r="R759" s="71"/>
      <c r="S759" s="167" t="s">
        <v>397</v>
      </c>
      <c r="T759" s="168">
        <v>18</v>
      </c>
      <c r="U759" s="168">
        <v>3</v>
      </c>
      <c r="V759" s="97"/>
      <c r="W759" s="97"/>
    </row>
    <row r="760" spans="1:23" ht="14.25" customHeight="1" thickBot="1" x14ac:dyDescent="0.4">
      <c r="A760" s="58">
        <v>744</v>
      </c>
      <c r="B760" s="71" t="s">
        <v>79</v>
      </c>
      <c r="C760" s="71" t="s">
        <v>80</v>
      </c>
      <c r="D760" s="119" t="s">
        <v>122</v>
      </c>
      <c r="E760" s="71" t="s">
        <v>1377</v>
      </c>
      <c r="F760" s="71" t="s">
        <v>1378</v>
      </c>
      <c r="G760" s="71" t="s">
        <v>140</v>
      </c>
      <c r="H760" s="119">
        <v>2014</v>
      </c>
      <c r="I760" s="71"/>
      <c r="J760" s="71" t="s">
        <v>3951</v>
      </c>
      <c r="K760" s="71" t="s">
        <v>3952</v>
      </c>
      <c r="L760" s="71" t="s">
        <v>3953</v>
      </c>
      <c r="M760" s="71" t="s">
        <v>3954</v>
      </c>
      <c r="N760" s="71" t="s">
        <v>57</v>
      </c>
      <c r="O760" s="165">
        <v>1</v>
      </c>
      <c r="P760" s="166">
        <v>19189.532999999999</v>
      </c>
      <c r="Q760" s="71" t="s">
        <v>3955</v>
      </c>
      <c r="R760" s="71"/>
      <c r="S760" s="167" t="s">
        <v>397</v>
      </c>
      <c r="T760" s="168">
        <v>18</v>
      </c>
      <c r="U760" s="168">
        <v>3</v>
      </c>
      <c r="V760" s="97"/>
      <c r="W760" s="97"/>
    </row>
    <row r="761" spans="1:23" ht="14.25" customHeight="1" x14ac:dyDescent="0.35">
      <c r="A761" s="47">
        <v>745</v>
      </c>
      <c r="B761" s="71" t="s">
        <v>79</v>
      </c>
      <c r="C761" s="71" t="s">
        <v>80</v>
      </c>
      <c r="D761" s="119" t="s">
        <v>126</v>
      </c>
      <c r="E761" s="71" t="s">
        <v>3956</v>
      </c>
      <c r="F761" s="71" t="s">
        <v>202</v>
      </c>
      <c r="G761" s="71" t="s">
        <v>140</v>
      </c>
      <c r="H761" s="119">
        <v>2019</v>
      </c>
      <c r="I761" s="71" t="s">
        <v>63</v>
      </c>
      <c r="J761" s="71" t="s">
        <v>3957</v>
      </c>
      <c r="K761" s="71" t="s">
        <v>3958</v>
      </c>
      <c r="L761" s="71" t="s">
        <v>3959</v>
      </c>
      <c r="M761" s="71" t="s">
        <v>3960</v>
      </c>
      <c r="N761" s="71" t="s">
        <v>57</v>
      </c>
      <c r="O761" s="165">
        <v>1</v>
      </c>
      <c r="P761" s="166">
        <v>21200</v>
      </c>
      <c r="Q761" s="71" t="s">
        <v>3961</v>
      </c>
      <c r="R761" s="71"/>
      <c r="S761" s="167" t="s">
        <v>397</v>
      </c>
      <c r="T761" s="168">
        <v>18</v>
      </c>
      <c r="U761" s="168">
        <v>3</v>
      </c>
      <c r="V761" s="97"/>
      <c r="W761" s="97"/>
    </row>
    <row r="762" spans="1:23" ht="14.25" customHeight="1" thickBot="1" x14ac:dyDescent="0.4">
      <c r="A762" s="58">
        <v>746</v>
      </c>
      <c r="B762" s="71" t="s">
        <v>79</v>
      </c>
      <c r="C762" s="71" t="s">
        <v>80</v>
      </c>
      <c r="D762" s="119" t="s">
        <v>132</v>
      </c>
      <c r="E762" s="71" t="s">
        <v>3956</v>
      </c>
      <c r="F762" s="71" t="s">
        <v>202</v>
      </c>
      <c r="G762" s="71" t="s">
        <v>140</v>
      </c>
      <c r="H762" s="119">
        <v>2019</v>
      </c>
      <c r="I762" s="71" t="s">
        <v>63</v>
      </c>
      <c r="J762" s="71" t="s">
        <v>3962</v>
      </c>
      <c r="K762" s="71" t="s">
        <v>3963</v>
      </c>
      <c r="L762" s="71" t="s">
        <v>3964</v>
      </c>
      <c r="M762" s="71" t="s">
        <v>3965</v>
      </c>
      <c r="N762" s="71" t="s">
        <v>57</v>
      </c>
      <c r="O762" s="165">
        <v>1</v>
      </c>
      <c r="P762" s="166">
        <v>21200</v>
      </c>
      <c r="Q762" s="71" t="s">
        <v>3966</v>
      </c>
      <c r="R762" s="71"/>
      <c r="S762" s="167" t="s">
        <v>397</v>
      </c>
      <c r="T762" s="168">
        <v>18</v>
      </c>
      <c r="U762" s="168">
        <v>3</v>
      </c>
      <c r="V762" s="97"/>
      <c r="W762" s="97"/>
    </row>
    <row r="763" spans="1:23" ht="14.25" customHeight="1" x14ac:dyDescent="0.35">
      <c r="A763" s="47">
        <v>747</v>
      </c>
      <c r="B763" s="71" t="s">
        <v>79</v>
      </c>
      <c r="C763" s="71" t="s">
        <v>80</v>
      </c>
      <c r="D763" s="119" t="s">
        <v>1236</v>
      </c>
      <c r="E763" s="71" t="s">
        <v>3967</v>
      </c>
      <c r="F763" s="71" t="s">
        <v>202</v>
      </c>
      <c r="G763" s="71" t="s">
        <v>140</v>
      </c>
      <c r="H763" s="119">
        <v>2004</v>
      </c>
      <c r="I763" s="71"/>
      <c r="J763" s="71" t="s">
        <v>3968</v>
      </c>
      <c r="K763" s="71" t="s">
        <v>3969</v>
      </c>
      <c r="L763" s="71" t="s">
        <v>3970</v>
      </c>
      <c r="M763" s="71"/>
      <c r="N763" s="71" t="s">
        <v>57</v>
      </c>
      <c r="O763" s="165">
        <v>1</v>
      </c>
      <c r="P763" s="166">
        <v>8000</v>
      </c>
      <c r="Q763" s="71" t="s">
        <v>3971</v>
      </c>
      <c r="R763" s="71"/>
      <c r="S763" s="167" t="s">
        <v>397</v>
      </c>
      <c r="T763" s="168">
        <v>18</v>
      </c>
      <c r="U763" s="168">
        <v>3</v>
      </c>
      <c r="V763" s="97"/>
      <c r="W763" s="97"/>
    </row>
    <row r="764" spans="1:23" ht="14.25" customHeight="1" thickBot="1" x14ac:dyDescent="0.4">
      <c r="A764" s="58">
        <v>748</v>
      </c>
      <c r="B764" s="71" t="s">
        <v>79</v>
      </c>
      <c r="C764" s="71" t="s">
        <v>80</v>
      </c>
      <c r="D764" s="119" t="s">
        <v>187</v>
      </c>
      <c r="E764" s="71" t="s">
        <v>3972</v>
      </c>
      <c r="F764" s="71" t="s">
        <v>1513</v>
      </c>
      <c r="G764" s="71" t="s">
        <v>140</v>
      </c>
      <c r="H764" s="119">
        <v>2024</v>
      </c>
      <c r="I764" s="71" t="s">
        <v>63</v>
      </c>
      <c r="J764" s="71" t="s">
        <v>3973</v>
      </c>
      <c r="K764" s="71" t="s">
        <v>3974</v>
      </c>
      <c r="L764" s="71" t="s">
        <v>3975</v>
      </c>
      <c r="M764" s="71" t="s">
        <v>3976</v>
      </c>
      <c r="N764" s="71" t="s">
        <v>44</v>
      </c>
      <c r="O764" s="165">
        <v>1</v>
      </c>
      <c r="P764" s="166">
        <v>24150</v>
      </c>
      <c r="Q764" s="71" t="s">
        <v>3977</v>
      </c>
      <c r="R764" s="71"/>
      <c r="S764" s="167" t="s">
        <v>397</v>
      </c>
      <c r="T764" s="168">
        <v>18</v>
      </c>
      <c r="U764" s="168">
        <v>3</v>
      </c>
      <c r="V764" s="97"/>
      <c r="W764" s="97"/>
    </row>
    <row r="765" spans="1:23" ht="14.25" customHeight="1" x14ac:dyDescent="0.35">
      <c r="A765" s="47">
        <v>749</v>
      </c>
      <c r="B765" s="71" t="s">
        <v>79</v>
      </c>
      <c r="C765" s="71" t="s">
        <v>80</v>
      </c>
      <c r="D765" s="119" t="s">
        <v>190</v>
      </c>
      <c r="E765" s="71" t="s">
        <v>3978</v>
      </c>
      <c r="F765" s="71" t="s">
        <v>1513</v>
      </c>
      <c r="G765" s="71" t="s">
        <v>140</v>
      </c>
      <c r="H765" s="119">
        <v>2024</v>
      </c>
      <c r="I765" s="71" t="s">
        <v>63</v>
      </c>
      <c r="J765" s="71" t="s">
        <v>3979</v>
      </c>
      <c r="K765" s="71" t="s">
        <v>3980</v>
      </c>
      <c r="L765" s="71" t="s">
        <v>3981</v>
      </c>
      <c r="M765" s="71" t="s">
        <v>3982</v>
      </c>
      <c r="N765" s="71" t="s">
        <v>44</v>
      </c>
      <c r="O765" s="165">
        <v>1</v>
      </c>
      <c r="P765" s="166">
        <v>24150</v>
      </c>
      <c r="Q765" s="71" t="s">
        <v>3983</v>
      </c>
      <c r="R765" s="71"/>
      <c r="S765" s="167" t="s">
        <v>397</v>
      </c>
      <c r="T765" s="168">
        <v>18</v>
      </c>
      <c r="U765" s="168">
        <v>3</v>
      </c>
      <c r="V765" s="97"/>
      <c r="W765" s="97"/>
    </row>
    <row r="766" spans="1:23" ht="14.25" customHeight="1" thickBot="1" x14ac:dyDescent="0.4">
      <c r="A766" s="58">
        <v>750</v>
      </c>
      <c r="B766" s="71" t="s">
        <v>79</v>
      </c>
      <c r="C766" s="71" t="s">
        <v>80</v>
      </c>
      <c r="D766" s="119" t="s">
        <v>192</v>
      </c>
      <c r="E766" s="71" t="s">
        <v>3978</v>
      </c>
      <c r="F766" s="71" t="s">
        <v>1513</v>
      </c>
      <c r="G766" s="71" t="s">
        <v>140</v>
      </c>
      <c r="H766" s="119">
        <v>2024</v>
      </c>
      <c r="I766" s="71" t="s">
        <v>63</v>
      </c>
      <c r="J766" s="71" t="s">
        <v>3984</v>
      </c>
      <c r="K766" s="71" t="s">
        <v>3985</v>
      </c>
      <c r="L766" s="71" t="s">
        <v>3986</v>
      </c>
      <c r="M766" s="71" t="s">
        <v>3987</v>
      </c>
      <c r="N766" s="71" t="s">
        <v>44</v>
      </c>
      <c r="O766" s="165">
        <v>1</v>
      </c>
      <c r="P766" s="166">
        <v>24150</v>
      </c>
      <c r="Q766" s="71" t="s">
        <v>3988</v>
      </c>
      <c r="R766" s="71"/>
      <c r="S766" s="167" t="s">
        <v>397</v>
      </c>
      <c r="T766" s="168">
        <v>18</v>
      </c>
      <c r="U766" s="168">
        <v>3</v>
      </c>
      <c r="V766" s="97"/>
      <c r="W766" s="97"/>
    </row>
    <row r="767" spans="1:23" ht="14.25" customHeight="1" x14ac:dyDescent="0.35">
      <c r="A767" s="47">
        <v>751</v>
      </c>
      <c r="B767" s="71" t="s">
        <v>79</v>
      </c>
      <c r="C767" s="71" t="s">
        <v>80</v>
      </c>
      <c r="D767" s="119" t="s">
        <v>194</v>
      </c>
      <c r="E767" s="71" t="s">
        <v>3978</v>
      </c>
      <c r="F767" s="71" t="s">
        <v>1513</v>
      </c>
      <c r="G767" s="71" t="s">
        <v>140</v>
      </c>
      <c r="H767" s="119">
        <v>2024</v>
      </c>
      <c r="I767" s="71" t="s">
        <v>63</v>
      </c>
      <c r="J767" s="71" t="s">
        <v>3989</v>
      </c>
      <c r="K767" s="71" t="s">
        <v>3990</v>
      </c>
      <c r="L767" s="71" t="s">
        <v>3991</v>
      </c>
      <c r="M767" s="71" t="s">
        <v>3992</v>
      </c>
      <c r="N767" s="71" t="s">
        <v>44</v>
      </c>
      <c r="O767" s="165">
        <v>1</v>
      </c>
      <c r="P767" s="166">
        <v>24150</v>
      </c>
      <c r="Q767" s="71" t="s">
        <v>3993</v>
      </c>
      <c r="R767" s="71"/>
      <c r="S767" s="167" t="s">
        <v>397</v>
      </c>
      <c r="T767" s="168">
        <v>18</v>
      </c>
      <c r="U767" s="168">
        <v>3</v>
      </c>
      <c r="V767" s="97"/>
      <c r="W767" s="97"/>
    </row>
    <row r="768" spans="1:23" ht="14.25" customHeight="1" thickBot="1" x14ac:dyDescent="0.4">
      <c r="A768" s="58">
        <v>752</v>
      </c>
      <c r="B768" s="71" t="s">
        <v>79</v>
      </c>
      <c r="C768" s="71" t="s">
        <v>80</v>
      </c>
      <c r="D768" s="119" t="s">
        <v>195</v>
      </c>
      <c r="E768" s="71" t="s">
        <v>3978</v>
      </c>
      <c r="F768" s="71" t="s">
        <v>1513</v>
      </c>
      <c r="G768" s="71" t="s">
        <v>140</v>
      </c>
      <c r="H768" s="119">
        <v>2024</v>
      </c>
      <c r="I768" s="71" t="s">
        <v>63</v>
      </c>
      <c r="J768" s="71" t="s">
        <v>3994</v>
      </c>
      <c r="K768" s="71" t="s">
        <v>3995</v>
      </c>
      <c r="L768" s="71" t="s">
        <v>3996</v>
      </c>
      <c r="M768" s="71" t="s">
        <v>3997</v>
      </c>
      <c r="N768" s="71" t="s">
        <v>44</v>
      </c>
      <c r="O768" s="165">
        <v>1</v>
      </c>
      <c r="P768" s="166">
        <v>24150</v>
      </c>
      <c r="Q768" s="71" t="s">
        <v>3998</v>
      </c>
      <c r="R768" s="71"/>
      <c r="S768" s="167" t="s">
        <v>397</v>
      </c>
      <c r="T768" s="168">
        <v>18</v>
      </c>
      <c r="U768" s="168">
        <v>3</v>
      </c>
      <c r="V768" s="97"/>
      <c r="W768" s="97"/>
    </row>
    <row r="769" spans="1:23" ht="14.25" customHeight="1" x14ac:dyDescent="0.35">
      <c r="A769" s="47">
        <v>753</v>
      </c>
      <c r="B769" s="71" t="s">
        <v>79</v>
      </c>
      <c r="C769" s="71" t="s">
        <v>80</v>
      </c>
      <c r="D769" s="119" t="s">
        <v>199</v>
      </c>
      <c r="E769" s="71" t="s">
        <v>3978</v>
      </c>
      <c r="F769" s="71" t="s">
        <v>1513</v>
      </c>
      <c r="G769" s="71" t="s">
        <v>140</v>
      </c>
      <c r="H769" s="119">
        <v>2024</v>
      </c>
      <c r="I769" s="71" t="s">
        <v>63</v>
      </c>
      <c r="J769" s="71" t="s">
        <v>3999</v>
      </c>
      <c r="K769" s="71" t="s">
        <v>4000</v>
      </c>
      <c r="L769" s="71" t="s">
        <v>4001</v>
      </c>
      <c r="M769" s="71" t="s">
        <v>4002</v>
      </c>
      <c r="N769" s="71" t="s">
        <v>44</v>
      </c>
      <c r="O769" s="165">
        <v>1</v>
      </c>
      <c r="P769" s="166">
        <v>24150</v>
      </c>
      <c r="Q769" s="71" t="s">
        <v>4003</v>
      </c>
      <c r="R769" s="71"/>
      <c r="S769" s="167" t="s">
        <v>397</v>
      </c>
      <c r="T769" s="168">
        <v>18</v>
      </c>
      <c r="U769" s="168">
        <v>3</v>
      </c>
      <c r="V769" s="97"/>
      <c r="W769" s="97"/>
    </row>
    <row r="770" spans="1:23" ht="14.25" customHeight="1" thickBot="1" x14ac:dyDescent="0.4">
      <c r="A770" s="58">
        <v>754</v>
      </c>
      <c r="B770" s="73" t="s">
        <v>79</v>
      </c>
      <c r="C770" s="73" t="s">
        <v>80</v>
      </c>
      <c r="D770" s="74" t="s">
        <v>200</v>
      </c>
      <c r="E770" s="73" t="s">
        <v>3978</v>
      </c>
      <c r="F770" s="73" t="s">
        <v>1513</v>
      </c>
      <c r="G770" s="73" t="s">
        <v>140</v>
      </c>
      <c r="H770" s="74">
        <v>2024</v>
      </c>
      <c r="I770" s="73" t="s">
        <v>63</v>
      </c>
      <c r="J770" s="73" t="s">
        <v>4004</v>
      </c>
      <c r="K770" s="73" t="s">
        <v>4005</v>
      </c>
      <c r="L770" s="73" t="s">
        <v>4006</v>
      </c>
      <c r="M770" s="73" t="s">
        <v>4007</v>
      </c>
      <c r="N770" s="73" t="s">
        <v>44</v>
      </c>
      <c r="O770" s="75">
        <v>1</v>
      </c>
      <c r="P770" s="76">
        <v>24150</v>
      </c>
      <c r="Q770" s="73" t="s">
        <v>4008</v>
      </c>
      <c r="R770" s="73"/>
      <c r="S770" s="162" t="s">
        <v>397</v>
      </c>
      <c r="T770" s="163">
        <v>18</v>
      </c>
      <c r="U770" s="163">
        <v>3</v>
      </c>
      <c r="V770" s="164"/>
      <c r="W770" s="164"/>
    </row>
    <row r="771" spans="1:23" ht="14.25" customHeight="1" x14ac:dyDescent="0.35">
      <c r="A771" s="47">
        <v>755</v>
      </c>
      <c r="B771" s="69" t="s">
        <v>1806</v>
      </c>
      <c r="C771" s="69" t="s">
        <v>1807</v>
      </c>
      <c r="D771" s="70" t="s">
        <v>51</v>
      </c>
      <c r="E771" s="69" t="s">
        <v>4009</v>
      </c>
      <c r="F771" s="69" t="s">
        <v>2559</v>
      </c>
      <c r="G771" s="69" t="s">
        <v>54</v>
      </c>
      <c r="H771" s="70">
        <v>2012</v>
      </c>
      <c r="I771" s="69" t="s">
        <v>63</v>
      </c>
      <c r="J771" s="69" t="s">
        <v>4010</v>
      </c>
      <c r="K771" s="71" t="s">
        <v>4011</v>
      </c>
      <c r="L771" s="71" t="s">
        <v>4012</v>
      </c>
      <c r="M771" s="71" t="s">
        <v>4013</v>
      </c>
      <c r="N771" s="69" t="s">
        <v>57</v>
      </c>
      <c r="O771" s="64">
        <v>1</v>
      </c>
      <c r="P771" s="72">
        <v>241669.45</v>
      </c>
      <c r="Q771" s="69" t="s">
        <v>4014</v>
      </c>
      <c r="R771" s="69"/>
      <c r="S771" s="121" t="s">
        <v>419</v>
      </c>
      <c r="T771" s="56">
        <v>19</v>
      </c>
      <c r="U771" s="56">
        <v>4</v>
      </c>
    </row>
    <row r="772" spans="1:23" ht="14.25" customHeight="1" thickBot="1" x14ac:dyDescent="0.4">
      <c r="A772" s="58">
        <v>756</v>
      </c>
      <c r="B772" s="69" t="s">
        <v>79</v>
      </c>
      <c r="C772" s="69" t="s">
        <v>80</v>
      </c>
      <c r="D772" s="70" t="s">
        <v>59</v>
      </c>
      <c r="E772" s="69" t="s">
        <v>138</v>
      </c>
      <c r="F772" s="69" t="s">
        <v>139</v>
      </c>
      <c r="G772" s="69" t="s">
        <v>140</v>
      </c>
      <c r="H772" s="70">
        <v>2014</v>
      </c>
      <c r="I772" s="69"/>
      <c r="J772" s="69" t="s">
        <v>4015</v>
      </c>
      <c r="K772" s="71" t="s">
        <v>4016</v>
      </c>
      <c r="L772" s="71" t="s">
        <v>4017</v>
      </c>
      <c r="M772" s="71" t="s">
        <v>4018</v>
      </c>
      <c r="N772" s="69" t="s">
        <v>57</v>
      </c>
      <c r="O772" s="64">
        <v>1</v>
      </c>
      <c r="P772" s="72">
        <v>17194</v>
      </c>
      <c r="Q772" s="69" t="s">
        <v>4019</v>
      </c>
      <c r="R772" s="69"/>
      <c r="S772" s="121" t="s">
        <v>419</v>
      </c>
      <c r="T772" s="56">
        <v>19</v>
      </c>
      <c r="U772" s="56">
        <v>3</v>
      </c>
    </row>
    <row r="773" spans="1:23" ht="14.25" customHeight="1" x14ac:dyDescent="0.35">
      <c r="A773" s="47">
        <v>757</v>
      </c>
      <c r="B773" s="69" t="s">
        <v>79</v>
      </c>
      <c r="C773" s="69" t="s">
        <v>80</v>
      </c>
      <c r="D773" s="70" t="s">
        <v>97</v>
      </c>
      <c r="E773" s="69" t="s">
        <v>1383</v>
      </c>
      <c r="F773" s="69" t="s">
        <v>163</v>
      </c>
      <c r="G773" s="69" t="s">
        <v>140</v>
      </c>
      <c r="H773" s="70">
        <v>2015</v>
      </c>
      <c r="I773" s="69"/>
      <c r="J773" s="69" t="s">
        <v>4020</v>
      </c>
      <c r="K773" s="71" t="s">
        <v>4021</v>
      </c>
      <c r="L773" s="71" t="s">
        <v>4022</v>
      </c>
      <c r="M773" s="71" t="s">
        <v>4023</v>
      </c>
      <c r="N773" s="69" t="s">
        <v>57</v>
      </c>
      <c r="O773" s="64">
        <v>1</v>
      </c>
      <c r="P773" s="72">
        <v>14962.333000000001</v>
      </c>
      <c r="Q773" s="69" t="s">
        <v>4024</v>
      </c>
      <c r="R773" s="69"/>
      <c r="S773" s="121" t="s">
        <v>419</v>
      </c>
      <c r="T773" s="56">
        <v>19</v>
      </c>
      <c r="U773" s="56">
        <v>3</v>
      </c>
    </row>
    <row r="774" spans="1:23" ht="14.25" customHeight="1" thickBot="1" x14ac:dyDescent="0.4">
      <c r="A774" s="58">
        <v>758</v>
      </c>
      <c r="B774" s="69" t="s">
        <v>79</v>
      </c>
      <c r="C774" s="69" t="s">
        <v>80</v>
      </c>
      <c r="D774" s="70" t="s">
        <v>101</v>
      </c>
      <c r="E774" s="69" t="s">
        <v>1383</v>
      </c>
      <c r="F774" s="69" t="s">
        <v>163</v>
      </c>
      <c r="G774" s="69" t="s">
        <v>140</v>
      </c>
      <c r="H774" s="70">
        <v>2015</v>
      </c>
      <c r="I774" s="69"/>
      <c r="J774" s="69" t="s">
        <v>4025</v>
      </c>
      <c r="K774" s="71" t="s">
        <v>4026</v>
      </c>
      <c r="L774" s="71" t="s">
        <v>4027</v>
      </c>
      <c r="M774" s="71" t="s">
        <v>4028</v>
      </c>
      <c r="N774" s="69" t="s">
        <v>57</v>
      </c>
      <c r="O774" s="64">
        <v>1</v>
      </c>
      <c r="P774" s="72">
        <v>14962.333000000001</v>
      </c>
      <c r="Q774" s="69" t="s">
        <v>4029</v>
      </c>
      <c r="R774" s="69"/>
      <c r="S774" s="121" t="s">
        <v>419</v>
      </c>
      <c r="T774" s="56">
        <v>19</v>
      </c>
      <c r="U774" s="56">
        <v>3</v>
      </c>
    </row>
    <row r="775" spans="1:23" ht="14.25" customHeight="1" x14ac:dyDescent="0.35">
      <c r="A775" s="47">
        <v>759</v>
      </c>
      <c r="B775" s="69" t="s">
        <v>79</v>
      </c>
      <c r="C775" s="69" t="s">
        <v>80</v>
      </c>
      <c r="D775" s="70" t="s">
        <v>107</v>
      </c>
      <c r="E775" s="69" t="s">
        <v>2178</v>
      </c>
      <c r="F775" s="69" t="s">
        <v>2179</v>
      </c>
      <c r="G775" s="69" t="s">
        <v>54</v>
      </c>
      <c r="H775" s="70">
        <v>2015</v>
      </c>
      <c r="I775" s="69"/>
      <c r="J775" s="69" t="s">
        <v>4030</v>
      </c>
      <c r="K775" s="71" t="s">
        <v>4031</v>
      </c>
      <c r="L775" s="71" t="s">
        <v>4032</v>
      </c>
      <c r="M775" s="71" t="s">
        <v>4033</v>
      </c>
      <c r="N775" s="69" t="s">
        <v>57</v>
      </c>
      <c r="O775" s="64">
        <v>1</v>
      </c>
      <c r="P775" s="72">
        <v>18876</v>
      </c>
      <c r="Q775" s="69" t="s">
        <v>4034</v>
      </c>
      <c r="R775" s="69"/>
      <c r="S775" s="121" t="s">
        <v>419</v>
      </c>
      <c r="T775" s="56">
        <v>19</v>
      </c>
      <c r="U775" s="56">
        <v>3</v>
      </c>
    </row>
    <row r="776" spans="1:23" ht="14.25" customHeight="1" thickBot="1" x14ac:dyDescent="0.4">
      <c r="A776" s="58">
        <v>760</v>
      </c>
      <c r="B776" s="69" t="s">
        <v>79</v>
      </c>
      <c r="C776" s="69" t="s">
        <v>80</v>
      </c>
      <c r="D776" s="70" t="s">
        <v>112</v>
      </c>
      <c r="E776" s="69" t="s">
        <v>4035</v>
      </c>
      <c r="F776" s="69" t="s">
        <v>4036</v>
      </c>
      <c r="G776" s="69" t="s">
        <v>140</v>
      </c>
      <c r="H776" s="70">
        <v>2015</v>
      </c>
      <c r="I776" s="69"/>
      <c r="J776" s="69" t="s">
        <v>4037</v>
      </c>
      <c r="K776" s="71" t="s">
        <v>4038</v>
      </c>
      <c r="L776" s="71" t="s">
        <v>4039</v>
      </c>
      <c r="M776" s="71" t="s">
        <v>4040</v>
      </c>
      <c r="N776" s="69" t="s">
        <v>57</v>
      </c>
      <c r="O776" s="64">
        <v>1</v>
      </c>
      <c r="P776" s="72">
        <v>18976</v>
      </c>
      <c r="Q776" s="69" t="s">
        <v>4041</v>
      </c>
      <c r="R776" s="69"/>
      <c r="S776" s="121" t="s">
        <v>419</v>
      </c>
      <c r="T776" s="56">
        <v>19</v>
      </c>
      <c r="U776" s="56">
        <v>3</v>
      </c>
    </row>
    <row r="777" spans="1:23" ht="14.25" customHeight="1" x14ac:dyDescent="0.35">
      <c r="A777" s="47">
        <v>761</v>
      </c>
      <c r="B777" s="69" t="s">
        <v>79</v>
      </c>
      <c r="C777" s="69" t="s">
        <v>80</v>
      </c>
      <c r="D777" s="70" t="s">
        <v>116</v>
      </c>
      <c r="E777" s="69" t="s">
        <v>4035</v>
      </c>
      <c r="F777" s="69" t="s">
        <v>4036</v>
      </c>
      <c r="G777" s="69" t="s">
        <v>140</v>
      </c>
      <c r="H777" s="70">
        <v>2015</v>
      </c>
      <c r="I777" s="69"/>
      <c r="J777" s="69" t="s">
        <v>4042</v>
      </c>
      <c r="K777" s="71" t="s">
        <v>4043</v>
      </c>
      <c r="L777" s="71" t="s">
        <v>4044</v>
      </c>
      <c r="M777" s="71" t="s">
        <v>4045</v>
      </c>
      <c r="N777" s="69" t="s">
        <v>57</v>
      </c>
      <c r="O777" s="64">
        <v>1</v>
      </c>
      <c r="P777" s="72">
        <v>18976</v>
      </c>
      <c r="Q777" s="69" t="s">
        <v>4046</v>
      </c>
      <c r="R777" s="69"/>
      <c r="S777" s="121" t="s">
        <v>419</v>
      </c>
      <c r="T777" s="56">
        <v>19</v>
      </c>
      <c r="U777" s="56">
        <v>3</v>
      </c>
    </row>
    <row r="778" spans="1:23" ht="14.25" customHeight="1" thickBot="1" x14ac:dyDescent="0.4">
      <c r="A778" s="58">
        <v>762</v>
      </c>
      <c r="B778" s="69" t="s">
        <v>79</v>
      </c>
      <c r="C778" s="69" t="s">
        <v>80</v>
      </c>
      <c r="D778" s="70" t="s">
        <v>841</v>
      </c>
      <c r="E778" s="69" t="s">
        <v>4035</v>
      </c>
      <c r="F778" s="69" t="s">
        <v>4036</v>
      </c>
      <c r="G778" s="69" t="s">
        <v>140</v>
      </c>
      <c r="H778" s="70">
        <v>2015</v>
      </c>
      <c r="I778" s="69"/>
      <c r="J778" s="69" t="s">
        <v>4047</v>
      </c>
      <c r="K778" s="71" t="s">
        <v>4048</v>
      </c>
      <c r="L778" s="71" t="s">
        <v>4049</v>
      </c>
      <c r="M778" s="71" t="s">
        <v>4050</v>
      </c>
      <c r="N778" s="69" t="s">
        <v>57</v>
      </c>
      <c r="O778" s="64">
        <v>1</v>
      </c>
      <c r="P778" s="72">
        <v>18976</v>
      </c>
      <c r="Q778" s="69" t="s">
        <v>4051</v>
      </c>
      <c r="R778" s="69"/>
      <c r="S778" s="121" t="s">
        <v>419</v>
      </c>
      <c r="T778" s="56">
        <v>19</v>
      </c>
      <c r="U778" s="56">
        <v>3</v>
      </c>
    </row>
    <row r="779" spans="1:23" ht="14.25" customHeight="1" x14ac:dyDescent="0.35">
      <c r="A779" s="47">
        <v>763</v>
      </c>
      <c r="B779" s="69" t="s">
        <v>79</v>
      </c>
      <c r="C779" s="69" t="s">
        <v>80</v>
      </c>
      <c r="D779" s="70" t="s">
        <v>904</v>
      </c>
      <c r="E779" s="69" t="s">
        <v>4035</v>
      </c>
      <c r="F779" s="69" t="s">
        <v>4036</v>
      </c>
      <c r="G779" s="69" t="s">
        <v>140</v>
      </c>
      <c r="H779" s="70">
        <v>2015</v>
      </c>
      <c r="I779" s="69"/>
      <c r="J779" s="69" t="s">
        <v>4052</v>
      </c>
      <c r="K779" s="71" t="s">
        <v>4053</v>
      </c>
      <c r="L779" s="71" t="s">
        <v>4054</v>
      </c>
      <c r="M779" s="71" t="s">
        <v>4055</v>
      </c>
      <c r="N779" s="69" t="s">
        <v>57</v>
      </c>
      <c r="O779" s="64">
        <v>1</v>
      </c>
      <c r="P779" s="72">
        <v>18976</v>
      </c>
      <c r="Q779" s="69" t="s">
        <v>4056</v>
      </c>
      <c r="R779" s="69"/>
      <c r="S779" s="121" t="s">
        <v>419</v>
      </c>
      <c r="T779" s="56">
        <v>19</v>
      </c>
      <c r="U779" s="56">
        <v>3</v>
      </c>
    </row>
    <row r="780" spans="1:23" ht="14.25" customHeight="1" thickBot="1" x14ac:dyDescent="0.4">
      <c r="A780" s="58">
        <v>764</v>
      </c>
      <c r="B780" s="69" t="s">
        <v>79</v>
      </c>
      <c r="C780" s="69" t="s">
        <v>80</v>
      </c>
      <c r="D780" s="70" t="s">
        <v>122</v>
      </c>
      <c r="E780" s="69" t="s">
        <v>4035</v>
      </c>
      <c r="F780" s="69" t="s">
        <v>4036</v>
      </c>
      <c r="G780" s="69" t="s">
        <v>140</v>
      </c>
      <c r="H780" s="70">
        <v>2015</v>
      </c>
      <c r="I780" s="69"/>
      <c r="J780" s="69" t="s">
        <v>4057</v>
      </c>
      <c r="K780" s="71" t="s">
        <v>4058</v>
      </c>
      <c r="L780" s="71" t="s">
        <v>4059</v>
      </c>
      <c r="M780" s="71" t="s">
        <v>4060</v>
      </c>
      <c r="N780" s="69" t="s">
        <v>57</v>
      </c>
      <c r="O780" s="64">
        <v>1</v>
      </c>
      <c r="P780" s="72">
        <v>18976</v>
      </c>
      <c r="Q780" s="69" t="s">
        <v>4061</v>
      </c>
      <c r="R780" s="69"/>
      <c r="S780" s="121" t="s">
        <v>419</v>
      </c>
      <c r="T780" s="56">
        <v>19</v>
      </c>
      <c r="U780" s="56">
        <v>3</v>
      </c>
    </row>
    <row r="781" spans="1:23" ht="14.25" customHeight="1" x14ac:dyDescent="0.35">
      <c r="A781" s="47">
        <v>765</v>
      </c>
      <c r="B781" s="69" t="s">
        <v>79</v>
      </c>
      <c r="C781" s="69" t="s">
        <v>80</v>
      </c>
      <c r="D781" s="70" t="s">
        <v>126</v>
      </c>
      <c r="E781" s="69" t="s">
        <v>155</v>
      </c>
      <c r="F781" s="69" t="s">
        <v>163</v>
      </c>
      <c r="G781" s="69" t="s">
        <v>140</v>
      </c>
      <c r="H781" s="70">
        <v>2017</v>
      </c>
      <c r="I781" s="69" t="s">
        <v>63</v>
      </c>
      <c r="J781" s="69" t="s">
        <v>4062</v>
      </c>
      <c r="K781" s="71" t="s">
        <v>4063</v>
      </c>
      <c r="L781" s="71" t="s">
        <v>4064</v>
      </c>
      <c r="M781" s="71" t="s">
        <v>4065</v>
      </c>
      <c r="N781" s="69" t="s">
        <v>57</v>
      </c>
      <c r="O781" s="64">
        <v>1</v>
      </c>
      <c r="P781" s="72">
        <v>15252.263999999999</v>
      </c>
      <c r="Q781" s="69" t="s">
        <v>4066</v>
      </c>
      <c r="R781" s="69"/>
      <c r="S781" s="121" t="s">
        <v>419</v>
      </c>
      <c r="T781" s="56">
        <v>19</v>
      </c>
      <c r="U781" s="56">
        <v>3</v>
      </c>
    </row>
    <row r="782" spans="1:23" ht="14.25" customHeight="1" thickBot="1" x14ac:dyDescent="0.4">
      <c r="A782" s="58">
        <v>766</v>
      </c>
      <c r="B782" s="69" t="s">
        <v>79</v>
      </c>
      <c r="C782" s="69" t="s">
        <v>80</v>
      </c>
      <c r="D782" s="70" t="s">
        <v>132</v>
      </c>
      <c r="E782" s="69" t="s">
        <v>1110</v>
      </c>
      <c r="F782" s="69" t="s">
        <v>163</v>
      </c>
      <c r="G782" s="69" t="s">
        <v>140</v>
      </c>
      <c r="H782" s="70">
        <v>2017</v>
      </c>
      <c r="I782" s="69" t="s">
        <v>63</v>
      </c>
      <c r="J782" s="69" t="s">
        <v>4067</v>
      </c>
      <c r="K782" s="71" t="s">
        <v>4068</v>
      </c>
      <c r="L782" s="71" t="s">
        <v>4069</v>
      </c>
      <c r="M782" s="71" t="s">
        <v>4070</v>
      </c>
      <c r="N782" s="69" t="s">
        <v>57</v>
      </c>
      <c r="O782" s="64">
        <v>1</v>
      </c>
      <c r="P782" s="72">
        <v>15846.6</v>
      </c>
      <c r="Q782" s="69" t="s">
        <v>4071</v>
      </c>
      <c r="R782" s="69"/>
      <c r="S782" s="121" t="s">
        <v>419</v>
      </c>
      <c r="T782" s="56">
        <v>19</v>
      </c>
      <c r="U782" s="56">
        <v>3</v>
      </c>
    </row>
    <row r="783" spans="1:23" ht="14.25" customHeight="1" x14ac:dyDescent="0.35">
      <c r="A783" s="47">
        <v>767</v>
      </c>
      <c r="B783" s="69" t="s">
        <v>79</v>
      </c>
      <c r="C783" s="69" t="s">
        <v>80</v>
      </c>
      <c r="D783" s="70" t="s">
        <v>137</v>
      </c>
      <c r="E783" s="69" t="s">
        <v>162</v>
      </c>
      <c r="F783" s="69" t="s">
        <v>163</v>
      </c>
      <c r="G783" s="69" t="s">
        <v>140</v>
      </c>
      <c r="H783" s="70">
        <v>2018</v>
      </c>
      <c r="I783" s="69" t="s">
        <v>63</v>
      </c>
      <c r="J783" s="69" t="s">
        <v>4072</v>
      </c>
      <c r="K783" s="71" t="s">
        <v>4073</v>
      </c>
      <c r="L783" s="71" t="s">
        <v>4074</v>
      </c>
      <c r="M783" s="71" t="s">
        <v>4075</v>
      </c>
      <c r="N783" s="69" t="s">
        <v>57</v>
      </c>
      <c r="O783" s="64">
        <v>1</v>
      </c>
      <c r="P783" s="72">
        <v>15534</v>
      </c>
      <c r="Q783" s="69" t="s">
        <v>4076</v>
      </c>
      <c r="R783" s="69"/>
      <c r="S783" s="121" t="s">
        <v>419</v>
      </c>
      <c r="T783" s="56">
        <v>19</v>
      </c>
      <c r="U783" s="56">
        <v>3</v>
      </c>
    </row>
    <row r="784" spans="1:23" ht="14.25" customHeight="1" thickBot="1" x14ac:dyDescent="0.4">
      <c r="A784" s="58">
        <v>768</v>
      </c>
      <c r="B784" s="69" t="s">
        <v>79</v>
      </c>
      <c r="C784" s="69" t="s">
        <v>80</v>
      </c>
      <c r="D784" s="70" t="s">
        <v>146</v>
      </c>
      <c r="E784" s="69" t="s">
        <v>4077</v>
      </c>
      <c r="F784" s="69" t="s">
        <v>443</v>
      </c>
      <c r="G784" s="69" t="s">
        <v>140</v>
      </c>
      <c r="H784" s="70">
        <v>2021</v>
      </c>
      <c r="I784" s="69" t="s">
        <v>63</v>
      </c>
      <c r="J784" s="69" t="s">
        <v>4078</v>
      </c>
      <c r="K784" s="71" t="s">
        <v>4079</v>
      </c>
      <c r="L784" s="71" t="s">
        <v>4080</v>
      </c>
      <c r="M784" s="71" t="s">
        <v>4081</v>
      </c>
      <c r="N784" s="69" t="s">
        <v>57</v>
      </c>
      <c r="O784" s="64">
        <v>1</v>
      </c>
      <c r="P784" s="72">
        <v>17500</v>
      </c>
      <c r="Q784" s="69" t="s">
        <v>4082</v>
      </c>
      <c r="R784" s="69"/>
      <c r="S784" s="121" t="s">
        <v>419</v>
      </c>
      <c r="T784" s="56">
        <v>19</v>
      </c>
      <c r="U784" s="56">
        <v>3</v>
      </c>
    </row>
    <row r="785" spans="1:21" ht="14.25" customHeight="1" x14ac:dyDescent="0.35">
      <c r="A785" s="47">
        <v>769</v>
      </c>
      <c r="B785" s="69" t="s">
        <v>79</v>
      </c>
      <c r="C785" s="69" t="s">
        <v>80</v>
      </c>
      <c r="D785" s="70" t="s">
        <v>154</v>
      </c>
      <c r="E785" s="69" t="s">
        <v>4077</v>
      </c>
      <c r="F785" s="69" t="s">
        <v>443</v>
      </c>
      <c r="G785" s="69" t="s">
        <v>140</v>
      </c>
      <c r="H785" s="70">
        <v>2021</v>
      </c>
      <c r="I785" s="69" t="s">
        <v>63</v>
      </c>
      <c r="J785" s="69" t="s">
        <v>4078</v>
      </c>
      <c r="K785" s="71" t="s">
        <v>4083</v>
      </c>
      <c r="L785" s="71" t="s">
        <v>4084</v>
      </c>
      <c r="M785" s="71" t="s">
        <v>4085</v>
      </c>
      <c r="N785" s="69" t="s">
        <v>57</v>
      </c>
      <c r="O785" s="64">
        <v>1</v>
      </c>
      <c r="P785" s="72">
        <v>17500</v>
      </c>
      <c r="Q785" s="69" t="s">
        <v>4086</v>
      </c>
      <c r="R785" s="69"/>
      <c r="S785" s="121" t="s">
        <v>419</v>
      </c>
      <c r="T785" s="56">
        <v>19</v>
      </c>
      <c r="U785" s="56">
        <v>3</v>
      </c>
    </row>
    <row r="786" spans="1:21" ht="14.25" customHeight="1" thickBot="1" x14ac:dyDescent="0.4">
      <c r="A786" s="58">
        <v>770</v>
      </c>
      <c r="B786" s="69" t="s">
        <v>79</v>
      </c>
      <c r="C786" s="69" t="s">
        <v>80</v>
      </c>
      <c r="D786" s="70" t="s">
        <v>161</v>
      </c>
      <c r="E786" s="69" t="s">
        <v>4077</v>
      </c>
      <c r="F786" s="69" t="s">
        <v>443</v>
      </c>
      <c r="G786" s="69" t="s">
        <v>140</v>
      </c>
      <c r="H786" s="70">
        <v>2021</v>
      </c>
      <c r="I786" s="69" t="s">
        <v>63</v>
      </c>
      <c r="J786" s="69" t="s">
        <v>4087</v>
      </c>
      <c r="K786" s="71" t="s">
        <v>4079</v>
      </c>
      <c r="L786" s="71" t="s">
        <v>4080</v>
      </c>
      <c r="M786" s="71" t="s">
        <v>4081</v>
      </c>
      <c r="N786" s="69" t="s">
        <v>57</v>
      </c>
      <c r="O786" s="64">
        <v>1</v>
      </c>
      <c r="P786" s="72">
        <v>17500</v>
      </c>
      <c r="Q786" s="69" t="s">
        <v>4088</v>
      </c>
      <c r="R786" s="69"/>
      <c r="S786" s="121" t="s">
        <v>419</v>
      </c>
      <c r="T786" s="56">
        <v>19</v>
      </c>
      <c r="U786" s="56">
        <v>3</v>
      </c>
    </row>
    <row r="787" spans="1:21" ht="14.25" customHeight="1" x14ac:dyDescent="0.35">
      <c r="A787" s="47">
        <v>771</v>
      </c>
      <c r="B787" s="69" t="s">
        <v>79</v>
      </c>
      <c r="C787" s="69" t="s">
        <v>80</v>
      </c>
      <c r="D787" s="70" t="s">
        <v>169</v>
      </c>
      <c r="E787" s="69" t="s">
        <v>4077</v>
      </c>
      <c r="F787" s="69" t="s">
        <v>443</v>
      </c>
      <c r="G787" s="69" t="s">
        <v>140</v>
      </c>
      <c r="H787" s="70">
        <v>2021</v>
      </c>
      <c r="I787" s="69" t="s">
        <v>63</v>
      </c>
      <c r="J787" s="69" t="s">
        <v>4089</v>
      </c>
      <c r="K787" s="71" t="s">
        <v>4090</v>
      </c>
      <c r="L787" s="71" t="s">
        <v>4091</v>
      </c>
      <c r="M787" s="71" t="s">
        <v>4092</v>
      </c>
      <c r="N787" s="69" t="s">
        <v>57</v>
      </c>
      <c r="O787" s="64">
        <v>1</v>
      </c>
      <c r="P787" s="72">
        <v>17500</v>
      </c>
      <c r="Q787" s="69" t="s">
        <v>4093</v>
      </c>
      <c r="R787" s="69"/>
      <c r="S787" s="121" t="s">
        <v>419</v>
      </c>
      <c r="T787" s="56">
        <v>19</v>
      </c>
      <c r="U787" s="56">
        <v>3</v>
      </c>
    </row>
    <row r="788" spans="1:21" ht="14.25" customHeight="1" thickBot="1" x14ac:dyDescent="0.4">
      <c r="A788" s="58">
        <v>772</v>
      </c>
      <c r="B788" s="69" t="s">
        <v>79</v>
      </c>
      <c r="C788" s="69" t="s">
        <v>80</v>
      </c>
      <c r="D788" s="70" t="s">
        <v>176</v>
      </c>
      <c r="E788" s="69" t="s">
        <v>162</v>
      </c>
      <c r="F788" s="69" t="s">
        <v>163</v>
      </c>
      <c r="G788" s="69" t="s">
        <v>140</v>
      </c>
      <c r="H788" s="70">
        <v>2018</v>
      </c>
      <c r="I788" s="69" t="s">
        <v>63</v>
      </c>
      <c r="J788" s="69" t="s">
        <v>4094</v>
      </c>
      <c r="K788" s="71" t="s">
        <v>4095</v>
      </c>
      <c r="L788" s="71" t="s">
        <v>4096</v>
      </c>
      <c r="M788" s="71" t="s">
        <v>4097</v>
      </c>
      <c r="N788" s="69" t="s">
        <v>57</v>
      </c>
      <c r="O788" s="64">
        <v>1</v>
      </c>
      <c r="P788" s="72">
        <v>15534</v>
      </c>
      <c r="Q788" s="69" t="s">
        <v>4098</v>
      </c>
      <c r="R788" s="69"/>
      <c r="S788" s="121" t="s">
        <v>419</v>
      </c>
      <c r="T788" s="56">
        <v>19</v>
      </c>
      <c r="U788" s="56">
        <v>3</v>
      </c>
    </row>
    <row r="789" spans="1:21" ht="14.25" customHeight="1" x14ac:dyDescent="0.35">
      <c r="A789" s="47">
        <v>773</v>
      </c>
      <c r="B789" s="69" t="s">
        <v>79</v>
      </c>
      <c r="C789" s="69" t="s">
        <v>80</v>
      </c>
      <c r="D789" s="70" t="s">
        <v>1236</v>
      </c>
      <c r="E789" s="69" t="s">
        <v>2513</v>
      </c>
      <c r="F789" s="69" t="s">
        <v>202</v>
      </c>
      <c r="G789" s="69" t="s">
        <v>54</v>
      </c>
      <c r="H789" s="70">
        <v>2010</v>
      </c>
      <c r="I789" s="69"/>
      <c r="J789" s="69" t="s">
        <v>4099</v>
      </c>
      <c r="K789" s="71" t="s">
        <v>4100</v>
      </c>
      <c r="L789" s="71" t="s">
        <v>4101</v>
      </c>
      <c r="M789" s="71" t="s">
        <v>4102</v>
      </c>
      <c r="N789" s="69" t="s">
        <v>57</v>
      </c>
      <c r="O789" s="64">
        <v>1</v>
      </c>
      <c r="P789" s="72">
        <v>16050</v>
      </c>
      <c r="Q789" s="69" t="s">
        <v>4103</v>
      </c>
      <c r="R789" s="69"/>
      <c r="S789" s="121" t="s">
        <v>419</v>
      </c>
      <c r="T789" s="56">
        <v>19</v>
      </c>
      <c r="U789" s="56">
        <v>3</v>
      </c>
    </row>
    <row r="790" spans="1:21" ht="14.25" customHeight="1" thickBot="1" x14ac:dyDescent="0.4">
      <c r="A790" s="58">
        <v>774</v>
      </c>
      <c r="B790" s="69" t="s">
        <v>70</v>
      </c>
      <c r="C790" s="69" t="s">
        <v>71</v>
      </c>
      <c r="D790" s="70" t="s">
        <v>51</v>
      </c>
      <c r="E790" s="69" t="s">
        <v>4104</v>
      </c>
      <c r="F790" s="69" t="s">
        <v>4105</v>
      </c>
      <c r="G790" s="69" t="s">
        <v>247</v>
      </c>
      <c r="H790" s="70">
        <v>2006</v>
      </c>
      <c r="I790" s="69"/>
      <c r="J790" s="69" t="s">
        <v>4106</v>
      </c>
      <c r="K790" s="71" t="s">
        <v>4107</v>
      </c>
      <c r="L790" s="71" t="s">
        <v>4108</v>
      </c>
      <c r="M790" s="71" t="s">
        <v>4109</v>
      </c>
      <c r="N790" s="69" t="s">
        <v>57</v>
      </c>
      <c r="O790" s="64">
        <v>1</v>
      </c>
      <c r="P790" s="72">
        <v>149700</v>
      </c>
      <c r="Q790" s="69" t="s">
        <v>71</v>
      </c>
      <c r="R790" s="69"/>
      <c r="S790" s="121" t="s">
        <v>440</v>
      </c>
      <c r="T790" s="56">
        <v>20</v>
      </c>
      <c r="U790" s="56">
        <v>4</v>
      </c>
    </row>
    <row r="791" spans="1:21" ht="14.25" customHeight="1" x14ac:dyDescent="0.35">
      <c r="A791" s="47">
        <v>775</v>
      </c>
      <c r="B791" s="69" t="s">
        <v>70</v>
      </c>
      <c r="C791" s="69" t="s">
        <v>71</v>
      </c>
      <c r="D791" s="70" t="s">
        <v>59</v>
      </c>
      <c r="E791" s="69" t="s">
        <v>4110</v>
      </c>
      <c r="F791" s="69" t="s">
        <v>1595</v>
      </c>
      <c r="G791" s="69" t="s">
        <v>140</v>
      </c>
      <c r="H791" s="70">
        <v>2014</v>
      </c>
      <c r="I791" s="69"/>
      <c r="J791" s="69" t="s">
        <v>4111</v>
      </c>
      <c r="K791" s="71" t="s">
        <v>4112</v>
      </c>
      <c r="L791" s="71" t="s">
        <v>4113</v>
      </c>
      <c r="M791" s="71" t="s">
        <v>4114</v>
      </c>
      <c r="N791" s="69" t="s">
        <v>57</v>
      </c>
      <c r="O791" s="64">
        <v>1</v>
      </c>
      <c r="P791" s="72">
        <v>248730</v>
      </c>
      <c r="Q791" s="69" t="s">
        <v>4115</v>
      </c>
      <c r="R791" s="69"/>
      <c r="S791" s="121" t="s">
        <v>440</v>
      </c>
      <c r="T791" s="56">
        <v>20</v>
      </c>
      <c r="U791" s="56">
        <v>4</v>
      </c>
    </row>
    <row r="792" spans="1:21" ht="14.25" customHeight="1" thickBot="1" x14ac:dyDescent="0.4">
      <c r="A792" s="58">
        <v>776</v>
      </c>
      <c r="B792" s="69" t="s">
        <v>79</v>
      </c>
      <c r="C792" s="69" t="s">
        <v>80</v>
      </c>
      <c r="D792" s="70" t="s">
        <v>51</v>
      </c>
      <c r="E792" s="69" t="s">
        <v>2948</v>
      </c>
      <c r="F792" s="69" t="s">
        <v>231</v>
      </c>
      <c r="G792" s="69" t="s">
        <v>54</v>
      </c>
      <c r="H792" s="70">
        <v>2013</v>
      </c>
      <c r="I792" s="69"/>
      <c r="J792" s="69" t="s">
        <v>4116</v>
      </c>
      <c r="K792" s="71" t="s">
        <v>4117</v>
      </c>
      <c r="L792" s="71" t="s">
        <v>4118</v>
      </c>
      <c r="M792" s="71" t="s">
        <v>4119</v>
      </c>
      <c r="N792" s="69" t="s">
        <v>57</v>
      </c>
      <c r="O792" s="64">
        <v>1</v>
      </c>
      <c r="P792" s="72">
        <v>18004.099999999999</v>
      </c>
      <c r="Q792" s="69"/>
      <c r="R792" s="69"/>
      <c r="S792" s="121" t="s">
        <v>440</v>
      </c>
      <c r="T792" s="56">
        <v>20</v>
      </c>
      <c r="U792" s="56">
        <v>3</v>
      </c>
    </row>
    <row r="793" spans="1:21" ht="14.25" customHeight="1" x14ac:dyDescent="0.35">
      <c r="A793" s="47">
        <v>777</v>
      </c>
      <c r="B793" s="69" t="s">
        <v>79</v>
      </c>
      <c r="C793" s="69" t="s">
        <v>80</v>
      </c>
      <c r="D793" s="70" t="s">
        <v>59</v>
      </c>
      <c r="E793" s="69" t="s">
        <v>2513</v>
      </c>
      <c r="F793" s="69" t="s">
        <v>202</v>
      </c>
      <c r="G793" s="69" t="s">
        <v>54</v>
      </c>
      <c r="H793" s="70">
        <v>2010</v>
      </c>
      <c r="I793" s="69"/>
      <c r="J793" s="69" t="s">
        <v>4120</v>
      </c>
      <c r="K793" s="71" t="s">
        <v>4121</v>
      </c>
      <c r="L793" s="71" t="s">
        <v>4122</v>
      </c>
      <c r="M793" s="71" t="s">
        <v>4123</v>
      </c>
      <c r="N793" s="69" t="s">
        <v>57</v>
      </c>
      <c r="O793" s="64">
        <v>1</v>
      </c>
      <c r="P793" s="72">
        <v>16050</v>
      </c>
      <c r="Q793" s="69" t="s">
        <v>168</v>
      </c>
      <c r="R793" s="69"/>
      <c r="S793" s="121" t="s">
        <v>440</v>
      </c>
      <c r="T793" s="56">
        <v>20</v>
      </c>
      <c r="U793" s="56">
        <v>3</v>
      </c>
    </row>
    <row r="794" spans="1:21" ht="14.25" customHeight="1" thickBot="1" x14ac:dyDescent="0.4">
      <c r="A794" s="58">
        <v>778</v>
      </c>
      <c r="B794" s="69" t="s">
        <v>79</v>
      </c>
      <c r="C794" s="69" t="s">
        <v>80</v>
      </c>
      <c r="D794" s="70" t="s">
        <v>101</v>
      </c>
      <c r="E794" s="69" t="s">
        <v>162</v>
      </c>
      <c r="F794" s="69" t="s">
        <v>163</v>
      </c>
      <c r="G794" s="69" t="s">
        <v>140</v>
      </c>
      <c r="H794" s="70">
        <v>2018</v>
      </c>
      <c r="I794" s="69" t="s">
        <v>63</v>
      </c>
      <c r="J794" s="69" t="s">
        <v>4124</v>
      </c>
      <c r="K794" s="71" t="s">
        <v>4125</v>
      </c>
      <c r="L794" s="71" t="s">
        <v>4126</v>
      </c>
      <c r="M794" s="71" t="s">
        <v>4127</v>
      </c>
      <c r="N794" s="69" t="s">
        <v>57</v>
      </c>
      <c r="O794" s="64">
        <v>1</v>
      </c>
      <c r="P794" s="72">
        <v>15534</v>
      </c>
      <c r="Q794" s="69" t="s">
        <v>168</v>
      </c>
      <c r="R794" s="69"/>
      <c r="S794" s="121" t="s">
        <v>440</v>
      </c>
      <c r="T794" s="56">
        <v>20</v>
      </c>
      <c r="U794" s="56">
        <v>3</v>
      </c>
    </row>
    <row r="795" spans="1:21" ht="14.25" customHeight="1" x14ac:dyDescent="0.35">
      <c r="A795" s="47">
        <v>779</v>
      </c>
      <c r="B795" s="69" t="s">
        <v>79</v>
      </c>
      <c r="C795" s="69" t="s">
        <v>80</v>
      </c>
      <c r="D795" s="70" t="s">
        <v>107</v>
      </c>
      <c r="E795" s="69" t="s">
        <v>239</v>
      </c>
      <c r="F795" s="69" t="s">
        <v>148</v>
      </c>
      <c r="G795" s="69" t="s">
        <v>140</v>
      </c>
      <c r="H795" s="70">
        <v>2018</v>
      </c>
      <c r="I795" s="69" t="s">
        <v>63</v>
      </c>
      <c r="J795" s="69" t="s">
        <v>4128</v>
      </c>
      <c r="K795" s="71" t="s">
        <v>4129</v>
      </c>
      <c r="L795" s="71" t="s">
        <v>4130</v>
      </c>
      <c r="M795" s="71" t="s">
        <v>4131</v>
      </c>
      <c r="N795" s="69" t="s">
        <v>57</v>
      </c>
      <c r="O795" s="64">
        <v>1</v>
      </c>
      <c r="P795" s="72">
        <v>20234.71</v>
      </c>
      <c r="Q795" s="69" t="s">
        <v>168</v>
      </c>
      <c r="R795" s="69"/>
      <c r="S795" s="121" t="s">
        <v>440</v>
      </c>
      <c r="T795" s="56">
        <v>20</v>
      </c>
      <c r="U795" s="56">
        <v>3</v>
      </c>
    </row>
    <row r="796" spans="1:21" ht="14.25" customHeight="1" thickBot="1" x14ac:dyDescent="0.4">
      <c r="A796" s="58">
        <v>780</v>
      </c>
      <c r="B796" s="69" t="s">
        <v>79</v>
      </c>
      <c r="C796" s="69" t="s">
        <v>80</v>
      </c>
      <c r="D796" s="70" t="s">
        <v>112</v>
      </c>
      <c r="E796" s="69" t="s">
        <v>2806</v>
      </c>
      <c r="F796" s="69" t="s">
        <v>2807</v>
      </c>
      <c r="G796" s="69" t="s">
        <v>140</v>
      </c>
      <c r="H796" s="70">
        <v>2014</v>
      </c>
      <c r="I796" s="69"/>
      <c r="J796" s="69" t="s">
        <v>4132</v>
      </c>
      <c r="K796" s="71" t="s">
        <v>4133</v>
      </c>
      <c r="L796" s="71" t="s">
        <v>4134</v>
      </c>
      <c r="M796" s="71" t="s">
        <v>4135</v>
      </c>
      <c r="N796" s="69" t="s">
        <v>57</v>
      </c>
      <c r="O796" s="64">
        <v>1</v>
      </c>
      <c r="P796" s="72">
        <v>13816</v>
      </c>
      <c r="Q796" s="69" t="s">
        <v>4136</v>
      </c>
      <c r="R796" s="69"/>
      <c r="S796" s="121" t="s">
        <v>440</v>
      </c>
      <c r="T796" s="56">
        <v>20</v>
      </c>
      <c r="U796" s="56">
        <v>3</v>
      </c>
    </row>
    <row r="797" spans="1:21" ht="14.25" customHeight="1" x14ac:dyDescent="0.35">
      <c r="A797" s="47">
        <v>781</v>
      </c>
      <c r="B797" s="69" t="s">
        <v>79</v>
      </c>
      <c r="C797" s="69" t="s">
        <v>80</v>
      </c>
      <c r="D797" s="70" t="s">
        <v>116</v>
      </c>
      <c r="E797" s="69" t="s">
        <v>4137</v>
      </c>
      <c r="F797" s="69" t="s">
        <v>4138</v>
      </c>
      <c r="G797" s="69" t="s">
        <v>2954</v>
      </c>
      <c r="H797" s="70">
        <v>2014</v>
      </c>
      <c r="I797" s="69"/>
      <c r="J797" s="69" t="s">
        <v>4139</v>
      </c>
      <c r="K797" s="71" t="s">
        <v>4140</v>
      </c>
      <c r="L797" s="71" t="s">
        <v>4141</v>
      </c>
      <c r="M797" s="71" t="s">
        <v>4142</v>
      </c>
      <c r="N797" s="69" t="s">
        <v>57</v>
      </c>
      <c r="O797" s="64">
        <v>1</v>
      </c>
      <c r="P797" s="72">
        <v>16858</v>
      </c>
      <c r="Q797" s="69" t="s">
        <v>4143</v>
      </c>
      <c r="R797" s="69"/>
      <c r="S797" s="121" t="s">
        <v>440</v>
      </c>
      <c r="T797" s="56">
        <v>20</v>
      </c>
      <c r="U797" s="56">
        <v>3</v>
      </c>
    </row>
    <row r="798" spans="1:21" ht="14.25" customHeight="1" thickBot="1" x14ac:dyDescent="0.4">
      <c r="A798" s="58">
        <v>782</v>
      </c>
      <c r="B798" s="69" t="s">
        <v>79</v>
      </c>
      <c r="C798" s="69" t="s">
        <v>80</v>
      </c>
      <c r="D798" s="70" t="s">
        <v>841</v>
      </c>
      <c r="E798" s="69" t="s">
        <v>138</v>
      </c>
      <c r="F798" s="69" t="s">
        <v>139</v>
      </c>
      <c r="G798" s="69" t="s">
        <v>140</v>
      </c>
      <c r="H798" s="70">
        <v>2014</v>
      </c>
      <c r="I798" s="69"/>
      <c r="J798" s="69" t="s">
        <v>4144</v>
      </c>
      <c r="K798" s="71" t="s">
        <v>4145</v>
      </c>
      <c r="L798" s="71" t="s">
        <v>4146</v>
      </c>
      <c r="M798" s="71" t="s">
        <v>4147</v>
      </c>
      <c r="N798" s="69" t="s">
        <v>57</v>
      </c>
      <c r="O798" s="64">
        <v>1</v>
      </c>
      <c r="P798" s="72">
        <v>17194</v>
      </c>
      <c r="Q798" s="69" t="s">
        <v>4148</v>
      </c>
      <c r="R798" s="69"/>
      <c r="S798" s="121" t="s">
        <v>440</v>
      </c>
      <c r="T798" s="56">
        <v>20</v>
      </c>
      <c r="U798" s="56">
        <v>3</v>
      </c>
    </row>
    <row r="799" spans="1:21" ht="14.25" customHeight="1" x14ac:dyDescent="0.35">
      <c r="A799" s="47">
        <v>783</v>
      </c>
      <c r="B799" s="69" t="s">
        <v>79</v>
      </c>
      <c r="C799" s="69" t="s">
        <v>80</v>
      </c>
      <c r="D799" s="70" t="s">
        <v>904</v>
      </c>
      <c r="E799" s="69" t="s">
        <v>138</v>
      </c>
      <c r="F799" s="69" t="s">
        <v>139</v>
      </c>
      <c r="G799" s="69" t="s">
        <v>140</v>
      </c>
      <c r="H799" s="70">
        <v>2014</v>
      </c>
      <c r="I799" s="69"/>
      <c r="J799" s="69" t="s">
        <v>4149</v>
      </c>
      <c r="K799" s="71" t="s">
        <v>4150</v>
      </c>
      <c r="L799" s="71" t="s">
        <v>4151</v>
      </c>
      <c r="M799" s="71" t="s">
        <v>4152</v>
      </c>
      <c r="N799" s="69" t="s">
        <v>57</v>
      </c>
      <c r="O799" s="64">
        <v>1</v>
      </c>
      <c r="P799" s="72">
        <v>17194</v>
      </c>
      <c r="Q799" s="69" t="s">
        <v>4153</v>
      </c>
      <c r="R799" s="69"/>
      <c r="S799" s="121" t="s">
        <v>440</v>
      </c>
      <c r="T799" s="56">
        <v>20</v>
      </c>
      <c r="U799" s="56">
        <v>3</v>
      </c>
    </row>
    <row r="800" spans="1:21" ht="14.25" customHeight="1" thickBot="1" x14ac:dyDescent="0.4">
      <c r="A800" s="58">
        <v>784</v>
      </c>
      <c r="B800" s="69" t="s">
        <v>1806</v>
      </c>
      <c r="C800" s="69" t="s">
        <v>1807</v>
      </c>
      <c r="D800" s="70" t="s">
        <v>51</v>
      </c>
      <c r="E800" s="69" t="s">
        <v>2558</v>
      </c>
      <c r="F800" s="69" t="s">
        <v>2559</v>
      </c>
      <c r="G800" s="69" t="s">
        <v>54</v>
      </c>
      <c r="H800" s="70">
        <v>2011</v>
      </c>
      <c r="I800" s="69" t="s">
        <v>63</v>
      </c>
      <c r="J800" s="69" t="s">
        <v>4154</v>
      </c>
      <c r="K800" s="71" t="s">
        <v>4155</v>
      </c>
      <c r="L800" s="71" t="s">
        <v>4156</v>
      </c>
      <c r="M800" s="71" t="s">
        <v>4157</v>
      </c>
      <c r="N800" s="69" t="s">
        <v>57</v>
      </c>
      <c r="O800" s="64">
        <v>1</v>
      </c>
      <c r="P800" s="72">
        <v>228815</v>
      </c>
      <c r="Q800" s="169" t="s">
        <v>4158</v>
      </c>
      <c r="R800" s="138"/>
      <c r="S800" s="121" t="s">
        <v>466</v>
      </c>
      <c r="T800" s="56">
        <v>21</v>
      </c>
      <c r="U800" s="56">
        <v>4</v>
      </c>
    </row>
    <row r="801" spans="1:21" ht="14.25" customHeight="1" x14ac:dyDescent="0.35">
      <c r="A801" s="47">
        <v>785</v>
      </c>
      <c r="B801" s="69" t="s">
        <v>79</v>
      </c>
      <c r="C801" s="69" t="s">
        <v>80</v>
      </c>
      <c r="D801" s="70" t="s">
        <v>51</v>
      </c>
      <c r="E801" s="69" t="s">
        <v>1110</v>
      </c>
      <c r="F801" s="69" t="s">
        <v>163</v>
      </c>
      <c r="G801" s="69" t="s">
        <v>140</v>
      </c>
      <c r="H801" s="70">
        <v>2017</v>
      </c>
      <c r="I801" s="69" t="s">
        <v>63</v>
      </c>
      <c r="J801" s="69" t="s">
        <v>4159</v>
      </c>
      <c r="K801" s="71" t="s">
        <v>4160</v>
      </c>
      <c r="L801" s="71" t="s">
        <v>4161</v>
      </c>
      <c r="M801" s="71" t="s">
        <v>4162</v>
      </c>
      <c r="N801" s="69" t="s">
        <v>57</v>
      </c>
      <c r="O801" s="64">
        <v>1</v>
      </c>
      <c r="P801" s="72">
        <v>15846.6</v>
      </c>
      <c r="Q801" s="170" t="s">
        <v>4163</v>
      </c>
      <c r="R801" s="138"/>
      <c r="S801" s="121" t="s">
        <v>466</v>
      </c>
      <c r="T801" s="56">
        <v>21</v>
      </c>
      <c r="U801" s="56">
        <v>3</v>
      </c>
    </row>
    <row r="802" spans="1:21" ht="14.25" customHeight="1" thickBot="1" x14ac:dyDescent="0.4">
      <c r="A802" s="58">
        <v>786</v>
      </c>
      <c r="B802" s="69" t="s">
        <v>79</v>
      </c>
      <c r="C802" s="69" t="s">
        <v>80</v>
      </c>
      <c r="D802" s="70" t="s">
        <v>59</v>
      </c>
      <c r="E802" s="69" t="s">
        <v>1377</v>
      </c>
      <c r="F802" s="69" t="s">
        <v>1378</v>
      </c>
      <c r="G802" s="69" t="s">
        <v>140</v>
      </c>
      <c r="H802" s="70">
        <v>2014</v>
      </c>
      <c r="I802" s="69"/>
      <c r="J802" s="69" t="s">
        <v>4164</v>
      </c>
      <c r="K802" s="71" t="s">
        <v>4165</v>
      </c>
      <c r="L802" s="71" t="s">
        <v>4166</v>
      </c>
      <c r="M802" s="71" t="s">
        <v>4167</v>
      </c>
      <c r="N802" s="69" t="s">
        <v>57</v>
      </c>
      <c r="O802" s="64">
        <v>1</v>
      </c>
      <c r="P802" s="72">
        <v>19189.532999999999</v>
      </c>
      <c r="Q802" s="170" t="s">
        <v>4168</v>
      </c>
      <c r="R802" s="138"/>
      <c r="S802" s="121" t="s">
        <v>466</v>
      </c>
      <c r="T802" s="56">
        <v>21</v>
      </c>
      <c r="U802" s="56">
        <v>3</v>
      </c>
    </row>
    <row r="803" spans="1:21" ht="14.25" customHeight="1" x14ac:dyDescent="0.35">
      <c r="A803" s="47">
        <v>787</v>
      </c>
      <c r="B803" s="69" t="s">
        <v>79</v>
      </c>
      <c r="C803" s="69" t="s">
        <v>80</v>
      </c>
      <c r="D803" s="70" t="s">
        <v>97</v>
      </c>
      <c r="E803" s="69" t="s">
        <v>1377</v>
      </c>
      <c r="F803" s="69" t="s">
        <v>1378</v>
      </c>
      <c r="G803" s="69" t="s">
        <v>140</v>
      </c>
      <c r="H803" s="70">
        <v>2014</v>
      </c>
      <c r="I803" s="69"/>
      <c r="J803" s="69" t="s">
        <v>4169</v>
      </c>
      <c r="K803" s="71" t="s">
        <v>4170</v>
      </c>
      <c r="L803" s="71" t="s">
        <v>4171</v>
      </c>
      <c r="M803" s="71" t="s">
        <v>4172</v>
      </c>
      <c r="N803" s="69" t="s">
        <v>57</v>
      </c>
      <c r="O803" s="64">
        <v>1</v>
      </c>
      <c r="P803" s="72">
        <v>19189.532999999999</v>
      </c>
      <c r="Q803" s="170" t="s">
        <v>4173</v>
      </c>
      <c r="R803" s="138"/>
      <c r="S803" s="121" t="s">
        <v>466</v>
      </c>
      <c r="T803" s="56">
        <v>21</v>
      </c>
      <c r="U803" s="56">
        <v>3</v>
      </c>
    </row>
    <row r="804" spans="1:21" ht="14.25" customHeight="1" thickBot="1" x14ac:dyDescent="0.4">
      <c r="A804" s="58">
        <v>788</v>
      </c>
      <c r="B804" s="69" t="s">
        <v>79</v>
      </c>
      <c r="C804" s="69" t="s">
        <v>80</v>
      </c>
      <c r="D804" s="70" t="s">
        <v>101</v>
      </c>
      <c r="E804" s="69" t="s">
        <v>1383</v>
      </c>
      <c r="F804" s="69" t="s">
        <v>163</v>
      </c>
      <c r="G804" s="69" t="s">
        <v>140</v>
      </c>
      <c r="H804" s="70">
        <v>2015</v>
      </c>
      <c r="I804" s="69"/>
      <c r="J804" s="69" t="s">
        <v>4174</v>
      </c>
      <c r="K804" s="71" t="s">
        <v>4175</v>
      </c>
      <c r="L804" s="71" t="s">
        <v>4176</v>
      </c>
      <c r="M804" s="71" t="s">
        <v>4177</v>
      </c>
      <c r="N804" s="69" t="s">
        <v>57</v>
      </c>
      <c r="O804" s="64">
        <v>1</v>
      </c>
      <c r="P804" s="72">
        <v>14962.333000000001</v>
      </c>
      <c r="Q804" s="170" t="s">
        <v>4178</v>
      </c>
      <c r="R804" s="138"/>
      <c r="S804" s="121" t="s">
        <v>466</v>
      </c>
      <c r="T804" s="56">
        <v>21</v>
      </c>
      <c r="U804" s="56">
        <v>3</v>
      </c>
    </row>
    <row r="805" spans="1:21" ht="14.25" customHeight="1" x14ac:dyDescent="0.35">
      <c r="A805" s="47">
        <v>789</v>
      </c>
      <c r="B805" s="69" t="s">
        <v>79</v>
      </c>
      <c r="C805" s="69" t="s">
        <v>80</v>
      </c>
      <c r="D805" s="70" t="s">
        <v>107</v>
      </c>
      <c r="E805" s="69" t="s">
        <v>4179</v>
      </c>
      <c r="F805" s="69" t="s">
        <v>88</v>
      </c>
      <c r="G805" s="69" t="s">
        <v>54</v>
      </c>
      <c r="H805" s="70">
        <v>2008</v>
      </c>
      <c r="I805" s="69"/>
      <c r="J805" s="69" t="s">
        <v>4180</v>
      </c>
      <c r="K805" s="71" t="s">
        <v>4181</v>
      </c>
      <c r="L805" s="71" t="s">
        <v>4182</v>
      </c>
      <c r="M805" s="71" t="s">
        <v>4183</v>
      </c>
      <c r="N805" s="69" t="s">
        <v>57</v>
      </c>
      <c r="O805" s="64">
        <v>1</v>
      </c>
      <c r="P805" s="72">
        <v>16950</v>
      </c>
      <c r="Q805" s="170" t="s">
        <v>4184</v>
      </c>
      <c r="R805" s="138"/>
      <c r="S805" s="121" t="s">
        <v>466</v>
      </c>
      <c r="T805" s="56">
        <v>21</v>
      </c>
      <c r="U805" s="56">
        <v>3</v>
      </c>
    </row>
    <row r="806" spans="1:21" ht="14.25" customHeight="1" thickBot="1" x14ac:dyDescent="0.4">
      <c r="A806" s="58">
        <v>790</v>
      </c>
      <c r="B806" s="69" t="s">
        <v>79</v>
      </c>
      <c r="C806" s="69" t="s">
        <v>80</v>
      </c>
      <c r="D806" s="70" t="s">
        <v>112</v>
      </c>
      <c r="E806" s="69" t="s">
        <v>4185</v>
      </c>
      <c r="F806" s="69" t="s">
        <v>88</v>
      </c>
      <c r="G806" s="69" t="s">
        <v>54</v>
      </c>
      <c r="H806" s="70">
        <v>2010</v>
      </c>
      <c r="I806" s="69"/>
      <c r="J806" s="69" t="s">
        <v>4186</v>
      </c>
      <c r="K806" s="71" t="s">
        <v>4187</v>
      </c>
      <c r="L806" s="71" t="s">
        <v>4188</v>
      </c>
      <c r="M806" s="71" t="s">
        <v>4189</v>
      </c>
      <c r="N806" s="69" t="s">
        <v>57</v>
      </c>
      <c r="O806" s="64">
        <v>1</v>
      </c>
      <c r="P806" s="72">
        <v>19000</v>
      </c>
      <c r="Q806" s="170" t="s">
        <v>4190</v>
      </c>
      <c r="R806" s="138"/>
      <c r="S806" s="121" t="s">
        <v>466</v>
      </c>
      <c r="T806" s="56">
        <v>21</v>
      </c>
      <c r="U806" s="56">
        <v>3</v>
      </c>
    </row>
    <row r="807" spans="1:21" ht="14.25" customHeight="1" x14ac:dyDescent="0.35">
      <c r="A807" s="47">
        <v>791</v>
      </c>
      <c r="B807" s="69" t="s">
        <v>79</v>
      </c>
      <c r="C807" s="69" t="s">
        <v>80</v>
      </c>
      <c r="D807" s="70" t="s">
        <v>116</v>
      </c>
      <c r="E807" s="69" t="s">
        <v>230</v>
      </c>
      <c r="F807" s="69" t="s">
        <v>231</v>
      </c>
      <c r="G807" s="69" t="s">
        <v>54</v>
      </c>
      <c r="H807" s="70">
        <v>2013</v>
      </c>
      <c r="I807" s="69" t="s">
        <v>63</v>
      </c>
      <c r="J807" s="69" t="s">
        <v>4191</v>
      </c>
      <c r="K807" s="71" t="s">
        <v>4192</v>
      </c>
      <c r="L807" s="71" t="s">
        <v>4193</v>
      </c>
      <c r="M807" s="71" t="s">
        <v>4194</v>
      </c>
      <c r="N807" s="69" t="s">
        <v>57</v>
      </c>
      <c r="O807" s="64">
        <v>1</v>
      </c>
      <c r="P807" s="72">
        <v>18381.099999999999</v>
      </c>
      <c r="Q807" s="170" t="s">
        <v>4195</v>
      </c>
      <c r="R807" s="138"/>
      <c r="S807" s="121" t="s">
        <v>466</v>
      </c>
      <c r="T807" s="56">
        <v>21</v>
      </c>
      <c r="U807" s="56">
        <v>3</v>
      </c>
    </row>
    <row r="808" spans="1:21" ht="14.25" customHeight="1" thickBot="1" x14ac:dyDescent="0.4">
      <c r="A808" s="58">
        <v>792</v>
      </c>
      <c r="B808" s="69" t="s">
        <v>79</v>
      </c>
      <c r="C808" s="69" t="s">
        <v>80</v>
      </c>
      <c r="D808" s="70" t="s">
        <v>841</v>
      </c>
      <c r="E808" s="69" t="s">
        <v>2648</v>
      </c>
      <c r="F808" s="69">
        <v>149</v>
      </c>
      <c r="G808" s="69" t="s">
        <v>54</v>
      </c>
      <c r="H808" s="70">
        <v>2025</v>
      </c>
      <c r="I808" s="69" t="s">
        <v>63</v>
      </c>
      <c r="J808" s="69" t="s">
        <v>4196</v>
      </c>
      <c r="K808" s="71" t="s">
        <v>4197</v>
      </c>
      <c r="L808" s="71" t="s">
        <v>4198</v>
      </c>
      <c r="M808" s="71" t="s">
        <v>4199</v>
      </c>
      <c r="N808" s="69" t="s">
        <v>422</v>
      </c>
      <c r="O808" s="64">
        <v>1</v>
      </c>
      <c r="P808" s="72">
        <v>24614.999800000001</v>
      </c>
      <c r="Q808" s="170" t="s">
        <v>4200</v>
      </c>
      <c r="R808" s="138"/>
      <c r="S808" s="121" t="s">
        <v>466</v>
      </c>
      <c r="T808" s="56">
        <v>21</v>
      </c>
      <c r="U808" s="56">
        <v>3</v>
      </c>
    </row>
    <row r="809" spans="1:21" ht="14.25" customHeight="1" x14ac:dyDescent="0.35">
      <c r="A809" s="47">
        <v>793</v>
      </c>
      <c r="B809" s="69" t="s">
        <v>4201</v>
      </c>
      <c r="C809" s="69" t="s">
        <v>4202</v>
      </c>
      <c r="D809" s="70" t="s">
        <v>51</v>
      </c>
      <c r="E809" s="69" t="s">
        <v>4203</v>
      </c>
      <c r="F809" s="69" t="s">
        <v>4204</v>
      </c>
      <c r="G809" s="69" t="s">
        <v>54</v>
      </c>
      <c r="H809" s="70">
        <v>2010</v>
      </c>
      <c r="I809" s="69" t="s">
        <v>63</v>
      </c>
      <c r="J809" s="69" t="s">
        <v>4205</v>
      </c>
      <c r="K809" s="71" t="s">
        <v>4206</v>
      </c>
      <c r="L809" s="71" t="s">
        <v>4207</v>
      </c>
      <c r="M809" s="71" t="s">
        <v>4208</v>
      </c>
      <c r="N809" s="69" t="s">
        <v>422</v>
      </c>
      <c r="O809" s="64">
        <v>1</v>
      </c>
      <c r="P809" s="72">
        <v>172500</v>
      </c>
      <c r="Q809" s="170" t="s">
        <v>4209</v>
      </c>
      <c r="R809" s="138"/>
      <c r="S809" s="121" t="s">
        <v>466</v>
      </c>
      <c r="T809" s="56">
        <v>21</v>
      </c>
      <c r="U809" s="56">
        <v>4</v>
      </c>
    </row>
    <row r="810" spans="1:21" ht="14.25" customHeight="1" thickBot="1" x14ac:dyDescent="0.4">
      <c r="A810" s="58">
        <v>794</v>
      </c>
      <c r="B810" s="69" t="s">
        <v>4201</v>
      </c>
      <c r="C810" s="69" t="s">
        <v>4202</v>
      </c>
      <c r="D810" s="70" t="s">
        <v>59</v>
      </c>
      <c r="E810" s="69" t="s">
        <v>4210</v>
      </c>
      <c r="F810" s="69">
        <v>2393</v>
      </c>
      <c r="G810" s="69" t="s">
        <v>54</v>
      </c>
      <c r="H810" s="70">
        <v>2025</v>
      </c>
      <c r="I810" s="69" t="s">
        <v>63</v>
      </c>
      <c r="J810" s="69" t="s">
        <v>4211</v>
      </c>
      <c r="K810" s="71" t="s">
        <v>4212</v>
      </c>
      <c r="L810" s="71" t="s">
        <v>4213</v>
      </c>
      <c r="M810" s="71" t="s">
        <v>4214</v>
      </c>
      <c r="N810" s="69" t="s">
        <v>44</v>
      </c>
      <c r="O810" s="64">
        <v>1</v>
      </c>
      <c r="P810" s="72">
        <v>747699.99900000007</v>
      </c>
      <c r="Q810" s="170" t="s">
        <v>4215</v>
      </c>
      <c r="R810" s="138"/>
      <c r="S810" s="121" t="s">
        <v>466</v>
      </c>
      <c r="T810" s="56">
        <v>21</v>
      </c>
      <c r="U810" s="56">
        <v>4</v>
      </c>
    </row>
    <row r="811" spans="1:21" ht="14.25" customHeight="1" x14ac:dyDescent="0.35">
      <c r="A811" s="47">
        <v>795</v>
      </c>
      <c r="B811" s="69" t="s">
        <v>4216</v>
      </c>
      <c r="C811" s="69" t="s">
        <v>4217</v>
      </c>
      <c r="D811" s="70" t="s">
        <v>51</v>
      </c>
      <c r="E811" s="69" t="s">
        <v>4218</v>
      </c>
      <c r="F811" s="69" t="s">
        <v>4219</v>
      </c>
      <c r="G811" s="69" t="s">
        <v>4220</v>
      </c>
      <c r="H811" s="70">
        <v>2021</v>
      </c>
      <c r="I811" s="69" t="s">
        <v>63</v>
      </c>
      <c r="J811" s="69" t="s">
        <v>4221</v>
      </c>
      <c r="K811" s="71" t="s">
        <v>4222</v>
      </c>
      <c r="L811" s="71" t="s">
        <v>4223</v>
      </c>
      <c r="M811" s="71" t="s">
        <v>4224</v>
      </c>
      <c r="N811" s="69" t="s">
        <v>57</v>
      </c>
      <c r="O811" s="64">
        <v>1</v>
      </c>
      <c r="P811" s="72">
        <v>358000</v>
      </c>
      <c r="Q811" s="69" t="s">
        <v>4225</v>
      </c>
      <c r="R811" s="69"/>
      <c r="S811" s="121" t="s">
        <v>495</v>
      </c>
      <c r="T811" s="56">
        <v>22</v>
      </c>
      <c r="U811" s="56">
        <v>4</v>
      </c>
    </row>
    <row r="812" spans="1:21" ht="14.25" customHeight="1" thickBot="1" x14ac:dyDescent="0.4">
      <c r="A812" s="58">
        <v>796</v>
      </c>
      <c r="B812" s="69" t="s">
        <v>1806</v>
      </c>
      <c r="C812" s="69" t="s">
        <v>1807</v>
      </c>
      <c r="D812" s="70" t="s">
        <v>51</v>
      </c>
      <c r="E812" s="69" t="s">
        <v>4226</v>
      </c>
      <c r="F812" s="69" t="s">
        <v>4227</v>
      </c>
      <c r="G812" s="69" t="s">
        <v>4228</v>
      </c>
      <c r="H812" s="70">
        <v>2010</v>
      </c>
      <c r="I812" s="69"/>
      <c r="J812" s="69" t="s">
        <v>4229</v>
      </c>
      <c r="K812" s="71" t="s">
        <v>4230</v>
      </c>
      <c r="L812" s="71" t="s">
        <v>4231</v>
      </c>
      <c r="M812" s="71" t="s">
        <v>4224</v>
      </c>
      <c r="N812" s="69" t="s">
        <v>57</v>
      </c>
      <c r="O812" s="64">
        <v>1</v>
      </c>
      <c r="P812" s="72">
        <v>259750</v>
      </c>
      <c r="Q812" s="69" t="s">
        <v>4232</v>
      </c>
      <c r="R812" s="69"/>
      <c r="S812" s="121" t="s">
        <v>495</v>
      </c>
      <c r="T812" s="56">
        <v>22</v>
      </c>
      <c r="U812" s="56">
        <v>4</v>
      </c>
    </row>
    <row r="813" spans="1:21" ht="14.25" customHeight="1" x14ac:dyDescent="0.35">
      <c r="A813" s="47">
        <v>797</v>
      </c>
      <c r="B813" s="69" t="s">
        <v>79</v>
      </c>
      <c r="C813" s="69" t="s">
        <v>80</v>
      </c>
      <c r="D813" s="70" t="s">
        <v>51</v>
      </c>
      <c r="E813" s="69" t="s">
        <v>4233</v>
      </c>
      <c r="F813" s="69" t="s">
        <v>202</v>
      </c>
      <c r="G813" s="69" t="s">
        <v>54</v>
      </c>
      <c r="H813" s="70">
        <v>2011</v>
      </c>
      <c r="I813" s="69"/>
      <c r="J813" s="69" t="s">
        <v>4234</v>
      </c>
      <c r="K813" s="71" t="s">
        <v>4235</v>
      </c>
      <c r="L813" s="71" t="s">
        <v>4236</v>
      </c>
      <c r="M813" s="71" t="s">
        <v>4237</v>
      </c>
      <c r="N813" s="69" t="s">
        <v>57</v>
      </c>
      <c r="O813" s="64">
        <v>1</v>
      </c>
      <c r="P813" s="72">
        <v>19700</v>
      </c>
      <c r="Q813" s="69" t="s">
        <v>4238</v>
      </c>
      <c r="R813" s="69"/>
      <c r="S813" s="121" t="s">
        <v>495</v>
      </c>
      <c r="T813" s="56">
        <v>22</v>
      </c>
      <c r="U813" s="56">
        <v>3</v>
      </c>
    </row>
    <row r="814" spans="1:21" ht="14.25" customHeight="1" thickBot="1" x14ac:dyDescent="0.4">
      <c r="A814" s="58">
        <v>798</v>
      </c>
      <c r="B814" s="69" t="s">
        <v>79</v>
      </c>
      <c r="C814" s="69" t="s">
        <v>80</v>
      </c>
      <c r="D814" s="70" t="s">
        <v>59</v>
      </c>
      <c r="E814" s="69" t="s">
        <v>4239</v>
      </c>
      <c r="F814" s="69" t="s">
        <v>2386</v>
      </c>
      <c r="G814" s="69" t="s">
        <v>4240</v>
      </c>
      <c r="H814" s="70">
        <v>2012</v>
      </c>
      <c r="I814" s="69"/>
      <c r="J814" s="69" t="s">
        <v>4241</v>
      </c>
      <c r="K814" s="71" t="s">
        <v>4242</v>
      </c>
      <c r="L814" s="71" t="s">
        <v>4243</v>
      </c>
      <c r="M814" s="71" t="s">
        <v>4244</v>
      </c>
      <c r="N814" s="69" t="s">
        <v>57</v>
      </c>
      <c r="O814" s="64">
        <v>1</v>
      </c>
      <c r="P814" s="72">
        <v>23200</v>
      </c>
      <c r="Q814" s="69" t="s">
        <v>4245</v>
      </c>
      <c r="R814" s="69"/>
      <c r="S814" s="121" t="s">
        <v>495</v>
      </c>
      <c r="T814" s="56">
        <v>22</v>
      </c>
      <c r="U814" s="56">
        <v>3</v>
      </c>
    </row>
    <row r="815" spans="1:21" ht="14.25" customHeight="1" x14ac:dyDescent="0.35">
      <c r="A815" s="47">
        <v>799</v>
      </c>
      <c r="B815" s="69" t="s">
        <v>79</v>
      </c>
      <c r="C815" s="69" t="s">
        <v>80</v>
      </c>
      <c r="D815" s="70" t="s">
        <v>101</v>
      </c>
      <c r="E815" s="69" t="s">
        <v>4246</v>
      </c>
      <c r="F815" s="69" t="s">
        <v>2386</v>
      </c>
      <c r="G815" s="69" t="s">
        <v>54</v>
      </c>
      <c r="H815" s="70">
        <v>2004</v>
      </c>
      <c r="I815" s="69"/>
      <c r="J815" s="69" t="s">
        <v>4247</v>
      </c>
      <c r="K815" s="71" t="s">
        <v>4248</v>
      </c>
      <c r="L815" s="71" t="s">
        <v>4249</v>
      </c>
      <c r="M815" s="71" t="s">
        <v>4250</v>
      </c>
      <c r="N815" s="69" t="s">
        <v>57</v>
      </c>
      <c r="O815" s="64">
        <v>1</v>
      </c>
      <c r="P815" s="72">
        <v>12750</v>
      </c>
      <c r="Q815" s="69" t="s">
        <v>4251</v>
      </c>
      <c r="R815" s="69"/>
      <c r="S815" s="121" t="s">
        <v>495</v>
      </c>
      <c r="T815" s="56">
        <v>22</v>
      </c>
      <c r="U815" s="56">
        <v>3</v>
      </c>
    </row>
    <row r="816" spans="1:21" ht="14.25" customHeight="1" thickBot="1" x14ac:dyDescent="0.4">
      <c r="A816" s="58">
        <v>800</v>
      </c>
      <c r="B816" s="69" t="s">
        <v>79</v>
      </c>
      <c r="C816" s="69" t="s">
        <v>80</v>
      </c>
      <c r="D816" s="70" t="s">
        <v>107</v>
      </c>
      <c r="E816" s="69" t="s">
        <v>4252</v>
      </c>
      <c r="F816" s="69" t="s">
        <v>4253</v>
      </c>
      <c r="G816" s="69" t="s">
        <v>54</v>
      </c>
      <c r="H816" s="70">
        <v>2005</v>
      </c>
      <c r="I816" s="69"/>
      <c r="J816" s="69" t="s">
        <v>4254</v>
      </c>
      <c r="K816" s="71" t="s">
        <v>4255</v>
      </c>
      <c r="L816" s="71" t="s">
        <v>4256</v>
      </c>
      <c r="M816" s="71" t="s">
        <v>4257</v>
      </c>
      <c r="N816" s="69" t="s">
        <v>57</v>
      </c>
      <c r="O816" s="64">
        <v>1</v>
      </c>
      <c r="P816" s="72">
        <v>12750</v>
      </c>
      <c r="Q816" s="69" t="s">
        <v>4258</v>
      </c>
      <c r="R816" s="69"/>
      <c r="S816" s="121" t="s">
        <v>495</v>
      </c>
      <c r="T816" s="56">
        <v>22</v>
      </c>
      <c r="U816" s="56">
        <v>3</v>
      </c>
    </row>
    <row r="817" spans="1:23" ht="14.25" customHeight="1" x14ac:dyDescent="0.35">
      <c r="A817" s="47">
        <v>801</v>
      </c>
      <c r="B817" s="69" t="s">
        <v>79</v>
      </c>
      <c r="C817" s="69" t="s">
        <v>80</v>
      </c>
      <c r="D817" s="70" t="s">
        <v>116</v>
      </c>
      <c r="E817" s="69" t="s">
        <v>4259</v>
      </c>
      <c r="F817" s="69" t="s">
        <v>4253</v>
      </c>
      <c r="G817" s="69" t="s">
        <v>54</v>
      </c>
      <c r="H817" s="70">
        <v>2005</v>
      </c>
      <c r="I817" s="69"/>
      <c r="J817" s="69" t="s">
        <v>4260</v>
      </c>
      <c r="K817" s="71" t="s">
        <v>4261</v>
      </c>
      <c r="L817" s="71" t="s">
        <v>4262</v>
      </c>
      <c r="M817" s="71" t="s">
        <v>4263</v>
      </c>
      <c r="N817" s="69" t="s">
        <v>57</v>
      </c>
      <c r="O817" s="64">
        <v>1</v>
      </c>
      <c r="P817" s="72">
        <v>13175</v>
      </c>
      <c r="Q817" s="69" t="s">
        <v>4264</v>
      </c>
      <c r="R817" s="69"/>
      <c r="S817" s="121" t="s">
        <v>495</v>
      </c>
      <c r="T817" s="56">
        <v>22</v>
      </c>
      <c r="U817" s="56">
        <v>3</v>
      </c>
    </row>
    <row r="818" spans="1:23" ht="14.25" customHeight="1" thickBot="1" x14ac:dyDescent="0.4">
      <c r="A818" s="58">
        <v>802</v>
      </c>
      <c r="B818" s="69" t="s">
        <v>79</v>
      </c>
      <c r="C818" s="69" t="s">
        <v>80</v>
      </c>
      <c r="D818" s="70" t="s">
        <v>904</v>
      </c>
      <c r="E818" s="69" t="s">
        <v>4265</v>
      </c>
      <c r="F818" s="69" t="s">
        <v>202</v>
      </c>
      <c r="G818" s="69" t="s">
        <v>54</v>
      </c>
      <c r="H818" s="70">
        <v>2005</v>
      </c>
      <c r="I818" s="69"/>
      <c r="J818" s="69" t="s">
        <v>4266</v>
      </c>
      <c r="K818" s="71" t="s">
        <v>4267</v>
      </c>
      <c r="L818" s="71" t="s">
        <v>4268</v>
      </c>
      <c r="M818" s="71" t="s">
        <v>4269</v>
      </c>
      <c r="N818" s="69" t="s">
        <v>57</v>
      </c>
      <c r="O818" s="64">
        <v>1</v>
      </c>
      <c r="P818" s="72">
        <v>13723</v>
      </c>
      <c r="Q818" s="69" t="s">
        <v>4270</v>
      </c>
      <c r="R818" s="69"/>
      <c r="S818" s="121" t="s">
        <v>495</v>
      </c>
      <c r="T818" s="56">
        <v>22</v>
      </c>
      <c r="U818" s="56">
        <v>3</v>
      </c>
    </row>
    <row r="819" spans="1:23" ht="14.25" customHeight="1" x14ac:dyDescent="0.35">
      <c r="A819" s="47">
        <v>803</v>
      </c>
      <c r="B819" s="69" t="s">
        <v>79</v>
      </c>
      <c r="C819" s="69" t="s">
        <v>80</v>
      </c>
      <c r="D819" s="70" t="s">
        <v>126</v>
      </c>
      <c r="E819" s="69" t="s">
        <v>4271</v>
      </c>
      <c r="F819" s="69" t="s">
        <v>4253</v>
      </c>
      <c r="G819" s="69" t="s">
        <v>54</v>
      </c>
      <c r="H819" s="70">
        <v>2006</v>
      </c>
      <c r="I819" s="69"/>
      <c r="J819" s="69" t="s">
        <v>4272</v>
      </c>
      <c r="K819" s="71" t="s">
        <v>4273</v>
      </c>
      <c r="L819" s="71" t="s">
        <v>4274</v>
      </c>
      <c r="M819" s="71" t="s">
        <v>4275</v>
      </c>
      <c r="N819" s="69" t="s">
        <v>57</v>
      </c>
      <c r="O819" s="64">
        <v>1</v>
      </c>
      <c r="P819" s="72">
        <v>11475</v>
      </c>
      <c r="Q819" s="69" t="s">
        <v>4276</v>
      </c>
      <c r="R819" s="69"/>
      <c r="S819" s="121" t="s">
        <v>495</v>
      </c>
      <c r="T819" s="56">
        <v>22</v>
      </c>
      <c r="U819" s="56">
        <v>3</v>
      </c>
    </row>
    <row r="820" spans="1:23" ht="14.25" customHeight="1" thickBot="1" x14ac:dyDescent="0.4">
      <c r="A820" s="58">
        <v>804</v>
      </c>
      <c r="B820" s="69" t="s">
        <v>79</v>
      </c>
      <c r="C820" s="69" t="s">
        <v>80</v>
      </c>
      <c r="D820" s="70" t="s">
        <v>132</v>
      </c>
      <c r="E820" s="69" t="s">
        <v>4277</v>
      </c>
      <c r="F820" s="69" t="s">
        <v>2386</v>
      </c>
      <c r="G820" s="69" t="s">
        <v>54</v>
      </c>
      <c r="H820" s="70">
        <v>2006</v>
      </c>
      <c r="I820" s="69"/>
      <c r="J820" s="69" t="s">
        <v>4278</v>
      </c>
      <c r="K820" s="71" t="s">
        <v>4279</v>
      </c>
      <c r="L820" s="71" t="s">
        <v>4280</v>
      </c>
      <c r="M820" s="71" t="s">
        <v>4281</v>
      </c>
      <c r="N820" s="69" t="s">
        <v>57</v>
      </c>
      <c r="O820" s="64">
        <v>1</v>
      </c>
      <c r="P820" s="72">
        <v>14025</v>
      </c>
      <c r="Q820" s="69" t="s">
        <v>4282</v>
      </c>
      <c r="R820" s="69"/>
      <c r="S820" s="121" t="s">
        <v>495</v>
      </c>
      <c r="T820" s="56">
        <v>22</v>
      </c>
      <c r="U820" s="56">
        <v>3</v>
      </c>
    </row>
    <row r="821" spans="1:23" ht="14.25" customHeight="1" x14ac:dyDescent="0.35">
      <c r="A821" s="47">
        <v>805</v>
      </c>
      <c r="B821" s="69" t="s">
        <v>79</v>
      </c>
      <c r="C821" s="69" t="s">
        <v>80</v>
      </c>
      <c r="D821" s="70" t="s">
        <v>137</v>
      </c>
      <c r="E821" s="69" t="s">
        <v>4283</v>
      </c>
      <c r="F821" s="69" t="s">
        <v>217</v>
      </c>
      <c r="G821" s="69" t="s">
        <v>4284</v>
      </c>
      <c r="H821" s="70">
        <v>2021</v>
      </c>
      <c r="I821" s="69" t="s">
        <v>63</v>
      </c>
      <c r="J821" s="69" t="s">
        <v>4285</v>
      </c>
      <c r="K821" s="71" t="s">
        <v>4286</v>
      </c>
      <c r="L821" s="71" t="s">
        <v>4287</v>
      </c>
      <c r="M821" s="71" t="s">
        <v>4288</v>
      </c>
      <c r="N821" s="69" t="s">
        <v>57</v>
      </c>
      <c r="O821" s="64">
        <v>1</v>
      </c>
      <c r="P821" s="72">
        <v>33000</v>
      </c>
      <c r="Q821" s="69" t="s">
        <v>4289</v>
      </c>
      <c r="R821" s="69"/>
      <c r="S821" s="121" t="s">
        <v>495</v>
      </c>
      <c r="T821" s="56">
        <v>22</v>
      </c>
      <c r="U821" s="56">
        <v>3</v>
      </c>
    </row>
    <row r="822" spans="1:23" ht="14.25" customHeight="1" thickBot="1" x14ac:dyDescent="0.4">
      <c r="A822" s="58">
        <v>806</v>
      </c>
      <c r="B822" s="69" t="s">
        <v>79</v>
      </c>
      <c r="C822" s="69" t="s">
        <v>80</v>
      </c>
      <c r="D822" s="70" t="s">
        <v>146</v>
      </c>
      <c r="E822" s="69" t="s">
        <v>4283</v>
      </c>
      <c r="F822" s="69" t="s">
        <v>217</v>
      </c>
      <c r="G822" s="69" t="s">
        <v>4284</v>
      </c>
      <c r="H822" s="70">
        <v>2021</v>
      </c>
      <c r="I822" s="69" t="s">
        <v>63</v>
      </c>
      <c r="J822" s="69" t="s">
        <v>4290</v>
      </c>
      <c r="K822" s="71" t="s">
        <v>4291</v>
      </c>
      <c r="L822" s="71" t="s">
        <v>4292</v>
      </c>
      <c r="M822" s="71" t="s">
        <v>4293</v>
      </c>
      <c r="N822" s="69" t="s">
        <v>57</v>
      </c>
      <c r="O822" s="64">
        <v>1</v>
      </c>
      <c r="P822" s="72">
        <v>33000</v>
      </c>
      <c r="Q822" s="69" t="s">
        <v>4294</v>
      </c>
      <c r="R822" s="69"/>
      <c r="S822" s="121" t="s">
        <v>495</v>
      </c>
      <c r="T822" s="56">
        <v>22</v>
      </c>
      <c r="U822" s="56">
        <v>3</v>
      </c>
    </row>
    <row r="823" spans="1:23" ht="14.25" customHeight="1" x14ac:dyDescent="0.35">
      <c r="A823" s="47">
        <v>807</v>
      </c>
      <c r="B823" s="69" t="s">
        <v>79</v>
      </c>
      <c r="C823" s="69" t="s">
        <v>80</v>
      </c>
      <c r="D823" s="70" t="s">
        <v>154</v>
      </c>
      <c r="E823" s="69" t="s">
        <v>4283</v>
      </c>
      <c r="F823" s="69" t="s">
        <v>217</v>
      </c>
      <c r="G823" s="69" t="s">
        <v>4284</v>
      </c>
      <c r="H823" s="70">
        <v>2021</v>
      </c>
      <c r="I823" s="69" t="s">
        <v>63</v>
      </c>
      <c r="J823" s="69" t="s">
        <v>4295</v>
      </c>
      <c r="K823" s="71" t="s">
        <v>4296</v>
      </c>
      <c r="L823" s="71" t="s">
        <v>4297</v>
      </c>
      <c r="M823" s="71" t="s">
        <v>4298</v>
      </c>
      <c r="N823" s="69" t="s">
        <v>57</v>
      </c>
      <c r="O823" s="64">
        <v>1</v>
      </c>
      <c r="P823" s="72">
        <v>33000</v>
      </c>
      <c r="Q823" s="69" t="s">
        <v>4299</v>
      </c>
      <c r="R823" s="69"/>
      <c r="S823" s="121" t="s">
        <v>495</v>
      </c>
      <c r="T823" s="56">
        <v>22</v>
      </c>
      <c r="U823" s="56">
        <v>3</v>
      </c>
    </row>
    <row r="824" spans="1:23" ht="14.25" customHeight="1" thickBot="1" x14ac:dyDescent="0.4">
      <c r="A824" s="58">
        <v>808</v>
      </c>
      <c r="B824" s="69" t="s">
        <v>79</v>
      </c>
      <c r="C824" s="69" t="s">
        <v>80</v>
      </c>
      <c r="D824" s="70" t="s">
        <v>161</v>
      </c>
      <c r="E824" s="69" t="s">
        <v>4300</v>
      </c>
      <c r="F824" s="69" t="s">
        <v>202</v>
      </c>
      <c r="G824" s="69" t="s">
        <v>4284</v>
      </c>
      <c r="H824" s="70">
        <v>2021</v>
      </c>
      <c r="I824" s="69" t="s">
        <v>63</v>
      </c>
      <c r="J824" s="69" t="s">
        <v>4301</v>
      </c>
      <c r="K824" s="71" t="s">
        <v>4302</v>
      </c>
      <c r="L824" s="71" t="s">
        <v>4303</v>
      </c>
      <c r="M824" s="71" t="s">
        <v>4304</v>
      </c>
      <c r="N824" s="69" t="s">
        <v>57</v>
      </c>
      <c r="O824" s="64">
        <v>1</v>
      </c>
      <c r="P824" s="72">
        <v>17500</v>
      </c>
      <c r="Q824" s="69" t="s">
        <v>4305</v>
      </c>
      <c r="R824" s="69"/>
      <c r="S824" s="121" t="s">
        <v>495</v>
      </c>
      <c r="T824" s="56">
        <v>22</v>
      </c>
      <c r="U824" s="56">
        <v>3</v>
      </c>
    </row>
    <row r="825" spans="1:23" ht="14.25" customHeight="1" x14ac:dyDescent="0.35">
      <c r="A825" s="47">
        <v>809</v>
      </c>
      <c r="B825" s="69" t="s">
        <v>79</v>
      </c>
      <c r="C825" s="69" t="s">
        <v>80</v>
      </c>
      <c r="D825" s="70" t="s">
        <v>169</v>
      </c>
      <c r="E825" s="69" t="s">
        <v>147</v>
      </c>
      <c r="F825" s="69" t="s">
        <v>217</v>
      </c>
      <c r="G825" s="69" t="s">
        <v>140</v>
      </c>
      <c r="H825" s="70">
        <v>2015</v>
      </c>
      <c r="I825" s="69"/>
      <c r="J825" s="69" t="s">
        <v>4306</v>
      </c>
      <c r="K825" s="71" t="s">
        <v>4307</v>
      </c>
      <c r="L825" s="71" t="s">
        <v>4308</v>
      </c>
      <c r="M825" s="71" t="s">
        <v>4309</v>
      </c>
      <c r="N825" s="69" t="s">
        <v>57</v>
      </c>
      <c r="O825" s="64">
        <v>1</v>
      </c>
      <c r="P825" s="72">
        <v>19430</v>
      </c>
      <c r="Q825" s="69" t="s">
        <v>4310</v>
      </c>
      <c r="R825" s="69"/>
      <c r="S825" s="121" t="s">
        <v>495</v>
      </c>
      <c r="T825" s="56">
        <v>22</v>
      </c>
      <c r="U825" s="56">
        <v>3</v>
      </c>
    </row>
    <row r="826" spans="1:23" ht="14.25" customHeight="1" thickBot="1" x14ac:dyDescent="0.4">
      <c r="A826" s="58">
        <v>810</v>
      </c>
      <c r="B826" s="69" t="s">
        <v>79</v>
      </c>
      <c r="C826" s="69" t="s">
        <v>80</v>
      </c>
      <c r="D826" s="70" t="s">
        <v>176</v>
      </c>
      <c r="E826" s="69" t="s">
        <v>4311</v>
      </c>
      <c r="F826" s="69" t="s">
        <v>2386</v>
      </c>
      <c r="G826" s="69" t="s">
        <v>54</v>
      </c>
      <c r="H826" s="70">
        <v>2008</v>
      </c>
      <c r="I826" s="69"/>
      <c r="J826" s="69" t="s">
        <v>4312</v>
      </c>
      <c r="K826" s="71" t="s">
        <v>4313</v>
      </c>
      <c r="L826" s="71" t="s">
        <v>4314</v>
      </c>
      <c r="M826" s="71" t="s">
        <v>4315</v>
      </c>
      <c r="N826" s="69" t="s">
        <v>57</v>
      </c>
      <c r="O826" s="64">
        <v>1</v>
      </c>
      <c r="P826" s="72">
        <v>16950</v>
      </c>
      <c r="Q826" s="69" t="s">
        <v>4316</v>
      </c>
      <c r="R826" s="69"/>
      <c r="S826" s="121" t="s">
        <v>495</v>
      </c>
      <c r="T826" s="56">
        <v>22</v>
      </c>
      <c r="U826" s="56">
        <v>3</v>
      </c>
    </row>
    <row r="827" spans="1:23" ht="14.25" customHeight="1" x14ac:dyDescent="0.35">
      <c r="A827" s="47">
        <v>811</v>
      </c>
      <c r="B827" s="69" t="s">
        <v>79</v>
      </c>
      <c r="C827" s="69" t="s">
        <v>80</v>
      </c>
      <c r="D827" s="70" t="s">
        <v>4317</v>
      </c>
      <c r="E827" s="69" t="s">
        <v>4318</v>
      </c>
      <c r="F827" s="69" t="s">
        <v>4319</v>
      </c>
      <c r="G827" s="69" t="s">
        <v>4320</v>
      </c>
      <c r="H827" s="70">
        <v>2024</v>
      </c>
      <c r="I827" s="69" t="s">
        <v>63</v>
      </c>
      <c r="J827" s="69" t="s">
        <v>4321</v>
      </c>
      <c r="K827" s="71" t="s">
        <v>4322</v>
      </c>
      <c r="L827" s="71" t="s">
        <v>4323</v>
      </c>
      <c r="M827" s="71" t="s">
        <v>4324</v>
      </c>
      <c r="N827" s="69" t="s">
        <v>4325</v>
      </c>
      <c r="O827" s="64">
        <v>1</v>
      </c>
      <c r="P827" s="72">
        <v>62038</v>
      </c>
      <c r="Q827" s="69" t="s">
        <v>4326</v>
      </c>
      <c r="R827" s="69"/>
      <c r="S827" s="121" t="s">
        <v>495</v>
      </c>
      <c r="T827" s="56">
        <v>22</v>
      </c>
      <c r="U827" s="56">
        <v>3</v>
      </c>
    </row>
    <row r="828" spans="1:23" ht="14.25" customHeight="1" thickBot="1" x14ac:dyDescent="0.4">
      <c r="A828" s="58">
        <v>812</v>
      </c>
      <c r="B828" s="69" t="s">
        <v>79</v>
      </c>
      <c r="C828" s="69" t="s">
        <v>80</v>
      </c>
      <c r="D828" s="70" t="s">
        <v>4327</v>
      </c>
      <c r="E828" s="69" t="s">
        <v>4328</v>
      </c>
      <c r="F828" s="69" t="s">
        <v>4319</v>
      </c>
      <c r="G828" s="69" t="s">
        <v>4320</v>
      </c>
      <c r="H828" s="70">
        <v>2025</v>
      </c>
      <c r="I828" s="69" t="s">
        <v>63</v>
      </c>
      <c r="J828" s="69" t="s">
        <v>4329</v>
      </c>
      <c r="K828" s="71" t="s">
        <v>4330</v>
      </c>
      <c r="L828" s="71" t="s">
        <v>4331</v>
      </c>
      <c r="M828" s="71" t="s">
        <v>4332</v>
      </c>
      <c r="N828" s="69" t="s">
        <v>44</v>
      </c>
      <c r="O828" s="64">
        <v>1</v>
      </c>
      <c r="P828" s="72">
        <v>62950</v>
      </c>
      <c r="Q828" s="69" t="s">
        <v>4333</v>
      </c>
      <c r="R828" s="69"/>
      <c r="S828" s="121" t="s">
        <v>495</v>
      </c>
      <c r="T828" s="56">
        <v>22</v>
      </c>
      <c r="U828" s="56">
        <v>3</v>
      </c>
    </row>
    <row r="829" spans="1:23" ht="14.25" customHeight="1" x14ac:dyDescent="0.35">
      <c r="A829" s="47">
        <v>813</v>
      </c>
      <c r="B829" s="69" t="s">
        <v>79</v>
      </c>
      <c r="C829" s="69" t="s">
        <v>80</v>
      </c>
      <c r="D829" s="70" t="s">
        <v>192</v>
      </c>
      <c r="E829" s="69" t="s">
        <v>4334</v>
      </c>
      <c r="F829" s="69" t="s">
        <v>202</v>
      </c>
      <c r="G829" s="69" t="s">
        <v>4228</v>
      </c>
      <c r="H829" s="70">
        <v>2025</v>
      </c>
      <c r="I829" s="69" t="s">
        <v>63</v>
      </c>
      <c r="J829" s="69" t="s">
        <v>4335</v>
      </c>
      <c r="K829" s="71" t="s">
        <v>4336</v>
      </c>
      <c r="L829" s="71" t="s">
        <v>4337</v>
      </c>
      <c r="M829" s="71" t="s">
        <v>4338</v>
      </c>
      <c r="N829" s="69" t="s">
        <v>44</v>
      </c>
      <c r="O829" s="64">
        <v>1</v>
      </c>
      <c r="P829" s="72">
        <v>24250</v>
      </c>
      <c r="Q829" s="69" t="s">
        <v>4339</v>
      </c>
      <c r="R829" s="69"/>
      <c r="S829" s="121" t="s">
        <v>495</v>
      </c>
      <c r="T829" s="56">
        <v>22</v>
      </c>
      <c r="U829" s="56">
        <v>3</v>
      </c>
    </row>
    <row r="830" spans="1:23" ht="14.25" customHeight="1" thickBot="1" x14ac:dyDescent="0.4">
      <c r="A830" s="58">
        <v>814</v>
      </c>
      <c r="B830" s="171" t="s">
        <v>1806</v>
      </c>
      <c r="C830" s="171" t="s">
        <v>1807</v>
      </c>
      <c r="D830" s="172" t="s">
        <v>51</v>
      </c>
      <c r="E830" s="171" t="s">
        <v>2558</v>
      </c>
      <c r="F830" s="171" t="s">
        <v>2559</v>
      </c>
      <c r="G830" s="171" t="s">
        <v>54</v>
      </c>
      <c r="H830" s="172">
        <v>2011</v>
      </c>
      <c r="I830" s="171" t="s">
        <v>63</v>
      </c>
      <c r="J830" s="171" t="s">
        <v>4340</v>
      </c>
      <c r="K830" s="171" t="s">
        <v>4341</v>
      </c>
      <c r="L830" s="171" t="s">
        <v>4342</v>
      </c>
      <c r="M830" s="171" t="s">
        <v>4343</v>
      </c>
      <c r="N830" s="171" t="s">
        <v>57</v>
      </c>
      <c r="O830" s="173">
        <v>1</v>
      </c>
      <c r="P830" s="174">
        <v>228815</v>
      </c>
      <c r="Q830" s="171" t="s">
        <v>4344</v>
      </c>
      <c r="R830" s="171"/>
      <c r="S830" s="175" t="s">
        <v>515</v>
      </c>
      <c r="T830" s="176">
        <v>23</v>
      </c>
      <c r="U830" s="176">
        <v>4</v>
      </c>
      <c r="V830" s="177"/>
      <c r="W830" s="177"/>
    </row>
    <row r="831" spans="1:23" ht="14.25" customHeight="1" x14ac:dyDescent="0.35">
      <c r="A831" s="47">
        <v>815</v>
      </c>
      <c r="B831" s="69" t="s">
        <v>1806</v>
      </c>
      <c r="C831" s="69" t="s">
        <v>1807</v>
      </c>
      <c r="D831" s="70" t="s">
        <v>59</v>
      </c>
      <c r="E831" s="69" t="s">
        <v>4345</v>
      </c>
      <c r="F831" s="69" t="s">
        <v>4346</v>
      </c>
      <c r="G831" s="69" t="s">
        <v>140</v>
      </c>
      <c r="H831" s="70">
        <v>2024</v>
      </c>
      <c r="I831" s="69" t="s">
        <v>63</v>
      </c>
      <c r="J831" s="69" t="s">
        <v>4347</v>
      </c>
      <c r="K831" s="71" t="s">
        <v>4348</v>
      </c>
      <c r="L831" s="71" t="s">
        <v>4349</v>
      </c>
      <c r="M831" s="71" t="s">
        <v>4350</v>
      </c>
      <c r="N831" s="69" t="s">
        <v>44</v>
      </c>
      <c r="O831" s="64">
        <v>1</v>
      </c>
      <c r="P831" s="72">
        <v>416800</v>
      </c>
      <c r="Q831" s="69" t="s">
        <v>7882</v>
      </c>
      <c r="R831" s="69"/>
      <c r="S831" s="121" t="s">
        <v>515</v>
      </c>
      <c r="T831" s="56">
        <v>23</v>
      </c>
      <c r="U831" s="56">
        <v>4</v>
      </c>
    </row>
    <row r="832" spans="1:23" ht="14.25" customHeight="1" thickBot="1" x14ac:dyDescent="0.4">
      <c r="A832" s="58">
        <v>816</v>
      </c>
      <c r="B832" s="69" t="s">
        <v>79</v>
      </c>
      <c r="C832" s="69" t="s">
        <v>80</v>
      </c>
      <c r="D832" s="70" t="s">
        <v>51</v>
      </c>
      <c r="E832" s="69" t="s">
        <v>147</v>
      </c>
      <c r="F832" s="69" t="s">
        <v>148</v>
      </c>
      <c r="G832" s="69" t="s">
        <v>140</v>
      </c>
      <c r="H832" s="70">
        <v>2015</v>
      </c>
      <c r="I832" s="69"/>
      <c r="J832" s="69" t="s">
        <v>4351</v>
      </c>
      <c r="K832" s="71" t="s">
        <v>4352</v>
      </c>
      <c r="L832" s="71" t="s">
        <v>4353</v>
      </c>
      <c r="M832" s="71" t="s">
        <v>4354</v>
      </c>
      <c r="N832" s="69" t="s">
        <v>57</v>
      </c>
      <c r="O832" s="64">
        <v>1</v>
      </c>
      <c r="P832" s="72">
        <v>19430</v>
      </c>
      <c r="Q832" s="69" t="s">
        <v>4355</v>
      </c>
      <c r="R832" s="69"/>
      <c r="S832" s="121" t="s">
        <v>515</v>
      </c>
      <c r="T832" s="56">
        <v>23</v>
      </c>
      <c r="U832" s="56">
        <v>3</v>
      </c>
    </row>
    <row r="833" spans="1:21" ht="14.25" customHeight="1" x14ac:dyDescent="0.35">
      <c r="A833" s="47">
        <v>817</v>
      </c>
      <c r="B833" s="69" t="s">
        <v>79</v>
      </c>
      <c r="C833" s="69" t="s">
        <v>80</v>
      </c>
      <c r="D833" s="70" t="s">
        <v>59</v>
      </c>
      <c r="E833" s="69" t="s">
        <v>4356</v>
      </c>
      <c r="F833" s="69" t="s">
        <v>231</v>
      </c>
      <c r="G833" s="69" t="s">
        <v>2954</v>
      </c>
      <c r="H833" s="70">
        <v>2014</v>
      </c>
      <c r="I833" s="69"/>
      <c r="J833" s="69" t="s">
        <v>4357</v>
      </c>
      <c r="K833" s="71" t="s">
        <v>4358</v>
      </c>
      <c r="L833" s="71" t="s">
        <v>4359</v>
      </c>
      <c r="M833" s="71" t="s">
        <v>4360</v>
      </c>
      <c r="N833" s="69" t="s">
        <v>57</v>
      </c>
      <c r="O833" s="64">
        <v>1</v>
      </c>
      <c r="P833" s="72">
        <v>27500</v>
      </c>
      <c r="Q833" s="69" t="s">
        <v>4361</v>
      </c>
      <c r="R833" s="69"/>
      <c r="S833" s="121" t="s">
        <v>515</v>
      </c>
      <c r="T833" s="56">
        <v>23</v>
      </c>
      <c r="U833" s="56">
        <v>3</v>
      </c>
    </row>
    <row r="834" spans="1:21" ht="14.25" customHeight="1" thickBot="1" x14ac:dyDescent="0.4">
      <c r="A834" s="58">
        <v>818</v>
      </c>
      <c r="B834" s="69" t="s">
        <v>79</v>
      </c>
      <c r="C834" s="69" t="s">
        <v>80</v>
      </c>
      <c r="D834" s="70" t="s">
        <v>97</v>
      </c>
      <c r="E834" s="69" t="s">
        <v>1383</v>
      </c>
      <c r="F834" s="69" t="s">
        <v>163</v>
      </c>
      <c r="G834" s="69" t="s">
        <v>140</v>
      </c>
      <c r="H834" s="70">
        <v>2015</v>
      </c>
      <c r="I834" s="69"/>
      <c r="J834" s="69" t="s">
        <v>4362</v>
      </c>
      <c r="K834" s="71" t="s">
        <v>4363</v>
      </c>
      <c r="L834" s="71" t="s">
        <v>4364</v>
      </c>
      <c r="M834" s="71" t="s">
        <v>4365</v>
      </c>
      <c r="N834" s="69" t="s">
        <v>57</v>
      </c>
      <c r="O834" s="64">
        <v>1</v>
      </c>
      <c r="P834" s="72">
        <v>14962.333000000001</v>
      </c>
      <c r="Q834" s="69" t="s">
        <v>4366</v>
      </c>
      <c r="R834" s="69"/>
      <c r="S834" s="121" t="s">
        <v>515</v>
      </c>
      <c r="T834" s="56">
        <v>23</v>
      </c>
      <c r="U834" s="56">
        <v>3</v>
      </c>
    </row>
    <row r="835" spans="1:21" ht="14.25" customHeight="1" x14ac:dyDescent="0.35">
      <c r="A835" s="47">
        <v>819</v>
      </c>
      <c r="B835" s="69" t="s">
        <v>79</v>
      </c>
      <c r="C835" s="69" t="s">
        <v>80</v>
      </c>
      <c r="D835" s="70" t="s">
        <v>107</v>
      </c>
      <c r="E835" s="69" t="s">
        <v>4367</v>
      </c>
      <c r="F835" s="69" t="s">
        <v>2386</v>
      </c>
      <c r="G835" s="69" t="s">
        <v>140</v>
      </c>
      <c r="H835" s="70">
        <v>2009</v>
      </c>
      <c r="I835" s="69" t="s">
        <v>2972</v>
      </c>
      <c r="J835" s="69" t="s">
        <v>4368</v>
      </c>
      <c r="K835" s="71" t="s">
        <v>4369</v>
      </c>
      <c r="L835" s="71" t="s">
        <v>4370</v>
      </c>
      <c r="M835" s="71" t="s">
        <v>4371</v>
      </c>
      <c r="N835" s="69" t="s">
        <v>57</v>
      </c>
      <c r="O835" s="64">
        <v>1</v>
      </c>
      <c r="P835" s="72">
        <v>16950</v>
      </c>
      <c r="Q835" s="69" t="s">
        <v>7883</v>
      </c>
      <c r="R835" s="69"/>
      <c r="S835" s="121" t="s">
        <v>515</v>
      </c>
      <c r="T835" s="56">
        <v>23</v>
      </c>
      <c r="U835" s="56">
        <v>3</v>
      </c>
    </row>
    <row r="836" spans="1:21" ht="14.25" customHeight="1" thickBot="1" x14ac:dyDescent="0.4">
      <c r="A836" s="58">
        <v>820</v>
      </c>
      <c r="B836" s="69" t="s">
        <v>79</v>
      </c>
      <c r="C836" s="69" t="s">
        <v>80</v>
      </c>
      <c r="D836" s="70" t="s">
        <v>116</v>
      </c>
      <c r="E836" s="69" t="s">
        <v>162</v>
      </c>
      <c r="F836" s="69" t="s">
        <v>163</v>
      </c>
      <c r="G836" s="69" t="s">
        <v>140</v>
      </c>
      <c r="H836" s="70">
        <v>2018</v>
      </c>
      <c r="I836" s="69" t="s">
        <v>63</v>
      </c>
      <c r="J836" s="69" t="s">
        <v>4372</v>
      </c>
      <c r="K836" s="71" t="s">
        <v>4373</v>
      </c>
      <c r="L836" s="71" t="s">
        <v>4374</v>
      </c>
      <c r="M836" s="71" t="s">
        <v>4375</v>
      </c>
      <c r="N836" s="69" t="s">
        <v>57</v>
      </c>
      <c r="O836" s="64">
        <v>1</v>
      </c>
      <c r="P836" s="72">
        <v>15534</v>
      </c>
      <c r="Q836" s="69" t="s">
        <v>7884</v>
      </c>
      <c r="R836" s="69"/>
      <c r="S836" s="121" t="s">
        <v>515</v>
      </c>
      <c r="T836" s="56">
        <v>23</v>
      </c>
      <c r="U836" s="56">
        <v>3</v>
      </c>
    </row>
    <row r="837" spans="1:21" ht="14.25" customHeight="1" x14ac:dyDescent="0.35">
      <c r="A837" s="47">
        <v>821</v>
      </c>
      <c r="B837" s="69" t="s">
        <v>79</v>
      </c>
      <c r="C837" s="69" t="s">
        <v>80</v>
      </c>
      <c r="D837" s="70" t="s">
        <v>841</v>
      </c>
      <c r="E837" s="69" t="s">
        <v>162</v>
      </c>
      <c r="F837" s="69" t="s">
        <v>163</v>
      </c>
      <c r="G837" s="69" t="s">
        <v>140</v>
      </c>
      <c r="H837" s="70">
        <v>2018</v>
      </c>
      <c r="I837" s="69" t="s">
        <v>63</v>
      </c>
      <c r="J837" s="69" t="s">
        <v>4376</v>
      </c>
      <c r="K837" s="71" t="s">
        <v>4377</v>
      </c>
      <c r="L837" s="71" t="s">
        <v>4378</v>
      </c>
      <c r="M837" s="71" t="s">
        <v>4379</v>
      </c>
      <c r="N837" s="69" t="s">
        <v>57</v>
      </c>
      <c r="O837" s="64">
        <v>1</v>
      </c>
      <c r="P837" s="72">
        <v>15534</v>
      </c>
      <c r="Q837" s="69" t="s">
        <v>7885</v>
      </c>
      <c r="R837" s="69"/>
      <c r="S837" s="121" t="s">
        <v>515</v>
      </c>
      <c r="T837" s="56">
        <v>23</v>
      </c>
      <c r="U837" s="56">
        <v>3</v>
      </c>
    </row>
    <row r="838" spans="1:21" ht="14.25" customHeight="1" thickBot="1" x14ac:dyDescent="0.4">
      <c r="A838" s="58">
        <v>822</v>
      </c>
      <c r="B838" s="69" t="s">
        <v>79</v>
      </c>
      <c r="C838" s="69" t="s">
        <v>80</v>
      </c>
      <c r="D838" s="70" t="s">
        <v>904</v>
      </c>
      <c r="E838" s="69" t="s">
        <v>4380</v>
      </c>
      <c r="F838" s="69" t="s">
        <v>88</v>
      </c>
      <c r="G838" s="69" t="s">
        <v>140</v>
      </c>
      <c r="H838" s="70">
        <v>2018</v>
      </c>
      <c r="I838" s="69" t="s">
        <v>63</v>
      </c>
      <c r="J838" s="69" t="s">
        <v>4381</v>
      </c>
      <c r="K838" s="71" t="s">
        <v>4382</v>
      </c>
      <c r="L838" s="71" t="s">
        <v>4383</v>
      </c>
      <c r="M838" s="71" t="s">
        <v>4384</v>
      </c>
      <c r="N838" s="69" t="s">
        <v>57</v>
      </c>
      <c r="O838" s="64">
        <v>1</v>
      </c>
      <c r="P838" s="72">
        <v>17845.2</v>
      </c>
      <c r="Q838" s="69" t="s">
        <v>7886</v>
      </c>
      <c r="R838" s="69"/>
      <c r="S838" s="121" t="s">
        <v>515</v>
      </c>
      <c r="T838" s="56">
        <v>23</v>
      </c>
      <c r="U838" s="56">
        <v>3</v>
      </c>
    </row>
    <row r="839" spans="1:21" ht="14.25" customHeight="1" x14ac:dyDescent="0.35">
      <c r="A839" s="47">
        <v>823</v>
      </c>
      <c r="B839" s="69" t="s">
        <v>79</v>
      </c>
      <c r="C839" s="69" t="s">
        <v>80</v>
      </c>
      <c r="D839" s="70" t="s">
        <v>122</v>
      </c>
      <c r="E839" s="69" t="s">
        <v>4380</v>
      </c>
      <c r="F839" s="69" t="s">
        <v>88</v>
      </c>
      <c r="G839" s="69" t="s">
        <v>140</v>
      </c>
      <c r="H839" s="70">
        <v>2018</v>
      </c>
      <c r="I839" s="69" t="s">
        <v>63</v>
      </c>
      <c r="J839" s="69" t="s">
        <v>4385</v>
      </c>
      <c r="K839" s="71" t="s">
        <v>4386</v>
      </c>
      <c r="L839" s="71" t="s">
        <v>4387</v>
      </c>
      <c r="M839" s="71" t="s">
        <v>4388</v>
      </c>
      <c r="N839" s="69" t="s">
        <v>57</v>
      </c>
      <c r="O839" s="64">
        <v>1</v>
      </c>
      <c r="P839" s="72">
        <v>17845.2</v>
      </c>
      <c r="Q839" s="69" t="s">
        <v>7887</v>
      </c>
      <c r="R839" s="69"/>
      <c r="S839" s="121" t="s">
        <v>515</v>
      </c>
      <c r="T839" s="56">
        <v>23</v>
      </c>
      <c r="U839" s="56">
        <v>3</v>
      </c>
    </row>
    <row r="840" spans="1:21" ht="14.25" customHeight="1" thickBot="1" x14ac:dyDescent="0.4">
      <c r="A840" s="58">
        <v>824</v>
      </c>
      <c r="B840" s="69" t="s">
        <v>79</v>
      </c>
      <c r="C840" s="69" t="s">
        <v>80</v>
      </c>
      <c r="D840" s="70" t="s">
        <v>126</v>
      </c>
      <c r="E840" s="69" t="s">
        <v>4380</v>
      </c>
      <c r="F840" s="69" t="s">
        <v>88</v>
      </c>
      <c r="G840" s="69" t="s">
        <v>140</v>
      </c>
      <c r="H840" s="70">
        <v>2018</v>
      </c>
      <c r="I840" s="69" t="s">
        <v>63</v>
      </c>
      <c r="J840" s="69" t="s">
        <v>4389</v>
      </c>
      <c r="K840" s="71" t="s">
        <v>4390</v>
      </c>
      <c r="L840" s="71" t="s">
        <v>4391</v>
      </c>
      <c r="M840" s="71" t="s">
        <v>4392</v>
      </c>
      <c r="N840" s="69" t="s">
        <v>57</v>
      </c>
      <c r="O840" s="64">
        <v>1</v>
      </c>
      <c r="P840" s="72">
        <v>17845.2</v>
      </c>
      <c r="Q840" s="69" t="s">
        <v>7888</v>
      </c>
      <c r="R840" s="69"/>
      <c r="S840" s="121" t="s">
        <v>515</v>
      </c>
      <c r="T840" s="56">
        <v>23</v>
      </c>
      <c r="U840" s="56">
        <v>3</v>
      </c>
    </row>
    <row r="841" spans="1:21" ht="14.25" customHeight="1" x14ac:dyDescent="0.35">
      <c r="A841" s="47">
        <v>825</v>
      </c>
      <c r="B841" s="69" t="s">
        <v>79</v>
      </c>
      <c r="C841" s="69" t="s">
        <v>80</v>
      </c>
      <c r="D841" s="70" t="s">
        <v>132</v>
      </c>
      <c r="E841" s="69" t="s">
        <v>4380</v>
      </c>
      <c r="F841" s="69" t="s">
        <v>88</v>
      </c>
      <c r="G841" s="69" t="s">
        <v>140</v>
      </c>
      <c r="H841" s="70">
        <v>2018</v>
      </c>
      <c r="I841" s="69" t="s">
        <v>63</v>
      </c>
      <c r="J841" s="69" t="s">
        <v>4393</v>
      </c>
      <c r="K841" s="71" t="s">
        <v>4394</v>
      </c>
      <c r="L841" s="71" t="s">
        <v>4395</v>
      </c>
      <c r="M841" s="71" t="s">
        <v>4396</v>
      </c>
      <c r="N841" s="69" t="s">
        <v>57</v>
      </c>
      <c r="O841" s="64">
        <v>1</v>
      </c>
      <c r="P841" s="72">
        <v>17845.2</v>
      </c>
      <c r="Q841" s="69" t="s">
        <v>7889</v>
      </c>
      <c r="R841" s="69"/>
      <c r="S841" s="121" t="s">
        <v>515</v>
      </c>
      <c r="T841" s="56">
        <v>23</v>
      </c>
      <c r="U841" s="56">
        <v>3</v>
      </c>
    </row>
    <row r="842" spans="1:21" ht="14.25" customHeight="1" thickBot="1" x14ac:dyDescent="0.4">
      <c r="A842" s="58">
        <v>826</v>
      </c>
      <c r="B842" s="69" t="s">
        <v>79</v>
      </c>
      <c r="C842" s="69" t="s">
        <v>80</v>
      </c>
      <c r="D842" s="70" t="s">
        <v>137</v>
      </c>
      <c r="E842" s="69" t="s">
        <v>4380</v>
      </c>
      <c r="F842" s="69" t="s">
        <v>88</v>
      </c>
      <c r="G842" s="69" t="s">
        <v>140</v>
      </c>
      <c r="H842" s="70">
        <v>2018</v>
      </c>
      <c r="I842" s="69" t="s">
        <v>63</v>
      </c>
      <c r="J842" s="69" t="s">
        <v>4397</v>
      </c>
      <c r="K842" s="71" t="s">
        <v>4398</v>
      </c>
      <c r="L842" s="71" t="s">
        <v>4399</v>
      </c>
      <c r="M842" s="71" t="s">
        <v>4400</v>
      </c>
      <c r="N842" s="69" t="s">
        <v>57</v>
      </c>
      <c r="O842" s="64">
        <v>1</v>
      </c>
      <c r="P842" s="72">
        <v>17845.2</v>
      </c>
      <c r="Q842" s="69" t="s">
        <v>7890</v>
      </c>
      <c r="R842" s="69"/>
      <c r="S842" s="121" t="s">
        <v>515</v>
      </c>
      <c r="T842" s="56">
        <v>23</v>
      </c>
      <c r="U842" s="56">
        <v>3</v>
      </c>
    </row>
    <row r="843" spans="1:21" ht="14.25" customHeight="1" x14ac:dyDescent="0.35">
      <c r="A843" s="47">
        <v>827</v>
      </c>
      <c r="B843" s="69" t="s">
        <v>79</v>
      </c>
      <c r="C843" s="69" t="s">
        <v>80</v>
      </c>
      <c r="D843" s="70" t="s">
        <v>146</v>
      </c>
      <c r="E843" s="69" t="s">
        <v>4380</v>
      </c>
      <c r="F843" s="69" t="s">
        <v>88</v>
      </c>
      <c r="G843" s="69" t="s">
        <v>140</v>
      </c>
      <c r="H843" s="70">
        <v>2018</v>
      </c>
      <c r="I843" s="69" t="s">
        <v>63</v>
      </c>
      <c r="J843" s="69" t="s">
        <v>4401</v>
      </c>
      <c r="K843" s="71" t="s">
        <v>4402</v>
      </c>
      <c r="L843" s="71" t="s">
        <v>4403</v>
      </c>
      <c r="M843" s="71" t="s">
        <v>4404</v>
      </c>
      <c r="N843" s="69" t="s">
        <v>57</v>
      </c>
      <c r="O843" s="64">
        <v>1</v>
      </c>
      <c r="P843" s="72">
        <v>17845.2</v>
      </c>
      <c r="Q843" s="69" t="s">
        <v>7891</v>
      </c>
      <c r="R843" s="69"/>
      <c r="S843" s="121" t="s">
        <v>515</v>
      </c>
      <c r="T843" s="56">
        <v>23</v>
      </c>
      <c r="U843" s="56">
        <v>3</v>
      </c>
    </row>
    <row r="844" spans="1:21" ht="14.25" customHeight="1" thickBot="1" x14ac:dyDescent="0.4">
      <c r="A844" s="58">
        <v>828</v>
      </c>
      <c r="B844" s="69" t="s">
        <v>79</v>
      </c>
      <c r="C844" s="69" t="s">
        <v>80</v>
      </c>
      <c r="D844" s="70" t="s">
        <v>154</v>
      </c>
      <c r="E844" s="69" t="s">
        <v>4380</v>
      </c>
      <c r="F844" s="69" t="s">
        <v>88</v>
      </c>
      <c r="G844" s="69" t="s">
        <v>140</v>
      </c>
      <c r="H844" s="70">
        <v>2018</v>
      </c>
      <c r="I844" s="69" t="s">
        <v>63</v>
      </c>
      <c r="J844" s="69" t="s">
        <v>4405</v>
      </c>
      <c r="K844" s="71" t="s">
        <v>4406</v>
      </c>
      <c r="L844" s="71" t="s">
        <v>4407</v>
      </c>
      <c r="M844" s="71" t="s">
        <v>4379</v>
      </c>
      <c r="N844" s="69" t="s">
        <v>57</v>
      </c>
      <c r="O844" s="64">
        <v>1</v>
      </c>
      <c r="P844" s="72">
        <v>17845.2</v>
      </c>
      <c r="Q844" s="69" t="s">
        <v>7892</v>
      </c>
      <c r="R844" s="69"/>
      <c r="S844" s="121" t="s">
        <v>515</v>
      </c>
      <c r="T844" s="56">
        <v>23</v>
      </c>
      <c r="U844" s="56">
        <v>3</v>
      </c>
    </row>
    <row r="845" spans="1:21" ht="14.25" customHeight="1" x14ac:dyDescent="0.35">
      <c r="A845" s="47">
        <v>829</v>
      </c>
      <c r="B845" s="69" t="s">
        <v>79</v>
      </c>
      <c r="C845" s="69" t="s">
        <v>80</v>
      </c>
      <c r="D845" s="70" t="s">
        <v>161</v>
      </c>
      <c r="E845" s="69" t="s">
        <v>3777</v>
      </c>
      <c r="F845" s="69" t="s">
        <v>88</v>
      </c>
      <c r="G845" s="69" t="s">
        <v>140</v>
      </c>
      <c r="H845" s="70">
        <v>2018</v>
      </c>
      <c r="I845" s="69" t="s">
        <v>63</v>
      </c>
      <c r="J845" s="69" t="s">
        <v>4408</v>
      </c>
      <c r="K845" s="71" t="s">
        <v>4409</v>
      </c>
      <c r="L845" s="71" t="s">
        <v>4410</v>
      </c>
      <c r="M845" s="71" t="s">
        <v>4411</v>
      </c>
      <c r="N845" s="69" t="s">
        <v>57</v>
      </c>
      <c r="O845" s="64">
        <v>1</v>
      </c>
      <c r="P845" s="72">
        <v>19471.2</v>
      </c>
      <c r="Q845" s="69" t="s">
        <v>7893</v>
      </c>
      <c r="R845" s="69"/>
      <c r="S845" s="121" t="s">
        <v>515</v>
      </c>
      <c r="T845" s="56">
        <v>23</v>
      </c>
      <c r="U845" s="56">
        <v>3</v>
      </c>
    </row>
    <row r="846" spans="1:21" ht="14.25" customHeight="1" thickBot="1" x14ac:dyDescent="0.4">
      <c r="A846" s="58">
        <v>830</v>
      </c>
      <c r="B846" s="69" t="s">
        <v>79</v>
      </c>
      <c r="C846" s="69" t="s">
        <v>80</v>
      </c>
      <c r="D846" s="70" t="s">
        <v>169</v>
      </c>
      <c r="E846" s="69" t="s">
        <v>3777</v>
      </c>
      <c r="F846" s="69" t="s">
        <v>88</v>
      </c>
      <c r="G846" s="69" t="s">
        <v>140</v>
      </c>
      <c r="H846" s="70">
        <v>2018</v>
      </c>
      <c r="I846" s="69" t="s">
        <v>63</v>
      </c>
      <c r="J846" s="69" t="s">
        <v>4412</v>
      </c>
      <c r="K846" s="71" t="s">
        <v>4413</v>
      </c>
      <c r="L846" s="71" t="s">
        <v>4414</v>
      </c>
      <c r="M846" s="71" t="s">
        <v>4415</v>
      </c>
      <c r="N846" s="69" t="s">
        <v>57</v>
      </c>
      <c r="O846" s="64">
        <v>1</v>
      </c>
      <c r="P846" s="72">
        <v>19471.2</v>
      </c>
      <c r="Q846" s="69" t="s">
        <v>7894</v>
      </c>
      <c r="R846" s="69"/>
      <c r="S846" s="121" t="s">
        <v>515</v>
      </c>
      <c r="T846" s="56">
        <v>23</v>
      </c>
      <c r="U846" s="56">
        <v>3</v>
      </c>
    </row>
    <row r="847" spans="1:21" ht="14.25" customHeight="1" x14ac:dyDescent="0.35">
      <c r="A847" s="47">
        <v>831</v>
      </c>
      <c r="B847" s="69" t="s">
        <v>79</v>
      </c>
      <c r="C847" s="69" t="s">
        <v>80</v>
      </c>
      <c r="D847" s="70" t="s">
        <v>176</v>
      </c>
      <c r="E847" s="69" t="s">
        <v>1110</v>
      </c>
      <c r="F847" s="69" t="s">
        <v>163</v>
      </c>
      <c r="G847" s="69" t="s">
        <v>140</v>
      </c>
      <c r="H847" s="70">
        <v>2017</v>
      </c>
      <c r="I847" s="69" t="s">
        <v>63</v>
      </c>
      <c r="J847" s="69" t="s">
        <v>4416</v>
      </c>
      <c r="K847" s="71" t="s">
        <v>4417</v>
      </c>
      <c r="L847" s="71" t="s">
        <v>4418</v>
      </c>
      <c r="M847" s="71" t="s">
        <v>4419</v>
      </c>
      <c r="N847" s="69" t="s">
        <v>57</v>
      </c>
      <c r="O847" s="64">
        <v>1</v>
      </c>
      <c r="P847" s="72">
        <v>15846.6</v>
      </c>
      <c r="Q847" s="69" t="s">
        <v>7895</v>
      </c>
      <c r="R847" s="69"/>
      <c r="S847" s="121" t="s">
        <v>515</v>
      </c>
      <c r="T847" s="56">
        <v>23</v>
      </c>
      <c r="U847" s="56">
        <v>3</v>
      </c>
    </row>
    <row r="848" spans="1:21" ht="14.25" customHeight="1" thickBot="1" x14ac:dyDescent="0.4">
      <c r="A848" s="58">
        <v>832</v>
      </c>
      <c r="B848" s="69" t="s">
        <v>79</v>
      </c>
      <c r="C848" s="69" t="s">
        <v>80</v>
      </c>
      <c r="D848" s="70" t="s">
        <v>1236</v>
      </c>
      <c r="E848" s="69" t="s">
        <v>162</v>
      </c>
      <c r="F848" s="69" t="s">
        <v>163</v>
      </c>
      <c r="G848" s="69" t="s">
        <v>140</v>
      </c>
      <c r="H848" s="70">
        <v>2018</v>
      </c>
      <c r="I848" s="69" t="s">
        <v>63</v>
      </c>
      <c r="J848" s="69" t="s">
        <v>4420</v>
      </c>
      <c r="K848" s="71" t="s">
        <v>4421</v>
      </c>
      <c r="L848" s="71" t="s">
        <v>4422</v>
      </c>
      <c r="M848" s="71" t="s">
        <v>4423</v>
      </c>
      <c r="N848" s="69" t="s">
        <v>57</v>
      </c>
      <c r="O848" s="64">
        <v>1</v>
      </c>
      <c r="P848" s="72">
        <v>15534</v>
      </c>
      <c r="Q848" s="69" t="s">
        <v>7896</v>
      </c>
      <c r="R848" s="69"/>
      <c r="S848" s="121" t="s">
        <v>515</v>
      </c>
      <c r="T848" s="56">
        <v>23</v>
      </c>
      <c r="U848" s="56">
        <v>3</v>
      </c>
    </row>
    <row r="849" spans="1:23" ht="14.25" customHeight="1" x14ac:dyDescent="0.35">
      <c r="A849" s="47">
        <v>833</v>
      </c>
      <c r="B849" s="69" t="s">
        <v>79</v>
      </c>
      <c r="C849" s="69" t="s">
        <v>80</v>
      </c>
      <c r="D849" s="70" t="s">
        <v>181</v>
      </c>
      <c r="E849" s="69" t="s">
        <v>162</v>
      </c>
      <c r="F849" s="69" t="s">
        <v>163</v>
      </c>
      <c r="G849" s="69" t="s">
        <v>140</v>
      </c>
      <c r="H849" s="70">
        <v>2018</v>
      </c>
      <c r="I849" s="69" t="s">
        <v>63</v>
      </c>
      <c r="J849" s="69" t="s">
        <v>4424</v>
      </c>
      <c r="K849" s="71" t="s">
        <v>4425</v>
      </c>
      <c r="L849" s="71" t="s">
        <v>4426</v>
      </c>
      <c r="M849" s="71" t="s">
        <v>4427</v>
      </c>
      <c r="N849" s="69" t="s">
        <v>57</v>
      </c>
      <c r="O849" s="64">
        <v>1</v>
      </c>
      <c r="P849" s="72">
        <v>15534</v>
      </c>
      <c r="Q849" s="69" t="s">
        <v>7897</v>
      </c>
      <c r="R849" s="69"/>
      <c r="S849" s="121" t="s">
        <v>515</v>
      </c>
      <c r="T849" s="56">
        <v>23</v>
      </c>
      <c r="U849" s="56">
        <v>3</v>
      </c>
    </row>
    <row r="850" spans="1:23" ht="14.25" customHeight="1" thickBot="1" x14ac:dyDescent="0.4">
      <c r="A850" s="58">
        <v>834</v>
      </c>
      <c r="B850" s="69" t="s">
        <v>79</v>
      </c>
      <c r="C850" s="69" t="s">
        <v>80</v>
      </c>
      <c r="D850" s="70" t="s">
        <v>187</v>
      </c>
      <c r="E850" s="69" t="s">
        <v>162</v>
      </c>
      <c r="F850" s="69" t="s">
        <v>163</v>
      </c>
      <c r="G850" s="69" t="s">
        <v>140</v>
      </c>
      <c r="H850" s="70">
        <v>2018</v>
      </c>
      <c r="I850" s="69" t="s">
        <v>63</v>
      </c>
      <c r="J850" s="69" t="s">
        <v>4428</v>
      </c>
      <c r="K850" s="71" t="s">
        <v>4429</v>
      </c>
      <c r="L850" s="71" t="s">
        <v>4430</v>
      </c>
      <c r="M850" s="71" t="s">
        <v>4431</v>
      </c>
      <c r="N850" s="69" t="s">
        <v>57</v>
      </c>
      <c r="O850" s="64">
        <v>1</v>
      </c>
      <c r="P850" s="72">
        <v>15534</v>
      </c>
      <c r="Q850" s="69" t="s">
        <v>7898</v>
      </c>
      <c r="R850" s="69"/>
      <c r="S850" s="121" t="s">
        <v>515</v>
      </c>
      <c r="T850" s="56">
        <v>23</v>
      </c>
      <c r="U850" s="56">
        <v>3</v>
      </c>
    </row>
    <row r="851" spans="1:23" ht="14.25" customHeight="1" x14ac:dyDescent="0.35">
      <c r="A851" s="47">
        <v>835</v>
      </c>
      <c r="B851" s="69" t="s">
        <v>79</v>
      </c>
      <c r="C851" s="69" t="s">
        <v>80</v>
      </c>
      <c r="D851" s="70" t="s">
        <v>190</v>
      </c>
      <c r="E851" s="69" t="s">
        <v>1110</v>
      </c>
      <c r="F851" s="69" t="s">
        <v>163</v>
      </c>
      <c r="G851" s="69" t="s">
        <v>140</v>
      </c>
      <c r="H851" s="70">
        <v>2017</v>
      </c>
      <c r="I851" s="69" t="s">
        <v>63</v>
      </c>
      <c r="J851" s="69" t="s">
        <v>4432</v>
      </c>
      <c r="K851" s="71" t="s">
        <v>4433</v>
      </c>
      <c r="L851" s="71" t="s">
        <v>4434</v>
      </c>
      <c r="M851" s="71" t="s">
        <v>4435</v>
      </c>
      <c r="N851" s="69" t="s">
        <v>57</v>
      </c>
      <c r="O851" s="64">
        <v>1</v>
      </c>
      <c r="P851" s="72">
        <v>15846.6</v>
      </c>
      <c r="Q851" s="69" t="s">
        <v>7895</v>
      </c>
      <c r="R851" s="69"/>
      <c r="S851" s="121" t="s">
        <v>515</v>
      </c>
      <c r="T851" s="56">
        <v>23</v>
      </c>
      <c r="U851" s="56">
        <v>3</v>
      </c>
    </row>
    <row r="852" spans="1:23" ht="14.25" customHeight="1" thickBot="1" x14ac:dyDescent="0.4">
      <c r="A852" s="58">
        <v>836</v>
      </c>
      <c r="B852" s="69" t="s">
        <v>79</v>
      </c>
      <c r="C852" s="69" t="s">
        <v>80</v>
      </c>
      <c r="D852" s="70" t="s">
        <v>192</v>
      </c>
      <c r="E852" s="69" t="s">
        <v>1110</v>
      </c>
      <c r="F852" s="69" t="s">
        <v>163</v>
      </c>
      <c r="G852" s="69" t="s">
        <v>140</v>
      </c>
      <c r="H852" s="70">
        <v>2017</v>
      </c>
      <c r="I852" s="69" t="s">
        <v>63</v>
      </c>
      <c r="J852" s="69" t="s">
        <v>4436</v>
      </c>
      <c r="K852" s="71" t="s">
        <v>4437</v>
      </c>
      <c r="L852" s="71" t="s">
        <v>4438</v>
      </c>
      <c r="M852" s="71" t="s">
        <v>4439</v>
      </c>
      <c r="N852" s="69" t="s">
        <v>57</v>
      </c>
      <c r="O852" s="64">
        <v>1</v>
      </c>
      <c r="P852" s="72">
        <v>15846.6</v>
      </c>
      <c r="Q852" s="69" t="s">
        <v>7899</v>
      </c>
      <c r="R852" s="69"/>
      <c r="S852" s="121" t="s">
        <v>515</v>
      </c>
      <c r="T852" s="56">
        <v>23</v>
      </c>
      <c r="U852" s="56">
        <v>3</v>
      </c>
    </row>
    <row r="853" spans="1:23" ht="14.25" customHeight="1" x14ac:dyDescent="0.35">
      <c r="A853" s="47">
        <v>837</v>
      </c>
      <c r="B853" s="69" t="s">
        <v>79</v>
      </c>
      <c r="C853" s="69" t="s">
        <v>80</v>
      </c>
      <c r="D853" s="70" t="s">
        <v>194</v>
      </c>
      <c r="E853" s="69" t="s">
        <v>147</v>
      </c>
      <c r="F853" s="69" t="s">
        <v>148</v>
      </c>
      <c r="G853" s="69" t="s">
        <v>140</v>
      </c>
      <c r="H853" s="70">
        <v>2015</v>
      </c>
      <c r="I853" s="69" t="s">
        <v>63</v>
      </c>
      <c r="J853" s="69" t="s">
        <v>4440</v>
      </c>
      <c r="K853" s="71" t="s">
        <v>4441</v>
      </c>
      <c r="L853" s="71" t="s">
        <v>4442</v>
      </c>
      <c r="M853" s="71" t="s">
        <v>4443</v>
      </c>
      <c r="N853" s="69" t="s">
        <v>57</v>
      </c>
      <c r="O853" s="64">
        <v>1</v>
      </c>
      <c r="P853" s="72">
        <v>19430</v>
      </c>
      <c r="Q853" s="69" t="s">
        <v>4355</v>
      </c>
      <c r="R853" s="69"/>
      <c r="S853" s="121" t="s">
        <v>515</v>
      </c>
      <c r="T853" s="56">
        <v>23</v>
      </c>
      <c r="U853" s="56">
        <v>3</v>
      </c>
    </row>
    <row r="854" spans="1:23" ht="14.25" customHeight="1" thickBot="1" x14ac:dyDescent="0.4">
      <c r="A854" s="58">
        <v>838</v>
      </c>
      <c r="B854" s="69" t="s">
        <v>79</v>
      </c>
      <c r="C854" s="69" t="s">
        <v>80</v>
      </c>
      <c r="D854" s="70" t="s">
        <v>195</v>
      </c>
      <c r="E854" s="69" t="s">
        <v>4444</v>
      </c>
      <c r="F854" s="69">
        <v>250</v>
      </c>
      <c r="G854" s="69" t="s">
        <v>140</v>
      </c>
      <c r="H854" s="70">
        <v>2025</v>
      </c>
      <c r="I854" s="69" t="s">
        <v>63</v>
      </c>
      <c r="J854" s="69" t="s">
        <v>4445</v>
      </c>
      <c r="K854" s="71" t="s">
        <v>4446</v>
      </c>
      <c r="L854" s="71" t="s">
        <v>4447</v>
      </c>
      <c r="M854" s="71" t="s">
        <v>4448</v>
      </c>
      <c r="N854" s="69" t="s">
        <v>44</v>
      </c>
      <c r="O854" s="64">
        <v>1</v>
      </c>
      <c r="P854" s="72">
        <v>37545.555</v>
      </c>
      <c r="Q854" s="69" t="s">
        <v>7900</v>
      </c>
      <c r="R854" s="69"/>
      <c r="S854" s="121" t="s">
        <v>515</v>
      </c>
      <c r="T854" s="56">
        <v>23</v>
      </c>
      <c r="U854" s="56">
        <v>3</v>
      </c>
    </row>
    <row r="855" spans="1:23" ht="14.25" customHeight="1" x14ac:dyDescent="0.35">
      <c r="A855" s="47">
        <v>839</v>
      </c>
      <c r="B855" s="69" t="s">
        <v>79</v>
      </c>
      <c r="C855" s="69" t="s">
        <v>80</v>
      </c>
      <c r="D855" s="70" t="s">
        <v>199</v>
      </c>
      <c r="E855" s="69" t="s">
        <v>4444</v>
      </c>
      <c r="F855" s="69">
        <v>250</v>
      </c>
      <c r="G855" s="69" t="s">
        <v>140</v>
      </c>
      <c r="H855" s="70">
        <v>2025</v>
      </c>
      <c r="I855" s="69" t="s">
        <v>63</v>
      </c>
      <c r="J855" s="69" t="s">
        <v>4449</v>
      </c>
      <c r="K855" s="71" t="s">
        <v>4450</v>
      </c>
      <c r="L855" s="71" t="s">
        <v>4451</v>
      </c>
      <c r="M855" s="71" t="s">
        <v>4452</v>
      </c>
      <c r="N855" s="69" t="s">
        <v>44</v>
      </c>
      <c r="O855" s="64">
        <v>1</v>
      </c>
      <c r="P855" s="72">
        <v>37546.443999999996</v>
      </c>
      <c r="Q855" s="69" t="s">
        <v>7901</v>
      </c>
      <c r="R855" s="69"/>
      <c r="S855" s="121" t="s">
        <v>515</v>
      </c>
      <c r="T855" s="56">
        <v>23</v>
      </c>
      <c r="U855" s="56">
        <v>3</v>
      </c>
    </row>
    <row r="856" spans="1:23" ht="14.25" customHeight="1" thickBot="1" x14ac:dyDescent="0.4">
      <c r="A856" s="58">
        <v>840</v>
      </c>
      <c r="B856" s="178" t="s">
        <v>3655</v>
      </c>
      <c r="C856" s="178" t="s">
        <v>3656</v>
      </c>
      <c r="D856" s="179" t="s">
        <v>51</v>
      </c>
      <c r="E856" s="178" t="s">
        <v>4453</v>
      </c>
      <c r="F856" s="178" t="s">
        <v>4454</v>
      </c>
      <c r="G856" s="178" t="s">
        <v>140</v>
      </c>
      <c r="H856" s="179">
        <v>2024</v>
      </c>
      <c r="I856" s="178" t="s">
        <v>63</v>
      </c>
      <c r="J856" s="178" t="s">
        <v>4455</v>
      </c>
      <c r="K856" s="180" t="s">
        <v>4456</v>
      </c>
      <c r="L856" s="180" t="s">
        <v>4457</v>
      </c>
      <c r="M856" s="180" t="s">
        <v>4458</v>
      </c>
      <c r="N856" s="178" t="s">
        <v>44</v>
      </c>
      <c r="O856" s="64">
        <v>1</v>
      </c>
      <c r="P856" s="181">
        <v>1180000</v>
      </c>
      <c r="Q856" s="178" t="s">
        <v>4459</v>
      </c>
      <c r="R856" s="178"/>
      <c r="S856" s="182" t="s">
        <v>4460</v>
      </c>
      <c r="T856" s="183">
        <v>24</v>
      </c>
      <c r="U856" s="183">
        <v>5</v>
      </c>
      <c r="V856" s="184"/>
      <c r="W856" s="184"/>
    </row>
    <row r="857" spans="1:23" ht="14.25" customHeight="1" x14ac:dyDescent="0.35">
      <c r="A857" s="47">
        <v>841</v>
      </c>
      <c r="B857" s="69" t="s">
        <v>1745</v>
      </c>
      <c r="C857" s="69" t="s">
        <v>1746</v>
      </c>
      <c r="D857" s="70" t="s">
        <v>59</v>
      </c>
      <c r="E857" s="69" t="s">
        <v>2494</v>
      </c>
      <c r="F857" s="69" t="s">
        <v>4461</v>
      </c>
      <c r="G857" s="69" t="s">
        <v>140</v>
      </c>
      <c r="H857" s="70">
        <v>2014</v>
      </c>
      <c r="I857" s="69"/>
      <c r="J857" s="69" t="s">
        <v>4462</v>
      </c>
      <c r="K857" s="71" t="s">
        <v>4463</v>
      </c>
      <c r="L857" s="71" t="s">
        <v>4464</v>
      </c>
      <c r="M857" s="71" t="s">
        <v>4465</v>
      </c>
      <c r="N857" s="69" t="s">
        <v>57</v>
      </c>
      <c r="O857" s="64">
        <v>1</v>
      </c>
      <c r="P857" s="72">
        <v>357340</v>
      </c>
      <c r="Q857" s="69" t="s">
        <v>4466</v>
      </c>
      <c r="R857" s="69"/>
      <c r="S857" s="121" t="s">
        <v>4460</v>
      </c>
      <c r="T857" s="56">
        <v>24</v>
      </c>
      <c r="U857" s="56">
        <v>4</v>
      </c>
    </row>
    <row r="858" spans="1:23" ht="14.25" customHeight="1" thickBot="1" x14ac:dyDescent="0.4">
      <c r="A858" s="58">
        <v>842</v>
      </c>
      <c r="B858" s="69" t="s">
        <v>1745</v>
      </c>
      <c r="C858" s="69" t="s">
        <v>1746</v>
      </c>
      <c r="D858" s="70" t="s">
        <v>101</v>
      </c>
      <c r="E858" s="69" t="s">
        <v>4467</v>
      </c>
      <c r="F858" s="69" t="s">
        <v>4468</v>
      </c>
      <c r="G858" s="69" t="s">
        <v>140</v>
      </c>
      <c r="H858" s="70">
        <v>2024</v>
      </c>
      <c r="I858" s="69" t="s">
        <v>63</v>
      </c>
      <c r="J858" s="69" t="s">
        <v>4469</v>
      </c>
      <c r="K858" s="71" t="s">
        <v>4470</v>
      </c>
      <c r="L858" s="71" t="s">
        <v>4471</v>
      </c>
      <c r="M858" s="71" t="s">
        <v>4472</v>
      </c>
      <c r="N858" s="69" t="s">
        <v>44</v>
      </c>
      <c r="O858" s="64">
        <v>1</v>
      </c>
      <c r="P858" s="72">
        <v>756100</v>
      </c>
      <c r="Q858" s="69" t="s">
        <v>4473</v>
      </c>
      <c r="R858" s="69"/>
      <c r="S858" s="121" t="s">
        <v>4460</v>
      </c>
      <c r="T858" s="56">
        <v>24</v>
      </c>
      <c r="U858" s="56">
        <v>4</v>
      </c>
    </row>
    <row r="859" spans="1:23" ht="14.25" customHeight="1" x14ac:dyDescent="0.35">
      <c r="A859" s="47">
        <v>843</v>
      </c>
      <c r="B859" s="69" t="s">
        <v>1745</v>
      </c>
      <c r="C859" s="69" t="s">
        <v>1746</v>
      </c>
      <c r="D859" s="70" t="s">
        <v>107</v>
      </c>
      <c r="E859" s="69" t="s">
        <v>4474</v>
      </c>
      <c r="F859" s="69"/>
      <c r="G859" s="69" t="s">
        <v>63</v>
      </c>
      <c r="H859" s="70">
        <v>2024</v>
      </c>
      <c r="I859" s="69" t="s">
        <v>63</v>
      </c>
      <c r="J859" s="69" t="s">
        <v>63</v>
      </c>
      <c r="K859" s="71" t="s">
        <v>63</v>
      </c>
      <c r="L859" s="71" t="s">
        <v>63</v>
      </c>
      <c r="M859" s="71" t="s">
        <v>63</v>
      </c>
      <c r="N859" s="69" t="s">
        <v>44</v>
      </c>
      <c r="O859" s="64">
        <v>1</v>
      </c>
      <c r="P859" s="72">
        <v>406950</v>
      </c>
      <c r="Q859" s="69" t="s">
        <v>4475</v>
      </c>
      <c r="R859" s="69"/>
      <c r="S859" s="121" t="s">
        <v>4460</v>
      </c>
      <c r="T859" s="56">
        <v>24</v>
      </c>
      <c r="U859" s="56">
        <v>4</v>
      </c>
    </row>
    <row r="860" spans="1:23" ht="14.25" customHeight="1" thickBot="1" x14ac:dyDescent="0.4">
      <c r="A860" s="58">
        <v>844</v>
      </c>
      <c r="B860" s="69" t="s">
        <v>1745</v>
      </c>
      <c r="C860" s="69" t="s">
        <v>1746</v>
      </c>
      <c r="D860" s="70" t="s">
        <v>116</v>
      </c>
      <c r="E860" s="69" t="s">
        <v>4476</v>
      </c>
      <c r="F860" s="69" t="s">
        <v>4477</v>
      </c>
      <c r="G860" s="69" t="s">
        <v>140</v>
      </c>
      <c r="H860" s="70">
        <v>2024</v>
      </c>
      <c r="I860" s="69" t="s">
        <v>63</v>
      </c>
      <c r="J860" s="69" t="s">
        <v>4478</v>
      </c>
      <c r="K860" s="71" t="s">
        <v>4479</v>
      </c>
      <c r="L860" s="71" t="s">
        <v>4480</v>
      </c>
      <c r="M860" s="71" t="s">
        <v>4481</v>
      </c>
      <c r="N860" s="69" t="s">
        <v>44</v>
      </c>
      <c r="O860" s="64">
        <v>1</v>
      </c>
      <c r="P860" s="72">
        <v>676000</v>
      </c>
      <c r="Q860" s="69" t="s">
        <v>4482</v>
      </c>
      <c r="R860" s="69"/>
      <c r="S860" s="121" t="s">
        <v>4460</v>
      </c>
      <c r="T860" s="56">
        <v>24</v>
      </c>
      <c r="U860" s="56">
        <v>4</v>
      </c>
    </row>
    <row r="861" spans="1:23" ht="14.25" customHeight="1" x14ac:dyDescent="0.35">
      <c r="A861" s="47">
        <v>845</v>
      </c>
      <c r="B861" s="69" t="s">
        <v>1745</v>
      </c>
      <c r="C861" s="69" t="s">
        <v>1746</v>
      </c>
      <c r="D861" s="70" t="s">
        <v>841</v>
      </c>
      <c r="E861" s="69" t="s">
        <v>4483</v>
      </c>
      <c r="F861" s="69" t="s">
        <v>4477</v>
      </c>
      <c r="G861" s="69" t="s">
        <v>63</v>
      </c>
      <c r="H861" s="70">
        <v>2024</v>
      </c>
      <c r="I861" s="69" t="s">
        <v>63</v>
      </c>
      <c r="J861" s="69" t="s">
        <v>4484</v>
      </c>
      <c r="K861" s="71" t="s">
        <v>4485</v>
      </c>
      <c r="L861" s="71" t="s">
        <v>4486</v>
      </c>
      <c r="M861" s="71" t="s">
        <v>4487</v>
      </c>
      <c r="N861" s="69" t="s">
        <v>44</v>
      </c>
      <c r="O861" s="64">
        <v>1</v>
      </c>
      <c r="P861" s="72">
        <v>648300</v>
      </c>
      <c r="Q861" s="69" t="s">
        <v>4488</v>
      </c>
      <c r="R861" s="69"/>
      <c r="S861" s="121" t="s">
        <v>4460</v>
      </c>
      <c r="T861" s="56">
        <v>24</v>
      </c>
      <c r="U861" s="56">
        <v>4</v>
      </c>
    </row>
    <row r="862" spans="1:23" ht="14.25" customHeight="1" thickBot="1" x14ac:dyDescent="0.4">
      <c r="A862" s="58">
        <v>846</v>
      </c>
      <c r="B862" s="69" t="s">
        <v>1806</v>
      </c>
      <c r="C862" s="69" t="s">
        <v>1807</v>
      </c>
      <c r="D862" s="70" t="s">
        <v>59</v>
      </c>
      <c r="E862" s="69" t="s">
        <v>4489</v>
      </c>
      <c r="F862" s="69" t="s">
        <v>4490</v>
      </c>
      <c r="G862" s="69" t="s">
        <v>62</v>
      </c>
      <c r="H862" s="70">
        <v>2021</v>
      </c>
      <c r="I862" s="69" t="s">
        <v>63</v>
      </c>
      <c r="J862" s="69" t="s">
        <v>4491</v>
      </c>
      <c r="K862" s="71" t="s">
        <v>4492</v>
      </c>
      <c r="L862" s="71" t="s">
        <v>4493</v>
      </c>
      <c r="M862" s="71" t="s">
        <v>4494</v>
      </c>
      <c r="N862" s="69" t="s">
        <v>57</v>
      </c>
      <c r="O862" s="64">
        <v>1</v>
      </c>
      <c r="P862" s="72">
        <v>553400</v>
      </c>
      <c r="Q862" s="69" t="s">
        <v>4495</v>
      </c>
      <c r="R862" s="69"/>
      <c r="S862" s="121" t="s">
        <v>4460</v>
      </c>
      <c r="T862" s="56">
        <v>24</v>
      </c>
      <c r="U862" s="56">
        <v>4</v>
      </c>
    </row>
    <row r="863" spans="1:23" ht="14.25" customHeight="1" x14ac:dyDescent="0.35">
      <c r="A863" s="47">
        <v>847</v>
      </c>
      <c r="B863" s="69" t="s">
        <v>1806</v>
      </c>
      <c r="C863" s="69" t="s">
        <v>1807</v>
      </c>
      <c r="D863" s="70" t="s">
        <v>97</v>
      </c>
      <c r="E863" s="69" t="s">
        <v>4496</v>
      </c>
      <c r="F863" s="69" t="s">
        <v>4497</v>
      </c>
      <c r="G863" s="69" t="s">
        <v>54</v>
      </c>
      <c r="H863" s="70">
        <v>2011</v>
      </c>
      <c r="I863" s="69" t="s">
        <v>63</v>
      </c>
      <c r="J863" s="69" t="s">
        <v>4498</v>
      </c>
      <c r="K863" s="71" t="s">
        <v>4499</v>
      </c>
      <c r="L863" s="71" t="s">
        <v>4500</v>
      </c>
      <c r="M863" s="71" t="s">
        <v>4501</v>
      </c>
      <c r="N863" s="69" t="s">
        <v>57</v>
      </c>
      <c r="O863" s="64">
        <v>1</v>
      </c>
      <c r="P863" s="72">
        <v>162175</v>
      </c>
      <c r="Q863" s="69" t="s">
        <v>4502</v>
      </c>
      <c r="R863" s="69"/>
      <c r="S863" s="121" t="s">
        <v>4460</v>
      </c>
      <c r="T863" s="56">
        <v>24</v>
      </c>
      <c r="U863" s="56">
        <v>4</v>
      </c>
    </row>
    <row r="864" spans="1:23" ht="14.25" customHeight="1" thickBot="1" x14ac:dyDescent="0.4">
      <c r="A864" s="58">
        <v>848</v>
      </c>
      <c r="B864" s="69" t="s">
        <v>1806</v>
      </c>
      <c r="C864" s="69" t="s">
        <v>1807</v>
      </c>
      <c r="D864" s="70" t="s">
        <v>101</v>
      </c>
      <c r="E864" s="69" t="s">
        <v>4503</v>
      </c>
      <c r="F864" s="69" t="s">
        <v>63</v>
      </c>
      <c r="G864" s="69" t="s">
        <v>54</v>
      </c>
      <c r="H864" s="70">
        <v>2022</v>
      </c>
      <c r="I864" s="69"/>
      <c r="J864" s="69" t="s">
        <v>4504</v>
      </c>
      <c r="K864" s="71" t="s">
        <v>4505</v>
      </c>
      <c r="L864" s="71" t="s">
        <v>4506</v>
      </c>
      <c r="M864" s="71" t="s">
        <v>4507</v>
      </c>
      <c r="N864" s="69" t="s">
        <v>44</v>
      </c>
      <c r="O864" s="64">
        <v>1</v>
      </c>
      <c r="P864" s="72">
        <v>430500</v>
      </c>
      <c r="Q864" s="69" t="s">
        <v>4508</v>
      </c>
      <c r="R864" s="69"/>
      <c r="S864" s="121" t="s">
        <v>4460</v>
      </c>
      <c r="T864" s="56">
        <v>24</v>
      </c>
      <c r="U864" s="56">
        <v>4</v>
      </c>
    </row>
    <row r="865" spans="1:21" ht="14.25" customHeight="1" x14ac:dyDescent="0.35">
      <c r="A865" s="47">
        <v>849</v>
      </c>
      <c r="B865" s="69" t="s">
        <v>1806</v>
      </c>
      <c r="C865" s="69" t="s">
        <v>1807</v>
      </c>
      <c r="D865" s="70" t="s">
        <v>107</v>
      </c>
      <c r="E865" s="69" t="s">
        <v>4509</v>
      </c>
      <c r="F865" s="69"/>
      <c r="G865" s="69" t="s">
        <v>54</v>
      </c>
      <c r="H865" s="70">
        <v>2022</v>
      </c>
      <c r="I865" s="69"/>
      <c r="J865" s="69" t="s">
        <v>4510</v>
      </c>
      <c r="K865" s="71" t="s">
        <v>4511</v>
      </c>
      <c r="L865" s="71" t="s">
        <v>4512</v>
      </c>
      <c r="M865" s="71" t="s">
        <v>4513</v>
      </c>
      <c r="N865" s="69" t="s">
        <v>44</v>
      </c>
      <c r="O865" s="64">
        <v>1</v>
      </c>
      <c r="P865" s="72">
        <v>226400</v>
      </c>
      <c r="Q865" s="69"/>
      <c r="R865" s="69"/>
      <c r="S865" s="121" t="s">
        <v>4460</v>
      </c>
      <c r="T865" s="56">
        <v>24</v>
      </c>
      <c r="U865" s="56">
        <v>4</v>
      </c>
    </row>
    <row r="866" spans="1:21" ht="14.25" customHeight="1" thickBot="1" x14ac:dyDescent="0.4">
      <c r="A866" s="58">
        <v>850</v>
      </c>
      <c r="B866" s="69" t="s">
        <v>1806</v>
      </c>
      <c r="C866" s="69" t="s">
        <v>1807</v>
      </c>
      <c r="D866" s="70" t="s">
        <v>112</v>
      </c>
      <c r="E866" s="69" t="s">
        <v>4514</v>
      </c>
      <c r="F866" s="69"/>
      <c r="G866" s="69" t="s">
        <v>54</v>
      </c>
      <c r="H866" s="70">
        <v>2022</v>
      </c>
      <c r="I866" s="69"/>
      <c r="J866" s="69" t="s">
        <v>4515</v>
      </c>
      <c r="K866" s="71" t="s">
        <v>4516</v>
      </c>
      <c r="L866" s="71" t="s">
        <v>4517</v>
      </c>
      <c r="M866" s="71" t="s">
        <v>4518</v>
      </c>
      <c r="N866" s="69" t="s">
        <v>44</v>
      </c>
      <c r="O866" s="64">
        <v>1</v>
      </c>
      <c r="P866" s="72">
        <v>375800</v>
      </c>
      <c r="Q866" s="69"/>
      <c r="R866" s="69"/>
      <c r="S866" s="121" t="s">
        <v>4460</v>
      </c>
      <c r="T866" s="56">
        <v>24</v>
      </c>
      <c r="U866" s="56">
        <v>4</v>
      </c>
    </row>
    <row r="867" spans="1:21" ht="14.25" customHeight="1" x14ac:dyDescent="0.35">
      <c r="A867" s="47">
        <v>851</v>
      </c>
      <c r="B867" s="69" t="s">
        <v>1806</v>
      </c>
      <c r="C867" s="69" t="s">
        <v>1807</v>
      </c>
      <c r="D867" s="70" t="s">
        <v>841</v>
      </c>
      <c r="E867" s="69" t="s">
        <v>4519</v>
      </c>
      <c r="F867" s="69">
        <v>2000</v>
      </c>
      <c r="G867" s="69" t="s">
        <v>63</v>
      </c>
      <c r="H867" s="70">
        <v>2025</v>
      </c>
      <c r="I867" s="69" t="s">
        <v>63</v>
      </c>
      <c r="J867" s="142" t="s">
        <v>4520</v>
      </c>
      <c r="K867" s="185" t="s">
        <v>4521</v>
      </c>
      <c r="L867" s="185" t="s">
        <v>4522</v>
      </c>
      <c r="M867" s="185" t="s">
        <v>4523</v>
      </c>
      <c r="N867" s="69" t="s">
        <v>44</v>
      </c>
      <c r="O867" s="64">
        <v>1</v>
      </c>
      <c r="P867" s="72">
        <v>561200</v>
      </c>
      <c r="Q867" s="69" t="s">
        <v>4524</v>
      </c>
      <c r="R867" s="69"/>
      <c r="S867" s="121" t="s">
        <v>4460</v>
      </c>
      <c r="T867" s="56">
        <v>24</v>
      </c>
      <c r="U867" s="56">
        <v>4</v>
      </c>
    </row>
    <row r="868" spans="1:21" ht="14.25" customHeight="1" thickBot="1" x14ac:dyDescent="0.4">
      <c r="A868" s="58">
        <v>852</v>
      </c>
      <c r="B868" s="69" t="s">
        <v>1806</v>
      </c>
      <c r="C868" s="69" t="s">
        <v>1807</v>
      </c>
      <c r="D868" s="70" t="s">
        <v>904</v>
      </c>
      <c r="E868" s="69" t="s">
        <v>4525</v>
      </c>
      <c r="F868" s="69">
        <v>2442</v>
      </c>
      <c r="G868" s="69" t="s">
        <v>63</v>
      </c>
      <c r="H868" s="70">
        <v>2025</v>
      </c>
      <c r="I868" s="69" t="s">
        <v>63</v>
      </c>
      <c r="J868" s="69" t="s">
        <v>4526</v>
      </c>
      <c r="K868" s="71" t="s">
        <v>4527</v>
      </c>
      <c r="L868" s="71" t="s">
        <v>4528</v>
      </c>
      <c r="M868" s="71" t="s">
        <v>4529</v>
      </c>
      <c r="N868" s="69" t="s">
        <v>44</v>
      </c>
      <c r="O868" s="64">
        <v>1</v>
      </c>
      <c r="P868" s="72">
        <v>798000</v>
      </c>
      <c r="Q868" s="69" t="s">
        <v>4530</v>
      </c>
      <c r="R868" s="69"/>
      <c r="S868" s="121" t="s">
        <v>4460</v>
      </c>
      <c r="T868" s="56">
        <v>24</v>
      </c>
      <c r="U868" s="56">
        <v>4</v>
      </c>
    </row>
    <row r="869" spans="1:21" ht="14.25" customHeight="1" x14ac:dyDescent="0.35">
      <c r="A869" s="47">
        <v>853</v>
      </c>
      <c r="B869" s="69" t="s">
        <v>1806</v>
      </c>
      <c r="C869" s="69" t="s">
        <v>1807</v>
      </c>
      <c r="D869" s="70" t="s">
        <v>122</v>
      </c>
      <c r="E869" s="69" t="s">
        <v>4531</v>
      </c>
      <c r="F869" s="69">
        <v>1496</v>
      </c>
      <c r="G869" s="69" t="s">
        <v>63</v>
      </c>
      <c r="H869" s="70">
        <v>2025</v>
      </c>
      <c r="I869" s="69" t="s">
        <v>63</v>
      </c>
      <c r="J869" s="69" t="s">
        <v>4532</v>
      </c>
      <c r="K869" s="71" t="s">
        <v>4533</v>
      </c>
      <c r="L869" s="71" t="s">
        <v>4534</v>
      </c>
      <c r="M869" s="71" t="s">
        <v>4535</v>
      </c>
      <c r="N869" s="69" t="s">
        <v>44</v>
      </c>
      <c r="O869" s="64">
        <v>1</v>
      </c>
      <c r="P869" s="72">
        <v>317900</v>
      </c>
      <c r="Q869" s="69" t="s">
        <v>4536</v>
      </c>
      <c r="R869" s="69"/>
      <c r="S869" s="121" t="s">
        <v>4460</v>
      </c>
      <c r="T869" s="56">
        <v>24</v>
      </c>
      <c r="U869" s="56">
        <v>4</v>
      </c>
    </row>
    <row r="870" spans="1:21" ht="14.25" customHeight="1" thickBot="1" x14ac:dyDescent="0.4">
      <c r="A870" s="58">
        <v>854</v>
      </c>
      <c r="B870" s="69" t="s">
        <v>70</v>
      </c>
      <c r="C870" s="69" t="s">
        <v>71</v>
      </c>
      <c r="D870" s="70" t="s">
        <v>97</v>
      </c>
      <c r="E870" s="69" t="s">
        <v>4537</v>
      </c>
      <c r="F870" s="69" t="s">
        <v>1693</v>
      </c>
      <c r="G870" s="69" t="s">
        <v>54</v>
      </c>
      <c r="H870" s="70">
        <v>2010</v>
      </c>
      <c r="I870" s="69"/>
      <c r="J870" s="69" t="s">
        <v>4538</v>
      </c>
      <c r="K870" s="71" t="s">
        <v>4539</v>
      </c>
      <c r="L870" s="71" t="s">
        <v>4540</v>
      </c>
      <c r="M870" s="71" t="s">
        <v>4541</v>
      </c>
      <c r="N870" s="69" t="s">
        <v>57</v>
      </c>
      <c r="O870" s="64">
        <v>1</v>
      </c>
      <c r="P870" s="72">
        <v>332500</v>
      </c>
      <c r="Q870" s="69" t="s">
        <v>4542</v>
      </c>
      <c r="R870" s="69"/>
      <c r="S870" s="121" t="s">
        <v>4460</v>
      </c>
      <c r="T870" s="56">
        <v>24</v>
      </c>
      <c r="U870" s="56">
        <v>4</v>
      </c>
    </row>
    <row r="871" spans="1:21" ht="14.25" customHeight="1" x14ac:dyDescent="0.35">
      <c r="A871" s="47">
        <v>855</v>
      </c>
      <c r="B871" s="69" t="s">
        <v>70</v>
      </c>
      <c r="C871" s="69" t="s">
        <v>71</v>
      </c>
      <c r="D871" s="70" t="s">
        <v>107</v>
      </c>
      <c r="E871" s="69" t="s">
        <v>4543</v>
      </c>
      <c r="F871" s="69" t="s">
        <v>4544</v>
      </c>
      <c r="G871" s="69" t="s">
        <v>54</v>
      </c>
      <c r="H871" s="70">
        <v>2012</v>
      </c>
      <c r="I871" s="69" t="s">
        <v>63</v>
      </c>
      <c r="J871" s="69" t="s">
        <v>4545</v>
      </c>
      <c r="K871" s="71" t="s">
        <v>4546</v>
      </c>
      <c r="L871" s="71" t="s">
        <v>4547</v>
      </c>
      <c r="M871" s="71" t="s">
        <v>4548</v>
      </c>
      <c r="N871" s="69" t="s">
        <v>57</v>
      </c>
      <c r="O871" s="64">
        <v>1</v>
      </c>
      <c r="P871" s="72">
        <v>283514.15000000002</v>
      </c>
      <c r="Q871" s="69" t="s">
        <v>4549</v>
      </c>
      <c r="R871" s="69"/>
      <c r="S871" s="121" t="s">
        <v>4460</v>
      </c>
      <c r="T871" s="56">
        <v>24</v>
      </c>
      <c r="U871" s="56">
        <v>4</v>
      </c>
    </row>
    <row r="872" spans="1:21" ht="14.25" customHeight="1" thickBot="1" x14ac:dyDescent="0.4">
      <c r="A872" s="58">
        <v>856</v>
      </c>
      <c r="B872" s="69" t="s">
        <v>70</v>
      </c>
      <c r="C872" s="69" t="s">
        <v>71</v>
      </c>
      <c r="D872" s="70" t="s">
        <v>116</v>
      </c>
      <c r="E872" s="69" t="s">
        <v>4550</v>
      </c>
      <c r="F872" s="69" t="s">
        <v>2626</v>
      </c>
      <c r="G872" s="69" t="s">
        <v>54</v>
      </c>
      <c r="H872" s="70">
        <v>2012</v>
      </c>
      <c r="I872" s="69" t="s">
        <v>63</v>
      </c>
      <c r="J872" s="69" t="s">
        <v>4551</v>
      </c>
      <c r="K872" s="71" t="s">
        <v>4552</v>
      </c>
      <c r="L872" s="71" t="s">
        <v>4553</v>
      </c>
      <c r="M872" s="71" t="s">
        <v>4554</v>
      </c>
      <c r="N872" s="69" t="s">
        <v>57</v>
      </c>
      <c r="O872" s="64">
        <v>1</v>
      </c>
      <c r="P872" s="72">
        <v>307000</v>
      </c>
      <c r="Q872" s="69" t="s">
        <v>4549</v>
      </c>
      <c r="R872" s="69"/>
      <c r="S872" s="121" t="s">
        <v>4460</v>
      </c>
      <c r="T872" s="56">
        <v>24</v>
      </c>
      <c r="U872" s="56">
        <v>4</v>
      </c>
    </row>
    <row r="873" spans="1:21" ht="14.25" customHeight="1" x14ac:dyDescent="0.35">
      <c r="A873" s="47">
        <v>857</v>
      </c>
      <c r="B873" s="69" t="s">
        <v>70</v>
      </c>
      <c r="C873" s="69" t="s">
        <v>71</v>
      </c>
      <c r="D873" s="70" t="s">
        <v>841</v>
      </c>
      <c r="E873" s="69" t="s">
        <v>2928</v>
      </c>
      <c r="F873" s="69" t="s">
        <v>2929</v>
      </c>
      <c r="G873" s="69" t="s">
        <v>54</v>
      </c>
      <c r="H873" s="70">
        <v>2012</v>
      </c>
      <c r="I873" s="69" t="s">
        <v>63</v>
      </c>
      <c r="J873" s="69" t="s">
        <v>4555</v>
      </c>
      <c r="K873" s="71" t="s">
        <v>4556</v>
      </c>
      <c r="L873" s="71" t="s">
        <v>4557</v>
      </c>
      <c r="M873" s="71" t="s">
        <v>4558</v>
      </c>
      <c r="N873" s="69" t="s">
        <v>57</v>
      </c>
      <c r="O873" s="64">
        <v>1</v>
      </c>
      <c r="P873" s="72">
        <v>326600</v>
      </c>
      <c r="Q873" s="69" t="s">
        <v>4549</v>
      </c>
      <c r="R873" s="69"/>
      <c r="S873" s="121" t="s">
        <v>4460</v>
      </c>
      <c r="T873" s="56">
        <v>24</v>
      </c>
      <c r="U873" s="56">
        <v>4</v>
      </c>
    </row>
    <row r="874" spans="1:21" ht="14.25" customHeight="1" thickBot="1" x14ac:dyDescent="0.4">
      <c r="A874" s="58">
        <v>858</v>
      </c>
      <c r="B874" s="69" t="s">
        <v>70</v>
      </c>
      <c r="C874" s="69" t="s">
        <v>71</v>
      </c>
      <c r="D874" s="70" t="s">
        <v>137</v>
      </c>
      <c r="E874" s="69" t="s">
        <v>4559</v>
      </c>
      <c r="F874" s="69" t="s">
        <v>4560</v>
      </c>
      <c r="G874" s="69" t="s">
        <v>54</v>
      </c>
      <c r="H874" s="70">
        <v>2014</v>
      </c>
      <c r="I874" s="69" t="s">
        <v>63</v>
      </c>
      <c r="J874" s="69" t="s">
        <v>4561</v>
      </c>
      <c r="K874" s="71" t="s">
        <v>4562</v>
      </c>
      <c r="L874" s="71" t="s">
        <v>4563</v>
      </c>
      <c r="M874" s="71" t="s">
        <v>4564</v>
      </c>
      <c r="N874" s="69" t="s">
        <v>57</v>
      </c>
      <c r="O874" s="64">
        <v>1</v>
      </c>
      <c r="P874" s="72">
        <v>356889</v>
      </c>
      <c r="Q874" s="69" t="s">
        <v>4565</v>
      </c>
      <c r="R874" s="69"/>
      <c r="S874" s="121" t="s">
        <v>4460</v>
      </c>
      <c r="T874" s="56">
        <v>24</v>
      </c>
      <c r="U874" s="56">
        <v>4</v>
      </c>
    </row>
    <row r="875" spans="1:21" ht="14.25" customHeight="1" x14ac:dyDescent="0.35">
      <c r="A875" s="47">
        <v>859</v>
      </c>
      <c r="B875" s="69" t="s">
        <v>70</v>
      </c>
      <c r="C875" s="69" t="s">
        <v>71</v>
      </c>
      <c r="D875" s="70" t="s">
        <v>146</v>
      </c>
      <c r="E875" s="69" t="s">
        <v>4566</v>
      </c>
      <c r="F875" s="69" t="s">
        <v>2495</v>
      </c>
      <c r="G875" s="69" t="s">
        <v>54</v>
      </c>
      <c r="H875" s="70">
        <v>2014</v>
      </c>
      <c r="I875" s="69" t="s">
        <v>63</v>
      </c>
      <c r="J875" s="69" t="s">
        <v>4567</v>
      </c>
      <c r="K875" s="71" t="s">
        <v>4568</v>
      </c>
      <c r="L875" s="71" t="s">
        <v>4569</v>
      </c>
      <c r="M875" s="71" t="s">
        <v>4570</v>
      </c>
      <c r="N875" s="69" t="s">
        <v>57</v>
      </c>
      <c r="O875" s="64">
        <v>1</v>
      </c>
      <c r="P875" s="72">
        <v>375700</v>
      </c>
      <c r="Q875" s="69" t="s">
        <v>4571</v>
      </c>
      <c r="R875" s="69"/>
      <c r="S875" s="121" t="s">
        <v>4460</v>
      </c>
      <c r="T875" s="56">
        <v>24</v>
      </c>
      <c r="U875" s="56">
        <v>4</v>
      </c>
    </row>
    <row r="876" spans="1:21" ht="14.25" customHeight="1" thickBot="1" x14ac:dyDescent="0.4">
      <c r="A876" s="58">
        <v>860</v>
      </c>
      <c r="B876" s="69" t="s">
        <v>70</v>
      </c>
      <c r="C876" s="69" t="s">
        <v>71</v>
      </c>
      <c r="D876" s="70" t="s">
        <v>154</v>
      </c>
      <c r="E876" s="69" t="s">
        <v>4572</v>
      </c>
      <c r="F876" s="69" t="s">
        <v>1683</v>
      </c>
      <c r="G876" s="69" t="s">
        <v>140</v>
      </c>
      <c r="H876" s="70">
        <v>2015</v>
      </c>
      <c r="I876" s="69" t="s">
        <v>4573</v>
      </c>
      <c r="J876" s="69" t="s">
        <v>4574</v>
      </c>
      <c r="K876" s="71" t="s">
        <v>4575</v>
      </c>
      <c r="L876" s="71" t="s">
        <v>4576</v>
      </c>
      <c r="M876" s="71" t="s">
        <v>4577</v>
      </c>
      <c r="N876" s="69" t="s">
        <v>57</v>
      </c>
      <c r="O876" s="64">
        <v>1</v>
      </c>
      <c r="P876" s="72">
        <v>370000</v>
      </c>
      <c r="Q876" s="69" t="s">
        <v>4578</v>
      </c>
      <c r="R876" s="69"/>
      <c r="S876" s="121" t="s">
        <v>4460</v>
      </c>
      <c r="T876" s="56">
        <v>24</v>
      </c>
      <c r="U876" s="56">
        <v>4</v>
      </c>
    </row>
    <row r="877" spans="1:21" ht="14.25" customHeight="1" x14ac:dyDescent="0.35">
      <c r="A877" s="47">
        <v>861</v>
      </c>
      <c r="B877" s="69" t="s">
        <v>70</v>
      </c>
      <c r="C877" s="69" t="s">
        <v>71</v>
      </c>
      <c r="D877" s="70" t="s">
        <v>169</v>
      </c>
      <c r="E877" s="69" t="s">
        <v>4572</v>
      </c>
      <c r="F877" s="69" t="s">
        <v>1683</v>
      </c>
      <c r="G877" s="69" t="s">
        <v>140</v>
      </c>
      <c r="H877" s="70">
        <v>2015</v>
      </c>
      <c r="I877" s="69" t="s">
        <v>4573</v>
      </c>
      <c r="J877" s="69" t="s">
        <v>4579</v>
      </c>
      <c r="K877" s="71" t="s">
        <v>4580</v>
      </c>
      <c r="L877" s="71" t="s">
        <v>4581</v>
      </c>
      <c r="M877" s="71" t="s">
        <v>4582</v>
      </c>
      <c r="N877" s="69" t="s">
        <v>57</v>
      </c>
      <c r="O877" s="64">
        <v>1</v>
      </c>
      <c r="P877" s="72">
        <v>370000</v>
      </c>
      <c r="Q877" s="69" t="s">
        <v>4542</v>
      </c>
      <c r="R877" s="69"/>
      <c r="S877" s="121" t="s">
        <v>4460</v>
      </c>
      <c r="T877" s="56">
        <v>24</v>
      </c>
      <c r="U877" s="56">
        <v>4</v>
      </c>
    </row>
    <row r="878" spans="1:21" ht="14.25" customHeight="1" thickBot="1" x14ac:dyDescent="0.4">
      <c r="A878" s="58">
        <v>862</v>
      </c>
      <c r="B878" s="69" t="s">
        <v>70</v>
      </c>
      <c r="C878" s="69" t="s">
        <v>71</v>
      </c>
      <c r="D878" s="70" t="s">
        <v>1236</v>
      </c>
      <c r="E878" s="69" t="s">
        <v>2619</v>
      </c>
      <c r="F878" s="69" t="s">
        <v>1683</v>
      </c>
      <c r="G878" s="69" t="s">
        <v>140</v>
      </c>
      <c r="H878" s="70">
        <v>2015</v>
      </c>
      <c r="I878" s="69"/>
      <c r="J878" s="69" t="s">
        <v>4583</v>
      </c>
      <c r="K878" s="71" t="s">
        <v>4584</v>
      </c>
      <c r="L878" s="71" t="s">
        <v>4585</v>
      </c>
      <c r="M878" s="71" t="s">
        <v>4586</v>
      </c>
      <c r="N878" s="69" t="s">
        <v>57</v>
      </c>
      <c r="O878" s="64">
        <v>1</v>
      </c>
      <c r="P878" s="72">
        <v>374510</v>
      </c>
      <c r="Q878" s="69" t="s">
        <v>4542</v>
      </c>
      <c r="R878" s="69"/>
      <c r="S878" s="121" t="s">
        <v>4460</v>
      </c>
      <c r="T878" s="56">
        <v>24</v>
      </c>
      <c r="U878" s="56">
        <v>4</v>
      </c>
    </row>
    <row r="879" spans="1:21" ht="14.25" customHeight="1" x14ac:dyDescent="0.35">
      <c r="A879" s="47">
        <v>863</v>
      </c>
      <c r="B879" s="69" t="s">
        <v>70</v>
      </c>
      <c r="C879" s="69" t="s">
        <v>71</v>
      </c>
      <c r="D879" s="70" t="s">
        <v>181</v>
      </c>
      <c r="E879" s="69" t="s">
        <v>2068</v>
      </c>
      <c r="F879" s="69" t="s">
        <v>1683</v>
      </c>
      <c r="G879" s="69" t="s">
        <v>140</v>
      </c>
      <c r="H879" s="70">
        <v>2015</v>
      </c>
      <c r="I879" s="69"/>
      <c r="J879" s="69" t="s">
        <v>4587</v>
      </c>
      <c r="K879" s="71" t="s">
        <v>4588</v>
      </c>
      <c r="L879" s="71" t="s">
        <v>4589</v>
      </c>
      <c r="M879" s="71" t="s">
        <v>4590</v>
      </c>
      <c r="N879" s="69" t="s">
        <v>57</v>
      </c>
      <c r="O879" s="64">
        <v>1</v>
      </c>
      <c r="P879" s="72">
        <v>381520</v>
      </c>
      <c r="Q879" s="69" t="s">
        <v>4591</v>
      </c>
      <c r="R879" s="69"/>
      <c r="S879" s="121" t="s">
        <v>4460</v>
      </c>
      <c r="T879" s="56">
        <v>24</v>
      </c>
      <c r="U879" s="56">
        <v>4</v>
      </c>
    </row>
    <row r="880" spans="1:21" ht="14.25" customHeight="1" thickBot="1" x14ac:dyDescent="0.4">
      <c r="A880" s="58">
        <v>864</v>
      </c>
      <c r="B880" s="69" t="s">
        <v>70</v>
      </c>
      <c r="C880" s="69" t="s">
        <v>71</v>
      </c>
      <c r="D880" s="70" t="s">
        <v>209</v>
      </c>
      <c r="E880" s="69" t="s">
        <v>2501</v>
      </c>
      <c r="F880" s="69" t="s">
        <v>1683</v>
      </c>
      <c r="G880" s="69" t="s">
        <v>140</v>
      </c>
      <c r="H880" s="70">
        <v>2017</v>
      </c>
      <c r="I880" s="69" t="s">
        <v>63</v>
      </c>
      <c r="J880" s="69" t="s">
        <v>4592</v>
      </c>
      <c r="K880" s="71" t="s">
        <v>4593</v>
      </c>
      <c r="L880" s="71" t="s">
        <v>4594</v>
      </c>
      <c r="M880" s="71" t="s">
        <v>4595</v>
      </c>
      <c r="N880" s="69" t="s">
        <v>57</v>
      </c>
      <c r="O880" s="64">
        <v>1</v>
      </c>
      <c r="P880" s="72">
        <v>399250</v>
      </c>
      <c r="Q880" s="69" t="s">
        <v>4596</v>
      </c>
      <c r="R880" s="69"/>
      <c r="S880" s="121" t="s">
        <v>4460</v>
      </c>
      <c r="T880" s="56">
        <v>24</v>
      </c>
      <c r="U880" s="56">
        <v>4</v>
      </c>
    </row>
    <row r="881" spans="1:21" ht="14.25" customHeight="1" x14ac:dyDescent="0.35">
      <c r="A881" s="47">
        <v>865</v>
      </c>
      <c r="B881" s="69" t="s">
        <v>70</v>
      </c>
      <c r="C881" s="69" t="s">
        <v>71</v>
      </c>
      <c r="D881" s="70" t="s">
        <v>215</v>
      </c>
      <c r="E881" s="69" t="s">
        <v>2501</v>
      </c>
      <c r="F881" s="69" t="s">
        <v>1683</v>
      </c>
      <c r="G881" s="69" t="s">
        <v>140</v>
      </c>
      <c r="H881" s="70">
        <v>2017</v>
      </c>
      <c r="I881" s="69" t="s">
        <v>63</v>
      </c>
      <c r="J881" s="69" t="s">
        <v>4597</v>
      </c>
      <c r="K881" s="71" t="s">
        <v>4598</v>
      </c>
      <c r="L881" s="71" t="s">
        <v>4599</v>
      </c>
      <c r="M881" s="71" t="s">
        <v>4600</v>
      </c>
      <c r="N881" s="69" t="s">
        <v>57</v>
      </c>
      <c r="O881" s="64">
        <v>1</v>
      </c>
      <c r="P881" s="72">
        <v>399250</v>
      </c>
      <c r="Q881" s="69" t="s">
        <v>4601</v>
      </c>
      <c r="R881" s="69"/>
      <c r="S881" s="121" t="s">
        <v>4460</v>
      </c>
      <c r="T881" s="56">
        <v>24</v>
      </c>
      <c r="U881" s="56">
        <v>4</v>
      </c>
    </row>
    <row r="882" spans="1:21" ht="14.25" customHeight="1" thickBot="1" x14ac:dyDescent="0.4">
      <c r="A882" s="58">
        <v>866</v>
      </c>
      <c r="B882" s="69" t="s">
        <v>70</v>
      </c>
      <c r="C882" s="69" t="s">
        <v>71</v>
      </c>
      <c r="D882" s="70" t="s">
        <v>223</v>
      </c>
      <c r="E882" s="69" t="s">
        <v>2501</v>
      </c>
      <c r="F882" s="69" t="s">
        <v>1683</v>
      </c>
      <c r="G882" s="69" t="s">
        <v>140</v>
      </c>
      <c r="H882" s="70">
        <v>2017</v>
      </c>
      <c r="I882" s="69" t="s">
        <v>63</v>
      </c>
      <c r="J882" s="69" t="s">
        <v>4602</v>
      </c>
      <c r="K882" s="71" t="s">
        <v>4603</v>
      </c>
      <c r="L882" s="71" t="s">
        <v>4604</v>
      </c>
      <c r="M882" s="71" t="s">
        <v>4605</v>
      </c>
      <c r="N882" s="69" t="s">
        <v>57</v>
      </c>
      <c r="O882" s="64">
        <v>1</v>
      </c>
      <c r="P882" s="72">
        <v>399250</v>
      </c>
      <c r="Q882" s="69" t="s">
        <v>4606</v>
      </c>
      <c r="R882" s="69"/>
      <c r="S882" s="121" t="s">
        <v>4460</v>
      </c>
      <c r="T882" s="56">
        <v>24</v>
      </c>
      <c r="U882" s="56">
        <v>4</v>
      </c>
    </row>
    <row r="883" spans="1:21" ht="14.25" customHeight="1" x14ac:dyDescent="0.35">
      <c r="A883" s="47">
        <v>867</v>
      </c>
      <c r="B883" s="69" t="s">
        <v>70</v>
      </c>
      <c r="C883" s="69" t="s">
        <v>71</v>
      </c>
      <c r="D883" s="70" t="s">
        <v>238</v>
      </c>
      <c r="E883" s="69" t="s">
        <v>2501</v>
      </c>
      <c r="F883" s="69" t="s">
        <v>1683</v>
      </c>
      <c r="G883" s="69" t="s">
        <v>140</v>
      </c>
      <c r="H883" s="70">
        <v>2017</v>
      </c>
      <c r="I883" s="69" t="s">
        <v>63</v>
      </c>
      <c r="J883" s="69" t="s">
        <v>4607</v>
      </c>
      <c r="K883" s="71" t="s">
        <v>4608</v>
      </c>
      <c r="L883" s="71" t="s">
        <v>4609</v>
      </c>
      <c r="M883" s="71" t="s">
        <v>4610</v>
      </c>
      <c r="N883" s="69" t="s">
        <v>57</v>
      </c>
      <c r="O883" s="64">
        <v>1</v>
      </c>
      <c r="P883" s="72">
        <v>399250</v>
      </c>
      <c r="Q883" s="69" t="s">
        <v>4611</v>
      </c>
      <c r="R883" s="69"/>
      <c r="S883" s="121" t="s">
        <v>4460</v>
      </c>
      <c r="T883" s="56">
        <v>24</v>
      </c>
      <c r="U883" s="56">
        <v>4</v>
      </c>
    </row>
    <row r="884" spans="1:21" ht="14.25" customHeight="1" thickBot="1" x14ac:dyDescent="0.4">
      <c r="A884" s="58">
        <v>868</v>
      </c>
      <c r="B884" s="69" t="s">
        <v>70</v>
      </c>
      <c r="C884" s="69" t="s">
        <v>71</v>
      </c>
      <c r="D884" s="70" t="s">
        <v>253</v>
      </c>
      <c r="E884" s="69" t="s">
        <v>2501</v>
      </c>
      <c r="F884" s="69" t="s">
        <v>1683</v>
      </c>
      <c r="G884" s="69" t="s">
        <v>140</v>
      </c>
      <c r="H884" s="70">
        <v>2017</v>
      </c>
      <c r="I884" s="69" t="s">
        <v>63</v>
      </c>
      <c r="J884" s="69" t="s">
        <v>4612</v>
      </c>
      <c r="K884" s="71" t="s">
        <v>4613</v>
      </c>
      <c r="L884" s="71" t="s">
        <v>4614</v>
      </c>
      <c r="M884" s="71" t="s">
        <v>4615</v>
      </c>
      <c r="N884" s="69" t="s">
        <v>57</v>
      </c>
      <c r="O884" s="64">
        <v>1</v>
      </c>
      <c r="P884" s="72">
        <v>399250</v>
      </c>
      <c r="Q884" s="69" t="s">
        <v>4616</v>
      </c>
      <c r="R884" s="69"/>
      <c r="S884" s="121" t="s">
        <v>4460</v>
      </c>
      <c r="T884" s="56">
        <v>24</v>
      </c>
      <c r="U884" s="56">
        <v>4</v>
      </c>
    </row>
    <row r="885" spans="1:21" ht="14.25" customHeight="1" x14ac:dyDescent="0.35">
      <c r="A885" s="47">
        <v>869</v>
      </c>
      <c r="B885" s="69" t="s">
        <v>70</v>
      </c>
      <c r="C885" s="69" t="s">
        <v>71</v>
      </c>
      <c r="D885" s="70" t="s">
        <v>286</v>
      </c>
      <c r="E885" s="69" t="s">
        <v>4617</v>
      </c>
      <c r="F885" s="69"/>
      <c r="G885" s="69" t="s">
        <v>63</v>
      </c>
      <c r="H885" s="70">
        <v>2023</v>
      </c>
      <c r="I885" s="69" t="s">
        <v>63</v>
      </c>
      <c r="J885" s="69" t="s">
        <v>4618</v>
      </c>
      <c r="K885" s="71" t="s">
        <v>63</v>
      </c>
      <c r="L885" s="71" t="s">
        <v>4619</v>
      </c>
      <c r="M885" s="71" t="s">
        <v>4620</v>
      </c>
      <c r="N885" s="69" t="s">
        <v>44</v>
      </c>
      <c r="O885" s="64">
        <v>1</v>
      </c>
      <c r="P885" s="72">
        <v>285800</v>
      </c>
      <c r="Q885" s="69" t="s">
        <v>4621</v>
      </c>
      <c r="R885" s="69"/>
      <c r="S885" s="121" t="s">
        <v>4460</v>
      </c>
      <c r="T885" s="56">
        <v>24</v>
      </c>
      <c r="U885" s="56">
        <v>4</v>
      </c>
    </row>
    <row r="886" spans="1:21" ht="14.25" customHeight="1" thickBot="1" x14ac:dyDescent="0.4">
      <c r="A886" s="58">
        <v>870</v>
      </c>
      <c r="B886" s="69" t="s">
        <v>70</v>
      </c>
      <c r="C886" s="69" t="s">
        <v>71</v>
      </c>
      <c r="D886" s="70" t="s">
        <v>291</v>
      </c>
      <c r="E886" s="69" t="s">
        <v>4622</v>
      </c>
      <c r="F886" s="69"/>
      <c r="G886" s="69" t="s">
        <v>63</v>
      </c>
      <c r="H886" s="70">
        <v>2023</v>
      </c>
      <c r="I886" s="69" t="s">
        <v>63</v>
      </c>
      <c r="J886" s="69" t="s">
        <v>4623</v>
      </c>
      <c r="K886" s="71" t="s">
        <v>63</v>
      </c>
      <c r="L886" s="71" t="s">
        <v>4624</v>
      </c>
      <c r="M886" s="71" t="s">
        <v>4625</v>
      </c>
      <c r="N886" s="69" t="s">
        <v>44</v>
      </c>
      <c r="O886" s="64">
        <v>1</v>
      </c>
      <c r="P886" s="72">
        <v>519700</v>
      </c>
      <c r="Q886" s="69" t="s">
        <v>4626</v>
      </c>
      <c r="R886" s="69"/>
      <c r="S886" s="121" t="s">
        <v>4460</v>
      </c>
      <c r="T886" s="56">
        <v>24</v>
      </c>
      <c r="U886" s="56">
        <v>4</v>
      </c>
    </row>
    <row r="887" spans="1:21" ht="14.25" customHeight="1" x14ac:dyDescent="0.35">
      <c r="A887" s="47">
        <v>871</v>
      </c>
      <c r="B887" s="69" t="s">
        <v>70</v>
      </c>
      <c r="C887" s="69" t="s">
        <v>71</v>
      </c>
      <c r="D887" s="70" t="s">
        <v>310</v>
      </c>
      <c r="E887" s="69" t="s">
        <v>4627</v>
      </c>
      <c r="F887" s="69"/>
      <c r="G887" s="69" t="s">
        <v>63</v>
      </c>
      <c r="H887" s="70">
        <v>2023</v>
      </c>
      <c r="I887" s="69" t="s">
        <v>63</v>
      </c>
      <c r="J887" s="69" t="s">
        <v>4628</v>
      </c>
      <c r="K887" s="71" t="s">
        <v>4629</v>
      </c>
      <c r="L887" s="71" t="s">
        <v>4630</v>
      </c>
      <c r="M887" s="71" t="s">
        <v>63</v>
      </c>
      <c r="N887" s="69" t="s">
        <v>44</v>
      </c>
      <c r="O887" s="64">
        <v>1</v>
      </c>
      <c r="P887" s="72">
        <v>470900</v>
      </c>
      <c r="Q887" s="69" t="s">
        <v>4631</v>
      </c>
      <c r="R887" s="69"/>
      <c r="S887" s="121" t="s">
        <v>4460</v>
      </c>
      <c r="T887" s="56">
        <v>24</v>
      </c>
      <c r="U887" s="56">
        <v>4</v>
      </c>
    </row>
    <row r="888" spans="1:21" ht="14.25" customHeight="1" thickBot="1" x14ac:dyDescent="0.4">
      <c r="A888" s="58">
        <v>872</v>
      </c>
      <c r="B888" s="69" t="s">
        <v>70</v>
      </c>
      <c r="C888" s="69" t="s">
        <v>71</v>
      </c>
      <c r="D888" s="70" t="s">
        <v>319</v>
      </c>
      <c r="E888" s="69" t="s">
        <v>2501</v>
      </c>
      <c r="F888" s="69" t="s">
        <v>1683</v>
      </c>
      <c r="G888" s="69" t="s">
        <v>140</v>
      </c>
      <c r="H888" s="70">
        <v>2017</v>
      </c>
      <c r="I888" s="69" t="s">
        <v>63</v>
      </c>
      <c r="J888" s="69" t="s">
        <v>4632</v>
      </c>
      <c r="K888" s="71" t="s">
        <v>4633</v>
      </c>
      <c r="L888" s="71" t="s">
        <v>4634</v>
      </c>
      <c r="M888" s="71" t="s">
        <v>4635</v>
      </c>
      <c r="N888" s="69" t="s">
        <v>57</v>
      </c>
      <c r="O888" s="64">
        <v>1</v>
      </c>
      <c r="P888" s="72">
        <v>399250</v>
      </c>
      <c r="Q888" s="69" t="s">
        <v>646</v>
      </c>
      <c r="R888" s="69"/>
      <c r="S888" s="121" t="s">
        <v>4460</v>
      </c>
      <c r="T888" s="56">
        <v>24</v>
      </c>
      <c r="U888" s="56">
        <v>4</v>
      </c>
    </row>
    <row r="889" spans="1:21" ht="14.25" customHeight="1" x14ac:dyDescent="0.35">
      <c r="A889" s="47">
        <v>873</v>
      </c>
      <c r="B889" s="69" t="s">
        <v>70</v>
      </c>
      <c r="C889" s="69" t="s">
        <v>71</v>
      </c>
      <c r="D889" s="70" t="s">
        <v>359</v>
      </c>
      <c r="E889" s="69" t="s">
        <v>4636</v>
      </c>
      <c r="F889" s="69">
        <v>2393</v>
      </c>
      <c r="G889" s="69" t="s">
        <v>63</v>
      </c>
      <c r="H889" s="70">
        <v>2025</v>
      </c>
      <c r="I889" s="69" t="s">
        <v>63</v>
      </c>
      <c r="J889" s="69" t="s">
        <v>4637</v>
      </c>
      <c r="K889" s="71" t="s">
        <v>4638</v>
      </c>
      <c r="L889" s="71" t="s">
        <v>4639</v>
      </c>
      <c r="M889" s="71" t="s">
        <v>4640</v>
      </c>
      <c r="N889" s="69" t="s">
        <v>44</v>
      </c>
      <c r="O889" s="64">
        <v>1</v>
      </c>
      <c r="P889" s="72">
        <v>493491.87599999999</v>
      </c>
      <c r="Q889" s="69" t="s">
        <v>4641</v>
      </c>
      <c r="R889" s="69"/>
      <c r="S889" s="121" t="s">
        <v>4460</v>
      </c>
      <c r="T889" s="56">
        <v>24</v>
      </c>
      <c r="U889" s="56">
        <v>4</v>
      </c>
    </row>
    <row r="890" spans="1:21" ht="14.25" customHeight="1" thickBot="1" x14ac:dyDescent="0.4">
      <c r="A890" s="58">
        <v>874</v>
      </c>
      <c r="B890" s="69" t="s">
        <v>70</v>
      </c>
      <c r="C890" s="69" t="s">
        <v>71</v>
      </c>
      <c r="D890" s="70" t="s">
        <v>366</v>
      </c>
      <c r="E890" s="69" t="s">
        <v>4642</v>
      </c>
      <c r="F890" s="69">
        <v>2393</v>
      </c>
      <c r="G890" s="69" t="s">
        <v>63</v>
      </c>
      <c r="H890" s="70">
        <v>2025</v>
      </c>
      <c r="I890" s="69" t="s">
        <v>63</v>
      </c>
      <c r="J890" s="69" t="s">
        <v>4643</v>
      </c>
      <c r="K890" s="71" t="s">
        <v>4644</v>
      </c>
      <c r="L890" s="71" t="s">
        <v>4645</v>
      </c>
      <c r="M890" s="71" t="s">
        <v>4646</v>
      </c>
      <c r="N890" s="69" t="s">
        <v>44</v>
      </c>
      <c r="O890" s="64">
        <v>1</v>
      </c>
      <c r="P890" s="72">
        <v>539308.12399999995</v>
      </c>
      <c r="Q890" s="69" t="s">
        <v>4641</v>
      </c>
      <c r="R890" s="69"/>
      <c r="S890" s="121" t="s">
        <v>4460</v>
      </c>
      <c r="T890" s="56">
        <v>24</v>
      </c>
      <c r="U890" s="56">
        <v>4</v>
      </c>
    </row>
    <row r="891" spans="1:21" ht="14.25" customHeight="1" x14ac:dyDescent="0.35">
      <c r="A891" s="47">
        <v>875</v>
      </c>
      <c r="B891" s="69" t="s">
        <v>79</v>
      </c>
      <c r="C891" s="69" t="s">
        <v>80</v>
      </c>
      <c r="D891" s="70" t="s">
        <v>51</v>
      </c>
      <c r="E891" s="69" t="s">
        <v>3777</v>
      </c>
      <c r="F891" s="69" t="s">
        <v>88</v>
      </c>
      <c r="G891" s="69" t="s">
        <v>140</v>
      </c>
      <c r="H891" s="70">
        <v>2018</v>
      </c>
      <c r="I891" s="69" t="s">
        <v>63</v>
      </c>
      <c r="J891" s="69" t="s">
        <v>4647</v>
      </c>
      <c r="K891" s="71" t="s">
        <v>4648</v>
      </c>
      <c r="L891" s="71" t="s">
        <v>4649</v>
      </c>
      <c r="M891" s="71" t="s">
        <v>4650</v>
      </c>
      <c r="N891" s="69" t="s">
        <v>57</v>
      </c>
      <c r="O891" s="64">
        <v>1</v>
      </c>
      <c r="P891" s="72">
        <v>19471.2</v>
      </c>
      <c r="Q891" s="69" t="s">
        <v>4651</v>
      </c>
      <c r="R891" s="69"/>
      <c r="S891" s="121" t="s">
        <v>4460</v>
      </c>
      <c r="T891" s="56">
        <v>24</v>
      </c>
      <c r="U891" s="56">
        <v>3</v>
      </c>
    </row>
    <row r="892" spans="1:21" ht="14.25" customHeight="1" thickBot="1" x14ac:dyDescent="0.4">
      <c r="A892" s="58">
        <v>876</v>
      </c>
      <c r="B892" s="69" t="s">
        <v>79</v>
      </c>
      <c r="C892" s="69" t="s">
        <v>80</v>
      </c>
      <c r="D892" s="70" t="s">
        <v>59</v>
      </c>
      <c r="E892" s="69" t="s">
        <v>4652</v>
      </c>
      <c r="F892" s="69" t="s">
        <v>148</v>
      </c>
      <c r="G892" s="69" t="s">
        <v>140</v>
      </c>
      <c r="H892" s="70">
        <v>2018</v>
      </c>
      <c r="I892" s="69" t="s">
        <v>63</v>
      </c>
      <c r="J892" s="69" t="s">
        <v>4653</v>
      </c>
      <c r="K892" s="71" t="s">
        <v>4654</v>
      </c>
      <c r="L892" s="71" t="s">
        <v>4655</v>
      </c>
      <c r="M892" s="71" t="s">
        <v>4656</v>
      </c>
      <c r="N892" s="69" t="s">
        <v>57</v>
      </c>
      <c r="O892" s="64">
        <v>1</v>
      </c>
      <c r="P892" s="72">
        <v>22623</v>
      </c>
      <c r="Q892" s="69" t="s">
        <v>4657</v>
      </c>
      <c r="R892" s="69"/>
      <c r="S892" s="121" t="s">
        <v>4460</v>
      </c>
      <c r="T892" s="56">
        <v>24</v>
      </c>
      <c r="U892" s="56">
        <v>3</v>
      </c>
    </row>
    <row r="893" spans="1:21" ht="14.25" customHeight="1" x14ac:dyDescent="0.35">
      <c r="A893" s="47">
        <v>877</v>
      </c>
      <c r="B893" s="69" t="s">
        <v>79</v>
      </c>
      <c r="C893" s="69" t="s">
        <v>80</v>
      </c>
      <c r="D893" s="70" t="s">
        <v>97</v>
      </c>
      <c r="E893" s="69" t="s">
        <v>4652</v>
      </c>
      <c r="F893" s="69" t="s">
        <v>148</v>
      </c>
      <c r="G893" s="69" t="s">
        <v>140</v>
      </c>
      <c r="H893" s="70">
        <v>2018</v>
      </c>
      <c r="I893" s="69" t="s">
        <v>63</v>
      </c>
      <c r="J893" s="69" t="s">
        <v>4658</v>
      </c>
      <c r="K893" s="71" t="s">
        <v>4659</v>
      </c>
      <c r="L893" s="71" t="s">
        <v>4660</v>
      </c>
      <c r="M893" s="71" t="s">
        <v>4661</v>
      </c>
      <c r="N893" s="69" t="s">
        <v>57</v>
      </c>
      <c r="O893" s="64">
        <v>1</v>
      </c>
      <c r="P893" s="72">
        <v>22623</v>
      </c>
      <c r="Q893" s="69" t="s">
        <v>4662</v>
      </c>
      <c r="R893" s="69"/>
      <c r="S893" s="121" t="s">
        <v>4460</v>
      </c>
      <c r="T893" s="56">
        <v>24</v>
      </c>
      <c r="U893" s="56">
        <v>3</v>
      </c>
    </row>
    <row r="894" spans="1:21" ht="14.25" customHeight="1" thickBot="1" x14ac:dyDescent="0.4">
      <c r="A894" s="58">
        <v>878</v>
      </c>
      <c r="B894" s="69" t="s">
        <v>79</v>
      </c>
      <c r="C894" s="69" t="s">
        <v>80</v>
      </c>
      <c r="D894" s="70" t="s">
        <v>101</v>
      </c>
      <c r="E894" s="69" t="s">
        <v>4652</v>
      </c>
      <c r="F894" s="69" t="s">
        <v>148</v>
      </c>
      <c r="G894" s="69" t="s">
        <v>140</v>
      </c>
      <c r="H894" s="70">
        <v>2018</v>
      </c>
      <c r="I894" s="69" t="s">
        <v>63</v>
      </c>
      <c r="J894" s="69" t="s">
        <v>4663</v>
      </c>
      <c r="K894" s="71" t="s">
        <v>4664</v>
      </c>
      <c r="L894" s="71" t="s">
        <v>4665</v>
      </c>
      <c r="M894" s="71" t="s">
        <v>4666</v>
      </c>
      <c r="N894" s="69" t="s">
        <v>57</v>
      </c>
      <c r="O894" s="64">
        <v>1</v>
      </c>
      <c r="P894" s="72">
        <v>22623</v>
      </c>
      <c r="Q894" s="69" t="s">
        <v>4667</v>
      </c>
      <c r="R894" s="69"/>
      <c r="S894" s="121" t="s">
        <v>4460</v>
      </c>
      <c r="T894" s="56">
        <v>24</v>
      </c>
      <c r="U894" s="56">
        <v>3</v>
      </c>
    </row>
    <row r="895" spans="1:21" ht="14.25" customHeight="1" x14ac:dyDescent="0.35">
      <c r="A895" s="47">
        <v>879</v>
      </c>
      <c r="B895" s="69" t="s">
        <v>79</v>
      </c>
      <c r="C895" s="69" t="s">
        <v>80</v>
      </c>
      <c r="D895" s="70" t="s">
        <v>107</v>
      </c>
      <c r="E895" s="69" t="s">
        <v>4652</v>
      </c>
      <c r="F895" s="69" t="s">
        <v>148</v>
      </c>
      <c r="G895" s="69" t="s">
        <v>140</v>
      </c>
      <c r="H895" s="70">
        <v>2018</v>
      </c>
      <c r="I895" s="69" t="s">
        <v>63</v>
      </c>
      <c r="J895" s="69" t="s">
        <v>4668</v>
      </c>
      <c r="K895" s="71" t="s">
        <v>4669</v>
      </c>
      <c r="L895" s="71" t="s">
        <v>4670</v>
      </c>
      <c r="M895" s="71" t="s">
        <v>4671</v>
      </c>
      <c r="N895" s="69" t="s">
        <v>57</v>
      </c>
      <c r="O895" s="64">
        <v>1</v>
      </c>
      <c r="P895" s="72">
        <v>22623</v>
      </c>
      <c r="Q895" s="69" t="s">
        <v>4672</v>
      </c>
      <c r="R895" s="69"/>
      <c r="S895" s="121" t="s">
        <v>4460</v>
      </c>
      <c r="T895" s="56">
        <v>24</v>
      </c>
      <c r="U895" s="56">
        <v>3</v>
      </c>
    </row>
    <row r="896" spans="1:21" ht="14.25" customHeight="1" thickBot="1" x14ac:dyDescent="0.4">
      <c r="A896" s="58">
        <v>880</v>
      </c>
      <c r="B896" s="69" t="s">
        <v>79</v>
      </c>
      <c r="C896" s="69" t="s">
        <v>80</v>
      </c>
      <c r="D896" s="70" t="s">
        <v>112</v>
      </c>
      <c r="E896" s="69" t="s">
        <v>1383</v>
      </c>
      <c r="F896" s="69" t="s">
        <v>163</v>
      </c>
      <c r="G896" s="69" t="s">
        <v>140</v>
      </c>
      <c r="H896" s="70">
        <v>2015</v>
      </c>
      <c r="I896" s="69"/>
      <c r="J896" s="69" t="s">
        <v>4673</v>
      </c>
      <c r="K896" s="71" t="s">
        <v>4674</v>
      </c>
      <c r="L896" s="71" t="s">
        <v>4675</v>
      </c>
      <c r="M896" s="71" t="s">
        <v>4676</v>
      </c>
      <c r="N896" s="69" t="s">
        <v>57</v>
      </c>
      <c r="O896" s="64">
        <v>1</v>
      </c>
      <c r="P896" s="72">
        <v>14962.333000000001</v>
      </c>
      <c r="Q896" s="69" t="s">
        <v>4677</v>
      </c>
      <c r="R896" s="69"/>
      <c r="S896" s="121" t="s">
        <v>4460</v>
      </c>
      <c r="T896" s="56">
        <v>24</v>
      </c>
      <c r="U896" s="56">
        <v>3</v>
      </c>
    </row>
    <row r="897" spans="1:21" ht="14.25" customHeight="1" x14ac:dyDescent="0.35">
      <c r="A897" s="47">
        <v>881</v>
      </c>
      <c r="B897" s="69" t="s">
        <v>79</v>
      </c>
      <c r="C897" s="69" t="s">
        <v>80</v>
      </c>
      <c r="D897" s="70" t="s">
        <v>116</v>
      </c>
      <c r="E897" s="69" t="s">
        <v>4035</v>
      </c>
      <c r="F897" s="69" t="s">
        <v>4036</v>
      </c>
      <c r="G897" s="69" t="s">
        <v>140</v>
      </c>
      <c r="H897" s="70">
        <v>2015</v>
      </c>
      <c r="I897" s="69"/>
      <c r="J897" s="69" t="s">
        <v>4678</v>
      </c>
      <c r="K897" s="71" t="s">
        <v>4679</v>
      </c>
      <c r="L897" s="71" t="s">
        <v>4680</v>
      </c>
      <c r="M897" s="71" t="s">
        <v>4681</v>
      </c>
      <c r="N897" s="69" t="s">
        <v>57</v>
      </c>
      <c r="O897" s="64">
        <v>1</v>
      </c>
      <c r="P897" s="72">
        <v>18976</v>
      </c>
      <c r="Q897" s="69" t="s">
        <v>4682</v>
      </c>
      <c r="R897" s="69"/>
      <c r="S897" s="121" t="s">
        <v>4460</v>
      </c>
      <c r="T897" s="56">
        <v>24</v>
      </c>
      <c r="U897" s="56">
        <v>3</v>
      </c>
    </row>
    <row r="898" spans="1:21" ht="14.25" customHeight="1" thickBot="1" x14ac:dyDescent="0.4">
      <c r="A898" s="58">
        <v>882</v>
      </c>
      <c r="B898" s="69" t="s">
        <v>79</v>
      </c>
      <c r="C898" s="69" t="s">
        <v>80</v>
      </c>
      <c r="D898" s="70" t="s">
        <v>841</v>
      </c>
      <c r="E898" s="69" t="s">
        <v>4035</v>
      </c>
      <c r="F898" s="69" t="s">
        <v>4036</v>
      </c>
      <c r="G898" s="69" t="s">
        <v>140</v>
      </c>
      <c r="H898" s="70">
        <v>2015</v>
      </c>
      <c r="I898" s="69"/>
      <c r="J898" s="69" t="s">
        <v>4683</v>
      </c>
      <c r="K898" s="71" t="s">
        <v>4684</v>
      </c>
      <c r="L898" s="71" t="s">
        <v>4685</v>
      </c>
      <c r="M898" s="71" t="s">
        <v>4686</v>
      </c>
      <c r="N898" s="69" t="s">
        <v>57</v>
      </c>
      <c r="O898" s="64">
        <v>1</v>
      </c>
      <c r="P898" s="72">
        <v>18976</v>
      </c>
      <c r="Q898" s="69" t="s">
        <v>4687</v>
      </c>
      <c r="R898" s="69"/>
      <c r="S898" s="121" t="s">
        <v>4460</v>
      </c>
      <c r="T898" s="56">
        <v>24</v>
      </c>
      <c r="U898" s="56">
        <v>3</v>
      </c>
    </row>
    <row r="899" spans="1:21" ht="14.25" customHeight="1" x14ac:dyDescent="0.35">
      <c r="A899" s="47">
        <v>883</v>
      </c>
      <c r="B899" s="69" t="s">
        <v>79</v>
      </c>
      <c r="C899" s="69" t="s">
        <v>80</v>
      </c>
      <c r="D899" s="70" t="s">
        <v>904</v>
      </c>
      <c r="E899" s="69" t="s">
        <v>147</v>
      </c>
      <c r="F899" s="69" t="s">
        <v>148</v>
      </c>
      <c r="G899" s="69" t="s">
        <v>140</v>
      </c>
      <c r="H899" s="70">
        <v>2015</v>
      </c>
      <c r="I899" s="69"/>
      <c r="J899" s="69" t="s">
        <v>4688</v>
      </c>
      <c r="K899" s="71" t="s">
        <v>4689</v>
      </c>
      <c r="L899" s="71" t="s">
        <v>4690</v>
      </c>
      <c r="M899" s="71" t="s">
        <v>4691</v>
      </c>
      <c r="N899" s="69" t="s">
        <v>57</v>
      </c>
      <c r="O899" s="64">
        <v>1</v>
      </c>
      <c r="P899" s="72">
        <v>19430</v>
      </c>
      <c r="Q899" s="69" t="s">
        <v>4692</v>
      </c>
      <c r="R899" s="69"/>
      <c r="S899" s="121" t="s">
        <v>4460</v>
      </c>
      <c r="T899" s="56">
        <v>24</v>
      </c>
      <c r="U899" s="56">
        <v>3</v>
      </c>
    </row>
    <row r="900" spans="1:21" ht="14.25" customHeight="1" thickBot="1" x14ac:dyDescent="0.4">
      <c r="A900" s="58">
        <v>884</v>
      </c>
      <c r="B900" s="69" t="s">
        <v>79</v>
      </c>
      <c r="C900" s="69" t="s">
        <v>80</v>
      </c>
      <c r="D900" s="70" t="s">
        <v>132</v>
      </c>
      <c r="E900" s="69" t="s">
        <v>1110</v>
      </c>
      <c r="F900" s="69" t="s">
        <v>163</v>
      </c>
      <c r="G900" s="69" t="s">
        <v>140</v>
      </c>
      <c r="H900" s="70">
        <v>2017</v>
      </c>
      <c r="I900" s="69" t="s">
        <v>63</v>
      </c>
      <c r="J900" s="69" t="s">
        <v>4693</v>
      </c>
      <c r="K900" s="71" t="s">
        <v>4694</v>
      </c>
      <c r="L900" s="71" t="s">
        <v>4695</v>
      </c>
      <c r="M900" s="71" t="s">
        <v>4696</v>
      </c>
      <c r="N900" s="69" t="s">
        <v>57</v>
      </c>
      <c r="O900" s="64">
        <v>1</v>
      </c>
      <c r="P900" s="72">
        <v>15846.6</v>
      </c>
      <c r="Q900" s="69" t="s">
        <v>4697</v>
      </c>
      <c r="R900" s="69"/>
      <c r="S900" s="121" t="s">
        <v>4460</v>
      </c>
      <c r="T900" s="56">
        <v>24</v>
      </c>
      <c r="U900" s="56">
        <v>3</v>
      </c>
    </row>
    <row r="901" spans="1:21" ht="14.25" customHeight="1" x14ac:dyDescent="0.35">
      <c r="A901" s="47">
        <v>885</v>
      </c>
      <c r="B901" s="69" t="s">
        <v>79</v>
      </c>
      <c r="C901" s="69" t="s">
        <v>80</v>
      </c>
      <c r="D901" s="70" t="s">
        <v>137</v>
      </c>
      <c r="E901" s="69" t="s">
        <v>1110</v>
      </c>
      <c r="F901" s="69" t="s">
        <v>163</v>
      </c>
      <c r="G901" s="69" t="s">
        <v>140</v>
      </c>
      <c r="H901" s="70">
        <v>2017</v>
      </c>
      <c r="I901" s="69" t="s">
        <v>63</v>
      </c>
      <c r="J901" s="69" t="s">
        <v>4698</v>
      </c>
      <c r="K901" s="71" t="s">
        <v>4699</v>
      </c>
      <c r="L901" s="71" t="s">
        <v>4700</v>
      </c>
      <c r="M901" s="71" t="s">
        <v>4701</v>
      </c>
      <c r="N901" s="69" t="s">
        <v>57</v>
      </c>
      <c r="O901" s="64">
        <v>1</v>
      </c>
      <c r="P901" s="72">
        <v>15846.6</v>
      </c>
      <c r="Q901" s="69" t="s">
        <v>4702</v>
      </c>
      <c r="R901" s="69"/>
      <c r="S901" s="121" t="s">
        <v>4460</v>
      </c>
      <c r="T901" s="56">
        <v>24</v>
      </c>
      <c r="U901" s="56">
        <v>3</v>
      </c>
    </row>
    <row r="902" spans="1:21" ht="14.25" customHeight="1" thickBot="1" x14ac:dyDescent="0.4">
      <c r="A902" s="58">
        <v>886</v>
      </c>
      <c r="B902" s="69" t="s">
        <v>79</v>
      </c>
      <c r="C902" s="69" t="s">
        <v>80</v>
      </c>
      <c r="D902" s="70" t="s">
        <v>146</v>
      </c>
      <c r="E902" s="69" t="s">
        <v>1110</v>
      </c>
      <c r="F902" s="69" t="s">
        <v>163</v>
      </c>
      <c r="G902" s="69" t="s">
        <v>140</v>
      </c>
      <c r="H902" s="70">
        <v>2017</v>
      </c>
      <c r="I902" s="69" t="s">
        <v>63</v>
      </c>
      <c r="J902" s="69" t="s">
        <v>4703</v>
      </c>
      <c r="K902" s="71" t="s">
        <v>4704</v>
      </c>
      <c r="L902" s="71" t="s">
        <v>4705</v>
      </c>
      <c r="M902" s="71" t="s">
        <v>4706</v>
      </c>
      <c r="N902" s="69" t="s">
        <v>57</v>
      </c>
      <c r="O902" s="64">
        <v>1</v>
      </c>
      <c r="P902" s="72">
        <v>15846.6</v>
      </c>
      <c r="Q902" s="69" t="s">
        <v>4707</v>
      </c>
      <c r="R902" s="69"/>
      <c r="S902" s="121" t="s">
        <v>4460</v>
      </c>
      <c r="T902" s="56">
        <v>24</v>
      </c>
      <c r="U902" s="56">
        <v>3</v>
      </c>
    </row>
    <row r="903" spans="1:21" ht="14.25" customHeight="1" x14ac:dyDescent="0.35">
      <c r="A903" s="47">
        <v>887</v>
      </c>
      <c r="B903" s="69" t="s">
        <v>79</v>
      </c>
      <c r="C903" s="69" t="s">
        <v>80</v>
      </c>
      <c r="D903" s="70" t="s">
        <v>154</v>
      </c>
      <c r="E903" s="69" t="s">
        <v>1110</v>
      </c>
      <c r="F903" s="69" t="s">
        <v>163</v>
      </c>
      <c r="G903" s="69" t="s">
        <v>140</v>
      </c>
      <c r="H903" s="70">
        <v>2017</v>
      </c>
      <c r="I903" s="69" t="s">
        <v>63</v>
      </c>
      <c r="J903" s="69" t="s">
        <v>4708</v>
      </c>
      <c r="K903" s="71" t="s">
        <v>4709</v>
      </c>
      <c r="L903" s="71" t="s">
        <v>4710</v>
      </c>
      <c r="M903" s="71" t="s">
        <v>4711</v>
      </c>
      <c r="N903" s="69" t="s">
        <v>57</v>
      </c>
      <c r="O903" s="64">
        <v>1</v>
      </c>
      <c r="P903" s="72">
        <v>15846.6</v>
      </c>
      <c r="Q903" s="69" t="s">
        <v>4712</v>
      </c>
      <c r="R903" s="69"/>
      <c r="S903" s="121" t="s">
        <v>4460</v>
      </c>
      <c r="T903" s="56">
        <v>24</v>
      </c>
      <c r="U903" s="56">
        <v>3</v>
      </c>
    </row>
    <row r="904" spans="1:21" ht="14.25" customHeight="1" thickBot="1" x14ac:dyDescent="0.4">
      <c r="A904" s="58">
        <v>888</v>
      </c>
      <c r="B904" s="69" t="s">
        <v>79</v>
      </c>
      <c r="C904" s="69" t="s">
        <v>80</v>
      </c>
      <c r="D904" s="70" t="s">
        <v>161</v>
      </c>
      <c r="E904" s="69" t="s">
        <v>1110</v>
      </c>
      <c r="F904" s="69" t="s">
        <v>163</v>
      </c>
      <c r="G904" s="69" t="s">
        <v>140</v>
      </c>
      <c r="H904" s="70">
        <v>2017</v>
      </c>
      <c r="I904" s="69" t="s">
        <v>63</v>
      </c>
      <c r="J904" s="69" t="s">
        <v>4713</v>
      </c>
      <c r="K904" s="71" t="s">
        <v>4714</v>
      </c>
      <c r="L904" s="71" t="s">
        <v>4715</v>
      </c>
      <c r="M904" s="71" t="s">
        <v>4716</v>
      </c>
      <c r="N904" s="69" t="s">
        <v>57</v>
      </c>
      <c r="O904" s="64">
        <v>1</v>
      </c>
      <c r="P904" s="72">
        <v>15846.6</v>
      </c>
      <c r="Q904" s="69" t="s">
        <v>4717</v>
      </c>
      <c r="R904" s="69"/>
      <c r="S904" s="121" t="s">
        <v>4460</v>
      </c>
      <c r="T904" s="56">
        <v>24</v>
      </c>
      <c r="U904" s="56">
        <v>3</v>
      </c>
    </row>
    <row r="905" spans="1:21" ht="14.25" customHeight="1" x14ac:dyDescent="0.35">
      <c r="A905" s="47">
        <v>889</v>
      </c>
      <c r="B905" s="69" t="s">
        <v>79</v>
      </c>
      <c r="C905" s="69" t="s">
        <v>80</v>
      </c>
      <c r="D905" s="70" t="s">
        <v>169</v>
      </c>
      <c r="E905" s="69" t="s">
        <v>1110</v>
      </c>
      <c r="F905" s="69" t="s">
        <v>163</v>
      </c>
      <c r="G905" s="69" t="s">
        <v>140</v>
      </c>
      <c r="H905" s="70">
        <v>2017</v>
      </c>
      <c r="I905" s="69" t="s">
        <v>63</v>
      </c>
      <c r="J905" s="69" t="s">
        <v>4718</v>
      </c>
      <c r="K905" s="71" t="s">
        <v>4719</v>
      </c>
      <c r="L905" s="71" t="s">
        <v>4720</v>
      </c>
      <c r="M905" s="71" t="s">
        <v>4721</v>
      </c>
      <c r="N905" s="69" t="s">
        <v>57</v>
      </c>
      <c r="O905" s="64">
        <v>1</v>
      </c>
      <c r="P905" s="72">
        <v>15846.6</v>
      </c>
      <c r="Q905" s="69" t="s">
        <v>4722</v>
      </c>
      <c r="R905" s="69"/>
      <c r="S905" s="121" t="s">
        <v>4460</v>
      </c>
      <c r="T905" s="56">
        <v>24</v>
      </c>
      <c r="U905" s="56">
        <v>3</v>
      </c>
    </row>
    <row r="906" spans="1:21" ht="14.25" customHeight="1" thickBot="1" x14ac:dyDescent="0.4">
      <c r="A906" s="58">
        <v>890</v>
      </c>
      <c r="B906" s="69" t="s">
        <v>79</v>
      </c>
      <c r="C906" s="69" t="s">
        <v>80</v>
      </c>
      <c r="D906" s="70" t="s">
        <v>176</v>
      </c>
      <c r="E906" s="69" t="s">
        <v>1383</v>
      </c>
      <c r="F906" s="69" t="s">
        <v>163</v>
      </c>
      <c r="G906" s="69" t="s">
        <v>140</v>
      </c>
      <c r="H906" s="70">
        <v>2015</v>
      </c>
      <c r="I906" s="69"/>
      <c r="J906" s="69" t="s">
        <v>4723</v>
      </c>
      <c r="K906" s="71" t="s">
        <v>4724</v>
      </c>
      <c r="L906" s="71" t="s">
        <v>4725</v>
      </c>
      <c r="M906" s="71" t="s">
        <v>4726</v>
      </c>
      <c r="N906" s="69" t="s">
        <v>57</v>
      </c>
      <c r="O906" s="64">
        <v>1</v>
      </c>
      <c r="P906" s="72">
        <v>14962.333000000001</v>
      </c>
      <c r="Q906" s="69" t="s">
        <v>4727</v>
      </c>
      <c r="R906" s="69"/>
      <c r="S906" s="121" t="s">
        <v>4460</v>
      </c>
      <c r="T906" s="56">
        <v>24</v>
      </c>
      <c r="U906" s="56">
        <v>3</v>
      </c>
    </row>
    <row r="907" spans="1:21" ht="14.25" customHeight="1" x14ac:dyDescent="0.35">
      <c r="A907" s="47">
        <v>891</v>
      </c>
      <c r="B907" s="69" t="s">
        <v>79</v>
      </c>
      <c r="C907" s="69" t="s">
        <v>80</v>
      </c>
      <c r="D907" s="70" t="s">
        <v>1236</v>
      </c>
      <c r="E907" s="69" t="s">
        <v>1383</v>
      </c>
      <c r="F907" s="69" t="s">
        <v>163</v>
      </c>
      <c r="G907" s="69" t="s">
        <v>140</v>
      </c>
      <c r="H907" s="70">
        <v>2015</v>
      </c>
      <c r="I907" s="69"/>
      <c r="J907" s="69" t="s">
        <v>4728</v>
      </c>
      <c r="K907" s="71" t="s">
        <v>4729</v>
      </c>
      <c r="L907" s="71" t="s">
        <v>4730</v>
      </c>
      <c r="M907" s="71" t="s">
        <v>4731</v>
      </c>
      <c r="N907" s="69" t="s">
        <v>57</v>
      </c>
      <c r="O907" s="64">
        <v>1</v>
      </c>
      <c r="P907" s="72">
        <v>14962.333000000001</v>
      </c>
      <c r="Q907" s="69" t="s">
        <v>4732</v>
      </c>
      <c r="R907" s="69"/>
      <c r="S907" s="121" t="s">
        <v>4460</v>
      </c>
      <c r="T907" s="56">
        <v>24</v>
      </c>
      <c r="U907" s="56">
        <v>3</v>
      </c>
    </row>
    <row r="908" spans="1:21" ht="14.25" customHeight="1" thickBot="1" x14ac:dyDescent="0.4">
      <c r="A908" s="58">
        <v>892</v>
      </c>
      <c r="B908" s="69" t="s">
        <v>79</v>
      </c>
      <c r="C908" s="69" t="s">
        <v>80</v>
      </c>
      <c r="D908" s="70" t="s">
        <v>181</v>
      </c>
      <c r="E908" s="69" t="s">
        <v>1383</v>
      </c>
      <c r="F908" s="69" t="s">
        <v>163</v>
      </c>
      <c r="G908" s="69" t="s">
        <v>140</v>
      </c>
      <c r="H908" s="70">
        <v>2015</v>
      </c>
      <c r="I908" s="69"/>
      <c r="J908" s="69" t="s">
        <v>4733</v>
      </c>
      <c r="K908" s="71" t="s">
        <v>4734</v>
      </c>
      <c r="L908" s="71" t="s">
        <v>4735</v>
      </c>
      <c r="M908" s="71" t="s">
        <v>4736</v>
      </c>
      <c r="N908" s="69" t="s">
        <v>57</v>
      </c>
      <c r="O908" s="64">
        <v>1</v>
      </c>
      <c r="P908" s="72">
        <v>14962.333000000001</v>
      </c>
      <c r="Q908" s="69" t="s">
        <v>4737</v>
      </c>
      <c r="R908" s="69"/>
      <c r="S908" s="121" t="s">
        <v>4460</v>
      </c>
      <c r="T908" s="56">
        <v>24</v>
      </c>
      <c r="U908" s="56">
        <v>3</v>
      </c>
    </row>
    <row r="909" spans="1:21" ht="14.25" customHeight="1" x14ac:dyDescent="0.35">
      <c r="A909" s="47">
        <v>893</v>
      </c>
      <c r="B909" s="69" t="s">
        <v>79</v>
      </c>
      <c r="C909" s="69" t="s">
        <v>80</v>
      </c>
      <c r="D909" s="70" t="s">
        <v>187</v>
      </c>
      <c r="E909" s="69" t="s">
        <v>1383</v>
      </c>
      <c r="F909" s="69" t="s">
        <v>163</v>
      </c>
      <c r="G909" s="69" t="s">
        <v>140</v>
      </c>
      <c r="H909" s="70">
        <v>2015</v>
      </c>
      <c r="I909" s="69"/>
      <c r="J909" s="69" t="s">
        <v>4738</v>
      </c>
      <c r="K909" s="71" t="s">
        <v>4739</v>
      </c>
      <c r="L909" s="71" t="s">
        <v>4740</v>
      </c>
      <c r="M909" s="71" t="s">
        <v>4741</v>
      </c>
      <c r="N909" s="69" t="s">
        <v>57</v>
      </c>
      <c r="O909" s="64">
        <v>1</v>
      </c>
      <c r="P909" s="72">
        <v>14962.333000000001</v>
      </c>
      <c r="Q909" s="69" t="s">
        <v>4742</v>
      </c>
      <c r="R909" s="69"/>
      <c r="S909" s="121" t="s">
        <v>4460</v>
      </c>
      <c r="T909" s="56">
        <v>24</v>
      </c>
      <c r="U909" s="56">
        <v>3</v>
      </c>
    </row>
    <row r="910" spans="1:21" ht="14.25" customHeight="1" thickBot="1" x14ac:dyDescent="0.4">
      <c r="A910" s="58">
        <v>894</v>
      </c>
      <c r="B910" s="69" t="s">
        <v>79</v>
      </c>
      <c r="C910" s="69" t="s">
        <v>80</v>
      </c>
      <c r="D910" s="70" t="s">
        <v>190</v>
      </c>
      <c r="E910" s="69" t="s">
        <v>4743</v>
      </c>
      <c r="F910" s="69" t="s">
        <v>2386</v>
      </c>
      <c r="G910" s="69" t="s">
        <v>54</v>
      </c>
      <c r="H910" s="70">
        <v>2012</v>
      </c>
      <c r="I910" s="69"/>
      <c r="J910" s="69" t="s">
        <v>4744</v>
      </c>
      <c r="K910" s="71" t="s">
        <v>4745</v>
      </c>
      <c r="L910" s="71" t="s">
        <v>4746</v>
      </c>
      <c r="M910" s="71" t="s">
        <v>4747</v>
      </c>
      <c r="N910" s="69" t="s">
        <v>57</v>
      </c>
      <c r="O910" s="64">
        <v>1</v>
      </c>
      <c r="P910" s="72">
        <v>13587.125</v>
      </c>
      <c r="Q910" s="69" t="s">
        <v>4748</v>
      </c>
      <c r="R910" s="69"/>
      <c r="S910" s="121" t="s">
        <v>4460</v>
      </c>
      <c r="T910" s="56">
        <v>24</v>
      </c>
      <c r="U910" s="56">
        <v>3</v>
      </c>
    </row>
    <row r="911" spans="1:21" ht="14.25" customHeight="1" x14ac:dyDescent="0.35">
      <c r="A911" s="47">
        <v>895</v>
      </c>
      <c r="B911" s="69" t="s">
        <v>79</v>
      </c>
      <c r="C911" s="69" t="s">
        <v>80</v>
      </c>
      <c r="D911" s="70" t="s">
        <v>194</v>
      </c>
      <c r="E911" s="69" t="s">
        <v>4743</v>
      </c>
      <c r="F911" s="69" t="s">
        <v>2386</v>
      </c>
      <c r="G911" s="69" t="s">
        <v>54</v>
      </c>
      <c r="H911" s="70">
        <v>2012</v>
      </c>
      <c r="I911" s="69"/>
      <c r="J911" s="69" t="s">
        <v>4749</v>
      </c>
      <c r="K911" s="71" t="s">
        <v>4750</v>
      </c>
      <c r="L911" s="71" t="s">
        <v>4751</v>
      </c>
      <c r="M911" s="71" t="s">
        <v>4752</v>
      </c>
      <c r="N911" s="69" t="s">
        <v>57</v>
      </c>
      <c r="O911" s="64">
        <v>1</v>
      </c>
      <c r="P911" s="72">
        <v>13587.125</v>
      </c>
      <c r="Q911" s="69" t="s">
        <v>4753</v>
      </c>
      <c r="R911" s="69"/>
      <c r="S911" s="121" t="s">
        <v>4460</v>
      </c>
      <c r="T911" s="56">
        <v>24</v>
      </c>
      <c r="U911" s="56">
        <v>3</v>
      </c>
    </row>
    <row r="912" spans="1:21" ht="14.25" customHeight="1" thickBot="1" x14ac:dyDescent="0.4">
      <c r="A912" s="58">
        <v>896</v>
      </c>
      <c r="B912" s="69" t="s">
        <v>79</v>
      </c>
      <c r="C912" s="69" t="s">
        <v>80</v>
      </c>
      <c r="D912" s="70" t="s">
        <v>195</v>
      </c>
      <c r="E912" s="69" t="s">
        <v>4743</v>
      </c>
      <c r="F912" s="69" t="s">
        <v>2386</v>
      </c>
      <c r="G912" s="69" t="s">
        <v>54</v>
      </c>
      <c r="H912" s="70">
        <v>2012</v>
      </c>
      <c r="I912" s="69"/>
      <c r="J912" s="69" t="s">
        <v>4754</v>
      </c>
      <c r="K912" s="71" t="s">
        <v>4755</v>
      </c>
      <c r="L912" s="71" t="s">
        <v>4756</v>
      </c>
      <c r="M912" s="71" t="s">
        <v>4757</v>
      </c>
      <c r="N912" s="69" t="s">
        <v>57</v>
      </c>
      <c r="O912" s="64">
        <v>1</v>
      </c>
      <c r="P912" s="72">
        <v>13587.125</v>
      </c>
      <c r="Q912" s="69" t="s">
        <v>4758</v>
      </c>
      <c r="R912" s="69"/>
      <c r="S912" s="121" t="s">
        <v>4460</v>
      </c>
      <c r="T912" s="56">
        <v>24</v>
      </c>
      <c r="U912" s="56">
        <v>3</v>
      </c>
    </row>
    <row r="913" spans="1:21" ht="14.25" customHeight="1" x14ac:dyDescent="0.35">
      <c r="A913" s="47">
        <v>897</v>
      </c>
      <c r="B913" s="69" t="s">
        <v>79</v>
      </c>
      <c r="C913" s="69" t="s">
        <v>80</v>
      </c>
      <c r="D913" s="70" t="s">
        <v>199</v>
      </c>
      <c r="E913" s="69" t="s">
        <v>3303</v>
      </c>
      <c r="F913" s="69" t="s">
        <v>443</v>
      </c>
      <c r="G913" s="69" t="s">
        <v>54</v>
      </c>
      <c r="H913" s="70">
        <v>2013</v>
      </c>
      <c r="I913" s="69" t="s">
        <v>63</v>
      </c>
      <c r="J913" s="69" t="s">
        <v>4759</v>
      </c>
      <c r="K913" s="71" t="s">
        <v>4760</v>
      </c>
      <c r="L913" s="71" t="s">
        <v>4761</v>
      </c>
      <c r="M913" s="71" t="s">
        <v>4762</v>
      </c>
      <c r="N913" s="69" t="s">
        <v>57</v>
      </c>
      <c r="O913" s="64">
        <v>1</v>
      </c>
      <c r="P913" s="72">
        <v>13055.5</v>
      </c>
      <c r="Q913" s="69" t="s">
        <v>4763</v>
      </c>
      <c r="R913" s="69"/>
      <c r="S913" s="121" t="s">
        <v>4460</v>
      </c>
      <c r="T913" s="56">
        <v>24</v>
      </c>
      <c r="U913" s="56">
        <v>3</v>
      </c>
    </row>
    <row r="914" spans="1:21" ht="14.25" customHeight="1" thickBot="1" x14ac:dyDescent="0.4">
      <c r="A914" s="58">
        <v>898</v>
      </c>
      <c r="B914" s="69" t="s">
        <v>79</v>
      </c>
      <c r="C914" s="69" t="s">
        <v>80</v>
      </c>
      <c r="D914" s="70" t="s">
        <v>209</v>
      </c>
      <c r="E914" s="69" t="s">
        <v>2953</v>
      </c>
      <c r="F914" s="69" t="s">
        <v>231</v>
      </c>
      <c r="G914" s="69" t="s">
        <v>2954</v>
      </c>
      <c r="H914" s="70">
        <v>2014</v>
      </c>
      <c r="I914" s="69"/>
      <c r="J914" s="69" t="s">
        <v>4764</v>
      </c>
      <c r="K914" s="71" t="s">
        <v>4765</v>
      </c>
      <c r="L914" s="71" t="s">
        <v>4766</v>
      </c>
      <c r="M914" s="71" t="s">
        <v>4767</v>
      </c>
      <c r="N914" s="69" t="s">
        <v>57</v>
      </c>
      <c r="O914" s="64">
        <v>1</v>
      </c>
      <c r="P914" s="72">
        <v>27500</v>
      </c>
      <c r="Q914" s="69" t="s">
        <v>4768</v>
      </c>
      <c r="R914" s="69"/>
      <c r="S914" s="121" t="s">
        <v>4460</v>
      </c>
      <c r="T914" s="56">
        <v>24</v>
      </c>
      <c r="U914" s="56">
        <v>3</v>
      </c>
    </row>
    <row r="915" spans="1:21" ht="14.25" customHeight="1" x14ac:dyDescent="0.35">
      <c r="A915" s="47">
        <v>899</v>
      </c>
      <c r="B915" s="69" t="s">
        <v>79</v>
      </c>
      <c r="C915" s="69" t="s">
        <v>80</v>
      </c>
      <c r="D915" s="70" t="s">
        <v>215</v>
      </c>
      <c r="E915" s="69" t="s">
        <v>3223</v>
      </c>
      <c r="F915" s="69"/>
      <c r="G915" s="69" t="s">
        <v>63</v>
      </c>
      <c r="H915" s="70">
        <v>2023</v>
      </c>
      <c r="I915" s="69" t="s">
        <v>63</v>
      </c>
      <c r="J915" s="69" t="s">
        <v>63</v>
      </c>
      <c r="K915" s="71" t="s">
        <v>63</v>
      </c>
      <c r="L915" s="71" t="s">
        <v>63</v>
      </c>
      <c r="M915" s="71" t="s">
        <v>63</v>
      </c>
      <c r="N915" s="69" t="s">
        <v>44</v>
      </c>
      <c r="O915" s="64">
        <v>1</v>
      </c>
      <c r="P915" s="72">
        <v>33000</v>
      </c>
      <c r="Q915" s="69" t="s">
        <v>4769</v>
      </c>
      <c r="R915" s="69"/>
      <c r="S915" s="121" t="s">
        <v>4460</v>
      </c>
      <c r="T915" s="56">
        <v>24</v>
      </c>
      <c r="U915" s="56">
        <v>3</v>
      </c>
    </row>
    <row r="916" spans="1:21" ht="14.25" customHeight="1" thickBot="1" x14ac:dyDescent="0.4">
      <c r="A916" s="58">
        <v>900</v>
      </c>
      <c r="B916" s="69" t="s">
        <v>79</v>
      </c>
      <c r="C916" s="69" t="s">
        <v>80</v>
      </c>
      <c r="D916" s="70" t="s">
        <v>223</v>
      </c>
      <c r="E916" s="69" t="s">
        <v>4770</v>
      </c>
      <c r="F916" s="69">
        <v>149</v>
      </c>
      <c r="G916" s="69" t="s">
        <v>63</v>
      </c>
      <c r="H916" s="70">
        <v>2023</v>
      </c>
      <c r="I916" s="69" t="s">
        <v>63</v>
      </c>
      <c r="J916" s="69" t="s">
        <v>4771</v>
      </c>
      <c r="K916" s="71" t="s">
        <v>4772</v>
      </c>
      <c r="L916" s="71" t="s">
        <v>4773</v>
      </c>
      <c r="M916" s="71" t="s">
        <v>4774</v>
      </c>
      <c r="N916" s="69" t="s">
        <v>44</v>
      </c>
      <c r="O916" s="64">
        <v>1</v>
      </c>
      <c r="P916" s="72">
        <v>21300</v>
      </c>
      <c r="Q916" s="69" t="s">
        <v>4775</v>
      </c>
      <c r="R916" s="69"/>
      <c r="S916" s="121" t="s">
        <v>4460</v>
      </c>
      <c r="T916" s="56">
        <v>24</v>
      </c>
      <c r="U916" s="56">
        <v>3</v>
      </c>
    </row>
    <row r="917" spans="1:21" ht="14.25" customHeight="1" x14ac:dyDescent="0.35">
      <c r="A917" s="47">
        <v>901</v>
      </c>
      <c r="B917" s="69" t="s">
        <v>79</v>
      </c>
      <c r="C917" s="69" t="s">
        <v>80</v>
      </c>
      <c r="D917" s="70" t="s">
        <v>229</v>
      </c>
      <c r="E917" s="69" t="s">
        <v>4770</v>
      </c>
      <c r="F917" s="69">
        <v>149</v>
      </c>
      <c r="G917" s="69" t="s">
        <v>63</v>
      </c>
      <c r="H917" s="70">
        <v>2023</v>
      </c>
      <c r="I917" s="69" t="s">
        <v>63</v>
      </c>
      <c r="J917" s="142" t="s">
        <v>4776</v>
      </c>
      <c r="K917" s="185" t="s">
        <v>4777</v>
      </c>
      <c r="L917" s="71" t="s">
        <v>4778</v>
      </c>
      <c r="M917" s="185" t="s">
        <v>4779</v>
      </c>
      <c r="N917" s="69" t="s">
        <v>44</v>
      </c>
      <c r="O917" s="64">
        <v>1</v>
      </c>
      <c r="P917" s="72">
        <v>21300</v>
      </c>
      <c r="Q917" s="69" t="s">
        <v>4780</v>
      </c>
      <c r="R917" s="69"/>
      <c r="S917" s="121" t="s">
        <v>4460</v>
      </c>
      <c r="T917" s="56">
        <v>24</v>
      </c>
      <c r="U917" s="56">
        <v>3</v>
      </c>
    </row>
    <row r="918" spans="1:21" ht="14.25" customHeight="1" thickBot="1" x14ac:dyDescent="0.4">
      <c r="A918" s="58">
        <v>902</v>
      </c>
      <c r="B918" s="69" t="s">
        <v>79</v>
      </c>
      <c r="C918" s="69" t="s">
        <v>80</v>
      </c>
      <c r="D918" s="70" t="s">
        <v>238</v>
      </c>
      <c r="E918" s="69" t="s">
        <v>4770</v>
      </c>
      <c r="F918" s="69">
        <v>149</v>
      </c>
      <c r="G918" s="69" t="s">
        <v>140</v>
      </c>
      <c r="H918" s="70">
        <v>2018</v>
      </c>
      <c r="I918" s="69" t="s">
        <v>63</v>
      </c>
      <c r="J918" s="69" t="s">
        <v>4668</v>
      </c>
      <c r="K918" s="71" t="s">
        <v>4669</v>
      </c>
      <c r="L918" s="71" t="s">
        <v>4670</v>
      </c>
      <c r="M918" s="71" t="s">
        <v>4671</v>
      </c>
      <c r="N918" s="69" t="s">
        <v>44</v>
      </c>
      <c r="O918" s="64">
        <v>1</v>
      </c>
      <c r="P918" s="72">
        <v>21300</v>
      </c>
      <c r="Q918" s="69" t="s">
        <v>4781</v>
      </c>
      <c r="R918" s="69"/>
      <c r="S918" s="121" t="s">
        <v>4460</v>
      </c>
      <c r="T918" s="56">
        <v>24</v>
      </c>
      <c r="U918" s="56">
        <v>3</v>
      </c>
    </row>
    <row r="919" spans="1:21" ht="14.25" customHeight="1" x14ac:dyDescent="0.35">
      <c r="A919" s="47">
        <v>903</v>
      </c>
      <c r="B919" s="69" t="s">
        <v>79</v>
      </c>
      <c r="C919" s="69" t="s">
        <v>80</v>
      </c>
      <c r="D919" s="70" t="s">
        <v>244</v>
      </c>
      <c r="E919" s="69" t="s">
        <v>3330</v>
      </c>
      <c r="F919" s="69" t="s">
        <v>231</v>
      </c>
      <c r="G919" s="69" t="s">
        <v>2954</v>
      </c>
      <c r="H919" s="70">
        <v>2014</v>
      </c>
      <c r="I919" s="69" t="s">
        <v>63</v>
      </c>
      <c r="J919" s="69" t="s">
        <v>4782</v>
      </c>
      <c r="K919" s="71" t="s">
        <v>4783</v>
      </c>
      <c r="L919" s="71" t="s">
        <v>4784</v>
      </c>
      <c r="M919" s="71" t="s">
        <v>4785</v>
      </c>
      <c r="N919" s="69" t="s">
        <v>57</v>
      </c>
      <c r="O919" s="64">
        <v>1</v>
      </c>
      <c r="P919" s="72">
        <v>27500</v>
      </c>
      <c r="Q919" s="69" t="s">
        <v>63</v>
      </c>
      <c r="R919" s="69"/>
      <c r="S919" s="121" t="s">
        <v>4460</v>
      </c>
      <c r="T919" s="56">
        <v>24</v>
      </c>
      <c r="U919" s="56">
        <v>3</v>
      </c>
    </row>
    <row r="920" spans="1:21" ht="14.25" customHeight="1" thickBot="1" x14ac:dyDescent="0.4">
      <c r="A920" s="58">
        <v>904</v>
      </c>
      <c r="B920" s="69" t="s">
        <v>79</v>
      </c>
      <c r="C920" s="69" t="s">
        <v>80</v>
      </c>
      <c r="D920" s="70" t="s">
        <v>253</v>
      </c>
      <c r="E920" s="69" t="s">
        <v>4786</v>
      </c>
      <c r="F920" s="69" t="s">
        <v>1433</v>
      </c>
      <c r="G920" s="69" t="s">
        <v>63</v>
      </c>
      <c r="H920" s="70">
        <v>2024</v>
      </c>
      <c r="I920" s="69" t="s">
        <v>63</v>
      </c>
      <c r="J920" s="69" t="s">
        <v>4787</v>
      </c>
      <c r="K920" s="71" t="s">
        <v>4788</v>
      </c>
      <c r="L920" s="71" t="s">
        <v>4789</v>
      </c>
      <c r="M920" s="71" t="s">
        <v>4790</v>
      </c>
      <c r="N920" s="69" t="s">
        <v>44</v>
      </c>
      <c r="O920" s="64">
        <v>1</v>
      </c>
      <c r="P920" s="72">
        <v>31000</v>
      </c>
      <c r="Q920" s="69" t="s">
        <v>4791</v>
      </c>
      <c r="R920" s="69"/>
      <c r="S920" s="121" t="s">
        <v>4460</v>
      </c>
      <c r="T920" s="56">
        <v>24</v>
      </c>
      <c r="U920" s="56">
        <v>3</v>
      </c>
    </row>
    <row r="921" spans="1:21" ht="14.25" customHeight="1" x14ac:dyDescent="0.35">
      <c r="A921" s="47">
        <v>905</v>
      </c>
      <c r="B921" s="69" t="s">
        <v>79</v>
      </c>
      <c r="C921" s="69" t="s">
        <v>80</v>
      </c>
      <c r="D921" s="70" t="s">
        <v>259</v>
      </c>
      <c r="E921" s="69" t="s">
        <v>4786</v>
      </c>
      <c r="F921" s="69" t="s">
        <v>1433</v>
      </c>
      <c r="G921" s="69" t="s">
        <v>63</v>
      </c>
      <c r="H921" s="70">
        <v>2024</v>
      </c>
      <c r="I921" s="69" t="s">
        <v>63</v>
      </c>
      <c r="J921" s="69" t="s">
        <v>4792</v>
      </c>
      <c r="K921" s="71" t="s">
        <v>4793</v>
      </c>
      <c r="L921" s="71" t="s">
        <v>4794</v>
      </c>
      <c r="M921" s="71" t="s">
        <v>4795</v>
      </c>
      <c r="N921" s="69" t="s">
        <v>44</v>
      </c>
      <c r="O921" s="64">
        <v>1</v>
      </c>
      <c r="P921" s="72">
        <v>31000</v>
      </c>
      <c r="Q921" s="69" t="s">
        <v>4796</v>
      </c>
      <c r="R921" s="69"/>
      <c r="S921" s="121" t="s">
        <v>4460</v>
      </c>
      <c r="T921" s="56">
        <v>24</v>
      </c>
      <c r="U921" s="56">
        <v>3</v>
      </c>
    </row>
    <row r="922" spans="1:21" ht="14.25" customHeight="1" thickBot="1" x14ac:dyDescent="0.4">
      <c r="A922" s="58">
        <v>906</v>
      </c>
      <c r="B922" s="69" t="s">
        <v>79</v>
      </c>
      <c r="C922" s="69" t="s">
        <v>80</v>
      </c>
      <c r="D922" s="70" t="s">
        <v>264</v>
      </c>
      <c r="E922" s="69" t="s">
        <v>4786</v>
      </c>
      <c r="F922" s="69" t="s">
        <v>1433</v>
      </c>
      <c r="G922" s="69" t="s">
        <v>63</v>
      </c>
      <c r="H922" s="70">
        <v>2024</v>
      </c>
      <c r="I922" s="69" t="s">
        <v>63</v>
      </c>
      <c r="J922" s="69" t="s">
        <v>4797</v>
      </c>
      <c r="K922" s="71" t="s">
        <v>4798</v>
      </c>
      <c r="L922" s="71" t="s">
        <v>4799</v>
      </c>
      <c r="M922" s="71" t="s">
        <v>4800</v>
      </c>
      <c r="N922" s="69" t="s">
        <v>44</v>
      </c>
      <c r="O922" s="64">
        <v>1</v>
      </c>
      <c r="P922" s="72">
        <v>31000</v>
      </c>
      <c r="Q922" s="69" t="s">
        <v>4801</v>
      </c>
      <c r="R922" s="69"/>
      <c r="S922" s="121" t="s">
        <v>4460</v>
      </c>
      <c r="T922" s="56">
        <v>24</v>
      </c>
      <c r="U922" s="56">
        <v>3</v>
      </c>
    </row>
    <row r="923" spans="1:21" ht="14.25" customHeight="1" x14ac:dyDescent="0.35">
      <c r="A923" s="47">
        <v>907</v>
      </c>
      <c r="B923" s="69" t="s">
        <v>79</v>
      </c>
      <c r="C923" s="69" t="s">
        <v>80</v>
      </c>
      <c r="D923" s="70" t="s">
        <v>269</v>
      </c>
      <c r="E923" s="69" t="s">
        <v>4786</v>
      </c>
      <c r="F923" s="69" t="s">
        <v>1433</v>
      </c>
      <c r="G923" s="69" t="s">
        <v>63</v>
      </c>
      <c r="H923" s="70">
        <v>2024</v>
      </c>
      <c r="I923" s="69" t="s">
        <v>63</v>
      </c>
      <c r="J923" s="69" t="s">
        <v>4802</v>
      </c>
      <c r="K923" s="71" t="s">
        <v>4803</v>
      </c>
      <c r="L923" s="71" t="s">
        <v>4804</v>
      </c>
      <c r="M923" s="71" t="s">
        <v>4805</v>
      </c>
      <c r="N923" s="69" t="s">
        <v>44</v>
      </c>
      <c r="O923" s="64">
        <v>1</v>
      </c>
      <c r="P923" s="72">
        <v>31000</v>
      </c>
      <c r="Q923" s="69" t="s">
        <v>4806</v>
      </c>
      <c r="R923" s="69"/>
      <c r="S923" s="121" t="s">
        <v>4460</v>
      </c>
      <c r="T923" s="56">
        <v>24</v>
      </c>
      <c r="U923" s="56">
        <v>3</v>
      </c>
    </row>
    <row r="924" spans="1:21" ht="14.25" customHeight="1" thickBot="1" x14ac:dyDescent="0.4">
      <c r="A924" s="58">
        <v>908</v>
      </c>
      <c r="B924" s="69" t="s">
        <v>79</v>
      </c>
      <c r="C924" s="69" t="s">
        <v>80</v>
      </c>
      <c r="D924" s="70" t="s">
        <v>274</v>
      </c>
      <c r="E924" s="69" t="s">
        <v>4786</v>
      </c>
      <c r="F924" s="69" t="s">
        <v>1433</v>
      </c>
      <c r="G924" s="69" t="s">
        <v>63</v>
      </c>
      <c r="H924" s="70">
        <v>2024</v>
      </c>
      <c r="I924" s="69" t="s">
        <v>63</v>
      </c>
      <c r="J924" s="69" t="s">
        <v>4807</v>
      </c>
      <c r="K924" s="71" t="s">
        <v>4808</v>
      </c>
      <c r="L924" s="71" t="s">
        <v>4809</v>
      </c>
      <c r="M924" s="71" t="s">
        <v>4810</v>
      </c>
      <c r="N924" s="69" t="s">
        <v>44</v>
      </c>
      <c r="O924" s="64">
        <v>1</v>
      </c>
      <c r="P924" s="72">
        <v>31000</v>
      </c>
      <c r="Q924" s="69" t="s">
        <v>4811</v>
      </c>
      <c r="R924" s="69"/>
      <c r="S924" s="121" t="s">
        <v>4460</v>
      </c>
      <c r="T924" s="56">
        <v>24</v>
      </c>
      <c r="U924" s="56">
        <v>3</v>
      </c>
    </row>
    <row r="925" spans="1:21" ht="14.25" customHeight="1" x14ac:dyDescent="0.35">
      <c r="A925" s="47">
        <v>909</v>
      </c>
      <c r="B925" s="69" t="s">
        <v>79</v>
      </c>
      <c r="C925" s="69" t="s">
        <v>80</v>
      </c>
      <c r="D925" s="70" t="s">
        <v>280</v>
      </c>
      <c r="E925" s="69" t="s">
        <v>4786</v>
      </c>
      <c r="F925" s="69" t="s">
        <v>1433</v>
      </c>
      <c r="G925" s="69" t="s">
        <v>63</v>
      </c>
      <c r="H925" s="70">
        <v>2024</v>
      </c>
      <c r="I925" s="69" t="s">
        <v>63</v>
      </c>
      <c r="J925" s="69" t="s">
        <v>4812</v>
      </c>
      <c r="K925" s="71" t="s">
        <v>4813</v>
      </c>
      <c r="L925" s="71" t="s">
        <v>4814</v>
      </c>
      <c r="M925" s="71" t="s">
        <v>4815</v>
      </c>
      <c r="N925" s="69" t="s">
        <v>44</v>
      </c>
      <c r="O925" s="64">
        <v>1</v>
      </c>
      <c r="P925" s="72">
        <v>31000</v>
      </c>
      <c r="Q925" s="69" t="s">
        <v>4816</v>
      </c>
      <c r="R925" s="69"/>
      <c r="S925" s="121" t="s">
        <v>4460</v>
      </c>
      <c r="T925" s="56">
        <v>24</v>
      </c>
      <c r="U925" s="56">
        <v>3</v>
      </c>
    </row>
    <row r="926" spans="1:21" ht="14.25" customHeight="1" thickBot="1" x14ac:dyDescent="0.4">
      <c r="A926" s="58">
        <v>910</v>
      </c>
      <c r="B926" s="69" t="s">
        <v>79</v>
      </c>
      <c r="C926" s="69" t="s">
        <v>80</v>
      </c>
      <c r="D926" s="70" t="s">
        <v>286</v>
      </c>
      <c r="E926" s="69" t="s">
        <v>4786</v>
      </c>
      <c r="F926" s="69">
        <v>160</v>
      </c>
      <c r="G926" s="69" t="s">
        <v>63</v>
      </c>
      <c r="H926" s="70">
        <v>2024</v>
      </c>
      <c r="I926" s="69" t="s">
        <v>63</v>
      </c>
      <c r="J926" s="69" t="s">
        <v>4817</v>
      </c>
      <c r="K926" s="71" t="s">
        <v>4818</v>
      </c>
      <c r="L926" s="71" t="s">
        <v>4819</v>
      </c>
      <c r="M926" s="71" t="s">
        <v>4820</v>
      </c>
      <c r="N926" s="69" t="s">
        <v>44</v>
      </c>
      <c r="O926" s="64">
        <v>1</v>
      </c>
      <c r="P926" s="72">
        <v>31000</v>
      </c>
      <c r="Q926" s="69" t="s">
        <v>4821</v>
      </c>
      <c r="R926" s="69"/>
      <c r="S926" s="121" t="s">
        <v>4460</v>
      </c>
      <c r="T926" s="56">
        <v>24</v>
      </c>
      <c r="U926" s="56">
        <v>3</v>
      </c>
    </row>
    <row r="927" spans="1:21" ht="14.25" customHeight="1" x14ac:dyDescent="0.35">
      <c r="A927" s="47">
        <v>911</v>
      </c>
      <c r="B927" s="69" t="s">
        <v>79</v>
      </c>
      <c r="C927" s="69" t="s">
        <v>80</v>
      </c>
      <c r="D927" s="186" t="s">
        <v>4822</v>
      </c>
      <c r="E927" s="69" t="s">
        <v>4823</v>
      </c>
      <c r="F927" s="69">
        <v>160</v>
      </c>
      <c r="G927" s="69" t="s">
        <v>63</v>
      </c>
      <c r="H927" s="70">
        <v>2025</v>
      </c>
      <c r="I927" s="69" t="s">
        <v>63</v>
      </c>
      <c r="J927" s="185" t="s">
        <v>4824</v>
      </c>
      <c r="K927" s="185" t="s">
        <v>4825</v>
      </c>
      <c r="L927" s="185" t="s">
        <v>4826</v>
      </c>
      <c r="M927" s="185" t="s">
        <v>4827</v>
      </c>
      <c r="N927" s="69" t="s">
        <v>44</v>
      </c>
      <c r="O927" s="64">
        <v>1</v>
      </c>
      <c r="P927" s="72">
        <v>31000</v>
      </c>
      <c r="Q927" s="69" t="s">
        <v>4828</v>
      </c>
      <c r="R927" s="69"/>
      <c r="S927" s="121" t="s">
        <v>4460</v>
      </c>
      <c r="T927" s="56">
        <v>24</v>
      </c>
      <c r="U927" s="56">
        <v>3</v>
      </c>
    </row>
    <row r="928" spans="1:21" ht="14.25" customHeight="1" thickBot="1" x14ac:dyDescent="0.4">
      <c r="A928" s="58">
        <v>912</v>
      </c>
      <c r="B928" s="69" t="s">
        <v>79</v>
      </c>
      <c r="C928" s="69" t="s">
        <v>80</v>
      </c>
      <c r="D928" s="186" t="s">
        <v>298</v>
      </c>
      <c r="E928" s="69" t="s">
        <v>4823</v>
      </c>
      <c r="F928" s="69">
        <v>160</v>
      </c>
      <c r="G928" s="69" t="s">
        <v>63</v>
      </c>
      <c r="H928" s="70">
        <v>2025</v>
      </c>
      <c r="I928" s="69" t="s">
        <v>63</v>
      </c>
      <c r="J928" s="185" t="s">
        <v>4829</v>
      </c>
      <c r="K928" s="185" t="s">
        <v>4830</v>
      </c>
      <c r="L928" s="185" t="s">
        <v>4831</v>
      </c>
      <c r="M928" s="185" t="s">
        <v>4832</v>
      </c>
      <c r="N928" s="69" t="s">
        <v>44</v>
      </c>
      <c r="O928" s="64">
        <v>1</v>
      </c>
      <c r="P928" s="72">
        <v>31000</v>
      </c>
      <c r="Q928" s="69" t="s">
        <v>4828</v>
      </c>
      <c r="R928" s="69"/>
      <c r="S928" s="121" t="s">
        <v>4460</v>
      </c>
      <c r="T928" s="56">
        <v>24</v>
      </c>
      <c r="U928" s="56">
        <v>3</v>
      </c>
    </row>
    <row r="929" spans="1:23" ht="14.25" customHeight="1" x14ac:dyDescent="0.35">
      <c r="A929" s="47">
        <v>913</v>
      </c>
      <c r="B929" s="69" t="s">
        <v>79</v>
      </c>
      <c r="C929" s="69" t="s">
        <v>80</v>
      </c>
      <c r="D929" s="186" t="s">
        <v>304</v>
      </c>
      <c r="E929" s="69" t="s">
        <v>4823</v>
      </c>
      <c r="F929" s="69">
        <v>160</v>
      </c>
      <c r="G929" s="69" t="s">
        <v>63</v>
      </c>
      <c r="H929" s="70">
        <v>2025</v>
      </c>
      <c r="I929" s="69" t="s">
        <v>63</v>
      </c>
      <c r="J929" s="185" t="s">
        <v>4833</v>
      </c>
      <c r="K929" s="185" t="s">
        <v>4834</v>
      </c>
      <c r="L929" s="185" t="s">
        <v>4835</v>
      </c>
      <c r="M929" s="185" t="s">
        <v>4836</v>
      </c>
      <c r="N929" s="69" t="s">
        <v>44</v>
      </c>
      <c r="O929" s="64">
        <v>1</v>
      </c>
      <c r="P929" s="72">
        <v>31000</v>
      </c>
      <c r="Q929" s="69" t="s">
        <v>4828</v>
      </c>
      <c r="R929" s="69"/>
      <c r="S929" s="121" t="s">
        <v>4460</v>
      </c>
      <c r="T929" s="56">
        <v>24</v>
      </c>
      <c r="U929" s="56">
        <v>3</v>
      </c>
    </row>
    <row r="930" spans="1:23" ht="14.25" customHeight="1" thickBot="1" x14ac:dyDescent="0.4">
      <c r="A930" s="58">
        <v>914</v>
      </c>
      <c r="B930" s="69" t="s">
        <v>79</v>
      </c>
      <c r="C930" s="69" t="s">
        <v>80</v>
      </c>
      <c r="D930" s="186" t="s">
        <v>4837</v>
      </c>
      <c r="E930" s="69" t="s">
        <v>4838</v>
      </c>
      <c r="F930" s="69"/>
      <c r="G930" s="69" t="s">
        <v>63</v>
      </c>
      <c r="H930" s="70">
        <v>2025</v>
      </c>
      <c r="I930" s="69" t="s">
        <v>63</v>
      </c>
      <c r="J930" s="185" t="s">
        <v>4839</v>
      </c>
      <c r="K930" s="185" t="s">
        <v>4840</v>
      </c>
      <c r="L930" s="185" t="s">
        <v>4841</v>
      </c>
      <c r="M930" s="185" t="s">
        <v>4842</v>
      </c>
      <c r="N930" s="69" t="s">
        <v>44</v>
      </c>
      <c r="O930" s="64">
        <v>1</v>
      </c>
      <c r="P930" s="72">
        <v>38911</v>
      </c>
      <c r="Q930" s="69" t="s">
        <v>4843</v>
      </c>
      <c r="R930" s="69"/>
      <c r="S930" s="121" t="s">
        <v>4460</v>
      </c>
      <c r="T930" s="56">
        <v>24</v>
      </c>
      <c r="U930" s="56">
        <v>3</v>
      </c>
    </row>
    <row r="931" spans="1:23" ht="14.25" customHeight="1" x14ac:dyDescent="0.35">
      <c r="A931" s="47">
        <v>915</v>
      </c>
      <c r="B931" s="69" t="s">
        <v>79</v>
      </c>
      <c r="C931" s="69" t="s">
        <v>80</v>
      </c>
      <c r="D931" s="70" t="s">
        <v>4844</v>
      </c>
      <c r="E931" s="69" t="s">
        <v>4838</v>
      </c>
      <c r="F931" s="69"/>
      <c r="G931" s="69" t="s">
        <v>63</v>
      </c>
      <c r="H931" s="70">
        <v>2025</v>
      </c>
      <c r="I931" s="69" t="s">
        <v>63</v>
      </c>
      <c r="J931" s="185" t="s">
        <v>4845</v>
      </c>
      <c r="K931" s="185" t="s">
        <v>4846</v>
      </c>
      <c r="L931" s="185" t="s">
        <v>4847</v>
      </c>
      <c r="M931" s="185" t="s">
        <v>4848</v>
      </c>
      <c r="N931" s="69" t="s">
        <v>44</v>
      </c>
      <c r="O931" s="64">
        <v>1</v>
      </c>
      <c r="P931" s="72">
        <v>38911</v>
      </c>
      <c r="Q931" s="69" t="s">
        <v>4843</v>
      </c>
      <c r="R931" s="69"/>
      <c r="S931" s="121" t="s">
        <v>4460</v>
      </c>
      <c r="T931" s="56">
        <v>24</v>
      </c>
      <c r="U931" s="56">
        <v>3</v>
      </c>
    </row>
    <row r="932" spans="1:23" ht="14.25" customHeight="1" thickBot="1" x14ac:dyDescent="0.4">
      <c r="A932" s="58">
        <v>916</v>
      </c>
      <c r="B932" s="69" t="s">
        <v>79</v>
      </c>
      <c r="C932" s="69" t="s">
        <v>80</v>
      </c>
      <c r="D932" s="70" t="s">
        <v>325</v>
      </c>
      <c r="E932" s="69" t="s">
        <v>4838</v>
      </c>
      <c r="F932" s="69"/>
      <c r="G932" s="69" t="s">
        <v>63</v>
      </c>
      <c r="H932" s="70">
        <v>2025</v>
      </c>
      <c r="I932" s="69" t="s">
        <v>63</v>
      </c>
      <c r="J932" s="142" t="s">
        <v>4849</v>
      </c>
      <c r="K932" s="185" t="s">
        <v>4850</v>
      </c>
      <c r="L932" s="185" t="s">
        <v>4851</v>
      </c>
      <c r="M932" s="185" t="s">
        <v>4852</v>
      </c>
      <c r="N932" s="69" t="s">
        <v>44</v>
      </c>
      <c r="O932" s="64">
        <v>1</v>
      </c>
      <c r="P932" s="72">
        <v>38991.001000000004</v>
      </c>
      <c r="Q932" s="69" t="s">
        <v>4853</v>
      </c>
      <c r="R932" s="69"/>
      <c r="S932" s="121" t="s">
        <v>4460</v>
      </c>
      <c r="T932" s="56">
        <v>24</v>
      </c>
      <c r="U932" s="56">
        <v>3</v>
      </c>
    </row>
    <row r="933" spans="1:23" ht="14.25" customHeight="1" x14ac:dyDescent="0.35">
      <c r="A933" s="47">
        <v>917</v>
      </c>
      <c r="B933" s="69" t="s">
        <v>2244</v>
      </c>
      <c r="C933" s="69" t="s">
        <v>2245</v>
      </c>
      <c r="D933" s="70" t="s">
        <v>51</v>
      </c>
      <c r="E933" s="69" t="s">
        <v>2246</v>
      </c>
      <c r="F933" s="69" t="s">
        <v>63</v>
      </c>
      <c r="G933" s="69" t="s">
        <v>415</v>
      </c>
      <c r="H933" s="70">
        <v>2019</v>
      </c>
      <c r="I933" s="69" t="s">
        <v>63</v>
      </c>
      <c r="J933" s="69" t="s">
        <v>4854</v>
      </c>
      <c r="K933" s="71" t="s">
        <v>4855</v>
      </c>
      <c r="L933" s="71" t="s">
        <v>4856</v>
      </c>
      <c r="M933" s="71" t="s">
        <v>4857</v>
      </c>
      <c r="N933" s="69" t="s">
        <v>57</v>
      </c>
      <c r="O933" s="64">
        <v>1</v>
      </c>
      <c r="P933" s="72">
        <v>33000</v>
      </c>
      <c r="Q933" s="69" t="s">
        <v>4858</v>
      </c>
      <c r="R933" s="69"/>
      <c r="S933" s="121" t="s">
        <v>4460</v>
      </c>
      <c r="T933" s="56">
        <v>24</v>
      </c>
      <c r="U933" s="56">
        <v>3</v>
      </c>
    </row>
    <row r="934" spans="1:23" ht="14.25" customHeight="1" thickBot="1" x14ac:dyDescent="0.4">
      <c r="A934" s="58">
        <v>918</v>
      </c>
      <c r="B934" s="69" t="s">
        <v>2244</v>
      </c>
      <c r="C934" s="69" t="s">
        <v>2245</v>
      </c>
      <c r="D934" s="70" t="s">
        <v>59</v>
      </c>
      <c r="E934" s="69" t="s">
        <v>4859</v>
      </c>
      <c r="F934" s="69" t="s">
        <v>88</v>
      </c>
      <c r="G934" s="69" t="s">
        <v>2954</v>
      </c>
      <c r="H934" s="70">
        <v>2020</v>
      </c>
      <c r="I934" s="69" t="s">
        <v>63</v>
      </c>
      <c r="J934" s="69" t="s">
        <v>4860</v>
      </c>
      <c r="K934" s="71" t="s">
        <v>4861</v>
      </c>
      <c r="L934" s="71" t="s">
        <v>4862</v>
      </c>
      <c r="M934" s="71" t="s">
        <v>4863</v>
      </c>
      <c r="N934" s="69" t="s">
        <v>57</v>
      </c>
      <c r="O934" s="64">
        <v>1</v>
      </c>
      <c r="P934" s="72">
        <v>21300</v>
      </c>
      <c r="Q934" s="69" t="s">
        <v>4864</v>
      </c>
      <c r="R934" s="69"/>
      <c r="S934" s="121" t="s">
        <v>4460</v>
      </c>
      <c r="T934" s="56">
        <v>24</v>
      </c>
      <c r="U934" s="56">
        <v>3</v>
      </c>
    </row>
    <row r="935" spans="1:23" ht="14.25" customHeight="1" x14ac:dyDescent="0.35">
      <c r="A935" s="47">
        <v>919</v>
      </c>
      <c r="B935" s="69" t="s">
        <v>2244</v>
      </c>
      <c r="C935" s="69" t="s">
        <v>2245</v>
      </c>
      <c r="D935" s="70" t="s">
        <v>97</v>
      </c>
      <c r="E935" s="69" t="s">
        <v>4859</v>
      </c>
      <c r="F935" s="69" t="s">
        <v>88</v>
      </c>
      <c r="G935" s="69" t="s">
        <v>2954</v>
      </c>
      <c r="H935" s="70">
        <v>2020</v>
      </c>
      <c r="I935" s="69" t="s">
        <v>63</v>
      </c>
      <c r="J935" s="69" t="s">
        <v>4865</v>
      </c>
      <c r="K935" s="71" t="s">
        <v>4866</v>
      </c>
      <c r="L935" s="71" t="s">
        <v>4867</v>
      </c>
      <c r="M935" s="71" t="s">
        <v>4868</v>
      </c>
      <c r="N935" s="69" t="s">
        <v>57</v>
      </c>
      <c r="O935" s="64">
        <v>1</v>
      </c>
      <c r="P935" s="72">
        <v>21300</v>
      </c>
      <c r="Q935" s="69" t="s">
        <v>4869</v>
      </c>
      <c r="R935" s="69"/>
      <c r="S935" s="121" t="s">
        <v>4460</v>
      </c>
      <c r="T935" s="56">
        <v>24</v>
      </c>
      <c r="U935" s="56">
        <v>3</v>
      </c>
    </row>
    <row r="936" spans="1:23" ht="14.25" customHeight="1" thickBot="1" x14ac:dyDescent="0.4">
      <c r="A936" s="58">
        <v>920</v>
      </c>
      <c r="B936" s="69" t="s">
        <v>2244</v>
      </c>
      <c r="C936" s="69" t="s">
        <v>2245</v>
      </c>
      <c r="D936" s="70" t="s">
        <v>101</v>
      </c>
      <c r="E936" s="69" t="s">
        <v>4859</v>
      </c>
      <c r="F936" s="69" t="s">
        <v>88</v>
      </c>
      <c r="G936" s="69" t="s">
        <v>2954</v>
      </c>
      <c r="H936" s="70">
        <v>2020</v>
      </c>
      <c r="I936" s="69" t="s">
        <v>63</v>
      </c>
      <c r="J936" s="69" t="s">
        <v>4870</v>
      </c>
      <c r="K936" s="71" t="s">
        <v>4871</v>
      </c>
      <c r="L936" s="71" t="s">
        <v>4872</v>
      </c>
      <c r="M936" s="71" t="s">
        <v>4873</v>
      </c>
      <c r="N936" s="69" t="s">
        <v>57</v>
      </c>
      <c r="O936" s="64">
        <v>1</v>
      </c>
      <c r="P936" s="72">
        <v>21300</v>
      </c>
      <c r="Q936" s="69" t="s">
        <v>4874</v>
      </c>
      <c r="R936" s="69"/>
      <c r="S936" s="121" t="s">
        <v>4460</v>
      </c>
      <c r="T936" s="56">
        <v>24</v>
      </c>
      <c r="U936" s="56">
        <v>3</v>
      </c>
    </row>
    <row r="937" spans="1:23" ht="14.25" customHeight="1" x14ac:dyDescent="0.35">
      <c r="A937" s="47">
        <v>921</v>
      </c>
      <c r="B937" s="69" t="s">
        <v>2244</v>
      </c>
      <c r="C937" s="69" t="s">
        <v>2245</v>
      </c>
      <c r="D937" s="70" t="s">
        <v>107</v>
      </c>
      <c r="E937" s="69" t="s">
        <v>4859</v>
      </c>
      <c r="F937" s="69" t="s">
        <v>88</v>
      </c>
      <c r="G937" s="69" t="s">
        <v>2954</v>
      </c>
      <c r="H937" s="70">
        <v>2020</v>
      </c>
      <c r="I937" s="69" t="s">
        <v>63</v>
      </c>
      <c r="J937" s="69" t="s">
        <v>4875</v>
      </c>
      <c r="K937" s="71" t="s">
        <v>4876</v>
      </c>
      <c r="L937" s="71" t="s">
        <v>4877</v>
      </c>
      <c r="M937" s="71" t="s">
        <v>4878</v>
      </c>
      <c r="N937" s="69" t="s">
        <v>57</v>
      </c>
      <c r="O937" s="64">
        <v>1</v>
      </c>
      <c r="P937" s="72">
        <v>21300</v>
      </c>
      <c r="Q937" s="69" t="s">
        <v>4879</v>
      </c>
      <c r="R937" s="69"/>
      <c r="S937" s="121" t="s">
        <v>4460</v>
      </c>
      <c r="T937" s="56">
        <v>24</v>
      </c>
      <c r="U937" s="56">
        <v>3</v>
      </c>
    </row>
    <row r="938" spans="1:23" ht="14.25" customHeight="1" thickBot="1" x14ac:dyDescent="0.4">
      <c r="A938" s="58">
        <v>922</v>
      </c>
      <c r="B938" s="178" t="s">
        <v>2244</v>
      </c>
      <c r="C938" s="178" t="s">
        <v>2245</v>
      </c>
      <c r="D938" s="179" t="s">
        <v>116</v>
      </c>
      <c r="E938" s="178" t="s">
        <v>4859</v>
      </c>
      <c r="F938" s="178" t="s">
        <v>88</v>
      </c>
      <c r="G938" s="178" t="s">
        <v>2954</v>
      </c>
      <c r="H938" s="179">
        <v>2020</v>
      </c>
      <c r="I938" s="178" t="s">
        <v>63</v>
      </c>
      <c r="J938" s="178" t="s">
        <v>4776</v>
      </c>
      <c r="K938" s="180" t="s">
        <v>4777</v>
      </c>
      <c r="L938" s="180" t="s">
        <v>4778</v>
      </c>
      <c r="M938" s="185" t="s">
        <v>4779</v>
      </c>
      <c r="N938" s="178" t="s">
        <v>57</v>
      </c>
      <c r="O938" s="64">
        <v>1</v>
      </c>
      <c r="P938" s="181">
        <v>21300</v>
      </c>
      <c r="Q938" s="178" t="s">
        <v>4880</v>
      </c>
      <c r="R938" s="178"/>
      <c r="S938" s="182" t="s">
        <v>4460</v>
      </c>
      <c r="T938" s="183">
        <v>24</v>
      </c>
      <c r="U938" s="183">
        <v>3</v>
      </c>
      <c r="V938" s="184"/>
      <c r="W938" s="184"/>
    </row>
    <row r="939" spans="1:23" ht="14.25" customHeight="1" x14ac:dyDescent="0.35">
      <c r="A939" s="47">
        <v>923</v>
      </c>
      <c r="B939" s="69" t="s">
        <v>58</v>
      </c>
      <c r="C939" s="69" t="s">
        <v>50</v>
      </c>
      <c r="D939" s="70" t="s">
        <v>97</v>
      </c>
      <c r="E939" s="69" t="s">
        <v>4881</v>
      </c>
      <c r="F939" s="69" t="s">
        <v>4882</v>
      </c>
      <c r="G939" s="69" t="s">
        <v>140</v>
      </c>
      <c r="H939" s="70">
        <v>2015</v>
      </c>
      <c r="I939" s="69"/>
      <c r="J939" s="69" t="s">
        <v>4883</v>
      </c>
      <c r="K939" s="71" t="s">
        <v>4884</v>
      </c>
      <c r="L939" s="71" t="s">
        <v>4885</v>
      </c>
      <c r="M939" s="71" t="s">
        <v>4886</v>
      </c>
      <c r="N939" s="69" t="s">
        <v>57</v>
      </c>
      <c r="O939" s="64">
        <v>1</v>
      </c>
      <c r="P939" s="72">
        <v>475990</v>
      </c>
      <c r="Q939" s="69" t="s">
        <v>4887</v>
      </c>
      <c r="R939" s="69"/>
      <c r="S939" s="68" t="s">
        <v>561</v>
      </c>
      <c r="T939" s="56">
        <v>25</v>
      </c>
      <c r="U939" s="56">
        <v>4</v>
      </c>
    </row>
    <row r="940" spans="1:23" ht="14.25" customHeight="1" thickBot="1" x14ac:dyDescent="0.4">
      <c r="A940" s="58">
        <v>924</v>
      </c>
      <c r="B940" s="69" t="s">
        <v>4216</v>
      </c>
      <c r="C940" s="69" t="s">
        <v>4217</v>
      </c>
      <c r="D940" s="70" t="s">
        <v>51</v>
      </c>
      <c r="E940" s="69" t="s">
        <v>4888</v>
      </c>
      <c r="F940" s="69" t="s">
        <v>2691</v>
      </c>
      <c r="G940" s="69" t="s">
        <v>54</v>
      </c>
      <c r="H940" s="70">
        <v>2010</v>
      </c>
      <c r="I940" s="69"/>
      <c r="J940" s="69" t="s">
        <v>4889</v>
      </c>
      <c r="K940" s="71" t="s">
        <v>4890</v>
      </c>
      <c r="L940" s="71" t="s">
        <v>4891</v>
      </c>
      <c r="M940" s="71" t="s">
        <v>4892</v>
      </c>
      <c r="N940" s="69" t="s">
        <v>57</v>
      </c>
      <c r="O940" s="64">
        <v>1</v>
      </c>
      <c r="P940" s="72">
        <v>173600</v>
      </c>
      <c r="Q940" s="69"/>
      <c r="R940" s="69"/>
      <c r="S940" s="68" t="s">
        <v>561</v>
      </c>
      <c r="T940" s="56">
        <v>25</v>
      </c>
      <c r="U940" s="56">
        <v>4</v>
      </c>
    </row>
    <row r="941" spans="1:23" ht="14.25" customHeight="1" x14ac:dyDescent="0.35">
      <c r="A941" s="47">
        <v>925</v>
      </c>
      <c r="B941" s="69" t="s">
        <v>1745</v>
      </c>
      <c r="C941" s="69" t="s">
        <v>1746</v>
      </c>
      <c r="D941" s="70" t="s">
        <v>51</v>
      </c>
      <c r="E941" s="69" t="s">
        <v>4893</v>
      </c>
      <c r="F941" s="69" t="s">
        <v>1595</v>
      </c>
      <c r="G941" s="69" t="s">
        <v>140</v>
      </c>
      <c r="H941" s="70">
        <v>2015</v>
      </c>
      <c r="I941" s="69"/>
      <c r="J941" s="69" t="s">
        <v>4894</v>
      </c>
      <c r="K941" s="71" t="s">
        <v>4895</v>
      </c>
      <c r="L941" s="71" t="s">
        <v>4896</v>
      </c>
      <c r="M941" s="71" t="s">
        <v>4897</v>
      </c>
      <c r="N941" s="69" t="s">
        <v>57</v>
      </c>
      <c r="O941" s="64">
        <v>1</v>
      </c>
      <c r="P941" s="72">
        <v>307460</v>
      </c>
      <c r="Q941" s="69" t="s">
        <v>4898</v>
      </c>
      <c r="R941" s="69"/>
      <c r="S941" s="68" t="s">
        <v>561</v>
      </c>
      <c r="T941" s="56">
        <v>25</v>
      </c>
      <c r="U941" s="56">
        <v>4</v>
      </c>
    </row>
    <row r="942" spans="1:23" ht="14.25" customHeight="1" thickBot="1" x14ac:dyDescent="0.4">
      <c r="A942" s="58">
        <v>926</v>
      </c>
      <c r="B942" s="69" t="s">
        <v>1745</v>
      </c>
      <c r="C942" s="69" t="s">
        <v>1746</v>
      </c>
      <c r="D942" s="70" t="s">
        <v>59</v>
      </c>
      <c r="E942" s="69" t="s">
        <v>1755</v>
      </c>
      <c r="F942" s="69" t="s">
        <v>2691</v>
      </c>
      <c r="G942" s="69" t="s">
        <v>140</v>
      </c>
      <c r="H942" s="70">
        <v>2016</v>
      </c>
      <c r="I942" s="69"/>
      <c r="J942" s="69" t="s">
        <v>4899</v>
      </c>
      <c r="K942" s="71" t="s">
        <v>4900</v>
      </c>
      <c r="L942" s="71" t="s">
        <v>4901</v>
      </c>
      <c r="M942" s="71" t="s">
        <v>4902</v>
      </c>
      <c r="N942" s="69" t="s">
        <v>57</v>
      </c>
      <c r="O942" s="64">
        <v>1</v>
      </c>
      <c r="P942" s="72">
        <v>185080</v>
      </c>
      <c r="Q942" s="69" t="s">
        <v>4903</v>
      </c>
      <c r="R942" s="69"/>
      <c r="S942" s="68" t="s">
        <v>561</v>
      </c>
      <c r="T942" s="56">
        <v>25</v>
      </c>
      <c r="U942" s="56">
        <v>4</v>
      </c>
    </row>
    <row r="943" spans="1:23" ht="14.25" customHeight="1" x14ac:dyDescent="0.35">
      <c r="A943" s="47">
        <v>927</v>
      </c>
      <c r="B943" s="69" t="s">
        <v>1745</v>
      </c>
      <c r="C943" s="69" t="s">
        <v>1746</v>
      </c>
      <c r="D943" s="70" t="s">
        <v>97</v>
      </c>
      <c r="E943" s="69" t="s">
        <v>4904</v>
      </c>
      <c r="F943" s="69" t="s">
        <v>4905</v>
      </c>
      <c r="G943" s="69" t="s">
        <v>140</v>
      </c>
      <c r="H943" s="70">
        <v>2016</v>
      </c>
      <c r="I943" s="69"/>
      <c r="J943" s="69" t="s">
        <v>4906</v>
      </c>
      <c r="K943" s="71" t="s">
        <v>4907</v>
      </c>
      <c r="L943" s="71" t="s">
        <v>4908</v>
      </c>
      <c r="M943" s="71" t="s">
        <v>4909</v>
      </c>
      <c r="N943" s="69" t="s">
        <v>57</v>
      </c>
      <c r="O943" s="64">
        <v>1</v>
      </c>
      <c r="P943" s="72">
        <v>185080</v>
      </c>
      <c r="Q943" s="69" t="s">
        <v>4910</v>
      </c>
      <c r="R943" s="69"/>
      <c r="S943" s="68" t="s">
        <v>561</v>
      </c>
      <c r="T943" s="56">
        <v>25</v>
      </c>
      <c r="U943" s="56">
        <v>4</v>
      </c>
    </row>
    <row r="944" spans="1:23" ht="14.25" customHeight="1" thickBot="1" x14ac:dyDescent="0.4">
      <c r="A944" s="58">
        <v>928</v>
      </c>
      <c r="B944" s="69" t="s">
        <v>1745</v>
      </c>
      <c r="C944" s="69" t="s">
        <v>1746</v>
      </c>
      <c r="D944" s="70" t="s">
        <v>112</v>
      </c>
      <c r="E944" s="69" t="s">
        <v>4904</v>
      </c>
      <c r="F944" s="69" t="s">
        <v>4905</v>
      </c>
      <c r="G944" s="69" t="s">
        <v>140</v>
      </c>
      <c r="H944" s="70">
        <v>2016</v>
      </c>
      <c r="I944" s="69"/>
      <c r="J944" s="69" t="s">
        <v>4911</v>
      </c>
      <c r="K944" s="71" t="s">
        <v>4912</v>
      </c>
      <c r="L944" s="71" t="s">
        <v>4913</v>
      </c>
      <c r="M944" s="71" t="s">
        <v>4914</v>
      </c>
      <c r="N944" s="69" t="s">
        <v>57</v>
      </c>
      <c r="O944" s="64">
        <v>1</v>
      </c>
      <c r="P944" s="72">
        <v>185080</v>
      </c>
      <c r="Q944" s="69" t="s">
        <v>4915</v>
      </c>
      <c r="R944" s="69"/>
      <c r="S944" s="68" t="s">
        <v>561</v>
      </c>
      <c r="T944" s="56">
        <v>25</v>
      </c>
      <c r="U944" s="56">
        <v>4</v>
      </c>
    </row>
    <row r="945" spans="1:21" ht="14.25" customHeight="1" x14ac:dyDescent="0.35">
      <c r="A945" s="47">
        <v>929</v>
      </c>
      <c r="B945" s="69" t="s">
        <v>1745</v>
      </c>
      <c r="C945" s="69" t="s">
        <v>1746</v>
      </c>
      <c r="D945" s="70" t="s">
        <v>841</v>
      </c>
      <c r="E945" s="69" t="s">
        <v>1755</v>
      </c>
      <c r="F945" s="69" t="s">
        <v>4916</v>
      </c>
      <c r="G945" s="69" t="s">
        <v>140</v>
      </c>
      <c r="H945" s="70">
        <v>2016</v>
      </c>
      <c r="I945" s="69"/>
      <c r="J945" s="69" t="s">
        <v>4917</v>
      </c>
      <c r="K945" s="71" t="s">
        <v>4918</v>
      </c>
      <c r="L945" s="71" t="s">
        <v>4919</v>
      </c>
      <c r="M945" s="71" t="s">
        <v>4920</v>
      </c>
      <c r="N945" s="69" t="s">
        <v>57</v>
      </c>
      <c r="O945" s="64">
        <v>1</v>
      </c>
      <c r="P945" s="72">
        <v>185080</v>
      </c>
      <c r="Q945" s="69" t="s">
        <v>1793</v>
      </c>
      <c r="R945" s="69"/>
      <c r="S945" s="68" t="s">
        <v>561</v>
      </c>
      <c r="T945" s="56">
        <v>25</v>
      </c>
      <c r="U945" s="56">
        <v>4</v>
      </c>
    </row>
    <row r="946" spans="1:21" ht="14.25" customHeight="1" thickBot="1" x14ac:dyDescent="0.4">
      <c r="A946" s="58">
        <v>930</v>
      </c>
      <c r="B946" s="69" t="s">
        <v>1745</v>
      </c>
      <c r="C946" s="69" t="s">
        <v>1746</v>
      </c>
      <c r="D946" s="70" t="s">
        <v>126</v>
      </c>
      <c r="E946" s="69" t="s">
        <v>4921</v>
      </c>
      <c r="F946" s="69" t="s">
        <v>4346</v>
      </c>
      <c r="G946" s="69" t="s">
        <v>140</v>
      </c>
      <c r="H946" s="70">
        <v>2017</v>
      </c>
      <c r="I946" s="69" t="s">
        <v>63</v>
      </c>
      <c r="J946" s="69" t="s">
        <v>4922</v>
      </c>
      <c r="K946" s="71" t="s">
        <v>4923</v>
      </c>
      <c r="L946" s="71" t="s">
        <v>4924</v>
      </c>
      <c r="M946" s="71" t="s">
        <v>4925</v>
      </c>
      <c r="N946" s="69" t="s">
        <v>57</v>
      </c>
      <c r="O946" s="64">
        <v>1</v>
      </c>
      <c r="P946" s="72">
        <v>464290</v>
      </c>
      <c r="Q946" s="69" t="s">
        <v>4926</v>
      </c>
      <c r="R946" s="69"/>
      <c r="S946" s="68" t="s">
        <v>561</v>
      </c>
      <c r="T946" s="56">
        <v>25</v>
      </c>
      <c r="U946" s="56">
        <v>4</v>
      </c>
    </row>
    <row r="947" spans="1:21" ht="14.25" customHeight="1" x14ac:dyDescent="0.35">
      <c r="A947" s="47">
        <v>931</v>
      </c>
      <c r="B947" s="69" t="s">
        <v>1806</v>
      </c>
      <c r="C947" s="69" t="s">
        <v>1807</v>
      </c>
      <c r="D947" s="70" t="s">
        <v>51</v>
      </c>
      <c r="E947" s="69" t="s">
        <v>2558</v>
      </c>
      <c r="F947" s="69" t="s">
        <v>2559</v>
      </c>
      <c r="G947" s="69" t="s">
        <v>54</v>
      </c>
      <c r="H947" s="70">
        <v>2011</v>
      </c>
      <c r="I947" s="69" t="s">
        <v>63</v>
      </c>
      <c r="J947" s="69" t="s">
        <v>4927</v>
      </c>
      <c r="K947" s="71" t="s">
        <v>4928</v>
      </c>
      <c r="L947" s="71" t="s">
        <v>4929</v>
      </c>
      <c r="M947" s="71" t="s">
        <v>4930</v>
      </c>
      <c r="N947" s="69" t="s">
        <v>57</v>
      </c>
      <c r="O947" s="64">
        <v>1</v>
      </c>
      <c r="P947" s="72">
        <v>228815</v>
      </c>
      <c r="Q947" s="69" t="s">
        <v>4931</v>
      </c>
      <c r="R947" s="69"/>
      <c r="S947" s="68" t="s">
        <v>561</v>
      </c>
      <c r="T947" s="56">
        <v>25</v>
      </c>
      <c r="U947" s="56">
        <v>4</v>
      </c>
    </row>
    <row r="948" spans="1:21" ht="14.25" customHeight="1" thickBot="1" x14ac:dyDescent="0.4">
      <c r="A948" s="58">
        <v>932</v>
      </c>
      <c r="B948" s="69" t="s">
        <v>1806</v>
      </c>
      <c r="C948" s="69" t="s">
        <v>1807</v>
      </c>
      <c r="D948" s="70" t="s">
        <v>59</v>
      </c>
      <c r="E948" s="69" t="s">
        <v>4932</v>
      </c>
      <c r="F948" s="69" t="s">
        <v>2559</v>
      </c>
      <c r="G948" s="69" t="s">
        <v>54</v>
      </c>
      <c r="H948" s="70">
        <v>2012</v>
      </c>
      <c r="I948" s="69" t="s">
        <v>63</v>
      </c>
      <c r="J948" s="69" t="s">
        <v>4933</v>
      </c>
      <c r="K948" s="71" t="s">
        <v>4934</v>
      </c>
      <c r="L948" s="71" t="s">
        <v>4935</v>
      </c>
      <c r="M948" s="71" t="s">
        <v>4936</v>
      </c>
      <c r="N948" s="69" t="s">
        <v>57</v>
      </c>
      <c r="O948" s="64">
        <v>1</v>
      </c>
      <c r="P948" s="72">
        <v>301600</v>
      </c>
      <c r="Q948" s="69" t="s">
        <v>4937</v>
      </c>
      <c r="R948" s="69"/>
      <c r="S948" s="68" t="s">
        <v>561</v>
      </c>
      <c r="T948" s="56">
        <v>25</v>
      </c>
      <c r="U948" s="56">
        <v>4</v>
      </c>
    </row>
    <row r="949" spans="1:21" ht="14.25" customHeight="1" x14ac:dyDescent="0.35">
      <c r="A949" s="47">
        <v>933</v>
      </c>
      <c r="B949" s="69" t="s">
        <v>1806</v>
      </c>
      <c r="C949" s="69" t="s">
        <v>1807</v>
      </c>
      <c r="D949" s="70" t="s">
        <v>101</v>
      </c>
      <c r="E949" s="69" t="s">
        <v>4938</v>
      </c>
      <c r="F949" s="69" t="s">
        <v>2923</v>
      </c>
      <c r="G949" s="69" t="s">
        <v>54</v>
      </c>
      <c r="H949" s="70">
        <v>2006</v>
      </c>
      <c r="I949" s="69" t="s">
        <v>63</v>
      </c>
      <c r="J949" s="69" t="s">
        <v>4939</v>
      </c>
      <c r="K949" s="71" t="s">
        <v>4940</v>
      </c>
      <c r="L949" s="71" t="s">
        <v>4941</v>
      </c>
      <c r="M949" s="71" t="s">
        <v>4942</v>
      </c>
      <c r="N949" s="69" t="s">
        <v>57</v>
      </c>
      <c r="O949" s="64">
        <v>1</v>
      </c>
      <c r="P949" s="72">
        <v>129000</v>
      </c>
      <c r="Q949" s="69" t="s">
        <v>4943</v>
      </c>
      <c r="R949" s="69"/>
      <c r="S949" s="68" t="s">
        <v>561</v>
      </c>
      <c r="T949" s="56">
        <v>25</v>
      </c>
      <c r="U949" s="56">
        <v>4</v>
      </c>
    </row>
    <row r="950" spans="1:21" ht="14.25" customHeight="1" thickBot="1" x14ac:dyDescent="0.4">
      <c r="A950" s="58">
        <v>934</v>
      </c>
      <c r="B950" s="69" t="s">
        <v>1806</v>
      </c>
      <c r="C950" s="69" t="s">
        <v>1807</v>
      </c>
      <c r="D950" s="70" t="s">
        <v>112</v>
      </c>
      <c r="E950" s="69" t="s">
        <v>4944</v>
      </c>
      <c r="F950" s="69" t="s">
        <v>2559</v>
      </c>
      <c r="G950" s="69" t="s">
        <v>54</v>
      </c>
      <c r="H950" s="70">
        <v>2013</v>
      </c>
      <c r="I950" s="69" t="s">
        <v>63</v>
      </c>
      <c r="J950" s="69" t="s">
        <v>4945</v>
      </c>
      <c r="K950" s="71" t="s">
        <v>4946</v>
      </c>
      <c r="L950" s="71" t="s">
        <v>4947</v>
      </c>
      <c r="M950" s="71" t="s">
        <v>4948</v>
      </c>
      <c r="N950" s="69" t="s">
        <v>57</v>
      </c>
      <c r="O950" s="64">
        <v>1</v>
      </c>
      <c r="P950" s="72">
        <v>313070</v>
      </c>
      <c r="Q950" s="69" t="s">
        <v>4949</v>
      </c>
      <c r="R950" s="69"/>
      <c r="S950" s="68" t="s">
        <v>561</v>
      </c>
      <c r="T950" s="56">
        <v>25</v>
      </c>
      <c r="U950" s="56">
        <v>4</v>
      </c>
    </row>
    <row r="951" spans="1:21" ht="14.25" customHeight="1" x14ac:dyDescent="0.35">
      <c r="A951" s="47">
        <v>935</v>
      </c>
      <c r="B951" s="69" t="s">
        <v>1806</v>
      </c>
      <c r="C951" s="69" t="s">
        <v>1807</v>
      </c>
      <c r="D951" s="70" t="s">
        <v>116</v>
      </c>
      <c r="E951" s="69" t="s">
        <v>4950</v>
      </c>
      <c r="F951" s="69" t="s">
        <v>4951</v>
      </c>
      <c r="G951" s="69" t="s">
        <v>54</v>
      </c>
      <c r="H951" s="70">
        <v>2014</v>
      </c>
      <c r="I951" s="69" t="s">
        <v>63</v>
      </c>
      <c r="J951" s="69" t="s">
        <v>4952</v>
      </c>
      <c r="K951" s="71" t="s">
        <v>4953</v>
      </c>
      <c r="L951" s="71" t="s">
        <v>4954</v>
      </c>
      <c r="M951" s="71" t="s">
        <v>4955</v>
      </c>
      <c r="N951" s="69" t="s">
        <v>57</v>
      </c>
      <c r="O951" s="64">
        <v>1</v>
      </c>
      <c r="P951" s="72">
        <v>161450</v>
      </c>
      <c r="Q951" s="69" t="s">
        <v>4956</v>
      </c>
      <c r="R951" s="69"/>
      <c r="S951" s="68" t="s">
        <v>561</v>
      </c>
      <c r="T951" s="56">
        <v>25</v>
      </c>
      <c r="U951" s="56">
        <v>4</v>
      </c>
    </row>
    <row r="952" spans="1:21" ht="14.25" customHeight="1" thickBot="1" x14ac:dyDescent="0.4">
      <c r="A952" s="58">
        <v>936</v>
      </c>
      <c r="B952" s="69" t="s">
        <v>1806</v>
      </c>
      <c r="C952" s="69" t="s">
        <v>1807</v>
      </c>
      <c r="D952" s="70" t="s">
        <v>841</v>
      </c>
      <c r="E952" s="69" t="s">
        <v>4950</v>
      </c>
      <c r="F952" s="69" t="s">
        <v>4951</v>
      </c>
      <c r="G952" s="69" t="s">
        <v>54</v>
      </c>
      <c r="H952" s="70">
        <v>2014</v>
      </c>
      <c r="I952" s="69" t="s">
        <v>63</v>
      </c>
      <c r="J952" s="69" t="s">
        <v>4957</v>
      </c>
      <c r="K952" s="71" t="s">
        <v>4958</v>
      </c>
      <c r="L952" s="71" t="s">
        <v>4959</v>
      </c>
      <c r="M952" s="71" t="s">
        <v>4960</v>
      </c>
      <c r="N952" s="69" t="s">
        <v>57</v>
      </c>
      <c r="O952" s="64">
        <v>1</v>
      </c>
      <c r="P952" s="72">
        <v>161450</v>
      </c>
      <c r="Q952" s="69" t="s">
        <v>4961</v>
      </c>
      <c r="R952" s="69"/>
      <c r="S952" s="68" t="s">
        <v>561</v>
      </c>
      <c r="T952" s="56">
        <v>25</v>
      </c>
      <c r="U952" s="56">
        <v>4</v>
      </c>
    </row>
    <row r="953" spans="1:21" ht="14.25" customHeight="1" x14ac:dyDescent="0.35">
      <c r="A953" s="47">
        <v>937</v>
      </c>
      <c r="B953" s="69" t="s">
        <v>1806</v>
      </c>
      <c r="C953" s="69" t="s">
        <v>1807</v>
      </c>
      <c r="D953" s="70" t="s">
        <v>161</v>
      </c>
      <c r="E953" s="69" t="s">
        <v>2613</v>
      </c>
      <c r="F953" s="69" t="s">
        <v>2559</v>
      </c>
      <c r="G953" s="69" t="s">
        <v>54</v>
      </c>
      <c r="H953" s="70">
        <v>2013</v>
      </c>
      <c r="I953" s="69" t="s">
        <v>63</v>
      </c>
      <c r="J953" s="69" t="s">
        <v>4962</v>
      </c>
      <c r="K953" s="71" t="s">
        <v>4963</v>
      </c>
      <c r="L953" s="71" t="s">
        <v>4964</v>
      </c>
      <c r="M953" s="71" t="s">
        <v>4965</v>
      </c>
      <c r="N953" s="69" t="s">
        <v>57</v>
      </c>
      <c r="O953" s="64">
        <v>1</v>
      </c>
      <c r="P953" s="72">
        <v>239750</v>
      </c>
      <c r="Q953" s="69" t="s">
        <v>4966</v>
      </c>
      <c r="R953" s="69"/>
      <c r="S953" s="68" t="s">
        <v>561</v>
      </c>
      <c r="T953" s="56">
        <v>25</v>
      </c>
      <c r="U953" s="56">
        <v>4</v>
      </c>
    </row>
    <row r="954" spans="1:21" ht="14.25" customHeight="1" thickBot="1" x14ac:dyDescent="0.4">
      <c r="A954" s="58">
        <v>938</v>
      </c>
      <c r="B954" s="69" t="s">
        <v>1806</v>
      </c>
      <c r="C954" s="69" t="s">
        <v>1807</v>
      </c>
      <c r="D954" s="70" t="s">
        <v>169</v>
      </c>
      <c r="E954" s="69" t="s">
        <v>2613</v>
      </c>
      <c r="F954" s="69" t="s">
        <v>2559</v>
      </c>
      <c r="G954" s="69" t="s">
        <v>54</v>
      </c>
      <c r="H954" s="70">
        <v>2013</v>
      </c>
      <c r="I954" s="69" t="s">
        <v>63</v>
      </c>
      <c r="J954" s="69" t="s">
        <v>4967</v>
      </c>
      <c r="K954" s="71" t="s">
        <v>4968</v>
      </c>
      <c r="L954" s="71" t="s">
        <v>4969</v>
      </c>
      <c r="M954" s="71" t="s">
        <v>4970</v>
      </c>
      <c r="N954" s="69" t="s">
        <v>57</v>
      </c>
      <c r="O954" s="64">
        <v>1</v>
      </c>
      <c r="P954" s="72">
        <v>239750</v>
      </c>
      <c r="Q954" s="69" t="s">
        <v>4971</v>
      </c>
      <c r="R954" s="69"/>
      <c r="S954" s="68" t="s">
        <v>561</v>
      </c>
      <c r="T954" s="56">
        <v>25</v>
      </c>
      <c r="U954" s="56">
        <v>4</v>
      </c>
    </row>
    <row r="955" spans="1:21" ht="14.25" customHeight="1" x14ac:dyDescent="0.35">
      <c r="A955" s="47">
        <v>939</v>
      </c>
      <c r="B955" s="69" t="s">
        <v>1806</v>
      </c>
      <c r="C955" s="69" t="s">
        <v>1807</v>
      </c>
      <c r="D955" s="70" t="s">
        <v>176</v>
      </c>
      <c r="E955" s="69" t="s">
        <v>4110</v>
      </c>
      <c r="F955" s="69" t="s">
        <v>1595</v>
      </c>
      <c r="G955" s="69" t="s">
        <v>140</v>
      </c>
      <c r="H955" s="70">
        <v>2014</v>
      </c>
      <c r="I955" s="69"/>
      <c r="J955" s="69" t="s">
        <v>4972</v>
      </c>
      <c r="K955" s="71" t="s">
        <v>4973</v>
      </c>
      <c r="L955" s="71" t="s">
        <v>4974</v>
      </c>
      <c r="M955" s="71" t="s">
        <v>4975</v>
      </c>
      <c r="N955" s="69" t="s">
        <v>57</v>
      </c>
      <c r="O955" s="64">
        <v>1</v>
      </c>
      <c r="P955" s="72">
        <v>248730</v>
      </c>
      <c r="Q955" s="69" t="s">
        <v>4976</v>
      </c>
      <c r="R955" s="69"/>
      <c r="S955" s="68" t="s">
        <v>561</v>
      </c>
      <c r="T955" s="56">
        <v>25</v>
      </c>
      <c r="U955" s="56">
        <v>4</v>
      </c>
    </row>
    <row r="956" spans="1:21" ht="14.25" customHeight="1" thickBot="1" x14ac:dyDescent="0.4">
      <c r="A956" s="58">
        <v>940</v>
      </c>
      <c r="B956" s="69" t="s">
        <v>1806</v>
      </c>
      <c r="C956" s="69" t="s">
        <v>1807</v>
      </c>
      <c r="D956" s="70" t="s">
        <v>1236</v>
      </c>
      <c r="E956" s="69" t="s">
        <v>4110</v>
      </c>
      <c r="F956" s="69" t="s">
        <v>1595</v>
      </c>
      <c r="G956" s="69" t="s">
        <v>140</v>
      </c>
      <c r="H956" s="70">
        <v>2014</v>
      </c>
      <c r="I956" s="69" t="s">
        <v>63</v>
      </c>
      <c r="J956" s="69" t="s">
        <v>4977</v>
      </c>
      <c r="K956" s="71" t="s">
        <v>4978</v>
      </c>
      <c r="L956" s="71" t="s">
        <v>4979</v>
      </c>
      <c r="M956" s="71" t="s">
        <v>4980</v>
      </c>
      <c r="N956" s="69" t="s">
        <v>57</v>
      </c>
      <c r="O956" s="64">
        <v>1</v>
      </c>
      <c r="P956" s="72">
        <v>248730</v>
      </c>
      <c r="Q956" s="69" t="s">
        <v>4981</v>
      </c>
      <c r="R956" s="69"/>
      <c r="S956" s="68" t="s">
        <v>561</v>
      </c>
      <c r="T956" s="56">
        <v>25</v>
      </c>
      <c r="U956" s="56">
        <v>4</v>
      </c>
    </row>
    <row r="957" spans="1:21" ht="14.25" customHeight="1" x14ac:dyDescent="0.35">
      <c r="A957" s="47">
        <v>941</v>
      </c>
      <c r="B957" s="69" t="s">
        <v>70</v>
      </c>
      <c r="C957" s="69" t="s">
        <v>71</v>
      </c>
      <c r="D957" s="70" t="s">
        <v>59</v>
      </c>
      <c r="E957" s="69" t="s">
        <v>4110</v>
      </c>
      <c r="F957" s="69" t="s">
        <v>1595</v>
      </c>
      <c r="G957" s="69" t="s">
        <v>140</v>
      </c>
      <c r="H957" s="70">
        <v>2014</v>
      </c>
      <c r="I957" s="69"/>
      <c r="J957" s="69" t="s">
        <v>4982</v>
      </c>
      <c r="K957" s="71" t="s">
        <v>4983</v>
      </c>
      <c r="L957" s="71" t="s">
        <v>4984</v>
      </c>
      <c r="M957" s="71" t="s">
        <v>4985</v>
      </c>
      <c r="N957" s="69" t="s">
        <v>57</v>
      </c>
      <c r="O957" s="64">
        <v>1</v>
      </c>
      <c r="P957" s="72">
        <v>248730</v>
      </c>
      <c r="Q957" s="69" t="s">
        <v>4986</v>
      </c>
      <c r="R957" s="69"/>
      <c r="S957" s="68" t="s">
        <v>561</v>
      </c>
      <c r="T957" s="56">
        <v>25</v>
      </c>
      <c r="U957" s="56">
        <v>4</v>
      </c>
    </row>
    <row r="958" spans="1:21" ht="14.25" customHeight="1" thickBot="1" x14ac:dyDescent="0.4">
      <c r="A958" s="58">
        <v>942</v>
      </c>
      <c r="B958" s="69" t="s">
        <v>70</v>
      </c>
      <c r="C958" s="69" t="s">
        <v>71</v>
      </c>
      <c r="D958" s="70" t="s">
        <v>97</v>
      </c>
      <c r="E958" s="69" t="s">
        <v>3710</v>
      </c>
      <c r="F958" s="69" t="s">
        <v>4560</v>
      </c>
      <c r="G958" s="69" t="s">
        <v>54</v>
      </c>
      <c r="H958" s="70">
        <v>2014</v>
      </c>
      <c r="I958" s="69"/>
      <c r="J958" s="69" t="s">
        <v>4987</v>
      </c>
      <c r="K958" s="71" t="s">
        <v>4988</v>
      </c>
      <c r="L958" s="71" t="s">
        <v>4989</v>
      </c>
      <c r="M958" s="71" t="s">
        <v>4990</v>
      </c>
      <c r="N958" s="69" t="s">
        <v>57</v>
      </c>
      <c r="O958" s="64">
        <v>1</v>
      </c>
      <c r="P958" s="72">
        <v>356889</v>
      </c>
      <c r="Q958" s="69" t="s">
        <v>4991</v>
      </c>
      <c r="R958" s="69"/>
      <c r="S958" s="68" t="s">
        <v>561</v>
      </c>
      <c r="T958" s="56">
        <v>25</v>
      </c>
      <c r="U958" s="56">
        <v>4</v>
      </c>
    </row>
    <row r="959" spans="1:21" ht="14.25" customHeight="1" x14ac:dyDescent="0.35">
      <c r="A959" s="47">
        <v>943</v>
      </c>
      <c r="B959" s="69" t="s">
        <v>70</v>
      </c>
      <c r="C959" s="69" t="s">
        <v>71</v>
      </c>
      <c r="D959" s="70" t="s">
        <v>101</v>
      </c>
      <c r="E959" s="69" t="s">
        <v>4992</v>
      </c>
      <c r="F959" s="69" t="s">
        <v>4993</v>
      </c>
      <c r="G959" s="69" t="s">
        <v>54</v>
      </c>
      <c r="H959" s="70">
        <v>2012</v>
      </c>
      <c r="I959" s="69" t="s">
        <v>63</v>
      </c>
      <c r="J959" s="69" t="s">
        <v>4994</v>
      </c>
      <c r="K959" s="71" t="s">
        <v>4995</v>
      </c>
      <c r="L959" s="71" t="s">
        <v>4996</v>
      </c>
      <c r="M959" s="71" t="s">
        <v>4997</v>
      </c>
      <c r="N959" s="69" t="s">
        <v>57</v>
      </c>
      <c r="O959" s="64">
        <v>1</v>
      </c>
      <c r="P959" s="72">
        <v>102424</v>
      </c>
      <c r="Q959" s="69" t="s">
        <v>4998</v>
      </c>
      <c r="R959" s="69"/>
      <c r="S959" s="68" t="s">
        <v>561</v>
      </c>
      <c r="T959" s="56">
        <v>25</v>
      </c>
      <c r="U959" s="56">
        <v>4</v>
      </c>
    </row>
    <row r="960" spans="1:21" ht="14.25" customHeight="1" thickBot="1" x14ac:dyDescent="0.4">
      <c r="A960" s="58">
        <v>944</v>
      </c>
      <c r="B960" s="69" t="s">
        <v>70</v>
      </c>
      <c r="C960" s="69" t="s">
        <v>71</v>
      </c>
      <c r="D960" s="70" t="s">
        <v>107</v>
      </c>
      <c r="E960" s="69" t="s">
        <v>4999</v>
      </c>
      <c r="F960" s="69" t="s">
        <v>2495</v>
      </c>
      <c r="G960" s="69" t="s">
        <v>54</v>
      </c>
      <c r="H960" s="70">
        <v>2014</v>
      </c>
      <c r="I960" s="69" t="s">
        <v>63</v>
      </c>
      <c r="J960" s="69" t="s">
        <v>5000</v>
      </c>
      <c r="K960" s="71" t="s">
        <v>5001</v>
      </c>
      <c r="L960" s="71" t="s">
        <v>5002</v>
      </c>
      <c r="M960" s="71" t="s">
        <v>5003</v>
      </c>
      <c r="N960" s="69" t="s">
        <v>57</v>
      </c>
      <c r="O960" s="64">
        <v>1</v>
      </c>
      <c r="P960" s="72">
        <v>355500</v>
      </c>
      <c r="Q960" s="69" t="s">
        <v>5004</v>
      </c>
      <c r="R960" s="69"/>
      <c r="S960" s="68" t="s">
        <v>561</v>
      </c>
      <c r="T960" s="56">
        <v>25</v>
      </c>
      <c r="U960" s="56">
        <v>4</v>
      </c>
    </row>
    <row r="961" spans="1:21" ht="14.25" customHeight="1" x14ac:dyDescent="0.35">
      <c r="A961" s="47">
        <v>945</v>
      </c>
      <c r="B961" s="69" t="s">
        <v>70</v>
      </c>
      <c r="C961" s="69" t="s">
        <v>71</v>
      </c>
      <c r="D961" s="70" t="s">
        <v>116</v>
      </c>
      <c r="E961" s="69" t="s">
        <v>4559</v>
      </c>
      <c r="F961" s="69" t="s">
        <v>4560</v>
      </c>
      <c r="G961" s="69" t="s">
        <v>54</v>
      </c>
      <c r="H961" s="70">
        <v>2014</v>
      </c>
      <c r="I961" s="69" t="s">
        <v>63</v>
      </c>
      <c r="J961" s="69" t="s">
        <v>5005</v>
      </c>
      <c r="K961" s="71" t="s">
        <v>5006</v>
      </c>
      <c r="L961" s="71" t="s">
        <v>5007</v>
      </c>
      <c r="M961" s="71" t="s">
        <v>5008</v>
      </c>
      <c r="N961" s="69" t="s">
        <v>57</v>
      </c>
      <c r="O961" s="64">
        <v>1</v>
      </c>
      <c r="P961" s="72">
        <v>356889</v>
      </c>
      <c r="Q961" s="69" t="s">
        <v>5009</v>
      </c>
      <c r="R961" s="69"/>
      <c r="S961" s="68" t="s">
        <v>561</v>
      </c>
      <c r="T961" s="56">
        <v>25</v>
      </c>
      <c r="U961" s="56">
        <v>4</v>
      </c>
    </row>
    <row r="962" spans="1:21" ht="14.25" customHeight="1" thickBot="1" x14ac:dyDescent="0.4">
      <c r="A962" s="58">
        <v>946</v>
      </c>
      <c r="B962" s="69" t="s">
        <v>70</v>
      </c>
      <c r="C962" s="69" t="s">
        <v>71</v>
      </c>
      <c r="D962" s="70" t="s">
        <v>841</v>
      </c>
      <c r="E962" s="69" t="s">
        <v>5010</v>
      </c>
      <c r="F962" s="69" t="s">
        <v>1683</v>
      </c>
      <c r="G962" s="69" t="s">
        <v>140</v>
      </c>
      <c r="H962" s="70">
        <v>2015</v>
      </c>
      <c r="I962" s="69"/>
      <c r="J962" s="69" t="s">
        <v>5011</v>
      </c>
      <c r="K962" s="71" t="s">
        <v>5012</v>
      </c>
      <c r="L962" s="71" t="s">
        <v>5013</v>
      </c>
      <c r="M962" s="71" t="s">
        <v>5014</v>
      </c>
      <c r="N962" s="69" t="s">
        <v>57</v>
      </c>
      <c r="O962" s="64">
        <v>1</v>
      </c>
      <c r="P962" s="72">
        <v>403900</v>
      </c>
      <c r="Q962" s="69" t="s">
        <v>5015</v>
      </c>
      <c r="R962" s="69"/>
      <c r="S962" s="68" t="s">
        <v>561</v>
      </c>
      <c r="T962" s="56">
        <v>25</v>
      </c>
      <c r="U962" s="56">
        <v>4</v>
      </c>
    </row>
    <row r="963" spans="1:21" ht="14.25" customHeight="1" x14ac:dyDescent="0.35">
      <c r="A963" s="47">
        <v>947</v>
      </c>
      <c r="B963" s="69" t="s">
        <v>70</v>
      </c>
      <c r="C963" s="69" t="s">
        <v>71</v>
      </c>
      <c r="D963" s="70" t="s">
        <v>122</v>
      </c>
      <c r="E963" s="69" t="s">
        <v>5016</v>
      </c>
      <c r="F963" s="69" t="s">
        <v>5017</v>
      </c>
      <c r="G963" s="69" t="s">
        <v>415</v>
      </c>
      <c r="H963" s="70">
        <v>2009</v>
      </c>
      <c r="I963" s="69"/>
      <c r="J963" s="69" t="s">
        <v>5018</v>
      </c>
      <c r="K963" s="71" t="s">
        <v>5019</v>
      </c>
      <c r="L963" s="71" t="s">
        <v>5020</v>
      </c>
      <c r="M963" s="71" t="s">
        <v>5021</v>
      </c>
      <c r="N963" s="69" t="s">
        <v>57</v>
      </c>
      <c r="O963" s="64">
        <v>1</v>
      </c>
      <c r="P963" s="72">
        <v>199500</v>
      </c>
      <c r="Q963" s="69" t="s">
        <v>5022</v>
      </c>
      <c r="R963" s="69"/>
      <c r="S963" s="68" t="s">
        <v>561</v>
      </c>
      <c r="T963" s="56">
        <v>25</v>
      </c>
      <c r="U963" s="56">
        <v>4</v>
      </c>
    </row>
    <row r="964" spans="1:21" ht="14.25" customHeight="1" thickBot="1" x14ac:dyDescent="0.4">
      <c r="A964" s="58">
        <v>948</v>
      </c>
      <c r="B964" s="69" t="s">
        <v>70</v>
      </c>
      <c r="C964" s="69" t="s">
        <v>71</v>
      </c>
      <c r="D964" s="70" t="s">
        <v>126</v>
      </c>
      <c r="E964" s="69" t="s">
        <v>2068</v>
      </c>
      <c r="F964" s="69" t="s">
        <v>1683</v>
      </c>
      <c r="G964" s="69" t="s">
        <v>140</v>
      </c>
      <c r="H964" s="70">
        <v>2015</v>
      </c>
      <c r="I964" s="69" t="s">
        <v>63</v>
      </c>
      <c r="J964" s="69" t="s">
        <v>5023</v>
      </c>
      <c r="K964" s="71" t="s">
        <v>5024</v>
      </c>
      <c r="L964" s="71" t="s">
        <v>5025</v>
      </c>
      <c r="M964" s="71" t="s">
        <v>5026</v>
      </c>
      <c r="N964" s="69" t="s">
        <v>57</v>
      </c>
      <c r="O964" s="64">
        <v>1</v>
      </c>
      <c r="P964" s="72">
        <v>430864</v>
      </c>
      <c r="Q964" s="69" t="s">
        <v>5027</v>
      </c>
      <c r="R964" s="69"/>
      <c r="S964" s="68" t="s">
        <v>561</v>
      </c>
      <c r="T964" s="56">
        <v>25</v>
      </c>
      <c r="U964" s="56">
        <v>4</v>
      </c>
    </row>
    <row r="965" spans="1:21" ht="14.25" customHeight="1" x14ac:dyDescent="0.35">
      <c r="A965" s="47">
        <v>949</v>
      </c>
      <c r="B965" s="69" t="s">
        <v>79</v>
      </c>
      <c r="C965" s="69" t="s">
        <v>80</v>
      </c>
      <c r="D965" s="70" t="s">
        <v>51</v>
      </c>
      <c r="E965" s="69" t="s">
        <v>5028</v>
      </c>
      <c r="F965" s="69" t="s">
        <v>443</v>
      </c>
      <c r="G965" s="69" t="s">
        <v>54</v>
      </c>
      <c r="H965" s="70">
        <v>2003</v>
      </c>
      <c r="I965" s="69" t="s">
        <v>63</v>
      </c>
      <c r="J965" s="69" t="s">
        <v>5029</v>
      </c>
      <c r="K965" s="71" t="s">
        <v>5030</v>
      </c>
      <c r="L965" s="71" t="s">
        <v>5031</v>
      </c>
      <c r="M965" s="71" t="s">
        <v>5032</v>
      </c>
      <c r="N965" s="69" t="s">
        <v>57</v>
      </c>
      <c r="O965" s="64">
        <v>1</v>
      </c>
      <c r="P965" s="72">
        <v>12500</v>
      </c>
      <c r="Q965" s="69" t="s">
        <v>63</v>
      </c>
      <c r="R965" s="69"/>
      <c r="S965" s="68" t="s">
        <v>561</v>
      </c>
      <c r="T965" s="56">
        <v>25</v>
      </c>
      <c r="U965" s="56">
        <v>3</v>
      </c>
    </row>
    <row r="966" spans="1:21" ht="14.25" customHeight="1" thickBot="1" x14ac:dyDescent="0.4">
      <c r="A966" s="58">
        <v>950</v>
      </c>
      <c r="B966" s="69" t="s">
        <v>79</v>
      </c>
      <c r="C966" s="69" t="s">
        <v>80</v>
      </c>
      <c r="D966" s="70" t="s">
        <v>59</v>
      </c>
      <c r="E966" s="69" t="s">
        <v>5033</v>
      </c>
      <c r="F966" s="69" t="s">
        <v>202</v>
      </c>
      <c r="G966" s="69" t="s">
        <v>54</v>
      </c>
      <c r="H966" s="70">
        <v>2012</v>
      </c>
      <c r="I966" s="69"/>
      <c r="J966" s="69" t="s">
        <v>5034</v>
      </c>
      <c r="K966" s="71" t="s">
        <v>5035</v>
      </c>
      <c r="L966" s="71" t="s">
        <v>5036</v>
      </c>
      <c r="M966" s="71" t="s">
        <v>5037</v>
      </c>
      <c r="N966" s="69" t="s">
        <v>57</v>
      </c>
      <c r="O966" s="64">
        <v>1</v>
      </c>
      <c r="P966" s="72">
        <v>12557.55</v>
      </c>
      <c r="Q966" s="69" t="s">
        <v>5038</v>
      </c>
      <c r="R966" s="69"/>
      <c r="S966" s="68" t="s">
        <v>561</v>
      </c>
      <c r="T966" s="56">
        <v>25</v>
      </c>
      <c r="U966" s="56">
        <v>3</v>
      </c>
    </row>
    <row r="967" spans="1:21" ht="14.25" customHeight="1" x14ac:dyDescent="0.35">
      <c r="A967" s="47">
        <v>951</v>
      </c>
      <c r="B967" s="69" t="s">
        <v>79</v>
      </c>
      <c r="C967" s="69" t="s">
        <v>80</v>
      </c>
      <c r="D967" s="70" t="s">
        <v>97</v>
      </c>
      <c r="E967" s="69" t="s">
        <v>3303</v>
      </c>
      <c r="F967" s="69" t="s">
        <v>443</v>
      </c>
      <c r="G967" s="69" t="s">
        <v>54</v>
      </c>
      <c r="H967" s="70">
        <v>2013</v>
      </c>
      <c r="I967" s="69" t="s">
        <v>63</v>
      </c>
      <c r="J967" s="69" t="s">
        <v>5039</v>
      </c>
      <c r="K967" s="71" t="s">
        <v>5040</v>
      </c>
      <c r="L967" s="71" t="s">
        <v>5041</v>
      </c>
      <c r="M967" s="71" t="s">
        <v>5042</v>
      </c>
      <c r="N967" s="69" t="s">
        <v>57</v>
      </c>
      <c r="O967" s="64">
        <v>1</v>
      </c>
      <c r="P967" s="72">
        <v>13055.5</v>
      </c>
      <c r="Q967" s="69" t="s">
        <v>4910</v>
      </c>
      <c r="R967" s="69"/>
      <c r="S967" s="68" t="s">
        <v>561</v>
      </c>
      <c r="T967" s="56">
        <v>25</v>
      </c>
      <c r="U967" s="56">
        <v>3</v>
      </c>
    </row>
    <row r="968" spans="1:21" ht="14.25" customHeight="1" thickBot="1" x14ac:dyDescent="0.4">
      <c r="A968" s="58">
        <v>952</v>
      </c>
      <c r="B968" s="69" t="s">
        <v>79</v>
      </c>
      <c r="C968" s="69" t="s">
        <v>80</v>
      </c>
      <c r="D968" s="70" t="s">
        <v>101</v>
      </c>
      <c r="E968" s="69" t="s">
        <v>230</v>
      </c>
      <c r="F968" s="69" t="s">
        <v>231</v>
      </c>
      <c r="G968" s="69" t="s">
        <v>54</v>
      </c>
      <c r="H968" s="70">
        <v>2013</v>
      </c>
      <c r="I968" s="69" t="s">
        <v>63</v>
      </c>
      <c r="J968" s="69" t="s">
        <v>5043</v>
      </c>
      <c r="K968" s="71" t="s">
        <v>5044</v>
      </c>
      <c r="L968" s="71" t="s">
        <v>5045</v>
      </c>
      <c r="M968" s="71" t="s">
        <v>5046</v>
      </c>
      <c r="N968" s="69" t="s">
        <v>57</v>
      </c>
      <c r="O968" s="64">
        <v>1</v>
      </c>
      <c r="P968" s="72">
        <v>18381.099999999999</v>
      </c>
      <c r="Q968" s="69" t="s">
        <v>5047</v>
      </c>
      <c r="R968" s="69"/>
      <c r="S968" s="68" t="s">
        <v>561</v>
      </c>
      <c r="T968" s="56">
        <v>25</v>
      </c>
      <c r="U968" s="56">
        <v>3</v>
      </c>
    </row>
    <row r="969" spans="1:21" ht="14.25" customHeight="1" x14ac:dyDescent="0.35">
      <c r="A969" s="47">
        <v>953</v>
      </c>
      <c r="B969" s="69" t="s">
        <v>79</v>
      </c>
      <c r="C969" s="69" t="s">
        <v>80</v>
      </c>
      <c r="D969" s="70" t="s">
        <v>107</v>
      </c>
      <c r="E969" s="69" t="s">
        <v>3308</v>
      </c>
      <c r="F969" s="69" t="s">
        <v>163</v>
      </c>
      <c r="G969" s="69" t="s">
        <v>140</v>
      </c>
      <c r="H969" s="70">
        <v>2014</v>
      </c>
      <c r="I969" s="69"/>
      <c r="J969" s="69" t="s">
        <v>5048</v>
      </c>
      <c r="K969" s="71" t="s">
        <v>5049</v>
      </c>
      <c r="L969" s="71" t="s">
        <v>5050</v>
      </c>
      <c r="M969" s="71" t="s">
        <v>5051</v>
      </c>
      <c r="N969" s="69" t="s">
        <v>57</v>
      </c>
      <c r="O969" s="64">
        <v>1</v>
      </c>
      <c r="P969" s="72">
        <v>14403.12</v>
      </c>
      <c r="Q969" s="69" t="s">
        <v>4616</v>
      </c>
      <c r="R969" s="69"/>
      <c r="S969" s="68" t="s">
        <v>561</v>
      </c>
      <c r="T969" s="56">
        <v>25</v>
      </c>
      <c r="U969" s="56">
        <v>3</v>
      </c>
    </row>
    <row r="970" spans="1:21" ht="14.25" customHeight="1" thickBot="1" x14ac:dyDescent="0.4">
      <c r="A970" s="58">
        <v>954</v>
      </c>
      <c r="B970" s="69" t="s">
        <v>79</v>
      </c>
      <c r="C970" s="69" t="s">
        <v>80</v>
      </c>
      <c r="D970" s="70" t="s">
        <v>112</v>
      </c>
      <c r="E970" s="69" t="s">
        <v>5052</v>
      </c>
      <c r="F970" s="69" t="s">
        <v>443</v>
      </c>
      <c r="G970" s="69" t="s">
        <v>54</v>
      </c>
      <c r="H970" s="70">
        <v>2008</v>
      </c>
      <c r="I970" s="69"/>
      <c r="J970" s="69" t="s">
        <v>5053</v>
      </c>
      <c r="K970" s="71" t="s">
        <v>5054</v>
      </c>
      <c r="L970" s="71" t="s">
        <v>5055</v>
      </c>
      <c r="M970" s="71" t="s">
        <v>5056</v>
      </c>
      <c r="N970" s="69" t="s">
        <v>57</v>
      </c>
      <c r="O970" s="64">
        <v>1</v>
      </c>
      <c r="P970" s="72">
        <v>14210</v>
      </c>
      <c r="Q970" s="69" t="s">
        <v>5057</v>
      </c>
      <c r="R970" s="69"/>
      <c r="S970" s="68" t="s">
        <v>561</v>
      </c>
      <c r="T970" s="56">
        <v>25</v>
      </c>
      <c r="U970" s="56">
        <v>3</v>
      </c>
    </row>
    <row r="971" spans="1:21" ht="14.25" customHeight="1" x14ac:dyDescent="0.35">
      <c r="A971" s="47">
        <v>955</v>
      </c>
      <c r="B971" s="69" t="s">
        <v>79</v>
      </c>
      <c r="C971" s="69" t="s">
        <v>80</v>
      </c>
      <c r="D971" s="70" t="s">
        <v>116</v>
      </c>
      <c r="E971" s="69" t="s">
        <v>5052</v>
      </c>
      <c r="F971" s="69" t="s">
        <v>202</v>
      </c>
      <c r="G971" s="69" t="s">
        <v>54</v>
      </c>
      <c r="H971" s="70">
        <v>2008</v>
      </c>
      <c r="I971" s="69"/>
      <c r="J971" s="69" t="s">
        <v>5058</v>
      </c>
      <c r="K971" s="71" t="s">
        <v>5059</v>
      </c>
      <c r="L971" s="71" t="s">
        <v>5060</v>
      </c>
      <c r="M971" s="71" t="s">
        <v>5061</v>
      </c>
      <c r="N971" s="69" t="s">
        <v>57</v>
      </c>
      <c r="O971" s="64">
        <v>1</v>
      </c>
      <c r="P971" s="72">
        <v>14210</v>
      </c>
      <c r="Q971" s="69" t="s">
        <v>5062</v>
      </c>
      <c r="R971" s="69"/>
      <c r="S971" s="68" t="s">
        <v>561</v>
      </c>
      <c r="T971" s="56">
        <v>25</v>
      </c>
      <c r="U971" s="56">
        <v>3</v>
      </c>
    </row>
    <row r="972" spans="1:21" ht="14.25" customHeight="1" thickBot="1" x14ac:dyDescent="0.4">
      <c r="A972" s="58">
        <v>956</v>
      </c>
      <c r="B972" s="69" t="s">
        <v>79</v>
      </c>
      <c r="C972" s="69" t="s">
        <v>80</v>
      </c>
      <c r="D972" s="70" t="s">
        <v>841</v>
      </c>
      <c r="E972" s="69" t="s">
        <v>5052</v>
      </c>
      <c r="F972" s="69" t="s">
        <v>202</v>
      </c>
      <c r="G972" s="69" t="s">
        <v>54</v>
      </c>
      <c r="H972" s="70">
        <v>2008</v>
      </c>
      <c r="I972" s="69"/>
      <c r="J972" s="69" t="s">
        <v>5063</v>
      </c>
      <c r="K972" s="71" t="s">
        <v>5064</v>
      </c>
      <c r="L972" s="71" t="s">
        <v>5065</v>
      </c>
      <c r="M972" s="71" t="s">
        <v>5066</v>
      </c>
      <c r="N972" s="69" t="s">
        <v>57</v>
      </c>
      <c r="O972" s="64">
        <v>1</v>
      </c>
      <c r="P972" s="72">
        <v>14210</v>
      </c>
      <c r="Q972" s="69" t="s">
        <v>5067</v>
      </c>
      <c r="R972" s="69"/>
      <c r="S972" s="68" t="s">
        <v>561</v>
      </c>
      <c r="T972" s="56">
        <v>25</v>
      </c>
      <c r="U972" s="56">
        <v>3</v>
      </c>
    </row>
    <row r="973" spans="1:21" ht="14.25" customHeight="1" x14ac:dyDescent="0.35">
      <c r="A973" s="47">
        <v>957</v>
      </c>
      <c r="B973" s="69" t="s">
        <v>79</v>
      </c>
      <c r="C973" s="69" t="s">
        <v>80</v>
      </c>
      <c r="D973" s="70" t="s">
        <v>904</v>
      </c>
      <c r="E973" s="69" t="s">
        <v>5052</v>
      </c>
      <c r="F973" s="69" t="s">
        <v>443</v>
      </c>
      <c r="G973" s="69" t="s">
        <v>54</v>
      </c>
      <c r="H973" s="70">
        <v>2008</v>
      </c>
      <c r="I973" s="69"/>
      <c r="J973" s="69" t="s">
        <v>5068</v>
      </c>
      <c r="K973" s="71" t="s">
        <v>5069</v>
      </c>
      <c r="L973" s="71" t="s">
        <v>5070</v>
      </c>
      <c r="M973" s="71" t="s">
        <v>5071</v>
      </c>
      <c r="N973" s="69" t="s">
        <v>57</v>
      </c>
      <c r="O973" s="64">
        <v>1</v>
      </c>
      <c r="P973" s="72">
        <v>14210</v>
      </c>
      <c r="Q973" s="69" t="s">
        <v>5072</v>
      </c>
      <c r="R973" s="69"/>
      <c r="S973" s="68" t="s">
        <v>561</v>
      </c>
      <c r="T973" s="56">
        <v>25</v>
      </c>
      <c r="U973" s="56">
        <v>3</v>
      </c>
    </row>
    <row r="974" spans="1:21" ht="14.25" customHeight="1" thickBot="1" x14ac:dyDescent="0.4">
      <c r="A974" s="58">
        <v>958</v>
      </c>
      <c r="B974" s="69" t="s">
        <v>79</v>
      </c>
      <c r="C974" s="69" t="s">
        <v>80</v>
      </c>
      <c r="D974" s="70" t="s">
        <v>122</v>
      </c>
      <c r="E974" s="69" t="s">
        <v>5052</v>
      </c>
      <c r="F974" s="69" t="s">
        <v>443</v>
      </c>
      <c r="G974" s="69" t="s">
        <v>54</v>
      </c>
      <c r="H974" s="70">
        <v>2008</v>
      </c>
      <c r="I974" s="69"/>
      <c r="J974" s="69" t="s">
        <v>5073</v>
      </c>
      <c r="K974" s="71" t="s">
        <v>5074</v>
      </c>
      <c r="L974" s="71" t="s">
        <v>5075</v>
      </c>
      <c r="M974" s="71" t="s">
        <v>5076</v>
      </c>
      <c r="N974" s="69" t="s">
        <v>57</v>
      </c>
      <c r="O974" s="64">
        <v>1</v>
      </c>
      <c r="P974" s="72">
        <v>14210</v>
      </c>
      <c r="Q974" s="69" t="s">
        <v>5077</v>
      </c>
      <c r="R974" s="69"/>
      <c r="S974" s="68" t="s">
        <v>561</v>
      </c>
      <c r="T974" s="56">
        <v>25</v>
      </c>
      <c r="U974" s="56">
        <v>3</v>
      </c>
    </row>
    <row r="975" spans="1:21" ht="14.25" customHeight="1" x14ac:dyDescent="0.35">
      <c r="A975" s="47">
        <v>959</v>
      </c>
      <c r="B975" s="69" t="s">
        <v>79</v>
      </c>
      <c r="C975" s="69" t="s">
        <v>80</v>
      </c>
      <c r="D975" s="70" t="s">
        <v>126</v>
      </c>
      <c r="E975" s="69" t="s">
        <v>5052</v>
      </c>
      <c r="F975" s="69" t="s">
        <v>443</v>
      </c>
      <c r="G975" s="69" t="s">
        <v>54</v>
      </c>
      <c r="H975" s="70">
        <v>2008</v>
      </c>
      <c r="I975" s="69"/>
      <c r="J975" s="69" t="s">
        <v>5078</v>
      </c>
      <c r="K975" s="71" t="s">
        <v>5079</v>
      </c>
      <c r="L975" s="71" t="s">
        <v>5080</v>
      </c>
      <c r="M975" s="71" t="s">
        <v>5081</v>
      </c>
      <c r="N975" s="69" t="s">
        <v>57</v>
      </c>
      <c r="O975" s="64">
        <v>1</v>
      </c>
      <c r="P975" s="72">
        <v>14210</v>
      </c>
      <c r="Q975" s="69" t="s">
        <v>5082</v>
      </c>
      <c r="R975" s="69"/>
      <c r="S975" s="68" t="s">
        <v>561</v>
      </c>
      <c r="T975" s="56">
        <v>25</v>
      </c>
      <c r="U975" s="56">
        <v>3</v>
      </c>
    </row>
    <row r="976" spans="1:21" ht="14.25" customHeight="1" thickBot="1" x14ac:dyDescent="0.4">
      <c r="A976" s="58">
        <v>960</v>
      </c>
      <c r="B976" s="69" t="s">
        <v>79</v>
      </c>
      <c r="C976" s="69" t="s">
        <v>80</v>
      </c>
      <c r="D976" s="70" t="s">
        <v>132</v>
      </c>
      <c r="E976" s="69" t="s">
        <v>5052</v>
      </c>
      <c r="F976" s="69" t="s">
        <v>443</v>
      </c>
      <c r="G976" s="69" t="s">
        <v>54</v>
      </c>
      <c r="H976" s="70">
        <v>2008</v>
      </c>
      <c r="I976" s="69"/>
      <c r="J976" s="69" t="s">
        <v>5083</v>
      </c>
      <c r="K976" s="71" t="s">
        <v>5084</v>
      </c>
      <c r="L976" s="71" t="s">
        <v>5085</v>
      </c>
      <c r="M976" s="71" t="s">
        <v>5086</v>
      </c>
      <c r="N976" s="69" t="s">
        <v>57</v>
      </c>
      <c r="O976" s="64">
        <v>1</v>
      </c>
      <c r="P976" s="72">
        <v>14210</v>
      </c>
      <c r="Q976" s="69" t="s">
        <v>5087</v>
      </c>
      <c r="R976" s="69"/>
      <c r="S976" s="68" t="s">
        <v>561</v>
      </c>
      <c r="T976" s="56">
        <v>25</v>
      </c>
      <c r="U976" s="56">
        <v>3</v>
      </c>
    </row>
    <row r="977" spans="1:21" ht="14.25" customHeight="1" x14ac:dyDescent="0.35">
      <c r="A977" s="47">
        <v>961</v>
      </c>
      <c r="B977" s="69" t="s">
        <v>79</v>
      </c>
      <c r="C977" s="69" t="s">
        <v>80</v>
      </c>
      <c r="D977" s="70" t="s">
        <v>137</v>
      </c>
      <c r="E977" s="69" t="s">
        <v>5088</v>
      </c>
      <c r="F977" s="69" t="s">
        <v>443</v>
      </c>
      <c r="G977" s="69" t="s">
        <v>54</v>
      </c>
      <c r="H977" s="70">
        <v>2008</v>
      </c>
      <c r="I977" s="69" t="s">
        <v>63</v>
      </c>
      <c r="J977" s="69" t="s">
        <v>5089</v>
      </c>
      <c r="K977" s="71" t="s">
        <v>5090</v>
      </c>
      <c r="L977" s="71" t="s">
        <v>5091</v>
      </c>
      <c r="M977" s="71" t="s">
        <v>5092</v>
      </c>
      <c r="N977" s="69" t="s">
        <v>57</v>
      </c>
      <c r="O977" s="64">
        <v>1</v>
      </c>
      <c r="P977" s="72">
        <v>14500</v>
      </c>
      <c r="Q977" s="69" t="s">
        <v>5093</v>
      </c>
      <c r="R977" s="69"/>
      <c r="S977" s="68" t="s">
        <v>561</v>
      </c>
      <c r="T977" s="56">
        <v>25</v>
      </c>
      <c r="U977" s="56">
        <v>3</v>
      </c>
    </row>
    <row r="978" spans="1:21" ht="14.25" customHeight="1" thickBot="1" x14ac:dyDescent="0.4">
      <c r="A978" s="58">
        <v>962</v>
      </c>
      <c r="B978" s="69" t="s">
        <v>79</v>
      </c>
      <c r="C978" s="69" t="s">
        <v>80</v>
      </c>
      <c r="D978" s="70" t="s">
        <v>146</v>
      </c>
      <c r="E978" s="69" t="s">
        <v>2513</v>
      </c>
      <c r="F978" s="69" t="s">
        <v>202</v>
      </c>
      <c r="G978" s="69" t="s">
        <v>54</v>
      </c>
      <c r="H978" s="70">
        <v>2010</v>
      </c>
      <c r="I978" s="69"/>
      <c r="J978" s="69" t="s">
        <v>5094</v>
      </c>
      <c r="K978" s="71" t="s">
        <v>5095</v>
      </c>
      <c r="L978" s="71" t="s">
        <v>5096</v>
      </c>
      <c r="M978" s="71" t="s">
        <v>5097</v>
      </c>
      <c r="N978" s="69" t="s">
        <v>57</v>
      </c>
      <c r="O978" s="64">
        <v>1</v>
      </c>
      <c r="P978" s="72">
        <v>16050</v>
      </c>
      <c r="Q978" s="69" t="s">
        <v>5098</v>
      </c>
      <c r="R978" s="69"/>
      <c r="S978" s="68" t="s">
        <v>561</v>
      </c>
      <c r="T978" s="56">
        <v>25</v>
      </c>
      <c r="U978" s="56">
        <v>3</v>
      </c>
    </row>
    <row r="979" spans="1:21" ht="14.25" customHeight="1" x14ac:dyDescent="0.35">
      <c r="A979" s="47">
        <v>963</v>
      </c>
      <c r="B979" s="69" t="s">
        <v>79</v>
      </c>
      <c r="C979" s="69" t="s">
        <v>80</v>
      </c>
      <c r="D979" s="70" t="s">
        <v>154</v>
      </c>
      <c r="E979" s="69" t="s">
        <v>2513</v>
      </c>
      <c r="F979" s="69" t="s">
        <v>202</v>
      </c>
      <c r="G979" s="69" t="s">
        <v>54</v>
      </c>
      <c r="H979" s="70">
        <v>2010</v>
      </c>
      <c r="I979" s="69"/>
      <c r="J979" s="69" t="s">
        <v>5099</v>
      </c>
      <c r="K979" s="71" t="s">
        <v>5100</v>
      </c>
      <c r="L979" s="71" t="s">
        <v>5101</v>
      </c>
      <c r="M979" s="71" t="s">
        <v>5102</v>
      </c>
      <c r="N979" s="69" t="s">
        <v>57</v>
      </c>
      <c r="O979" s="64">
        <v>1</v>
      </c>
      <c r="P979" s="72">
        <v>16050</v>
      </c>
      <c r="Q979" s="69" t="s">
        <v>5103</v>
      </c>
      <c r="R979" s="69"/>
      <c r="S979" s="68" t="s">
        <v>561</v>
      </c>
      <c r="T979" s="56">
        <v>25</v>
      </c>
      <c r="U979" s="56">
        <v>3</v>
      </c>
    </row>
    <row r="980" spans="1:21" ht="14.25" customHeight="1" thickBot="1" x14ac:dyDescent="0.4">
      <c r="A980" s="58">
        <v>964</v>
      </c>
      <c r="B980" s="69" t="s">
        <v>79</v>
      </c>
      <c r="C980" s="69" t="s">
        <v>80</v>
      </c>
      <c r="D980" s="70" t="s">
        <v>161</v>
      </c>
      <c r="E980" s="69" t="s">
        <v>2513</v>
      </c>
      <c r="F980" s="69" t="s">
        <v>202</v>
      </c>
      <c r="G980" s="69" t="s">
        <v>54</v>
      </c>
      <c r="H980" s="70">
        <v>2010</v>
      </c>
      <c r="I980" s="69"/>
      <c r="J980" s="69" t="s">
        <v>5104</v>
      </c>
      <c r="K980" s="71" t="s">
        <v>5105</v>
      </c>
      <c r="L980" s="71" t="s">
        <v>5106</v>
      </c>
      <c r="M980" s="71" t="s">
        <v>5107</v>
      </c>
      <c r="N980" s="69" t="s">
        <v>57</v>
      </c>
      <c r="O980" s="64">
        <v>1</v>
      </c>
      <c r="P980" s="72">
        <v>16050</v>
      </c>
      <c r="Q980" s="69" t="s">
        <v>5108</v>
      </c>
      <c r="R980" s="69"/>
      <c r="S980" s="68" t="s">
        <v>561</v>
      </c>
      <c r="T980" s="56">
        <v>25</v>
      </c>
      <c r="U980" s="56">
        <v>3</v>
      </c>
    </row>
    <row r="981" spans="1:21" ht="14.25" customHeight="1" x14ac:dyDescent="0.35">
      <c r="A981" s="47">
        <v>965</v>
      </c>
      <c r="B981" s="69" t="s">
        <v>79</v>
      </c>
      <c r="C981" s="69" t="s">
        <v>80</v>
      </c>
      <c r="D981" s="70" t="s">
        <v>169</v>
      </c>
      <c r="E981" s="69" t="s">
        <v>1860</v>
      </c>
      <c r="F981" s="69" t="s">
        <v>202</v>
      </c>
      <c r="G981" s="69" t="s">
        <v>54</v>
      </c>
      <c r="H981" s="70">
        <v>2012</v>
      </c>
      <c r="I981" s="69"/>
      <c r="J981" s="69" t="s">
        <v>5109</v>
      </c>
      <c r="K981" s="71" t="s">
        <v>5110</v>
      </c>
      <c r="L981" s="71" t="s">
        <v>5111</v>
      </c>
      <c r="M981" s="71" t="s">
        <v>5112</v>
      </c>
      <c r="N981" s="69" t="s">
        <v>57</v>
      </c>
      <c r="O981" s="64">
        <v>1</v>
      </c>
      <c r="P981" s="72">
        <v>13177.55</v>
      </c>
      <c r="Q981" s="69" t="s">
        <v>5113</v>
      </c>
      <c r="R981" s="69"/>
      <c r="S981" s="68" t="s">
        <v>561</v>
      </c>
      <c r="T981" s="56">
        <v>25</v>
      </c>
      <c r="U981" s="56">
        <v>3</v>
      </c>
    </row>
    <row r="982" spans="1:21" ht="14.25" customHeight="1" thickBot="1" x14ac:dyDescent="0.4">
      <c r="A982" s="58">
        <v>966</v>
      </c>
      <c r="B982" s="69" t="s">
        <v>79</v>
      </c>
      <c r="C982" s="69" t="s">
        <v>80</v>
      </c>
      <c r="D982" s="70" t="s">
        <v>176</v>
      </c>
      <c r="E982" s="69" t="s">
        <v>230</v>
      </c>
      <c r="F982" s="69" t="s">
        <v>231</v>
      </c>
      <c r="G982" s="69" t="s">
        <v>54</v>
      </c>
      <c r="H982" s="70">
        <v>2013</v>
      </c>
      <c r="I982" s="69" t="s">
        <v>63</v>
      </c>
      <c r="J982" s="69" t="s">
        <v>5114</v>
      </c>
      <c r="K982" s="71" t="s">
        <v>5115</v>
      </c>
      <c r="L982" s="71" t="s">
        <v>5116</v>
      </c>
      <c r="M982" s="71" t="s">
        <v>5117</v>
      </c>
      <c r="N982" s="69" t="s">
        <v>57</v>
      </c>
      <c r="O982" s="64">
        <v>1</v>
      </c>
      <c r="P982" s="72">
        <v>18381.099999999999</v>
      </c>
      <c r="Q982" s="69" t="s">
        <v>5118</v>
      </c>
      <c r="R982" s="69"/>
      <c r="S982" s="68" t="s">
        <v>561</v>
      </c>
      <c r="T982" s="56">
        <v>25</v>
      </c>
      <c r="U982" s="56">
        <v>3</v>
      </c>
    </row>
    <row r="983" spans="1:21" ht="14.25" customHeight="1" x14ac:dyDescent="0.35">
      <c r="A983" s="47">
        <v>967</v>
      </c>
      <c r="B983" s="69" t="s">
        <v>79</v>
      </c>
      <c r="C983" s="69" t="s">
        <v>80</v>
      </c>
      <c r="D983" s="70" t="s">
        <v>1236</v>
      </c>
      <c r="E983" s="69" t="s">
        <v>138</v>
      </c>
      <c r="F983" s="69" t="s">
        <v>139</v>
      </c>
      <c r="G983" s="69" t="s">
        <v>140</v>
      </c>
      <c r="H983" s="70">
        <v>2014</v>
      </c>
      <c r="I983" s="69"/>
      <c r="J983" s="69" t="s">
        <v>5119</v>
      </c>
      <c r="K983" s="71" t="s">
        <v>5120</v>
      </c>
      <c r="L983" s="71" t="s">
        <v>5121</v>
      </c>
      <c r="M983" s="71" t="s">
        <v>5122</v>
      </c>
      <c r="N983" s="69" t="s">
        <v>57</v>
      </c>
      <c r="O983" s="64">
        <v>1</v>
      </c>
      <c r="P983" s="72">
        <v>17194</v>
      </c>
      <c r="Q983" s="69" t="s">
        <v>5123</v>
      </c>
      <c r="R983" s="69"/>
      <c r="S983" s="68" t="s">
        <v>561</v>
      </c>
      <c r="T983" s="56">
        <v>25</v>
      </c>
      <c r="U983" s="56">
        <v>3</v>
      </c>
    </row>
    <row r="984" spans="1:21" ht="14.25" customHeight="1" thickBot="1" x14ac:dyDescent="0.4">
      <c r="A984" s="58">
        <v>968</v>
      </c>
      <c r="B984" s="69" t="s">
        <v>79</v>
      </c>
      <c r="C984" s="69" t="s">
        <v>80</v>
      </c>
      <c r="D984" s="70" t="s">
        <v>181</v>
      </c>
      <c r="E984" s="69" t="s">
        <v>138</v>
      </c>
      <c r="F984" s="69" t="s">
        <v>139</v>
      </c>
      <c r="G984" s="69" t="s">
        <v>140</v>
      </c>
      <c r="H984" s="70">
        <v>2014</v>
      </c>
      <c r="I984" s="69"/>
      <c r="J984" s="69" t="s">
        <v>5124</v>
      </c>
      <c r="K984" s="71" t="s">
        <v>5125</v>
      </c>
      <c r="L984" s="71" t="s">
        <v>5126</v>
      </c>
      <c r="M984" s="71" t="s">
        <v>5127</v>
      </c>
      <c r="N984" s="69" t="s">
        <v>57</v>
      </c>
      <c r="O984" s="64">
        <v>1</v>
      </c>
      <c r="P984" s="72">
        <v>17194</v>
      </c>
      <c r="Q984" s="69" t="s">
        <v>5128</v>
      </c>
      <c r="R984" s="69"/>
      <c r="S984" s="68" t="s">
        <v>561</v>
      </c>
      <c r="T984" s="56">
        <v>25</v>
      </c>
      <c r="U984" s="56">
        <v>3</v>
      </c>
    </row>
    <row r="985" spans="1:21" ht="14.25" customHeight="1" x14ac:dyDescent="0.35">
      <c r="A985" s="47">
        <v>969</v>
      </c>
      <c r="B985" s="69" t="s">
        <v>79</v>
      </c>
      <c r="C985" s="69" t="s">
        <v>80</v>
      </c>
      <c r="D985" s="70" t="s">
        <v>187</v>
      </c>
      <c r="E985" s="69" t="s">
        <v>138</v>
      </c>
      <c r="F985" s="69" t="s">
        <v>139</v>
      </c>
      <c r="G985" s="69" t="s">
        <v>140</v>
      </c>
      <c r="H985" s="70">
        <v>2014</v>
      </c>
      <c r="I985" s="69"/>
      <c r="J985" s="69" t="s">
        <v>5129</v>
      </c>
      <c r="K985" s="71" t="s">
        <v>5130</v>
      </c>
      <c r="L985" s="71" t="s">
        <v>5131</v>
      </c>
      <c r="M985" s="71" t="s">
        <v>5132</v>
      </c>
      <c r="N985" s="69" t="s">
        <v>57</v>
      </c>
      <c r="O985" s="64">
        <v>1</v>
      </c>
      <c r="P985" s="72">
        <v>17194</v>
      </c>
      <c r="Q985" s="69" t="s">
        <v>5133</v>
      </c>
      <c r="R985" s="69"/>
      <c r="S985" s="68" t="s">
        <v>561</v>
      </c>
      <c r="T985" s="56">
        <v>25</v>
      </c>
      <c r="U985" s="56">
        <v>3</v>
      </c>
    </row>
    <row r="986" spans="1:21" ht="14.25" customHeight="1" thickBot="1" x14ac:dyDescent="0.4">
      <c r="A986" s="58">
        <v>970</v>
      </c>
      <c r="B986" s="69" t="s">
        <v>79</v>
      </c>
      <c r="C986" s="69" t="s">
        <v>80</v>
      </c>
      <c r="D986" s="70" t="s">
        <v>190</v>
      </c>
      <c r="E986" s="69" t="s">
        <v>138</v>
      </c>
      <c r="F986" s="69" t="s">
        <v>139</v>
      </c>
      <c r="G986" s="69" t="s">
        <v>140</v>
      </c>
      <c r="H986" s="70">
        <v>2014</v>
      </c>
      <c r="I986" s="69"/>
      <c r="J986" s="69" t="s">
        <v>5134</v>
      </c>
      <c r="K986" s="71" t="s">
        <v>5135</v>
      </c>
      <c r="L986" s="71" t="s">
        <v>5136</v>
      </c>
      <c r="M986" s="71" t="s">
        <v>5137</v>
      </c>
      <c r="N986" s="69" t="s">
        <v>57</v>
      </c>
      <c r="O986" s="64">
        <v>1</v>
      </c>
      <c r="P986" s="72">
        <v>17194</v>
      </c>
      <c r="Q986" s="69" t="s">
        <v>5138</v>
      </c>
      <c r="R986" s="69"/>
      <c r="S986" s="68" t="s">
        <v>561</v>
      </c>
      <c r="T986" s="56">
        <v>25</v>
      </c>
      <c r="U986" s="56">
        <v>3</v>
      </c>
    </row>
    <row r="987" spans="1:21" ht="14.25" customHeight="1" x14ac:dyDescent="0.35">
      <c r="A987" s="47">
        <v>971</v>
      </c>
      <c r="B987" s="69" t="s">
        <v>79</v>
      </c>
      <c r="C987" s="69" t="s">
        <v>80</v>
      </c>
      <c r="D987" s="70" t="s">
        <v>192</v>
      </c>
      <c r="E987" s="69" t="s">
        <v>138</v>
      </c>
      <c r="F987" s="69" t="s">
        <v>139</v>
      </c>
      <c r="G987" s="69" t="s">
        <v>140</v>
      </c>
      <c r="H987" s="70">
        <v>2014</v>
      </c>
      <c r="I987" s="69"/>
      <c r="J987" s="69" t="s">
        <v>5139</v>
      </c>
      <c r="K987" s="71" t="s">
        <v>5140</v>
      </c>
      <c r="L987" s="71" t="s">
        <v>5141</v>
      </c>
      <c r="M987" s="71" t="s">
        <v>5142</v>
      </c>
      <c r="N987" s="69" t="s">
        <v>57</v>
      </c>
      <c r="O987" s="64">
        <v>1</v>
      </c>
      <c r="P987" s="72">
        <v>17194</v>
      </c>
      <c r="Q987" s="69" t="s">
        <v>5143</v>
      </c>
      <c r="R987" s="69"/>
      <c r="S987" s="68" t="s">
        <v>561</v>
      </c>
      <c r="T987" s="56">
        <v>25</v>
      </c>
      <c r="U987" s="56">
        <v>3</v>
      </c>
    </row>
    <row r="988" spans="1:21" ht="14.25" customHeight="1" thickBot="1" x14ac:dyDescent="0.4">
      <c r="A988" s="58">
        <v>972</v>
      </c>
      <c r="B988" s="69" t="s">
        <v>79</v>
      </c>
      <c r="C988" s="69" t="s">
        <v>80</v>
      </c>
      <c r="D988" s="70" t="s">
        <v>194</v>
      </c>
      <c r="E988" s="69" t="s">
        <v>138</v>
      </c>
      <c r="F988" s="69" t="s">
        <v>139</v>
      </c>
      <c r="G988" s="69" t="s">
        <v>140</v>
      </c>
      <c r="H988" s="70">
        <v>2014</v>
      </c>
      <c r="I988" s="69"/>
      <c r="J988" s="69" t="s">
        <v>5144</v>
      </c>
      <c r="K988" s="71" t="s">
        <v>5145</v>
      </c>
      <c r="L988" s="71" t="s">
        <v>5146</v>
      </c>
      <c r="M988" s="71" t="s">
        <v>5147</v>
      </c>
      <c r="N988" s="69" t="s">
        <v>57</v>
      </c>
      <c r="O988" s="64">
        <v>1</v>
      </c>
      <c r="P988" s="72">
        <v>17194</v>
      </c>
      <c r="Q988" s="69" t="s">
        <v>5148</v>
      </c>
      <c r="R988" s="69"/>
      <c r="S988" s="68" t="s">
        <v>561</v>
      </c>
      <c r="T988" s="56">
        <v>25</v>
      </c>
      <c r="U988" s="56">
        <v>3</v>
      </c>
    </row>
    <row r="989" spans="1:21" ht="14.25" customHeight="1" x14ac:dyDescent="0.35">
      <c r="A989" s="47">
        <v>973</v>
      </c>
      <c r="B989" s="69" t="s">
        <v>79</v>
      </c>
      <c r="C989" s="69" t="s">
        <v>80</v>
      </c>
      <c r="D989" s="70" t="s">
        <v>195</v>
      </c>
      <c r="E989" s="69" t="s">
        <v>138</v>
      </c>
      <c r="F989" s="69" t="s">
        <v>139</v>
      </c>
      <c r="G989" s="69" t="s">
        <v>140</v>
      </c>
      <c r="H989" s="70">
        <v>2014</v>
      </c>
      <c r="I989" s="69"/>
      <c r="J989" s="69" t="s">
        <v>5149</v>
      </c>
      <c r="K989" s="71" t="s">
        <v>5150</v>
      </c>
      <c r="L989" s="71" t="s">
        <v>5151</v>
      </c>
      <c r="M989" s="71" t="s">
        <v>5152</v>
      </c>
      <c r="N989" s="69" t="s">
        <v>57</v>
      </c>
      <c r="O989" s="64">
        <v>1</v>
      </c>
      <c r="P989" s="72">
        <v>17194</v>
      </c>
      <c r="Q989" s="69" t="s">
        <v>5153</v>
      </c>
      <c r="R989" s="69"/>
      <c r="S989" s="68" t="s">
        <v>561</v>
      </c>
      <c r="T989" s="56">
        <v>25</v>
      </c>
      <c r="U989" s="56">
        <v>3</v>
      </c>
    </row>
    <row r="990" spans="1:21" ht="14.25" customHeight="1" thickBot="1" x14ac:dyDescent="0.4">
      <c r="A990" s="58">
        <v>974</v>
      </c>
      <c r="B990" s="69" t="s">
        <v>79</v>
      </c>
      <c r="C990" s="69" t="s">
        <v>80</v>
      </c>
      <c r="D990" s="70" t="s">
        <v>199</v>
      </c>
      <c r="E990" s="69" t="s">
        <v>138</v>
      </c>
      <c r="F990" s="69" t="s">
        <v>139</v>
      </c>
      <c r="G990" s="69" t="s">
        <v>140</v>
      </c>
      <c r="H990" s="70">
        <v>2014</v>
      </c>
      <c r="I990" s="69"/>
      <c r="J990" s="69" t="s">
        <v>5154</v>
      </c>
      <c r="K990" s="71" t="s">
        <v>5155</v>
      </c>
      <c r="L990" s="71" t="s">
        <v>5156</v>
      </c>
      <c r="M990" s="71" t="s">
        <v>5157</v>
      </c>
      <c r="N990" s="69" t="s">
        <v>57</v>
      </c>
      <c r="O990" s="64">
        <v>1</v>
      </c>
      <c r="P990" s="72">
        <v>17194</v>
      </c>
      <c r="Q990" s="69" t="s">
        <v>5158</v>
      </c>
      <c r="R990" s="69"/>
      <c r="S990" s="68" t="s">
        <v>561</v>
      </c>
      <c r="T990" s="56">
        <v>25</v>
      </c>
      <c r="U990" s="56">
        <v>3</v>
      </c>
    </row>
    <row r="991" spans="1:21" ht="14.25" customHeight="1" x14ac:dyDescent="0.35">
      <c r="A991" s="47">
        <v>975</v>
      </c>
      <c r="B991" s="69" t="s">
        <v>79</v>
      </c>
      <c r="C991" s="69" t="s">
        <v>80</v>
      </c>
      <c r="D991" s="70" t="s">
        <v>215</v>
      </c>
      <c r="E991" s="69" t="s">
        <v>138</v>
      </c>
      <c r="F991" s="69" t="s">
        <v>139</v>
      </c>
      <c r="G991" s="69" t="s">
        <v>140</v>
      </c>
      <c r="H991" s="70">
        <v>2014</v>
      </c>
      <c r="I991" s="69"/>
      <c r="J991" s="69" t="s">
        <v>5159</v>
      </c>
      <c r="K991" s="71" t="s">
        <v>5160</v>
      </c>
      <c r="L991" s="71" t="s">
        <v>5161</v>
      </c>
      <c r="M991" s="71" t="s">
        <v>5162</v>
      </c>
      <c r="N991" s="69" t="s">
        <v>57</v>
      </c>
      <c r="O991" s="64">
        <v>1</v>
      </c>
      <c r="P991" s="72">
        <v>17194</v>
      </c>
      <c r="Q991" s="69" t="s">
        <v>5163</v>
      </c>
      <c r="R991" s="69"/>
      <c r="S991" s="68" t="s">
        <v>561</v>
      </c>
      <c r="T991" s="56">
        <v>25</v>
      </c>
      <c r="U991" s="56">
        <v>3</v>
      </c>
    </row>
    <row r="992" spans="1:21" ht="14.25" customHeight="1" thickBot="1" x14ac:dyDescent="0.4">
      <c r="A992" s="58">
        <v>976</v>
      </c>
      <c r="B992" s="69" t="s">
        <v>79</v>
      </c>
      <c r="C992" s="69" t="s">
        <v>80</v>
      </c>
      <c r="D992" s="70" t="s">
        <v>223</v>
      </c>
      <c r="E992" s="69" t="s">
        <v>1377</v>
      </c>
      <c r="F992" s="69" t="s">
        <v>1378</v>
      </c>
      <c r="G992" s="69" t="s">
        <v>140</v>
      </c>
      <c r="H992" s="70">
        <v>2014</v>
      </c>
      <c r="I992" s="69"/>
      <c r="J992" s="69" t="s">
        <v>5164</v>
      </c>
      <c r="K992" s="71" t="s">
        <v>5165</v>
      </c>
      <c r="L992" s="71" t="s">
        <v>5166</v>
      </c>
      <c r="M992" s="71" t="s">
        <v>5167</v>
      </c>
      <c r="N992" s="69" t="s">
        <v>57</v>
      </c>
      <c r="O992" s="64">
        <v>1</v>
      </c>
      <c r="P992" s="72">
        <v>19189.532999999999</v>
      </c>
      <c r="Q992" s="69" t="s">
        <v>5168</v>
      </c>
      <c r="R992" s="69"/>
      <c r="S992" s="68" t="s">
        <v>561</v>
      </c>
      <c r="T992" s="56">
        <v>25</v>
      </c>
      <c r="U992" s="56">
        <v>3</v>
      </c>
    </row>
    <row r="993" spans="1:21" ht="14.25" customHeight="1" x14ac:dyDescent="0.35">
      <c r="A993" s="47">
        <v>977</v>
      </c>
      <c r="B993" s="69" t="s">
        <v>79</v>
      </c>
      <c r="C993" s="69" t="s">
        <v>80</v>
      </c>
      <c r="D993" s="70" t="s">
        <v>229</v>
      </c>
      <c r="E993" s="69" t="s">
        <v>4137</v>
      </c>
      <c r="F993" s="69" t="s">
        <v>4138</v>
      </c>
      <c r="G993" s="69" t="s">
        <v>140</v>
      </c>
      <c r="H993" s="70">
        <v>2015</v>
      </c>
      <c r="I993" s="69"/>
      <c r="J993" s="69" t="s">
        <v>5169</v>
      </c>
      <c r="K993" s="71" t="s">
        <v>5170</v>
      </c>
      <c r="L993" s="71" t="s">
        <v>5171</v>
      </c>
      <c r="M993" s="71" t="s">
        <v>5172</v>
      </c>
      <c r="N993" s="69" t="s">
        <v>57</v>
      </c>
      <c r="O993" s="64">
        <v>1</v>
      </c>
      <c r="P993" s="72">
        <v>16858</v>
      </c>
      <c r="Q993" s="69" t="s">
        <v>5173</v>
      </c>
      <c r="R993" s="69"/>
      <c r="S993" s="68" t="s">
        <v>561</v>
      </c>
      <c r="T993" s="56">
        <v>25</v>
      </c>
      <c r="U993" s="56">
        <v>3</v>
      </c>
    </row>
    <row r="994" spans="1:21" ht="14.25" customHeight="1" thickBot="1" x14ac:dyDescent="0.4">
      <c r="A994" s="58">
        <v>978</v>
      </c>
      <c r="B994" s="69" t="s">
        <v>79</v>
      </c>
      <c r="C994" s="69" t="s">
        <v>80</v>
      </c>
      <c r="D994" s="70" t="s">
        <v>238</v>
      </c>
      <c r="E994" s="69" t="s">
        <v>4137</v>
      </c>
      <c r="F994" s="69" t="s">
        <v>4138</v>
      </c>
      <c r="G994" s="69" t="s">
        <v>140</v>
      </c>
      <c r="H994" s="70">
        <v>2015</v>
      </c>
      <c r="I994" s="69" t="s">
        <v>63</v>
      </c>
      <c r="J994" s="69" t="s">
        <v>5174</v>
      </c>
      <c r="K994" s="71" t="s">
        <v>5175</v>
      </c>
      <c r="L994" s="71" t="s">
        <v>5176</v>
      </c>
      <c r="M994" s="71" t="s">
        <v>5177</v>
      </c>
      <c r="N994" s="69" t="s">
        <v>57</v>
      </c>
      <c r="O994" s="64">
        <v>1</v>
      </c>
      <c r="P994" s="72">
        <v>16858</v>
      </c>
      <c r="Q994" s="69" t="s">
        <v>5173</v>
      </c>
      <c r="R994" s="69"/>
      <c r="S994" s="68" t="s">
        <v>561</v>
      </c>
      <c r="T994" s="56">
        <v>25</v>
      </c>
      <c r="U994" s="56">
        <v>3</v>
      </c>
    </row>
    <row r="995" spans="1:21" ht="14.25" customHeight="1" x14ac:dyDescent="0.35">
      <c r="A995" s="47">
        <v>979</v>
      </c>
      <c r="B995" s="69" t="s">
        <v>79</v>
      </c>
      <c r="C995" s="69" t="s">
        <v>80</v>
      </c>
      <c r="D995" s="70" t="s">
        <v>244</v>
      </c>
      <c r="E995" s="69" t="s">
        <v>4137</v>
      </c>
      <c r="F995" s="69" t="s">
        <v>4138</v>
      </c>
      <c r="G995" s="69" t="s">
        <v>140</v>
      </c>
      <c r="H995" s="70">
        <v>2015</v>
      </c>
      <c r="I995" s="69"/>
      <c r="J995" s="69" t="s">
        <v>5178</v>
      </c>
      <c r="K995" s="71" t="s">
        <v>5179</v>
      </c>
      <c r="L995" s="71" t="s">
        <v>5180</v>
      </c>
      <c r="M995" s="71" t="s">
        <v>5181</v>
      </c>
      <c r="N995" s="69" t="s">
        <v>57</v>
      </c>
      <c r="O995" s="64">
        <v>1</v>
      </c>
      <c r="P995" s="72">
        <v>16858</v>
      </c>
      <c r="Q995" s="69" t="s">
        <v>5173</v>
      </c>
      <c r="R995" s="69"/>
      <c r="S995" s="68" t="s">
        <v>561</v>
      </c>
      <c r="T995" s="56">
        <v>25</v>
      </c>
      <c r="U995" s="56">
        <v>3</v>
      </c>
    </row>
    <row r="996" spans="1:21" ht="14.25" customHeight="1" thickBot="1" x14ac:dyDescent="0.4">
      <c r="A996" s="58">
        <v>980</v>
      </c>
      <c r="B996" s="69" t="s">
        <v>79</v>
      </c>
      <c r="C996" s="69" t="s">
        <v>80</v>
      </c>
      <c r="D996" s="70" t="s">
        <v>264</v>
      </c>
      <c r="E996" s="69" t="s">
        <v>5182</v>
      </c>
      <c r="F996" s="69" t="s">
        <v>63</v>
      </c>
      <c r="G996" s="69" t="s">
        <v>54</v>
      </c>
      <c r="H996" s="70">
        <v>2008</v>
      </c>
      <c r="I996" s="69" t="s">
        <v>63</v>
      </c>
      <c r="J996" s="69" t="s">
        <v>63</v>
      </c>
      <c r="K996" s="71" t="s">
        <v>5183</v>
      </c>
      <c r="L996" s="71" t="s">
        <v>5184</v>
      </c>
      <c r="M996" s="71" t="s">
        <v>63</v>
      </c>
      <c r="N996" s="69" t="s">
        <v>44</v>
      </c>
      <c r="O996" s="64">
        <v>1</v>
      </c>
      <c r="P996" s="72">
        <v>9000</v>
      </c>
      <c r="Q996" s="69" t="s">
        <v>5185</v>
      </c>
      <c r="R996" s="69"/>
      <c r="S996" s="68" t="s">
        <v>561</v>
      </c>
      <c r="T996" s="56">
        <v>25</v>
      </c>
      <c r="U996" s="56">
        <v>3</v>
      </c>
    </row>
    <row r="997" spans="1:21" ht="14.25" customHeight="1" x14ac:dyDescent="0.35">
      <c r="A997" s="47">
        <v>981</v>
      </c>
      <c r="B997" s="69" t="s">
        <v>79</v>
      </c>
      <c r="C997" s="69" t="s">
        <v>80</v>
      </c>
      <c r="D997" s="70" t="s">
        <v>269</v>
      </c>
      <c r="E997" s="69" t="s">
        <v>5186</v>
      </c>
      <c r="F997" s="69">
        <v>125</v>
      </c>
      <c r="G997" s="69" t="s">
        <v>54</v>
      </c>
      <c r="H997" s="70">
        <v>2008</v>
      </c>
      <c r="I997" s="69" t="s">
        <v>63</v>
      </c>
      <c r="J997" s="69" t="s">
        <v>5187</v>
      </c>
      <c r="K997" s="71" t="s">
        <v>5188</v>
      </c>
      <c r="L997" s="71" t="s">
        <v>5189</v>
      </c>
      <c r="M997" s="71" t="s">
        <v>5190</v>
      </c>
      <c r="N997" s="69" t="s">
        <v>44</v>
      </c>
      <c r="O997" s="64">
        <v>1</v>
      </c>
      <c r="P997" s="72">
        <v>9700</v>
      </c>
      <c r="Q997" s="69" t="s">
        <v>5185</v>
      </c>
      <c r="R997" s="69"/>
      <c r="S997" s="68" t="s">
        <v>561</v>
      </c>
      <c r="T997" s="56">
        <v>25</v>
      </c>
      <c r="U997" s="56">
        <v>3</v>
      </c>
    </row>
    <row r="998" spans="1:21" ht="14.25" customHeight="1" thickBot="1" x14ac:dyDescent="0.4">
      <c r="A998" s="58">
        <v>982</v>
      </c>
      <c r="B998" s="69" t="s">
        <v>79</v>
      </c>
      <c r="C998" s="69" t="s">
        <v>80</v>
      </c>
      <c r="D998" s="70" t="s">
        <v>286</v>
      </c>
      <c r="E998" s="69" t="s">
        <v>1110</v>
      </c>
      <c r="F998" s="69" t="s">
        <v>163</v>
      </c>
      <c r="G998" s="69" t="s">
        <v>140</v>
      </c>
      <c r="H998" s="70">
        <v>2017</v>
      </c>
      <c r="I998" s="69" t="s">
        <v>63</v>
      </c>
      <c r="J998" s="69" t="s">
        <v>5191</v>
      </c>
      <c r="K998" s="71" t="s">
        <v>5192</v>
      </c>
      <c r="L998" s="71" t="s">
        <v>5193</v>
      </c>
      <c r="M998" s="71" t="s">
        <v>5194</v>
      </c>
      <c r="N998" s="69" t="s">
        <v>57</v>
      </c>
      <c r="O998" s="64">
        <v>1</v>
      </c>
      <c r="P998" s="72">
        <v>15846.6</v>
      </c>
      <c r="Q998" s="69" t="s">
        <v>1793</v>
      </c>
      <c r="R998" s="69"/>
      <c r="S998" s="68" t="s">
        <v>561</v>
      </c>
      <c r="T998" s="56">
        <v>25</v>
      </c>
      <c r="U998" s="56">
        <v>3</v>
      </c>
    </row>
    <row r="999" spans="1:21" ht="14.25" customHeight="1" x14ac:dyDescent="0.35">
      <c r="A999" s="47">
        <v>983</v>
      </c>
      <c r="B999" s="69" t="s">
        <v>79</v>
      </c>
      <c r="C999" s="69" t="s">
        <v>80</v>
      </c>
      <c r="D999" s="70" t="s">
        <v>298</v>
      </c>
      <c r="E999" s="69" t="s">
        <v>2648</v>
      </c>
      <c r="F999" s="69" t="s">
        <v>1906</v>
      </c>
      <c r="G999" s="69" t="s">
        <v>54</v>
      </c>
      <c r="H999" s="70">
        <v>2005</v>
      </c>
      <c r="I999" s="69" t="s">
        <v>63</v>
      </c>
      <c r="J999" s="69" t="s">
        <v>5195</v>
      </c>
      <c r="K999" s="71" t="s">
        <v>5196</v>
      </c>
      <c r="L999" s="71" t="s">
        <v>5197</v>
      </c>
      <c r="M999" s="71" t="s">
        <v>5198</v>
      </c>
      <c r="N999" s="69" t="s">
        <v>57</v>
      </c>
      <c r="O999" s="64">
        <v>1</v>
      </c>
      <c r="P999" s="72">
        <v>15150</v>
      </c>
      <c r="Q999" s="69" t="s">
        <v>4966</v>
      </c>
      <c r="R999" s="69"/>
      <c r="S999" s="68" t="s">
        <v>561</v>
      </c>
      <c r="T999" s="56">
        <v>25</v>
      </c>
      <c r="U999" s="56">
        <v>3</v>
      </c>
    </row>
    <row r="1000" spans="1:21" ht="14.25" customHeight="1" thickBot="1" x14ac:dyDescent="0.4">
      <c r="A1000" s="58">
        <v>984</v>
      </c>
      <c r="B1000" s="69" t="s">
        <v>79</v>
      </c>
      <c r="C1000" s="69" t="s">
        <v>80</v>
      </c>
      <c r="D1000" s="70" t="s">
        <v>304</v>
      </c>
      <c r="E1000" s="69" t="s">
        <v>2795</v>
      </c>
      <c r="F1000" s="69" t="s">
        <v>88</v>
      </c>
      <c r="G1000" s="69" t="s">
        <v>247</v>
      </c>
      <c r="H1000" s="70">
        <v>2010</v>
      </c>
      <c r="I1000" s="69" t="s">
        <v>63</v>
      </c>
      <c r="J1000" s="69" t="s">
        <v>5199</v>
      </c>
      <c r="K1000" s="71" t="s">
        <v>5200</v>
      </c>
      <c r="L1000" s="71" t="s">
        <v>5201</v>
      </c>
      <c r="M1000" s="71" t="s">
        <v>5202</v>
      </c>
      <c r="N1000" s="69" t="s">
        <v>57</v>
      </c>
      <c r="O1000" s="64">
        <v>1</v>
      </c>
      <c r="P1000" s="72">
        <v>16800</v>
      </c>
      <c r="Q1000" s="69" t="s">
        <v>4966</v>
      </c>
      <c r="R1000" s="69"/>
      <c r="S1000" s="68" t="s">
        <v>561</v>
      </c>
      <c r="T1000" s="56">
        <v>25</v>
      </c>
      <c r="U1000" s="56">
        <v>3</v>
      </c>
    </row>
    <row r="1001" spans="1:21" ht="14.25" customHeight="1" x14ac:dyDescent="0.35">
      <c r="A1001" s="47">
        <v>985</v>
      </c>
      <c r="B1001" s="69" t="s">
        <v>1553</v>
      </c>
      <c r="C1001" s="69" t="s">
        <v>1554</v>
      </c>
      <c r="D1001" s="70" t="s">
        <v>51</v>
      </c>
      <c r="E1001" s="69" t="s">
        <v>5203</v>
      </c>
      <c r="F1001" s="69" t="s">
        <v>5204</v>
      </c>
      <c r="G1001" s="69" t="s">
        <v>54</v>
      </c>
      <c r="H1001" s="70">
        <v>2014</v>
      </c>
      <c r="I1001" s="69"/>
      <c r="J1001" s="69" t="s">
        <v>5205</v>
      </c>
      <c r="K1001" s="71" t="s">
        <v>5206</v>
      </c>
      <c r="L1001" s="71" t="s">
        <v>5207</v>
      </c>
      <c r="M1001" s="71" t="s">
        <v>5208</v>
      </c>
      <c r="N1001" s="69" t="s">
        <v>57</v>
      </c>
      <c r="O1001" s="64">
        <v>1</v>
      </c>
      <c r="P1001" s="72">
        <v>347462</v>
      </c>
      <c r="Q1001" s="69" t="s">
        <v>5209</v>
      </c>
      <c r="R1001" s="69"/>
      <c r="S1001" s="68" t="s">
        <v>561</v>
      </c>
      <c r="T1001" s="56">
        <v>25</v>
      </c>
      <c r="U1001" s="56">
        <v>4</v>
      </c>
    </row>
    <row r="1002" spans="1:21" ht="14.25" customHeight="1" thickBot="1" x14ac:dyDescent="0.4">
      <c r="A1002" s="58">
        <v>986</v>
      </c>
      <c r="B1002" s="69" t="s">
        <v>1806</v>
      </c>
      <c r="C1002" s="69" t="s">
        <v>1807</v>
      </c>
      <c r="D1002" s="70" t="s">
        <v>59</v>
      </c>
      <c r="E1002" s="69" t="s">
        <v>5210</v>
      </c>
      <c r="F1002" s="69" t="s">
        <v>7863</v>
      </c>
      <c r="G1002" s="69" t="s">
        <v>54</v>
      </c>
      <c r="H1002" s="70">
        <v>2023</v>
      </c>
      <c r="I1002" s="69" t="s">
        <v>63</v>
      </c>
      <c r="J1002" s="69" t="s">
        <v>5211</v>
      </c>
      <c r="K1002" s="71" t="s">
        <v>5212</v>
      </c>
      <c r="L1002" s="71" t="s">
        <v>5213</v>
      </c>
      <c r="M1002" s="71" t="s">
        <v>5214</v>
      </c>
      <c r="N1002" s="69" t="s">
        <v>44</v>
      </c>
      <c r="O1002" s="64">
        <v>1</v>
      </c>
      <c r="P1002" s="72">
        <v>479300</v>
      </c>
      <c r="Q1002" s="69" t="s">
        <v>5215</v>
      </c>
      <c r="R1002" s="69"/>
      <c r="S1002" s="121" t="s">
        <v>580</v>
      </c>
      <c r="T1002" s="56">
        <v>26</v>
      </c>
      <c r="U1002" s="56">
        <v>4</v>
      </c>
    </row>
    <row r="1003" spans="1:21" ht="14.25" customHeight="1" x14ac:dyDescent="0.35">
      <c r="A1003" s="47">
        <v>987</v>
      </c>
      <c r="B1003" s="69" t="s">
        <v>79</v>
      </c>
      <c r="C1003" s="69" t="s">
        <v>80</v>
      </c>
      <c r="D1003" s="70" t="s">
        <v>59</v>
      </c>
      <c r="E1003" s="69" t="s">
        <v>138</v>
      </c>
      <c r="F1003" s="69" t="s">
        <v>139</v>
      </c>
      <c r="G1003" s="69" t="s">
        <v>140</v>
      </c>
      <c r="H1003" s="70">
        <v>2014</v>
      </c>
      <c r="I1003" s="69" t="s">
        <v>63</v>
      </c>
      <c r="J1003" s="69" t="s">
        <v>5216</v>
      </c>
      <c r="K1003" s="71" t="s">
        <v>5217</v>
      </c>
      <c r="L1003" s="71" t="s">
        <v>5218</v>
      </c>
      <c r="M1003" s="71" t="s">
        <v>5219</v>
      </c>
      <c r="N1003" s="69" t="s">
        <v>57</v>
      </c>
      <c r="O1003" s="64">
        <v>1</v>
      </c>
      <c r="P1003" s="72">
        <v>17194</v>
      </c>
      <c r="Q1003" s="69" t="s">
        <v>5220</v>
      </c>
      <c r="R1003" s="69"/>
      <c r="S1003" s="121" t="s">
        <v>580</v>
      </c>
      <c r="T1003" s="56">
        <v>26</v>
      </c>
      <c r="U1003" s="56">
        <v>3</v>
      </c>
    </row>
    <row r="1004" spans="1:21" ht="14.25" customHeight="1" thickBot="1" x14ac:dyDescent="0.4">
      <c r="A1004" s="58">
        <v>988</v>
      </c>
      <c r="B1004" s="69" t="s">
        <v>79</v>
      </c>
      <c r="C1004" s="69" t="s">
        <v>80</v>
      </c>
      <c r="D1004" s="70" t="s">
        <v>97</v>
      </c>
      <c r="E1004" s="69" t="s">
        <v>138</v>
      </c>
      <c r="F1004" s="69" t="s">
        <v>139</v>
      </c>
      <c r="G1004" s="69" t="s">
        <v>140</v>
      </c>
      <c r="H1004" s="70">
        <v>2014</v>
      </c>
      <c r="I1004" s="69" t="s">
        <v>63</v>
      </c>
      <c r="J1004" s="69" t="s">
        <v>5221</v>
      </c>
      <c r="K1004" s="71" t="s">
        <v>5222</v>
      </c>
      <c r="L1004" s="71" t="s">
        <v>5223</v>
      </c>
      <c r="M1004" s="71" t="s">
        <v>5224</v>
      </c>
      <c r="N1004" s="69" t="s">
        <v>57</v>
      </c>
      <c r="O1004" s="64">
        <v>1</v>
      </c>
      <c r="P1004" s="72">
        <v>17194</v>
      </c>
      <c r="Q1004" s="69" t="s">
        <v>4966</v>
      </c>
      <c r="R1004" s="69"/>
      <c r="S1004" s="121" t="s">
        <v>580</v>
      </c>
      <c r="T1004" s="56">
        <v>26</v>
      </c>
      <c r="U1004" s="56">
        <v>3</v>
      </c>
    </row>
    <row r="1005" spans="1:21" ht="14.25" customHeight="1" x14ac:dyDescent="0.35">
      <c r="A1005" s="47">
        <v>989</v>
      </c>
      <c r="B1005" s="69" t="s">
        <v>79</v>
      </c>
      <c r="C1005" s="69" t="s">
        <v>80</v>
      </c>
      <c r="D1005" s="70" t="s">
        <v>101</v>
      </c>
      <c r="E1005" s="69" t="s">
        <v>5225</v>
      </c>
      <c r="F1005" s="69">
        <v>125</v>
      </c>
      <c r="G1005" s="69" t="s">
        <v>54</v>
      </c>
      <c r="H1005" s="70">
        <v>2010</v>
      </c>
      <c r="I1005" s="69"/>
      <c r="J1005" s="69" t="s">
        <v>5226</v>
      </c>
      <c r="K1005" s="71" t="s">
        <v>5227</v>
      </c>
      <c r="L1005" s="71" t="s">
        <v>5228</v>
      </c>
      <c r="M1005" s="71" t="s">
        <v>5229</v>
      </c>
      <c r="N1005" s="69" t="s">
        <v>57</v>
      </c>
      <c r="O1005" s="64">
        <v>1</v>
      </c>
      <c r="P1005" s="72">
        <v>15000</v>
      </c>
      <c r="Q1005" s="69" t="s">
        <v>5230</v>
      </c>
      <c r="R1005" s="69"/>
      <c r="S1005" s="121" t="s">
        <v>580</v>
      </c>
      <c r="T1005" s="56">
        <v>26</v>
      </c>
      <c r="U1005" s="56">
        <v>3</v>
      </c>
    </row>
    <row r="1006" spans="1:21" ht="14.25" customHeight="1" thickBot="1" x14ac:dyDescent="0.4">
      <c r="A1006" s="58">
        <v>990</v>
      </c>
      <c r="B1006" s="69" t="s">
        <v>79</v>
      </c>
      <c r="C1006" s="69" t="s">
        <v>80</v>
      </c>
      <c r="D1006" s="70" t="s">
        <v>107</v>
      </c>
      <c r="E1006" s="69" t="s">
        <v>5225</v>
      </c>
      <c r="F1006" s="69" t="s">
        <v>88</v>
      </c>
      <c r="G1006" s="69" t="s">
        <v>54</v>
      </c>
      <c r="H1006" s="70">
        <v>2010</v>
      </c>
      <c r="I1006" s="69" t="s">
        <v>63</v>
      </c>
      <c r="J1006" s="69" t="s">
        <v>5231</v>
      </c>
      <c r="K1006" s="71" t="s">
        <v>5232</v>
      </c>
      <c r="L1006" s="71" t="s">
        <v>5233</v>
      </c>
      <c r="M1006" s="71" t="s">
        <v>5234</v>
      </c>
      <c r="N1006" s="69" t="s">
        <v>57</v>
      </c>
      <c r="O1006" s="64">
        <v>1</v>
      </c>
      <c r="P1006" s="72">
        <v>15000</v>
      </c>
      <c r="Q1006" s="69" t="s">
        <v>5235</v>
      </c>
      <c r="R1006" s="69"/>
      <c r="S1006" s="121" t="s">
        <v>580</v>
      </c>
      <c r="T1006" s="56">
        <v>26</v>
      </c>
      <c r="U1006" s="56">
        <v>3</v>
      </c>
    </row>
    <row r="1007" spans="1:21" ht="14.25" customHeight="1" x14ac:dyDescent="0.35">
      <c r="A1007" s="47">
        <v>991</v>
      </c>
      <c r="B1007" s="69" t="s">
        <v>79</v>
      </c>
      <c r="C1007" s="69" t="s">
        <v>80</v>
      </c>
      <c r="D1007" s="70" t="s">
        <v>112</v>
      </c>
      <c r="E1007" s="69" t="s">
        <v>5225</v>
      </c>
      <c r="F1007" s="69" t="s">
        <v>88</v>
      </c>
      <c r="G1007" s="69" t="s">
        <v>54</v>
      </c>
      <c r="H1007" s="70">
        <v>2010</v>
      </c>
      <c r="I1007" s="69" t="s">
        <v>63</v>
      </c>
      <c r="J1007" s="69" t="s">
        <v>5236</v>
      </c>
      <c r="K1007" s="71" t="s">
        <v>5237</v>
      </c>
      <c r="L1007" s="71" t="s">
        <v>5238</v>
      </c>
      <c r="M1007" s="71" t="s">
        <v>5239</v>
      </c>
      <c r="N1007" s="69" t="s">
        <v>57</v>
      </c>
      <c r="O1007" s="64">
        <v>1</v>
      </c>
      <c r="P1007" s="72">
        <v>15000</v>
      </c>
      <c r="Q1007" s="69" t="s">
        <v>7902</v>
      </c>
      <c r="R1007" s="69"/>
      <c r="S1007" s="121" t="s">
        <v>580</v>
      </c>
      <c r="T1007" s="56">
        <v>26</v>
      </c>
      <c r="U1007" s="56">
        <v>3</v>
      </c>
    </row>
    <row r="1008" spans="1:21" ht="14.25" customHeight="1" thickBot="1" x14ac:dyDescent="0.4">
      <c r="A1008" s="58">
        <v>992</v>
      </c>
      <c r="B1008" s="69" t="s">
        <v>79</v>
      </c>
      <c r="C1008" s="69" t="s">
        <v>80</v>
      </c>
      <c r="D1008" s="70" t="s">
        <v>116</v>
      </c>
      <c r="E1008" s="69" t="s">
        <v>5225</v>
      </c>
      <c r="F1008" s="69" t="s">
        <v>88</v>
      </c>
      <c r="G1008" s="69" t="s">
        <v>54</v>
      </c>
      <c r="H1008" s="70">
        <v>2010</v>
      </c>
      <c r="I1008" s="69" t="s">
        <v>63</v>
      </c>
      <c r="J1008" s="69" t="s">
        <v>5241</v>
      </c>
      <c r="K1008" s="71" t="s">
        <v>5242</v>
      </c>
      <c r="L1008" s="71" t="s">
        <v>5243</v>
      </c>
      <c r="M1008" s="71" t="s">
        <v>5244</v>
      </c>
      <c r="N1008" s="69" t="s">
        <v>57</v>
      </c>
      <c r="O1008" s="64">
        <v>1</v>
      </c>
      <c r="P1008" s="72">
        <v>15000</v>
      </c>
      <c r="Q1008" s="69" t="s">
        <v>5245</v>
      </c>
      <c r="R1008" s="69"/>
      <c r="S1008" s="121" t="s">
        <v>580</v>
      </c>
      <c r="T1008" s="56">
        <v>26</v>
      </c>
      <c r="U1008" s="56">
        <v>3</v>
      </c>
    </row>
    <row r="1009" spans="1:21" ht="14.25" customHeight="1" x14ac:dyDescent="0.35">
      <c r="A1009" s="47">
        <v>993</v>
      </c>
      <c r="B1009" s="69" t="s">
        <v>79</v>
      </c>
      <c r="C1009" s="69" t="s">
        <v>80</v>
      </c>
      <c r="D1009" s="70" t="s">
        <v>841</v>
      </c>
      <c r="E1009" s="69" t="s">
        <v>5225</v>
      </c>
      <c r="F1009" s="69" t="s">
        <v>88</v>
      </c>
      <c r="G1009" s="69" t="s">
        <v>54</v>
      </c>
      <c r="H1009" s="70">
        <v>2010</v>
      </c>
      <c r="I1009" s="69" t="s">
        <v>63</v>
      </c>
      <c r="J1009" s="69" t="s">
        <v>5246</v>
      </c>
      <c r="K1009" s="71" t="s">
        <v>5247</v>
      </c>
      <c r="L1009" s="71" t="s">
        <v>5248</v>
      </c>
      <c r="M1009" s="71" t="s">
        <v>5249</v>
      </c>
      <c r="N1009" s="69" t="s">
        <v>57</v>
      </c>
      <c r="O1009" s="64">
        <v>1</v>
      </c>
      <c r="P1009" s="72">
        <v>15000</v>
      </c>
      <c r="Q1009" s="69" t="s">
        <v>5240</v>
      </c>
      <c r="R1009" s="69"/>
      <c r="S1009" s="121" t="s">
        <v>580</v>
      </c>
      <c r="T1009" s="56">
        <v>26</v>
      </c>
      <c r="U1009" s="56">
        <v>3</v>
      </c>
    </row>
    <row r="1010" spans="1:21" ht="14.25" customHeight="1" thickBot="1" x14ac:dyDescent="0.4">
      <c r="A1010" s="58">
        <v>994</v>
      </c>
      <c r="B1010" s="69" t="s">
        <v>79</v>
      </c>
      <c r="C1010" s="69" t="s">
        <v>80</v>
      </c>
      <c r="D1010" s="70" t="s">
        <v>904</v>
      </c>
      <c r="E1010" s="69" t="s">
        <v>5225</v>
      </c>
      <c r="F1010" s="69" t="s">
        <v>88</v>
      </c>
      <c r="G1010" s="69" t="s">
        <v>54</v>
      </c>
      <c r="H1010" s="70">
        <v>2010</v>
      </c>
      <c r="I1010" s="69" t="s">
        <v>63</v>
      </c>
      <c r="J1010" s="69" t="s">
        <v>5250</v>
      </c>
      <c r="K1010" s="71" t="s">
        <v>5251</v>
      </c>
      <c r="L1010" s="71" t="s">
        <v>5252</v>
      </c>
      <c r="M1010" s="71" t="s">
        <v>5253</v>
      </c>
      <c r="N1010" s="69" t="s">
        <v>57</v>
      </c>
      <c r="O1010" s="64">
        <v>1</v>
      </c>
      <c r="P1010" s="72">
        <v>15000</v>
      </c>
      <c r="Q1010" s="69" t="s">
        <v>5254</v>
      </c>
      <c r="R1010" s="69"/>
      <c r="S1010" s="121" t="s">
        <v>580</v>
      </c>
      <c r="T1010" s="56">
        <v>26</v>
      </c>
      <c r="U1010" s="56">
        <v>3</v>
      </c>
    </row>
    <row r="1011" spans="1:21" ht="14.25" customHeight="1" x14ac:dyDescent="0.35">
      <c r="A1011" s="47">
        <v>995</v>
      </c>
      <c r="B1011" s="69" t="s">
        <v>79</v>
      </c>
      <c r="C1011" s="69" t="s">
        <v>80</v>
      </c>
      <c r="D1011" s="70" t="s">
        <v>122</v>
      </c>
      <c r="E1011" s="69" t="s">
        <v>5225</v>
      </c>
      <c r="F1011" s="69" t="s">
        <v>88</v>
      </c>
      <c r="G1011" s="69" t="s">
        <v>54</v>
      </c>
      <c r="H1011" s="70">
        <v>2010</v>
      </c>
      <c r="I1011" s="69" t="s">
        <v>63</v>
      </c>
      <c r="J1011" s="69" t="s">
        <v>5255</v>
      </c>
      <c r="K1011" s="71" t="s">
        <v>5256</v>
      </c>
      <c r="L1011" s="71" t="s">
        <v>5257</v>
      </c>
      <c r="M1011" s="71" t="s">
        <v>5258</v>
      </c>
      <c r="N1011" s="69" t="s">
        <v>57</v>
      </c>
      <c r="O1011" s="64">
        <v>1</v>
      </c>
      <c r="P1011" s="72">
        <v>15000</v>
      </c>
      <c r="Q1011" s="69" t="s">
        <v>5259</v>
      </c>
      <c r="R1011" s="69"/>
      <c r="S1011" s="121" t="s">
        <v>580</v>
      </c>
      <c r="T1011" s="56">
        <v>26</v>
      </c>
      <c r="U1011" s="56">
        <v>3</v>
      </c>
    </row>
    <row r="1012" spans="1:21" ht="14.25" customHeight="1" thickBot="1" x14ac:dyDescent="0.4">
      <c r="A1012" s="58">
        <v>996</v>
      </c>
      <c r="B1012" s="69" t="s">
        <v>79</v>
      </c>
      <c r="C1012" s="69" t="s">
        <v>80</v>
      </c>
      <c r="D1012" s="70" t="s">
        <v>126</v>
      </c>
      <c r="E1012" s="69" t="s">
        <v>5260</v>
      </c>
      <c r="F1012" s="69" t="s">
        <v>88</v>
      </c>
      <c r="G1012" s="69" t="s">
        <v>54</v>
      </c>
      <c r="H1012" s="70">
        <v>2011</v>
      </c>
      <c r="I1012" s="69" t="s">
        <v>63</v>
      </c>
      <c r="J1012" s="69" t="s">
        <v>5261</v>
      </c>
      <c r="K1012" s="71" t="s">
        <v>5262</v>
      </c>
      <c r="L1012" s="71" t="s">
        <v>5263</v>
      </c>
      <c r="M1012" s="71" t="s">
        <v>5264</v>
      </c>
      <c r="N1012" s="69" t="s">
        <v>57</v>
      </c>
      <c r="O1012" s="64">
        <v>1</v>
      </c>
      <c r="P1012" s="72">
        <v>16036.25</v>
      </c>
      <c r="Q1012" s="69" t="s">
        <v>7903</v>
      </c>
      <c r="R1012" s="69"/>
      <c r="S1012" s="121" t="s">
        <v>580</v>
      </c>
      <c r="T1012" s="56">
        <v>26</v>
      </c>
      <c r="U1012" s="56">
        <v>3</v>
      </c>
    </row>
    <row r="1013" spans="1:21" ht="14.25" customHeight="1" x14ac:dyDescent="0.35">
      <c r="A1013" s="47">
        <v>997</v>
      </c>
      <c r="B1013" s="69" t="s">
        <v>79</v>
      </c>
      <c r="C1013" s="69" t="s">
        <v>80</v>
      </c>
      <c r="D1013" s="70" t="s">
        <v>132</v>
      </c>
      <c r="E1013" s="69" t="s">
        <v>5260</v>
      </c>
      <c r="F1013" s="69" t="s">
        <v>88</v>
      </c>
      <c r="G1013" s="69" t="s">
        <v>54</v>
      </c>
      <c r="H1013" s="70">
        <v>2011</v>
      </c>
      <c r="I1013" s="69" t="s">
        <v>63</v>
      </c>
      <c r="J1013" s="69" t="s">
        <v>5265</v>
      </c>
      <c r="K1013" s="71" t="s">
        <v>5266</v>
      </c>
      <c r="L1013" s="71" t="s">
        <v>5267</v>
      </c>
      <c r="M1013" s="71" t="s">
        <v>5268</v>
      </c>
      <c r="N1013" s="69" t="s">
        <v>57</v>
      </c>
      <c r="O1013" s="64">
        <v>1</v>
      </c>
      <c r="P1013" s="72">
        <v>16036.25</v>
      </c>
      <c r="Q1013" s="69" t="s">
        <v>7904</v>
      </c>
      <c r="R1013" s="69"/>
      <c r="S1013" s="121" t="s">
        <v>580</v>
      </c>
      <c r="T1013" s="56">
        <v>26</v>
      </c>
      <c r="U1013" s="56">
        <v>3</v>
      </c>
    </row>
    <row r="1014" spans="1:21" ht="14.25" customHeight="1" thickBot="1" x14ac:dyDescent="0.4">
      <c r="A1014" s="58">
        <v>998</v>
      </c>
      <c r="B1014" s="69" t="s">
        <v>79</v>
      </c>
      <c r="C1014" s="69" t="s">
        <v>80</v>
      </c>
      <c r="D1014" s="70" t="s">
        <v>137</v>
      </c>
      <c r="E1014" s="69" t="s">
        <v>5260</v>
      </c>
      <c r="F1014" s="69" t="s">
        <v>88</v>
      </c>
      <c r="G1014" s="69" t="s">
        <v>54</v>
      </c>
      <c r="H1014" s="70">
        <v>2011</v>
      </c>
      <c r="I1014" s="69" t="s">
        <v>63</v>
      </c>
      <c r="J1014" s="69" t="s">
        <v>5269</v>
      </c>
      <c r="K1014" s="71" t="s">
        <v>5270</v>
      </c>
      <c r="L1014" s="71" t="s">
        <v>5271</v>
      </c>
      <c r="M1014" s="71" t="s">
        <v>5272</v>
      </c>
      <c r="N1014" s="69" t="s">
        <v>57</v>
      </c>
      <c r="O1014" s="64">
        <v>1</v>
      </c>
      <c r="P1014" s="72">
        <v>16036.25</v>
      </c>
      <c r="Q1014" s="69" t="s">
        <v>5273</v>
      </c>
      <c r="R1014" s="69"/>
      <c r="S1014" s="121" t="s">
        <v>580</v>
      </c>
      <c r="T1014" s="56">
        <v>26</v>
      </c>
      <c r="U1014" s="56">
        <v>3</v>
      </c>
    </row>
    <row r="1015" spans="1:21" ht="14.25" customHeight="1" x14ac:dyDescent="0.35">
      <c r="A1015" s="47">
        <v>999</v>
      </c>
      <c r="B1015" s="69" t="s">
        <v>79</v>
      </c>
      <c r="C1015" s="69" t="s">
        <v>80</v>
      </c>
      <c r="D1015" s="70" t="s">
        <v>146</v>
      </c>
      <c r="E1015" s="69" t="s">
        <v>5260</v>
      </c>
      <c r="F1015" s="69" t="s">
        <v>88</v>
      </c>
      <c r="G1015" s="69" t="s">
        <v>54</v>
      </c>
      <c r="H1015" s="70">
        <v>2011</v>
      </c>
      <c r="I1015" s="69" t="s">
        <v>63</v>
      </c>
      <c r="J1015" s="69" t="s">
        <v>5274</v>
      </c>
      <c r="K1015" s="71" t="s">
        <v>5275</v>
      </c>
      <c r="L1015" s="71" t="s">
        <v>5276</v>
      </c>
      <c r="M1015" s="71" t="s">
        <v>5277</v>
      </c>
      <c r="N1015" s="69" t="s">
        <v>57</v>
      </c>
      <c r="O1015" s="64">
        <v>1</v>
      </c>
      <c r="P1015" s="72">
        <v>16036.25</v>
      </c>
      <c r="Q1015" s="69" t="s">
        <v>5278</v>
      </c>
      <c r="R1015" s="69"/>
      <c r="S1015" s="121" t="s">
        <v>580</v>
      </c>
      <c r="T1015" s="56">
        <v>26</v>
      </c>
      <c r="U1015" s="56">
        <v>3</v>
      </c>
    </row>
    <row r="1016" spans="1:21" ht="14.25" customHeight="1" thickBot="1" x14ac:dyDescent="0.4">
      <c r="A1016" s="58">
        <v>1000</v>
      </c>
      <c r="B1016" s="69" t="s">
        <v>79</v>
      </c>
      <c r="C1016" s="69" t="s">
        <v>80</v>
      </c>
      <c r="D1016" s="70" t="s">
        <v>154</v>
      </c>
      <c r="E1016" s="69" t="s">
        <v>5279</v>
      </c>
      <c r="F1016" s="69" t="s">
        <v>88</v>
      </c>
      <c r="G1016" s="69" t="s">
        <v>54</v>
      </c>
      <c r="H1016" s="70">
        <v>2011</v>
      </c>
      <c r="I1016" s="69" t="s">
        <v>63</v>
      </c>
      <c r="J1016" s="69" t="s">
        <v>5280</v>
      </c>
      <c r="K1016" s="71" t="s">
        <v>5281</v>
      </c>
      <c r="L1016" s="71" t="s">
        <v>5282</v>
      </c>
      <c r="M1016" s="71" t="s">
        <v>5283</v>
      </c>
      <c r="N1016" s="69" t="s">
        <v>57</v>
      </c>
      <c r="O1016" s="64">
        <v>1</v>
      </c>
      <c r="P1016" s="72">
        <v>16345.25</v>
      </c>
      <c r="Q1016" s="69" t="s">
        <v>5284</v>
      </c>
      <c r="R1016" s="69"/>
      <c r="S1016" s="121" t="s">
        <v>580</v>
      </c>
      <c r="T1016" s="56">
        <v>26</v>
      </c>
      <c r="U1016" s="56">
        <v>3</v>
      </c>
    </row>
    <row r="1017" spans="1:21" ht="14.25" customHeight="1" x14ac:dyDescent="0.35">
      <c r="A1017" s="47">
        <v>1001</v>
      </c>
      <c r="B1017" s="69" t="s">
        <v>79</v>
      </c>
      <c r="C1017" s="69" t="s">
        <v>80</v>
      </c>
      <c r="D1017" s="70" t="s">
        <v>161</v>
      </c>
      <c r="E1017" s="69" t="s">
        <v>5285</v>
      </c>
      <c r="F1017" s="69" t="s">
        <v>88</v>
      </c>
      <c r="G1017" s="69" t="s">
        <v>54</v>
      </c>
      <c r="H1017" s="70">
        <v>2012</v>
      </c>
      <c r="I1017" s="69" t="s">
        <v>63</v>
      </c>
      <c r="J1017" s="69" t="s">
        <v>5286</v>
      </c>
      <c r="K1017" s="71" t="s">
        <v>5287</v>
      </c>
      <c r="L1017" s="71" t="s">
        <v>5288</v>
      </c>
      <c r="M1017" s="71" t="s">
        <v>5289</v>
      </c>
      <c r="N1017" s="69" t="s">
        <v>57</v>
      </c>
      <c r="O1017" s="64">
        <v>1</v>
      </c>
      <c r="P1017" s="72">
        <v>16776.5</v>
      </c>
      <c r="Q1017" s="69" t="s">
        <v>4966</v>
      </c>
      <c r="R1017" s="69"/>
      <c r="S1017" s="121" t="s">
        <v>580</v>
      </c>
      <c r="T1017" s="56">
        <v>26</v>
      </c>
      <c r="U1017" s="56">
        <v>3</v>
      </c>
    </row>
    <row r="1018" spans="1:21" ht="14.25" customHeight="1" thickBot="1" x14ac:dyDescent="0.4">
      <c r="A1018" s="58">
        <v>1002</v>
      </c>
      <c r="B1018" s="69" t="s">
        <v>79</v>
      </c>
      <c r="C1018" s="69" t="s">
        <v>80</v>
      </c>
      <c r="D1018" s="70" t="s">
        <v>176</v>
      </c>
      <c r="E1018" s="69" t="s">
        <v>3777</v>
      </c>
      <c r="F1018" s="69" t="s">
        <v>88</v>
      </c>
      <c r="G1018" s="69" t="s">
        <v>140</v>
      </c>
      <c r="H1018" s="70">
        <v>2018</v>
      </c>
      <c r="I1018" s="69" t="s">
        <v>63</v>
      </c>
      <c r="J1018" s="69" t="s">
        <v>5290</v>
      </c>
      <c r="K1018" s="71" t="s">
        <v>5291</v>
      </c>
      <c r="L1018" s="71" t="s">
        <v>5292</v>
      </c>
      <c r="M1018" s="71" t="s">
        <v>5293</v>
      </c>
      <c r="N1018" s="69" t="s">
        <v>57</v>
      </c>
      <c r="O1018" s="64">
        <v>1</v>
      </c>
      <c r="P1018" s="72">
        <v>19471.2</v>
      </c>
      <c r="Q1018" s="69" t="s">
        <v>5294</v>
      </c>
      <c r="R1018" s="69"/>
      <c r="S1018" s="121" t="s">
        <v>580</v>
      </c>
      <c r="T1018" s="56">
        <v>26</v>
      </c>
      <c r="U1018" s="56">
        <v>3</v>
      </c>
    </row>
    <row r="1019" spans="1:21" ht="14.25" customHeight="1" x14ac:dyDescent="0.35">
      <c r="A1019" s="47">
        <v>1003</v>
      </c>
      <c r="B1019" s="69" t="s">
        <v>79</v>
      </c>
      <c r="C1019" s="69" t="s">
        <v>80</v>
      </c>
      <c r="D1019" s="70" t="s">
        <v>1236</v>
      </c>
      <c r="E1019" s="69" t="s">
        <v>239</v>
      </c>
      <c r="F1019" s="69" t="s">
        <v>148</v>
      </c>
      <c r="G1019" s="69" t="s">
        <v>140</v>
      </c>
      <c r="H1019" s="70">
        <v>2018</v>
      </c>
      <c r="I1019" s="69" t="s">
        <v>63</v>
      </c>
      <c r="J1019" s="69" t="s">
        <v>5295</v>
      </c>
      <c r="K1019" s="71" t="s">
        <v>5296</v>
      </c>
      <c r="L1019" s="71" t="s">
        <v>5297</v>
      </c>
      <c r="M1019" s="71" t="s">
        <v>5298</v>
      </c>
      <c r="N1019" s="69" t="s">
        <v>57</v>
      </c>
      <c r="O1019" s="64">
        <v>1</v>
      </c>
      <c r="P1019" s="72">
        <v>20234.71</v>
      </c>
      <c r="Q1019" s="69" t="s">
        <v>5299</v>
      </c>
      <c r="R1019" s="69"/>
      <c r="S1019" s="121" t="s">
        <v>580</v>
      </c>
      <c r="T1019" s="56">
        <v>26</v>
      </c>
      <c r="U1019" s="56">
        <v>3</v>
      </c>
    </row>
    <row r="1020" spans="1:21" ht="14.25" customHeight="1" thickBot="1" x14ac:dyDescent="0.4">
      <c r="A1020" s="58">
        <v>1004</v>
      </c>
      <c r="B1020" s="69" t="s">
        <v>79</v>
      </c>
      <c r="C1020" s="69" t="s">
        <v>80</v>
      </c>
      <c r="D1020" s="70" t="s">
        <v>181</v>
      </c>
      <c r="E1020" s="69" t="s">
        <v>147</v>
      </c>
      <c r="F1020" s="69" t="s">
        <v>148</v>
      </c>
      <c r="G1020" s="69" t="s">
        <v>140</v>
      </c>
      <c r="H1020" s="70">
        <v>2015</v>
      </c>
      <c r="I1020" s="69" t="s">
        <v>63</v>
      </c>
      <c r="J1020" s="69" t="s">
        <v>5300</v>
      </c>
      <c r="K1020" s="71" t="s">
        <v>5301</v>
      </c>
      <c r="L1020" s="71" t="s">
        <v>5302</v>
      </c>
      <c r="M1020" s="71" t="s">
        <v>5303</v>
      </c>
      <c r="N1020" s="69" t="s">
        <v>57</v>
      </c>
      <c r="O1020" s="64">
        <v>1</v>
      </c>
      <c r="P1020" s="72">
        <v>19430</v>
      </c>
      <c r="Q1020" s="69" t="s">
        <v>5304</v>
      </c>
      <c r="R1020" s="69"/>
      <c r="S1020" s="121" t="s">
        <v>580</v>
      </c>
      <c r="T1020" s="56">
        <v>26</v>
      </c>
      <c r="U1020" s="56">
        <v>3</v>
      </c>
    </row>
    <row r="1021" spans="1:21" ht="14.25" customHeight="1" x14ac:dyDescent="0.35">
      <c r="A1021" s="47">
        <v>1005</v>
      </c>
      <c r="B1021" s="69" t="s">
        <v>79</v>
      </c>
      <c r="C1021" s="69" t="s">
        <v>80</v>
      </c>
      <c r="D1021" s="70" t="s">
        <v>190</v>
      </c>
      <c r="E1021" s="69" t="s">
        <v>5305</v>
      </c>
      <c r="F1021" s="69" t="s">
        <v>88</v>
      </c>
      <c r="G1021" s="69" t="s">
        <v>54</v>
      </c>
      <c r="H1021" s="70">
        <v>2006</v>
      </c>
      <c r="I1021" s="69"/>
      <c r="J1021" s="69" t="s">
        <v>5306</v>
      </c>
      <c r="K1021" s="71" t="s">
        <v>5307</v>
      </c>
      <c r="L1021" s="71" t="s">
        <v>5308</v>
      </c>
      <c r="M1021" s="71" t="s">
        <v>5309</v>
      </c>
      <c r="N1021" s="69" t="s">
        <v>44</v>
      </c>
      <c r="O1021" s="64">
        <v>1</v>
      </c>
      <c r="P1021" s="72">
        <v>10600</v>
      </c>
      <c r="Q1021" s="69" t="s">
        <v>5310</v>
      </c>
      <c r="R1021" s="69"/>
      <c r="S1021" s="121" t="s">
        <v>580</v>
      </c>
      <c r="T1021" s="56">
        <v>26</v>
      </c>
      <c r="U1021" s="56">
        <v>3</v>
      </c>
    </row>
    <row r="1022" spans="1:21" ht="14.25" customHeight="1" thickBot="1" x14ac:dyDescent="0.4">
      <c r="A1022" s="58">
        <v>1006</v>
      </c>
      <c r="B1022" s="69" t="s">
        <v>79</v>
      </c>
      <c r="C1022" s="69" t="s">
        <v>80</v>
      </c>
      <c r="D1022" s="70" t="s">
        <v>195</v>
      </c>
      <c r="E1022" s="69" t="s">
        <v>5311</v>
      </c>
      <c r="F1022" s="69" t="s">
        <v>5312</v>
      </c>
      <c r="G1022" s="69" t="s">
        <v>54</v>
      </c>
      <c r="H1022" s="70">
        <v>2022</v>
      </c>
      <c r="I1022" s="69"/>
      <c r="J1022" s="69" t="s">
        <v>5313</v>
      </c>
      <c r="K1022" s="71" t="s">
        <v>5314</v>
      </c>
      <c r="L1022" s="71" t="s">
        <v>5315</v>
      </c>
      <c r="M1022" s="71" t="s">
        <v>5316</v>
      </c>
      <c r="N1022" s="69" t="s">
        <v>44</v>
      </c>
      <c r="O1022" s="64">
        <v>1</v>
      </c>
      <c r="P1022" s="72">
        <v>40583</v>
      </c>
      <c r="Q1022" s="69" t="s">
        <v>5317</v>
      </c>
      <c r="R1022" s="69"/>
      <c r="S1022" s="121" t="s">
        <v>580</v>
      </c>
      <c r="T1022" s="56">
        <v>26</v>
      </c>
      <c r="U1022" s="56">
        <v>3</v>
      </c>
    </row>
    <row r="1023" spans="1:21" ht="14.25" customHeight="1" x14ac:dyDescent="0.35">
      <c r="A1023" s="47">
        <v>1007</v>
      </c>
      <c r="B1023" s="69" t="s">
        <v>79</v>
      </c>
      <c r="C1023" s="69" t="s">
        <v>80</v>
      </c>
      <c r="D1023" s="70" t="s">
        <v>199</v>
      </c>
      <c r="E1023" s="69" t="s">
        <v>5318</v>
      </c>
      <c r="F1023" s="69" t="s">
        <v>5319</v>
      </c>
      <c r="G1023" s="69" t="s">
        <v>5320</v>
      </c>
      <c r="H1023" s="70">
        <v>2024</v>
      </c>
      <c r="I1023" s="69" t="s">
        <v>63</v>
      </c>
      <c r="J1023" s="69" t="s">
        <v>5321</v>
      </c>
      <c r="K1023" s="71" t="s">
        <v>5322</v>
      </c>
      <c r="L1023" s="71" t="s">
        <v>5323</v>
      </c>
      <c r="M1023" s="71" t="s">
        <v>5324</v>
      </c>
      <c r="N1023" s="69" t="s">
        <v>44</v>
      </c>
      <c r="O1023" s="64">
        <v>1</v>
      </c>
      <c r="P1023" s="72">
        <v>31000</v>
      </c>
      <c r="Q1023" s="69" t="s">
        <v>7905</v>
      </c>
      <c r="R1023" s="69"/>
      <c r="S1023" s="121" t="s">
        <v>580</v>
      </c>
      <c r="T1023" s="56">
        <v>26</v>
      </c>
      <c r="U1023" s="56">
        <v>3</v>
      </c>
    </row>
    <row r="1024" spans="1:21" ht="14.25" customHeight="1" thickBot="1" x14ac:dyDescent="0.4">
      <c r="A1024" s="58">
        <v>1008</v>
      </c>
      <c r="B1024" s="69" t="s">
        <v>79</v>
      </c>
      <c r="C1024" s="69" t="s">
        <v>80</v>
      </c>
      <c r="D1024" s="70" t="s">
        <v>200</v>
      </c>
      <c r="E1024" s="69" t="s">
        <v>5318</v>
      </c>
      <c r="F1024" s="69" t="s">
        <v>5319</v>
      </c>
      <c r="G1024" s="69" t="s">
        <v>5320</v>
      </c>
      <c r="H1024" s="70">
        <v>2024</v>
      </c>
      <c r="I1024" s="69" t="s">
        <v>63</v>
      </c>
      <c r="J1024" s="69" t="s">
        <v>5325</v>
      </c>
      <c r="K1024" s="71" t="s">
        <v>5326</v>
      </c>
      <c r="L1024" s="71" t="s">
        <v>5327</v>
      </c>
      <c r="M1024" s="71" t="s">
        <v>5328</v>
      </c>
      <c r="N1024" s="69" t="s">
        <v>44</v>
      </c>
      <c r="O1024" s="64">
        <v>1</v>
      </c>
      <c r="P1024" s="72">
        <v>31000</v>
      </c>
      <c r="Q1024" s="69" t="s">
        <v>5329</v>
      </c>
      <c r="R1024" s="69"/>
      <c r="S1024" s="121" t="s">
        <v>580</v>
      </c>
      <c r="T1024" s="56">
        <v>26</v>
      </c>
      <c r="U1024" s="56">
        <v>3</v>
      </c>
    </row>
    <row r="1025" spans="1:21" ht="14.25" customHeight="1" x14ac:dyDescent="0.35">
      <c r="A1025" s="47">
        <v>1009</v>
      </c>
      <c r="B1025" s="69" t="s">
        <v>79</v>
      </c>
      <c r="C1025" s="69" t="s">
        <v>80</v>
      </c>
      <c r="D1025" s="70" t="s">
        <v>209</v>
      </c>
      <c r="E1025" s="69" t="s">
        <v>5318</v>
      </c>
      <c r="F1025" s="69" t="s">
        <v>5319</v>
      </c>
      <c r="G1025" s="69" t="s">
        <v>5320</v>
      </c>
      <c r="H1025" s="70">
        <v>2024</v>
      </c>
      <c r="I1025" s="69" t="s">
        <v>63</v>
      </c>
      <c r="J1025" s="69" t="s">
        <v>5330</v>
      </c>
      <c r="K1025" s="71" t="s">
        <v>5331</v>
      </c>
      <c r="L1025" s="71" t="s">
        <v>5332</v>
      </c>
      <c r="M1025" s="71" t="s">
        <v>5333</v>
      </c>
      <c r="N1025" s="69" t="s">
        <v>44</v>
      </c>
      <c r="O1025" s="64">
        <v>1</v>
      </c>
      <c r="P1025" s="72">
        <v>31000</v>
      </c>
      <c r="Q1025" s="69" t="s">
        <v>7906</v>
      </c>
      <c r="R1025" s="69"/>
      <c r="S1025" s="121" t="s">
        <v>580</v>
      </c>
      <c r="T1025" s="56">
        <v>26</v>
      </c>
      <c r="U1025" s="56">
        <v>3</v>
      </c>
    </row>
    <row r="1026" spans="1:21" ht="14.25" customHeight="1" thickBot="1" x14ac:dyDescent="0.4">
      <c r="A1026" s="58">
        <v>1010</v>
      </c>
      <c r="B1026" s="69" t="s">
        <v>79</v>
      </c>
      <c r="C1026" s="69" t="s">
        <v>80</v>
      </c>
      <c r="D1026" s="70" t="s">
        <v>215</v>
      </c>
      <c r="E1026" s="69" t="s">
        <v>5318</v>
      </c>
      <c r="F1026" s="69" t="s">
        <v>5319</v>
      </c>
      <c r="G1026" s="69" t="s">
        <v>5320</v>
      </c>
      <c r="H1026" s="70">
        <v>2024</v>
      </c>
      <c r="I1026" s="69" t="s">
        <v>63</v>
      </c>
      <c r="J1026" s="69" t="s">
        <v>5334</v>
      </c>
      <c r="K1026" s="71" t="s">
        <v>5335</v>
      </c>
      <c r="L1026" s="71" t="s">
        <v>5336</v>
      </c>
      <c r="M1026" s="71" t="s">
        <v>5337</v>
      </c>
      <c r="N1026" s="69" t="s">
        <v>44</v>
      </c>
      <c r="O1026" s="64">
        <v>1</v>
      </c>
      <c r="P1026" s="72">
        <v>31000</v>
      </c>
      <c r="Q1026" s="69" t="s">
        <v>5338</v>
      </c>
      <c r="R1026" s="69"/>
      <c r="S1026" s="121" t="s">
        <v>580</v>
      </c>
      <c r="T1026" s="56">
        <v>26</v>
      </c>
      <c r="U1026" s="56">
        <v>3</v>
      </c>
    </row>
    <row r="1027" spans="1:21" ht="14.25" customHeight="1" x14ac:dyDescent="0.35">
      <c r="A1027" s="47">
        <v>1011</v>
      </c>
      <c r="B1027" s="69" t="s">
        <v>79</v>
      </c>
      <c r="C1027" s="69" t="s">
        <v>80</v>
      </c>
      <c r="D1027" s="70" t="s">
        <v>223</v>
      </c>
      <c r="E1027" s="69" t="s">
        <v>5318</v>
      </c>
      <c r="F1027" s="69" t="s">
        <v>5319</v>
      </c>
      <c r="G1027" s="69" t="s">
        <v>5320</v>
      </c>
      <c r="H1027" s="70">
        <v>2024</v>
      </c>
      <c r="I1027" s="69" t="s">
        <v>63</v>
      </c>
      <c r="J1027" s="69" t="s">
        <v>5339</v>
      </c>
      <c r="K1027" s="71" t="s">
        <v>5340</v>
      </c>
      <c r="L1027" s="71" t="s">
        <v>5341</v>
      </c>
      <c r="M1027" s="71" t="s">
        <v>5342</v>
      </c>
      <c r="N1027" s="69" t="s">
        <v>44</v>
      </c>
      <c r="O1027" s="64">
        <v>1</v>
      </c>
      <c r="P1027" s="72">
        <v>31000</v>
      </c>
      <c r="Q1027" s="69" t="s">
        <v>5343</v>
      </c>
      <c r="R1027" s="69"/>
      <c r="S1027" s="121" t="s">
        <v>580</v>
      </c>
      <c r="T1027" s="56">
        <v>26</v>
      </c>
      <c r="U1027" s="56">
        <v>3</v>
      </c>
    </row>
    <row r="1028" spans="1:21" ht="14.25" customHeight="1" thickBot="1" x14ac:dyDescent="0.4">
      <c r="A1028" s="58">
        <v>1012</v>
      </c>
      <c r="B1028" s="69" t="s">
        <v>79</v>
      </c>
      <c r="C1028" s="69" t="s">
        <v>80</v>
      </c>
      <c r="D1028" s="70" t="s">
        <v>229</v>
      </c>
      <c r="E1028" s="69" t="s">
        <v>5318</v>
      </c>
      <c r="F1028" s="69" t="s">
        <v>5319</v>
      </c>
      <c r="G1028" s="69" t="s">
        <v>5320</v>
      </c>
      <c r="H1028" s="70">
        <v>2024</v>
      </c>
      <c r="I1028" s="69" t="s">
        <v>63</v>
      </c>
      <c r="J1028" s="69" t="s">
        <v>5344</v>
      </c>
      <c r="K1028" s="71" t="s">
        <v>5345</v>
      </c>
      <c r="L1028" s="71" t="s">
        <v>5346</v>
      </c>
      <c r="M1028" s="71" t="s">
        <v>5347</v>
      </c>
      <c r="N1028" s="69" t="s">
        <v>44</v>
      </c>
      <c r="O1028" s="64">
        <v>1</v>
      </c>
      <c r="P1028" s="72">
        <v>31000</v>
      </c>
      <c r="Q1028" s="69" t="s">
        <v>5348</v>
      </c>
      <c r="R1028" s="69"/>
      <c r="S1028" s="121" t="s">
        <v>580</v>
      </c>
      <c r="T1028" s="56">
        <v>26</v>
      </c>
      <c r="U1028" s="56">
        <v>3</v>
      </c>
    </row>
    <row r="1029" spans="1:21" ht="14.25" customHeight="1" x14ac:dyDescent="0.35">
      <c r="A1029" s="47">
        <v>1013</v>
      </c>
      <c r="B1029" s="69" t="s">
        <v>1806</v>
      </c>
      <c r="C1029" s="69" t="s">
        <v>1807</v>
      </c>
      <c r="D1029" s="70" t="s">
        <v>51</v>
      </c>
      <c r="E1029" s="69" t="s">
        <v>2473</v>
      </c>
      <c r="F1029" s="69" t="s">
        <v>1595</v>
      </c>
      <c r="G1029" s="69" t="s">
        <v>140</v>
      </c>
      <c r="H1029" s="70">
        <v>2015</v>
      </c>
      <c r="I1029" s="69" t="s">
        <v>5349</v>
      </c>
      <c r="J1029" s="69" t="s">
        <v>5350</v>
      </c>
      <c r="K1029" s="71" t="s">
        <v>5351</v>
      </c>
      <c r="L1029" s="71" t="s">
        <v>5352</v>
      </c>
      <c r="M1029" s="71" t="s">
        <v>5353</v>
      </c>
      <c r="N1029" s="69" t="s">
        <v>57</v>
      </c>
      <c r="O1029" s="64">
        <v>1</v>
      </c>
      <c r="P1029" s="72">
        <v>270000</v>
      </c>
      <c r="Q1029" s="187" t="s">
        <v>5354</v>
      </c>
      <c r="R1029" s="187"/>
      <c r="S1029" s="121" t="s">
        <v>605</v>
      </c>
      <c r="T1029" s="56">
        <v>27</v>
      </c>
      <c r="U1029" s="56">
        <v>4</v>
      </c>
    </row>
    <row r="1030" spans="1:21" ht="69" customHeight="1" thickBot="1" x14ac:dyDescent="0.4">
      <c r="A1030" s="58">
        <v>1014</v>
      </c>
      <c r="B1030" s="69" t="s">
        <v>70</v>
      </c>
      <c r="C1030" s="69" t="s">
        <v>5355</v>
      </c>
      <c r="D1030" s="70" t="s">
        <v>51</v>
      </c>
      <c r="E1030" s="69" t="s">
        <v>5356</v>
      </c>
      <c r="F1030" s="69"/>
      <c r="G1030" s="69" t="s">
        <v>54</v>
      </c>
      <c r="H1030" s="70">
        <v>2025</v>
      </c>
      <c r="I1030" s="69" t="s">
        <v>63</v>
      </c>
      <c r="J1030" s="69" t="s">
        <v>5357</v>
      </c>
      <c r="K1030" s="71" t="s">
        <v>5358</v>
      </c>
      <c r="L1030" s="71" t="s">
        <v>5359</v>
      </c>
      <c r="M1030" s="71" t="s">
        <v>63</v>
      </c>
      <c r="N1030" s="69" t="s">
        <v>44</v>
      </c>
      <c r="O1030" s="64">
        <v>1</v>
      </c>
      <c r="P1030" s="72">
        <v>495100</v>
      </c>
      <c r="Q1030" s="187" t="s">
        <v>5354</v>
      </c>
      <c r="R1030" s="187"/>
      <c r="S1030" s="121" t="s">
        <v>605</v>
      </c>
      <c r="T1030" s="56">
        <v>27</v>
      </c>
      <c r="U1030" s="56">
        <v>4</v>
      </c>
    </row>
    <row r="1031" spans="1:21" ht="14.25" customHeight="1" x14ac:dyDescent="0.35">
      <c r="A1031" s="47">
        <v>1015</v>
      </c>
      <c r="B1031" s="69" t="s">
        <v>79</v>
      </c>
      <c r="C1031" s="69" t="s">
        <v>80</v>
      </c>
      <c r="D1031" s="70" t="s">
        <v>51</v>
      </c>
      <c r="E1031" s="69" t="s">
        <v>1383</v>
      </c>
      <c r="F1031" s="69" t="s">
        <v>163</v>
      </c>
      <c r="G1031" s="69" t="s">
        <v>140</v>
      </c>
      <c r="H1031" s="70">
        <v>2015</v>
      </c>
      <c r="I1031" s="69" t="s">
        <v>63</v>
      </c>
      <c r="J1031" s="69" t="s">
        <v>5360</v>
      </c>
      <c r="K1031" s="71" t="s">
        <v>5361</v>
      </c>
      <c r="L1031" s="71" t="s">
        <v>5362</v>
      </c>
      <c r="M1031" s="71" t="s">
        <v>5363</v>
      </c>
      <c r="N1031" s="69" t="s">
        <v>57</v>
      </c>
      <c r="O1031" s="64">
        <v>1</v>
      </c>
      <c r="P1031" s="72">
        <v>14962.333000000001</v>
      </c>
      <c r="Q1031" s="69" t="s">
        <v>5364</v>
      </c>
      <c r="R1031" s="69"/>
      <c r="S1031" s="121" t="s">
        <v>605</v>
      </c>
      <c r="T1031" s="56">
        <v>27</v>
      </c>
      <c r="U1031" s="56">
        <v>3</v>
      </c>
    </row>
    <row r="1032" spans="1:21" ht="14.25" customHeight="1" thickBot="1" x14ac:dyDescent="0.4">
      <c r="A1032" s="58">
        <v>1016</v>
      </c>
      <c r="B1032" s="69" t="s">
        <v>79</v>
      </c>
      <c r="C1032" s="69" t="s">
        <v>80</v>
      </c>
      <c r="D1032" s="70" t="s">
        <v>59</v>
      </c>
      <c r="E1032" s="69" t="s">
        <v>4137</v>
      </c>
      <c r="F1032" s="69" t="s">
        <v>4138</v>
      </c>
      <c r="G1032" s="69" t="s">
        <v>140</v>
      </c>
      <c r="H1032" s="70">
        <v>2015</v>
      </c>
      <c r="I1032" s="69" t="s">
        <v>63</v>
      </c>
      <c r="J1032" s="69" t="s">
        <v>5365</v>
      </c>
      <c r="K1032" s="71" t="s">
        <v>5366</v>
      </c>
      <c r="L1032" s="71" t="s">
        <v>5367</v>
      </c>
      <c r="M1032" s="71" t="s">
        <v>5368</v>
      </c>
      <c r="N1032" s="69" t="s">
        <v>57</v>
      </c>
      <c r="O1032" s="64">
        <v>1</v>
      </c>
      <c r="P1032" s="72">
        <v>16858</v>
      </c>
      <c r="Q1032" s="188" t="s">
        <v>5369</v>
      </c>
      <c r="R1032" s="212"/>
      <c r="S1032" s="121" t="s">
        <v>605</v>
      </c>
      <c r="T1032" s="56">
        <v>27</v>
      </c>
      <c r="U1032" s="56">
        <v>3</v>
      </c>
    </row>
    <row r="1033" spans="1:21" ht="14.25" customHeight="1" x14ac:dyDescent="0.35">
      <c r="A1033" s="47">
        <v>1017</v>
      </c>
      <c r="B1033" s="69" t="s">
        <v>79</v>
      </c>
      <c r="C1033" s="69" t="s">
        <v>80</v>
      </c>
      <c r="D1033" s="70" t="s">
        <v>97</v>
      </c>
      <c r="E1033" s="69" t="s">
        <v>147</v>
      </c>
      <c r="F1033" s="69" t="s">
        <v>148</v>
      </c>
      <c r="G1033" s="69" t="s">
        <v>140</v>
      </c>
      <c r="H1033" s="70">
        <v>2015</v>
      </c>
      <c r="I1033" s="69" t="s">
        <v>63</v>
      </c>
      <c r="J1033" s="69" t="s">
        <v>5370</v>
      </c>
      <c r="K1033" s="71" t="s">
        <v>5371</v>
      </c>
      <c r="L1033" s="71" t="s">
        <v>5372</v>
      </c>
      <c r="M1033" s="71" t="s">
        <v>5373</v>
      </c>
      <c r="N1033" s="69" t="s">
        <v>57</v>
      </c>
      <c r="O1033" s="64">
        <v>1</v>
      </c>
      <c r="P1033" s="72">
        <v>19430</v>
      </c>
      <c r="Q1033" s="188" t="s">
        <v>5374</v>
      </c>
      <c r="R1033" s="212"/>
      <c r="S1033" s="121" t="s">
        <v>605</v>
      </c>
      <c r="T1033" s="56">
        <v>27</v>
      </c>
      <c r="U1033" s="56">
        <v>3</v>
      </c>
    </row>
    <row r="1034" spans="1:21" ht="14.25" customHeight="1" thickBot="1" x14ac:dyDescent="0.4">
      <c r="A1034" s="58">
        <v>1018</v>
      </c>
      <c r="B1034" s="69" t="s">
        <v>79</v>
      </c>
      <c r="C1034" s="69" t="s">
        <v>80</v>
      </c>
      <c r="D1034" s="70" t="s">
        <v>101</v>
      </c>
      <c r="E1034" s="69" t="s">
        <v>4137</v>
      </c>
      <c r="F1034" s="69" t="s">
        <v>4138</v>
      </c>
      <c r="G1034" s="69" t="s">
        <v>140</v>
      </c>
      <c r="H1034" s="70">
        <v>2015</v>
      </c>
      <c r="I1034" s="69" t="s">
        <v>63</v>
      </c>
      <c r="J1034" s="69" t="s">
        <v>5375</v>
      </c>
      <c r="K1034" s="71" t="s">
        <v>5376</v>
      </c>
      <c r="L1034" s="71" t="s">
        <v>5377</v>
      </c>
      <c r="M1034" s="71" t="s">
        <v>5378</v>
      </c>
      <c r="N1034" s="69" t="s">
        <v>57</v>
      </c>
      <c r="O1034" s="64">
        <v>1</v>
      </c>
      <c r="P1034" s="72">
        <v>16858</v>
      </c>
      <c r="Q1034" s="188" t="s">
        <v>5379</v>
      </c>
      <c r="R1034" s="212"/>
      <c r="S1034" s="121" t="s">
        <v>605</v>
      </c>
      <c r="T1034" s="56">
        <v>27</v>
      </c>
      <c r="U1034" s="56">
        <v>3</v>
      </c>
    </row>
    <row r="1035" spans="1:21" ht="14.25" customHeight="1" x14ac:dyDescent="0.35">
      <c r="A1035" s="47">
        <v>1019</v>
      </c>
      <c r="B1035" s="69" t="s">
        <v>79</v>
      </c>
      <c r="C1035" s="69" t="s">
        <v>80</v>
      </c>
      <c r="D1035" s="70" t="s">
        <v>107</v>
      </c>
      <c r="E1035" s="69" t="s">
        <v>4137</v>
      </c>
      <c r="F1035" s="69" t="s">
        <v>2179</v>
      </c>
      <c r="G1035" s="69" t="s">
        <v>140</v>
      </c>
      <c r="H1035" s="70">
        <v>2015</v>
      </c>
      <c r="I1035" s="69" t="s">
        <v>63</v>
      </c>
      <c r="J1035" s="69" t="s">
        <v>5380</v>
      </c>
      <c r="K1035" s="71" t="s">
        <v>5381</v>
      </c>
      <c r="L1035" s="71" t="s">
        <v>5382</v>
      </c>
      <c r="M1035" s="71" t="s">
        <v>5383</v>
      </c>
      <c r="N1035" s="69" t="s">
        <v>57</v>
      </c>
      <c r="O1035" s="64">
        <v>1</v>
      </c>
      <c r="P1035" s="72">
        <v>16858</v>
      </c>
      <c r="Q1035" s="70" t="s">
        <v>4677</v>
      </c>
      <c r="R1035" s="70"/>
      <c r="S1035" s="121" t="s">
        <v>605</v>
      </c>
      <c r="T1035" s="56">
        <v>27</v>
      </c>
      <c r="U1035" s="56">
        <v>3</v>
      </c>
    </row>
    <row r="1036" spans="1:21" ht="14.25" customHeight="1" thickBot="1" x14ac:dyDescent="0.4">
      <c r="A1036" s="58">
        <v>1020</v>
      </c>
      <c r="B1036" s="69" t="s">
        <v>79</v>
      </c>
      <c r="C1036" s="69" t="s">
        <v>80</v>
      </c>
      <c r="D1036" s="70" t="s">
        <v>112</v>
      </c>
      <c r="E1036" s="69" t="s">
        <v>5384</v>
      </c>
      <c r="F1036" s="69" t="s">
        <v>88</v>
      </c>
      <c r="G1036" s="69" t="s">
        <v>54</v>
      </c>
      <c r="H1036" s="70">
        <v>2010</v>
      </c>
      <c r="I1036" s="69" t="s">
        <v>63</v>
      </c>
      <c r="J1036" s="69" t="s">
        <v>5385</v>
      </c>
      <c r="K1036" s="71" t="s">
        <v>5386</v>
      </c>
      <c r="L1036" s="71" t="s">
        <v>5387</v>
      </c>
      <c r="M1036" s="71" t="s">
        <v>5388</v>
      </c>
      <c r="N1036" s="69" t="s">
        <v>57</v>
      </c>
      <c r="O1036" s="64">
        <v>1</v>
      </c>
      <c r="P1036" s="72">
        <v>15733</v>
      </c>
      <c r="Q1036" s="69" t="s">
        <v>5389</v>
      </c>
      <c r="R1036" s="69"/>
      <c r="S1036" s="121" t="s">
        <v>605</v>
      </c>
      <c r="T1036" s="56">
        <v>27</v>
      </c>
      <c r="U1036" s="56">
        <v>3</v>
      </c>
    </row>
    <row r="1037" spans="1:21" ht="14.25" customHeight="1" x14ac:dyDescent="0.35">
      <c r="A1037" s="47">
        <v>1021</v>
      </c>
      <c r="B1037" s="69" t="s">
        <v>79</v>
      </c>
      <c r="C1037" s="69" t="s">
        <v>80</v>
      </c>
      <c r="D1037" s="70" t="s">
        <v>116</v>
      </c>
      <c r="E1037" s="69" t="s">
        <v>5390</v>
      </c>
      <c r="F1037" s="69" t="s">
        <v>88</v>
      </c>
      <c r="G1037" s="69" t="s">
        <v>54</v>
      </c>
      <c r="H1037" s="70">
        <v>2010</v>
      </c>
      <c r="I1037" s="69" t="s">
        <v>63</v>
      </c>
      <c r="J1037" s="69" t="s">
        <v>5391</v>
      </c>
      <c r="K1037" s="71" t="s">
        <v>5392</v>
      </c>
      <c r="L1037" s="71" t="s">
        <v>5393</v>
      </c>
      <c r="M1037" s="71" t="s">
        <v>5394</v>
      </c>
      <c r="N1037" s="69" t="s">
        <v>57</v>
      </c>
      <c r="O1037" s="64">
        <v>1</v>
      </c>
      <c r="P1037" s="72">
        <v>15733</v>
      </c>
      <c r="Q1037" s="69" t="s">
        <v>5395</v>
      </c>
      <c r="R1037" s="69"/>
      <c r="S1037" s="121" t="s">
        <v>605</v>
      </c>
      <c r="T1037" s="56">
        <v>27</v>
      </c>
      <c r="U1037" s="56">
        <v>3</v>
      </c>
    </row>
    <row r="1038" spans="1:21" ht="14.25" customHeight="1" thickBot="1" x14ac:dyDescent="0.4">
      <c r="A1038" s="58">
        <v>1022</v>
      </c>
      <c r="B1038" s="69" t="s">
        <v>79</v>
      </c>
      <c r="C1038" s="69" t="s">
        <v>80</v>
      </c>
      <c r="D1038" s="70" t="s">
        <v>841</v>
      </c>
      <c r="E1038" s="69" t="s">
        <v>5396</v>
      </c>
      <c r="F1038" s="69" t="s">
        <v>88</v>
      </c>
      <c r="G1038" s="69" t="s">
        <v>54</v>
      </c>
      <c r="H1038" s="70">
        <v>2010</v>
      </c>
      <c r="I1038" s="69" t="s">
        <v>63</v>
      </c>
      <c r="J1038" s="69" t="s">
        <v>5397</v>
      </c>
      <c r="K1038" s="71" t="s">
        <v>5398</v>
      </c>
      <c r="L1038" s="71" t="s">
        <v>5399</v>
      </c>
      <c r="M1038" s="71" t="s">
        <v>5400</v>
      </c>
      <c r="N1038" s="69" t="s">
        <v>57</v>
      </c>
      <c r="O1038" s="64">
        <v>1</v>
      </c>
      <c r="P1038" s="72">
        <v>15733</v>
      </c>
      <c r="Q1038" s="188" t="s">
        <v>5401</v>
      </c>
      <c r="R1038" s="212"/>
      <c r="S1038" s="121" t="s">
        <v>605</v>
      </c>
      <c r="T1038" s="56">
        <v>27</v>
      </c>
      <c r="U1038" s="56">
        <v>3</v>
      </c>
    </row>
    <row r="1039" spans="1:21" ht="14.25" customHeight="1" x14ac:dyDescent="0.35">
      <c r="A1039" s="47">
        <v>1023</v>
      </c>
      <c r="B1039" s="69" t="s">
        <v>79</v>
      </c>
      <c r="C1039" s="69" t="s">
        <v>80</v>
      </c>
      <c r="D1039" s="70" t="s">
        <v>904</v>
      </c>
      <c r="E1039" s="69" t="s">
        <v>5402</v>
      </c>
      <c r="F1039" s="69" t="s">
        <v>88</v>
      </c>
      <c r="G1039" s="69" t="s">
        <v>54</v>
      </c>
      <c r="H1039" s="70">
        <v>2010</v>
      </c>
      <c r="I1039" s="69" t="s">
        <v>63</v>
      </c>
      <c r="J1039" s="69" t="s">
        <v>5403</v>
      </c>
      <c r="K1039" s="71" t="s">
        <v>5404</v>
      </c>
      <c r="L1039" s="71" t="s">
        <v>5405</v>
      </c>
      <c r="M1039" s="71" t="s">
        <v>5406</v>
      </c>
      <c r="N1039" s="69" t="s">
        <v>57</v>
      </c>
      <c r="O1039" s="64">
        <v>1</v>
      </c>
      <c r="P1039" s="72">
        <v>15733</v>
      </c>
      <c r="Q1039" s="69" t="s">
        <v>7907</v>
      </c>
      <c r="R1039" s="69"/>
      <c r="S1039" s="121" t="s">
        <v>605</v>
      </c>
      <c r="T1039" s="56">
        <v>27</v>
      </c>
      <c r="U1039" s="56">
        <v>3</v>
      </c>
    </row>
    <row r="1040" spans="1:21" ht="14.25" customHeight="1" thickBot="1" x14ac:dyDescent="0.4">
      <c r="A1040" s="58">
        <v>1024</v>
      </c>
      <c r="B1040" s="69" t="s">
        <v>79</v>
      </c>
      <c r="C1040" s="69" t="s">
        <v>80</v>
      </c>
      <c r="D1040" s="70" t="s">
        <v>122</v>
      </c>
      <c r="E1040" s="69" t="s">
        <v>5402</v>
      </c>
      <c r="F1040" s="69" t="s">
        <v>88</v>
      </c>
      <c r="G1040" s="69" t="s">
        <v>54</v>
      </c>
      <c r="H1040" s="70">
        <v>2010</v>
      </c>
      <c r="I1040" s="69" t="s">
        <v>63</v>
      </c>
      <c r="J1040" s="69" t="s">
        <v>5407</v>
      </c>
      <c r="K1040" s="71" t="s">
        <v>5408</v>
      </c>
      <c r="L1040" s="71" t="s">
        <v>5409</v>
      </c>
      <c r="M1040" s="71" t="s">
        <v>5410</v>
      </c>
      <c r="N1040" s="69" t="s">
        <v>57</v>
      </c>
      <c r="O1040" s="64">
        <v>1</v>
      </c>
      <c r="P1040" s="72">
        <v>15733</v>
      </c>
      <c r="Q1040" s="188" t="s">
        <v>5411</v>
      </c>
      <c r="R1040" s="212"/>
      <c r="S1040" s="121" t="s">
        <v>605</v>
      </c>
      <c r="T1040" s="56">
        <v>27</v>
      </c>
      <c r="U1040" s="56">
        <v>3</v>
      </c>
    </row>
    <row r="1041" spans="1:21" ht="14.25" customHeight="1" x14ac:dyDescent="0.35">
      <c r="A1041" s="47">
        <v>1025</v>
      </c>
      <c r="B1041" s="69" t="s">
        <v>79</v>
      </c>
      <c r="C1041" s="69" t="s">
        <v>80</v>
      </c>
      <c r="D1041" s="70" t="s">
        <v>126</v>
      </c>
      <c r="E1041" s="69" t="s">
        <v>5384</v>
      </c>
      <c r="F1041" s="69" t="s">
        <v>5412</v>
      </c>
      <c r="G1041" s="69" t="s">
        <v>54</v>
      </c>
      <c r="H1041" s="70">
        <v>2010</v>
      </c>
      <c r="I1041" s="69" t="s">
        <v>63</v>
      </c>
      <c r="J1041" s="69" t="s">
        <v>5413</v>
      </c>
      <c r="K1041" s="71" t="s">
        <v>5414</v>
      </c>
      <c r="L1041" s="71" t="s">
        <v>5415</v>
      </c>
      <c r="M1041" s="71" t="s">
        <v>5416</v>
      </c>
      <c r="N1041" s="69" t="s">
        <v>57</v>
      </c>
      <c r="O1041" s="64">
        <v>1</v>
      </c>
      <c r="P1041" s="72">
        <v>15733</v>
      </c>
      <c r="Q1041" s="189" t="s">
        <v>5417</v>
      </c>
      <c r="R1041" s="189"/>
      <c r="S1041" s="121" t="s">
        <v>605</v>
      </c>
      <c r="T1041" s="56">
        <v>27</v>
      </c>
      <c r="U1041" s="56">
        <v>3</v>
      </c>
    </row>
    <row r="1042" spans="1:21" ht="14.25" customHeight="1" thickBot="1" x14ac:dyDescent="0.4">
      <c r="A1042" s="58">
        <v>1026</v>
      </c>
      <c r="B1042" s="69" t="s">
        <v>79</v>
      </c>
      <c r="C1042" s="69" t="s">
        <v>80</v>
      </c>
      <c r="D1042" s="70" t="s">
        <v>132</v>
      </c>
      <c r="E1042" s="69" t="s">
        <v>5418</v>
      </c>
      <c r="F1042" s="69" t="s">
        <v>88</v>
      </c>
      <c r="G1042" s="69" t="s">
        <v>54</v>
      </c>
      <c r="H1042" s="70">
        <v>2008</v>
      </c>
      <c r="I1042" s="69" t="s">
        <v>63</v>
      </c>
      <c r="J1042" s="69" t="s">
        <v>5419</v>
      </c>
      <c r="K1042" s="71" t="s">
        <v>5420</v>
      </c>
      <c r="L1042" s="71" t="s">
        <v>5421</v>
      </c>
      <c r="M1042" s="71" t="s">
        <v>5422</v>
      </c>
      <c r="N1042" s="69" t="s">
        <v>57</v>
      </c>
      <c r="O1042" s="64">
        <v>1</v>
      </c>
      <c r="P1042" s="72">
        <v>16900</v>
      </c>
      <c r="Q1042" s="188" t="s">
        <v>5423</v>
      </c>
      <c r="R1042" s="212"/>
      <c r="S1042" s="121" t="s">
        <v>605</v>
      </c>
      <c r="T1042" s="56">
        <v>27</v>
      </c>
      <c r="U1042" s="56">
        <v>3</v>
      </c>
    </row>
    <row r="1043" spans="1:21" ht="14.25" customHeight="1" x14ac:dyDescent="0.35">
      <c r="A1043" s="47">
        <v>1027</v>
      </c>
      <c r="B1043" s="69" t="s">
        <v>79</v>
      </c>
      <c r="C1043" s="69" t="s">
        <v>80</v>
      </c>
      <c r="D1043" s="70" t="s">
        <v>137</v>
      </c>
      <c r="E1043" s="69" t="s">
        <v>1888</v>
      </c>
      <c r="F1043" s="69" t="s">
        <v>443</v>
      </c>
      <c r="G1043" s="69" t="s">
        <v>54</v>
      </c>
      <c r="H1043" s="70">
        <v>2013</v>
      </c>
      <c r="I1043" s="69" t="s">
        <v>63</v>
      </c>
      <c r="J1043" s="69" t="s">
        <v>5424</v>
      </c>
      <c r="K1043" s="71" t="s">
        <v>5425</v>
      </c>
      <c r="L1043" s="71" t="s">
        <v>5426</v>
      </c>
      <c r="M1043" s="71" t="s">
        <v>5427</v>
      </c>
      <c r="N1043" s="69" t="s">
        <v>57</v>
      </c>
      <c r="O1043" s="64">
        <v>1</v>
      </c>
      <c r="P1043" s="72">
        <v>14108.5</v>
      </c>
      <c r="Q1043" s="70" t="s">
        <v>4677</v>
      </c>
      <c r="R1043" s="70"/>
      <c r="S1043" s="121" t="s">
        <v>605</v>
      </c>
      <c r="T1043" s="56">
        <v>27</v>
      </c>
      <c r="U1043" s="56">
        <v>3</v>
      </c>
    </row>
    <row r="1044" spans="1:21" ht="14.25" customHeight="1" thickBot="1" x14ac:dyDescent="0.4">
      <c r="A1044" s="58">
        <v>1028</v>
      </c>
      <c r="B1044" s="69" t="s">
        <v>79</v>
      </c>
      <c r="C1044" s="69" t="s">
        <v>80</v>
      </c>
      <c r="D1044" s="70" t="s">
        <v>146</v>
      </c>
      <c r="E1044" s="69" t="s">
        <v>5428</v>
      </c>
      <c r="F1044" s="69" t="s">
        <v>443</v>
      </c>
      <c r="G1044" s="69" t="s">
        <v>54</v>
      </c>
      <c r="H1044" s="70">
        <v>2013</v>
      </c>
      <c r="I1044" s="69" t="s">
        <v>63</v>
      </c>
      <c r="J1044" s="69" t="s">
        <v>5429</v>
      </c>
      <c r="K1044" s="71" t="s">
        <v>5430</v>
      </c>
      <c r="L1044" s="71" t="s">
        <v>5431</v>
      </c>
      <c r="M1044" s="71" t="s">
        <v>5432</v>
      </c>
      <c r="N1044" s="69" t="s">
        <v>57</v>
      </c>
      <c r="O1044" s="64">
        <v>1</v>
      </c>
      <c r="P1044" s="72">
        <v>14792.466999999999</v>
      </c>
      <c r="Q1044" s="70" t="s">
        <v>5433</v>
      </c>
      <c r="R1044" s="70"/>
      <c r="S1044" s="121" t="s">
        <v>605</v>
      </c>
      <c r="T1044" s="56">
        <v>27</v>
      </c>
      <c r="U1044" s="56">
        <v>3</v>
      </c>
    </row>
    <row r="1045" spans="1:21" ht="14.25" customHeight="1" x14ac:dyDescent="0.35">
      <c r="A1045" s="47">
        <v>1029</v>
      </c>
      <c r="B1045" s="69" t="s">
        <v>79</v>
      </c>
      <c r="C1045" s="69" t="s">
        <v>80</v>
      </c>
      <c r="D1045" s="70" t="s">
        <v>154</v>
      </c>
      <c r="E1045" s="69" t="s">
        <v>5434</v>
      </c>
      <c r="F1045" s="69" t="s">
        <v>443</v>
      </c>
      <c r="G1045" s="69" t="s">
        <v>54</v>
      </c>
      <c r="H1045" s="70">
        <v>2007</v>
      </c>
      <c r="I1045" s="69" t="s">
        <v>63</v>
      </c>
      <c r="J1045" s="69" t="s">
        <v>5435</v>
      </c>
      <c r="K1045" s="71" t="s">
        <v>5436</v>
      </c>
      <c r="L1045" s="71" t="s">
        <v>5437</v>
      </c>
      <c r="M1045" s="71" t="s">
        <v>5438</v>
      </c>
      <c r="N1045" s="69" t="s">
        <v>57</v>
      </c>
      <c r="O1045" s="64">
        <v>1</v>
      </c>
      <c r="P1045" s="72">
        <v>10525</v>
      </c>
      <c r="Q1045" s="70" t="s">
        <v>4677</v>
      </c>
      <c r="R1045" s="70"/>
      <c r="S1045" s="121" t="s">
        <v>605</v>
      </c>
      <c r="T1045" s="56">
        <v>27</v>
      </c>
      <c r="U1045" s="56">
        <v>3</v>
      </c>
    </row>
    <row r="1046" spans="1:21" ht="14.25" customHeight="1" thickBot="1" x14ac:dyDescent="0.4">
      <c r="A1046" s="58">
        <v>1030</v>
      </c>
      <c r="B1046" s="69" t="s">
        <v>79</v>
      </c>
      <c r="C1046" s="69" t="s">
        <v>80</v>
      </c>
      <c r="D1046" s="70" t="s">
        <v>161</v>
      </c>
      <c r="E1046" s="69" t="s">
        <v>5439</v>
      </c>
      <c r="F1046" s="69" t="s">
        <v>88</v>
      </c>
      <c r="G1046" s="69" t="s">
        <v>54</v>
      </c>
      <c r="H1046" s="70">
        <v>2007</v>
      </c>
      <c r="I1046" s="69" t="s">
        <v>63</v>
      </c>
      <c r="J1046" s="69" t="s">
        <v>5440</v>
      </c>
      <c r="K1046" s="71" t="s">
        <v>5441</v>
      </c>
      <c r="L1046" s="71" t="s">
        <v>5442</v>
      </c>
      <c r="M1046" s="71" t="s">
        <v>5443</v>
      </c>
      <c r="N1046" s="69" t="s">
        <v>57</v>
      </c>
      <c r="O1046" s="64">
        <v>1</v>
      </c>
      <c r="P1046" s="72">
        <v>12700</v>
      </c>
      <c r="Q1046" s="188" t="s">
        <v>5444</v>
      </c>
      <c r="R1046" s="212"/>
      <c r="S1046" s="121" t="s">
        <v>605</v>
      </c>
      <c r="T1046" s="56">
        <v>27</v>
      </c>
      <c r="U1046" s="56">
        <v>3</v>
      </c>
    </row>
    <row r="1047" spans="1:21" ht="14.25" customHeight="1" x14ac:dyDescent="0.35">
      <c r="A1047" s="47">
        <v>1031</v>
      </c>
      <c r="B1047" s="69" t="s">
        <v>58</v>
      </c>
      <c r="C1047" s="69" t="s">
        <v>50</v>
      </c>
      <c r="D1047" s="70" t="s">
        <v>51</v>
      </c>
      <c r="E1047" s="69" t="s">
        <v>5445</v>
      </c>
      <c r="F1047" s="69" t="s">
        <v>4204</v>
      </c>
      <c r="G1047" s="69" t="s">
        <v>415</v>
      </c>
      <c r="H1047" s="70">
        <v>2011</v>
      </c>
      <c r="I1047" s="69"/>
      <c r="J1047" s="69" t="s">
        <v>5446</v>
      </c>
      <c r="K1047" s="71" t="s">
        <v>5447</v>
      </c>
      <c r="L1047" s="71" t="s">
        <v>5448</v>
      </c>
      <c r="M1047" s="71" t="s">
        <v>5449</v>
      </c>
      <c r="N1047" s="69" t="s">
        <v>57</v>
      </c>
      <c r="O1047" s="64">
        <v>1</v>
      </c>
      <c r="P1047" s="72">
        <v>261735</v>
      </c>
      <c r="Q1047" s="69"/>
      <c r="R1047" s="69"/>
      <c r="S1047" s="121" t="s">
        <v>621</v>
      </c>
      <c r="T1047" s="56">
        <v>28</v>
      </c>
      <c r="U1047" s="56">
        <v>4</v>
      </c>
    </row>
    <row r="1048" spans="1:21" ht="14.25" customHeight="1" thickBot="1" x14ac:dyDescent="0.4">
      <c r="A1048" s="58">
        <v>1032</v>
      </c>
      <c r="B1048" s="69" t="s">
        <v>58</v>
      </c>
      <c r="C1048" s="69" t="s">
        <v>50</v>
      </c>
      <c r="D1048" s="70" t="s">
        <v>59</v>
      </c>
      <c r="E1048" s="69" t="s">
        <v>5450</v>
      </c>
      <c r="F1048" s="69" t="s">
        <v>4468</v>
      </c>
      <c r="G1048" s="69" t="s">
        <v>140</v>
      </c>
      <c r="H1048" s="70">
        <v>2024</v>
      </c>
      <c r="I1048" s="69" t="s">
        <v>63</v>
      </c>
      <c r="J1048" s="69" t="s">
        <v>5451</v>
      </c>
      <c r="K1048" s="71" t="s">
        <v>5452</v>
      </c>
      <c r="L1048" s="71" t="s">
        <v>5453</v>
      </c>
      <c r="M1048" s="71" t="s">
        <v>5454</v>
      </c>
      <c r="N1048" s="69" t="s">
        <v>44</v>
      </c>
      <c r="O1048" s="64">
        <v>1</v>
      </c>
      <c r="P1048" s="72">
        <v>785100</v>
      </c>
      <c r="Q1048" s="69" t="s">
        <v>5455</v>
      </c>
      <c r="R1048" s="69"/>
      <c r="S1048" s="121" t="s">
        <v>621</v>
      </c>
      <c r="T1048" s="56">
        <v>28</v>
      </c>
      <c r="U1048" s="56">
        <v>4</v>
      </c>
    </row>
    <row r="1049" spans="1:21" ht="14.25" customHeight="1" x14ac:dyDescent="0.35">
      <c r="A1049" s="47">
        <v>1033</v>
      </c>
      <c r="B1049" s="69" t="s">
        <v>58</v>
      </c>
      <c r="C1049" s="69" t="s">
        <v>50</v>
      </c>
      <c r="D1049" s="70" t="s">
        <v>97</v>
      </c>
      <c r="E1049" s="69" t="s">
        <v>5456</v>
      </c>
      <c r="F1049" s="69" t="s">
        <v>425</v>
      </c>
      <c r="G1049" s="69" t="s">
        <v>140</v>
      </c>
      <c r="H1049" s="70">
        <v>2024</v>
      </c>
      <c r="I1049" s="69" t="s">
        <v>63</v>
      </c>
      <c r="J1049" s="69" t="s">
        <v>5457</v>
      </c>
      <c r="K1049" s="71" t="s">
        <v>5458</v>
      </c>
      <c r="L1049" s="71" t="s">
        <v>5459</v>
      </c>
      <c r="M1049" s="71" t="s">
        <v>5460</v>
      </c>
      <c r="N1049" s="69" t="s">
        <v>44</v>
      </c>
      <c r="O1049" s="64">
        <v>1</v>
      </c>
      <c r="P1049" s="72">
        <v>616000</v>
      </c>
      <c r="Q1049" s="69" t="s">
        <v>5461</v>
      </c>
      <c r="R1049" s="69"/>
      <c r="S1049" s="121" t="s">
        <v>621</v>
      </c>
      <c r="T1049" s="56">
        <v>28</v>
      </c>
      <c r="U1049" s="56">
        <v>4</v>
      </c>
    </row>
    <row r="1050" spans="1:21" ht="14.25" customHeight="1" thickBot="1" x14ac:dyDescent="0.4">
      <c r="A1050" s="58">
        <v>1034</v>
      </c>
      <c r="B1050" s="69" t="s">
        <v>58</v>
      </c>
      <c r="C1050" s="69" t="s">
        <v>50</v>
      </c>
      <c r="D1050" s="70" t="s">
        <v>101</v>
      </c>
      <c r="E1050" s="69" t="s">
        <v>63</v>
      </c>
      <c r="F1050" s="69"/>
      <c r="G1050" s="69" t="s">
        <v>63</v>
      </c>
      <c r="H1050" s="70">
        <v>2024</v>
      </c>
      <c r="I1050" s="69" t="s">
        <v>63</v>
      </c>
      <c r="J1050" s="69" t="s">
        <v>63</v>
      </c>
      <c r="K1050" s="71" t="s">
        <v>63</v>
      </c>
      <c r="L1050" s="71" t="s">
        <v>63</v>
      </c>
      <c r="M1050" s="71" t="s">
        <v>63</v>
      </c>
      <c r="N1050" s="69" t="s">
        <v>44</v>
      </c>
      <c r="O1050" s="64">
        <v>1</v>
      </c>
      <c r="P1050" s="72">
        <v>651300</v>
      </c>
      <c r="Q1050" s="69" t="s">
        <v>5462</v>
      </c>
      <c r="R1050" s="69"/>
      <c r="S1050" s="121" t="s">
        <v>621</v>
      </c>
      <c r="T1050" s="56">
        <v>28</v>
      </c>
      <c r="U1050" s="56">
        <v>4</v>
      </c>
    </row>
    <row r="1051" spans="1:21" ht="14.25" customHeight="1" x14ac:dyDescent="0.35">
      <c r="A1051" s="47">
        <v>1035</v>
      </c>
      <c r="B1051" s="69" t="s">
        <v>1745</v>
      </c>
      <c r="C1051" s="69" t="s">
        <v>1746</v>
      </c>
      <c r="D1051" s="70" t="s">
        <v>51</v>
      </c>
      <c r="E1051" s="69" t="s">
        <v>1777</v>
      </c>
      <c r="F1051" s="69" t="s">
        <v>2691</v>
      </c>
      <c r="G1051" s="69" t="s">
        <v>140</v>
      </c>
      <c r="H1051" s="70">
        <v>2017</v>
      </c>
      <c r="I1051" s="69" t="s">
        <v>63</v>
      </c>
      <c r="J1051" s="69" t="s">
        <v>1778</v>
      </c>
      <c r="K1051" s="71" t="s">
        <v>1779</v>
      </c>
      <c r="L1051" s="71" t="s">
        <v>5463</v>
      </c>
      <c r="M1051" s="71" t="s">
        <v>5464</v>
      </c>
      <c r="N1051" s="69" t="s">
        <v>57</v>
      </c>
      <c r="O1051" s="64">
        <v>1</v>
      </c>
      <c r="P1051" s="72">
        <v>190700</v>
      </c>
      <c r="Q1051" s="69" t="s">
        <v>5465</v>
      </c>
      <c r="R1051" s="69"/>
      <c r="S1051" s="121" t="s">
        <v>621</v>
      </c>
      <c r="T1051" s="56">
        <v>28</v>
      </c>
      <c r="U1051" s="56">
        <v>4</v>
      </c>
    </row>
    <row r="1052" spans="1:21" ht="14.25" customHeight="1" thickBot="1" x14ac:dyDescent="0.4">
      <c r="A1052" s="58">
        <v>1036</v>
      </c>
      <c r="B1052" s="69" t="s">
        <v>1745</v>
      </c>
      <c r="C1052" s="69" t="s">
        <v>1746</v>
      </c>
      <c r="D1052" s="70" t="s">
        <v>59</v>
      </c>
      <c r="E1052" s="69" t="s">
        <v>1777</v>
      </c>
      <c r="F1052" s="69" t="s">
        <v>2691</v>
      </c>
      <c r="G1052" s="69" t="s">
        <v>140</v>
      </c>
      <c r="H1052" s="70">
        <v>2017</v>
      </c>
      <c r="I1052" s="69" t="s">
        <v>63</v>
      </c>
      <c r="J1052" s="69" t="s">
        <v>5466</v>
      </c>
      <c r="K1052" s="71" t="s">
        <v>5467</v>
      </c>
      <c r="L1052" s="71" t="s">
        <v>5468</v>
      </c>
      <c r="M1052" s="71" t="s">
        <v>5469</v>
      </c>
      <c r="N1052" s="69" t="s">
        <v>57</v>
      </c>
      <c r="O1052" s="64">
        <v>1</v>
      </c>
      <c r="P1052" s="72">
        <v>190700</v>
      </c>
      <c r="Q1052" s="69" t="s">
        <v>5470</v>
      </c>
      <c r="R1052" s="69"/>
      <c r="S1052" s="121" t="s">
        <v>621</v>
      </c>
      <c r="T1052" s="56">
        <v>28</v>
      </c>
      <c r="U1052" s="56">
        <v>4</v>
      </c>
    </row>
    <row r="1053" spans="1:21" ht="14.25" customHeight="1" x14ac:dyDescent="0.35">
      <c r="A1053" s="47">
        <v>1037</v>
      </c>
      <c r="B1053" s="69" t="s">
        <v>1745</v>
      </c>
      <c r="C1053" s="69" t="s">
        <v>1746</v>
      </c>
      <c r="D1053" s="70" t="s">
        <v>97</v>
      </c>
      <c r="E1053" s="69" t="s">
        <v>1777</v>
      </c>
      <c r="F1053" s="69" t="s">
        <v>2691</v>
      </c>
      <c r="G1053" s="69" t="s">
        <v>140</v>
      </c>
      <c r="H1053" s="70">
        <v>2017</v>
      </c>
      <c r="I1053" s="69" t="s">
        <v>63</v>
      </c>
      <c r="J1053" s="69" t="s">
        <v>5471</v>
      </c>
      <c r="K1053" s="71" t="s">
        <v>5472</v>
      </c>
      <c r="L1053" s="71" t="s">
        <v>5473</v>
      </c>
      <c r="M1053" s="71" t="s">
        <v>5474</v>
      </c>
      <c r="N1053" s="69" t="s">
        <v>57</v>
      </c>
      <c r="O1053" s="64">
        <v>1</v>
      </c>
      <c r="P1053" s="72">
        <v>190700</v>
      </c>
      <c r="Q1053" s="69" t="s">
        <v>5475</v>
      </c>
      <c r="R1053" s="69"/>
      <c r="S1053" s="121" t="s">
        <v>621</v>
      </c>
      <c r="T1053" s="56">
        <v>28</v>
      </c>
      <c r="U1053" s="56">
        <v>4</v>
      </c>
    </row>
    <row r="1054" spans="1:21" ht="14.25" customHeight="1" thickBot="1" x14ac:dyDescent="0.4">
      <c r="A1054" s="58">
        <v>1038</v>
      </c>
      <c r="B1054" s="69" t="s">
        <v>1745</v>
      </c>
      <c r="C1054" s="69" t="s">
        <v>1746</v>
      </c>
      <c r="D1054" s="70" t="s">
        <v>107</v>
      </c>
      <c r="E1054" s="69" t="s">
        <v>3902</v>
      </c>
      <c r="F1054" s="69" t="s">
        <v>63</v>
      </c>
      <c r="G1054" s="69" t="s">
        <v>140</v>
      </c>
      <c r="H1054" s="70">
        <v>2019</v>
      </c>
      <c r="I1054" s="69" t="s">
        <v>63</v>
      </c>
      <c r="J1054" s="69" t="s">
        <v>5476</v>
      </c>
      <c r="K1054" s="71" t="s">
        <v>5477</v>
      </c>
      <c r="L1054" s="71" t="s">
        <v>5478</v>
      </c>
      <c r="M1054" s="71" t="s">
        <v>5479</v>
      </c>
      <c r="N1054" s="69" t="s">
        <v>57</v>
      </c>
      <c r="O1054" s="64">
        <v>1</v>
      </c>
      <c r="P1054" s="72">
        <v>320050</v>
      </c>
      <c r="Q1054" s="69" t="s">
        <v>5480</v>
      </c>
      <c r="R1054" s="69"/>
      <c r="S1054" s="121" t="s">
        <v>621</v>
      </c>
      <c r="T1054" s="56">
        <v>28</v>
      </c>
      <c r="U1054" s="56">
        <v>4</v>
      </c>
    </row>
    <row r="1055" spans="1:21" ht="14.25" customHeight="1" x14ac:dyDescent="0.35">
      <c r="A1055" s="47">
        <v>1039</v>
      </c>
      <c r="B1055" s="69" t="s">
        <v>70</v>
      </c>
      <c r="C1055" s="69" t="s">
        <v>71</v>
      </c>
      <c r="D1055" s="70" t="s">
        <v>59</v>
      </c>
      <c r="E1055" s="69" t="s">
        <v>5481</v>
      </c>
      <c r="F1055" s="69" t="s">
        <v>5482</v>
      </c>
      <c r="G1055" s="69" t="s">
        <v>140</v>
      </c>
      <c r="H1055" s="70">
        <v>2024</v>
      </c>
      <c r="I1055" s="69" t="s">
        <v>63</v>
      </c>
      <c r="J1055" s="69" t="s">
        <v>5483</v>
      </c>
      <c r="K1055" s="71" t="s">
        <v>5484</v>
      </c>
      <c r="L1055" s="71" t="s">
        <v>5485</v>
      </c>
      <c r="M1055" s="71" t="s">
        <v>5486</v>
      </c>
      <c r="N1055" s="69" t="s">
        <v>44</v>
      </c>
      <c r="O1055" s="64">
        <v>1</v>
      </c>
      <c r="P1055" s="72">
        <v>478300</v>
      </c>
      <c r="Q1055" s="69" t="s">
        <v>5487</v>
      </c>
      <c r="R1055" s="69"/>
      <c r="S1055" s="121" t="s">
        <v>621</v>
      </c>
      <c r="T1055" s="56">
        <v>28</v>
      </c>
      <c r="U1055" s="56">
        <v>4</v>
      </c>
    </row>
    <row r="1056" spans="1:21" ht="14.25" customHeight="1" thickBot="1" x14ac:dyDescent="0.4">
      <c r="A1056" s="58">
        <v>1040</v>
      </c>
      <c r="B1056" s="69" t="s">
        <v>70</v>
      </c>
      <c r="C1056" s="69" t="s">
        <v>71</v>
      </c>
      <c r="D1056" s="70" t="s">
        <v>97</v>
      </c>
      <c r="E1056" s="69" t="s">
        <v>5488</v>
      </c>
      <c r="F1056" s="69" t="s">
        <v>3698</v>
      </c>
      <c r="G1056" s="69" t="s">
        <v>140</v>
      </c>
      <c r="H1056" s="70">
        <v>2018</v>
      </c>
      <c r="I1056" s="69" t="s">
        <v>63</v>
      </c>
      <c r="J1056" s="69" t="s">
        <v>5489</v>
      </c>
      <c r="K1056" s="71" t="s">
        <v>5490</v>
      </c>
      <c r="L1056" s="71" t="s">
        <v>5491</v>
      </c>
      <c r="M1056" s="71" t="s">
        <v>5492</v>
      </c>
      <c r="N1056" s="69" t="s">
        <v>57</v>
      </c>
      <c r="O1056" s="64">
        <v>1</v>
      </c>
      <c r="P1056" s="72">
        <v>399250</v>
      </c>
      <c r="Q1056" s="69" t="s">
        <v>5493</v>
      </c>
      <c r="R1056" s="69"/>
      <c r="S1056" s="121" t="s">
        <v>621</v>
      </c>
      <c r="T1056" s="56">
        <v>28</v>
      </c>
      <c r="U1056" s="56">
        <v>4</v>
      </c>
    </row>
    <row r="1057" spans="1:21" ht="14.25" customHeight="1" x14ac:dyDescent="0.35">
      <c r="A1057" s="47">
        <v>1041</v>
      </c>
      <c r="B1057" s="69" t="s">
        <v>79</v>
      </c>
      <c r="C1057" s="69" t="s">
        <v>80</v>
      </c>
      <c r="D1057" s="70" t="s">
        <v>59</v>
      </c>
      <c r="E1057" s="69" t="s">
        <v>5494</v>
      </c>
      <c r="F1057" s="69" t="s">
        <v>139</v>
      </c>
      <c r="G1057" s="69" t="s">
        <v>140</v>
      </c>
      <c r="H1057" s="70">
        <v>2014</v>
      </c>
      <c r="I1057" s="69"/>
      <c r="J1057" s="69" t="s">
        <v>5495</v>
      </c>
      <c r="K1057" s="71" t="s">
        <v>5496</v>
      </c>
      <c r="L1057" s="71" t="s">
        <v>5497</v>
      </c>
      <c r="M1057" s="71" t="s">
        <v>5498</v>
      </c>
      <c r="N1057" s="69" t="s">
        <v>57</v>
      </c>
      <c r="O1057" s="64">
        <v>1</v>
      </c>
      <c r="P1057" s="72">
        <v>16488</v>
      </c>
      <c r="Q1057" s="69" t="s">
        <v>5499</v>
      </c>
      <c r="R1057" s="69"/>
      <c r="S1057" s="121" t="s">
        <v>621</v>
      </c>
      <c r="T1057" s="56">
        <v>28</v>
      </c>
      <c r="U1057" s="56">
        <v>3</v>
      </c>
    </row>
    <row r="1058" spans="1:21" ht="14.25" customHeight="1" thickBot="1" x14ac:dyDescent="0.4">
      <c r="A1058" s="58">
        <v>1042</v>
      </c>
      <c r="B1058" s="69" t="s">
        <v>79</v>
      </c>
      <c r="C1058" s="69" t="s">
        <v>80</v>
      </c>
      <c r="D1058" s="70" t="s">
        <v>97</v>
      </c>
      <c r="E1058" s="69" t="s">
        <v>5494</v>
      </c>
      <c r="F1058" s="69" t="s">
        <v>139</v>
      </c>
      <c r="G1058" s="69" t="s">
        <v>140</v>
      </c>
      <c r="H1058" s="70">
        <v>2014</v>
      </c>
      <c r="I1058" s="69"/>
      <c r="J1058" s="69" t="s">
        <v>5500</v>
      </c>
      <c r="K1058" s="71" t="s">
        <v>5501</v>
      </c>
      <c r="L1058" s="71" t="s">
        <v>5502</v>
      </c>
      <c r="M1058" s="71" t="s">
        <v>5503</v>
      </c>
      <c r="N1058" s="69" t="s">
        <v>57</v>
      </c>
      <c r="O1058" s="64">
        <v>1</v>
      </c>
      <c r="P1058" s="72">
        <v>16488</v>
      </c>
      <c r="Q1058" s="69" t="s">
        <v>5499</v>
      </c>
      <c r="R1058" s="69"/>
      <c r="S1058" s="121" t="s">
        <v>621</v>
      </c>
      <c r="T1058" s="56">
        <v>28</v>
      </c>
      <c r="U1058" s="56">
        <v>3</v>
      </c>
    </row>
    <row r="1059" spans="1:21" ht="14.25" customHeight="1" x14ac:dyDescent="0.35">
      <c r="A1059" s="47">
        <v>1043</v>
      </c>
      <c r="B1059" s="69" t="s">
        <v>79</v>
      </c>
      <c r="C1059" s="69" t="s">
        <v>80</v>
      </c>
      <c r="D1059" s="70" t="s">
        <v>101</v>
      </c>
      <c r="E1059" s="69" t="s">
        <v>2178</v>
      </c>
      <c r="F1059" s="69" t="s">
        <v>2179</v>
      </c>
      <c r="G1059" s="69" t="s">
        <v>54</v>
      </c>
      <c r="H1059" s="70">
        <v>2015</v>
      </c>
      <c r="I1059" s="69"/>
      <c r="J1059" s="69" t="s">
        <v>5504</v>
      </c>
      <c r="K1059" s="71" t="s">
        <v>5505</v>
      </c>
      <c r="L1059" s="71" t="s">
        <v>5506</v>
      </c>
      <c r="M1059" s="71" t="s">
        <v>5507</v>
      </c>
      <c r="N1059" s="69" t="s">
        <v>57</v>
      </c>
      <c r="O1059" s="64">
        <v>1</v>
      </c>
      <c r="P1059" s="72">
        <v>18876</v>
      </c>
      <c r="Q1059" s="69" t="s">
        <v>621</v>
      </c>
      <c r="R1059" s="69"/>
      <c r="S1059" s="121" t="s">
        <v>621</v>
      </c>
      <c r="T1059" s="56">
        <v>28</v>
      </c>
      <c r="U1059" s="56">
        <v>3</v>
      </c>
    </row>
    <row r="1060" spans="1:21" ht="14.25" customHeight="1" thickBot="1" x14ac:dyDescent="0.4">
      <c r="A1060" s="58">
        <v>1044</v>
      </c>
      <c r="B1060" s="69" t="s">
        <v>79</v>
      </c>
      <c r="C1060" s="69" t="s">
        <v>80</v>
      </c>
      <c r="D1060" s="70" t="s">
        <v>107</v>
      </c>
      <c r="E1060" s="69" t="s">
        <v>2178</v>
      </c>
      <c r="F1060" s="69" t="s">
        <v>2179</v>
      </c>
      <c r="G1060" s="69" t="s">
        <v>54</v>
      </c>
      <c r="H1060" s="70">
        <v>2015</v>
      </c>
      <c r="I1060" s="69"/>
      <c r="J1060" s="69" t="s">
        <v>5508</v>
      </c>
      <c r="K1060" s="71" t="s">
        <v>5509</v>
      </c>
      <c r="L1060" s="71" t="s">
        <v>5510</v>
      </c>
      <c r="M1060" s="71" t="s">
        <v>5511</v>
      </c>
      <c r="N1060" s="69" t="s">
        <v>57</v>
      </c>
      <c r="O1060" s="64">
        <v>1</v>
      </c>
      <c r="P1060" s="72">
        <v>18876</v>
      </c>
      <c r="Q1060" s="69" t="s">
        <v>621</v>
      </c>
      <c r="R1060" s="69"/>
      <c r="S1060" s="121" t="s">
        <v>621</v>
      </c>
      <c r="T1060" s="56">
        <v>28</v>
      </c>
      <c r="U1060" s="56">
        <v>3</v>
      </c>
    </row>
    <row r="1061" spans="1:21" ht="14.25" customHeight="1" x14ac:dyDescent="0.35">
      <c r="A1061" s="47">
        <v>1045</v>
      </c>
      <c r="B1061" s="69" t="s">
        <v>79</v>
      </c>
      <c r="C1061" s="69" t="s">
        <v>80</v>
      </c>
      <c r="D1061" s="70" t="s">
        <v>112</v>
      </c>
      <c r="E1061" s="69" t="s">
        <v>2178</v>
      </c>
      <c r="F1061" s="69" t="s">
        <v>2179</v>
      </c>
      <c r="G1061" s="69" t="s">
        <v>54</v>
      </c>
      <c r="H1061" s="70">
        <v>2015</v>
      </c>
      <c r="I1061" s="69"/>
      <c r="J1061" s="69" t="s">
        <v>5512</v>
      </c>
      <c r="K1061" s="71" t="s">
        <v>5513</v>
      </c>
      <c r="L1061" s="71" t="s">
        <v>5514</v>
      </c>
      <c r="M1061" s="71" t="s">
        <v>5515</v>
      </c>
      <c r="N1061" s="69" t="s">
        <v>57</v>
      </c>
      <c r="O1061" s="64">
        <v>1</v>
      </c>
      <c r="P1061" s="72">
        <v>18876</v>
      </c>
      <c r="Q1061" s="69" t="s">
        <v>621</v>
      </c>
      <c r="R1061" s="69"/>
      <c r="S1061" s="121" t="s">
        <v>621</v>
      </c>
      <c r="T1061" s="56">
        <v>28</v>
      </c>
      <c r="U1061" s="56">
        <v>3</v>
      </c>
    </row>
    <row r="1062" spans="1:21" ht="14.25" customHeight="1" thickBot="1" x14ac:dyDescent="0.4">
      <c r="A1062" s="58">
        <v>1046</v>
      </c>
      <c r="B1062" s="69" t="s">
        <v>79</v>
      </c>
      <c r="C1062" s="69" t="s">
        <v>80</v>
      </c>
      <c r="D1062" s="70" t="s">
        <v>116</v>
      </c>
      <c r="E1062" s="69" t="s">
        <v>2178</v>
      </c>
      <c r="F1062" s="69" t="s">
        <v>2179</v>
      </c>
      <c r="G1062" s="69" t="s">
        <v>54</v>
      </c>
      <c r="H1062" s="70">
        <v>2015</v>
      </c>
      <c r="I1062" s="69"/>
      <c r="J1062" s="69" t="s">
        <v>5516</v>
      </c>
      <c r="K1062" s="71" t="s">
        <v>5517</v>
      </c>
      <c r="L1062" s="71" t="s">
        <v>5518</v>
      </c>
      <c r="M1062" s="71" t="s">
        <v>5519</v>
      </c>
      <c r="N1062" s="69" t="s">
        <v>57</v>
      </c>
      <c r="O1062" s="64">
        <v>1</v>
      </c>
      <c r="P1062" s="72">
        <v>18876</v>
      </c>
      <c r="Q1062" s="69" t="s">
        <v>621</v>
      </c>
      <c r="R1062" s="69"/>
      <c r="S1062" s="121" t="s">
        <v>621</v>
      </c>
      <c r="T1062" s="56">
        <v>28</v>
      </c>
      <c r="U1062" s="56">
        <v>3</v>
      </c>
    </row>
    <row r="1063" spans="1:21" ht="14.25" customHeight="1" x14ac:dyDescent="0.35">
      <c r="A1063" s="47">
        <v>1047</v>
      </c>
      <c r="B1063" s="69" t="s">
        <v>79</v>
      </c>
      <c r="C1063" s="69" t="s">
        <v>80</v>
      </c>
      <c r="D1063" s="70" t="s">
        <v>841</v>
      </c>
      <c r="E1063" s="69" t="s">
        <v>2178</v>
      </c>
      <c r="F1063" s="69" t="s">
        <v>2179</v>
      </c>
      <c r="G1063" s="69" t="s">
        <v>54</v>
      </c>
      <c r="H1063" s="70">
        <v>2015</v>
      </c>
      <c r="I1063" s="69"/>
      <c r="J1063" s="69" t="s">
        <v>5520</v>
      </c>
      <c r="K1063" s="71" t="s">
        <v>5521</v>
      </c>
      <c r="L1063" s="71" t="s">
        <v>5522</v>
      </c>
      <c r="M1063" s="71" t="s">
        <v>5523</v>
      </c>
      <c r="N1063" s="69" t="s">
        <v>57</v>
      </c>
      <c r="O1063" s="64">
        <v>1</v>
      </c>
      <c r="P1063" s="72">
        <v>18876</v>
      </c>
      <c r="Q1063" s="69" t="s">
        <v>621</v>
      </c>
      <c r="R1063" s="69"/>
      <c r="S1063" s="121" t="s">
        <v>621</v>
      </c>
      <c r="T1063" s="56">
        <v>28</v>
      </c>
      <c r="U1063" s="56">
        <v>3</v>
      </c>
    </row>
    <row r="1064" spans="1:21" ht="14.25" customHeight="1" thickBot="1" x14ac:dyDescent="0.4">
      <c r="A1064" s="58">
        <v>1048</v>
      </c>
      <c r="B1064" s="69" t="s">
        <v>79</v>
      </c>
      <c r="C1064" s="69" t="s">
        <v>80</v>
      </c>
      <c r="D1064" s="70" t="s">
        <v>122</v>
      </c>
      <c r="E1064" s="69" t="s">
        <v>2178</v>
      </c>
      <c r="F1064" s="69" t="s">
        <v>2179</v>
      </c>
      <c r="G1064" s="69" t="s">
        <v>54</v>
      </c>
      <c r="H1064" s="70">
        <v>2015</v>
      </c>
      <c r="I1064" s="69"/>
      <c r="J1064" s="69" t="s">
        <v>5524</v>
      </c>
      <c r="K1064" s="71" t="s">
        <v>5525</v>
      </c>
      <c r="L1064" s="71" t="s">
        <v>5526</v>
      </c>
      <c r="M1064" s="71" t="s">
        <v>5527</v>
      </c>
      <c r="N1064" s="69" t="s">
        <v>57</v>
      </c>
      <c r="O1064" s="64">
        <v>1</v>
      </c>
      <c r="P1064" s="72">
        <v>18876</v>
      </c>
      <c r="Q1064" s="69" t="s">
        <v>621</v>
      </c>
      <c r="R1064" s="69"/>
      <c r="S1064" s="121" t="s">
        <v>621</v>
      </c>
      <c r="T1064" s="56">
        <v>28</v>
      </c>
      <c r="U1064" s="56">
        <v>3</v>
      </c>
    </row>
    <row r="1065" spans="1:21" ht="14.25" customHeight="1" x14ac:dyDescent="0.35">
      <c r="A1065" s="47">
        <v>1049</v>
      </c>
      <c r="B1065" s="69" t="s">
        <v>79</v>
      </c>
      <c r="C1065" s="69" t="s">
        <v>80</v>
      </c>
      <c r="D1065" s="70" t="s">
        <v>126</v>
      </c>
      <c r="E1065" s="69" t="s">
        <v>2178</v>
      </c>
      <c r="F1065" s="69" t="s">
        <v>2179</v>
      </c>
      <c r="G1065" s="69" t="s">
        <v>54</v>
      </c>
      <c r="H1065" s="70">
        <v>2015</v>
      </c>
      <c r="I1065" s="69"/>
      <c r="J1065" s="69" t="s">
        <v>5528</v>
      </c>
      <c r="K1065" s="71" t="s">
        <v>5529</v>
      </c>
      <c r="L1065" s="71" t="s">
        <v>5530</v>
      </c>
      <c r="M1065" s="71" t="s">
        <v>5531</v>
      </c>
      <c r="N1065" s="69" t="s">
        <v>57</v>
      </c>
      <c r="O1065" s="64">
        <v>1</v>
      </c>
      <c r="P1065" s="72">
        <v>18876</v>
      </c>
      <c r="Q1065" s="69" t="s">
        <v>621</v>
      </c>
      <c r="R1065" s="69"/>
      <c r="S1065" s="121" t="s">
        <v>621</v>
      </c>
      <c r="T1065" s="56">
        <v>28</v>
      </c>
      <c r="U1065" s="56">
        <v>3</v>
      </c>
    </row>
    <row r="1066" spans="1:21" ht="14.25" customHeight="1" thickBot="1" x14ac:dyDescent="0.4">
      <c r="A1066" s="58">
        <v>1050</v>
      </c>
      <c r="B1066" s="69" t="s">
        <v>79</v>
      </c>
      <c r="C1066" s="69" t="s">
        <v>80</v>
      </c>
      <c r="D1066" s="70" t="s">
        <v>132</v>
      </c>
      <c r="E1066" s="69" t="s">
        <v>2178</v>
      </c>
      <c r="F1066" s="69" t="s">
        <v>2179</v>
      </c>
      <c r="G1066" s="69" t="s">
        <v>54</v>
      </c>
      <c r="H1066" s="70">
        <v>2015</v>
      </c>
      <c r="I1066" s="69"/>
      <c r="J1066" s="69" t="s">
        <v>5532</v>
      </c>
      <c r="K1066" s="71" t="s">
        <v>5533</v>
      </c>
      <c r="L1066" s="71" t="s">
        <v>5534</v>
      </c>
      <c r="M1066" s="71" t="s">
        <v>5535</v>
      </c>
      <c r="N1066" s="69" t="s">
        <v>57</v>
      </c>
      <c r="O1066" s="64">
        <v>1</v>
      </c>
      <c r="P1066" s="72">
        <v>18876</v>
      </c>
      <c r="Q1066" s="69" t="s">
        <v>621</v>
      </c>
      <c r="R1066" s="69"/>
      <c r="S1066" s="121" t="s">
        <v>621</v>
      </c>
      <c r="T1066" s="56">
        <v>28</v>
      </c>
      <c r="U1066" s="56">
        <v>3</v>
      </c>
    </row>
    <row r="1067" spans="1:21" ht="14.25" customHeight="1" x14ac:dyDescent="0.35">
      <c r="A1067" s="47">
        <v>1051</v>
      </c>
      <c r="B1067" s="69" t="s">
        <v>79</v>
      </c>
      <c r="C1067" s="69" t="s">
        <v>80</v>
      </c>
      <c r="D1067" s="70" t="s">
        <v>137</v>
      </c>
      <c r="E1067" s="69" t="s">
        <v>5536</v>
      </c>
      <c r="F1067" s="69" t="s">
        <v>5537</v>
      </c>
      <c r="G1067" s="69" t="s">
        <v>54</v>
      </c>
      <c r="H1067" s="70">
        <v>2003</v>
      </c>
      <c r="I1067" s="69"/>
      <c r="J1067" s="69" t="s">
        <v>5538</v>
      </c>
      <c r="K1067" s="71" t="s">
        <v>5539</v>
      </c>
      <c r="L1067" s="71" t="s">
        <v>5540</v>
      </c>
      <c r="M1067" s="71" t="s">
        <v>5541</v>
      </c>
      <c r="N1067" s="69" t="s">
        <v>57</v>
      </c>
      <c r="O1067" s="64">
        <v>1</v>
      </c>
      <c r="P1067" s="72">
        <v>12100</v>
      </c>
      <c r="Q1067" s="69"/>
      <c r="R1067" s="69"/>
      <c r="S1067" s="121" t="s">
        <v>621</v>
      </c>
      <c r="T1067" s="56">
        <v>28</v>
      </c>
      <c r="U1067" s="56">
        <v>3</v>
      </c>
    </row>
    <row r="1068" spans="1:21" ht="14.25" customHeight="1" thickBot="1" x14ac:dyDescent="0.4">
      <c r="A1068" s="58">
        <v>1052</v>
      </c>
      <c r="B1068" s="69" t="s">
        <v>79</v>
      </c>
      <c r="C1068" s="69" t="s">
        <v>80</v>
      </c>
      <c r="D1068" s="70" t="s">
        <v>146</v>
      </c>
      <c r="E1068" s="69" t="s">
        <v>5542</v>
      </c>
      <c r="F1068" s="69" t="s">
        <v>5537</v>
      </c>
      <c r="G1068" s="69" t="s">
        <v>54</v>
      </c>
      <c r="H1068" s="70">
        <v>2003</v>
      </c>
      <c r="I1068" s="69"/>
      <c r="J1068" s="69" t="s">
        <v>5543</v>
      </c>
      <c r="K1068" s="71" t="s">
        <v>5544</v>
      </c>
      <c r="L1068" s="71" t="s">
        <v>5545</v>
      </c>
      <c r="M1068" s="71" t="s">
        <v>5546</v>
      </c>
      <c r="N1068" s="69" t="s">
        <v>57</v>
      </c>
      <c r="O1068" s="64">
        <v>1</v>
      </c>
      <c r="P1068" s="72">
        <v>12100</v>
      </c>
      <c r="Q1068" s="69"/>
      <c r="R1068" s="69"/>
      <c r="S1068" s="121" t="s">
        <v>621</v>
      </c>
      <c r="T1068" s="56">
        <v>28</v>
      </c>
      <c r="U1068" s="56">
        <v>3</v>
      </c>
    </row>
    <row r="1069" spans="1:21" ht="14.25" customHeight="1" x14ac:dyDescent="0.35">
      <c r="A1069" s="47">
        <v>1053</v>
      </c>
      <c r="B1069" s="69" t="s">
        <v>79</v>
      </c>
      <c r="C1069" s="69" t="s">
        <v>80</v>
      </c>
      <c r="D1069" s="70" t="s">
        <v>154</v>
      </c>
      <c r="E1069" s="69" t="s">
        <v>5542</v>
      </c>
      <c r="F1069" s="69" t="s">
        <v>5537</v>
      </c>
      <c r="G1069" s="69" t="s">
        <v>54</v>
      </c>
      <c r="H1069" s="70">
        <v>2003</v>
      </c>
      <c r="I1069" s="69"/>
      <c r="J1069" s="69" t="s">
        <v>5547</v>
      </c>
      <c r="K1069" s="71" t="s">
        <v>5548</v>
      </c>
      <c r="L1069" s="71" t="s">
        <v>5549</v>
      </c>
      <c r="M1069" s="71" t="s">
        <v>5550</v>
      </c>
      <c r="N1069" s="69" t="s">
        <v>57</v>
      </c>
      <c r="O1069" s="64">
        <v>1</v>
      </c>
      <c r="P1069" s="72">
        <v>12100</v>
      </c>
      <c r="Q1069" s="69"/>
      <c r="R1069" s="69"/>
      <c r="S1069" s="121" t="s">
        <v>621</v>
      </c>
      <c r="T1069" s="56">
        <v>28</v>
      </c>
      <c r="U1069" s="56">
        <v>3</v>
      </c>
    </row>
    <row r="1070" spans="1:21" ht="14.25" customHeight="1" thickBot="1" x14ac:dyDescent="0.4">
      <c r="A1070" s="58">
        <v>1054</v>
      </c>
      <c r="B1070" s="69" t="s">
        <v>79</v>
      </c>
      <c r="C1070" s="69" t="s">
        <v>80</v>
      </c>
      <c r="D1070" s="70" t="s">
        <v>161</v>
      </c>
      <c r="E1070" s="69" t="s">
        <v>5542</v>
      </c>
      <c r="F1070" s="69" t="s">
        <v>5537</v>
      </c>
      <c r="G1070" s="69" t="s">
        <v>54</v>
      </c>
      <c r="H1070" s="70">
        <v>2003</v>
      </c>
      <c r="I1070" s="69"/>
      <c r="J1070" s="69" t="s">
        <v>5551</v>
      </c>
      <c r="K1070" s="71" t="s">
        <v>5552</v>
      </c>
      <c r="L1070" s="71" t="s">
        <v>5553</v>
      </c>
      <c r="M1070" s="71"/>
      <c r="N1070" s="69" t="s">
        <v>57</v>
      </c>
      <c r="O1070" s="64">
        <v>1</v>
      </c>
      <c r="P1070" s="72">
        <v>12100</v>
      </c>
      <c r="Q1070" s="69"/>
      <c r="R1070" s="69"/>
      <c r="S1070" s="121" t="s">
        <v>621</v>
      </c>
      <c r="T1070" s="56">
        <v>28</v>
      </c>
      <c r="U1070" s="56">
        <v>3</v>
      </c>
    </row>
    <row r="1071" spans="1:21" ht="14.25" customHeight="1" x14ac:dyDescent="0.35">
      <c r="A1071" s="47">
        <v>1055</v>
      </c>
      <c r="B1071" s="69" t="s">
        <v>79</v>
      </c>
      <c r="C1071" s="69" t="s">
        <v>80</v>
      </c>
      <c r="D1071" s="70" t="s">
        <v>169</v>
      </c>
      <c r="E1071" s="69" t="s">
        <v>5542</v>
      </c>
      <c r="F1071" s="69" t="s">
        <v>5537</v>
      </c>
      <c r="G1071" s="69" t="s">
        <v>54</v>
      </c>
      <c r="H1071" s="70">
        <v>2003</v>
      </c>
      <c r="I1071" s="69"/>
      <c r="J1071" s="69" t="s">
        <v>5554</v>
      </c>
      <c r="K1071" s="71" t="s">
        <v>5555</v>
      </c>
      <c r="L1071" s="71" t="s">
        <v>5556</v>
      </c>
      <c r="M1071" s="71" t="s">
        <v>5557</v>
      </c>
      <c r="N1071" s="69" t="s">
        <v>57</v>
      </c>
      <c r="O1071" s="64">
        <v>1</v>
      </c>
      <c r="P1071" s="72">
        <v>12100</v>
      </c>
      <c r="Q1071" s="69"/>
      <c r="R1071" s="69"/>
      <c r="S1071" s="121" t="s">
        <v>621</v>
      </c>
      <c r="T1071" s="56">
        <v>28</v>
      </c>
      <c r="U1071" s="56">
        <v>3</v>
      </c>
    </row>
    <row r="1072" spans="1:21" ht="14.25" customHeight="1" thickBot="1" x14ac:dyDescent="0.4">
      <c r="A1072" s="58">
        <v>1056</v>
      </c>
      <c r="B1072" s="69" t="s">
        <v>79</v>
      </c>
      <c r="C1072" s="69" t="s">
        <v>80</v>
      </c>
      <c r="D1072" s="70" t="s">
        <v>176</v>
      </c>
      <c r="E1072" s="69" t="s">
        <v>5558</v>
      </c>
      <c r="F1072" s="69" t="s">
        <v>82</v>
      </c>
      <c r="G1072" s="69" t="s">
        <v>54</v>
      </c>
      <c r="H1072" s="70">
        <v>2002</v>
      </c>
      <c r="I1072" s="69"/>
      <c r="J1072" s="69" t="s">
        <v>5559</v>
      </c>
      <c r="K1072" s="71" t="s">
        <v>5560</v>
      </c>
      <c r="L1072" s="71" t="s">
        <v>5561</v>
      </c>
      <c r="M1072" s="71" t="s">
        <v>5562</v>
      </c>
      <c r="N1072" s="69" t="s">
        <v>57</v>
      </c>
      <c r="O1072" s="64">
        <v>1</v>
      </c>
      <c r="P1072" s="72">
        <v>7900</v>
      </c>
      <c r="Q1072" s="69" t="s">
        <v>5563</v>
      </c>
      <c r="R1072" s="69"/>
      <c r="S1072" s="121" t="s">
        <v>621</v>
      </c>
      <c r="T1072" s="56">
        <v>28</v>
      </c>
      <c r="U1072" s="56">
        <v>3</v>
      </c>
    </row>
    <row r="1073" spans="1:21" ht="14.25" customHeight="1" x14ac:dyDescent="0.35">
      <c r="A1073" s="47">
        <v>1057</v>
      </c>
      <c r="B1073" s="69" t="s">
        <v>79</v>
      </c>
      <c r="C1073" s="69" t="s">
        <v>80</v>
      </c>
      <c r="D1073" s="70" t="s">
        <v>1236</v>
      </c>
      <c r="E1073" s="69" t="s">
        <v>138</v>
      </c>
      <c r="F1073" s="69" t="s">
        <v>139</v>
      </c>
      <c r="G1073" s="69" t="s">
        <v>140</v>
      </c>
      <c r="H1073" s="70">
        <v>2014</v>
      </c>
      <c r="I1073" s="69"/>
      <c r="J1073" s="69" t="s">
        <v>5564</v>
      </c>
      <c r="K1073" s="71" t="s">
        <v>5565</v>
      </c>
      <c r="L1073" s="71" t="s">
        <v>5566</v>
      </c>
      <c r="M1073" s="71" t="s">
        <v>5567</v>
      </c>
      <c r="N1073" s="69" t="s">
        <v>57</v>
      </c>
      <c r="O1073" s="64">
        <v>1</v>
      </c>
      <c r="P1073" s="72">
        <v>17194</v>
      </c>
      <c r="Q1073" s="69" t="s">
        <v>5568</v>
      </c>
      <c r="R1073" s="69"/>
      <c r="S1073" s="121" t="s">
        <v>621</v>
      </c>
      <c r="T1073" s="56">
        <v>28</v>
      </c>
      <c r="U1073" s="56">
        <v>3</v>
      </c>
    </row>
    <row r="1074" spans="1:21" ht="14.25" customHeight="1" thickBot="1" x14ac:dyDescent="0.4">
      <c r="A1074" s="58">
        <v>1058</v>
      </c>
      <c r="B1074" s="69" t="s">
        <v>5569</v>
      </c>
      <c r="C1074" s="69" t="s">
        <v>5570</v>
      </c>
      <c r="D1074" s="70" t="s">
        <v>51</v>
      </c>
      <c r="E1074" s="69" t="s">
        <v>5571</v>
      </c>
      <c r="F1074" s="69">
        <v>4461</v>
      </c>
      <c r="G1074" s="69" t="s">
        <v>5572</v>
      </c>
      <c r="H1074" s="70">
        <v>2021</v>
      </c>
      <c r="I1074" s="69" t="s">
        <v>63</v>
      </c>
      <c r="J1074" s="69" t="s">
        <v>5573</v>
      </c>
      <c r="K1074" s="71" t="s">
        <v>5574</v>
      </c>
      <c r="L1074" s="71" t="s">
        <v>5575</v>
      </c>
      <c r="M1074" s="71" t="s">
        <v>5576</v>
      </c>
      <c r="N1074" s="69" t="s">
        <v>57</v>
      </c>
      <c r="O1074" s="64">
        <v>1</v>
      </c>
      <c r="P1074" s="72">
        <v>2537400</v>
      </c>
      <c r="Q1074" s="69" t="s">
        <v>5577</v>
      </c>
      <c r="R1074" s="69"/>
      <c r="S1074" s="121" t="s">
        <v>646</v>
      </c>
      <c r="T1074" s="56">
        <v>29</v>
      </c>
      <c r="U1074" s="56">
        <v>4</v>
      </c>
    </row>
    <row r="1075" spans="1:21" ht="14.25" customHeight="1" x14ac:dyDescent="0.35">
      <c r="A1075" s="47">
        <v>1059</v>
      </c>
      <c r="B1075" s="69" t="s">
        <v>58</v>
      </c>
      <c r="C1075" s="69" t="s">
        <v>50</v>
      </c>
      <c r="D1075" s="70" t="s">
        <v>51</v>
      </c>
      <c r="E1075" s="69" t="s">
        <v>5578</v>
      </c>
      <c r="F1075" s="69" t="s">
        <v>4882</v>
      </c>
      <c r="G1075" s="69" t="s">
        <v>140</v>
      </c>
      <c r="H1075" s="70">
        <v>2016</v>
      </c>
      <c r="I1075" s="69" t="s">
        <v>63</v>
      </c>
      <c r="J1075" s="69" t="s">
        <v>5579</v>
      </c>
      <c r="K1075" s="71" t="s">
        <v>5580</v>
      </c>
      <c r="L1075" s="71" t="s">
        <v>5581</v>
      </c>
      <c r="M1075" s="71" t="s">
        <v>5582</v>
      </c>
      <c r="N1075" s="69" t="s">
        <v>57</v>
      </c>
      <c r="O1075" s="64">
        <v>1</v>
      </c>
      <c r="P1075" s="72">
        <v>464720</v>
      </c>
      <c r="Q1075" s="69" t="s">
        <v>5583</v>
      </c>
      <c r="R1075" s="69"/>
      <c r="S1075" s="121" t="s">
        <v>646</v>
      </c>
      <c r="T1075" s="56">
        <v>29</v>
      </c>
      <c r="U1075" s="56">
        <v>4</v>
      </c>
    </row>
    <row r="1076" spans="1:21" ht="14.25" customHeight="1" thickBot="1" x14ac:dyDescent="0.4">
      <c r="A1076" s="58">
        <v>1060</v>
      </c>
      <c r="B1076" s="69" t="s">
        <v>58</v>
      </c>
      <c r="C1076" s="69" t="s">
        <v>50</v>
      </c>
      <c r="D1076" s="70" t="s">
        <v>59</v>
      </c>
      <c r="E1076" s="69" t="s">
        <v>5584</v>
      </c>
      <c r="F1076" s="69">
        <v>2393</v>
      </c>
      <c r="G1076" s="69" t="s">
        <v>140</v>
      </c>
      <c r="H1076" s="70">
        <v>2017</v>
      </c>
      <c r="I1076" s="69" t="s">
        <v>63</v>
      </c>
      <c r="J1076" s="69" t="s">
        <v>5585</v>
      </c>
      <c r="K1076" s="71" t="s">
        <v>5586</v>
      </c>
      <c r="L1076" s="71" t="s">
        <v>5587</v>
      </c>
      <c r="M1076" s="71" t="s">
        <v>5588</v>
      </c>
      <c r="N1076" s="69" t="s">
        <v>57</v>
      </c>
      <c r="O1076" s="64">
        <v>1</v>
      </c>
      <c r="P1076" s="72">
        <v>485000</v>
      </c>
      <c r="Q1076" s="69" t="s">
        <v>5589</v>
      </c>
      <c r="R1076" s="69"/>
      <c r="S1076" s="121" t="s">
        <v>646</v>
      </c>
      <c r="T1076" s="56">
        <v>29</v>
      </c>
      <c r="U1076" s="56">
        <v>4</v>
      </c>
    </row>
    <row r="1077" spans="1:21" ht="14.25" customHeight="1" x14ac:dyDescent="0.35">
      <c r="A1077" s="47">
        <v>1061</v>
      </c>
      <c r="B1077" s="69" t="s">
        <v>58</v>
      </c>
      <c r="C1077" s="69" t="s">
        <v>50</v>
      </c>
      <c r="D1077" s="70" t="s">
        <v>97</v>
      </c>
      <c r="E1077" s="69" t="s">
        <v>5590</v>
      </c>
      <c r="F1077" s="69">
        <v>2393</v>
      </c>
      <c r="G1077" s="69" t="s">
        <v>140</v>
      </c>
      <c r="H1077" s="70">
        <v>2018</v>
      </c>
      <c r="I1077" s="69" t="s">
        <v>63</v>
      </c>
      <c r="J1077" s="69" t="s">
        <v>5591</v>
      </c>
      <c r="K1077" s="71" t="s">
        <v>5592</v>
      </c>
      <c r="L1077" s="71" t="s">
        <v>5593</v>
      </c>
      <c r="M1077" s="71" t="s">
        <v>5594</v>
      </c>
      <c r="N1077" s="69" t="s">
        <v>57</v>
      </c>
      <c r="O1077" s="64">
        <v>1</v>
      </c>
      <c r="P1077" s="72">
        <v>691200</v>
      </c>
      <c r="Q1077" s="69" t="s">
        <v>5595</v>
      </c>
      <c r="R1077" s="69"/>
      <c r="S1077" s="121" t="s">
        <v>646</v>
      </c>
      <c r="T1077" s="56">
        <v>29</v>
      </c>
      <c r="U1077" s="56">
        <v>4</v>
      </c>
    </row>
    <row r="1078" spans="1:21" ht="14.25" customHeight="1" thickBot="1" x14ac:dyDescent="0.4">
      <c r="A1078" s="58">
        <v>1062</v>
      </c>
      <c r="B1078" s="69" t="s">
        <v>58</v>
      </c>
      <c r="C1078" s="69" t="s">
        <v>50</v>
      </c>
      <c r="D1078" s="70" t="s">
        <v>841</v>
      </c>
      <c r="E1078" s="69" t="s">
        <v>5596</v>
      </c>
      <c r="F1078" s="69" t="s">
        <v>5597</v>
      </c>
      <c r="G1078" s="69" t="s">
        <v>140</v>
      </c>
      <c r="H1078" s="70">
        <v>2023</v>
      </c>
      <c r="I1078" s="69" t="s">
        <v>63</v>
      </c>
      <c r="J1078" s="69" t="s">
        <v>5598</v>
      </c>
      <c r="K1078" s="71" t="s">
        <v>5599</v>
      </c>
      <c r="L1078" s="71" t="s">
        <v>5600</v>
      </c>
      <c r="M1078" s="71" t="s">
        <v>63</v>
      </c>
      <c r="N1078" s="69" t="s">
        <v>44</v>
      </c>
      <c r="O1078" s="64">
        <v>1</v>
      </c>
      <c r="P1078" s="72">
        <v>708300</v>
      </c>
      <c r="Q1078" s="69" t="s">
        <v>5601</v>
      </c>
      <c r="R1078" s="69"/>
      <c r="S1078" s="121" t="s">
        <v>646</v>
      </c>
      <c r="T1078" s="56">
        <v>29</v>
      </c>
      <c r="U1078" s="56">
        <v>4</v>
      </c>
    </row>
    <row r="1079" spans="1:21" ht="14.25" customHeight="1" x14ac:dyDescent="0.35">
      <c r="A1079" s="47">
        <v>1063</v>
      </c>
      <c r="B1079" s="69" t="s">
        <v>58</v>
      </c>
      <c r="C1079" s="69" t="s">
        <v>50</v>
      </c>
      <c r="D1079" s="186" t="s">
        <v>904</v>
      </c>
      <c r="E1079" s="69" t="s">
        <v>5602</v>
      </c>
      <c r="F1079" s="69">
        <v>2755</v>
      </c>
      <c r="G1079" s="69" t="s">
        <v>140</v>
      </c>
      <c r="H1079" s="70">
        <v>2025</v>
      </c>
      <c r="I1079" s="69" t="s">
        <v>63</v>
      </c>
      <c r="J1079" s="69" t="s">
        <v>5603</v>
      </c>
      <c r="K1079" s="71" t="s">
        <v>5604</v>
      </c>
      <c r="L1079" s="71" t="s">
        <v>5605</v>
      </c>
      <c r="M1079" s="71" t="s">
        <v>5606</v>
      </c>
      <c r="N1079" s="69" t="s">
        <v>44</v>
      </c>
      <c r="O1079" s="64">
        <v>1</v>
      </c>
      <c r="P1079" s="72">
        <v>763400</v>
      </c>
      <c r="Q1079" s="69" t="s">
        <v>5607</v>
      </c>
      <c r="R1079" s="69"/>
      <c r="S1079" s="121" t="s">
        <v>646</v>
      </c>
      <c r="T1079" s="56">
        <v>29</v>
      </c>
      <c r="U1079" s="56">
        <v>4</v>
      </c>
    </row>
    <row r="1080" spans="1:21" ht="14.25" customHeight="1" thickBot="1" x14ac:dyDescent="0.4">
      <c r="A1080" s="58">
        <v>1064</v>
      </c>
      <c r="B1080" s="69" t="s">
        <v>58</v>
      </c>
      <c r="C1080" s="69" t="s">
        <v>50</v>
      </c>
      <c r="D1080" s="186" t="s">
        <v>5608</v>
      </c>
      <c r="E1080" s="69" t="s">
        <v>5602</v>
      </c>
      <c r="F1080" s="69">
        <v>2755</v>
      </c>
      <c r="G1080" s="69" t="s">
        <v>140</v>
      </c>
      <c r="H1080" s="70">
        <v>2025</v>
      </c>
      <c r="I1080" s="69" t="s">
        <v>63</v>
      </c>
      <c r="J1080" s="69" t="s">
        <v>5609</v>
      </c>
      <c r="K1080" s="71" t="s">
        <v>5610</v>
      </c>
      <c r="L1080" s="71" t="s">
        <v>5611</v>
      </c>
      <c r="M1080" s="71" t="s">
        <v>5612</v>
      </c>
      <c r="N1080" s="69" t="s">
        <v>44</v>
      </c>
      <c r="O1080" s="64">
        <v>1</v>
      </c>
      <c r="P1080" s="72">
        <v>763400</v>
      </c>
      <c r="Q1080" s="69" t="s">
        <v>5613</v>
      </c>
      <c r="R1080" s="69"/>
      <c r="S1080" s="121" t="s">
        <v>646</v>
      </c>
      <c r="T1080" s="56">
        <v>29</v>
      </c>
      <c r="U1080" s="56">
        <v>4</v>
      </c>
    </row>
    <row r="1081" spans="1:21" ht="14.25" customHeight="1" x14ac:dyDescent="0.35">
      <c r="A1081" s="47">
        <v>1065</v>
      </c>
      <c r="B1081" s="69" t="s">
        <v>1745</v>
      </c>
      <c r="C1081" s="69" t="s">
        <v>1746</v>
      </c>
      <c r="D1081" s="70" t="s">
        <v>59</v>
      </c>
      <c r="E1081" s="69" t="s">
        <v>1747</v>
      </c>
      <c r="F1081" s="69" t="s">
        <v>5614</v>
      </c>
      <c r="G1081" s="69" t="s">
        <v>140</v>
      </c>
      <c r="H1081" s="70">
        <v>2015</v>
      </c>
      <c r="I1081" s="69"/>
      <c r="J1081" s="69" t="s">
        <v>5615</v>
      </c>
      <c r="K1081" s="71" t="s">
        <v>5616</v>
      </c>
      <c r="L1081" s="71" t="s">
        <v>5617</v>
      </c>
      <c r="M1081" s="71" t="s">
        <v>5618</v>
      </c>
      <c r="N1081" s="69" t="s">
        <v>57</v>
      </c>
      <c r="O1081" s="64">
        <v>1</v>
      </c>
      <c r="P1081" s="72">
        <v>175130</v>
      </c>
      <c r="Q1081" s="69" t="s">
        <v>5619</v>
      </c>
      <c r="R1081" s="69"/>
      <c r="S1081" s="121" t="s">
        <v>646</v>
      </c>
      <c r="T1081" s="56">
        <v>29</v>
      </c>
      <c r="U1081" s="56">
        <v>4</v>
      </c>
    </row>
    <row r="1082" spans="1:21" ht="14.25" customHeight="1" thickBot="1" x14ac:dyDescent="0.4">
      <c r="A1082" s="58">
        <v>1066</v>
      </c>
      <c r="B1082" s="69" t="s">
        <v>1745</v>
      </c>
      <c r="C1082" s="69" t="s">
        <v>1746</v>
      </c>
      <c r="D1082" s="70" t="s">
        <v>101</v>
      </c>
      <c r="E1082" s="69" t="s">
        <v>1747</v>
      </c>
      <c r="F1082" s="69" t="s">
        <v>5614</v>
      </c>
      <c r="G1082" s="69" t="s">
        <v>140</v>
      </c>
      <c r="H1082" s="70">
        <v>2015</v>
      </c>
      <c r="I1082" s="69"/>
      <c r="J1082" s="69" t="s">
        <v>5620</v>
      </c>
      <c r="K1082" s="71" t="s">
        <v>5621</v>
      </c>
      <c r="L1082" s="71" t="s">
        <v>5622</v>
      </c>
      <c r="M1082" s="71" t="s">
        <v>5623</v>
      </c>
      <c r="N1082" s="69" t="s">
        <v>57</v>
      </c>
      <c r="O1082" s="64">
        <v>1</v>
      </c>
      <c r="P1082" s="72">
        <v>175130</v>
      </c>
      <c r="Q1082" s="69" t="s">
        <v>5624</v>
      </c>
      <c r="R1082" s="69"/>
      <c r="S1082" s="121" t="s">
        <v>646</v>
      </c>
      <c r="T1082" s="56">
        <v>29</v>
      </c>
      <c r="U1082" s="56">
        <v>4</v>
      </c>
    </row>
    <row r="1083" spans="1:21" ht="14.25" customHeight="1" x14ac:dyDescent="0.35">
      <c r="A1083" s="47">
        <v>1067</v>
      </c>
      <c r="B1083" s="69" t="s">
        <v>1745</v>
      </c>
      <c r="C1083" s="69" t="s">
        <v>1746</v>
      </c>
      <c r="D1083" s="70" t="s">
        <v>107</v>
      </c>
      <c r="E1083" s="69" t="s">
        <v>1747</v>
      </c>
      <c r="F1083" s="69" t="s">
        <v>5614</v>
      </c>
      <c r="G1083" s="69" t="s">
        <v>140</v>
      </c>
      <c r="H1083" s="70">
        <v>2015</v>
      </c>
      <c r="I1083" s="69"/>
      <c r="J1083" s="69" t="s">
        <v>5625</v>
      </c>
      <c r="K1083" s="71" t="s">
        <v>5626</v>
      </c>
      <c r="L1083" s="71" t="s">
        <v>5627</v>
      </c>
      <c r="M1083" s="71" t="s">
        <v>5628</v>
      </c>
      <c r="N1083" s="69" t="s">
        <v>57</v>
      </c>
      <c r="O1083" s="64">
        <v>1</v>
      </c>
      <c r="P1083" s="72">
        <v>175130</v>
      </c>
      <c r="Q1083" s="69" t="s">
        <v>5629</v>
      </c>
      <c r="R1083" s="69"/>
      <c r="S1083" s="121" t="s">
        <v>646</v>
      </c>
      <c r="T1083" s="56">
        <v>29</v>
      </c>
      <c r="U1083" s="56">
        <v>4</v>
      </c>
    </row>
    <row r="1084" spans="1:21" ht="14.25" customHeight="1" thickBot="1" x14ac:dyDescent="0.4">
      <c r="A1084" s="58">
        <v>1068</v>
      </c>
      <c r="B1084" s="69" t="s">
        <v>1745</v>
      </c>
      <c r="C1084" s="69" t="s">
        <v>1746</v>
      </c>
      <c r="D1084" s="70" t="s">
        <v>112</v>
      </c>
      <c r="E1084" s="69" t="s">
        <v>5630</v>
      </c>
      <c r="F1084" s="69" t="s">
        <v>2691</v>
      </c>
      <c r="G1084" s="69" t="s">
        <v>140</v>
      </c>
      <c r="H1084" s="70">
        <v>2015</v>
      </c>
      <c r="I1084" s="69"/>
      <c r="J1084" s="69" t="s">
        <v>5631</v>
      </c>
      <c r="K1084" s="71" t="s">
        <v>5632</v>
      </c>
      <c r="L1084" s="71" t="s">
        <v>5633</v>
      </c>
      <c r="M1084" s="71" t="s">
        <v>5634</v>
      </c>
      <c r="N1084" s="69" t="s">
        <v>57</v>
      </c>
      <c r="O1084" s="64">
        <v>1</v>
      </c>
      <c r="P1084" s="72">
        <v>181480</v>
      </c>
      <c r="Q1084" s="69" t="s">
        <v>5635</v>
      </c>
      <c r="R1084" s="69"/>
      <c r="S1084" s="121" t="s">
        <v>646</v>
      </c>
      <c r="T1084" s="56">
        <v>29</v>
      </c>
      <c r="U1084" s="56">
        <v>4</v>
      </c>
    </row>
    <row r="1085" spans="1:21" ht="14.25" customHeight="1" x14ac:dyDescent="0.35">
      <c r="A1085" s="47">
        <v>1069</v>
      </c>
      <c r="B1085" s="69" t="s">
        <v>1745</v>
      </c>
      <c r="C1085" s="69" t="s">
        <v>1746</v>
      </c>
      <c r="D1085" s="70" t="s">
        <v>116</v>
      </c>
      <c r="E1085" s="69" t="s">
        <v>5636</v>
      </c>
      <c r="F1085" s="69" t="s">
        <v>4204</v>
      </c>
      <c r="G1085" s="69" t="s">
        <v>140</v>
      </c>
      <c r="H1085" s="70">
        <v>2015</v>
      </c>
      <c r="I1085" s="69"/>
      <c r="J1085" s="69" t="s">
        <v>5637</v>
      </c>
      <c r="K1085" s="71" t="s">
        <v>5638</v>
      </c>
      <c r="L1085" s="71" t="s">
        <v>5639</v>
      </c>
      <c r="M1085" s="71" t="s">
        <v>5640</v>
      </c>
      <c r="N1085" s="69" t="s">
        <v>57</v>
      </c>
      <c r="O1085" s="64">
        <v>1</v>
      </c>
      <c r="P1085" s="72">
        <v>279870</v>
      </c>
      <c r="Q1085" s="69" t="s">
        <v>5641</v>
      </c>
      <c r="R1085" s="69"/>
      <c r="S1085" s="121" t="s">
        <v>646</v>
      </c>
      <c r="T1085" s="56">
        <v>29</v>
      </c>
      <c r="U1085" s="56">
        <v>4</v>
      </c>
    </row>
    <row r="1086" spans="1:21" ht="14.25" customHeight="1" thickBot="1" x14ac:dyDescent="0.4">
      <c r="A1086" s="58">
        <v>1070</v>
      </c>
      <c r="B1086" s="69" t="s">
        <v>1745</v>
      </c>
      <c r="C1086" s="69" t="s">
        <v>1746</v>
      </c>
      <c r="D1086" s="70" t="s">
        <v>841</v>
      </c>
      <c r="E1086" s="69" t="s">
        <v>5642</v>
      </c>
      <c r="F1086" s="69" t="s">
        <v>1609</v>
      </c>
      <c r="G1086" s="69" t="s">
        <v>140</v>
      </c>
      <c r="H1086" s="70">
        <v>2016</v>
      </c>
      <c r="I1086" s="69"/>
      <c r="J1086" s="69" t="s">
        <v>5643</v>
      </c>
      <c r="K1086" s="71" t="s">
        <v>5644</v>
      </c>
      <c r="L1086" s="71" t="s">
        <v>5645</v>
      </c>
      <c r="M1086" s="71" t="s">
        <v>5646</v>
      </c>
      <c r="N1086" s="69" t="s">
        <v>57</v>
      </c>
      <c r="O1086" s="64">
        <v>1</v>
      </c>
      <c r="P1086" s="72">
        <v>355100</v>
      </c>
      <c r="Q1086" s="69" t="s">
        <v>5647</v>
      </c>
      <c r="R1086" s="69"/>
      <c r="S1086" s="121" t="s">
        <v>646</v>
      </c>
      <c r="T1086" s="56">
        <v>29</v>
      </c>
      <c r="U1086" s="56">
        <v>4</v>
      </c>
    </row>
    <row r="1087" spans="1:21" ht="14.25" customHeight="1" x14ac:dyDescent="0.35">
      <c r="A1087" s="47">
        <v>1071</v>
      </c>
      <c r="B1087" s="69" t="s">
        <v>1745</v>
      </c>
      <c r="C1087" s="69" t="s">
        <v>1746</v>
      </c>
      <c r="D1087" s="70" t="s">
        <v>904</v>
      </c>
      <c r="E1087" s="69" t="s">
        <v>1766</v>
      </c>
      <c r="F1087" s="69" t="s">
        <v>2691</v>
      </c>
      <c r="G1087" s="69" t="s">
        <v>140</v>
      </c>
      <c r="H1087" s="70">
        <v>2017</v>
      </c>
      <c r="I1087" s="69" t="s">
        <v>63</v>
      </c>
      <c r="J1087" s="69" t="s">
        <v>5648</v>
      </c>
      <c r="K1087" s="71" t="s">
        <v>5649</v>
      </c>
      <c r="L1087" s="71" t="s">
        <v>5650</v>
      </c>
      <c r="M1087" s="71" t="s">
        <v>5651</v>
      </c>
      <c r="N1087" s="69" t="s">
        <v>57</v>
      </c>
      <c r="O1087" s="64">
        <v>1</v>
      </c>
      <c r="P1087" s="72">
        <v>190700</v>
      </c>
      <c r="Q1087" s="69" t="s">
        <v>5652</v>
      </c>
      <c r="R1087" s="69"/>
      <c r="S1087" s="121" t="s">
        <v>646</v>
      </c>
      <c r="T1087" s="56">
        <v>29</v>
      </c>
      <c r="U1087" s="56">
        <v>4</v>
      </c>
    </row>
    <row r="1088" spans="1:21" ht="14.25" customHeight="1" thickBot="1" x14ac:dyDescent="0.4">
      <c r="A1088" s="58">
        <v>1072</v>
      </c>
      <c r="B1088" s="69" t="s">
        <v>1745</v>
      </c>
      <c r="C1088" s="69" t="s">
        <v>1746</v>
      </c>
      <c r="D1088" s="70" t="s">
        <v>122</v>
      </c>
      <c r="E1088" s="69" t="s">
        <v>5653</v>
      </c>
      <c r="F1088" s="69" t="s">
        <v>2691</v>
      </c>
      <c r="G1088" s="69" t="s">
        <v>140</v>
      </c>
      <c r="H1088" s="70">
        <v>2017</v>
      </c>
      <c r="I1088" s="69" t="s">
        <v>63</v>
      </c>
      <c r="J1088" s="69" t="s">
        <v>5654</v>
      </c>
      <c r="K1088" s="71" t="s">
        <v>5655</v>
      </c>
      <c r="L1088" s="71" t="s">
        <v>5656</v>
      </c>
      <c r="M1088" s="71" t="s">
        <v>5657</v>
      </c>
      <c r="N1088" s="69" t="s">
        <v>57</v>
      </c>
      <c r="O1088" s="64">
        <v>1</v>
      </c>
      <c r="P1088" s="72">
        <v>208600</v>
      </c>
      <c r="Q1088" s="69" t="s">
        <v>5658</v>
      </c>
      <c r="R1088" s="69"/>
      <c r="S1088" s="121" t="s">
        <v>646</v>
      </c>
      <c r="T1088" s="56">
        <v>29</v>
      </c>
      <c r="U1088" s="56">
        <v>4</v>
      </c>
    </row>
    <row r="1089" spans="1:21" ht="14.25" customHeight="1" x14ac:dyDescent="0.35">
      <c r="A1089" s="47">
        <v>1073</v>
      </c>
      <c r="B1089" s="69" t="s">
        <v>1745</v>
      </c>
      <c r="C1089" s="69" t="s">
        <v>1746</v>
      </c>
      <c r="D1089" s="70" t="s">
        <v>126</v>
      </c>
      <c r="E1089" s="69" t="s">
        <v>5659</v>
      </c>
      <c r="F1089" s="69">
        <v>1496</v>
      </c>
      <c r="G1089" s="69" t="s">
        <v>140</v>
      </c>
      <c r="H1089" s="70">
        <v>2019</v>
      </c>
      <c r="I1089" s="69" t="s">
        <v>63</v>
      </c>
      <c r="J1089" s="69" t="s">
        <v>5660</v>
      </c>
      <c r="K1089" s="71" t="s">
        <v>5661</v>
      </c>
      <c r="L1089" s="71" t="s">
        <v>5662</v>
      </c>
      <c r="M1089" s="71" t="s">
        <v>63</v>
      </c>
      <c r="N1089" s="69" t="s">
        <v>57</v>
      </c>
      <c r="O1089" s="64">
        <v>1</v>
      </c>
      <c r="P1089" s="72">
        <v>230000</v>
      </c>
      <c r="Q1089" s="69" t="s">
        <v>5663</v>
      </c>
      <c r="R1089" s="69"/>
      <c r="S1089" s="121" t="s">
        <v>646</v>
      </c>
      <c r="T1089" s="56">
        <v>29</v>
      </c>
      <c r="U1089" s="56">
        <v>4</v>
      </c>
    </row>
    <row r="1090" spans="1:21" ht="14.25" customHeight="1" thickBot="1" x14ac:dyDescent="0.4">
      <c r="A1090" s="58">
        <v>1074</v>
      </c>
      <c r="B1090" s="69" t="s">
        <v>1745</v>
      </c>
      <c r="C1090" s="69" t="s">
        <v>1746</v>
      </c>
      <c r="D1090" s="70" t="s">
        <v>137</v>
      </c>
      <c r="E1090" s="69" t="s">
        <v>5664</v>
      </c>
      <c r="F1090" s="69">
        <v>1998</v>
      </c>
      <c r="G1090" s="69" t="s">
        <v>140</v>
      </c>
      <c r="H1090" s="70">
        <v>2019</v>
      </c>
      <c r="I1090" s="69" t="s">
        <v>63</v>
      </c>
      <c r="J1090" s="69" t="s">
        <v>5665</v>
      </c>
      <c r="K1090" s="71" t="s">
        <v>5666</v>
      </c>
      <c r="L1090" s="71" t="s">
        <v>5667</v>
      </c>
      <c r="M1090" s="71" t="s">
        <v>5668</v>
      </c>
      <c r="N1090" s="69" t="s">
        <v>57</v>
      </c>
      <c r="O1090" s="64">
        <v>1</v>
      </c>
      <c r="P1090" s="72">
        <v>320050</v>
      </c>
      <c r="Q1090" s="69" t="s">
        <v>5669</v>
      </c>
      <c r="R1090" s="69"/>
      <c r="S1090" s="121" t="s">
        <v>646</v>
      </c>
      <c r="T1090" s="56">
        <v>29</v>
      </c>
      <c r="U1090" s="56">
        <v>4</v>
      </c>
    </row>
    <row r="1091" spans="1:21" ht="14.25" customHeight="1" x14ac:dyDescent="0.35">
      <c r="A1091" s="47">
        <v>1075</v>
      </c>
      <c r="B1091" s="69" t="s">
        <v>1745</v>
      </c>
      <c r="C1091" s="69" t="s">
        <v>1746</v>
      </c>
      <c r="D1091" s="70" t="s">
        <v>146</v>
      </c>
      <c r="E1091" s="69" t="s">
        <v>5670</v>
      </c>
      <c r="F1091" s="69" t="s">
        <v>5671</v>
      </c>
      <c r="G1091" s="69" t="s">
        <v>140</v>
      </c>
      <c r="H1091" s="70">
        <v>2024</v>
      </c>
      <c r="I1091" s="69" t="s">
        <v>63</v>
      </c>
      <c r="J1091" s="69" t="s">
        <v>5672</v>
      </c>
      <c r="K1091" s="71" t="s">
        <v>5673</v>
      </c>
      <c r="L1091" s="71" t="s">
        <v>5674</v>
      </c>
      <c r="M1091" s="71" t="s">
        <v>5675</v>
      </c>
      <c r="N1091" s="69" t="s">
        <v>44</v>
      </c>
      <c r="O1091" s="64">
        <v>1</v>
      </c>
      <c r="P1091" s="72">
        <v>634400</v>
      </c>
      <c r="Q1091" s="69" t="s">
        <v>5676</v>
      </c>
      <c r="R1091" s="69"/>
      <c r="S1091" s="121" t="s">
        <v>646</v>
      </c>
      <c r="T1091" s="56">
        <v>29</v>
      </c>
      <c r="U1091" s="56">
        <v>4</v>
      </c>
    </row>
    <row r="1092" spans="1:21" ht="14.25" customHeight="1" thickBot="1" x14ac:dyDescent="0.4">
      <c r="A1092" s="58">
        <v>1076</v>
      </c>
      <c r="B1092" s="69" t="s">
        <v>1806</v>
      </c>
      <c r="C1092" s="69" t="s">
        <v>1807</v>
      </c>
      <c r="D1092" s="70" t="s">
        <v>51</v>
      </c>
      <c r="E1092" s="69" t="s">
        <v>5677</v>
      </c>
      <c r="F1092" s="69">
        <v>1329</v>
      </c>
      <c r="G1092" s="69" t="s">
        <v>54</v>
      </c>
      <c r="H1092" s="70">
        <v>2010</v>
      </c>
      <c r="I1092" s="69"/>
      <c r="J1092" s="69" t="s">
        <v>5678</v>
      </c>
      <c r="K1092" s="71" t="s">
        <v>5679</v>
      </c>
      <c r="L1092" s="71" t="s">
        <v>5680</v>
      </c>
      <c r="M1092" s="71"/>
      <c r="N1092" s="69" t="s">
        <v>57</v>
      </c>
      <c r="O1092" s="64">
        <v>1</v>
      </c>
      <c r="P1092" s="72">
        <v>156500</v>
      </c>
      <c r="Q1092" s="69" t="s">
        <v>5681</v>
      </c>
      <c r="R1092" s="69"/>
      <c r="S1092" s="121" t="s">
        <v>646</v>
      </c>
      <c r="T1092" s="56">
        <v>29</v>
      </c>
      <c r="U1092" s="56">
        <v>4</v>
      </c>
    </row>
    <row r="1093" spans="1:21" ht="14.25" customHeight="1" x14ac:dyDescent="0.35">
      <c r="A1093" s="47">
        <v>1077</v>
      </c>
      <c r="B1093" s="69" t="s">
        <v>1806</v>
      </c>
      <c r="C1093" s="69" t="s">
        <v>1807</v>
      </c>
      <c r="D1093" s="70" t="s">
        <v>101</v>
      </c>
      <c r="E1093" s="69" t="s">
        <v>5682</v>
      </c>
      <c r="F1093" s="69">
        <v>1300</v>
      </c>
      <c r="G1093" s="69" t="s">
        <v>54</v>
      </c>
      <c r="H1093" s="70">
        <v>2010</v>
      </c>
      <c r="I1093" s="69" t="s">
        <v>63</v>
      </c>
      <c r="J1093" s="69" t="s">
        <v>5683</v>
      </c>
      <c r="K1093" s="71" t="s">
        <v>5684</v>
      </c>
      <c r="L1093" s="71" t="s">
        <v>5685</v>
      </c>
      <c r="M1093" s="71" t="s">
        <v>5686</v>
      </c>
      <c r="N1093" s="69" t="s">
        <v>57</v>
      </c>
      <c r="O1093" s="64">
        <v>1</v>
      </c>
      <c r="P1093" s="72">
        <v>167500</v>
      </c>
      <c r="Q1093" s="69" t="s">
        <v>5687</v>
      </c>
      <c r="R1093" s="69"/>
      <c r="S1093" s="121" t="s">
        <v>646</v>
      </c>
      <c r="T1093" s="56">
        <v>29</v>
      </c>
      <c r="U1093" s="56">
        <v>4</v>
      </c>
    </row>
    <row r="1094" spans="1:21" ht="14.25" customHeight="1" thickBot="1" x14ac:dyDescent="0.4">
      <c r="A1094" s="58">
        <v>1078</v>
      </c>
      <c r="B1094" s="69" t="s">
        <v>1806</v>
      </c>
      <c r="C1094" s="69" t="s">
        <v>1807</v>
      </c>
      <c r="D1094" s="70" t="s">
        <v>122</v>
      </c>
      <c r="E1094" s="69" t="s">
        <v>5688</v>
      </c>
      <c r="F1094" s="69" t="s">
        <v>1595</v>
      </c>
      <c r="G1094" s="69" t="s">
        <v>140</v>
      </c>
      <c r="H1094" s="70">
        <v>2023</v>
      </c>
      <c r="I1094" s="69" t="s">
        <v>63</v>
      </c>
      <c r="J1094" s="69" t="s">
        <v>5689</v>
      </c>
      <c r="K1094" s="71" t="s">
        <v>5690</v>
      </c>
      <c r="L1094" s="71" t="s">
        <v>5691</v>
      </c>
      <c r="M1094" s="71" t="s">
        <v>63</v>
      </c>
      <c r="N1094" s="69" t="s">
        <v>44</v>
      </c>
      <c r="O1094" s="64">
        <v>1</v>
      </c>
      <c r="P1094" s="72">
        <v>432800</v>
      </c>
      <c r="Q1094" s="69" t="s">
        <v>5692</v>
      </c>
      <c r="R1094" s="69"/>
      <c r="S1094" s="121" t="s">
        <v>646</v>
      </c>
      <c r="T1094" s="56">
        <v>29</v>
      </c>
      <c r="U1094" s="56">
        <v>4</v>
      </c>
    </row>
    <row r="1095" spans="1:21" ht="14.25" customHeight="1" x14ac:dyDescent="0.35">
      <c r="A1095" s="47">
        <v>1079</v>
      </c>
      <c r="B1095" s="69" t="s">
        <v>1806</v>
      </c>
      <c r="C1095" s="69" t="s">
        <v>1807</v>
      </c>
      <c r="D1095" s="70" t="s">
        <v>126</v>
      </c>
      <c r="E1095" s="69" t="s">
        <v>5693</v>
      </c>
      <c r="F1095" s="69" t="s">
        <v>2935</v>
      </c>
      <c r="G1095" s="69" t="s">
        <v>140</v>
      </c>
      <c r="H1095" s="70">
        <v>2023</v>
      </c>
      <c r="I1095" s="69" t="s">
        <v>63</v>
      </c>
      <c r="J1095" s="69" t="s">
        <v>5694</v>
      </c>
      <c r="K1095" s="71" t="s">
        <v>5695</v>
      </c>
      <c r="L1095" s="71" t="s">
        <v>5696</v>
      </c>
      <c r="M1095" s="71" t="s">
        <v>5697</v>
      </c>
      <c r="N1095" s="69" t="s">
        <v>44</v>
      </c>
      <c r="O1095" s="64">
        <v>1</v>
      </c>
      <c r="P1095" s="72">
        <v>290000</v>
      </c>
      <c r="Q1095" s="69" t="s">
        <v>5698</v>
      </c>
      <c r="R1095" s="69"/>
      <c r="S1095" s="121" t="s">
        <v>646</v>
      </c>
      <c r="T1095" s="56">
        <v>29</v>
      </c>
      <c r="U1095" s="56">
        <v>4</v>
      </c>
    </row>
    <row r="1096" spans="1:21" ht="14.25" customHeight="1" thickBot="1" x14ac:dyDescent="0.4">
      <c r="A1096" s="58">
        <v>1080</v>
      </c>
      <c r="B1096" s="69" t="s">
        <v>1806</v>
      </c>
      <c r="C1096" s="69" t="s">
        <v>1807</v>
      </c>
      <c r="D1096" s="70" t="s">
        <v>132</v>
      </c>
      <c r="E1096" s="69" t="s">
        <v>5693</v>
      </c>
      <c r="F1096" s="69" t="s">
        <v>2935</v>
      </c>
      <c r="G1096" s="69" t="s">
        <v>140</v>
      </c>
      <c r="H1096" s="70">
        <v>2023</v>
      </c>
      <c r="I1096" s="69" t="s">
        <v>63</v>
      </c>
      <c r="J1096" s="69" t="s">
        <v>5699</v>
      </c>
      <c r="K1096" s="71" t="s">
        <v>5700</v>
      </c>
      <c r="L1096" s="71" t="s">
        <v>5701</v>
      </c>
      <c r="M1096" s="71" t="s">
        <v>5702</v>
      </c>
      <c r="N1096" s="69" t="s">
        <v>44</v>
      </c>
      <c r="O1096" s="64">
        <v>1</v>
      </c>
      <c r="P1096" s="72">
        <v>290000</v>
      </c>
      <c r="Q1096" s="69" t="s">
        <v>5703</v>
      </c>
      <c r="R1096" s="69"/>
      <c r="S1096" s="121" t="s">
        <v>646</v>
      </c>
      <c r="T1096" s="56">
        <v>29</v>
      </c>
      <c r="U1096" s="56">
        <v>4</v>
      </c>
    </row>
    <row r="1097" spans="1:21" ht="14.25" customHeight="1" x14ac:dyDescent="0.35">
      <c r="A1097" s="47">
        <v>1081</v>
      </c>
      <c r="B1097" s="69" t="s">
        <v>1806</v>
      </c>
      <c r="C1097" s="69" t="s">
        <v>1807</v>
      </c>
      <c r="D1097" s="70" t="s">
        <v>137</v>
      </c>
      <c r="E1097" s="69" t="s">
        <v>5693</v>
      </c>
      <c r="F1097" s="69" t="s">
        <v>2935</v>
      </c>
      <c r="G1097" s="69" t="s">
        <v>140</v>
      </c>
      <c r="H1097" s="70">
        <v>2023</v>
      </c>
      <c r="I1097" s="69" t="s">
        <v>63</v>
      </c>
      <c r="J1097" s="69" t="s">
        <v>5704</v>
      </c>
      <c r="K1097" s="71" t="s">
        <v>5705</v>
      </c>
      <c r="L1097" s="71" t="s">
        <v>5706</v>
      </c>
      <c r="M1097" s="71" t="s">
        <v>5707</v>
      </c>
      <c r="N1097" s="69" t="s">
        <v>44</v>
      </c>
      <c r="O1097" s="64">
        <v>1</v>
      </c>
      <c r="P1097" s="72">
        <v>290000</v>
      </c>
      <c r="Q1097" s="69" t="s">
        <v>5708</v>
      </c>
      <c r="R1097" s="69"/>
      <c r="S1097" s="121" t="s">
        <v>646</v>
      </c>
      <c r="T1097" s="56">
        <v>29</v>
      </c>
      <c r="U1097" s="56">
        <v>4</v>
      </c>
    </row>
    <row r="1098" spans="1:21" ht="14.25" customHeight="1" thickBot="1" x14ac:dyDescent="0.4">
      <c r="A1098" s="58">
        <v>1082</v>
      </c>
      <c r="B1098" s="69" t="s">
        <v>1806</v>
      </c>
      <c r="C1098" s="69" t="s">
        <v>1807</v>
      </c>
      <c r="D1098" s="70" t="s">
        <v>146</v>
      </c>
      <c r="E1098" s="69" t="s">
        <v>2473</v>
      </c>
      <c r="F1098" s="69" t="s">
        <v>1595</v>
      </c>
      <c r="G1098" s="69" t="s">
        <v>140</v>
      </c>
      <c r="H1098" s="70">
        <v>2015</v>
      </c>
      <c r="I1098" s="69" t="s">
        <v>5709</v>
      </c>
      <c r="J1098" s="69" t="s">
        <v>5710</v>
      </c>
      <c r="K1098" s="71" t="s">
        <v>5711</v>
      </c>
      <c r="L1098" s="71" t="s">
        <v>5712</v>
      </c>
      <c r="M1098" s="71" t="s">
        <v>5713</v>
      </c>
      <c r="N1098" s="69" t="s">
        <v>57</v>
      </c>
      <c r="O1098" s="64">
        <v>1</v>
      </c>
      <c r="P1098" s="72">
        <v>270000</v>
      </c>
      <c r="Q1098" s="69" t="s">
        <v>5714</v>
      </c>
      <c r="R1098" s="69"/>
      <c r="S1098" s="121" t="s">
        <v>646</v>
      </c>
      <c r="T1098" s="56">
        <v>29</v>
      </c>
      <c r="U1098" s="56">
        <v>4</v>
      </c>
    </row>
    <row r="1099" spans="1:21" ht="14.25" customHeight="1" x14ac:dyDescent="0.35">
      <c r="A1099" s="47">
        <v>1083</v>
      </c>
      <c r="B1099" s="69" t="s">
        <v>2064</v>
      </c>
      <c r="C1099" s="69" t="s">
        <v>2065</v>
      </c>
      <c r="D1099" s="70" t="s">
        <v>51</v>
      </c>
      <c r="E1099" s="69" t="s">
        <v>5715</v>
      </c>
      <c r="F1099" s="69">
        <v>3400</v>
      </c>
      <c r="G1099" s="69" t="s">
        <v>140</v>
      </c>
      <c r="H1099" s="70">
        <v>2003</v>
      </c>
      <c r="I1099" s="69"/>
      <c r="J1099" s="69" t="s">
        <v>5716</v>
      </c>
      <c r="K1099" s="71" t="s">
        <v>5717</v>
      </c>
      <c r="L1099" s="71" t="s">
        <v>5718</v>
      </c>
      <c r="M1099" s="71" t="s">
        <v>5719</v>
      </c>
      <c r="N1099" s="69" t="s">
        <v>57</v>
      </c>
      <c r="O1099" s="64">
        <v>1</v>
      </c>
      <c r="P1099" s="72">
        <v>215000</v>
      </c>
      <c r="Q1099" s="69" t="s">
        <v>5720</v>
      </c>
      <c r="R1099" s="69"/>
      <c r="S1099" s="121" t="s">
        <v>646</v>
      </c>
      <c r="T1099" s="56">
        <v>29</v>
      </c>
      <c r="U1099" s="56">
        <v>6</v>
      </c>
    </row>
    <row r="1100" spans="1:21" ht="14.25" customHeight="1" thickBot="1" x14ac:dyDescent="0.4">
      <c r="A1100" s="58">
        <v>1084</v>
      </c>
      <c r="B1100" s="69" t="s">
        <v>2064</v>
      </c>
      <c r="C1100" s="69" t="s">
        <v>2065</v>
      </c>
      <c r="D1100" s="70" t="s">
        <v>59</v>
      </c>
      <c r="E1100" s="69" t="s">
        <v>5721</v>
      </c>
      <c r="F1100" s="69" t="s">
        <v>5722</v>
      </c>
      <c r="G1100" s="69" t="s">
        <v>140</v>
      </c>
      <c r="H1100" s="70">
        <v>2017</v>
      </c>
      <c r="I1100" s="69" t="s">
        <v>63</v>
      </c>
      <c r="J1100" s="69" t="s">
        <v>5723</v>
      </c>
      <c r="K1100" s="71" t="s">
        <v>5724</v>
      </c>
      <c r="L1100" s="71" t="s">
        <v>5725</v>
      </c>
      <c r="M1100" s="71" t="s">
        <v>5726</v>
      </c>
      <c r="N1100" s="69" t="s">
        <v>57</v>
      </c>
      <c r="O1100" s="64">
        <v>1</v>
      </c>
      <c r="P1100" s="72">
        <v>330178</v>
      </c>
      <c r="Q1100" s="69" t="s">
        <v>646</v>
      </c>
      <c r="R1100" s="69"/>
      <c r="S1100" s="121" t="s">
        <v>646</v>
      </c>
      <c r="T1100" s="56">
        <v>29</v>
      </c>
      <c r="U1100" s="56">
        <v>6</v>
      </c>
    </row>
    <row r="1101" spans="1:21" ht="14.25" customHeight="1" x14ac:dyDescent="0.35">
      <c r="A1101" s="47">
        <v>1085</v>
      </c>
      <c r="B1101" s="69" t="s">
        <v>70</v>
      </c>
      <c r="C1101" s="69" t="s">
        <v>71</v>
      </c>
      <c r="D1101" s="70" t="s">
        <v>97</v>
      </c>
      <c r="E1101" s="69" t="s">
        <v>2501</v>
      </c>
      <c r="F1101" s="69" t="s">
        <v>1683</v>
      </c>
      <c r="G1101" s="69" t="s">
        <v>140</v>
      </c>
      <c r="H1101" s="70">
        <v>2017</v>
      </c>
      <c r="I1101" s="69" t="s">
        <v>63</v>
      </c>
      <c r="J1101" s="69" t="s">
        <v>5727</v>
      </c>
      <c r="K1101" s="71" t="s">
        <v>5728</v>
      </c>
      <c r="L1101" s="71" t="s">
        <v>5729</v>
      </c>
      <c r="M1101" s="71" t="s">
        <v>5730</v>
      </c>
      <c r="N1101" s="69" t="s">
        <v>57</v>
      </c>
      <c r="O1101" s="64">
        <v>1</v>
      </c>
      <c r="P1101" s="72">
        <v>399250</v>
      </c>
      <c r="Q1101" s="69" t="s">
        <v>5731</v>
      </c>
      <c r="R1101" s="69"/>
      <c r="S1101" s="121" t="s">
        <v>646</v>
      </c>
      <c r="T1101" s="56">
        <v>29</v>
      </c>
      <c r="U1101" s="56">
        <v>4</v>
      </c>
    </row>
    <row r="1102" spans="1:21" ht="14.25" customHeight="1" thickBot="1" x14ac:dyDescent="0.4">
      <c r="A1102" s="58">
        <v>1086</v>
      </c>
      <c r="B1102" s="69" t="s">
        <v>70</v>
      </c>
      <c r="C1102" s="69" t="s">
        <v>71</v>
      </c>
      <c r="D1102" s="70" t="s">
        <v>101</v>
      </c>
      <c r="E1102" s="69" t="s">
        <v>5732</v>
      </c>
      <c r="F1102" s="69" t="s">
        <v>1683</v>
      </c>
      <c r="G1102" s="69" t="s">
        <v>140</v>
      </c>
      <c r="H1102" s="70">
        <v>2017</v>
      </c>
      <c r="I1102" s="69" t="s">
        <v>63</v>
      </c>
      <c r="J1102" s="69" t="s">
        <v>5733</v>
      </c>
      <c r="K1102" s="71" t="s">
        <v>5734</v>
      </c>
      <c r="L1102" s="71" t="s">
        <v>5735</v>
      </c>
      <c r="M1102" s="71" t="s">
        <v>5736</v>
      </c>
      <c r="N1102" s="69" t="s">
        <v>57</v>
      </c>
      <c r="O1102" s="64">
        <v>1</v>
      </c>
      <c r="P1102" s="72">
        <v>421850</v>
      </c>
      <c r="Q1102" s="69" t="s">
        <v>5647</v>
      </c>
      <c r="R1102" s="69"/>
      <c r="S1102" s="121" t="s">
        <v>646</v>
      </c>
      <c r="T1102" s="56">
        <v>29</v>
      </c>
      <c r="U1102" s="56">
        <v>4</v>
      </c>
    </row>
    <row r="1103" spans="1:21" ht="14.25" customHeight="1" x14ac:dyDescent="0.35">
      <c r="A1103" s="47">
        <v>1087</v>
      </c>
      <c r="B1103" s="69" t="s">
        <v>70</v>
      </c>
      <c r="C1103" s="69" t="s">
        <v>71</v>
      </c>
      <c r="D1103" s="70" t="s">
        <v>116</v>
      </c>
      <c r="E1103" s="69" t="s">
        <v>5737</v>
      </c>
      <c r="F1103" s="69">
        <v>2755</v>
      </c>
      <c r="G1103" s="69" t="s">
        <v>140</v>
      </c>
      <c r="H1103" s="70">
        <v>2019</v>
      </c>
      <c r="I1103" s="69" t="s">
        <v>63</v>
      </c>
      <c r="J1103" s="69" t="s">
        <v>5738</v>
      </c>
      <c r="K1103" s="71" t="s">
        <v>5739</v>
      </c>
      <c r="L1103" s="71" t="s">
        <v>5740</v>
      </c>
      <c r="M1103" s="71" t="s">
        <v>63</v>
      </c>
      <c r="N1103" s="69" t="s">
        <v>57</v>
      </c>
      <c r="O1103" s="64">
        <v>1</v>
      </c>
      <c r="P1103" s="72">
        <v>413730</v>
      </c>
      <c r="Q1103" s="69" t="s">
        <v>5741</v>
      </c>
      <c r="R1103" s="69"/>
      <c r="S1103" s="121" t="s">
        <v>646</v>
      </c>
      <c r="T1103" s="56">
        <v>29</v>
      </c>
      <c r="U1103" s="56">
        <v>4</v>
      </c>
    </row>
    <row r="1104" spans="1:21" ht="14.25" customHeight="1" thickBot="1" x14ac:dyDescent="0.4">
      <c r="A1104" s="58">
        <v>1088</v>
      </c>
      <c r="B1104" s="69" t="s">
        <v>70</v>
      </c>
      <c r="C1104" s="69" t="s">
        <v>71</v>
      </c>
      <c r="D1104" s="70" t="s">
        <v>841</v>
      </c>
      <c r="E1104" s="69" t="s">
        <v>5737</v>
      </c>
      <c r="F1104" s="69">
        <v>2755</v>
      </c>
      <c r="G1104" s="69" t="s">
        <v>140</v>
      </c>
      <c r="H1104" s="70">
        <v>2019</v>
      </c>
      <c r="I1104" s="69" t="s">
        <v>63</v>
      </c>
      <c r="J1104" s="69" t="s">
        <v>5742</v>
      </c>
      <c r="K1104" s="71" t="s">
        <v>5743</v>
      </c>
      <c r="L1104" s="71" t="s">
        <v>5744</v>
      </c>
      <c r="M1104" s="71" t="s">
        <v>63</v>
      </c>
      <c r="N1104" s="69" t="s">
        <v>57</v>
      </c>
      <c r="O1104" s="64">
        <v>1</v>
      </c>
      <c r="P1104" s="72">
        <v>448690</v>
      </c>
      <c r="Q1104" s="69" t="s">
        <v>5745</v>
      </c>
      <c r="R1104" s="69"/>
      <c r="S1104" s="121" t="s">
        <v>646</v>
      </c>
      <c r="T1104" s="56">
        <v>29</v>
      </c>
      <c r="U1104" s="56">
        <v>4</v>
      </c>
    </row>
    <row r="1105" spans="1:21" ht="14.25" customHeight="1" x14ac:dyDescent="0.35">
      <c r="A1105" s="47">
        <v>1089</v>
      </c>
      <c r="B1105" s="69" t="s">
        <v>70</v>
      </c>
      <c r="C1105" s="69" t="s">
        <v>71</v>
      </c>
      <c r="D1105" s="70" t="s">
        <v>904</v>
      </c>
      <c r="E1105" s="69" t="s">
        <v>5746</v>
      </c>
      <c r="F1105" s="69" t="s">
        <v>5747</v>
      </c>
      <c r="G1105" s="69" t="s">
        <v>54</v>
      </c>
      <c r="H1105" s="70">
        <v>2010</v>
      </c>
      <c r="I1105" s="69"/>
      <c r="J1105" s="69" t="s">
        <v>5748</v>
      </c>
      <c r="K1105" s="71" t="s">
        <v>5749</v>
      </c>
      <c r="L1105" s="71" t="s">
        <v>5750</v>
      </c>
      <c r="M1105" s="71"/>
      <c r="N1105" s="69" t="s">
        <v>57</v>
      </c>
      <c r="O1105" s="64">
        <v>1</v>
      </c>
      <c r="P1105" s="72">
        <v>160000</v>
      </c>
      <c r="Q1105" s="69" t="s">
        <v>5751</v>
      </c>
      <c r="R1105" s="69"/>
      <c r="S1105" s="121" t="s">
        <v>646</v>
      </c>
      <c r="T1105" s="56">
        <v>29</v>
      </c>
      <c r="U1105" s="56">
        <v>4</v>
      </c>
    </row>
    <row r="1106" spans="1:21" ht="14.25" customHeight="1" thickBot="1" x14ac:dyDescent="0.4">
      <c r="A1106" s="58">
        <v>1090</v>
      </c>
      <c r="B1106" s="69" t="s">
        <v>70</v>
      </c>
      <c r="C1106" s="69" t="s">
        <v>71</v>
      </c>
      <c r="D1106" s="70" t="s">
        <v>122</v>
      </c>
      <c r="E1106" s="69" t="s">
        <v>5752</v>
      </c>
      <c r="F1106" s="69" t="s">
        <v>5753</v>
      </c>
      <c r="G1106" s="69" t="s">
        <v>54</v>
      </c>
      <c r="H1106" s="70">
        <v>2012</v>
      </c>
      <c r="I1106" s="69" t="s">
        <v>63</v>
      </c>
      <c r="J1106" s="69" t="s">
        <v>5754</v>
      </c>
      <c r="K1106" s="71" t="s">
        <v>5755</v>
      </c>
      <c r="L1106" s="71" t="s">
        <v>5756</v>
      </c>
      <c r="M1106" s="71" t="s">
        <v>63</v>
      </c>
      <c r="N1106" s="69" t="s">
        <v>57</v>
      </c>
      <c r="O1106" s="64">
        <v>1</v>
      </c>
      <c r="P1106" s="72">
        <v>274575</v>
      </c>
      <c r="Q1106" s="69" t="s">
        <v>5757</v>
      </c>
      <c r="R1106" s="69"/>
      <c r="S1106" s="121" t="s">
        <v>646</v>
      </c>
      <c r="T1106" s="56">
        <v>29</v>
      </c>
      <c r="U1106" s="56">
        <v>4</v>
      </c>
    </row>
    <row r="1107" spans="1:21" ht="14.25" customHeight="1" x14ac:dyDescent="0.35">
      <c r="A1107" s="47">
        <v>1091</v>
      </c>
      <c r="B1107" s="69" t="s">
        <v>70</v>
      </c>
      <c r="C1107" s="69" t="s">
        <v>71</v>
      </c>
      <c r="D1107" s="70" t="s">
        <v>132</v>
      </c>
      <c r="E1107" s="69" t="s">
        <v>4566</v>
      </c>
      <c r="F1107" s="69" t="s">
        <v>2495</v>
      </c>
      <c r="G1107" s="69" t="s">
        <v>54</v>
      </c>
      <c r="H1107" s="70">
        <v>2014</v>
      </c>
      <c r="I1107" s="69" t="s">
        <v>63</v>
      </c>
      <c r="J1107" s="69" t="s">
        <v>5758</v>
      </c>
      <c r="K1107" s="71" t="s">
        <v>5759</v>
      </c>
      <c r="L1107" s="71" t="s">
        <v>5760</v>
      </c>
      <c r="M1107" s="71" t="s">
        <v>5761</v>
      </c>
      <c r="N1107" s="69" t="s">
        <v>57</v>
      </c>
      <c r="O1107" s="64">
        <v>1</v>
      </c>
      <c r="P1107" s="72">
        <v>375700</v>
      </c>
      <c r="Q1107" s="69" t="s">
        <v>5762</v>
      </c>
      <c r="R1107" s="69"/>
      <c r="S1107" s="121" t="s">
        <v>646</v>
      </c>
      <c r="T1107" s="56">
        <v>29</v>
      </c>
      <c r="U1107" s="56">
        <v>4</v>
      </c>
    </row>
    <row r="1108" spans="1:21" ht="14.25" customHeight="1" thickBot="1" x14ac:dyDescent="0.4">
      <c r="A1108" s="58">
        <v>1092</v>
      </c>
      <c r="B1108" s="69" t="s">
        <v>70</v>
      </c>
      <c r="C1108" s="69" t="s">
        <v>71</v>
      </c>
      <c r="D1108" s="70" t="s">
        <v>137</v>
      </c>
      <c r="E1108" s="69" t="s">
        <v>2068</v>
      </c>
      <c r="F1108" s="69" t="s">
        <v>1683</v>
      </c>
      <c r="G1108" s="69" t="s">
        <v>140</v>
      </c>
      <c r="H1108" s="70">
        <v>2015</v>
      </c>
      <c r="I1108" s="69"/>
      <c r="J1108" s="69" t="s">
        <v>5763</v>
      </c>
      <c r="K1108" s="71" t="s">
        <v>5764</v>
      </c>
      <c r="L1108" s="71" t="s">
        <v>5765</v>
      </c>
      <c r="M1108" s="71" t="s">
        <v>5766</v>
      </c>
      <c r="N1108" s="69" t="s">
        <v>57</v>
      </c>
      <c r="O1108" s="64">
        <v>1</v>
      </c>
      <c r="P1108" s="72">
        <v>381520</v>
      </c>
      <c r="Q1108" s="69" t="s">
        <v>4542</v>
      </c>
      <c r="R1108" s="69"/>
      <c r="S1108" s="121" t="s">
        <v>646</v>
      </c>
      <c r="T1108" s="56">
        <v>29</v>
      </c>
      <c r="U1108" s="56">
        <v>4</v>
      </c>
    </row>
    <row r="1109" spans="1:21" ht="14.25" customHeight="1" x14ac:dyDescent="0.35">
      <c r="A1109" s="47">
        <v>1093</v>
      </c>
      <c r="B1109" s="69" t="s">
        <v>70</v>
      </c>
      <c r="C1109" s="69" t="s">
        <v>71</v>
      </c>
      <c r="D1109" s="70" t="s">
        <v>146</v>
      </c>
      <c r="E1109" s="69" t="s">
        <v>3821</v>
      </c>
      <c r="F1109" s="69" t="s">
        <v>5767</v>
      </c>
      <c r="G1109" s="69" t="s">
        <v>140</v>
      </c>
      <c r="H1109" s="70">
        <v>2016</v>
      </c>
      <c r="I1109" s="69"/>
      <c r="J1109" s="69" t="s">
        <v>5768</v>
      </c>
      <c r="K1109" s="71" t="s">
        <v>5769</v>
      </c>
      <c r="L1109" s="71" t="s">
        <v>5770</v>
      </c>
      <c r="M1109" s="71" t="s">
        <v>5771</v>
      </c>
      <c r="N1109" s="69" t="s">
        <v>57</v>
      </c>
      <c r="O1109" s="64">
        <v>1</v>
      </c>
      <c r="P1109" s="72">
        <v>384520</v>
      </c>
      <c r="Q1109" s="69" t="s">
        <v>4542</v>
      </c>
      <c r="R1109" s="69"/>
      <c r="S1109" s="121" t="s">
        <v>646</v>
      </c>
      <c r="T1109" s="56">
        <v>29</v>
      </c>
      <c r="U1109" s="56">
        <v>4</v>
      </c>
    </row>
    <row r="1110" spans="1:21" ht="14.25" customHeight="1" thickBot="1" x14ac:dyDescent="0.4">
      <c r="A1110" s="58">
        <v>1094</v>
      </c>
      <c r="B1110" s="69" t="s">
        <v>70</v>
      </c>
      <c r="C1110" s="69" t="s">
        <v>71</v>
      </c>
      <c r="D1110" s="70" t="s">
        <v>319</v>
      </c>
      <c r="E1110" s="69"/>
      <c r="F1110" s="69" t="s">
        <v>5772</v>
      </c>
      <c r="G1110" s="69" t="s">
        <v>140</v>
      </c>
      <c r="H1110" s="70">
        <v>2018</v>
      </c>
      <c r="I1110" s="69" t="s">
        <v>63</v>
      </c>
      <c r="J1110" s="69" t="s">
        <v>5773</v>
      </c>
      <c r="K1110" s="71" t="s">
        <v>5774</v>
      </c>
      <c r="L1110" s="71" t="s">
        <v>5775</v>
      </c>
      <c r="M1110" s="71" t="s">
        <v>5776</v>
      </c>
      <c r="N1110" s="69" t="s">
        <v>57</v>
      </c>
      <c r="O1110" s="64">
        <v>1</v>
      </c>
      <c r="P1110" s="72">
        <v>223950</v>
      </c>
      <c r="Q1110" s="69" t="s">
        <v>5777</v>
      </c>
      <c r="R1110" s="69"/>
      <c r="S1110" s="121" t="s">
        <v>646</v>
      </c>
      <c r="T1110" s="56">
        <v>29</v>
      </c>
      <c r="U1110" s="56">
        <v>4</v>
      </c>
    </row>
    <row r="1111" spans="1:21" ht="14.25" customHeight="1" x14ac:dyDescent="0.35">
      <c r="A1111" s="47">
        <v>1095</v>
      </c>
      <c r="B1111" s="69" t="s">
        <v>70</v>
      </c>
      <c r="C1111" s="69" t="s">
        <v>71</v>
      </c>
      <c r="D1111" s="70" t="s">
        <v>325</v>
      </c>
      <c r="E1111" s="69" t="s">
        <v>3704</v>
      </c>
      <c r="F1111" s="69">
        <v>2393</v>
      </c>
      <c r="G1111" s="69" t="s">
        <v>54</v>
      </c>
      <c r="H1111" s="70">
        <v>2024</v>
      </c>
      <c r="I1111" s="69" t="s">
        <v>63</v>
      </c>
      <c r="J1111" s="69" t="s">
        <v>5778</v>
      </c>
      <c r="K1111" s="71" t="s">
        <v>5779</v>
      </c>
      <c r="L1111" s="71" t="s">
        <v>5780</v>
      </c>
      <c r="M1111" s="71" t="s">
        <v>5781</v>
      </c>
      <c r="N1111" s="69" t="s">
        <v>44</v>
      </c>
      <c r="O1111" s="64">
        <v>1</v>
      </c>
      <c r="P1111" s="72">
        <v>478300</v>
      </c>
      <c r="Q1111" s="69" t="s">
        <v>3709</v>
      </c>
      <c r="R1111" s="69"/>
      <c r="S1111" s="121" t="s">
        <v>646</v>
      </c>
      <c r="T1111" s="56">
        <v>29</v>
      </c>
      <c r="U1111" s="56">
        <v>4</v>
      </c>
    </row>
    <row r="1112" spans="1:21" ht="14.25" customHeight="1" thickBot="1" x14ac:dyDescent="0.4">
      <c r="A1112" s="58">
        <v>1096</v>
      </c>
      <c r="B1112" s="69" t="s">
        <v>70</v>
      </c>
      <c r="C1112" s="69" t="s">
        <v>71</v>
      </c>
      <c r="D1112" s="70" t="s">
        <v>332</v>
      </c>
      <c r="E1112" s="69" t="s">
        <v>2501</v>
      </c>
      <c r="F1112" s="69" t="s">
        <v>1683</v>
      </c>
      <c r="G1112" s="69" t="s">
        <v>140</v>
      </c>
      <c r="H1112" s="70">
        <v>2017</v>
      </c>
      <c r="I1112" s="69" t="s">
        <v>63</v>
      </c>
      <c r="J1112" s="69" t="s">
        <v>5782</v>
      </c>
      <c r="K1112" s="71" t="s">
        <v>5783</v>
      </c>
      <c r="L1112" s="71" t="s">
        <v>5784</v>
      </c>
      <c r="M1112" s="71" t="s">
        <v>5785</v>
      </c>
      <c r="N1112" s="69" t="s">
        <v>57</v>
      </c>
      <c r="O1112" s="64">
        <v>1</v>
      </c>
      <c r="P1112" s="72">
        <v>399250</v>
      </c>
      <c r="Q1112" s="69" t="s">
        <v>5786</v>
      </c>
      <c r="R1112" s="69"/>
      <c r="S1112" s="121" t="s">
        <v>646</v>
      </c>
      <c r="T1112" s="56">
        <v>29</v>
      </c>
      <c r="U1112" s="56">
        <v>4</v>
      </c>
    </row>
    <row r="1113" spans="1:21" ht="14.25" customHeight="1" x14ac:dyDescent="0.35">
      <c r="A1113" s="47">
        <v>1097</v>
      </c>
      <c r="B1113" s="69" t="s">
        <v>70</v>
      </c>
      <c r="C1113" s="69" t="s">
        <v>71</v>
      </c>
      <c r="D1113" s="70" t="s">
        <v>338</v>
      </c>
      <c r="E1113" s="69" t="s">
        <v>2501</v>
      </c>
      <c r="F1113" s="69" t="s">
        <v>1683</v>
      </c>
      <c r="G1113" s="69" t="s">
        <v>140</v>
      </c>
      <c r="H1113" s="70">
        <v>2017</v>
      </c>
      <c r="I1113" s="69" t="s">
        <v>63</v>
      </c>
      <c r="J1113" s="69" t="s">
        <v>5787</v>
      </c>
      <c r="K1113" s="71" t="s">
        <v>5788</v>
      </c>
      <c r="L1113" s="71" t="s">
        <v>5789</v>
      </c>
      <c r="M1113" s="71" t="s">
        <v>5790</v>
      </c>
      <c r="N1113" s="69" t="s">
        <v>57</v>
      </c>
      <c r="O1113" s="64">
        <v>1</v>
      </c>
      <c r="P1113" s="72">
        <v>399250</v>
      </c>
      <c r="Q1113" s="69" t="s">
        <v>4542</v>
      </c>
      <c r="R1113" s="69"/>
      <c r="S1113" s="121" t="s">
        <v>646</v>
      </c>
      <c r="T1113" s="56">
        <v>29</v>
      </c>
      <c r="U1113" s="56">
        <v>4</v>
      </c>
    </row>
    <row r="1114" spans="1:21" ht="14.25" customHeight="1" thickBot="1" x14ac:dyDescent="0.4">
      <c r="A1114" s="58">
        <v>1098</v>
      </c>
      <c r="B1114" s="69" t="s">
        <v>79</v>
      </c>
      <c r="C1114" s="69" t="s">
        <v>80</v>
      </c>
      <c r="D1114" s="70" t="s">
        <v>51</v>
      </c>
      <c r="E1114" s="69" t="s">
        <v>2654</v>
      </c>
      <c r="F1114" s="69" t="s">
        <v>1906</v>
      </c>
      <c r="G1114" s="69" t="s">
        <v>54</v>
      </c>
      <c r="H1114" s="70">
        <v>2005</v>
      </c>
      <c r="I1114" s="69"/>
      <c r="J1114" s="69" t="s">
        <v>5791</v>
      </c>
      <c r="K1114" s="71" t="s">
        <v>5792</v>
      </c>
      <c r="L1114" s="71" t="s">
        <v>5793</v>
      </c>
      <c r="M1114" s="71" t="s">
        <v>5794</v>
      </c>
      <c r="N1114" s="69" t="s">
        <v>57</v>
      </c>
      <c r="O1114" s="64">
        <v>1</v>
      </c>
      <c r="P1114" s="72">
        <v>10500</v>
      </c>
      <c r="Q1114" s="69" t="s">
        <v>5795</v>
      </c>
      <c r="R1114" s="69"/>
      <c r="S1114" s="121" t="s">
        <v>646</v>
      </c>
      <c r="T1114" s="56">
        <v>29</v>
      </c>
      <c r="U1114" s="56">
        <v>3</v>
      </c>
    </row>
    <row r="1115" spans="1:21" ht="14.25" customHeight="1" x14ac:dyDescent="0.35">
      <c r="A1115" s="47">
        <v>1099</v>
      </c>
      <c r="B1115" s="69" t="s">
        <v>79</v>
      </c>
      <c r="C1115" s="69" t="s">
        <v>80</v>
      </c>
      <c r="D1115" s="70" t="s">
        <v>97</v>
      </c>
      <c r="E1115" s="69" t="s">
        <v>2601</v>
      </c>
      <c r="F1115" s="69" t="s">
        <v>171</v>
      </c>
      <c r="G1115" s="69" t="s">
        <v>54</v>
      </c>
      <c r="H1115" s="70">
        <v>2005</v>
      </c>
      <c r="I1115" s="69"/>
      <c r="J1115" s="69" t="s">
        <v>5796</v>
      </c>
      <c r="K1115" s="71" t="s">
        <v>5797</v>
      </c>
      <c r="L1115" s="71" t="s">
        <v>5798</v>
      </c>
      <c r="M1115" s="71"/>
      <c r="N1115" s="69" t="s">
        <v>57</v>
      </c>
      <c r="O1115" s="64">
        <v>1</v>
      </c>
      <c r="P1115" s="72">
        <v>14350</v>
      </c>
      <c r="Q1115" s="69" t="s">
        <v>5799</v>
      </c>
      <c r="R1115" s="69"/>
      <c r="S1115" s="121" t="s">
        <v>646</v>
      </c>
      <c r="T1115" s="56">
        <v>29</v>
      </c>
      <c r="U1115" s="56">
        <v>3</v>
      </c>
    </row>
    <row r="1116" spans="1:21" ht="14.25" customHeight="1" thickBot="1" x14ac:dyDescent="0.4">
      <c r="A1116" s="58">
        <v>1100</v>
      </c>
      <c r="B1116" s="69" t="s">
        <v>79</v>
      </c>
      <c r="C1116" s="69" t="s">
        <v>80</v>
      </c>
      <c r="D1116" s="70" t="s">
        <v>101</v>
      </c>
      <c r="E1116" s="69" t="s">
        <v>5800</v>
      </c>
      <c r="F1116" s="69" t="s">
        <v>1906</v>
      </c>
      <c r="G1116" s="69" t="s">
        <v>54</v>
      </c>
      <c r="H1116" s="70">
        <v>2005</v>
      </c>
      <c r="I1116" s="69" t="s">
        <v>63</v>
      </c>
      <c r="J1116" s="69" t="s">
        <v>5801</v>
      </c>
      <c r="K1116" s="71" t="s">
        <v>63</v>
      </c>
      <c r="L1116" s="71" t="s">
        <v>5802</v>
      </c>
      <c r="M1116" s="71" t="s">
        <v>63</v>
      </c>
      <c r="N1116" s="69" t="s">
        <v>57</v>
      </c>
      <c r="O1116" s="64">
        <v>1</v>
      </c>
      <c r="P1116" s="72">
        <v>14350</v>
      </c>
      <c r="Q1116" s="69" t="s">
        <v>5799</v>
      </c>
      <c r="R1116" s="69"/>
      <c r="S1116" s="121" t="s">
        <v>646</v>
      </c>
      <c r="T1116" s="56">
        <v>29</v>
      </c>
      <c r="U1116" s="56">
        <v>3</v>
      </c>
    </row>
    <row r="1117" spans="1:21" ht="14.25" customHeight="1" x14ac:dyDescent="0.35">
      <c r="A1117" s="47">
        <v>1101</v>
      </c>
      <c r="B1117" s="69" t="s">
        <v>79</v>
      </c>
      <c r="C1117" s="69" t="s">
        <v>80</v>
      </c>
      <c r="D1117" s="70" t="s">
        <v>107</v>
      </c>
      <c r="E1117" s="69" t="s">
        <v>3766</v>
      </c>
      <c r="F1117" s="69" t="s">
        <v>148</v>
      </c>
      <c r="G1117" s="69" t="s">
        <v>140</v>
      </c>
      <c r="H1117" s="70">
        <v>2018</v>
      </c>
      <c r="I1117" s="69" t="s">
        <v>63</v>
      </c>
      <c r="J1117" s="69" t="s">
        <v>5803</v>
      </c>
      <c r="K1117" s="71" t="s">
        <v>5804</v>
      </c>
      <c r="L1117" s="71" t="s">
        <v>5805</v>
      </c>
      <c r="M1117" s="71" t="s">
        <v>5806</v>
      </c>
      <c r="N1117" s="69" t="s">
        <v>57</v>
      </c>
      <c r="O1117" s="64">
        <v>1</v>
      </c>
      <c r="P1117" s="72">
        <v>31708</v>
      </c>
      <c r="Q1117" s="69" t="s">
        <v>168</v>
      </c>
      <c r="R1117" s="69"/>
      <c r="S1117" s="121" t="s">
        <v>646</v>
      </c>
      <c r="T1117" s="56">
        <v>29</v>
      </c>
      <c r="U1117" s="56">
        <v>3</v>
      </c>
    </row>
    <row r="1118" spans="1:21" ht="14.25" customHeight="1" thickBot="1" x14ac:dyDescent="0.4">
      <c r="A1118" s="58">
        <v>1102</v>
      </c>
      <c r="B1118" s="69" t="s">
        <v>79</v>
      </c>
      <c r="C1118" s="69" t="s">
        <v>80</v>
      </c>
      <c r="D1118" s="70" t="s">
        <v>116</v>
      </c>
      <c r="E1118" s="69" t="s">
        <v>594</v>
      </c>
      <c r="F1118" s="69" t="s">
        <v>246</v>
      </c>
      <c r="G1118" s="69" t="s">
        <v>54</v>
      </c>
      <c r="H1118" s="70">
        <v>2008</v>
      </c>
      <c r="I1118" s="69"/>
      <c r="J1118" s="69" t="s">
        <v>5807</v>
      </c>
      <c r="K1118" s="71" t="s">
        <v>5808</v>
      </c>
      <c r="L1118" s="71" t="s">
        <v>5809</v>
      </c>
      <c r="M1118" s="71" t="s">
        <v>5810</v>
      </c>
      <c r="N1118" s="69" t="s">
        <v>57</v>
      </c>
      <c r="O1118" s="64">
        <v>1</v>
      </c>
      <c r="P1118" s="72">
        <v>14200</v>
      </c>
      <c r="Q1118" s="69" t="s">
        <v>5811</v>
      </c>
      <c r="R1118" s="69"/>
      <c r="S1118" s="121" t="s">
        <v>646</v>
      </c>
      <c r="T1118" s="56">
        <v>29</v>
      </c>
      <c r="U1118" s="56">
        <v>3</v>
      </c>
    </row>
    <row r="1119" spans="1:21" ht="14.25" customHeight="1" x14ac:dyDescent="0.35">
      <c r="A1119" s="47">
        <v>1103</v>
      </c>
      <c r="B1119" s="69" t="s">
        <v>79</v>
      </c>
      <c r="C1119" s="69" t="s">
        <v>80</v>
      </c>
      <c r="D1119" s="70" t="s">
        <v>841</v>
      </c>
      <c r="E1119" s="69" t="s">
        <v>594</v>
      </c>
      <c r="F1119" s="69" t="s">
        <v>246</v>
      </c>
      <c r="G1119" s="69" t="s">
        <v>54</v>
      </c>
      <c r="H1119" s="70">
        <v>2008</v>
      </c>
      <c r="I1119" s="69"/>
      <c r="J1119" s="69" t="s">
        <v>5812</v>
      </c>
      <c r="K1119" s="71" t="s">
        <v>5813</v>
      </c>
      <c r="L1119" s="71" t="s">
        <v>5814</v>
      </c>
      <c r="M1119" s="71" t="s">
        <v>5815</v>
      </c>
      <c r="N1119" s="69" t="s">
        <v>57</v>
      </c>
      <c r="O1119" s="64">
        <v>1</v>
      </c>
      <c r="P1119" s="72">
        <v>14200</v>
      </c>
      <c r="Q1119" s="69" t="s">
        <v>5811</v>
      </c>
      <c r="R1119" s="69"/>
      <c r="S1119" s="121" t="s">
        <v>646</v>
      </c>
      <c r="T1119" s="56">
        <v>29</v>
      </c>
      <c r="U1119" s="56">
        <v>3</v>
      </c>
    </row>
    <row r="1120" spans="1:21" ht="14.25" customHeight="1" thickBot="1" x14ac:dyDescent="0.4">
      <c r="A1120" s="58">
        <v>1104</v>
      </c>
      <c r="B1120" s="69" t="s">
        <v>79</v>
      </c>
      <c r="C1120" s="69" t="s">
        <v>80</v>
      </c>
      <c r="D1120" s="70" t="s">
        <v>904</v>
      </c>
      <c r="E1120" s="69" t="s">
        <v>594</v>
      </c>
      <c r="F1120" s="69" t="s">
        <v>246</v>
      </c>
      <c r="G1120" s="69" t="s">
        <v>54</v>
      </c>
      <c r="H1120" s="70">
        <v>2008</v>
      </c>
      <c r="I1120" s="69"/>
      <c r="J1120" s="69" t="s">
        <v>5816</v>
      </c>
      <c r="K1120" s="71" t="s">
        <v>5817</v>
      </c>
      <c r="L1120" s="71" t="s">
        <v>5818</v>
      </c>
      <c r="M1120" s="71" t="s">
        <v>5819</v>
      </c>
      <c r="N1120" s="69" t="s">
        <v>57</v>
      </c>
      <c r="O1120" s="64">
        <v>1</v>
      </c>
      <c r="P1120" s="72">
        <v>14200</v>
      </c>
      <c r="Q1120" s="69" t="s">
        <v>5811</v>
      </c>
      <c r="R1120" s="69"/>
      <c r="S1120" s="121" t="s">
        <v>646</v>
      </c>
      <c r="T1120" s="56">
        <v>29</v>
      </c>
      <c r="U1120" s="56">
        <v>3</v>
      </c>
    </row>
    <row r="1121" spans="1:21" ht="14.25" customHeight="1" x14ac:dyDescent="0.35">
      <c r="A1121" s="47">
        <v>1105</v>
      </c>
      <c r="B1121" s="69" t="s">
        <v>79</v>
      </c>
      <c r="C1121" s="69" t="s">
        <v>80</v>
      </c>
      <c r="D1121" s="70" t="s">
        <v>122</v>
      </c>
      <c r="E1121" s="69" t="s">
        <v>594</v>
      </c>
      <c r="F1121" s="69" t="s">
        <v>246</v>
      </c>
      <c r="G1121" s="69" t="s">
        <v>54</v>
      </c>
      <c r="H1121" s="70">
        <v>2008</v>
      </c>
      <c r="I1121" s="69"/>
      <c r="J1121" s="69" t="s">
        <v>5820</v>
      </c>
      <c r="K1121" s="71" t="s">
        <v>5821</v>
      </c>
      <c r="L1121" s="71" t="s">
        <v>5822</v>
      </c>
      <c r="M1121" s="71" t="s">
        <v>5823</v>
      </c>
      <c r="N1121" s="69" t="s">
        <v>57</v>
      </c>
      <c r="O1121" s="64">
        <v>1</v>
      </c>
      <c r="P1121" s="72">
        <v>14200</v>
      </c>
      <c r="Q1121" s="69" t="s">
        <v>5824</v>
      </c>
      <c r="R1121" s="69"/>
      <c r="S1121" s="121" t="s">
        <v>646</v>
      </c>
      <c r="T1121" s="56">
        <v>29</v>
      </c>
      <c r="U1121" s="56">
        <v>3</v>
      </c>
    </row>
    <row r="1122" spans="1:21" ht="14.25" customHeight="1" thickBot="1" x14ac:dyDescent="0.4">
      <c r="A1122" s="58">
        <v>1106</v>
      </c>
      <c r="B1122" s="69" t="s">
        <v>79</v>
      </c>
      <c r="C1122" s="69" t="s">
        <v>80</v>
      </c>
      <c r="D1122" s="70" t="s">
        <v>132</v>
      </c>
      <c r="E1122" s="69" t="s">
        <v>5825</v>
      </c>
      <c r="F1122" s="69" t="s">
        <v>483</v>
      </c>
      <c r="G1122" s="69" t="s">
        <v>54</v>
      </c>
      <c r="H1122" s="70">
        <v>2008</v>
      </c>
      <c r="I1122" s="69"/>
      <c r="J1122" s="69" t="s">
        <v>5826</v>
      </c>
      <c r="K1122" s="71" t="s">
        <v>5827</v>
      </c>
      <c r="L1122" s="71" t="s">
        <v>5828</v>
      </c>
      <c r="M1122" s="71" t="s">
        <v>5829</v>
      </c>
      <c r="N1122" s="69" t="s">
        <v>57</v>
      </c>
      <c r="O1122" s="64">
        <v>1</v>
      </c>
      <c r="P1122" s="72">
        <v>19302</v>
      </c>
      <c r="Q1122" s="69" t="s">
        <v>5830</v>
      </c>
      <c r="R1122" s="69"/>
      <c r="S1122" s="121" t="s">
        <v>646</v>
      </c>
      <c r="T1122" s="56">
        <v>29</v>
      </c>
      <c r="U1122" s="56">
        <v>3</v>
      </c>
    </row>
    <row r="1123" spans="1:21" ht="14.25" customHeight="1" x14ac:dyDescent="0.35">
      <c r="A1123" s="47">
        <v>1107</v>
      </c>
      <c r="B1123" s="69" t="s">
        <v>79</v>
      </c>
      <c r="C1123" s="69" t="s">
        <v>80</v>
      </c>
      <c r="D1123" s="70" t="s">
        <v>137</v>
      </c>
      <c r="E1123" s="69" t="s">
        <v>5825</v>
      </c>
      <c r="F1123" s="69" t="s">
        <v>483</v>
      </c>
      <c r="G1123" s="69" t="s">
        <v>54</v>
      </c>
      <c r="H1123" s="70">
        <v>2008</v>
      </c>
      <c r="I1123" s="69"/>
      <c r="J1123" s="69" t="s">
        <v>5831</v>
      </c>
      <c r="K1123" s="71" t="s">
        <v>5832</v>
      </c>
      <c r="L1123" s="71" t="s">
        <v>5833</v>
      </c>
      <c r="M1123" s="71" t="s">
        <v>5834</v>
      </c>
      <c r="N1123" s="69" t="s">
        <v>57</v>
      </c>
      <c r="O1123" s="64">
        <v>1</v>
      </c>
      <c r="P1123" s="72">
        <v>19302</v>
      </c>
      <c r="Q1123" s="69" t="s">
        <v>5835</v>
      </c>
      <c r="R1123" s="69"/>
      <c r="S1123" s="121" t="s">
        <v>646</v>
      </c>
      <c r="T1123" s="56">
        <v>29</v>
      </c>
      <c r="U1123" s="56">
        <v>3</v>
      </c>
    </row>
    <row r="1124" spans="1:21" ht="14.25" customHeight="1" thickBot="1" x14ac:dyDescent="0.4">
      <c r="A1124" s="58">
        <v>1108</v>
      </c>
      <c r="B1124" s="69" t="s">
        <v>79</v>
      </c>
      <c r="C1124" s="69" t="s">
        <v>80</v>
      </c>
      <c r="D1124" s="70" t="s">
        <v>146</v>
      </c>
      <c r="E1124" s="69" t="s">
        <v>5825</v>
      </c>
      <c r="F1124" s="69" t="s">
        <v>483</v>
      </c>
      <c r="G1124" s="69" t="s">
        <v>54</v>
      </c>
      <c r="H1124" s="70">
        <v>2008</v>
      </c>
      <c r="I1124" s="69"/>
      <c r="J1124" s="69" t="s">
        <v>5836</v>
      </c>
      <c r="K1124" s="71" t="s">
        <v>5837</v>
      </c>
      <c r="L1124" s="71" t="s">
        <v>5838</v>
      </c>
      <c r="M1124" s="71" t="s">
        <v>5839</v>
      </c>
      <c r="N1124" s="69" t="s">
        <v>57</v>
      </c>
      <c r="O1124" s="64">
        <v>1</v>
      </c>
      <c r="P1124" s="72">
        <v>19302</v>
      </c>
      <c r="Q1124" s="69" t="s">
        <v>5840</v>
      </c>
      <c r="R1124" s="69"/>
      <c r="S1124" s="121" t="s">
        <v>646</v>
      </c>
      <c r="T1124" s="56">
        <v>29</v>
      </c>
      <c r="U1124" s="56">
        <v>3</v>
      </c>
    </row>
    <row r="1125" spans="1:21" ht="14.25" customHeight="1" x14ac:dyDescent="0.35">
      <c r="A1125" s="47">
        <v>1109</v>
      </c>
      <c r="B1125" s="69" t="s">
        <v>79</v>
      </c>
      <c r="C1125" s="69" t="s">
        <v>80</v>
      </c>
      <c r="D1125" s="70" t="s">
        <v>154</v>
      </c>
      <c r="E1125" s="69" t="s">
        <v>5825</v>
      </c>
      <c r="F1125" s="69" t="s">
        <v>483</v>
      </c>
      <c r="G1125" s="69" t="s">
        <v>54</v>
      </c>
      <c r="H1125" s="70">
        <v>2008</v>
      </c>
      <c r="I1125" s="69"/>
      <c r="J1125" s="69" t="s">
        <v>5841</v>
      </c>
      <c r="K1125" s="71" t="s">
        <v>5842</v>
      </c>
      <c r="L1125" s="71" t="s">
        <v>5843</v>
      </c>
      <c r="M1125" s="71" t="s">
        <v>5844</v>
      </c>
      <c r="N1125" s="69" t="s">
        <v>57</v>
      </c>
      <c r="O1125" s="64">
        <v>1</v>
      </c>
      <c r="P1125" s="72">
        <v>19302</v>
      </c>
      <c r="Q1125" s="69" t="s">
        <v>5845</v>
      </c>
      <c r="R1125" s="69"/>
      <c r="S1125" s="121" t="s">
        <v>646</v>
      </c>
      <c r="T1125" s="56">
        <v>29</v>
      </c>
      <c r="U1125" s="56">
        <v>3</v>
      </c>
    </row>
    <row r="1126" spans="1:21" ht="14.25" customHeight="1" thickBot="1" x14ac:dyDescent="0.4">
      <c r="A1126" s="58">
        <v>1110</v>
      </c>
      <c r="B1126" s="69" t="s">
        <v>79</v>
      </c>
      <c r="C1126" s="69" t="s">
        <v>80</v>
      </c>
      <c r="D1126" s="70" t="s">
        <v>161</v>
      </c>
      <c r="E1126" s="69" t="s">
        <v>5825</v>
      </c>
      <c r="F1126" s="69" t="s">
        <v>483</v>
      </c>
      <c r="G1126" s="69" t="s">
        <v>54</v>
      </c>
      <c r="H1126" s="70">
        <v>2008</v>
      </c>
      <c r="I1126" s="69"/>
      <c r="J1126" s="69" t="s">
        <v>5846</v>
      </c>
      <c r="K1126" s="71" t="s">
        <v>5847</v>
      </c>
      <c r="L1126" s="71" t="s">
        <v>5848</v>
      </c>
      <c r="M1126" s="71" t="s">
        <v>5849</v>
      </c>
      <c r="N1126" s="69" t="s">
        <v>57</v>
      </c>
      <c r="O1126" s="64">
        <v>1</v>
      </c>
      <c r="P1126" s="72">
        <v>19302</v>
      </c>
      <c r="Q1126" s="69" t="s">
        <v>5850</v>
      </c>
      <c r="R1126" s="69"/>
      <c r="S1126" s="121" t="s">
        <v>646</v>
      </c>
      <c r="T1126" s="56">
        <v>29</v>
      </c>
      <c r="U1126" s="56">
        <v>3</v>
      </c>
    </row>
    <row r="1127" spans="1:21" ht="14.25" customHeight="1" x14ac:dyDescent="0.35">
      <c r="A1127" s="47">
        <v>1111</v>
      </c>
      <c r="B1127" s="69" t="s">
        <v>79</v>
      </c>
      <c r="C1127" s="69" t="s">
        <v>80</v>
      </c>
      <c r="D1127" s="70" t="s">
        <v>176</v>
      </c>
      <c r="E1127" s="69" t="s">
        <v>5825</v>
      </c>
      <c r="F1127" s="69" t="s">
        <v>483</v>
      </c>
      <c r="G1127" s="69" t="s">
        <v>54</v>
      </c>
      <c r="H1127" s="70">
        <v>2008</v>
      </c>
      <c r="I1127" s="69"/>
      <c r="J1127" s="69" t="s">
        <v>5851</v>
      </c>
      <c r="K1127" s="71" t="s">
        <v>5837</v>
      </c>
      <c r="L1127" s="71" t="s">
        <v>5852</v>
      </c>
      <c r="M1127" s="71" t="s">
        <v>5853</v>
      </c>
      <c r="N1127" s="69" t="s">
        <v>57</v>
      </c>
      <c r="O1127" s="64">
        <v>1</v>
      </c>
      <c r="P1127" s="72">
        <v>19302</v>
      </c>
      <c r="Q1127" s="69" t="s">
        <v>5854</v>
      </c>
      <c r="R1127" s="69"/>
      <c r="S1127" s="121" t="s">
        <v>646</v>
      </c>
      <c r="T1127" s="56">
        <v>29</v>
      </c>
      <c r="U1127" s="56">
        <v>3</v>
      </c>
    </row>
    <row r="1128" spans="1:21" ht="14.25" customHeight="1" thickBot="1" x14ac:dyDescent="0.4">
      <c r="A1128" s="58">
        <v>1112</v>
      </c>
      <c r="B1128" s="69" t="s">
        <v>79</v>
      </c>
      <c r="C1128" s="69" t="s">
        <v>80</v>
      </c>
      <c r="D1128" s="70" t="s">
        <v>1236</v>
      </c>
      <c r="E1128" s="69" t="s">
        <v>5825</v>
      </c>
      <c r="F1128" s="69" t="s">
        <v>483</v>
      </c>
      <c r="G1128" s="69" t="s">
        <v>54</v>
      </c>
      <c r="H1128" s="70">
        <v>2008</v>
      </c>
      <c r="I1128" s="69"/>
      <c r="J1128" s="69" t="s">
        <v>5855</v>
      </c>
      <c r="K1128" s="71" t="s">
        <v>5856</v>
      </c>
      <c r="L1128" s="71" t="s">
        <v>5857</v>
      </c>
      <c r="M1128" s="71" t="s">
        <v>5858</v>
      </c>
      <c r="N1128" s="69" t="s">
        <v>57</v>
      </c>
      <c r="O1128" s="64">
        <v>1</v>
      </c>
      <c r="P1128" s="72">
        <v>19302</v>
      </c>
      <c r="Q1128" s="69" t="s">
        <v>5859</v>
      </c>
      <c r="R1128" s="69"/>
      <c r="S1128" s="121" t="s">
        <v>646</v>
      </c>
      <c r="T1128" s="56">
        <v>29</v>
      </c>
      <c r="U1128" s="56">
        <v>3</v>
      </c>
    </row>
    <row r="1129" spans="1:21" ht="14.25" customHeight="1" x14ac:dyDescent="0.35">
      <c r="A1129" s="47">
        <v>1113</v>
      </c>
      <c r="B1129" s="69" t="s">
        <v>79</v>
      </c>
      <c r="C1129" s="69" t="s">
        <v>80</v>
      </c>
      <c r="D1129" s="70" t="s">
        <v>181</v>
      </c>
      <c r="E1129" s="69" t="s">
        <v>5825</v>
      </c>
      <c r="F1129" s="69" t="s">
        <v>483</v>
      </c>
      <c r="G1129" s="69" t="s">
        <v>54</v>
      </c>
      <c r="H1129" s="70">
        <v>2008</v>
      </c>
      <c r="I1129" s="69"/>
      <c r="J1129" s="69" t="s">
        <v>5860</v>
      </c>
      <c r="K1129" s="71" t="s">
        <v>5861</v>
      </c>
      <c r="L1129" s="71" t="s">
        <v>5862</v>
      </c>
      <c r="M1129" s="71" t="s">
        <v>5863</v>
      </c>
      <c r="N1129" s="69" t="s">
        <v>57</v>
      </c>
      <c r="O1129" s="64">
        <v>1</v>
      </c>
      <c r="P1129" s="72">
        <v>19302</v>
      </c>
      <c r="Q1129" s="69" t="s">
        <v>5864</v>
      </c>
      <c r="R1129" s="69"/>
      <c r="S1129" s="121" t="s">
        <v>646</v>
      </c>
      <c r="T1129" s="56">
        <v>29</v>
      </c>
      <c r="U1129" s="56">
        <v>3</v>
      </c>
    </row>
    <row r="1130" spans="1:21" ht="14.25" customHeight="1" thickBot="1" x14ac:dyDescent="0.4">
      <c r="A1130" s="58">
        <v>1114</v>
      </c>
      <c r="B1130" s="69" t="s">
        <v>79</v>
      </c>
      <c r="C1130" s="69" t="s">
        <v>80</v>
      </c>
      <c r="D1130" s="70" t="s">
        <v>187</v>
      </c>
      <c r="E1130" s="69" t="s">
        <v>5825</v>
      </c>
      <c r="F1130" s="69" t="s">
        <v>483</v>
      </c>
      <c r="G1130" s="69" t="s">
        <v>54</v>
      </c>
      <c r="H1130" s="70">
        <v>2008</v>
      </c>
      <c r="I1130" s="69"/>
      <c r="J1130" s="69" t="s">
        <v>5865</v>
      </c>
      <c r="K1130" s="71" t="s">
        <v>5866</v>
      </c>
      <c r="L1130" s="71" t="s">
        <v>5867</v>
      </c>
      <c r="M1130" s="71" t="s">
        <v>5868</v>
      </c>
      <c r="N1130" s="69" t="s">
        <v>57</v>
      </c>
      <c r="O1130" s="64">
        <v>1</v>
      </c>
      <c r="P1130" s="72">
        <v>19302</v>
      </c>
      <c r="Q1130" s="69" t="s">
        <v>5869</v>
      </c>
      <c r="R1130" s="69"/>
      <c r="S1130" s="121" t="s">
        <v>646</v>
      </c>
      <c r="T1130" s="56">
        <v>29</v>
      </c>
      <c r="U1130" s="56">
        <v>3</v>
      </c>
    </row>
    <row r="1131" spans="1:21" ht="14.25" customHeight="1" x14ac:dyDescent="0.35">
      <c r="A1131" s="47">
        <v>1115</v>
      </c>
      <c r="B1131" s="69" t="s">
        <v>79</v>
      </c>
      <c r="C1131" s="69" t="s">
        <v>80</v>
      </c>
      <c r="D1131" s="70" t="s">
        <v>190</v>
      </c>
      <c r="E1131" s="69" t="s">
        <v>5825</v>
      </c>
      <c r="F1131" s="69" t="s">
        <v>483</v>
      </c>
      <c r="G1131" s="69" t="s">
        <v>54</v>
      </c>
      <c r="H1131" s="70">
        <v>2008</v>
      </c>
      <c r="I1131" s="69"/>
      <c r="J1131" s="69" t="s">
        <v>5870</v>
      </c>
      <c r="K1131" s="71" t="s">
        <v>5871</v>
      </c>
      <c r="L1131" s="71" t="s">
        <v>5872</v>
      </c>
      <c r="M1131" s="71" t="s">
        <v>5873</v>
      </c>
      <c r="N1131" s="69" t="s">
        <v>57</v>
      </c>
      <c r="O1131" s="64">
        <v>1</v>
      </c>
      <c r="P1131" s="72">
        <v>19302</v>
      </c>
      <c r="Q1131" s="69" t="s">
        <v>5874</v>
      </c>
      <c r="R1131" s="69"/>
      <c r="S1131" s="121" t="s">
        <v>646</v>
      </c>
      <c r="T1131" s="56">
        <v>29</v>
      </c>
      <c r="U1131" s="56">
        <v>3</v>
      </c>
    </row>
    <row r="1132" spans="1:21" ht="14.25" customHeight="1" thickBot="1" x14ac:dyDescent="0.4">
      <c r="A1132" s="58">
        <v>1116</v>
      </c>
      <c r="B1132" s="69" t="s">
        <v>79</v>
      </c>
      <c r="C1132" s="69" t="s">
        <v>80</v>
      </c>
      <c r="D1132" s="70" t="s">
        <v>192</v>
      </c>
      <c r="E1132" s="69" t="s">
        <v>5825</v>
      </c>
      <c r="F1132" s="69" t="s">
        <v>483</v>
      </c>
      <c r="G1132" s="69" t="s">
        <v>54</v>
      </c>
      <c r="H1132" s="70">
        <v>2008</v>
      </c>
      <c r="I1132" s="69"/>
      <c r="J1132" s="69" t="s">
        <v>5875</v>
      </c>
      <c r="K1132" s="71" t="s">
        <v>5876</v>
      </c>
      <c r="L1132" s="71" t="s">
        <v>5877</v>
      </c>
      <c r="M1132" s="71" t="s">
        <v>5878</v>
      </c>
      <c r="N1132" s="69" t="s">
        <v>57</v>
      </c>
      <c r="O1132" s="64">
        <v>1</v>
      </c>
      <c r="P1132" s="72">
        <v>19302</v>
      </c>
      <c r="Q1132" s="69" t="s">
        <v>5879</v>
      </c>
      <c r="R1132" s="69"/>
      <c r="S1132" s="121" t="s">
        <v>646</v>
      </c>
      <c r="T1132" s="56">
        <v>29</v>
      </c>
      <c r="U1132" s="56">
        <v>3</v>
      </c>
    </row>
    <row r="1133" spans="1:21" ht="14.25" customHeight="1" x14ac:dyDescent="0.35">
      <c r="A1133" s="47">
        <v>1117</v>
      </c>
      <c r="B1133" s="69" t="s">
        <v>79</v>
      </c>
      <c r="C1133" s="69" t="s">
        <v>80</v>
      </c>
      <c r="D1133" s="70" t="s">
        <v>194</v>
      </c>
      <c r="E1133" s="69" t="s">
        <v>5825</v>
      </c>
      <c r="F1133" s="69" t="s">
        <v>483</v>
      </c>
      <c r="G1133" s="69" t="s">
        <v>54</v>
      </c>
      <c r="H1133" s="70">
        <v>2008</v>
      </c>
      <c r="I1133" s="69"/>
      <c r="J1133" s="69" t="s">
        <v>5880</v>
      </c>
      <c r="K1133" s="71" t="s">
        <v>5881</v>
      </c>
      <c r="L1133" s="71" t="s">
        <v>5882</v>
      </c>
      <c r="M1133" s="71" t="s">
        <v>5883</v>
      </c>
      <c r="N1133" s="69" t="s">
        <v>57</v>
      </c>
      <c r="O1133" s="64">
        <v>1</v>
      </c>
      <c r="P1133" s="72">
        <v>19302</v>
      </c>
      <c r="Q1133" s="69" t="s">
        <v>5884</v>
      </c>
      <c r="R1133" s="69"/>
      <c r="S1133" s="121" t="s">
        <v>646</v>
      </c>
      <c r="T1133" s="56">
        <v>29</v>
      </c>
      <c r="U1133" s="56">
        <v>3</v>
      </c>
    </row>
    <row r="1134" spans="1:21" ht="14.25" customHeight="1" thickBot="1" x14ac:dyDescent="0.4">
      <c r="A1134" s="58">
        <v>1118</v>
      </c>
      <c r="B1134" s="69" t="s">
        <v>79</v>
      </c>
      <c r="C1134" s="69" t="s">
        <v>80</v>
      </c>
      <c r="D1134" s="70" t="s">
        <v>195</v>
      </c>
      <c r="E1134" s="69" t="s">
        <v>5825</v>
      </c>
      <c r="F1134" s="69" t="s">
        <v>483</v>
      </c>
      <c r="G1134" s="69" t="s">
        <v>54</v>
      </c>
      <c r="H1134" s="70">
        <v>2008</v>
      </c>
      <c r="I1134" s="69"/>
      <c r="J1134" s="69" t="s">
        <v>5885</v>
      </c>
      <c r="K1134" s="71" t="s">
        <v>5886</v>
      </c>
      <c r="L1134" s="71" t="s">
        <v>5887</v>
      </c>
      <c r="M1134" s="71" t="s">
        <v>5888</v>
      </c>
      <c r="N1134" s="69" t="s">
        <v>57</v>
      </c>
      <c r="O1134" s="64">
        <v>1</v>
      </c>
      <c r="P1134" s="72">
        <v>19302</v>
      </c>
      <c r="Q1134" s="69" t="s">
        <v>5889</v>
      </c>
      <c r="R1134" s="69"/>
      <c r="S1134" s="121" t="s">
        <v>646</v>
      </c>
      <c r="T1134" s="56">
        <v>29</v>
      </c>
      <c r="U1134" s="56">
        <v>3</v>
      </c>
    </row>
    <row r="1135" spans="1:21" ht="14.25" customHeight="1" x14ac:dyDescent="0.35">
      <c r="A1135" s="47">
        <v>1119</v>
      </c>
      <c r="B1135" s="69" t="s">
        <v>79</v>
      </c>
      <c r="C1135" s="69" t="s">
        <v>80</v>
      </c>
      <c r="D1135" s="70" t="s">
        <v>199</v>
      </c>
      <c r="E1135" s="69" t="s">
        <v>5825</v>
      </c>
      <c r="F1135" s="69" t="s">
        <v>483</v>
      </c>
      <c r="G1135" s="69" t="s">
        <v>54</v>
      </c>
      <c r="H1135" s="70">
        <v>2008</v>
      </c>
      <c r="I1135" s="69"/>
      <c r="J1135" s="69" t="s">
        <v>5890</v>
      </c>
      <c r="K1135" s="71" t="s">
        <v>5891</v>
      </c>
      <c r="L1135" s="71" t="s">
        <v>5892</v>
      </c>
      <c r="M1135" s="71" t="s">
        <v>5893</v>
      </c>
      <c r="N1135" s="69" t="s">
        <v>57</v>
      </c>
      <c r="O1135" s="64">
        <v>1</v>
      </c>
      <c r="P1135" s="72">
        <v>19302</v>
      </c>
      <c r="Q1135" s="69" t="s">
        <v>5894</v>
      </c>
      <c r="R1135" s="69"/>
      <c r="S1135" s="121" t="s">
        <v>646</v>
      </c>
      <c r="T1135" s="56">
        <v>29</v>
      </c>
      <c r="U1135" s="56">
        <v>3</v>
      </c>
    </row>
    <row r="1136" spans="1:21" ht="14.25" customHeight="1" thickBot="1" x14ac:dyDescent="0.4">
      <c r="A1136" s="58">
        <v>1120</v>
      </c>
      <c r="B1136" s="69" t="s">
        <v>79</v>
      </c>
      <c r="C1136" s="69" t="s">
        <v>80</v>
      </c>
      <c r="D1136" s="70" t="s">
        <v>200</v>
      </c>
      <c r="E1136" s="69" t="s">
        <v>5825</v>
      </c>
      <c r="F1136" s="69" t="s">
        <v>483</v>
      </c>
      <c r="G1136" s="69" t="s">
        <v>54</v>
      </c>
      <c r="H1136" s="70">
        <v>2008</v>
      </c>
      <c r="I1136" s="69"/>
      <c r="J1136" s="69" t="s">
        <v>5895</v>
      </c>
      <c r="K1136" s="71" t="s">
        <v>5896</v>
      </c>
      <c r="L1136" s="71" t="s">
        <v>5897</v>
      </c>
      <c r="M1136" s="71" t="s">
        <v>5898</v>
      </c>
      <c r="N1136" s="69" t="s">
        <v>57</v>
      </c>
      <c r="O1136" s="64">
        <v>1</v>
      </c>
      <c r="P1136" s="72">
        <v>19302</v>
      </c>
      <c r="Q1136" s="69" t="s">
        <v>5899</v>
      </c>
      <c r="R1136" s="69"/>
      <c r="S1136" s="121" t="s">
        <v>646</v>
      </c>
      <c r="T1136" s="56">
        <v>29</v>
      </c>
      <c r="U1136" s="56">
        <v>3</v>
      </c>
    </row>
    <row r="1137" spans="1:21" ht="14.25" customHeight="1" x14ac:dyDescent="0.35">
      <c r="A1137" s="47">
        <v>1121</v>
      </c>
      <c r="B1137" s="69" t="s">
        <v>79</v>
      </c>
      <c r="C1137" s="69" t="s">
        <v>80</v>
      </c>
      <c r="D1137" s="70" t="s">
        <v>209</v>
      </c>
      <c r="E1137" s="69" t="s">
        <v>5825</v>
      </c>
      <c r="F1137" s="69" t="s">
        <v>483</v>
      </c>
      <c r="G1137" s="69" t="s">
        <v>54</v>
      </c>
      <c r="H1137" s="70">
        <v>2008</v>
      </c>
      <c r="I1137" s="69"/>
      <c r="J1137" s="69" t="s">
        <v>5900</v>
      </c>
      <c r="K1137" s="71" t="s">
        <v>5901</v>
      </c>
      <c r="L1137" s="71" t="s">
        <v>5902</v>
      </c>
      <c r="M1137" s="71" t="s">
        <v>5903</v>
      </c>
      <c r="N1137" s="69" t="s">
        <v>57</v>
      </c>
      <c r="O1137" s="64">
        <v>1</v>
      </c>
      <c r="P1137" s="72">
        <v>19302</v>
      </c>
      <c r="Q1137" s="69" t="s">
        <v>5904</v>
      </c>
      <c r="R1137" s="69"/>
      <c r="S1137" s="121" t="s">
        <v>646</v>
      </c>
      <c r="T1137" s="56">
        <v>29</v>
      </c>
      <c r="U1137" s="56">
        <v>3</v>
      </c>
    </row>
    <row r="1138" spans="1:21" ht="14.25" customHeight="1" thickBot="1" x14ac:dyDescent="0.4">
      <c r="A1138" s="58">
        <v>1122</v>
      </c>
      <c r="B1138" s="69" t="s">
        <v>79</v>
      </c>
      <c r="C1138" s="69" t="s">
        <v>80</v>
      </c>
      <c r="D1138" s="70" t="s">
        <v>215</v>
      </c>
      <c r="E1138" s="69" t="s">
        <v>5825</v>
      </c>
      <c r="F1138" s="69" t="s">
        <v>483</v>
      </c>
      <c r="G1138" s="69" t="s">
        <v>54</v>
      </c>
      <c r="H1138" s="70">
        <v>2008</v>
      </c>
      <c r="I1138" s="69"/>
      <c r="J1138" s="69" t="s">
        <v>5905</v>
      </c>
      <c r="K1138" s="71" t="s">
        <v>5906</v>
      </c>
      <c r="L1138" s="71" t="s">
        <v>5907</v>
      </c>
      <c r="M1138" s="71" t="s">
        <v>5908</v>
      </c>
      <c r="N1138" s="69" t="s">
        <v>57</v>
      </c>
      <c r="O1138" s="64">
        <v>1</v>
      </c>
      <c r="P1138" s="72">
        <v>19302</v>
      </c>
      <c r="Q1138" s="69" t="s">
        <v>5909</v>
      </c>
      <c r="R1138" s="69"/>
      <c r="S1138" s="121" t="s">
        <v>646</v>
      </c>
      <c r="T1138" s="56">
        <v>29</v>
      </c>
      <c r="U1138" s="56">
        <v>3</v>
      </c>
    </row>
    <row r="1139" spans="1:21" ht="14.25" customHeight="1" x14ac:dyDescent="0.35">
      <c r="A1139" s="47">
        <v>1123</v>
      </c>
      <c r="B1139" s="69" t="s">
        <v>79</v>
      </c>
      <c r="C1139" s="69" t="s">
        <v>80</v>
      </c>
      <c r="D1139" s="70" t="s">
        <v>223</v>
      </c>
      <c r="E1139" s="69" t="s">
        <v>5825</v>
      </c>
      <c r="F1139" s="69" t="s">
        <v>483</v>
      </c>
      <c r="G1139" s="69" t="s">
        <v>54</v>
      </c>
      <c r="H1139" s="70">
        <v>2008</v>
      </c>
      <c r="I1139" s="69"/>
      <c r="J1139" s="69" t="s">
        <v>5910</v>
      </c>
      <c r="K1139" s="71" t="s">
        <v>5911</v>
      </c>
      <c r="L1139" s="71" t="s">
        <v>5912</v>
      </c>
      <c r="M1139" s="71" t="s">
        <v>5913</v>
      </c>
      <c r="N1139" s="69" t="s">
        <v>57</v>
      </c>
      <c r="O1139" s="64">
        <v>1</v>
      </c>
      <c r="P1139" s="72">
        <v>19302</v>
      </c>
      <c r="Q1139" s="69" t="s">
        <v>5914</v>
      </c>
      <c r="R1139" s="69"/>
      <c r="S1139" s="121" t="s">
        <v>646</v>
      </c>
      <c r="T1139" s="56">
        <v>29</v>
      </c>
      <c r="U1139" s="56">
        <v>3</v>
      </c>
    </row>
    <row r="1140" spans="1:21" ht="14.25" customHeight="1" thickBot="1" x14ac:dyDescent="0.4">
      <c r="A1140" s="58">
        <v>1124</v>
      </c>
      <c r="B1140" s="69" t="s">
        <v>79</v>
      </c>
      <c r="C1140" s="69" t="s">
        <v>80</v>
      </c>
      <c r="D1140" s="70" t="s">
        <v>253</v>
      </c>
      <c r="E1140" s="69" t="s">
        <v>2574</v>
      </c>
      <c r="F1140" s="69" t="s">
        <v>88</v>
      </c>
      <c r="G1140" s="69" t="s">
        <v>140</v>
      </c>
      <c r="H1140" s="70">
        <v>2015</v>
      </c>
      <c r="I1140" s="69"/>
      <c r="J1140" s="69" t="s">
        <v>5915</v>
      </c>
      <c r="K1140" s="71" t="s">
        <v>5916</v>
      </c>
      <c r="L1140" s="71" t="s">
        <v>5917</v>
      </c>
      <c r="M1140" s="71" t="s">
        <v>5918</v>
      </c>
      <c r="N1140" s="69" t="s">
        <v>57</v>
      </c>
      <c r="O1140" s="64">
        <v>1</v>
      </c>
      <c r="P1140" s="72">
        <v>16898</v>
      </c>
      <c r="Q1140" s="69" t="s">
        <v>7908</v>
      </c>
      <c r="R1140" s="69"/>
      <c r="S1140" s="121" t="s">
        <v>646</v>
      </c>
      <c r="T1140" s="56">
        <v>29</v>
      </c>
      <c r="U1140" s="56">
        <v>3</v>
      </c>
    </row>
    <row r="1141" spans="1:21" ht="14.25" customHeight="1" x14ac:dyDescent="0.35">
      <c r="A1141" s="47">
        <v>1125</v>
      </c>
      <c r="B1141" s="69" t="s">
        <v>79</v>
      </c>
      <c r="C1141" s="69" t="s">
        <v>80</v>
      </c>
      <c r="D1141" s="70" t="s">
        <v>259</v>
      </c>
      <c r="E1141" s="69" t="s">
        <v>2574</v>
      </c>
      <c r="F1141" s="69" t="s">
        <v>88</v>
      </c>
      <c r="G1141" s="69" t="s">
        <v>140</v>
      </c>
      <c r="H1141" s="70">
        <v>2015</v>
      </c>
      <c r="I1141" s="69"/>
      <c r="J1141" s="69" t="s">
        <v>5919</v>
      </c>
      <c r="K1141" s="71" t="s">
        <v>5920</v>
      </c>
      <c r="L1141" s="71" t="s">
        <v>5921</v>
      </c>
      <c r="M1141" s="71" t="s">
        <v>5922</v>
      </c>
      <c r="N1141" s="69" t="s">
        <v>57</v>
      </c>
      <c r="O1141" s="64">
        <v>1</v>
      </c>
      <c r="P1141" s="72">
        <v>16898</v>
      </c>
      <c r="Q1141" s="69" t="s">
        <v>5923</v>
      </c>
      <c r="R1141" s="69"/>
      <c r="S1141" s="121" t="s">
        <v>646</v>
      </c>
      <c r="T1141" s="56">
        <v>29</v>
      </c>
      <c r="U1141" s="56">
        <v>3</v>
      </c>
    </row>
    <row r="1142" spans="1:21" ht="14.25" customHeight="1" thickBot="1" x14ac:dyDescent="0.4">
      <c r="A1142" s="58">
        <v>1126</v>
      </c>
      <c r="B1142" s="69" t="s">
        <v>79</v>
      </c>
      <c r="C1142" s="69" t="s">
        <v>80</v>
      </c>
      <c r="D1142" s="70" t="s">
        <v>264</v>
      </c>
      <c r="E1142" s="69" t="s">
        <v>4035</v>
      </c>
      <c r="F1142" s="69" t="s">
        <v>4036</v>
      </c>
      <c r="G1142" s="69" t="s">
        <v>140</v>
      </c>
      <c r="H1142" s="70">
        <v>2015</v>
      </c>
      <c r="I1142" s="69"/>
      <c r="J1142" s="69" t="s">
        <v>5924</v>
      </c>
      <c r="K1142" s="71" t="s">
        <v>5925</v>
      </c>
      <c r="L1142" s="71" t="s">
        <v>5926</v>
      </c>
      <c r="M1142" s="71" t="s">
        <v>5927</v>
      </c>
      <c r="N1142" s="69" t="s">
        <v>57</v>
      </c>
      <c r="O1142" s="64">
        <v>1</v>
      </c>
      <c r="P1142" s="72">
        <v>18976</v>
      </c>
      <c r="Q1142" s="69" t="s">
        <v>7909</v>
      </c>
      <c r="R1142" s="69"/>
      <c r="S1142" s="121" t="s">
        <v>646</v>
      </c>
      <c r="T1142" s="56">
        <v>29</v>
      </c>
      <c r="U1142" s="56">
        <v>3</v>
      </c>
    </row>
    <row r="1143" spans="1:21" ht="14.25" customHeight="1" x14ac:dyDescent="0.35">
      <c r="A1143" s="47">
        <v>1127</v>
      </c>
      <c r="B1143" s="69" t="s">
        <v>79</v>
      </c>
      <c r="C1143" s="69" t="s">
        <v>80</v>
      </c>
      <c r="D1143" s="70" t="s">
        <v>269</v>
      </c>
      <c r="E1143" s="69" t="s">
        <v>3777</v>
      </c>
      <c r="F1143" s="69" t="s">
        <v>88</v>
      </c>
      <c r="G1143" s="69" t="s">
        <v>140</v>
      </c>
      <c r="H1143" s="70">
        <v>2018</v>
      </c>
      <c r="I1143" s="69" t="s">
        <v>63</v>
      </c>
      <c r="J1143" s="69" t="s">
        <v>5928</v>
      </c>
      <c r="K1143" s="71" t="s">
        <v>5929</v>
      </c>
      <c r="L1143" s="71" t="s">
        <v>5930</v>
      </c>
      <c r="M1143" s="71" t="s">
        <v>5931</v>
      </c>
      <c r="N1143" s="69" t="s">
        <v>57</v>
      </c>
      <c r="O1143" s="64">
        <v>1</v>
      </c>
      <c r="P1143" s="72">
        <v>19471.2</v>
      </c>
      <c r="Q1143" s="69" t="s">
        <v>168</v>
      </c>
      <c r="R1143" s="69"/>
      <c r="S1143" s="121" t="s">
        <v>646</v>
      </c>
      <c r="T1143" s="56">
        <v>29</v>
      </c>
      <c r="U1143" s="56">
        <v>3</v>
      </c>
    </row>
    <row r="1144" spans="1:21" ht="14.25" customHeight="1" thickBot="1" x14ac:dyDescent="0.4">
      <c r="A1144" s="58">
        <v>1128</v>
      </c>
      <c r="B1144" s="69" t="s">
        <v>79</v>
      </c>
      <c r="C1144" s="69" t="s">
        <v>80</v>
      </c>
      <c r="D1144" s="70" t="s">
        <v>274</v>
      </c>
      <c r="E1144" s="69" t="s">
        <v>3777</v>
      </c>
      <c r="F1144" s="69" t="s">
        <v>88</v>
      </c>
      <c r="G1144" s="69" t="s">
        <v>140</v>
      </c>
      <c r="H1144" s="70">
        <v>2018</v>
      </c>
      <c r="I1144" s="69" t="s">
        <v>63</v>
      </c>
      <c r="J1144" s="69" t="s">
        <v>5932</v>
      </c>
      <c r="K1144" s="71" t="s">
        <v>5933</v>
      </c>
      <c r="L1144" s="71" t="s">
        <v>5934</v>
      </c>
      <c r="M1144" s="71" t="s">
        <v>5935</v>
      </c>
      <c r="N1144" s="69" t="s">
        <v>57</v>
      </c>
      <c r="O1144" s="64">
        <v>1</v>
      </c>
      <c r="P1144" s="72">
        <v>19471.2</v>
      </c>
      <c r="Q1144" s="69" t="s">
        <v>168</v>
      </c>
      <c r="R1144" s="69"/>
      <c r="S1144" s="121" t="s">
        <v>646</v>
      </c>
      <c r="T1144" s="56">
        <v>29</v>
      </c>
      <c r="U1144" s="56">
        <v>3</v>
      </c>
    </row>
    <row r="1145" spans="1:21" ht="14.25" customHeight="1" x14ac:dyDescent="0.35">
      <c r="A1145" s="47">
        <v>1129</v>
      </c>
      <c r="B1145" s="69" t="s">
        <v>79</v>
      </c>
      <c r="C1145" s="69" t="s">
        <v>80</v>
      </c>
      <c r="D1145" s="70" t="s">
        <v>280</v>
      </c>
      <c r="E1145" s="69" t="s">
        <v>3777</v>
      </c>
      <c r="F1145" s="69" t="s">
        <v>88</v>
      </c>
      <c r="G1145" s="69" t="s">
        <v>140</v>
      </c>
      <c r="H1145" s="70">
        <v>2018</v>
      </c>
      <c r="I1145" s="69" t="s">
        <v>63</v>
      </c>
      <c r="J1145" s="69" t="s">
        <v>5936</v>
      </c>
      <c r="K1145" s="71" t="s">
        <v>5937</v>
      </c>
      <c r="L1145" s="71" t="s">
        <v>5938</v>
      </c>
      <c r="M1145" s="71" t="s">
        <v>63</v>
      </c>
      <c r="N1145" s="69" t="s">
        <v>57</v>
      </c>
      <c r="O1145" s="64">
        <v>1</v>
      </c>
      <c r="P1145" s="72">
        <v>19471.2</v>
      </c>
      <c r="Q1145" s="69" t="s">
        <v>168</v>
      </c>
      <c r="R1145" s="69"/>
      <c r="S1145" s="121" t="s">
        <v>646</v>
      </c>
      <c r="T1145" s="56">
        <v>29</v>
      </c>
      <c r="U1145" s="56">
        <v>3</v>
      </c>
    </row>
    <row r="1146" spans="1:21" ht="14.25" customHeight="1" thickBot="1" x14ac:dyDescent="0.4">
      <c r="A1146" s="58">
        <v>1130</v>
      </c>
      <c r="B1146" s="69" t="s">
        <v>79</v>
      </c>
      <c r="C1146" s="69" t="s">
        <v>80</v>
      </c>
      <c r="D1146" s="70" t="s">
        <v>286</v>
      </c>
      <c r="E1146" s="69" t="s">
        <v>3777</v>
      </c>
      <c r="F1146" s="69" t="s">
        <v>88</v>
      </c>
      <c r="G1146" s="69" t="s">
        <v>140</v>
      </c>
      <c r="H1146" s="70">
        <v>2018</v>
      </c>
      <c r="I1146" s="69" t="s">
        <v>63</v>
      </c>
      <c r="J1146" s="69" t="s">
        <v>5939</v>
      </c>
      <c r="K1146" s="71" t="s">
        <v>5940</v>
      </c>
      <c r="L1146" s="71" t="s">
        <v>5941</v>
      </c>
      <c r="M1146" s="71" t="s">
        <v>63</v>
      </c>
      <c r="N1146" s="69" t="s">
        <v>57</v>
      </c>
      <c r="O1146" s="64">
        <v>1</v>
      </c>
      <c r="P1146" s="72">
        <v>19471.2</v>
      </c>
      <c r="Q1146" s="69" t="s">
        <v>168</v>
      </c>
      <c r="R1146" s="69"/>
      <c r="S1146" s="121" t="s">
        <v>646</v>
      </c>
      <c r="T1146" s="56">
        <v>29</v>
      </c>
      <c r="U1146" s="56">
        <v>3</v>
      </c>
    </row>
    <row r="1147" spans="1:21" ht="14.25" customHeight="1" x14ac:dyDescent="0.35">
      <c r="A1147" s="47">
        <v>1131</v>
      </c>
      <c r="B1147" s="69" t="s">
        <v>79</v>
      </c>
      <c r="C1147" s="69" t="s">
        <v>80</v>
      </c>
      <c r="D1147" s="70" t="s">
        <v>291</v>
      </c>
      <c r="E1147" s="69" t="s">
        <v>4652</v>
      </c>
      <c r="F1147" s="69" t="s">
        <v>148</v>
      </c>
      <c r="G1147" s="69" t="s">
        <v>140</v>
      </c>
      <c r="H1147" s="70">
        <v>2018</v>
      </c>
      <c r="I1147" s="69" t="s">
        <v>63</v>
      </c>
      <c r="J1147" s="69" t="s">
        <v>5942</v>
      </c>
      <c r="K1147" s="71" t="s">
        <v>5943</v>
      </c>
      <c r="L1147" s="71" t="s">
        <v>5944</v>
      </c>
      <c r="M1147" s="71" t="s">
        <v>5945</v>
      </c>
      <c r="N1147" s="69" t="s">
        <v>57</v>
      </c>
      <c r="O1147" s="64">
        <v>1</v>
      </c>
      <c r="P1147" s="72">
        <v>22623</v>
      </c>
      <c r="Q1147" s="69" t="s">
        <v>168</v>
      </c>
      <c r="R1147" s="69"/>
      <c r="S1147" s="121" t="s">
        <v>646</v>
      </c>
      <c r="T1147" s="56">
        <v>29</v>
      </c>
      <c r="U1147" s="56">
        <v>3</v>
      </c>
    </row>
    <row r="1148" spans="1:21" ht="14.25" customHeight="1" thickBot="1" x14ac:dyDescent="0.4">
      <c r="A1148" s="58">
        <v>1132</v>
      </c>
      <c r="B1148" s="69" t="s">
        <v>79</v>
      </c>
      <c r="C1148" s="69" t="s">
        <v>80</v>
      </c>
      <c r="D1148" s="70" t="s">
        <v>298</v>
      </c>
      <c r="E1148" s="69" t="s">
        <v>3766</v>
      </c>
      <c r="F1148" s="69" t="s">
        <v>148</v>
      </c>
      <c r="G1148" s="69" t="s">
        <v>140</v>
      </c>
      <c r="H1148" s="70">
        <v>2018</v>
      </c>
      <c r="I1148" s="69" t="s">
        <v>63</v>
      </c>
      <c r="J1148" s="69" t="s">
        <v>5946</v>
      </c>
      <c r="K1148" s="71" t="s">
        <v>5947</v>
      </c>
      <c r="L1148" s="71" t="s">
        <v>5948</v>
      </c>
      <c r="M1148" s="71" t="s">
        <v>5949</v>
      </c>
      <c r="N1148" s="69" t="s">
        <v>57</v>
      </c>
      <c r="O1148" s="64">
        <v>1</v>
      </c>
      <c r="P1148" s="72">
        <v>31708</v>
      </c>
      <c r="Q1148" s="69" t="s">
        <v>168</v>
      </c>
      <c r="R1148" s="69"/>
      <c r="S1148" s="121" t="s">
        <v>646</v>
      </c>
      <c r="T1148" s="56">
        <v>29</v>
      </c>
      <c r="U1148" s="56">
        <v>3</v>
      </c>
    </row>
    <row r="1149" spans="1:21" ht="14.25" customHeight="1" x14ac:dyDescent="0.35">
      <c r="A1149" s="47">
        <v>1133</v>
      </c>
      <c r="B1149" s="69" t="s">
        <v>79</v>
      </c>
      <c r="C1149" s="69" t="s">
        <v>80</v>
      </c>
      <c r="D1149" s="70" t="s">
        <v>319</v>
      </c>
      <c r="E1149" s="69" t="s">
        <v>3303</v>
      </c>
      <c r="F1149" s="69" t="s">
        <v>443</v>
      </c>
      <c r="G1149" s="69" t="s">
        <v>54</v>
      </c>
      <c r="H1149" s="70">
        <v>2013</v>
      </c>
      <c r="I1149" s="69" t="s">
        <v>63</v>
      </c>
      <c r="J1149" s="69" t="s">
        <v>5950</v>
      </c>
      <c r="K1149" s="71" t="s">
        <v>5951</v>
      </c>
      <c r="L1149" s="71" t="s">
        <v>5952</v>
      </c>
      <c r="M1149" s="71" t="s">
        <v>5953</v>
      </c>
      <c r="N1149" s="69" t="s">
        <v>57</v>
      </c>
      <c r="O1149" s="64">
        <v>1</v>
      </c>
      <c r="P1149" s="72">
        <v>13055.5</v>
      </c>
      <c r="Q1149" s="69" t="s">
        <v>5954</v>
      </c>
      <c r="R1149" s="69"/>
      <c r="S1149" s="121" t="s">
        <v>646</v>
      </c>
      <c r="T1149" s="56">
        <v>29</v>
      </c>
      <c r="U1149" s="56">
        <v>3</v>
      </c>
    </row>
    <row r="1150" spans="1:21" ht="14.25" customHeight="1" thickBot="1" x14ac:dyDescent="0.4">
      <c r="A1150" s="58">
        <v>1134</v>
      </c>
      <c r="B1150" s="69" t="s">
        <v>79</v>
      </c>
      <c r="C1150" s="69" t="s">
        <v>80</v>
      </c>
      <c r="D1150" s="70" t="s">
        <v>325</v>
      </c>
      <c r="E1150" s="69" t="s">
        <v>5494</v>
      </c>
      <c r="F1150" s="69" t="s">
        <v>5955</v>
      </c>
      <c r="G1150" s="69" t="s">
        <v>140</v>
      </c>
      <c r="H1150" s="70">
        <v>2014</v>
      </c>
      <c r="I1150" s="69"/>
      <c r="J1150" s="69" t="s">
        <v>5956</v>
      </c>
      <c r="K1150" s="71" t="s">
        <v>5957</v>
      </c>
      <c r="L1150" s="71" t="s">
        <v>5958</v>
      </c>
      <c r="M1150" s="71" t="s">
        <v>5959</v>
      </c>
      <c r="N1150" s="69" t="s">
        <v>57</v>
      </c>
      <c r="O1150" s="64">
        <v>1</v>
      </c>
      <c r="P1150" s="72">
        <v>16488</v>
      </c>
      <c r="Q1150" s="69" t="s">
        <v>5960</v>
      </c>
      <c r="R1150" s="69"/>
      <c r="S1150" s="121" t="s">
        <v>646</v>
      </c>
      <c r="T1150" s="56">
        <v>29</v>
      </c>
      <c r="U1150" s="56">
        <v>3</v>
      </c>
    </row>
    <row r="1151" spans="1:21" ht="14.25" customHeight="1" x14ac:dyDescent="0.35">
      <c r="A1151" s="47">
        <v>1135</v>
      </c>
      <c r="B1151" s="69" t="s">
        <v>79</v>
      </c>
      <c r="C1151" s="69" t="s">
        <v>80</v>
      </c>
      <c r="D1151" s="70" t="s">
        <v>332</v>
      </c>
      <c r="E1151" s="69" t="s">
        <v>2806</v>
      </c>
      <c r="F1151" s="69" t="s">
        <v>2807</v>
      </c>
      <c r="G1151" s="69" t="s">
        <v>140</v>
      </c>
      <c r="H1151" s="70">
        <v>2014</v>
      </c>
      <c r="I1151" s="69"/>
      <c r="J1151" s="69" t="s">
        <v>5961</v>
      </c>
      <c r="K1151" s="71" t="s">
        <v>5962</v>
      </c>
      <c r="L1151" s="71" t="s">
        <v>5963</v>
      </c>
      <c r="M1151" s="71" t="s">
        <v>5964</v>
      </c>
      <c r="N1151" s="69" t="s">
        <v>57</v>
      </c>
      <c r="O1151" s="64">
        <v>1</v>
      </c>
      <c r="P1151" s="72">
        <v>13816</v>
      </c>
      <c r="Q1151" s="69" t="s">
        <v>5965</v>
      </c>
      <c r="R1151" s="69"/>
      <c r="S1151" s="121" t="s">
        <v>646</v>
      </c>
      <c r="T1151" s="56">
        <v>29</v>
      </c>
      <c r="U1151" s="56">
        <v>3</v>
      </c>
    </row>
    <row r="1152" spans="1:21" ht="14.25" customHeight="1" thickBot="1" x14ac:dyDescent="0.4">
      <c r="A1152" s="58">
        <v>1136</v>
      </c>
      <c r="B1152" s="69" t="s">
        <v>79</v>
      </c>
      <c r="C1152" s="69" t="s">
        <v>80</v>
      </c>
      <c r="D1152" s="70" t="s">
        <v>338</v>
      </c>
      <c r="E1152" s="69" t="s">
        <v>3308</v>
      </c>
      <c r="F1152" s="69" t="s">
        <v>163</v>
      </c>
      <c r="G1152" s="69" t="s">
        <v>140</v>
      </c>
      <c r="H1152" s="70">
        <v>2014</v>
      </c>
      <c r="I1152" s="69"/>
      <c r="J1152" s="69" t="s">
        <v>5966</v>
      </c>
      <c r="K1152" s="71" t="s">
        <v>5967</v>
      </c>
      <c r="L1152" s="71" t="s">
        <v>5968</v>
      </c>
      <c r="M1152" s="71" t="s">
        <v>5969</v>
      </c>
      <c r="N1152" s="69" t="s">
        <v>57</v>
      </c>
      <c r="O1152" s="64">
        <v>1</v>
      </c>
      <c r="P1152" s="72">
        <v>14403.12</v>
      </c>
      <c r="Q1152" s="69" t="s">
        <v>5970</v>
      </c>
      <c r="R1152" s="69"/>
      <c r="S1152" s="121" t="s">
        <v>646</v>
      </c>
      <c r="T1152" s="56">
        <v>29</v>
      </c>
      <c r="U1152" s="56">
        <v>3</v>
      </c>
    </row>
    <row r="1153" spans="1:21" ht="14.25" customHeight="1" x14ac:dyDescent="0.35">
      <c r="A1153" s="47">
        <v>1137</v>
      </c>
      <c r="B1153" s="69" t="s">
        <v>79</v>
      </c>
      <c r="C1153" s="69" t="s">
        <v>80</v>
      </c>
      <c r="D1153" s="70" t="s">
        <v>343</v>
      </c>
      <c r="E1153" s="69" t="s">
        <v>3303</v>
      </c>
      <c r="F1153" s="69" t="s">
        <v>443</v>
      </c>
      <c r="G1153" s="69" t="s">
        <v>54</v>
      </c>
      <c r="H1153" s="70">
        <v>2013</v>
      </c>
      <c r="I1153" s="69" t="s">
        <v>63</v>
      </c>
      <c r="J1153" s="69" t="s">
        <v>5971</v>
      </c>
      <c r="K1153" s="71" t="s">
        <v>5972</v>
      </c>
      <c r="L1153" s="71" t="s">
        <v>5973</v>
      </c>
      <c r="M1153" s="71" t="s">
        <v>5974</v>
      </c>
      <c r="N1153" s="69" t="s">
        <v>57</v>
      </c>
      <c r="O1153" s="64">
        <v>1</v>
      </c>
      <c r="P1153" s="72">
        <v>13055.5</v>
      </c>
      <c r="Q1153" s="69" t="s">
        <v>5975</v>
      </c>
      <c r="R1153" s="69"/>
      <c r="S1153" s="121" t="s">
        <v>646</v>
      </c>
      <c r="T1153" s="56">
        <v>29</v>
      </c>
      <c r="U1153" s="56">
        <v>3</v>
      </c>
    </row>
    <row r="1154" spans="1:21" ht="14.25" customHeight="1" thickBot="1" x14ac:dyDescent="0.4">
      <c r="A1154" s="58">
        <v>1138</v>
      </c>
      <c r="B1154" s="69" t="s">
        <v>79</v>
      </c>
      <c r="C1154" s="69" t="s">
        <v>80</v>
      </c>
      <c r="D1154" s="70" t="s">
        <v>348</v>
      </c>
      <c r="E1154" s="69" t="s">
        <v>3303</v>
      </c>
      <c r="F1154" s="69" t="s">
        <v>443</v>
      </c>
      <c r="G1154" s="69" t="s">
        <v>54</v>
      </c>
      <c r="H1154" s="70">
        <v>2013</v>
      </c>
      <c r="I1154" s="69" t="s">
        <v>63</v>
      </c>
      <c r="J1154" s="69" t="s">
        <v>5976</v>
      </c>
      <c r="K1154" s="71" t="s">
        <v>5977</v>
      </c>
      <c r="L1154" s="71" t="s">
        <v>5978</v>
      </c>
      <c r="M1154" s="71" t="s">
        <v>5979</v>
      </c>
      <c r="N1154" s="69" t="s">
        <v>57</v>
      </c>
      <c r="O1154" s="64">
        <v>1</v>
      </c>
      <c r="P1154" s="72">
        <v>13055.5</v>
      </c>
      <c r="Q1154" s="69" t="s">
        <v>5980</v>
      </c>
      <c r="R1154" s="69"/>
      <c r="S1154" s="121" t="s">
        <v>646</v>
      </c>
      <c r="T1154" s="56">
        <v>29</v>
      </c>
      <c r="U1154" s="56">
        <v>3</v>
      </c>
    </row>
    <row r="1155" spans="1:21" ht="14.25" customHeight="1" x14ac:dyDescent="0.35">
      <c r="A1155" s="47">
        <v>1139</v>
      </c>
      <c r="B1155" s="69" t="s">
        <v>79</v>
      </c>
      <c r="C1155" s="69" t="s">
        <v>80</v>
      </c>
      <c r="D1155" s="70" t="s">
        <v>353</v>
      </c>
      <c r="E1155" s="69" t="s">
        <v>1888</v>
      </c>
      <c r="F1155" s="69" t="s">
        <v>443</v>
      </c>
      <c r="G1155" s="69" t="s">
        <v>54</v>
      </c>
      <c r="H1155" s="70">
        <v>2013</v>
      </c>
      <c r="I1155" s="69" t="s">
        <v>63</v>
      </c>
      <c r="J1155" s="69" t="s">
        <v>5981</v>
      </c>
      <c r="K1155" s="71" t="s">
        <v>5982</v>
      </c>
      <c r="L1155" s="71" t="s">
        <v>5983</v>
      </c>
      <c r="M1155" s="71" t="s">
        <v>5984</v>
      </c>
      <c r="N1155" s="69" t="s">
        <v>57</v>
      </c>
      <c r="O1155" s="64">
        <v>1</v>
      </c>
      <c r="P1155" s="72">
        <v>14108.5</v>
      </c>
      <c r="Q1155" s="69" t="s">
        <v>7910</v>
      </c>
      <c r="R1155" s="69"/>
      <c r="S1155" s="121" t="s">
        <v>646</v>
      </c>
      <c r="T1155" s="56">
        <v>29</v>
      </c>
      <c r="U1155" s="56">
        <v>3</v>
      </c>
    </row>
    <row r="1156" spans="1:21" ht="14.25" customHeight="1" thickBot="1" x14ac:dyDescent="0.4">
      <c r="A1156" s="58">
        <v>1140</v>
      </c>
      <c r="B1156" s="69" t="s">
        <v>79</v>
      </c>
      <c r="C1156" s="69" t="s">
        <v>80</v>
      </c>
      <c r="D1156" s="70" t="s">
        <v>359</v>
      </c>
      <c r="E1156" s="69" t="s">
        <v>230</v>
      </c>
      <c r="F1156" s="69" t="s">
        <v>231</v>
      </c>
      <c r="G1156" s="69" t="s">
        <v>54</v>
      </c>
      <c r="H1156" s="70">
        <v>2013</v>
      </c>
      <c r="I1156" s="69" t="s">
        <v>63</v>
      </c>
      <c r="J1156" s="69" t="s">
        <v>5985</v>
      </c>
      <c r="K1156" s="71" t="s">
        <v>5986</v>
      </c>
      <c r="L1156" s="71" t="s">
        <v>5987</v>
      </c>
      <c r="M1156" s="71" t="s">
        <v>5988</v>
      </c>
      <c r="N1156" s="69" t="s">
        <v>57</v>
      </c>
      <c r="O1156" s="64">
        <v>1</v>
      </c>
      <c r="P1156" s="72">
        <v>18004.099999999999</v>
      </c>
      <c r="Q1156" s="69" t="s">
        <v>5989</v>
      </c>
      <c r="R1156" s="69"/>
      <c r="S1156" s="121" t="s">
        <v>646</v>
      </c>
      <c r="T1156" s="56">
        <v>29</v>
      </c>
      <c r="U1156" s="56">
        <v>3</v>
      </c>
    </row>
    <row r="1157" spans="1:21" ht="14.25" customHeight="1" x14ac:dyDescent="0.35">
      <c r="A1157" s="47">
        <v>1141</v>
      </c>
      <c r="B1157" s="69" t="s">
        <v>79</v>
      </c>
      <c r="C1157" s="69" t="s">
        <v>80</v>
      </c>
      <c r="D1157" s="70" t="s">
        <v>366</v>
      </c>
      <c r="E1157" s="69" t="s">
        <v>230</v>
      </c>
      <c r="F1157" s="69" t="s">
        <v>231</v>
      </c>
      <c r="G1157" s="69" t="s">
        <v>54</v>
      </c>
      <c r="H1157" s="70">
        <v>2013</v>
      </c>
      <c r="I1157" s="69" t="s">
        <v>63</v>
      </c>
      <c r="J1157" s="69" t="s">
        <v>5990</v>
      </c>
      <c r="K1157" s="71" t="s">
        <v>5991</v>
      </c>
      <c r="L1157" s="71" t="s">
        <v>5992</v>
      </c>
      <c r="M1157" s="71" t="s">
        <v>5993</v>
      </c>
      <c r="N1157" s="69" t="s">
        <v>57</v>
      </c>
      <c r="O1157" s="64">
        <v>1</v>
      </c>
      <c r="P1157" s="72">
        <v>18381.099999999999</v>
      </c>
      <c r="Q1157" s="69" t="s">
        <v>5994</v>
      </c>
      <c r="R1157" s="69"/>
      <c r="S1157" s="121" t="s">
        <v>646</v>
      </c>
      <c r="T1157" s="56">
        <v>29</v>
      </c>
      <c r="U1157" s="56">
        <v>3</v>
      </c>
    </row>
    <row r="1158" spans="1:21" ht="14.25" customHeight="1" thickBot="1" x14ac:dyDescent="0.4">
      <c r="A1158" s="58">
        <v>1142</v>
      </c>
      <c r="B1158" s="69" t="s">
        <v>79</v>
      </c>
      <c r="C1158" s="69" t="s">
        <v>80</v>
      </c>
      <c r="D1158" s="70" t="s">
        <v>371</v>
      </c>
      <c r="E1158" s="69" t="s">
        <v>138</v>
      </c>
      <c r="F1158" s="69" t="s">
        <v>139</v>
      </c>
      <c r="G1158" s="69" t="s">
        <v>140</v>
      </c>
      <c r="H1158" s="70">
        <v>2014</v>
      </c>
      <c r="I1158" s="69"/>
      <c r="J1158" s="69" t="s">
        <v>5995</v>
      </c>
      <c r="K1158" s="71" t="s">
        <v>5996</v>
      </c>
      <c r="L1158" s="71" t="s">
        <v>5997</v>
      </c>
      <c r="M1158" s="71" t="s">
        <v>5998</v>
      </c>
      <c r="N1158" s="69" t="s">
        <v>57</v>
      </c>
      <c r="O1158" s="64">
        <v>1</v>
      </c>
      <c r="P1158" s="72">
        <v>17194</v>
      </c>
      <c r="Q1158" s="69" t="s">
        <v>5999</v>
      </c>
      <c r="R1158" s="69"/>
      <c r="S1158" s="121" t="s">
        <v>646</v>
      </c>
      <c r="T1158" s="56">
        <v>29</v>
      </c>
      <c r="U1158" s="56">
        <v>3</v>
      </c>
    </row>
    <row r="1159" spans="1:21" ht="14.25" customHeight="1" x14ac:dyDescent="0.35">
      <c r="A1159" s="47">
        <v>1143</v>
      </c>
      <c r="B1159" s="69" t="s">
        <v>79</v>
      </c>
      <c r="C1159" s="69" t="s">
        <v>80</v>
      </c>
      <c r="D1159" s="70" t="s">
        <v>376</v>
      </c>
      <c r="E1159" s="69" t="s">
        <v>138</v>
      </c>
      <c r="F1159" s="69" t="s">
        <v>139</v>
      </c>
      <c r="G1159" s="69" t="s">
        <v>140</v>
      </c>
      <c r="H1159" s="70">
        <v>2014</v>
      </c>
      <c r="I1159" s="69"/>
      <c r="J1159" s="69" t="s">
        <v>6000</v>
      </c>
      <c r="K1159" s="71" t="s">
        <v>6001</v>
      </c>
      <c r="L1159" s="71" t="s">
        <v>6002</v>
      </c>
      <c r="M1159" s="71" t="s">
        <v>6003</v>
      </c>
      <c r="N1159" s="69" t="s">
        <v>57</v>
      </c>
      <c r="O1159" s="64">
        <v>1</v>
      </c>
      <c r="P1159" s="72">
        <v>17194</v>
      </c>
      <c r="Q1159" s="69" t="s">
        <v>168</v>
      </c>
      <c r="R1159" s="69"/>
      <c r="S1159" s="121" t="s">
        <v>646</v>
      </c>
      <c r="T1159" s="56">
        <v>29</v>
      </c>
      <c r="U1159" s="56">
        <v>3</v>
      </c>
    </row>
    <row r="1160" spans="1:21" ht="14.25" customHeight="1" thickBot="1" x14ac:dyDescent="0.4">
      <c r="A1160" s="58">
        <v>1144</v>
      </c>
      <c r="B1160" s="69" t="s">
        <v>79</v>
      </c>
      <c r="C1160" s="69" t="s">
        <v>80</v>
      </c>
      <c r="D1160" s="70" t="s">
        <v>382</v>
      </c>
      <c r="E1160" s="69" t="s">
        <v>1377</v>
      </c>
      <c r="F1160" s="69" t="s">
        <v>1378</v>
      </c>
      <c r="G1160" s="69" t="s">
        <v>140</v>
      </c>
      <c r="H1160" s="70">
        <v>2014</v>
      </c>
      <c r="I1160" s="69"/>
      <c r="J1160" s="69" t="s">
        <v>6004</v>
      </c>
      <c r="K1160" s="71" t="s">
        <v>6005</v>
      </c>
      <c r="L1160" s="71" t="s">
        <v>6006</v>
      </c>
      <c r="M1160" s="71" t="s">
        <v>6007</v>
      </c>
      <c r="N1160" s="69" t="s">
        <v>57</v>
      </c>
      <c r="O1160" s="64">
        <v>1</v>
      </c>
      <c r="P1160" s="72">
        <v>19189.532999999999</v>
      </c>
      <c r="Q1160" s="69" t="s">
        <v>5970</v>
      </c>
      <c r="R1160" s="69"/>
      <c r="S1160" s="121" t="s">
        <v>646</v>
      </c>
      <c r="T1160" s="56">
        <v>29</v>
      </c>
      <c r="U1160" s="56">
        <v>3</v>
      </c>
    </row>
    <row r="1161" spans="1:21" ht="14.25" customHeight="1" x14ac:dyDescent="0.35">
      <c r="A1161" s="47">
        <v>1145</v>
      </c>
      <c r="B1161" s="69" t="s">
        <v>79</v>
      </c>
      <c r="C1161" s="69" t="s">
        <v>80</v>
      </c>
      <c r="D1161" s="70" t="s">
        <v>387</v>
      </c>
      <c r="E1161" s="69" t="s">
        <v>6008</v>
      </c>
      <c r="F1161" s="69" t="s">
        <v>4138</v>
      </c>
      <c r="G1161" s="69" t="s">
        <v>140</v>
      </c>
      <c r="H1161" s="70">
        <v>2015</v>
      </c>
      <c r="I1161" s="69"/>
      <c r="J1161" s="69" t="s">
        <v>6009</v>
      </c>
      <c r="K1161" s="71" t="s">
        <v>6010</v>
      </c>
      <c r="L1161" s="71" t="s">
        <v>6011</v>
      </c>
      <c r="M1161" s="71" t="s">
        <v>6012</v>
      </c>
      <c r="N1161" s="69" t="s">
        <v>57</v>
      </c>
      <c r="O1161" s="64">
        <v>1</v>
      </c>
      <c r="P1161" s="72">
        <v>16858</v>
      </c>
      <c r="Q1161" s="69" t="s">
        <v>7911</v>
      </c>
      <c r="R1161" s="69"/>
      <c r="S1161" s="121" t="s">
        <v>646</v>
      </c>
      <c r="T1161" s="56">
        <v>29</v>
      </c>
      <c r="U1161" s="56">
        <v>3</v>
      </c>
    </row>
    <row r="1162" spans="1:21" ht="14.25" customHeight="1" thickBot="1" x14ac:dyDescent="0.4">
      <c r="A1162" s="58">
        <v>1146</v>
      </c>
      <c r="B1162" s="69" t="s">
        <v>79</v>
      </c>
      <c r="C1162" s="69" t="s">
        <v>80</v>
      </c>
      <c r="D1162" s="70" t="s">
        <v>392</v>
      </c>
      <c r="E1162" s="69" t="s">
        <v>1860</v>
      </c>
      <c r="F1162" s="69" t="s">
        <v>202</v>
      </c>
      <c r="G1162" s="69" t="s">
        <v>54</v>
      </c>
      <c r="H1162" s="70">
        <v>2012</v>
      </c>
      <c r="I1162" s="69"/>
      <c r="J1162" s="69" t="s">
        <v>6013</v>
      </c>
      <c r="K1162" s="71" t="s">
        <v>6014</v>
      </c>
      <c r="L1162" s="71" t="s">
        <v>6015</v>
      </c>
      <c r="M1162" s="71" t="s">
        <v>6016</v>
      </c>
      <c r="N1162" s="69" t="s">
        <v>57</v>
      </c>
      <c r="O1162" s="64">
        <v>1</v>
      </c>
      <c r="P1162" s="72">
        <v>13177.55</v>
      </c>
      <c r="Q1162" s="69" t="s">
        <v>6017</v>
      </c>
      <c r="R1162" s="69"/>
      <c r="S1162" s="121" t="s">
        <v>646</v>
      </c>
      <c r="T1162" s="56">
        <v>29</v>
      </c>
      <c r="U1162" s="56">
        <v>3</v>
      </c>
    </row>
    <row r="1163" spans="1:21" ht="14.25" customHeight="1" x14ac:dyDescent="0.35">
      <c r="A1163" s="47">
        <v>1147</v>
      </c>
      <c r="B1163" s="69" t="s">
        <v>79</v>
      </c>
      <c r="C1163" s="69" t="s">
        <v>80</v>
      </c>
      <c r="D1163" s="70" t="s">
        <v>403</v>
      </c>
      <c r="E1163" s="69" t="s">
        <v>6018</v>
      </c>
      <c r="F1163" s="69" t="s">
        <v>171</v>
      </c>
      <c r="G1163" s="69" t="s">
        <v>54</v>
      </c>
      <c r="H1163" s="70">
        <v>2010</v>
      </c>
      <c r="I1163" s="69"/>
      <c r="J1163" s="69" t="s">
        <v>6019</v>
      </c>
      <c r="K1163" s="71" t="s">
        <v>6020</v>
      </c>
      <c r="L1163" s="71" t="s">
        <v>6021</v>
      </c>
      <c r="M1163" s="71"/>
      <c r="N1163" s="69" t="s">
        <v>57</v>
      </c>
      <c r="O1163" s="64">
        <v>1</v>
      </c>
      <c r="P1163" s="72">
        <v>16025</v>
      </c>
      <c r="Q1163" s="69"/>
      <c r="R1163" s="69"/>
      <c r="S1163" s="121" t="s">
        <v>646</v>
      </c>
      <c r="T1163" s="56">
        <v>29</v>
      </c>
      <c r="U1163" s="56">
        <v>3</v>
      </c>
    </row>
    <row r="1164" spans="1:21" ht="14.25" customHeight="1" thickBot="1" x14ac:dyDescent="0.4">
      <c r="A1164" s="58">
        <v>1148</v>
      </c>
      <c r="B1164" s="69" t="s">
        <v>79</v>
      </c>
      <c r="C1164" s="69" t="s">
        <v>80</v>
      </c>
      <c r="D1164" s="70" t="s">
        <v>408</v>
      </c>
      <c r="E1164" s="69" t="s">
        <v>6022</v>
      </c>
      <c r="F1164" s="69" t="s">
        <v>171</v>
      </c>
      <c r="G1164" s="69" t="s">
        <v>54</v>
      </c>
      <c r="H1164" s="70">
        <v>2010</v>
      </c>
      <c r="I1164" s="69"/>
      <c r="J1164" s="69" t="s">
        <v>6023</v>
      </c>
      <c r="K1164" s="71" t="s">
        <v>6024</v>
      </c>
      <c r="L1164" s="71" t="s">
        <v>6025</v>
      </c>
      <c r="M1164" s="71"/>
      <c r="N1164" s="69" t="s">
        <v>57</v>
      </c>
      <c r="O1164" s="64">
        <v>1</v>
      </c>
      <c r="P1164" s="72">
        <v>16025</v>
      </c>
      <c r="Q1164" s="69"/>
      <c r="R1164" s="69"/>
      <c r="S1164" s="121" t="s">
        <v>646</v>
      </c>
      <c r="T1164" s="56">
        <v>29</v>
      </c>
      <c r="U1164" s="56">
        <v>3</v>
      </c>
    </row>
    <row r="1165" spans="1:21" ht="14.25" customHeight="1" x14ac:dyDescent="0.35">
      <c r="A1165" s="47">
        <v>1149</v>
      </c>
      <c r="B1165" s="69" t="s">
        <v>79</v>
      </c>
      <c r="C1165" s="69" t="s">
        <v>80</v>
      </c>
      <c r="D1165" s="70" t="s">
        <v>413</v>
      </c>
      <c r="E1165" s="69" t="s">
        <v>6022</v>
      </c>
      <c r="F1165" s="69" t="s">
        <v>171</v>
      </c>
      <c r="G1165" s="69" t="s">
        <v>54</v>
      </c>
      <c r="H1165" s="70">
        <v>2010</v>
      </c>
      <c r="I1165" s="69"/>
      <c r="J1165" s="69" t="s">
        <v>6026</v>
      </c>
      <c r="K1165" s="71" t="s">
        <v>6027</v>
      </c>
      <c r="L1165" s="71" t="s">
        <v>6028</v>
      </c>
      <c r="M1165" s="71"/>
      <c r="N1165" s="69" t="s">
        <v>57</v>
      </c>
      <c r="O1165" s="64">
        <v>1</v>
      </c>
      <c r="P1165" s="72">
        <v>16025</v>
      </c>
      <c r="Q1165" s="69"/>
      <c r="R1165" s="69"/>
      <c r="S1165" s="121" t="s">
        <v>646</v>
      </c>
      <c r="T1165" s="56">
        <v>29</v>
      </c>
      <c r="U1165" s="56">
        <v>3</v>
      </c>
    </row>
    <row r="1166" spans="1:21" ht="14.25" customHeight="1" thickBot="1" x14ac:dyDescent="0.4">
      <c r="A1166" s="58">
        <v>1150</v>
      </c>
      <c r="B1166" s="69" t="s">
        <v>79</v>
      </c>
      <c r="C1166" s="69" t="s">
        <v>80</v>
      </c>
      <c r="D1166" s="70" t="s">
        <v>3140</v>
      </c>
      <c r="E1166" s="69" t="s">
        <v>6022</v>
      </c>
      <c r="F1166" s="69" t="s">
        <v>171</v>
      </c>
      <c r="G1166" s="69" t="s">
        <v>54</v>
      </c>
      <c r="H1166" s="70">
        <v>2010</v>
      </c>
      <c r="I1166" s="69"/>
      <c r="J1166" s="69" t="s">
        <v>6029</v>
      </c>
      <c r="K1166" s="71" t="s">
        <v>6030</v>
      </c>
      <c r="L1166" s="71" t="s">
        <v>6031</v>
      </c>
      <c r="M1166" s="71"/>
      <c r="N1166" s="69" t="s">
        <v>57</v>
      </c>
      <c r="O1166" s="64">
        <v>1</v>
      </c>
      <c r="P1166" s="72">
        <v>16025</v>
      </c>
      <c r="Q1166" s="69"/>
      <c r="R1166" s="69"/>
      <c r="S1166" s="121" t="s">
        <v>646</v>
      </c>
      <c r="T1166" s="56">
        <v>29</v>
      </c>
      <c r="U1166" s="56">
        <v>3</v>
      </c>
    </row>
    <row r="1167" spans="1:21" ht="14.25" customHeight="1" x14ac:dyDescent="0.35">
      <c r="A1167" s="47">
        <v>1151</v>
      </c>
      <c r="B1167" s="69" t="s">
        <v>79</v>
      </c>
      <c r="C1167" s="69" t="s">
        <v>80</v>
      </c>
      <c r="D1167" s="70" t="s">
        <v>1450</v>
      </c>
      <c r="E1167" s="69" t="s">
        <v>6022</v>
      </c>
      <c r="F1167" s="69" t="s">
        <v>171</v>
      </c>
      <c r="G1167" s="69" t="s">
        <v>54</v>
      </c>
      <c r="H1167" s="70">
        <v>2010</v>
      </c>
      <c r="I1167" s="69"/>
      <c r="J1167" s="69" t="s">
        <v>6032</v>
      </c>
      <c r="K1167" s="71" t="s">
        <v>6033</v>
      </c>
      <c r="L1167" s="71" t="s">
        <v>6034</v>
      </c>
      <c r="M1167" s="71"/>
      <c r="N1167" s="69" t="s">
        <v>57</v>
      </c>
      <c r="O1167" s="64">
        <v>1</v>
      </c>
      <c r="P1167" s="72">
        <v>16025</v>
      </c>
      <c r="Q1167" s="69"/>
      <c r="R1167" s="69"/>
      <c r="S1167" s="121" t="s">
        <v>646</v>
      </c>
      <c r="T1167" s="56">
        <v>29</v>
      </c>
      <c r="U1167" s="56">
        <v>3</v>
      </c>
    </row>
    <row r="1168" spans="1:21" ht="14.25" customHeight="1" thickBot="1" x14ac:dyDescent="0.4">
      <c r="A1168" s="58">
        <v>1152</v>
      </c>
      <c r="B1168" s="69" t="s">
        <v>79</v>
      </c>
      <c r="C1168" s="69" t="s">
        <v>80</v>
      </c>
      <c r="D1168" s="70" t="s">
        <v>1456</v>
      </c>
      <c r="E1168" s="69" t="s">
        <v>6022</v>
      </c>
      <c r="F1168" s="69" t="s">
        <v>171</v>
      </c>
      <c r="G1168" s="69" t="s">
        <v>54</v>
      </c>
      <c r="H1168" s="70">
        <v>2010</v>
      </c>
      <c r="I1168" s="69"/>
      <c r="J1168" s="69" t="s">
        <v>6035</v>
      </c>
      <c r="K1168" s="71" t="s">
        <v>6036</v>
      </c>
      <c r="L1168" s="71" t="s">
        <v>6037</v>
      </c>
      <c r="M1168" s="71"/>
      <c r="N1168" s="69" t="s">
        <v>57</v>
      </c>
      <c r="O1168" s="64">
        <v>1</v>
      </c>
      <c r="P1168" s="72">
        <v>16025</v>
      </c>
      <c r="Q1168" s="69"/>
      <c r="R1168" s="69"/>
      <c r="S1168" s="121" t="s">
        <v>646</v>
      </c>
      <c r="T1168" s="56">
        <v>29</v>
      </c>
      <c r="U1168" s="56">
        <v>3</v>
      </c>
    </row>
    <row r="1169" spans="1:21" ht="14.25" customHeight="1" x14ac:dyDescent="0.35">
      <c r="A1169" s="47">
        <v>1153</v>
      </c>
      <c r="B1169" s="69" t="s">
        <v>79</v>
      </c>
      <c r="C1169" s="69" t="s">
        <v>80</v>
      </c>
      <c r="D1169" s="70" t="s">
        <v>1462</v>
      </c>
      <c r="E1169" s="69" t="s">
        <v>6022</v>
      </c>
      <c r="F1169" s="69" t="s">
        <v>171</v>
      </c>
      <c r="G1169" s="69" t="s">
        <v>54</v>
      </c>
      <c r="H1169" s="70">
        <v>2010</v>
      </c>
      <c r="I1169" s="69"/>
      <c r="J1169" s="69" t="s">
        <v>6038</v>
      </c>
      <c r="K1169" s="71" t="s">
        <v>6039</v>
      </c>
      <c r="L1169" s="71" t="s">
        <v>6040</v>
      </c>
      <c r="M1169" s="71"/>
      <c r="N1169" s="69" t="s">
        <v>57</v>
      </c>
      <c r="O1169" s="64">
        <v>1</v>
      </c>
      <c r="P1169" s="72">
        <v>16025</v>
      </c>
      <c r="Q1169" s="69"/>
      <c r="R1169" s="69"/>
      <c r="S1169" s="121" t="s">
        <v>646</v>
      </c>
      <c r="T1169" s="56">
        <v>29</v>
      </c>
      <c r="U1169" s="56">
        <v>3</v>
      </c>
    </row>
    <row r="1170" spans="1:21" ht="14.25" customHeight="1" thickBot="1" x14ac:dyDescent="0.4">
      <c r="A1170" s="58">
        <v>1154</v>
      </c>
      <c r="B1170" s="69" t="s">
        <v>79</v>
      </c>
      <c r="C1170" s="69" t="s">
        <v>80</v>
      </c>
      <c r="D1170" s="70" t="s">
        <v>1469</v>
      </c>
      <c r="E1170" s="69" t="s">
        <v>6022</v>
      </c>
      <c r="F1170" s="69" t="s">
        <v>171</v>
      </c>
      <c r="G1170" s="69" t="s">
        <v>54</v>
      </c>
      <c r="H1170" s="70">
        <v>2010</v>
      </c>
      <c r="I1170" s="69"/>
      <c r="J1170" s="69" t="s">
        <v>6041</v>
      </c>
      <c r="K1170" s="71" t="s">
        <v>6042</v>
      </c>
      <c r="L1170" s="71" t="s">
        <v>6043</v>
      </c>
      <c r="M1170" s="71"/>
      <c r="N1170" s="69" t="s">
        <v>57</v>
      </c>
      <c r="O1170" s="64">
        <v>1</v>
      </c>
      <c r="P1170" s="72">
        <v>16025</v>
      </c>
      <c r="Q1170" s="69"/>
      <c r="R1170" s="69"/>
      <c r="S1170" s="121" t="s">
        <v>646</v>
      </c>
      <c r="T1170" s="56">
        <v>29</v>
      </c>
      <c r="U1170" s="56">
        <v>3</v>
      </c>
    </row>
    <row r="1171" spans="1:21" ht="14.25" customHeight="1" x14ac:dyDescent="0.35">
      <c r="A1171" s="47">
        <v>1155</v>
      </c>
      <c r="B1171" s="69" t="s">
        <v>79</v>
      </c>
      <c r="C1171" s="69" t="s">
        <v>80</v>
      </c>
      <c r="D1171" s="70" t="s">
        <v>1475</v>
      </c>
      <c r="E1171" s="69" t="s">
        <v>6022</v>
      </c>
      <c r="F1171" s="69" t="s">
        <v>171</v>
      </c>
      <c r="G1171" s="69" t="s">
        <v>54</v>
      </c>
      <c r="H1171" s="70">
        <v>2010</v>
      </c>
      <c r="I1171" s="69"/>
      <c r="J1171" s="69" t="s">
        <v>6044</v>
      </c>
      <c r="K1171" s="71" t="s">
        <v>6045</v>
      </c>
      <c r="L1171" s="71" t="s">
        <v>6046</v>
      </c>
      <c r="M1171" s="71"/>
      <c r="N1171" s="69" t="s">
        <v>57</v>
      </c>
      <c r="O1171" s="64">
        <v>1</v>
      </c>
      <c r="P1171" s="72">
        <v>16025</v>
      </c>
      <c r="Q1171" s="69"/>
      <c r="R1171" s="69"/>
      <c r="S1171" s="121" t="s">
        <v>646</v>
      </c>
      <c r="T1171" s="56">
        <v>29</v>
      </c>
      <c r="U1171" s="56">
        <v>3</v>
      </c>
    </row>
    <row r="1172" spans="1:21" ht="14.25" customHeight="1" thickBot="1" x14ac:dyDescent="0.4">
      <c r="A1172" s="58">
        <v>1156</v>
      </c>
      <c r="B1172" s="69" t="s">
        <v>79</v>
      </c>
      <c r="C1172" s="69" t="s">
        <v>80</v>
      </c>
      <c r="D1172" s="70" t="s">
        <v>1480</v>
      </c>
      <c r="E1172" s="69" t="s">
        <v>6022</v>
      </c>
      <c r="F1172" s="69" t="s">
        <v>171</v>
      </c>
      <c r="G1172" s="69" t="s">
        <v>54</v>
      </c>
      <c r="H1172" s="70">
        <v>2010</v>
      </c>
      <c r="I1172" s="69"/>
      <c r="J1172" s="69" t="s">
        <v>6047</v>
      </c>
      <c r="K1172" s="71" t="s">
        <v>6048</v>
      </c>
      <c r="L1172" s="71" t="s">
        <v>6049</v>
      </c>
      <c r="M1172" s="71"/>
      <c r="N1172" s="69" t="s">
        <v>57</v>
      </c>
      <c r="O1172" s="64">
        <v>1</v>
      </c>
      <c r="P1172" s="72">
        <v>16025</v>
      </c>
      <c r="Q1172" s="69"/>
      <c r="R1172" s="69"/>
      <c r="S1172" s="121" t="s">
        <v>646</v>
      </c>
      <c r="T1172" s="56">
        <v>29</v>
      </c>
      <c r="U1172" s="56">
        <v>3</v>
      </c>
    </row>
    <row r="1173" spans="1:21" ht="14.25" customHeight="1" x14ac:dyDescent="0.35">
      <c r="A1173" s="47">
        <v>1157</v>
      </c>
      <c r="B1173" s="69" t="s">
        <v>79</v>
      </c>
      <c r="C1173" s="69" t="s">
        <v>80</v>
      </c>
      <c r="D1173" s="70" t="s">
        <v>1485</v>
      </c>
      <c r="E1173" s="69" t="s">
        <v>6022</v>
      </c>
      <c r="F1173" s="69" t="s">
        <v>171</v>
      </c>
      <c r="G1173" s="69" t="s">
        <v>54</v>
      </c>
      <c r="H1173" s="70">
        <v>2010</v>
      </c>
      <c r="I1173" s="69"/>
      <c r="J1173" s="69" t="s">
        <v>6050</v>
      </c>
      <c r="K1173" s="71" t="s">
        <v>6051</v>
      </c>
      <c r="L1173" s="71" t="s">
        <v>6052</v>
      </c>
      <c r="M1173" s="71"/>
      <c r="N1173" s="69" t="s">
        <v>57</v>
      </c>
      <c r="O1173" s="64">
        <v>1</v>
      </c>
      <c r="P1173" s="72">
        <v>16025</v>
      </c>
      <c r="Q1173" s="69"/>
      <c r="R1173" s="69"/>
      <c r="S1173" s="121" t="s">
        <v>646</v>
      </c>
      <c r="T1173" s="56">
        <v>29</v>
      </c>
      <c r="U1173" s="56">
        <v>3</v>
      </c>
    </row>
    <row r="1174" spans="1:21" ht="14.25" customHeight="1" thickBot="1" x14ac:dyDescent="0.4">
      <c r="A1174" s="58">
        <v>1158</v>
      </c>
      <c r="B1174" s="69" t="s">
        <v>79</v>
      </c>
      <c r="C1174" s="69" t="s">
        <v>80</v>
      </c>
      <c r="D1174" s="70" t="s">
        <v>1490</v>
      </c>
      <c r="E1174" s="69" t="s">
        <v>6022</v>
      </c>
      <c r="F1174" s="69" t="s">
        <v>171</v>
      </c>
      <c r="G1174" s="69" t="s">
        <v>54</v>
      </c>
      <c r="H1174" s="70">
        <v>2010</v>
      </c>
      <c r="I1174" s="69"/>
      <c r="J1174" s="69" t="s">
        <v>6053</v>
      </c>
      <c r="K1174" s="71" t="s">
        <v>6054</v>
      </c>
      <c r="L1174" s="71" t="s">
        <v>6055</v>
      </c>
      <c r="M1174" s="71"/>
      <c r="N1174" s="69" t="s">
        <v>57</v>
      </c>
      <c r="O1174" s="64">
        <v>1</v>
      </c>
      <c r="P1174" s="72">
        <v>16025</v>
      </c>
      <c r="Q1174" s="69"/>
      <c r="R1174" s="69"/>
      <c r="S1174" s="121" t="s">
        <v>646</v>
      </c>
      <c r="T1174" s="56">
        <v>29</v>
      </c>
      <c r="U1174" s="56">
        <v>3</v>
      </c>
    </row>
    <row r="1175" spans="1:21" ht="14.25" customHeight="1" x14ac:dyDescent="0.35">
      <c r="A1175" s="47">
        <v>1159</v>
      </c>
      <c r="B1175" s="69" t="s">
        <v>79</v>
      </c>
      <c r="C1175" s="69" t="s">
        <v>80</v>
      </c>
      <c r="D1175" s="70" t="s">
        <v>1498</v>
      </c>
      <c r="E1175" s="69" t="s">
        <v>6022</v>
      </c>
      <c r="F1175" s="69" t="s">
        <v>171</v>
      </c>
      <c r="G1175" s="69" t="s">
        <v>54</v>
      </c>
      <c r="H1175" s="70">
        <v>2010</v>
      </c>
      <c r="I1175" s="69"/>
      <c r="J1175" s="69" t="s">
        <v>6056</v>
      </c>
      <c r="K1175" s="71" t="s">
        <v>6057</v>
      </c>
      <c r="L1175" s="71" t="s">
        <v>6058</v>
      </c>
      <c r="M1175" s="71"/>
      <c r="N1175" s="69" t="s">
        <v>57</v>
      </c>
      <c r="O1175" s="64">
        <v>1</v>
      </c>
      <c r="P1175" s="72">
        <v>16025</v>
      </c>
      <c r="Q1175" s="69"/>
      <c r="R1175" s="69"/>
      <c r="S1175" s="121" t="s">
        <v>646</v>
      </c>
      <c r="T1175" s="56">
        <v>29</v>
      </c>
      <c r="U1175" s="56">
        <v>3</v>
      </c>
    </row>
    <row r="1176" spans="1:21" ht="14.25" customHeight="1" thickBot="1" x14ac:dyDescent="0.4">
      <c r="A1176" s="58">
        <v>1160</v>
      </c>
      <c r="B1176" s="69" t="s">
        <v>79</v>
      </c>
      <c r="C1176" s="69" t="s">
        <v>80</v>
      </c>
      <c r="D1176" s="70" t="s">
        <v>1520</v>
      </c>
      <c r="E1176" s="69" t="s">
        <v>6022</v>
      </c>
      <c r="F1176" s="69" t="s">
        <v>171</v>
      </c>
      <c r="G1176" s="69" t="s">
        <v>54</v>
      </c>
      <c r="H1176" s="70">
        <v>2010</v>
      </c>
      <c r="I1176" s="69"/>
      <c r="J1176" s="69" t="s">
        <v>6059</v>
      </c>
      <c r="K1176" s="71" t="s">
        <v>6060</v>
      </c>
      <c r="L1176" s="71" t="s">
        <v>6061</v>
      </c>
      <c r="M1176" s="71"/>
      <c r="N1176" s="69" t="s">
        <v>57</v>
      </c>
      <c r="O1176" s="64">
        <v>1</v>
      </c>
      <c r="P1176" s="72">
        <v>16025</v>
      </c>
      <c r="Q1176" s="69"/>
      <c r="R1176" s="69"/>
      <c r="S1176" s="121" t="s">
        <v>646</v>
      </c>
      <c r="T1176" s="56">
        <v>29</v>
      </c>
      <c r="U1176" s="56">
        <v>3</v>
      </c>
    </row>
    <row r="1177" spans="1:21" ht="14.25" customHeight="1" x14ac:dyDescent="0.35">
      <c r="A1177" s="47">
        <v>1161</v>
      </c>
      <c r="B1177" s="69" t="s">
        <v>79</v>
      </c>
      <c r="C1177" s="69" t="s">
        <v>80</v>
      </c>
      <c r="D1177" s="70" t="s">
        <v>1526</v>
      </c>
      <c r="E1177" s="69" t="s">
        <v>6022</v>
      </c>
      <c r="F1177" s="69" t="s">
        <v>171</v>
      </c>
      <c r="G1177" s="69" t="s">
        <v>54</v>
      </c>
      <c r="H1177" s="70">
        <v>2010</v>
      </c>
      <c r="I1177" s="69"/>
      <c r="J1177" s="69" t="s">
        <v>6062</v>
      </c>
      <c r="K1177" s="71" t="s">
        <v>6063</v>
      </c>
      <c r="L1177" s="71" t="s">
        <v>6064</v>
      </c>
      <c r="M1177" s="71"/>
      <c r="N1177" s="69" t="s">
        <v>57</v>
      </c>
      <c r="O1177" s="64">
        <v>1</v>
      </c>
      <c r="P1177" s="72">
        <v>16025</v>
      </c>
      <c r="Q1177" s="69"/>
      <c r="R1177" s="69"/>
      <c r="S1177" s="121" t="s">
        <v>646</v>
      </c>
      <c r="T1177" s="56">
        <v>29</v>
      </c>
      <c r="U1177" s="56">
        <v>3</v>
      </c>
    </row>
    <row r="1178" spans="1:21" ht="14.25" customHeight="1" thickBot="1" x14ac:dyDescent="0.4">
      <c r="A1178" s="58">
        <v>1162</v>
      </c>
      <c r="B1178" s="69" t="s">
        <v>79</v>
      </c>
      <c r="C1178" s="69" t="s">
        <v>80</v>
      </c>
      <c r="D1178" s="70" t="s">
        <v>1537</v>
      </c>
      <c r="E1178" s="69" t="s">
        <v>6022</v>
      </c>
      <c r="F1178" s="69" t="s">
        <v>171</v>
      </c>
      <c r="G1178" s="69" t="s">
        <v>54</v>
      </c>
      <c r="H1178" s="70">
        <v>2010</v>
      </c>
      <c r="I1178" s="69"/>
      <c r="J1178" s="69" t="s">
        <v>6065</v>
      </c>
      <c r="K1178" s="71" t="s">
        <v>6066</v>
      </c>
      <c r="L1178" s="71" t="s">
        <v>6067</v>
      </c>
      <c r="M1178" s="71"/>
      <c r="N1178" s="69" t="s">
        <v>57</v>
      </c>
      <c r="O1178" s="64">
        <v>1</v>
      </c>
      <c r="P1178" s="72">
        <v>16025</v>
      </c>
      <c r="Q1178" s="69"/>
      <c r="R1178" s="69"/>
      <c r="S1178" s="121" t="s">
        <v>646</v>
      </c>
      <c r="T1178" s="56">
        <v>29</v>
      </c>
      <c r="U1178" s="56">
        <v>3</v>
      </c>
    </row>
    <row r="1179" spans="1:21" ht="14.25" customHeight="1" x14ac:dyDescent="0.35">
      <c r="A1179" s="47">
        <v>1163</v>
      </c>
      <c r="B1179" s="69" t="s">
        <v>79</v>
      </c>
      <c r="C1179" s="69" t="s">
        <v>80</v>
      </c>
      <c r="D1179" s="70" t="s">
        <v>1543</v>
      </c>
      <c r="E1179" s="69" t="s">
        <v>6022</v>
      </c>
      <c r="F1179" s="69" t="s">
        <v>171</v>
      </c>
      <c r="G1179" s="69" t="s">
        <v>54</v>
      </c>
      <c r="H1179" s="70">
        <v>2010</v>
      </c>
      <c r="I1179" s="69"/>
      <c r="J1179" s="69" t="s">
        <v>6068</v>
      </c>
      <c r="K1179" s="71" t="s">
        <v>6069</v>
      </c>
      <c r="L1179" s="71" t="s">
        <v>6070</v>
      </c>
      <c r="M1179" s="71"/>
      <c r="N1179" s="69" t="s">
        <v>57</v>
      </c>
      <c r="O1179" s="64">
        <v>1</v>
      </c>
      <c r="P1179" s="72">
        <v>16025</v>
      </c>
      <c r="Q1179" s="69"/>
      <c r="R1179" s="69"/>
      <c r="S1179" s="121" t="s">
        <v>646</v>
      </c>
      <c r="T1179" s="56">
        <v>29</v>
      </c>
      <c r="U1179" s="56">
        <v>3</v>
      </c>
    </row>
    <row r="1180" spans="1:21" ht="14.25" customHeight="1" thickBot="1" x14ac:dyDescent="0.4">
      <c r="A1180" s="58">
        <v>1164</v>
      </c>
      <c r="B1180" s="69" t="s">
        <v>79</v>
      </c>
      <c r="C1180" s="69" t="s">
        <v>80</v>
      </c>
      <c r="D1180" s="70" t="s">
        <v>1548</v>
      </c>
      <c r="E1180" s="69" t="s">
        <v>2513</v>
      </c>
      <c r="F1180" s="69" t="s">
        <v>202</v>
      </c>
      <c r="G1180" s="69" t="s">
        <v>54</v>
      </c>
      <c r="H1180" s="70">
        <v>2010</v>
      </c>
      <c r="I1180" s="69"/>
      <c r="J1180" s="69" t="s">
        <v>6071</v>
      </c>
      <c r="K1180" s="71" t="s">
        <v>6072</v>
      </c>
      <c r="L1180" s="71" t="s">
        <v>6073</v>
      </c>
      <c r="M1180" s="71" t="s">
        <v>6074</v>
      </c>
      <c r="N1180" s="69" t="s">
        <v>57</v>
      </c>
      <c r="O1180" s="64">
        <v>1</v>
      </c>
      <c r="P1180" s="72">
        <v>16050</v>
      </c>
      <c r="Q1180" s="69" t="s">
        <v>6075</v>
      </c>
      <c r="R1180" s="69"/>
      <c r="S1180" s="121" t="s">
        <v>646</v>
      </c>
      <c r="T1180" s="56">
        <v>29</v>
      </c>
      <c r="U1180" s="56">
        <v>3</v>
      </c>
    </row>
    <row r="1181" spans="1:21" ht="14.25" customHeight="1" x14ac:dyDescent="0.35">
      <c r="A1181" s="47">
        <v>1165</v>
      </c>
      <c r="B1181" s="69" t="s">
        <v>79</v>
      </c>
      <c r="C1181" s="69" t="s">
        <v>80</v>
      </c>
      <c r="D1181" s="70" t="s">
        <v>6076</v>
      </c>
      <c r="E1181" s="69" t="s">
        <v>6077</v>
      </c>
      <c r="F1181" s="69" t="s">
        <v>171</v>
      </c>
      <c r="G1181" s="69" t="s">
        <v>54</v>
      </c>
      <c r="H1181" s="70">
        <v>2010</v>
      </c>
      <c r="I1181" s="69"/>
      <c r="J1181" s="69" t="s">
        <v>6078</v>
      </c>
      <c r="K1181" s="71" t="s">
        <v>6079</v>
      </c>
      <c r="L1181" s="71" t="s">
        <v>6080</v>
      </c>
      <c r="M1181" s="71"/>
      <c r="N1181" s="69" t="s">
        <v>57</v>
      </c>
      <c r="O1181" s="64">
        <v>1</v>
      </c>
      <c r="P1181" s="72">
        <v>16840</v>
      </c>
      <c r="Q1181" s="69"/>
      <c r="R1181" s="69"/>
      <c r="S1181" s="121" t="s">
        <v>646</v>
      </c>
      <c r="T1181" s="56">
        <v>29</v>
      </c>
      <c r="U1181" s="56">
        <v>3</v>
      </c>
    </row>
    <row r="1182" spans="1:21" ht="14.25" customHeight="1" thickBot="1" x14ac:dyDescent="0.4">
      <c r="A1182" s="58">
        <v>1166</v>
      </c>
      <c r="B1182" s="69" t="s">
        <v>79</v>
      </c>
      <c r="C1182" s="69" t="s">
        <v>80</v>
      </c>
      <c r="D1182" s="70" t="s">
        <v>6081</v>
      </c>
      <c r="E1182" s="69" t="s">
        <v>6077</v>
      </c>
      <c r="F1182" s="69" t="s">
        <v>171</v>
      </c>
      <c r="G1182" s="69" t="s">
        <v>54</v>
      </c>
      <c r="H1182" s="70">
        <v>2010</v>
      </c>
      <c r="I1182" s="69"/>
      <c r="J1182" s="69" t="s">
        <v>6082</v>
      </c>
      <c r="K1182" s="71" t="s">
        <v>6083</v>
      </c>
      <c r="L1182" s="71" t="s">
        <v>6084</v>
      </c>
      <c r="M1182" s="71"/>
      <c r="N1182" s="69" t="s">
        <v>57</v>
      </c>
      <c r="O1182" s="64">
        <v>1</v>
      </c>
      <c r="P1182" s="72">
        <v>16840</v>
      </c>
      <c r="Q1182" s="69"/>
      <c r="R1182" s="69"/>
      <c r="S1182" s="121" t="s">
        <v>646</v>
      </c>
      <c r="T1182" s="56">
        <v>29</v>
      </c>
      <c r="U1182" s="56">
        <v>3</v>
      </c>
    </row>
    <row r="1183" spans="1:21" ht="14.25" customHeight="1" x14ac:dyDescent="0.35">
      <c r="A1183" s="47">
        <v>1167</v>
      </c>
      <c r="B1183" s="69" t="s">
        <v>79</v>
      </c>
      <c r="C1183" s="69" t="s">
        <v>80</v>
      </c>
      <c r="D1183" s="70" t="s">
        <v>6085</v>
      </c>
      <c r="E1183" s="69" t="s">
        <v>6077</v>
      </c>
      <c r="F1183" s="69" t="s">
        <v>171</v>
      </c>
      <c r="G1183" s="69" t="s">
        <v>54</v>
      </c>
      <c r="H1183" s="70">
        <v>2010</v>
      </c>
      <c r="I1183" s="69"/>
      <c r="J1183" s="69" t="s">
        <v>6086</v>
      </c>
      <c r="K1183" s="71" t="s">
        <v>6087</v>
      </c>
      <c r="L1183" s="71" t="s">
        <v>6088</v>
      </c>
      <c r="M1183" s="71"/>
      <c r="N1183" s="69" t="s">
        <v>57</v>
      </c>
      <c r="O1183" s="64">
        <v>1</v>
      </c>
      <c r="P1183" s="72">
        <v>16840</v>
      </c>
      <c r="Q1183" s="69"/>
      <c r="R1183" s="69"/>
      <c r="S1183" s="121" t="s">
        <v>646</v>
      </c>
      <c r="T1183" s="56">
        <v>29</v>
      </c>
      <c r="U1183" s="56">
        <v>3</v>
      </c>
    </row>
    <row r="1184" spans="1:21" ht="14.25" customHeight="1" thickBot="1" x14ac:dyDescent="0.4">
      <c r="A1184" s="58">
        <v>1168</v>
      </c>
      <c r="B1184" s="69" t="s">
        <v>79</v>
      </c>
      <c r="C1184" s="69" t="s">
        <v>80</v>
      </c>
      <c r="D1184" s="70" t="s">
        <v>6089</v>
      </c>
      <c r="E1184" s="69" t="s">
        <v>6077</v>
      </c>
      <c r="F1184" s="69" t="s">
        <v>171</v>
      </c>
      <c r="G1184" s="69" t="s">
        <v>54</v>
      </c>
      <c r="H1184" s="70">
        <v>2010</v>
      </c>
      <c r="I1184" s="69"/>
      <c r="J1184" s="69" t="s">
        <v>6090</v>
      </c>
      <c r="K1184" s="71" t="s">
        <v>6087</v>
      </c>
      <c r="L1184" s="71" t="s">
        <v>6091</v>
      </c>
      <c r="M1184" s="71"/>
      <c r="N1184" s="69" t="s">
        <v>57</v>
      </c>
      <c r="O1184" s="64">
        <v>1</v>
      </c>
      <c r="P1184" s="72">
        <v>16840</v>
      </c>
      <c r="Q1184" s="69" t="s">
        <v>7912</v>
      </c>
      <c r="R1184" s="69"/>
      <c r="S1184" s="121" t="s">
        <v>646</v>
      </c>
      <c r="T1184" s="56">
        <v>29</v>
      </c>
      <c r="U1184" s="56">
        <v>3</v>
      </c>
    </row>
    <row r="1185" spans="1:21" ht="14.25" customHeight="1" x14ac:dyDescent="0.35">
      <c r="A1185" s="47">
        <v>1169</v>
      </c>
      <c r="B1185" s="69" t="s">
        <v>79</v>
      </c>
      <c r="C1185" s="69" t="s">
        <v>80</v>
      </c>
      <c r="D1185" s="70" t="s">
        <v>6092</v>
      </c>
      <c r="E1185" s="69" t="s">
        <v>6093</v>
      </c>
      <c r="F1185" s="69" t="s">
        <v>171</v>
      </c>
      <c r="G1185" s="69" t="s">
        <v>54</v>
      </c>
      <c r="H1185" s="70">
        <v>2010</v>
      </c>
      <c r="I1185" s="69"/>
      <c r="J1185" s="69" t="s">
        <v>6094</v>
      </c>
      <c r="K1185" s="71" t="s">
        <v>6095</v>
      </c>
      <c r="L1185" s="71" t="s">
        <v>6096</v>
      </c>
      <c r="M1185" s="71"/>
      <c r="N1185" s="69" t="s">
        <v>57</v>
      </c>
      <c r="O1185" s="64">
        <v>1</v>
      </c>
      <c r="P1185" s="72">
        <v>17800</v>
      </c>
      <c r="Q1185" s="69"/>
      <c r="R1185" s="69"/>
      <c r="S1185" s="121" t="s">
        <v>646</v>
      </c>
      <c r="T1185" s="56">
        <v>29</v>
      </c>
      <c r="U1185" s="56">
        <v>3</v>
      </c>
    </row>
    <row r="1186" spans="1:21" ht="14.25" customHeight="1" thickBot="1" x14ac:dyDescent="0.4">
      <c r="A1186" s="58">
        <v>1170</v>
      </c>
      <c r="B1186" s="69" t="s">
        <v>79</v>
      </c>
      <c r="C1186" s="69" t="s">
        <v>80</v>
      </c>
      <c r="D1186" s="70" t="s">
        <v>6097</v>
      </c>
      <c r="E1186" s="69" t="s">
        <v>6098</v>
      </c>
      <c r="F1186" s="69" t="s">
        <v>1988</v>
      </c>
      <c r="G1186" s="69" t="s">
        <v>54</v>
      </c>
      <c r="H1186" s="70">
        <v>2010</v>
      </c>
      <c r="I1186" s="69"/>
      <c r="J1186" s="69" t="s">
        <v>6099</v>
      </c>
      <c r="K1186" s="71" t="s">
        <v>6100</v>
      </c>
      <c r="L1186" s="71" t="s">
        <v>6101</v>
      </c>
      <c r="M1186" s="71"/>
      <c r="N1186" s="69" t="s">
        <v>57</v>
      </c>
      <c r="O1186" s="64">
        <v>1</v>
      </c>
      <c r="P1186" s="72">
        <v>20261</v>
      </c>
      <c r="Q1186" s="69"/>
      <c r="R1186" s="69"/>
      <c r="S1186" s="121" t="s">
        <v>646</v>
      </c>
      <c r="T1186" s="56">
        <v>29</v>
      </c>
      <c r="U1186" s="56">
        <v>3</v>
      </c>
    </row>
    <row r="1187" spans="1:21" ht="14.25" customHeight="1" x14ac:dyDescent="0.35">
      <c r="A1187" s="47">
        <v>1171</v>
      </c>
      <c r="B1187" s="69" t="s">
        <v>79</v>
      </c>
      <c r="C1187" s="69" t="s">
        <v>80</v>
      </c>
      <c r="D1187" s="70" t="s">
        <v>6102</v>
      </c>
      <c r="E1187" s="69" t="s">
        <v>594</v>
      </c>
      <c r="F1187" s="69" t="s">
        <v>246</v>
      </c>
      <c r="G1187" s="69" t="s">
        <v>54</v>
      </c>
      <c r="H1187" s="70">
        <v>2008</v>
      </c>
      <c r="I1187" s="69"/>
      <c r="J1187" s="69" t="s">
        <v>6103</v>
      </c>
      <c r="K1187" s="71" t="s">
        <v>6104</v>
      </c>
      <c r="L1187" s="71" t="s">
        <v>6105</v>
      </c>
      <c r="M1187" s="71" t="s">
        <v>6106</v>
      </c>
      <c r="N1187" s="69" t="s">
        <v>57</v>
      </c>
      <c r="O1187" s="64">
        <v>1</v>
      </c>
      <c r="P1187" s="72">
        <v>14200</v>
      </c>
      <c r="Q1187" s="69" t="s">
        <v>6107</v>
      </c>
      <c r="R1187" s="69"/>
      <c r="S1187" s="121" t="s">
        <v>646</v>
      </c>
      <c r="T1187" s="56">
        <v>29</v>
      </c>
      <c r="U1187" s="56">
        <v>3</v>
      </c>
    </row>
    <row r="1188" spans="1:21" ht="14.25" customHeight="1" thickBot="1" x14ac:dyDescent="0.4">
      <c r="A1188" s="58">
        <v>1172</v>
      </c>
      <c r="B1188" s="69" t="s">
        <v>79</v>
      </c>
      <c r="C1188" s="69" t="s">
        <v>80</v>
      </c>
      <c r="D1188" s="70" t="s">
        <v>6108</v>
      </c>
      <c r="E1188" s="69" t="s">
        <v>594</v>
      </c>
      <c r="F1188" s="69" t="s">
        <v>246</v>
      </c>
      <c r="G1188" s="69" t="s">
        <v>54</v>
      </c>
      <c r="H1188" s="70">
        <v>2008</v>
      </c>
      <c r="I1188" s="69"/>
      <c r="J1188" s="69" t="s">
        <v>6109</v>
      </c>
      <c r="K1188" s="71" t="s">
        <v>6110</v>
      </c>
      <c r="L1188" s="71" t="s">
        <v>6111</v>
      </c>
      <c r="M1188" s="71" t="s">
        <v>6112</v>
      </c>
      <c r="N1188" s="69" t="s">
        <v>57</v>
      </c>
      <c r="O1188" s="64">
        <v>1</v>
      </c>
      <c r="P1188" s="72">
        <v>14200</v>
      </c>
      <c r="Q1188" s="69" t="s">
        <v>6113</v>
      </c>
      <c r="R1188" s="69"/>
      <c r="S1188" s="121" t="s">
        <v>646</v>
      </c>
      <c r="T1188" s="56">
        <v>29</v>
      </c>
      <c r="U1188" s="56">
        <v>3</v>
      </c>
    </row>
    <row r="1189" spans="1:21" ht="14.25" customHeight="1" x14ac:dyDescent="0.35">
      <c r="A1189" s="47">
        <v>1173</v>
      </c>
      <c r="B1189" s="69" t="s">
        <v>79</v>
      </c>
      <c r="C1189" s="69" t="s">
        <v>80</v>
      </c>
      <c r="D1189" s="70" t="s">
        <v>6114</v>
      </c>
      <c r="E1189" s="69" t="s">
        <v>594</v>
      </c>
      <c r="F1189" s="69" t="s">
        <v>246</v>
      </c>
      <c r="G1189" s="69" t="s">
        <v>54</v>
      </c>
      <c r="H1189" s="70">
        <v>2008</v>
      </c>
      <c r="I1189" s="69"/>
      <c r="J1189" s="69" t="s">
        <v>6115</v>
      </c>
      <c r="K1189" s="71" t="s">
        <v>6116</v>
      </c>
      <c r="L1189" s="71" t="s">
        <v>6117</v>
      </c>
      <c r="M1189" s="71" t="s">
        <v>6118</v>
      </c>
      <c r="N1189" s="69" t="s">
        <v>57</v>
      </c>
      <c r="O1189" s="64">
        <v>1</v>
      </c>
      <c r="P1189" s="72">
        <v>14200</v>
      </c>
      <c r="Q1189" s="69" t="s">
        <v>6119</v>
      </c>
      <c r="R1189" s="69"/>
      <c r="S1189" s="121" t="s">
        <v>646</v>
      </c>
      <c r="T1189" s="56">
        <v>29</v>
      </c>
      <c r="U1189" s="56">
        <v>3</v>
      </c>
    </row>
    <row r="1190" spans="1:21" ht="14.25" customHeight="1" thickBot="1" x14ac:dyDescent="0.4">
      <c r="A1190" s="58">
        <v>1174</v>
      </c>
      <c r="B1190" s="69" t="s">
        <v>79</v>
      </c>
      <c r="C1190" s="69" t="s">
        <v>80</v>
      </c>
      <c r="D1190" s="70" t="s">
        <v>6120</v>
      </c>
      <c r="E1190" s="69" t="s">
        <v>594</v>
      </c>
      <c r="F1190" s="69" t="s">
        <v>246</v>
      </c>
      <c r="G1190" s="69" t="s">
        <v>54</v>
      </c>
      <c r="H1190" s="70">
        <v>2008</v>
      </c>
      <c r="I1190" s="69"/>
      <c r="J1190" s="69" t="s">
        <v>6121</v>
      </c>
      <c r="K1190" s="71" t="s">
        <v>6122</v>
      </c>
      <c r="L1190" s="71" t="s">
        <v>6123</v>
      </c>
      <c r="M1190" s="71" t="s">
        <v>6124</v>
      </c>
      <c r="N1190" s="69" t="s">
        <v>57</v>
      </c>
      <c r="O1190" s="64">
        <v>1</v>
      </c>
      <c r="P1190" s="72">
        <v>14200</v>
      </c>
      <c r="Q1190" s="69" t="s">
        <v>6125</v>
      </c>
      <c r="R1190" s="69"/>
      <c r="S1190" s="121" t="s">
        <v>646</v>
      </c>
      <c r="T1190" s="56">
        <v>29</v>
      </c>
      <c r="U1190" s="56">
        <v>3</v>
      </c>
    </row>
    <row r="1191" spans="1:21" ht="14.25" customHeight="1" x14ac:dyDescent="0.35">
      <c r="A1191" s="47">
        <v>1175</v>
      </c>
      <c r="B1191" s="69" t="s">
        <v>79</v>
      </c>
      <c r="C1191" s="69" t="s">
        <v>80</v>
      </c>
      <c r="D1191" s="70" t="s">
        <v>6126</v>
      </c>
      <c r="E1191" s="69" t="s">
        <v>594</v>
      </c>
      <c r="F1191" s="69" t="s">
        <v>246</v>
      </c>
      <c r="G1191" s="69" t="s">
        <v>54</v>
      </c>
      <c r="H1191" s="70">
        <v>2008</v>
      </c>
      <c r="I1191" s="69"/>
      <c r="J1191" s="69" t="s">
        <v>6127</v>
      </c>
      <c r="K1191" s="71" t="s">
        <v>6128</v>
      </c>
      <c r="L1191" s="71" t="s">
        <v>6129</v>
      </c>
      <c r="M1191" s="71" t="s">
        <v>6130</v>
      </c>
      <c r="N1191" s="69" t="s">
        <v>57</v>
      </c>
      <c r="O1191" s="64">
        <v>1</v>
      </c>
      <c r="P1191" s="72">
        <v>14200</v>
      </c>
      <c r="Q1191" s="69" t="s">
        <v>6131</v>
      </c>
      <c r="R1191" s="69"/>
      <c r="S1191" s="121" t="s">
        <v>646</v>
      </c>
      <c r="T1191" s="56">
        <v>29</v>
      </c>
      <c r="U1191" s="56">
        <v>3</v>
      </c>
    </row>
    <row r="1192" spans="1:21" ht="14.25" customHeight="1" thickBot="1" x14ac:dyDescent="0.4">
      <c r="A1192" s="58">
        <v>1176</v>
      </c>
      <c r="B1192" s="69" t="s">
        <v>79</v>
      </c>
      <c r="C1192" s="69" t="s">
        <v>80</v>
      </c>
      <c r="D1192" s="70" t="s">
        <v>6132</v>
      </c>
      <c r="E1192" s="69" t="s">
        <v>594</v>
      </c>
      <c r="F1192" s="69" t="s">
        <v>246</v>
      </c>
      <c r="G1192" s="69" t="s">
        <v>54</v>
      </c>
      <c r="H1192" s="70">
        <v>2008</v>
      </c>
      <c r="I1192" s="69"/>
      <c r="J1192" s="69" t="s">
        <v>6133</v>
      </c>
      <c r="K1192" s="71" t="s">
        <v>6134</v>
      </c>
      <c r="L1192" s="71" t="s">
        <v>6135</v>
      </c>
      <c r="M1192" s="71" t="s">
        <v>6136</v>
      </c>
      <c r="N1192" s="69" t="s">
        <v>57</v>
      </c>
      <c r="O1192" s="64">
        <v>1</v>
      </c>
      <c r="P1192" s="72">
        <v>14200</v>
      </c>
      <c r="Q1192" s="69" t="s">
        <v>6137</v>
      </c>
      <c r="R1192" s="69"/>
      <c r="S1192" s="121" t="s">
        <v>646</v>
      </c>
      <c r="T1192" s="56">
        <v>29</v>
      </c>
      <c r="U1192" s="56">
        <v>3</v>
      </c>
    </row>
    <row r="1193" spans="1:21" ht="14.25" customHeight="1" x14ac:dyDescent="0.35">
      <c r="A1193" s="47">
        <v>1177</v>
      </c>
      <c r="B1193" s="69" t="s">
        <v>79</v>
      </c>
      <c r="C1193" s="69" t="s">
        <v>80</v>
      </c>
      <c r="D1193" s="70" t="s">
        <v>6138</v>
      </c>
      <c r="E1193" s="69" t="s">
        <v>594</v>
      </c>
      <c r="F1193" s="69" t="s">
        <v>246</v>
      </c>
      <c r="G1193" s="69" t="s">
        <v>54</v>
      </c>
      <c r="H1193" s="70">
        <v>2008</v>
      </c>
      <c r="I1193" s="69"/>
      <c r="J1193" s="69" t="s">
        <v>6139</v>
      </c>
      <c r="K1193" s="71" t="s">
        <v>6140</v>
      </c>
      <c r="L1193" s="71" t="s">
        <v>6141</v>
      </c>
      <c r="M1193" s="71" t="s">
        <v>6142</v>
      </c>
      <c r="N1193" s="69" t="s">
        <v>57</v>
      </c>
      <c r="O1193" s="64">
        <v>1</v>
      </c>
      <c r="P1193" s="72">
        <v>14200</v>
      </c>
      <c r="Q1193" s="69" t="s">
        <v>6143</v>
      </c>
      <c r="R1193" s="69"/>
      <c r="S1193" s="121" t="s">
        <v>646</v>
      </c>
      <c r="T1193" s="56">
        <v>29</v>
      </c>
      <c r="U1193" s="56">
        <v>3</v>
      </c>
    </row>
    <row r="1194" spans="1:21" ht="14.25" customHeight="1" thickBot="1" x14ac:dyDescent="0.4">
      <c r="A1194" s="58">
        <v>1178</v>
      </c>
      <c r="B1194" s="69" t="s">
        <v>79</v>
      </c>
      <c r="C1194" s="69" t="s">
        <v>80</v>
      </c>
      <c r="D1194" s="70" t="s">
        <v>6144</v>
      </c>
      <c r="E1194" s="69" t="s">
        <v>594</v>
      </c>
      <c r="F1194" s="69" t="s">
        <v>246</v>
      </c>
      <c r="G1194" s="69" t="s">
        <v>54</v>
      </c>
      <c r="H1194" s="70">
        <v>2008</v>
      </c>
      <c r="I1194" s="69"/>
      <c r="J1194" s="69" t="s">
        <v>6145</v>
      </c>
      <c r="K1194" s="71" t="s">
        <v>6146</v>
      </c>
      <c r="L1194" s="71" t="s">
        <v>6147</v>
      </c>
      <c r="M1194" s="71" t="s">
        <v>6148</v>
      </c>
      <c r="N1194" s="69" t="s">
        <v>57</v>
      </c>
      <c r="O1194" s="64">
        <v>1</v>
      </c>
      <c r="P1194" s="72">
        <v>14200</v>
      </c>
      <c r="Q1194" s="69" t="s">
        <v>6149</v>
      </c>
      <c r="R1194" s="69"/>
      <c r="S1194" s="121" t="s">
        <v>646</v>
      </c>
      <c r="T1194" s="56">
        <v>29</v>
      </c>
      <c r="U1194" s="56">
        <v>3</v>
      </c>
    </row>
    <row r="1195" spans="1:21" ht="14.25" customHeight="1" x14ac:dyDescent="0.35">
      <c r="A1195" s="47">
        <v>1179</v>
      </c>
      <c r="B1195" s="69" t="s">
        <v>79</v>
      </c>
      <c r="C1195" s="69" t="s">
        <v>80</v>
      </c>
      <c r="D1195" s="70" t="s">
        <v>6150</v>
      </c>
      <c r="E1195" s="69" t="s">
        <v>594</v>
      </c>
      <c r="F1195" s="69" t="s">
        <v>246</v>
      </c>
      <c r="G1195" s="69" t="s">
        <v>54</v>
      </c>
      <c r="H1195" s="70">
        <v>2008</v>
      </c>
      <c r="I1195" s="69"/>
      <c r="J1195" s="69" t="s">
        <v>6151</v>
      </c>
      <c r="K1195" s="71" t="s">
        <v>6152</v>
      </c>
      <c r="L1195" s="71" t="s">
        <v>6153</v>
      </c>
      <c r="M1195" s="71" t="s">
        <v>6154</v>
      </c>
      <c r="N1195" s="69" t="s">
        <v>57</v>
      </c>
      <c r="O1195" s="64">
        <v>1</v>
      </c>
      <c r="P1195" s="72">
        <v>14200</v>
      </c>
      <c r="Q1195" s="69" t="s">
        <v>6155</v>
      </c>
      <c r="R1195" s="69"/>
      <c r="S1195" s="121" t="s">
        <v>646</v>
      </c>
      <c r="T1195" s="56">
        <v>29</v>
      </c>
      <c r="U1195" s="56">
        <v>3</v>
      </c>
    </row>
    <row r="1196" spans="1:21" ht="14.25" customHeight="1" thickBot="1" x14ac:dyDescent="0.4">
      <c r="A1196" s="58">
        <v>1180</v>
      </c>
      <c r="B1196" s="69" t="s">
        <v>79</v>
      </c>
      <c r="C1196" s="69" t="s">
        <v>80</v>
      </c>
      <c r="D1196" s="70" t="s">
        <v>6156</v>
      </c>
      <c r="E1196" s="69" t="s">
        <v>594</v>
      </c>
      <c r="F1196" s="69" t="s">
        <v>246</v>
      </c>
      <c r="G1196" s="69" t="s">
        <v>54</v>
      </c>
      <c r="H1196" s="70">
        <v>2008</v>
      </c>
      <c r="I1196" s="69"/>
      <c r="J1196" s="69" t="s">
        <v>6157</v>
      </c>
      <c r="K1196" s="71" t="s">
        <v>6158</v>
      </c>
      <c r="L1196" s="71" t="s">
        <v>6159</v>
      </c>
      <c r="M1196" s="71" t="s">
        <v>6160</v>
      </c>
      <c r="N1196" s="69" t="s">
        <v>57</v>
      </c>
      <c r="O1196" s="64">
        <v>1</v>
      </c>
      <c r="P1196" s="72">
        <v>14200</v>
      </c>
      <c r="Q1196" s="69" t="s">
        <v>6161</v>
      </c>
      <c r="R1196" s="69"/>
      <c r="S1196" s="121" t="s">
        <v>646</v>
      </c>
      <c r="T1196" s="56">
        <v>29</v>
      </c>
      <c r="U1196" s="56">
        <v>3</v>
      </c>
    </row>
    <row r="1197" spans="1:21" ht="14.25" customHeight="1" x14ac:dyDescent="0.35">
      <c r="A1197" s="47">
        <v>1181</v>
      </c>
      <c r="B1197" s="69" t="s">
        <v>79</v>
      </c>
      <c r="C1197" s="69" t="s">
        <v>80</v>
      </c>
      <c r="D1197" s="70" t="s">
        <v>6162</v>
      </c>
      <c r="E1197" s="69" t="s">
        <v>594</v>
      </c>
      <c r="F1197" s="69" t="s">
        <v>246</v>
      </c>
      <c r="G1197" s="69" t="s">
        <v>54</v>
      </c>
      <c r="H1197" s="70">
        <v>2008</v>
      </c>
      <c r="I1197" s="69"/>
      <c r="J1197" s="69" t="s">
        <v>6163</v>
      </c>
      <c r="K1197" s="71" t="s">
        <v>6164</v>
      </c>
      <c r="L1197" s="71" t="s">
        <v>6165</v>
      </c>
      <c r="M1197" s="71" t="s">
        <v>6166</v>
      </c>
      <c r="N1197" s="69" t="s">
        <v>57</v>
      </c>
      <c r="O1197" s="64">
        <v>1</v>
      </c>
      <c r="P1197" s="72">
        <v>14200</v>
      </c>
      <c r="Q1197" s="69" t="s">
        <v>6167</v>
      </c>
      <c r="R1197" s="69"/>
      <c r="S1197" s="121" t="s">
        <v>646</v>
      </c>
      <c r="T1197" s="56">
        <v>29</v>
      </c>
      <c r="U1197" s="56">
        <v>3</v>
      </c>
    </row>
    <row r="1198" spans="1:21" ht="14.25" customHeight="1" thickBot="1" x14ac:dyDescent="0.4">
      <c r="A1198" s="58">
        <v>1182</v>
      </c>
      <c r="B1198" s="69" t="s">
        <v>79</v>
      </c>
      <c r="C1198" s="69" t="s">
        <v>80</v>
      </c>
      <c r="D1198" s="70" t="s">
        <v>6168</v>
      </c>
      <c r="E1198" s="69" t="s">
        <v>594</v>
      </c>
      <c r="F1198" s="69" t="s">
        <v>246</v>
      </c>
      <c r="G1198" s="69" t="s">
        <v>54</v>
      </c>
      <c r="H1198" s="70">
        <v>2008</v>
      </c>
      <c r="I1198" s="69"/>
      <c r="J1198" s="69" t="s">
        <v>6169</v>
      </c>
      <c r="K1198" s="71" t="s">
        <v>6170</v>
      </c>
      <c r="L1198" s="71" t="s">
        <v>6171</v>
      </c>
      <c r="M1198" s="71" t="s">
        <v>6172</v>
      </c>
      <c r="N1198" s="69" t="s">
        <v>57</v>
      </c>
      <c r="O1198" s="64">
        <v>1</v>
      </c>
      <c r="P1198" s="72">
        <v>14200</v>
      </c>
      <c r="Q1198" s="69" t="s">
        <v>6173</v>
      </c>
      <c r="R1198" s="69"/>
      <c r="S1198" s="121" t="s">
        <v>646</v>
      </c>
      <c r="T1198" s="56">
        <v>29</v>
      </c>
      <c r="U1198" s="56">
        <v>3</v>
      </c>
    </row>
    <row r="1199" spans="1:21" ht="14.25" customHeight="1" x14ac:dyDescent="0.35">
      <c r="A1199" s="47">
        <v>1183</v>
      </c>
      <c r="B1199" s="69" t="s">
        <v>79</v>
      </c>
      <c r="C1199" s="69" t="s">
        <v>80</v>
      </c>
      <c r="D1199" s="70" t="s">
        <v>6174</v>
      </c>
      <c r="E1199" s="69" t="s">
        <v>594</v>
      </c>
      <c r="F1199" s="69" t="s">
        <v>246</v>
      </c>
      <c r="G1199" s="69" t="s">
        <v>54</v>
      </c>
      <c r="H1199" s="70">
        <v>2008</v>
      </c>
      <c r="I1199" s="69"/>
      <c r="J1199" s="69" t="s">
        <v>6175</v>
      </c>
      <c r="K1199" s="71" t="s">
        <v>6176</v>
      </c>
      <c r="L1199" s="71" t="s">
        <v>6177</v>
      </c>
      <c r="M1199" s="71" t="s">
        <v>6178</v>
      </c>
      <c r="N1199" s="69" t="s">
        <v>57</v>
      </c>
      <c r="O1199" s="64">
        <v>1</v>
      </c>
      <c r="P1199" s="72">
        <v>14200</v>
      </c>
      <c r="Q1199" s="69" t="s">
        <v>6179</v>
      </c>
      <c r="R1199" s="69"/>
      <c r="S1199" s="121" t="s">
        <v>646</v>
      </c>
      <c r="T1199" s="56">
        <v>29</v>
      </c>
      <c r="U1199" s="56">
        <v>3</v>
      </c>
    </row>
    <row r="1200" spans="1:21" ht="14.25" customHeight="1" thickBot="1" x14ac:dyDescent="0.4">
      <c r="A1200" s="58">
        <v>1184</v>
      </c>
      <c r="B1200" s="69" t="s">
        <v>79</v>
      </c>
      <c r="C1200" s="69" t="s">
        <v>80</v>
      </c>
      <c r="D1200" s="70" t="s">
        <v>6180</v>
      </c>
      <c r="E1200" s="69" t="s">
        <v>594</v>
      </c>
      <c r="F1200" s="69" t="s">
        <v>246</v>
      </c>
      <c r="G1200" s="69" t="s">
        <v>54</v>
      </c>
      <c r="H1200" s="70">
        <v>2008</v>
      </c>
      <c r="I1200" s="69"/>
      <c r="J1200" s="69" t="s">
        <v>6181</v>
      </c>
      <c r="K1200" s="71" t="s">
        <v>6182</v>
      </c>
      <c r="L1200" s="71" t="s">
        <v>6183</v>
      </c>
      <c r="M1200" s="71" t="s">
        <v>6184</v>
      </c>
      <c r="N1200" s="69" t="s">
        <v>57</v>
      </c>
      <c r="O1200" s="64">
        <v>1</v>
      </c>
      <c r="P1200" s="72">
        <v>14200</v>
      </c>
      <c r="Q1200" s="69" t="s">
        <v>6185</v>
      </c>
      <c r="R1200" s="69"/>
      <c r="S1200" s="121" t="s">
        <v>646</v>
      </c>
      <c r="T1200" s="56">
        <v>29</v>
      </c>
      <c r="U1200" s="56">
        <v>3</v>
      </c>
    </row>
    <row r="1201" spans="1:21" ht="14.25" customHeight="1" x14ac:dyDescent="0.35">
      <c r="A1201" s="47">
        <v>1185</v>
      </c>
      <c r="B1201" s="69" t="s">
        <v>79</v>
      </c>
      <c r="C1201" s="69" t="s">
        <v>80</v>
      </c>
      <c r="D1201" s="70" t="s">
        <v>6186</v>
      </c>
      <c r="E1201" s="69" t="s">
        <v>594</v>
      </c>
      <c r="F1201" s="69" t="s">
        <v>246</v>
      </c>
      <c r="G1201" s="69" t="s">
        <v>54</v>
      </c>
      <c r="H1201" s="70">
        <v>2008</v>
      </c>
      <c r="I1201" s="69"/>
      <c r="J1201" s="69" t="s">
        <v>6187</v>
      </c>
      <c r="K1201" s="71" t="s">
        <v>6188</v>
      </c>
      <c r="L1201" s="71" t="s">
        <v>6189</v>
      </c>
      <c r="M1201" s="71" t="s">
        <v>6190</v>
      </c>
      <c r="N1201" s="69" t="s">
        <v>57</v>
      </c>
      <c r="O1201" s="64">
        <v>1</v>
      </c>
      <c r="P1201" s="72">
        <v>14200</v>
      </c>
      <c r="Q1201" s="69" t="s">
        <v>6191</v>
      </c>
      <c r="R1201" s="69"/>
      <c r="S1201" s="121" t="s">
        <v>646</v>
      </c>
      <c r="T1201" s="56">
        <v>29</v>
      </c>
      <c r="U1201" s="56">
        <v>3</v>
      </c>
    </row>
    <row r="1202" spans="1:21" ht="14.25" customHeight="1" thickBot="1" x14ac:dyDescent="0.4">
      <c r="A1202" s="58">
        <v>1186</v>
      </c>
      <c r="B1202" s="69" t="s">
        <v>79</v>
      </c>
      <c r="C1202" s="69" t="s">
        <v>80</v>
      </c>
      <c r="D1202" s="70" t="s">
        <v>6192</v>
      </c>
      <c r="E1202" s="69" t="s">
        <v>594</v>
      </c>
      <c r="F1202" s="69" t="s">
        <v>246</v>
      </c>
      <c r="G1202" s="69" t="s">
        <v>54</v>
      </c>
      <c r="H1202" s="70">
        <v>2008</v>
      </c>
      <c r="I1202" s="69"/>
      <c r="J1202" s="69" t="s">
        <v>6193</v>
      </c>
      <c r="K1202" s="71" t="s">
        <v>6194</v>
      </c>
      <c r="L1202" s="71" t="s">
        <v>6195</v>
      </c>
      <c r="M1202" s="71" t="s">
        <v>6196</v>
      </c>
      <c r="N1202" s="69" t="s">
        <v>57</v>
      </c>
      <c r="O1202" s="64">
        <v>1</v>
      </c>
      <c r="P1202" s="72">
        <v>14200</v>
      </c>
      <c r="Q1202" s="69" t="s">
        <v>6197</v>
      </c>
      <c r="R1202" s="69"/>
      <c r="S1202" s="121" t="s">
        <v>646</v>
      </c>
      <c r="T1202" s="56">
        <v>29</v>
      </c>
      <c r="U1202" s="56">
        <v>3</v>
      </c>
    </row>
    <row r="1203" spans="1:21" ht="14.25" customHeight="1" x14ac:dyDescent="0.35">
      <c r="A1203" s="47">
        <v>1187</v>
      </c>
      <c r="B1203" s="69" t="s">
        <v>79</v>
      </c>
      <c r="C1203" s="69" t="s">
        <v>80</v>
      </c>
      <c r="D1203" s="70" t="s">
        <v>6198</v>
      </c>
      <c r="E1203" s="69" t="s">
        <v>5825</v>
      </c>
      <c r="F1203" s="69" t="s">
        <v>483</v>
      </c>
      <c r="G1203" s="69" t="s">
        <v>54</v>
      </c>
      <c r="H1203" s="70">
        <v>2008</v>
      </c>
      <c r="I1203" s="69"/>
      <c r="J1203" s="69" t="s">
        <v>6199</v>
      </c>
      <c r="K1203" s="71" t="s">
        <v>6200</v>
      </c>
      <c r="L1203" s="71" t="s">
        <v>6201</v>
      </c>
      <c r="M1203" s="71" t="s">
        <v>6202</v>
      </c>
      <c r="N1203" s="69" t="s">
        <v>57</v>
      </c>
      <c r="O1203" s="64">
        <v>1</v>
      </c>
      <c r="P1203" s="72">
        <v>19302</v>
      </c>
      <c r="Q1203" s="69" t="s">
        <v>6203</v>
      </c>
      <c r="R1203" s="69"/>
      <c r="S1203" s="121" t="s">
        <v>646</v>
      </c>
      <c r="T1203" s="56">
        <v>29</v>
      </c>
      <c r="U1203" s="56">
        <v>3</v>
      </c>
    </row>
    <row r="1204" spans="1:21" ht="14.25" customHeight="1" thickBot="1" x14ac:dyDescent="0.4">
      <c r="A1204" s="58">
        <v>1188</v>
      </c>
      <c r="B1204" s="69" t="s">
        <v>79</v>
      </c>
      <c r="C1204" s="69" t="s">
        <v>80</v>
      </c>
      <c r="D1204" s="70" t="s">
        <v>6204</v>
      </c>
      <c r="E1204" s="69" t="s">
        <v>5825</v>
      </c>
      <c r="F1204" s="69" t="s">
        <v>483</v>
      </c>
      <c r="G1204" s="69" t="s">
        <v>54</v>
      </c>
      <c r="H1204" s="70">
        <v>2008</v>
      </c>
      <c r="I1204" s="69"/>
      <c r="J1204" s="69" t="s">
        <v>6205</v>
      </c>
      <c r="K1204" s="71" t="s">
        <v>6206</v>
      </c>
      <c r="L1204" s="71" t="s">
        <v>6207</v>
      </c>
      <c r="M1204" s="71" t="s">
        <v>6208</v>
      </c>
      <c r="N1204" s="69" t="s">
        <v>57</v>
      </c>
      <c r="O1204" s="64">
        <v>1</v>
      </c>
      <c r="P1204" s="72">
        <v>19302</v>
      </c>
      <c r="Q1204" s="69" t="s">
        <v>6209</v>
      </c>
      <c r="R1204" s="69"/>
      <c r="S1204" s="121" t="s">
        <v>646</v>
      </c>
      <c r="T1204" s="56">
        <v>29</v>
      </c>
      <c r="U1204" s="56">
        <v>3</v>
      </c>
    </row>
    <row r="1205" spans="1:21" ht="14.25" customHeight="1" x14ac:dyDescent="0.35">
      <c r="A1205" s="47">
        <v>1189</v>
      </c>
      <c r="B1205" s="69" t="s">
        <v>79</v>
      </c>
      <c r="C1205" s="69" t="s">
        <v>80</v>
      </c>
      <c r="D1205" s="70" t="s">
        <v>6210</v>
      </c>
      <c r="E1205" s="69" t="s">
        <v>5825</v>
      </c>
      <c r="F1205" s="69" t="s">
        <v>483</v>
      </c>
      <c r="G1205" s="69" t="s">
        <v>54</v>
      </c>
      <c r="H1205" s="70">
        <v>2008</v>
      </c>
      <c r="I1205" s="69"/>
      <c r="J1205" s="69" t="s">
        <v>6211</v>
      </c>
      <c r="K1205" s="71" t="s">
        <v>6212</v>
      </c>
      <c r="L1205" s="71" t="s">
        <v>6213</v>
      </c>
      <c r="M1205" s="71" t="s">
        <v>6214</v>
      </c>
      <c r="N1205" s="69" t="s">
        <v>57</v>
      </c>
      <c r="O1205" s="64">
        <v>1</v>
      </c>
      <c r="P1205" s="72">
        <v>19302</v>
      </c>
      <c r="Q1205" s="69" t="s">
        <v>6215</v>
      </c>
      <c r="R1205" s="69"/>
      <c r="S1205" s="121" t="s">
        <v>646</v>
      </c>
      <c r="T1205" s="56">
        <v>29</v>
      </c>
      <c r="U1205" s="56">
        <v>3</v>
      </c>
    </row>
    <row r="1206" spans="1:21" ht="14.25" customHeight="1" thickBot="1" x14ac:dyDescent="0.4">
      <c r="A1206" s="58">
        <v>1190</v>
      </c>
      <c r="B1206" s="69" t="s">
        <v>79</v>
      </c>
      <c r="C1206" s="69" t="s">
        <v>80</v>
      </c>
      <c r="D1206" s="70" t="s">
        <v>6216</v>
      </c>
      <c r="E1206" s="69" t="s">
        <v>5825</v>
      </c>
      <c r="F1206" s="69" t="s">
        <v>483</v>
      </c>
      <c r="G1206" s="69" t="s">
        <v>54</v>
      </c>
      <c r="H1206" s="70">
        <v>2008</v>
      </c>
      <c r="I1206" s="69"/>
      <c r="J1206" s="69" t="s">
        <v>6217</v>
      </c>
      <c r="K1206" s="71" t="s">
        <v>6218</v>
      </c>
      <c r="L1206" s="71" t="s">
        <v>6219</v>
      </c>
      <c r="M1206" s="71" t="s">
        <v>6220</v>
      </c>
      <c r="N1206" s="69" t="s">
        <v>57</v>
      </c>
      <c r="O1206" s="64">
        <v>1</v>
      </c>
      <c r="P1206" s="72">
        <v>19302</v>
      </c>
      <c r="Q1206" s="69" t="s">
        <v>6221</v>
      </c>
      <c r="R1206" s="69"/>
      <c r="S1206" s="121" t="s">
        <v>646</v>
      </c>
      <c r="T1206" s="56">
        <v>29</v>
      </c>
      <c r="U1206" s="56">
        <v>3</v>
      </c>
    </row>
    <row r="1207" spans="1:21" ht="14.25" customHeight="1" x14ac:dyDescent="0.35">
      <c r="A1207" s="47">
        <v>1191</v>
      </c>
      <c r="B1207" s="69" t="s">
        <v>79</v>
      </c>
      <c r="C1207" s="69" t="s">
        <v>80</v>
      </c>
      <c r="D1207" s="70" t="s">
        <v>6222</v>
      </c>
      <c r="E1207" s="69" t="s">
        <v>5825</v>
      </c>
      <c r="F1207" s="69" t="s">
        <v>483</v>
      </c>
      <c r="G1207" s="69" t="s">
        <v>54</v>
      </c>
      <c r="H1207" s="70">
        <v>2008</v>
      </c>
      <c r="I1207" s="69"/>
      <c r="J1207" s="69" t="s">
        <v>6223</v>
      </c>
      <c r="K1207" s="71" t="s">
        <v>6224</v>
      </c>
      <c r="L1207" s="71" t="s">
        <v>6225</v>
      </c>
      <c r="M1207" s="71" t="s">
        <v>6226</v>
      </c>
      <c r="N1207" s="69" t="s">
        <v>57</v>
      </c>
      <c r="O1207" s="64">
        <v>1</v>
      </c>
      <c r="P1207" s="72">
        <v>19302</v>
      </c>
      <c r="Q1207" s="69" t="s">
        <v>6227</v>
      </c>
      <c r="R1207" s="69"/>
      <c r="S1207" s="121" t="s">
        <v>646</v>
      </c>
      <c r="T1207" s="56">
        <v>29</v>
      </c>
      <c r="U1207" s="56">
        <v>3</v>
      </c>
    </row>
    <row r="1208" spans="1:21" ht="14.25" customHeight="1" thickBot="1" x14ac:dyDescent="0.4">
      <c r="A1208" s="58">
        <v>1192</v>
      </c>
      <c r="B1208" s="69" t="s">
        <v>79</v>
      </c>
      <c r="C1208" s="69" t="s">
        <v>80</v>
      </c>
      <c r="D1208" s="70" t="s">
        <v>6228</v>
      </c>
      <c r="E1208" s="69" t="s">
        <v>5825</v>
      </c>
      <c r="F1208" s="69" t="s">
        <v>483</v>
      </c>
      <c r="G1208" s="69" t="s">
        <v>54</v>
      </c>
      <c r="H1208" s="70">
        <v>2008</v>
      </c>
      <c r="I1208" s="69"/>
      <c r="J1208" s="69" t="s">
        <v>6229</v>
      </c>
      <c r="K1208" s="71" t="s">
        <v>6230</v>
      </c>
      <c r="L1208" s="71" t="s">
        <v>6231</v>
      </c>
      <c r="M1208" s="71" t="s">
        <v>6232</v>
      </c>
      <c r="N1208" s="69" t="s">
        <v>57</v>
      </c>
      <c r="O1208" s="64">
        <v>1</v>
      </c>
      <c r="P1208" s="72">
        <v>19302</v>
      </c>
      <c r="Q1208" s="69" t="s">
        <v>6233</v>
      </c>
      <c r="R1208" s="69"/>
      <c r="S1208" s="121" t="s">
        <v>646</v>
      </c>
      <c r="T1208" s="56">
        <v>29</v>
      </c>
      <c r="U1208" s="56">
        <v>3</v>
      </c>
    </row>
    <row r="1209" spans="1:21" ht="14.25" customHeight="1" x14ac:dyDescent="0.35">
      <c r="A1209" s="47">
        <v>1193</v>
      </c>
      <c r="B1209" s="69" t="s">
        <v>79</v>
      </c>
      <c r="C1209" s="69" t="s">
        <v>80</v>
      </c>
      <c r="D1209" s="70" t="s">
        <v>6234</v>
      </c>
      <c r="E1209" s="69" t="s">
        <v>5825</v>
      </c>
      <c r="F1209" s="69" t="s">
        <v>483</v>
      </c>
      <c r="G1209" s="69" t="s">
        <v>54</v>
      </c>
      <c r="H1209" s="70">
        <v>2008</v>
      </c>
      <c r="I1209" s="69"/>
      <c r="J1209" s="69" t="s">
        <v>6235</v>
      </c>
      <c r="K1209" s="71" t="s">
        <v>6236</v>
      </c>
      <c r="L1209" s="71" t="s">
        <v>6237</v>
      </c>
      <c r="M1209" s="71" t="s">
        <v>6238</v>
      </c>
      <c r="N1209" s="69" t="s">
        <v>57</v>
      </c>
      <c r="O1209" s="64">
        <v>1</v>
      </c>
      <c r="P1209" s="72">
        <v>19302</v>
      </c>
      <c r="Q1209" s="69" t="s">
        <v>6239</v>
      </c>
      <c r="R1209" s="69"/>
      <c r="S1209" s="121" t="s">
        <v>646</v>
      </c>
      <c r="T1209" s="56">
        <v>29</v>
      </c>
      <c r="U1209" s="56">
        <v>3</v>
      </c>
    </row>
    <row r="1210" spans="1:21" ht="14.25" customHeight="1" thickBot="1" x14ac:dyDescent="0.4">
      <c r="A1210" s="58">
        <v>1194</v>
      </c>
      <c r="B1210" s="69" t="s">
        <v>79</v>
      </c>
      <c r="C1210" s="69" t="s">
        <v>80</v>
      </c>
      <c r="D1210" s="70" t="s">
        <v>6240</v>
      </c>
      <c r="E1210" s="69" t="s">
        <v>5825</v>
      </c>
      <c r="F1210" s="69" t="s">
        <v>483</v>
      </c>
      <c r="G1210" s="69" t="s">
        <v>54</v>
      </c>
      <c r="H1210" s="70">
        <v>2008</v>
      </c>
      <c r="I1210" s="69"/>
      <c r="J1210" s="69" t="s">
        <v>6241</v>
      </c>
      <c r="K1210" s="71" t="s">
        <v>6242</v>
      </c>
      <c r="L1210" s="71" t="s">
        <v>6243</v>
      </c>
      <c r="M1210" s="71" t="s">
        <v>6244</v>
      </c>
      <c r="N1210" s="69" t="s">
        <v>57</v>
      </c>
      <c r="O1210" s="64">
        <v>1</v>
      </c>
      <c r="P1210" s="72">
        <v>19302</v>
      </c>
      <c r="Q1210" s="69" t="s">
        <v>6245</v>
      </c>
      <c r="R1210" s="69"/>
      <c r="S1210" s="121" t="s">
        <v>646</v>
      </c>
      <c r="T1210" s="56">
        <v>29</v>
      </c>
      <c r="U1210" s="56">
        <v>3</v>
      </c>
    </row>
    <row r="1211" spans="1:21" ht="14.25" customHeight="1" x14ac:dyDescent="0.35">
      <c r="A1211" s="47">
        <v>1195</v>
      </c>
      <c r="B1211" s="69" t="s">
        <v>79</v>
      </c>
      <c r="C1211" s="69" t="s">
        <v>80</v>
      </c>
      <c r="D1211" s="70" t="s">
        <v>6246</v>
      </c>
      <c r="E1211" s="69" t="s">
        <v>5825</v>
      </c>
      <c r="F1211" s="69" t="s">
        <v>483</v>
      </c>
      <c r="G1211" s="69" t="s">
        <v>54</v>
      </c>
      <c r="H1211" s="70">
        <v>2008</v>
      </c>
      <c r="I1211" s="69"/>
      <c r="J1211" s="69" t="s">
        <v>6247</v>
      </c>
      <c r="K1211" s="71" t="s">
        <v>6248</v>
      </c>
      <c r="L1211" s="71" t="s">
        <v>6249</v>
      </c>
      <c r="M1211" s="71" t="s">
        <v>6250</v>
      </c>
      <c r="N1211" s="69" t="s">
        <v>57</v>
      </c>
      <c r="O1211" s="64">
        <v>1</v>
      </c>
      <c r="P1211" s="72">
        <v>19302</v>
      </c>
      <c r="Q1211" s="69" t="s">
        <v>6251</v>
      </c>
      <c r="R1211" s="69"/>
      <c r="S1211" s="121" t="s">
        <v>646</v>
      </c>
      <c r="T1211" s="56">
        <v>29</v>
      </c>
      <c r="U1211" s="56">
        <v>3</v>
      </c>
    </row>
    <row r="1212" spans="1:21" ht="14.25" customHeight="1" thickBot="1" x14ac:dyDescent="0.4">
      <c r="A1212" s="58">
        <v>1196</v>
      </c>
      <c r="B1212" s="69" t="s">
        <v>79</v>
      </c>
      <c r="C1212" s="69" t="s">
        <v>80</v>
      </c>
      <c r="D1212" s="70" t="s">
        <v>6252</v>
      </c>
      <c r="E1212" s="69" t="s">
        <v>5825</v>
      </c>
      <c r="F1212" s="69" t="s">
        <v>483</v>
      </c>
      <c r="G1212" s="69" t="s">
        <v>54</v>
      </c>
      <c r="H1212" s="70">
        <v>2008</v>
      </c>
      <c r="I1212" s="69"/>
      <c r="J1212" s="69" t="s">
        <v>6253</v>
      </c>
      <c r="K1212" s="71" t="s">
        <v>6254</v>
      </c>
      <c r="L1212" s="71" t="s">
        <v>6255</v>
      </c>
      <c r="M1212" s="71" t="s">
        <v>6256</v>
      </c>
      <c r="N1212" s="69" t="s">
        <v>57</v>
      </c>
      <c r="O1212" s="64">
        <v>1</v>
      </c>
      <c r="P1212" s="72">
        <v>19302</v>
      </c>
      <c r="Q1212" s="69" t="s">
        <v>6257</v>
      </c>
      <c r="R1212" s="69"/>
      <c r="S1212" s="121" t="s">
        <v>646</v>
      </c>
      <c r="T1212" s="56">
        <v>29</v>
      </c>
      <c r="U1212" s="56">
        <v>3</v>
      </c>
    </row>
    <row r="1213" spans="1:21" ht="14.25" customHeight="1" x14ac:dyDescent="0.35">
      <c r="A1213" s="47">
        <v>1197</v>
      </c>
      <c r="B1213" s="69" t="s">
        <v>79</v>
      </c>
      <c r="C1213" s="69" t="s">
        <v>80</v>
      </c>
      <c r="D1213" s="70" t="s">
        <v>6258</v>
      </c>
      <c r="E1213" s="69" t="s">
        <v>5825</v>
      </c>
      <c r="F1213" s="69" t="s">
        <v>483</v>
      </c>
      <c r="G1213" s="69" t="s">
        <v>54</v>
      </c>
      <c r="H1213" s="70">
        <v>2008</v>
      </c>
      <c r="I1213" s="69"/>
      <c r="J1213" s="69" t="s">
        <v>6259</v>
      </c>
      <c r="K1213" s="71" t="s">
        <v>6260</v>
      </c>
      <c r="L1213" s="71" t="s">
        <v>6261</v>
      </c>
      <c r="M1213" s="71" t="s">
        <v>63</v>
      </c>
      <c r="N1213" s="69" t="s">
        <v>57</v>
      </c>
      <c r="O1213" s="64">
        <v>1</v>
      </c>
      <c r="P1213" s="72">
        <v>19302</v>
      </c>
      <c r="Q1213" s="69" t="s">
        <v>6262</v>
      </c>
      <c r="R1213" s="69"/>
      <c r="S1213" s="121" t="s">
        <v>646</v>
      </c>
      <c r="T1213" s="56">
        <v>29</v>
      </c>
      <c r="U1213" s="56">
        <v>3</v>
      </c>
    </row>
    <row r="1214" spans="1:21" ht="14.25" customHeight="1" thickBot="1" x14ac:dyDescent="0.4">
      <c r="A1214" s="58">
        <v>1198</v>
      </c>
      <c r="B1214" s="69" t="s">
        <v>79</v>
      </c>
      <c r="C1214" s="69" t="s">
        <v>80</v>
      </c>
      <c r="D1214" s="70" t="s">
        <v>6263</v>
      </c>
      <c r="E1214" s="69" t="s">
        <v>6264</v>
      </c>
      <c r="F1214" s="69" t="s">
        <v>6265</v>
      </c>
      <c r="G1214" s="69" t="s">
        <v>54</v>
      </c>
      <c r="H1214" s="70">
        <v>2008</v>
      </c>
      <c r="I1214" s="69"/>
      <c r="J1214" s="69" t="s">
        <v>6266</v>
      </c>
      <c r="K1214" s="71" t="s">
        <v>6267</v>
      </c>
      <c r="L1214" s="71" t="s">
        <v>6268</v>
      </c>
      <c r="M1214" s="71" t="s">
        <v>6269</v>
      </c>
      <c r="N1214" s="69" t="s">
        <v>57</v>
      </c>
      <c r="O1214" s="64">
        <v>1</v>
      </c>
      <c r="P1214" s="72">
        <v>24950</v>
      </c>
      <c r="Q1214" s="69" t="s">
        <v>6270</v>
      </c>
      <c r="R1214" s="69"/>
      <c r="S1214" s="121" t="s">
        <v>646</v>
      </c>
      <c r="T1214" s="56">
        <v>29</v>
      </c>
      <c r="U1214" s="56">
        <v>3</v>
      </c>
    </row>
    <row r="1215" spans="1:21" ht="14.25" customHeight="1" x14ac:dyDescent="0.35">
      <c r="A1215" s="47">
        <v>1199</v>
      </c>
      <c r="B1215" s="69" t="s">
        <v>79</v>
      </c>
      <c r="C1215" s="69" t="s">
        <v>80</v>
      </c>
      <c r="D1215" s="70" t="s">
        <v>6271</v>
      </c>
      <c r="E1215" s="69" t="s">
        <v>6272</v>
      </c>
      <c r="F1215" s="69" t="s">
        <v>88</v>
      </c>
      <c r="G1215" s="69" t="s">
        <v>247</v>
      </c>
      <c r="H1215" s="70">
        <v>2011</v>
      </c>
      <c r="I1215" s="69"/>
      <c r="J1215" s="69" t="s">
        <v>6273</v>
      </c>
      <c r="K1215" s="71" t="s">
        <v>6274</v>
      </c>
      <c r="L1215" s="71" t="s">
        <v>6275</v>
      </c>
      <c r="M1215" s="71" t="s">
        <v>6276</v>
      </c>
      <c r="N1215" s="69" t="s">
        <v>57</v>
      </c>
      <c r="O1215" s="64">
        <v>1</v>
      </c>
      <c r="P1215" s="72">
        <v>16584</v>
      </c>
      <c r="Q1215" s="69" t="s">
        <v>6277</v>
      </c>
      <c r="R1215" s="69"/>
      <c r="S1215" s="121" t="s">
        <v>646</v>
      </c>
      <c r="T1215" s="56">
        <v>29</v>
      </c>
      <c r="U1215" s="56">
        <v>3</v>
      </c>
    </row>
    <row r="1216" spans="1:21" ht="14.25" customHeight="1" thickBot="1" x14ac:dyDescent="0.4">
      <c r="A1216" s="58">
        <v>1200</v>
      </c>
      <c r="B1216" s="69" t="s">
        <v>79</v>
      </c>
      <c r="C1216" s="69" t="s">
        <v>80</v>
      </c>
      <c r="D1216" s="70" t="s">
        <v>2766</v>
      </c>
      <c r="E1216" s="69" t="s">
        <v>6278</v>
      </c>
      <c r="F1216" s="69" t="s">
        <v>2386</v>
      </c>
      <c r="G1216" s="69" t="s">
        <v>140</v>
      </c>
      <c r="H1216" s="70">
        <v>2023</v>
      </c>
      <c r="I1216" s="69" t="s">
        <v>63</v>
      </c>
      <c r="J1216" s="69" t="s">
        <v>6279</v>
      </c>
      <c r="K1216" s="71" t="s">
        <v>6280</v>
      </c>
      <c r="L1216" s="71" t="s">
        <v>6281</v>
      </c>
      <c r="M1216" s="71" t="s">
        <v>6282</v>
      </c>
      <c r="N1216" s="69" t="s">
        <v>44</v>
      </c>
      <c r="O1216" s="64">
        <v>1</v>
      </c>
      <c r="P1216" s="72">
        <v>24893</v>
      </c>
      <c r="Q1216" s="69" t="s">
        <v>6283</v>
      </c>
      <c r="R1216" s="69"/>
      <c r="S1216" s="121" t="s">
        <v>646</v>
      </c>
      <c r="T1216" s="56">
        <v>29</v>
      </c>
      <c r="U1216" s="56">
        <v>3</v>
      </c>
    </row>
    <row r="1217" spans="1:21" ht="14.25" customHeight="1" x14ac:dyDescent="0.35">
      <c r="A1217" s="47">
        <v>1201</v>
      </c>
      <c r="B1217" s="69" t="s">
        <v>79</v>
      </c>
      <c r="C1217" s="69" t="s">
        <v>80</v>
      </c>
      <c r="D1217" s="70" t="s">
        <v>6284</v>
      </c>
      <c r="E1217" s="69" t="s">
        <v>6278</v>
      </c>
      <c r="F1217" s="69" t="s">
        <v>2386</v>
      </c>
      <c r="G1217" s="69" t="s">
        <v>140</v>
      </c>
      <c r="H1217" s="70">
        <v>2023</v>
      </c>
      <c r="I1217" s="69" t="s">
        <v>63</v>
      </c>
      <c r="J1217" s="69" t="s">
        <v>6285</v>
      </c>
      <c r="K1217" s="71" t="s">
        <v>6286</v>
      </c>
      <c r="L1217" s="71" t="s">
        <v>6287</v>
      </c>
      <c r="M1217" s="71" t="s">
        <v>6288</v>
      </c>
      <c r="N1217" s="69" t="s">
        <v>44</v>
      </c>
      <c r="O1217" s="64">
        <v>1</v>
      </c>
      <c r="P1217" s="72">
        <v>24893</v>
      </c>
      <c r="Q1217" s="69" t="s">
        <v>6289</v>
      </c>
      <c r="R1217" s="69"/>
      <c r="S1217" s="121" t="s">
        <v>646</v>
      </c>
      <c r="T1217" s="56">
        <v>29</v>
      </c>
      <c r="U1217" s="56">
        <v>3</v>
      </c>
    </row>
    <row r="1218" spans="1:21" ht="14.25" customHeight="1" thickBot="1" x14ac:dyDescent="0.4">
      <c r="A1218" s="58">
        <v>1202</v>
      </c>
      <c r="B1218" s="69" t="s">
        <v>79</v>
      </c>
      <c r="C1218" s="69" t="s">
        <v>80</v>
      </c>
      <c r="D1218" s="70" t="s">
        <v>6290</v>
      </c>
      <c r="E1218" s="69" t="s">
        <v>6278</v>
      </c>
      <c r="F1218" s="69" t="s">
        <v>2386</v>
      </c>
      <c r="G1218" s="69" t="s">
        <v>140</v>
      </c>
      <c r="H1218" s="70">
        <v>2023</v>
      </c>
      <c r="I1218" s="69" t="s">
        <v>63</v>
      </c>
      <c r="J1218" s="69" t="s">
        <v>6291</v>
      </c>
      <c r="K1218" s="71" t="s">
        <v>6292</v>
      </c>
      <c r="L1218" s="71" t="s">
        <v>6293</v>
      </c>
      <c r="M1218" s="71" t="s">
        <v>6294</v>
      </c>
      <c r="N1218" s="69" t="s">
        <v>44</v>
      </c>
      <c r="O1218" s="64">
        <v>1</v>
      </c>
      <c r="P1218" s="72">
        <v>24893</v>
      </c>
      <c r="Q1218" s="69" t="s">
        <v>6295</v>
      </c>
      <c r="R1218" s="69"/>
      <c r="S1218" s="121" t="s">
        <v>646</v>
      </c>
      <c r="T1218" s="56">
        <v>29</v>
      </c>
      <c r="U1218" s="56">
        <v>3</v>
      </c>
    </row>
    <row r="1219" spans="1:21" ht="14.25" customHeight="1" x14ac:dyDescent="0.35">
      <c r="A1219" s="47">
        <v>1203</v>
      </c>
      <c r="B1219" s="69" t="s">
        <v>79</v>
      </c>
      <c r="C1219" s="69" t="s">
        <v>80</v>
      </c>
      <c r="D1219" s="70" t="s">
        <v>6296</v>
      </c>
      <c r="E1219" s="69" t="s">
        <v>6278</v>
      </c>
      <c r="F1219" s="69" t="s">
        <v>2386</v>
      </c>
      <c r="G1219" s="69" t="s">
        <v>140</v>
      </c>
      <c r="H1219" s="70">
        <v>2023</v>
      </c>
      <c r="I1219" s="69" t="s">
        <v>63</v>
      </c>
      <c r="J1219" s="69" t="s">
        <v>6297</v>
      </c>
      <c r="K1219" s="71" t="s">
        <v>6298</v>
      </c>
      <c r="L1219" s="71" t="s">
        <v>6299</v>
      </c>
      <c r="M1219" s="71" t="s">
        <v>6300</v>
      </c>
      <c r="N1219" s="69" t="s">
        <v>44</v>
      </c>
      <c r="O1219" s="64">
        <v>1</v>
      </c>
      <c r="P1219" s="72">
        <v>24893</v>
      </c>
      <c r="Q1219" s="69" t="s">
        <v>6301</v>
      </c>
      <c r="R1219" s="69"/>
      <c r="S1219" s="121" t="s">
        <v>646</v>
      </c>
      <c r="T1219" s="56">
        <v>29</v>
      </c>
      <c r="U1219" s="56">
        <v>3</v>
      </c>
    </row>
    <row r="1220" spans="1:21" ht="14.25" customHeight="1" thickBot="1" x14ac:dyDescent="0.4">
      <c r="A1220" s="58">
        <v>1204</v>
      </c>
      <c r="B1220" s="69" t="s">
        <v>79</v>
      </c>
      <c r="C1220" s="69" t="s">
        <v>80</v>
      </c>
      <c r="D1220" s="70" t="s">
        <v>6302</v>
      </c>
      <c r="E1220" s="69" t="s">
        <v>6278</v>
      </c>
      <c r="F1220" s="69" t="s">
        <v>2386</v>
      </c>
      <c r="G1220" s="69" t="s">
        <v>140</v>
      </c>
      <c r="H1220" s="70">
        <v>2023</v>
      </c>
      <c r="I1220" s="69" t="s">
        <v>63</v>
      </c>
      <c r="J1220" s="69" t="s">
        <v>6303</v>
      </c>
      <c r="K1220" s="71" t="s">
        <v>6304</v>
      </c>
      <c r="L1220" s="71" t="s">
        <v>6305</v>
      </c>
      <c r="M1220" s="71" t="s">
        <v>6306</v>
      </c>
      <c r="N1220" s="69" t="s">
        <v>44</v>
      </c>
      <c r="O1220" s="64">
        <v>1</v>
      </c>
      <c r="P1220" s="72">
        <v>24893</v>
      </c>
      <c r="Q1220" s="69" t="s">
        <v>5698</v>
      </c>
      <c r="R1220" s="69"/>
      <c r="S1220" s="121" t="s">
        <v>646</v>
      </c>
      <c r="T1220" s="56">
        <v>29</v>
      </c>
      <c r="U1220" s="56">
        <v>3</v>
      </c>
    </row>
    <row r="1221" spans="1:21" ht="14.25" customHeight="1" x14ac:dyDescent="0.35">
      <c r="A1221" s="47">
        <v>1205</v>
      </c>
      <c r="B1221" s="69" t="s">
        <v>79</v>
      </c>
      <c r="C1221" s="69" t="s">
        <v>80</v>
      </c>
      <c r="D1221" s="70" t="s">
        <v>6307</v>
      </c>
      <c r="E1221" s="69" t="s">
        <v>6278</v>
      </c>
      <c r="F1221" s="69" t="s">
        <v>2386</v>
      </c>
      <c r="G1221" s="69" t="s">
        <v>140</v>
      </c>
      <c r="H1221" s="70">
        <v>2023</v>
      </c>
      <c r="I1221" s="69" t="s">
        <v>63</v>
      </c>
      <c r="J1221" s="69" t="s">
        <v>6308</v>
      </c>
      <c r="K1221" s="71" t="s">
        <v>6309</v>
      </c>
      <c r="L1221" s="71" t="s">
        <v>6310</v>
      </c>
      <c r="M1221" s="71" t="s">
        <v>6311</v>
      </c>
      <c r="N1221" s="69" t="s">
        <v>44</v>
      </c>
      <c r="O1221" s="64">
        <v>1</v>
      </c>
      <c r="P1221" s="72">
        <v>24893</v>
      </c>
      <c r="Q1221" s="69" t="s">
        <v>6312</v>
      </c>
      <c r="R1221" s="69"/>
      <c r="S1221" s="121" t="s">
        <v>646</v>
      </c>
      <c r="T1221" s="56">
        <v>29</v>
      </c>
      <c r="U1221" s="56">
        <v>3</v>
      </c>
    </row>
    <row r="1222" spans="1:21" ht="14.25" customHeight="1" thickBot="1" x14ac:dyDescent="0.4">
      <c r="A1222" s="58">
        <v>1206</v>
      </c>
      <c r="B1222" s="69" t="s">
        <v>79</v>
      </c>
      <c r="C1222" s="69" t="s">
        <v>80</v>
      </c>
      <c r="D1222" s="70" t="s">
        <v>6313</v>
      </c>
      <c r="E1222" s="69" t="s">
        <v>6278</v>
      </c>
      <c r="F1222" s="69" t="s">
        <v>1854</v>
      </c>
      <c r="G1222" s="69" t="s">
        <v>140</v>
      </c>
      <c r="H1222" s="70">
        <v>2023</v>
      </c>
      <c r="I1222" s="69" t="s">
        <v>63</v>
      </c>
      <c r="J1222" s="69" t="s">
        <v>6314</v>
      </c>
      <c r="K1222" s="71" t="s">
        <v>6315</v>
      </c>
      <c r="L1222" s="71" t="s">
        <v>6316</v>
      </c>
      <c r="M1222" s="71" t="s">
        <v>6317</v>
      </c>
      <c r="N1222" s="69" t="s">
        <v>44</v>
      </c>
      <c r="O1222" s="64">
        <v>1</v>
      </c>
      <c r="P1222" s="72">
        <v>24893</v>
      </c>
      <c r="Q1222" s="69" t="s">
        <v>6318</v>
      </c>
      <c r="R1222" s="69"/>
      <c r="S1222" s="121" t="s">
        <v>646</v>
      </c>
      <c r="T1222" s="56">
        <v>29</v>
      </c>
      <c r="U1222" s="56">
        <v>3</v>
      </c>
    </row>
    <row r="1223" spans="1:21" ht="14.25" customHeight="1" x14ac:dyDescent="0.35">
      <c r="A1223" s="47">
        <v>1207</v>
      </c>
      <c r="B1223" s="69" t="s">
        <v>79</v>
      </c>
      <c r="C1223" s="69" t="s">
        <v>80</v>
      </c>
      <c r="D1223" s="70" t="s">
        <v>6319</v>
      </c>
      <c r="E1223" s="69" t="s">
        <v>6278</v>
      </c>
      <c r="F1223" s="69" t="s">
        <v>2386</v>
      </c>
      <c r="G1223" s="69" t="s">
        <v>140</v>
      </c>
      <c r="H1223" s="70">
        <v>2023</v>
      </c>
      <c r="I1223" s="69" t="s">
        <v>63</v>
      </c>
      <c r="J1223" s="69" t="s">
        <v>6320</v>
      </c>
      <c r="K1223" s="71" t="s">
        <v>6321</v>
      </c>
      <c r="L1223" s="71" t="s">
        <v>6322</v>
      </c>
      <c r="M1223" s="71" t="s">
        <v>6323</v>
      </c>
      <c r="N1223" s="69" t="s">
        <v>44</v>
      </c>
      <c r="O1223" s="64">
        <v>1</v>
      </c>
      <c r="P1223" s="72">
        <v>24893</v>
      </c>
      <c r="Q1223" s="69" t="s">
        <v>6324</v>
      </c>
      <c r="R1223" s="69"/>
      <c r="S1223" s="121" t="s">
        <v>646</v>
      </c>
      <c r="T1223" s="56">
        <v>29</v>
      </c>
      <c r="U1223" s="56">
        <v>3</v>
      </c>
    </row>
    <row r="1224" spans="1:21" ht="14.25" customHeight="1" thickBot="1" x14ac:dyDescent="0.4">
      <c r="A1224" s="58">
        <v>1208</v>
      </c>
      <c r="B1224" s="69" t="s">
        <v>79</v>
      </c>
      <c r="C1224" s="69" t="s">
        <v>80</v>
      </c>
      <c r="D1224" s="70" t="s">
        <v>6325</v>
      </c>
      <c r="E1224" s="69" t="s">
        <v>6278</v>
      </c>
      <c r="F1224" s="69" t="s">
        <v>6326</v>
      </c>
      <c r="G1224" s="69" t="s">
        <v>140</v>
      </c>
      <c r="H1224" s="70">
        <v>2023</v>
      </c>
      <c r="I1224" s="69" t="s">
        <v>63</v>
      </c>
      <c r="J1224" s="69" t="s">
        <v>6327</v>
      </c>
      <c r="K1224" s="71" t="s">
        <v>6328</v>
      </c>
      <c r="L1224" s="71" t="s">
        <v>6329</v>
      </c>
      <c r="M1224" s="71" t="s">
        <v>6330</v>
      </c>
      <c r="N1224" s="69" t="s">
        <v>44</v>
      </c>
      <c r="O1224" s="64">
        <v>1</v>
      </c>
      <c r="P1224" s="72">
        <v>24893</v>
      </c>
      <c r="Q1224" s="69" t="s">
        <v>6331</v>
      </c>
      <c r="R1224" s="69"/>
      <c r="S1224" s="121" t="s">
        <v>646</v>
      </c>
      <c r="T1224" s="56">
        <v>29</v>
      </c>
      <c r="U1224" s="56">
        <v>3</v>
      </c>
    </row>
    <row r="1225" spans="1:21" ht="14.25" customHeight="1" x14ac:dyDescent="0.35">
      <c r="A1225" s="47">
        <v>1209</v>
      </c>
      <c r="B1225" s="69" t="s">
        <v>79</v>
      </c>
      <c r="C1225" s="69" t="s">
        <v>80</v>
      </c>
      <c r="D1225" s="70" t="s">
        <v>6332</v>
      </c>
      <c r="E1225" s="69" t="s">
        <v>3339</v>
      </c>
      <c r="F1225" s="69" t="s">
        <v>246</v>
      </c>
      <c r="G1225" s="69" t="s">
        <v>54</v>
      </c>
      <c r="H1225" s="70">
        <v>2022</v>
      </c>
      <c r="I1225" s="69" t="s">
        <v>63</v>
      </c>
      <c r="J1225" s="69" t="s">
        <v>6333</v>
      </c>
      <c r="K1225" s="71" t="s">
        <v>6334</v>
      </c>
      <c r="L1225" s="71" t="s">
        <v>6335</v>
      </c>
      <c r="M1225" s="71" t="s">
        <v>6336</v>
      </c>
      <c r="N1225" s="69" t="s">
        <v>44</v>
      </c>
      <c r="O1225" s="64">
        <v>1</v>
      </c>
      <c r="P1225" s="72">
        <v>19234.807000000001</v>
      </c>
      <c r="Q1225" s="69"/>
      <c r="R1225" s="69"/>
      <c r="S1225" s="121" t="s">
        <v>646</v>
      </c>
      <c r="T1225" s="56">
        <v>29</v>
      </c>
      <c r="U1225" s="56">
        <v>3</v>
      </c>
    </row>
    <row r="1226" spans="1:21" ht="14.25" customHeight="1" thickBot="1" x14ac:dyDescent="0.4">
      <c r="A1226" s="58">
        <v>1210</v>
      </c>
      <c r="B1226" s="69" t="s">
        <v>79</v>
      </c>
      <c r="C1226" s="69" t="s">
        <v>80</v>
      </c>
      <c r="D1226" s="70" t="s">
        <v>6337</v>
      </c>
      <c r="E1226" s="69" t="s">
        <v>3352</v>
      </c>
      <c r="F1226" s="69" t="s">
        <v>3353</v>
      </c>
      <c r="G1226" s="69" t="s">
        <v>54</v>
      </c>
      <c r="H1226" s="70">
        <v>2022</v>
      </c>
      <c r="I1226" s="69" t="s">
        <v>63</v>
      </c>
      <c r="J1226" s="69" t="s">
        <v>6338</v>
      </c>
      <c r="K1226" s="71" t="s">
        <v>6339</v>
      </c>
      <c r="L1226" s="71" t="s">
        <v>6340</v>
      </c>
      <c r="M1226" s="71" t="s">
        <v>6341</v>
      </c>
      <c r="N1226" s="69" t="s">
        <v>44</v>
      </c>
      <c r="O1226" s="64">
        <v>1</v>
      </c>
      <c r="P1226" s="72">
        <v>56550</v>
      </c>
      <c r="Q1226" s="69"/>
      <c r="R1226" s="69"/>
      <c r="S1226" s="121" t="s">
        <v>646</v>
      </c>
      <c r="T1226" s="56">
        <v>29</v>
      </c>
      <c r="U1226" s="56">
        <v>3</v>
      </c>
    </row>
    <row r="1227" spans="1:21" ht="14.25" customHeight="1" x14ac:dyDescent="0.35">
      <c r="A1227" s="47">
        <v>1211</v>
      </c>
      <c r="B1227" s="69" t="s">
        <v>79</v>
      </c>
      <c r="C1227" s="69" t="s">
        <v>80</v>
      </c>
      <c r="D1227" s="70" t="s">
        <v>6342</v>
      </c>
      <c r="E1227" s="69" t="s">
        <v>6343</v>
      </c>
      <c r="F1227" s="69"/>
      <c r="G1227" s="69" t="s">
        <v>54</v>
      </c>
      <c r="H1227" s="70">
        <v>2024</v>
      </c>
      <c r="I1227" s="69" t="s">
        <v>63</v>
      </c>
      <c r="J1227" s="69" t="s">
        <v>63</v>
      </c>
      <c r="K1227" s="71" t="s">
        <v>63</v>
      </c>
      <c r="L1227" s="71" t="s">
        <v>63</v>
      </c>
      <c r="M1227" s="71" t="s">
        <v>63</v>
      </c>
      <c r="N1227" s="69" t="s">
        <v>44</v>
      </c>
      <c r="O1227" s="64">
        <v>1</v>
      </c>
      <c r="P1227" s="72">
        <v>362600</v>
      </c>
      <c r="Q1227" s="69" t="s">
        <v>6344</v>
      </c>
      <c r="R1227" s="69"/>
      <c r="S1227" s="121" t="s">
        <v>646</v>
      </c>
      <c r="T1227" s="56">
        <v>29</v>
      </c>
      <c r="U1227" s="56">
        <v>3</v>
      </c>
    </row>
    <row r="1228" spans="1:21" ht="14.25" customHeight="1" thickBot="1" x14ac:dyDescent="0.4">
      <c r="A1228" s="58">
        <v>1212</v>
      </c>
      <c r="B1228" s="69" t="s">
        <v>79</v>
      </c>
      <c r="C1228" s="69" t="s">
        <v>80</v>
      </c>
      <c r="D1228" s="70" t="s">
        <v>6345</v>
      </c>
      <c r="E1228" s="69" t="s">
        <v>147</v>
      </c>
      <c r="F1228" s="69" t="s">
        <v>148</v>
      </c>
      <c r="G1228" s="69" t="s">
        <v>54</v>
      </c>
      <c r="H1228" s="70">
        <v>2015</v>
      </c>
      <c r="I1228" s="69"/>
      <c r="J1228" s="69" t="s">
        <v>6346</v>
      </c>
      <c r="K1228" s="71" t="s">
        <v>6347</v>
      </c>
      <c r="L1228" s="71" t="s">
        <v>6348</v>
      </c>
      <c r="M1228" s="71" t="s">
        <v>6349</v>
      </c>
      <c r="N1228" s="69" t="s">
        <v>57</v>
      </c>
      <c r="O1228" s="64">
        <v>1</v>
      </c>
      <c r="P1228" s="72">
        <v>19430</v>
      </c>
      <c r="Q1228" s="69" t="s">
        <v>6350</v>
      </c>
      <c r="R1228" s="69"/>
      <c r="S1228" s="121" t="s">
        <v>646</v>
      </c>
      <c r="T1228" s="56">
        <v>29</v>
      </c>
      <c r="U1228" s="56">
        <v>3</v>
      </c>
    </row>
    <row r="1229" spans="1:21" ht="14.25" customHeight="1" x14ac:dyDescent="0.35">
      <c r="A1229" s="47">
        <v>1213</v>
      </c>
      <c r="B1229" s="69" t="s">
        <v>79</v>
      </c>
      <c r="C1229" s="69" t="s">
        <v>80</v>
      </c>
      <c r="D1229" s="70" t="s">
        <v>6351</v>
      </c>
      <c r="E1229" s="69" t="s">
        <v>4743</v>
      </c>
      <c r="F1229" s="69" t="s">
        <v>2386</v>
      </c>
      <c r="G1229" s="69" t="s">
        <v>54</v>
      </c>
      <c r="H1229" s="70">
        <v>2012</v>
      </c>
      <c r="I1229" s="69"/>
      <c r="J1229" s="69" t="s">
        <v>6352</v>
      </c>
      <c r="K1229" s="71" t="s">
        <v>6353</v>
      </c>
      <c r="L1229" s="71" t="s">
        <v>6354</v>
      </c>
      <c r="M1229" s="71" t="s">
        <v>6355</v>
      </c>
      <c r="N1229" s="69" t="s">
        <v>57</v>
      </c>
      <c r="O1229" s="64">
        <v>1</v>
      </c>
      <c r="P1229" s="72">
        <v>13587.125</v>
      </c>
      <c r="Q1229" s="69" t="s">
        <v>6356</v>
      </c>
      <c r="R1229" s="69"/>
      <c r="S1229" s="121" t="s">
        <v>646</v>
      </c>
      <c r="T1229" s="56">
        <v>29</v>
      </c>
      <c r="U1229" s="56">
        <v>3</v>
      </c>
    </row>
    <row r="1230" spans="1:21" ht="14.25" customHeight="1" thickBot="1" x14ac:dyDescent="0.4">
      <c r="A1230" s="58">
        <v>1214</v>
      </c>
      <c r="B1230" s="69" t="s">
        <v>2244</v>
      </c>
      <c r="C1230" s="69" t="s">
        <v>2245</v>
      </c>
      <c r="D1230" s="70" t="s">
        <v>51</v>
      </c>
      <c r="E1230" s="69" t="s">
        <v>2246</v>
      </c>
      <c r="F1230" s="69" t="s">
        <v>63</v>
      </c>
      <c r="G1230" s="69" t="s">
        <v>415</v>
      </c>
      <c r="H1230" s="70">
        <v>2019</v>
      </c>
      <c r="I1230" s="69" t="s">
        <v>63</v>
      </c>
      <c r="J1230" s="69" t="s">
        <v>6357</v>
      </c>
      <c r="K1230" s="71" t="s">
        <v>6358</v>
      </c>
      <c r="L1230" s="71" t="s">
        <v>6359</v>
      </c>
      <c r="M1230" s="71" t="s">
        <v>63</v>
      </c>
      <c r="N1230" s="69" t="s">
        <v>57</v>
      </c>
      <c r="O1230" s="64">
        <v>1</v>
      </c>
      <c r="P1230" s="72">
        <v>33000</v>
      </c>
      <c r="Q1230" s="69" t="s">
        <v>63</v>
      </c>
      <c r="R1230" s="69"/>
      <c r="S1230" s="121" t="s">
        <v>646</v>
      </c>
      <c r="T1230" s="56">
        <v>29</v>
      </c>
      <c r="U1230" s="56">
        <v>3</v>
      </c>
    </row>
    <row r="1231" spans="1:21" ht="14.25" customHeight="1" x14ac:dyDescent="0.35">
      <c r="A1231" s="47">
        <v>1215</v>
      </c>
      <c r="B1231" s="69" t="s">
        <v>2244</v>
      </c>
      <c r="C1231" s="69" t="s">
        <v>2245</v>
      </c>
      <c r="D1231" s="70" t="s">
        <v>97</v>
      </c>
      <c r="E1231" s="69" t="s">
        <v>4859</v>
      </c>
      <c r="F1231" s="69" t="s">
        <v>88</v>
      </c>
      <c r="G1231" s="69" t="s">
        <v>2954</v>
      </c>
      <c r="H1231" s="70">
        <v>2020</v>
      </c>
      <c r="I1231" s="69" t="s">
        <v>63</v>
      </c>
      <c r="J1231" s="69" t="s">
        <v>6360</v>
      </c>
      <c r="K1231" s="71" t="s">
        <v>6361</v>
      </c>
      <c r="L1231" s="71" t="s">
        <v>6362</v>
      </c>
      <c r="M1231" s="71" t="s">
        <v>63</v>
      </c>
      <c r="N1231" s="69" t="s">
        <v>57</v>
      </c>
      <c r="O1231" s="64">
        <v>1</v>
      </c>
      <c r="P1231" s="72">
        <v>21300</v>
      </c>
      <c r="Q1231" s="69" t="s">
        <v>7913</v>
      </c>
      <c r="R1231" s="69"/>
      <c r="S1231" s="121" t="s">
        <v>646</v>
      </c>
      <c r="T1231" s="56">
        <v>29</v>
      </c>
      <c r="U1231" s="56">
        <v>3</v>
      </c>
    </row>
    <row r="1232" spans="1:21" ht="14.25" customHeight="1" thickBot="1" x14ac:dyDescent="0.4">
      <c r="A1232" s="58">
        <v>1216</v>
      </c>
      <c r="B1232" s="69" t="s">
        <v>58</v>
      </c>
      <c r="C1232" s="69" t="s">
        <v>50</v>
      </c>
      <c r="D1232" s="70" t="s">
        <v>51</v>
      </c>
      <c r="E1232" s="69" t="s">
        <v>6363</v>
      </c>
      <c r="F1232" s="69" t="s">
        <v>1640</v>
      </c>
      <c r="G1232" s="69" t="s">
        <v>140</v>
      </c>
      <c r="H1232" s="70">
        <v>2011</v>
      </c>
      <c r="I1232" s="69"/>
      <c r="J1232" s="69" t="s">
        <v>6364</v>
      </c>
      <c r="K1232" s="71" t="s">
        <v>6365</v>
      </c>
      <c r="L1232" s="71" t="s">
        <v>6366</v>
      </c>
      <c r="M1232" s="71" t="s">
        <v>6367</v>
      </c>
      <c r="N1232" s="69" t="s">
        <v>57</v>
      </c>
      <c r="O1232" s="64">
        <v>1</v>
      </c>
      <c r="P1232" s="72">
        <v>271285</v>
      </c>
      <c r="Q1232" s="69" t="s">
        <v>6368</v>
      </c>
      <c r="R1232" s="69"/>
      <c r="S1232" s="121" t="s">
        <v>665</v>
      </c>
      <c r="T1232" s="56">
        <v>30</v>
      </c>
      <c r="U1232" s="56">
        <v>4</v>
      </c>
    </row>
    <row r="1233" spans="1:21" ht="14.25" customHeight="1" x14ac:dyDescent="0.35">
      <c r="A1233" s="47">
        <v>1217</v>
      </c>
      <c r="B1233" s="69" t="s">
        <v>1806</v>
      </c>
      <c r="C1233" s="69" t="s">
        <v>1807</v>
      </c>
      <c r="D1233" s="70" t="s">
        <v>59</v>
      </c>
      <c r="E1233" s="69" t="s">
        <v>6369</v>
      </c>
      <c r="F1233" s="69" t="s">
        <v>4346</v>
      </c>
      <c r="G1233" s="69" t="s">
        <v>140</v>
      </c>
      <c r="H1233" s="70">
        <v>2024</v>
      </c>
      <c r="I1233" s="69" t="s">
        <v>63</v>
      </c>
      <c r="J1233" s="69" t="s">
        <v>6370</v>
      </c>
      <c r="K1233" s="71" t="s">
        <v>6371</v>
      </c>
      <c r="L1233" s="71" t="s">
        <v>6372</v>
      </c>
      <c r="M1233" s="71" t="s">
        <v>6373</v>
      </c>
      <c r="N1233" s="69" t="s">
        <v>44</v>
      </c>
      <c r="O1233" s="64">
        <v>1</v>
      </c>
      <c r="P1233" s="72">
        <v>424000</v>
      </c>
      <c r="Q1233" s="69" t="s">
        <v>6374</v>
      </c>
      <c r="R1233" s="69"/>
      <c r="S1233" s="121" t="s">
        <v>665</v>
      </c>
      <c r="T1233" s="56">
        <v>30</v>
      </c>
      <c r="U1233" s="56">
        <v>4</v>
      </c>
    </row>
    <row r="1234" spans="1:21" ht="14.25" customHeight="1" thickBot="1" x14ac:dyDescent="0.4">
      <c r="A1234" s="58">
        <v>1218</v>
      </c>
      <c r="B1234" s="69" t="s">
        <v>70</v>
      </c>
      <c r="C1234" s="69" t="s">
        <v>71</v>
      </c>
      <c r="D1234" s="70" t="s">
        <v>59</v>
      </c>
      <c r="E1234" s="69" t="s">
        <v>6375</v>
      </c>
      <c r="F1234" s="69" t="s">
        <v>4346</v>
      </c>
      <c r="G1234" s="69" t="s">
        <v>140</v>
      </c>
      <c r="H1234" s="70">
        <v>2024</v>
      </c>
      <c r="I1234" s="69" t="s">
        <v>63</v>
      </c>
      <c r="J1234" s="69" t="s">
        <v>6376</v>
      </c>
      <c r="K1234" s="71" t="s">
        <v>6377</v>
      </c>
      <c r="L1234" s="71" t="s">
        <v>6378</v>
      </c>
      <c r="M1234" s="71" t="s">
        <v>6379</v>
      </c>
      <c r="N1234" s="69" t="s">
        <v>44</v>
      </c>
      <c r="O1234" s="64">
        <v>1</v>
      </c>
      <c r="P1234" s="72">
        <v>478300</v>
      </c>
      <c r="Q1234" s="69" t="s">
        <v>6380</v>
      </c>
      <c r="R1234" s="69"/>
      <c r="S1234" s="121" t="s">
        <v>665</v>
      </c>
      <c r="T1234" s="56">
        <v>30</v>
      </c>
      <c r="U1234" s="56">
        <v>4</v>
      </c>
    </row>
    <row r="1235" spans="1:21" ht="14.25" customHeight="1" x14ac:dyDescent="0.35">
      <c r="A1235" s="47">
        <v>1219</v>
      </c>
      <c r="B1235" s="69" t="s">
        <v>79</v>
      </c>
      <c r="C1235" s="69" t="s">
        <v>80</v>
      </c>
      <c r="D1235" s="70" t="s">
        <v>51</v>
      </c>
      <c r="E1235" s="69" t="s">
        <v>6381</v>
      </c>
      <c r="F1235" s="69" t="s">
        <v>82</v>
      </c>
      <c r="G1235" s="69" t="s">
        <v>54</v>
      </c>
      <c r="H1235" s="70">
        <v>2004</v>
      </c>
      <c r="I1235" s="69"/>
      <c r="J1235" s="69" t="s">
        <v>6382</v>
      </c>
      <c r="K1235" s="71" t="s">
        <v>6383</v>
      </c>
      <c r="L1235" s="71" t="s">
        <v>6384</v>
      </c>
      <c r="M1235" s="71" t="s">
        <v>6385</v>
      </c>
      <c r="N1235" s="69" t="s">
        <v>57</v>
      </c>
      <c r="O1235" s="64">
        <v>1</v>
      </c>
      <c r="P1235" s="72">
        <v>11750</v>
      </c>
      <c r="Q1235" s="69" t="s">
        <v>6386</v>
      </c>
      <c r="R1235" s="69"/>
      <c r="S1235" s="121" t="s">
        <v>665</v>
      </c>
      <c r="T1235" s="56">
        <v>30</v>
      </c>
      <c r="U1235" s="56">
        <v>3</v>
      </c>
    </row>
    <row r="1236" spans="1:21" ht="14.25" customHeight="1" thickBot="1" x14ac:dyDescent="0.4">
      <c r="A1236" s="58">
        <v>1220</v>
      </c>
      <c r="B1236" s="69" t="s">
        <v>79</v>
      </c>
      <c r="C1236" s="69" t="s">
        <v>80</v>
      </c>
      <c r="D1236" s="70" t="s">
        <v>59</v>
      </c>
      <c r="E1236" s="69" t="s">
        <v>6387</v>
      </c>
      <c r="F1236" s="69" t="s">
        <v>443</v>
      </c>
      <c r="G1236" s="69" t="s">
        <v>140</v>
      </c>
      <c r="H1236" s="70">
        <v>2005</v>
      </c>
      <c r="I1236" s="69"/>
      <c r="J1236" s="69" t="s">
        <v>6388</v>
      </c>
      <c r="K1236" s="71" t="s">
        <v>6389</v>
      </c>
      <c r="L1236" s="71" t="s">
        <v>6390</v>
      </c>
      <c r="M1236" s="71" t="s">
        <v>6391</v>
      </c>
      <c r="N1236" s="69" t="s">
        <v>57</v>
      </c>
      <c r="O1236" s="64">
        <v>1</v>
      </c>
      <c r="P1236" s="72">
        <v>12855</v>
      </c>
      <c r="Q1236" s="69"/>
      <c r="R1236" s="69"/>
      <c r="S1236" s="121" t="s">
        <v>665</v>
      </c>
      <c r="T1236" s="56">
        <v>30</v>
      </c>
      <c r="U1236" s="56">
        <v>3</v>
      </c>
    </row>
    <row r="1237" spans="1:21" ht="14.25" customHeight="1" x14ac:dyDescent="0.35">
      <c r="A1237" s="47">
        <v>1221</v>
      </c>
      <c r="B1237" s="69" t="s">
        <v>79</v>
      </c>
      <c r="C1237" s="69" t="s">
        <v>80</v>
      </c>
      <c r="D1237" s="70" t="s">
        <v>97</v>
      </c>
      <c r="E1237" s="69" t="s">
        <v>6387</v>
      </c>
      <c r="F1237" s="69" t="s">
        <v>443</v>
      </c>
      <c r="G1237" s="69" t="s">
        <v>140</v>
      </c>
      <c r="H1237" s="70">
        <v>2005</v>
      </c>
      <c r="I1237" s="69"/>
      <c r="J1237" s="69" t="s">
        <v>6392</v>
      </c>
      <c r="K1237" s="71" t="s">
        <v>6393</v>
      </c>
      <c r="L1237" s="71" t="s">
        <v>6394</v>
      </c>
      <c r="M1237" s="71" t="s">
        <v>6395</v>
      </c>
      <c r="N1237" s="69" t="s">
        <v>57</v>
      </c>
      <c r="O1237" s="64">
        <v>1</v>
      </c>
      <c r="P1237" s="72">
        <v>12855</v>
      </c>
      <c r="Q1237" s="69"/>
      <c r="R1237" s="69"/>
      <c r="S1237" s="121" t="s">
        <v>665</v>
      </c>
      <c r="T1237" s="56">
        <v>30</v>
      </c>
      <c r="U1237" s="56">
        <v>3</v>
      </c>
    </row>
    <row r="1238" spans="1:21" ht="14.25" customHeight="1" thickBot="1" x14ac:dyDescent="0.4">
      <c r="A1238" s="58">
        <v>1222</v>
      </c>
      <c r="B1238" s="69" t="s">
        <v>79</v>
      </c>
      <c r="C1238" s="69" t="s">
        <v>80</v>
      </c>
      <c r="D1238" s="70" t="s">
        <v>116</v>
      </c>
      <c r="E1238" s="69" t="s">
        <v>5033</v>
      </c>
      <c r="F1238" s="69" t="s">
        <v>202</v>
      </c>
      <c r="G1238" s="69" t="s">
        <v>54</v>
      </c>
      <c r="H1238" s="70">
        <v>2012</v>
      </c>
      <c r="I1238" s="69"/>
      <c r="J1238" s="69" t="s">
        <v>6396</v>
      </c>
      <c r="K1238" s="71" t="s">
        <v>6397</v>
      </c>
      <c r="L1238" s="71" t="s">
        <v>6398</v>
      </c>
      <c r="M1238" s="71" t="s">
        <v>6399</v>
      </c>
      <c r="N1238" s="69" t="s">
        <v>57</v>
      </c>
      <c r="O1238" s="64">
        <v>1</v>
      </c>
      <c r="P1238" s="72">
        <v>12557.55</v>
      </c>
      <c r="Q1238" s="69" t="s">
        <v>6400</v>
      </c>
      <c r="R1238" s="69"/>
      <c r="S1238" s="121" t="s">
        <v>665</v>
      </c>
      <c r="T1238" s="56">
        <v>30</v>
      </c>
      <c r="U1238" s="56">
        <v>3</v>
      </c>
    </row>
    <row r="1239" spans="1:21" ht="14.25" customHeight="1" x14ac:dyDescent="0.35">
      <c r="A1239" s="47">
        <v>1223</v>
      </c>
      <c r="B1239" s="69" t="s">
        <v>79</v>
      </c>
      <c r="C1239" s="69" t="s">
        <v>80</v>
      </c>
      <c r="D1239" s="70" t="s">
        <v>841</v>
      </c>
      <c r="E1239" s="69" t="s">
        <v>1860</v>
      </c>
      <c r="F1239" s="69" t="s">
        <v>202</v>
      </c>
      <c r="G1239" s="69" t="s">
        <v>54</v>
      </c>
      <c r="H1239" s="70">
        <v>2012</v>
      </c>
      <c r="I1239" s="69"/>
      <c r="J1239" s="69" t="s">
        <v>6401</v>
      </c>
      <c r="K1239" s="71" t="s">
        <v>6402</v>
      </c>
      <c r="L1239" s="71" t="s">
        <v>6403</v>
      </c>
      <c r="M1239" s="71" t="s">
        <v>6404</v>
      </c>
      <c r="N1239" s="69" t="s">
        <v>57</v>
      </c>
      <c r="O1239" s="64">
        <v>1</v>
      </c>
      <c r="P1239" s="72">
        <v>13177.55</v>
      </c>
      <c r="Q1239" s="69" t="s">
        <v>6405</v>
      </c>
      <c r="R1239" s="69"/>
      <c r="S1239" s="121" t="s">
        <v>665</v>
      </c>
      <c r="T1239" s="56">
        <v>30</v>
      </c>
      <c r="U1239" s="56">
        <v>3</v>
      </c>
    </row>
    <row r="1240" spans="1:21" ht="14.25" customHeight="1" thickBot="1" x14ac:dyDescent="0.4">
      <c r="A1240" s="58">
        <v>1224</v>
      </c>
      <c r="B1240" s="69" t="s">
        <v>79</v>
      </c>
      <c r="C1240" s="69" t="s">
        <v>80</v>
      </c>
      <c r="D1240" s="70" t="s">
        <v>904</v>
      </c>
      <c r="E1240" s="69" t="s">
        <v>3303</v>
      </c>
      <c r="F1240" s="69" t="s">
        <v>443</v>
      </c>
      <c r="G1240" s="69" t="s">
        <v>54</v>
      </c>
      <c r="H1240" s="70">
        <v>2013</v>
      </c>
      <c r="I1240" s="69" t="s">
        <v>63</v>
      </c>
      <c r="J1240" s="69" t="s">
        <v>6406</v>
      </c>
      <c r="K1240" s="71" t="s">
        <v>6407</v>
      </c>
      <c r="L1240" s="71" t="s">
        <v>6408</v>
      </c>
      <c r="M1240" s="71" t="s">
        <v>6409</v>
      </c>
      <c r="N1240" s="69" t="s">
        <v>57</v>
      </c>
      <c r="O1240" s="64">
        <v>1</v>
      </c>
      <c r="P1240" s="72">
        <v>13055.5</v>
      </c>
      <c r="Q1240" s="69" t="s">
        <v>6405</v>
      </c>
      <c r="R1240" s="69"/>
      <c r="S1240" s="121" t="s">
        <v>665</v>
      </c>
      <c r="T1240" s="56">
        <v>30</v>
      </c>
      <c r="U1240" s="56">
        <v>3</v>
      </c>
    </row>
    <row r="1241" spans="1:21" ht="14.25" customHeight="1" x14ac:dyDescent="0.35">
      <c r="A1241" s="47">
        <v>1225</v>
      </c>
      <c r="B1241" s="69" t="s">
        <v>79</v>
      </c>
      <c r="C1241" s="69" t="s">
        <v>80</v>
      </c>
      <c r="D1241" s="70" t="s">
        <v>126</v>
      </c>
      <c r="E1241" s="69" t="s">
        <v>1383</v>
      </c>
      <c r="F1241" s="69" t="s">
        <v>163</v>
      </c>
      <c r="G1241" s="69" t="s">
        <v>140</v>
      </c>
      <c r="H1241" s="70">
        <v>2015</v>
      </c>
      <c r="I1241" s="69"/>
      <c r="J1241" s="69" t="s">
        <v>6410</v>
      </c>
      <c r="K1241" s="71" t="s">
        <v>6411</v>
      </c>
      <c r="L1241" s="71" t="s">
        <v>6412</v>
      </c>
      <c r="M1241" s="71" t="s">
        <v>6413</v>
      </c>
      <c r="N1241" s="69" t="s">
        <v>57</v>
      </c>
      <c r="O1241" s="64">
        <v>1</v>
      </c>
      <c r="P1241" s="72">
        <v>14962.333000000001</v>
      </c>
      <c r="Q1241" s="69" t="s">
        <v>6414</v>
      </c>
      <c r="R1241" s="69"/>
      <c r="S1241" s="121" t="s">
        <v>665</v>
      </c>
      <c r="T1241" s="56">
        <v>30</v>
      </c>
      <c r="U1241" s="56">
        <v>3</v>
      </c>
    </row>
    <row r="1242" spans="1:21" ht="14.25" customHeight="1" thickBot="1" x14ac:dyDescent="0.4">
      <c r="A1242" s="58">
        <v>1226</v>
      </c>
      <c r="B1242" s="69" t="s">
        <v>79</v>
      </c>
      <c r="C1242" s="69" t="s">
        <v>80</v>
      </c>
      <c r="D1242" s="70" t="s">
        <v>132</v>
      </c>
      <c r="E1242" s="69" t="s">
        <v>2574</v>
      </c>
      <c r="F1242" s="69" t="s">
        <v>88</v>
      </c>
      <c r="G1242" s="69" t="s">
        <v>140</v>
      </c>
      <c r="H1242" s="70">
        <v>2015</v>
      </c>
      <c r="I1242" s="69"/>
      <c r="J1242" s="69" t="s">
        <v>6415</v>
      </c>
      <c r="K1242" s="71" t="s">
        <v>6416</v>
      </c>
      <c r="L1242" s="71" t="s">
        <v>6417</v>
      </c>
      <c r="M1242" s="71" t="s">
        <v>6418</v>
      </c>
      <c r="N1242" s="69" t="s">
        <v>57</v>
      </c>
      <c r="O1242" s="64">
        <v>1</v>
      </c>
      <c r="P1242" s="72">
        <v>16898</v>
      </c>
      <c r="Q1242" s="69" t="s">
        <v>6419</v>
      </c>
      <c r="R1242" s="69"/>
      <c r="S1242" s="121" t="s">
        <v>665</v>
      </c>
      <c r="T1242" s="56">
        <v>30</v>
      </c>
      <c r="U1242" s="56">
        <v>3</v>
      </c>
    </row>
    <row r="1243" spans="1:21" ht="14.25" customHeight="1" x14ac:dyDescent="0.35">
      <c r="A1243" s="47">
        <v>1227</v>
      </c>
      <c r="B1243" s="69" t="s">
        <v>79</v>
      </c>
      <c r="C1243" s="69" t="s">
        <v>80</v>
      </c>
      <c r="D1243" s="70" t="s">
        <v>137</v>
      </c>
      <c r="E1243" s="69" t="s">
        <v>147</v>
      </c>
      <c r="F1243" s="69" t="s">
        <v>148</v>
      </c>
      <c r="G1243" s="69" t="s">
        <v>140</v>
      </c>
      <c r="H1243" s="70">
        <v>2015</v>
      </c>
      <c r="I1243" s="69"/>
      <c r="J1243" s="69" t="s">
        <v>6420</v>
      </c>
      <c r="K1243" s="71" t="s">
        <v>6421</v>
      </c>
      <c r="L1243" s="71" t="s">
        <v>6422</v>
      </c>
      <c r="M1243" s="71" t="s">
        <v>6423</v>
      </c>
      <c r="N1243" s="69" t="s">
        <v>57</v>
      </c>
      <c r="O1243" s="64">
        <v>1</v>
      </c>
      <c r="P1243" s="72">
        <v>19430</v>
      </c>
      <c r="Q1243" s="69" t="s">
        <v>6424</v>
      </c>
      <c r="R1243" s="69"/>
      <c r="S1243" s="121" t="s">
        <v>665</v>
      </c>
      <c r="T1243" s="56">
        <v>30</v>
      </c>
      <c r="U1243" s="56">
        <v>3</v>
      </c>
    </row>
    <row r="1244" spans="1:21" ht="14.25" customHeight="1" thickBot="1" x14ac:dyDescent="0.4">
      <c r="A1244" s="58">
        <v>1228</v>
      </c>
      <c r="B1244" s="69" t="s">
        <v>79</v>
      </c>
      <c r="C1244" s="69" t="s">
        <v>80</v>
      </c>
      <c r="D1244" s="70" t="s">
        <v>146</v>
      </c>
      <c r="E1244" s="69" t="s">
        <v>147</v>
      </c>
      <c r="F1244" s="69" t="s">
        <v>148</v>
      </c>
      <c r="G1244" s="69" t="s">
        <v>140</v>
      </c>
      <c r="H1244" s="70">
        <v>2015</v>
      </c>
      <c r="I1244" s="69"/>
      <c r="J1244" s="69" t="s">
        <v>6425</v>
      </c>
      <c r="K1244" s="71" t="s">
        <v>6426</v>
      </c>
      <c r="L1244" s="71" t="s">
        <v>6427</v>
      </c>
      <c r="M1244" s="71" t="s">
        <v>6428</v>
      </c>
      <c r="N1244" s="69" t="s">
        <v>57</v>
      </c>
      <c r="O1244" s="64">
        <v>1</v>
      </c>
      <c r="P1244" s="72">
        <v>19430</v>
      </c>
      <c r="Q1244" s="69" t="s">
        <v>6405</v>
      </c>
      <c r="R1244" s="69"/>
      <c r="S1244" s="121" t="s">
        <v>665</v>
      </c>
      <c r="T1244" s="56">
        <v>30</v>
      </c>
      <c r="U1244" s="56">
        <v>3</v>
      </c>
    </row>
    <row r="1245" spans="1:21" ht="14.25" customHeight="1" x14ac:dyDescent="0.35">
      <c r="A1245" s="47">
        <v>1229</v>
      </c>
      <c r="B1245" s="69" t="s">
        <v>79</v>
      </c>
      <c r="C1245" s="69" t="s">
        <v>80</v>
      </c>
      <c r="D1245" s="70" t="s">
        <v>154</v>
      </c>
      <c r="E1245" s="69" t="s">
        <v>147</v>
      </c>
      <c r="F1245" s="69" t="s">
        <v>148</v>
      </c>
      <c r="G1245" s="69" t="s">
        <v>140</v>
      </c>
      <c r="H1245" s="70">
        <v>2015</v>
      </c>
      <c r="I1245" s="69"/>
      <c r="J1245" s="69" t="s">
        <v>6429</v>
      </c>
      <c r="K1245" s="71" t="s">
        <v>6430</v>
      </c>
      <c r="L1245" s="71" t="s">
        <v>6431</v>
      </c>
      <c r="M1245" s="71" t="s">
        <v>6432</v>
      </c>
      <c r="N1245" s="69" t="s">
        <v>57</v>
      </c>
      <c r="O1245" s="64">
        <v>1</v>
      </c>
      <c r="P1245" s="72">
        <v>19430</v>
      </c>
      <c r="Q1245" s="69" t="s">
        <v>6433</v>
      </c>
      <c r="R1245" s="69"/>
      <c r="S1245" s="121" t="s">
        <v>665</v>
      </c>
      <c r="T1245" s="56">
        <v>30</v>
      </c>
      <c r="U1245" s="56">
        <v>3</v>
      </c>
    </row>
    <row r="1246" spans="1:21" ht="14.25" customHeight="1" thickBot="1" x14ac:dyDescent="0.4">
      <c r="A1246" s="58">
        <v>1230</v>
      </c>
      <c r="B1246" s="69" t="s">
        <v>79</v>
      </c>
      <c r="C1246" s="69" t="s">
        <v>80</v>
      </c>
      <c r="D1246" s="70" t="s">
        <v>161</v>
      </c>
      <c r="E1246" s="69" t="s">
        <v>155</v>
      </c>
      <c r="F1246" s="69" t="s">
        <v>163</v>
      </c>
      <c r="G1246" s="69" t="s">
        <v>140</v>
      </c>
      <c r="H1246" s="70">
        <v>2017</v>
      </c>
      <c r="I1246" s="69" t="s">
        <v>63</v>
      </c>
      <c r="J1246" s="69" t="s">
        <v>6434</v>
      </c>
      <c r="K1246" s="71" t="s">
        <v>6435</v>
      </c>
      <c r="L1246" s="71" t="s">
        <v>6436</v>
      </c>
      <c r="M1246" s="71" t="s">
        <v>6437</v>
      </c>
      <c r="N1246" s="69" t="s">
        <v>57</v>
      </c>
      <c r="O1246" s="64">
        <v>1</v>
      </c>
      <c r="P1246" s="72">
        <v>15252.263999999999</v>
      </c>
      <c r="Q1246" s="69" t="s">
        <v>6438</v>
      </c>
      <c r="R1246" s="69"/>
      <c r="S1246" s="121" t="s">
        <v>665</v>
      </c>
      <c r="T1246" s="56">
        <v>30</v>
      </c>
      <c r="U1246" s="56">
        <v>3</v>
      </c>
    </row>
    <row r="1247" spans="1:21" ht="14.25" customHeight="1" x14ac:dyDescent="0.35">
      <c r="A1247" s="47">
        <v>1231</v>
      </c>
      <c r="B1247" s="69" t="s">
        <v>79</v>
      </c>
      <c r="C1247" s="69" t="s">
        <v>80</v>
      </c>
      <c r="D1247" s="70" t="s">
        <v>169</v>
      </c>
      <c r="E1247" s="69" t="s">
        <v>155</v>
      </c>
      <c r="F1247" s="69" t="s">
        <v>156</v>
      </c>
      <c r="G1247" s="69" t="s">
        <v>140</v>
      </c>
      <c r="H1247" s="70">
        <v>2017</v>
      </c>
      <c r="I1247" s="69" t="s">
        <v>63</v>
      </c>
      <c r="J1247" s="69" t="s">
        <v>6439</v>
      </c>
      <c r="K1247" s="71" t="s">
        <v>6440</v>
      </c>
      <c r="L1247" s="71" t="s">
        <v>6441</v>
      </c>
      <c r="M1247" s="71" t="s">
        <v>6442</v>
      </c>
      <c r="N1247" s="69" t="s">
        <v>57</v>
      </c>
      <c r="O1247" s="64">
        <v>1</v>
      </c>
      <c r="P1247" s="72">
        <v>15252.263999999999</v>
      </c>
      <c r="Q1247" s="69" t="s">
        <v>6443</v>
      </c>
      <c r="R1247" s="69"/>
      <c r="S1247" s="121" t="s">
        <v>665</v>
      </c>
      <c r="T1247" s="56">
        <v>30</v>
      </c>
      <c r="U1247" s="56">
        <v>3</v>
      </c>
    </row>
    <row r="1248" spans="1:21" ht="14.25" customHeight="1" thickBot="1" x14ac:dyDescent="0.4">
      <c r="A1248" s="58">
        <v>1232</v>
      </c>
      <c r="B1248" s="69" t="s">
        <v>79</v>
      </c>
      <c r="C1248" s="69" t="s">
        <v>80</v>
      </c>
      <c r="D1248" s="70" t="s">
        <v>176</v>
      </c>
      <c r="E1248" s="69" t="s">
        <v>155</v>
      </c>
      <c r="F1248" s="69" t="s">
        <v>156</v>
      </c>
      <c r="G1248" s="69" t="s">
        <v>140</v>
      </c>
      <c r="H1248" s="70">
        <v>2017</v>
      </c>
      <c r="I1248" s="69" t="s">
        <v>63</v>
      </c>
      <c r="J1248" s="69" t="s">
        <v>6444</v>
      </c>
      <c r="K1248" s="71" t="s">
        <v>6445</v>
      </c>
      <c r="L1248" s="71" t="s">
        <v>6446</v>
      </c>
      <c r="M1248" s="71" t="s">
        <v>6447</v>
      </c>
      <c r="N1248" s="69" t="s">
        <v>57</v>
      </c>
      <c r="O1248" s="64">
        <v>1</v>
      </c>
      <c r="P1248" s="72">
        <v>15252.263999999999</v>
      </c>
      <c r="Q1248" s="69" t="s">
        <v>6448</v>
      </c>
      <c r="R1248" s="69"/>
      <c r="S1248" s="121" t="s">
        <v>665</v>
      </c>
      <c r="T1248" s="56">
        <v>30</v>
      </c>
      <c r="U1248" s="56">
        <v>3</v>
      </c>
    </row>
    <row r="1249" spans="1:21" ht="14.25" customHeight="1" x14ac:dyDescent="0.35">
      <c r="A1249" s="47">
        <v>1233</v>
      </c>
      <c r="B1249" s="69" t="s">
        <v>79</v>
      </c>
      <c r="C1249" s="69" t="s">
        <v>80</v>
      </c>
      <c r="D1249" s="70" t="s">
        <v>1236</v>
      </c>
      <c r="E1249" s="69" t="s">
        <v>155</v>
      </c>
      <c r="F1249" s="69" t="s">
        <v>163</v>
      </c>
      <c r="G1249" s="69" t="s">
        <v>140</v>
      </c>
      <c r="H1249" s="70">
        <v>2017</v>
      </c>
      <c r="I1249" s="69" t="s">
        <v>63</v>
      </c>
      <c r="J1249" s="69" t="s">
        <v>6449</v>
      </c>
      <c r="K1249" s="71" t="s">
        <v>6450</v>
      </c>
      <c r="L1249" s="71" t="s">
        <v>6451</v>
      </c>
      <c r="M1249" s="71" t="s">
        <v>6452</v>
      </c>
      <c r="N1249" s="69" t="s">
        <v>57</v>
      </c>
      <c r="O1249" s="64">
        <v>1</v>
      </c>
      <c r="P1249" s="72">
        <v>15252.263999999999</v>
      </c>
      <c r="Q1249" s="69" t="s">
        <v>6453</v>
      </c>
      <c r="R1249" s="69"/>
      <c r="S1249" s="121" t="s">
        <v>665</v>
      </c>
      <c r="T1249" s="56">
        <v>30</v>
      </c>
      <c r="U1249" s="56">
        <v>3</v>
      </c>
    </row>
    <row r="1250" spans="1:21" ht="14.25" customHeight="1" thickBot="1" x14ac:dyDescent="0.4">
      <c r="A1250" s="58">
        <v>1234</v>
      </c>
      <c r="B1250" s="69" t="s">
        <v>79</v>
      </c>
      <c r="C1250" s="69" t="s">
        <v>80</v>
      </c>
      <c r="D1250" s="70" t="s">
        <v>181</v>
      </c>
      <c r="E1250" s="69" t="s">
        <v>1110</v>
      </c>
      <c r="F1250" s="69" t="s">
        <v>163</v>
      </c>
      <c r="G1250" s="69" t="s">
        <v>140</v>
      </c>
      <c r="H1250" s="70">
        <v>2017</v>
      </c>
      <c r="I1250" s="69" t="s">
        <v>63</v>
      </c>
      <c r="J1250" s="69" t="s">
        <v>6454</v>
      </c>
      <c r="K1250" s="71" t="s">
        <v>6455</v>
      </c>
      <c r="L1250" s="71" t="s">
        <v>6456</v>
      </c>
      <c r="M1250" s="71" t="s">
        <v>6457</v>
      </c>
      <c r="N1250" s="69" t="s">
        <v>57</v>
      </c>
      <c r="O1250" s="64">
        <v>1</v>
      </c>
      <c r="P1250" s="72">
        <v>15846.6</v>
      </c>
      <c r="Q1250" s="69" t="s">
        <v>6458</v>
      </c>
      <c r="R1250" s="69"/>
      <c r="S1250" s="121" t="s">
        <v>665</v>
      </c>
      <c r="T1250" s="56">
        <v>30</v>
      </c>
      <c r="U1250" s="56">
        <v>3</v>
      </c>
    </row>
    <row r="1251" spans="1:21" ht="14.25" customHeight="1" x14ac:dyDescent="0.35">
      <c r="A1251" s="47">
        <v>1235</v>
      </c>
      <c r="B1251" s="69" t="s">
        <v>79</v>
      </c>
      <c r="C1251" s="69" t="s">
        <v>80</v>
      </c>
      <c r="D1251" s="70" t="s">
        <v>187</v>
      </c>
      <c r="E1251" s="69" t="s">
        <v>1110</v>
      </c>
      <c r="F1251" s="69" t="s">
        <v>163</v>
      </c>
      <c r="G1251" s="69" t="s">
        <v>140</v>
      </c>
      <c r="H1251" s="70">
        <v>2017</v>
      </c>
      <c r="I1251" s="69" t="s">
        <v>63</v>
      </c>
      <c r="J1251" s="69" t="s">
        <v>6459</v>
      </c>
      <c r="K1251" s="71" t="s">
        <v>6460</v>
      </c>
      <c r="L1251" s="71" t="s">
        <v>6461</v>
      </c>
      <c r="M1251" s="71" t="s">
        <v>6462</v>
      </c>
      <c r="N1251" s="69" t="s">
        <v>57</v>
      </c>
      <c r="O1251" s="64">
        <v>1</v>
      </c>
      <c r="P1251" s="72">
        <v>15846.6</v>
      </c>
      <c r="Q1251" s="69" t="s">
        <v>6463</v>
      </c>
      <c r="R1251" s="69"/>
      <c r="S1251" s="121" t="s">
        <v>665</v>
      </c>
      <c r="T1251" s="56">
        <v>30</v>
      </c>
      <c r="U1251" s="56">
        <v>3</v>
      </c>
    </row>
    <row r="1252" spans="1:21" ht="14.25" customHeight="1" thickBot="1" x14ac:dyDescent="0.4">
      <c r="A1252" s="58">
        <v>1236</v>
      </c>
      <c r="B1252" s="69" t="s">
        <v>79</v>
      </c>
      <c r="C1252" s="69" t="s">
        <v>80</v>
      </c>
      <c r="D1252" s="70" t="s">
        <v>190</v>
      </c>
      <c r="E1252" s="69" t="s">
        <v>1110</v>
      </c>
      <c r="F1252" s="69" t="s">
        <v>163</v>
      </c>
      <c r="G1252" s="69" t="s">
        <v>140</v>
      </c>
      <c r="H1252" s="70">
        <v>2017</v>
      </c>
      <c r="I1252" s="69" t="s">
        <v>63</v>
      </c>
      <c r="J1252" s="69" t="s">
        <v>6464</v>
      </c>
      <c r="K1252" s="71" t="s">
        <v>6465</v>
      </c>
      <c r="L1252" s="71" t="s">
        <v>6466</v>
      </c>
      <c r="M1252" s="71" t="s">
        <v>6467</v>
      </c>
      <c r="N1252" s="69" t="s">
        <v>57</v>
      </c>
      <c r="O1252" s="64">
        <v>1</v>
      </c>
      <c r="P1252" s="72">
        <v>15846.6</v>
      </c>
      <c r="Q1252" s="69" t="s">
        <v>6468</v>
      </c>
      <c r="R1252" s="69"/>
      <c r="S1252" s="121" t="s">
        <v>665</v>
      </c>
      <c r="T1252" s="56">
        <v>30</v>
      </c>
      <c r="U1252" s="56">
        <v>3</v>
      </c>
    </row>
    <row r="1253" spans="1:21" ht="14.25" customHeight="1" x14ac:dyDescent="0.35">
      <c r="A1253" s="47">
        <v>1237</v>
      </c>
      <c r="B1253" s="69" t="s">
        <v>79</v>
      </c>
      <c r="C1253" s="69" t="s">
        <v>80</v>
      </c>
      <c r="D1253" s="70" t="s">
        <v>192</v>
      </c>
      <c r="E1253" s="69" t="s">
        <v>6469</v>
      </c>
      <c r="F1253" s="69" t="s">
        <v>6470</v>
      </c>
      <c r="G1253" s="69" t="s">
        <v>6471</v>
      </c>
      <c r="H1253" s="70">
        <v>2020</v>
      </c>
      <c r="I1253" s="69" t="s">
        <v>63</v>
      </c>
      <c r="J1253" s="69" t="s">
        <v>6472</v>
      </c>
      <c r="K1253" s="71" t="s">
        <v>6473</v>
      </c>
      <c r="L1253" s="71" t="s">
        <v>6474</v>
      </c>
      <c r="M1253" s="71" t="s">
        <v>6475</v>
      </c>
      <c r="N1253" s="69" t="s">
        <v>57</v>
      </c>
      <c r="O1253" s="64">
        <v>1</v>
      </c>
      <c r="P1253" s="72">
        <v>23800</v>
      </c>
      <c r="Q1253" s="69" t="s">
        <v>6476</v>
      </c>
      <c r="R1253" s="69"/>
      <c r="S1253" s="121" t="s">
        <v>665</v>
      </c>
      <c r="T1253" s="56">
        <v>30</v>
      </c>
      <c r="U1253" s="56">
        <v>3</v>
      </c>
    </row>
    <row r="1254" spans="1:21" ht="14.25" customHeight="1" thickBot="1" x14ac:dyDescent="0.4">
      <c r="A1254" s="58">
        <v>1238</v>
      </c>
      <c r="B1254" s="69" t="s">
        <v>79</v>
      </c>
      <c r="C1254" s="69" t="s">
        <v>80</v>
      </c>
      <c r="D1254" s="70" t="s">
        <v>194</v>
      </c>
      <c r="E1254" s="69" t="s">
        <v>2868</v>
      </c>
      <c r="F1254" s="69" t="s">
        <v>202</v>
      </c>
      <c r="G1254" s="69" t="s">
        <v>247</v>
      </c>
      <c r="H1254" s="70">
        <v>2022</v>
      </c>
      <c r="I1254" s="69" t="s">
        <v>63</v>
      </c>
      <c r="J1254" s="69" t="s">
        <v>6477</v>
      </c>
      <c r="K1254" s="71" t="s">
        <v>6478</v>
      </c>
      <c r="L1254" s="71" t="s">
        <v>6479</v>
      </c>
      <c r="M1254" s="71" t="s">
        <v>6480</v>
      </c>
      <c r="N1254" s="69" t="s">
        <v>44</v>
      </c>
      <c r="O1254" s="64">
        <v>1</v>
      </c>
      <c r="P1254" s="72">
        <v>19234.807000000001</v>
      </c>
      <c r="Q1254" s="69" t="s">
        <v>6481</v>
      </c>
      <c r="R1254" s="69"/>
      <c r="S1254" s="121" t="s">
        <v>665</v>
      </c>
      <c r="T1254" s="56">
        <v>30</v>
      </c>
      <c r="U1254" s="56">
        <v>3</v>
      </c>
    </row>
    <row r="1255" spans="1:21" ht="14.25" customHeight="1" x14ac:dyDescent="0.35">
      <c r="A1255" s="47">
        <v>1239</v>
      </c>
      <c r="B1255" s="69" t="s">
        <v>79</v>
      </c>
      <c r="C1255" s="69" t="s">
        <v>80</v>
      </c>
      <c r="D1255" s="70" t="s">
        <v>195</v>
      </c>
      <c r="E1255" s="69" t="s">
        <v>6482</v>
      </c>
      <c r="F1255" s="69" t="s">
        <v>483</v>
      </c>
      <c r="G1255" s="69" t="s">
        <v>4228</v>
      </c>
      <c r="H1255" s="70">
        <v>2022</v>
      </c>
      <c r="I1255" s="69" t="s">
        <v>63</v>
      </c>
      <c r="J1255" s="69" t="s">
        <v>6483</v>
      </c>
      <c r="K1255" s="71" t="s">
        <v>6484</v>
      </c>
      <c r="L1255" s="71" t="s">
        <v>6485</v>
      </c>
      <c r="M1255" s="71" t="s">
        <v>6486</v>
      </c>
      <c r="N1255" s="69" t="s">
        <v>44</v>
      </c>
      <c r="O1255" s="64">
        <v>1</v>
      </c>
      <c r="P1255" s="72">
        <v>34497</v>
      </c>
      <c r="Q1255" s="69" t="s">
        <v>6487</v>
      </c>
      <c r="R1255" s="69"/>
      <c r="S1255" s="121" t="s">
        <v>665</v>
      </c>
      <c r="T1255" s="56">
        <v>30</v>
      </c>
      <c r="U1255" s="56">
        <v>3</v>
      </c>
    </row>
    <row r="1256" spans="1:21" ht="14.25" customHeight="1" thickBot="1" x14ac:dyDescent="0.4">
      <c r="A1256" s="58">
        <v>1240</v>
      </c>
      <c r="B1256" s="69" t="s">
        <v>79</v>
      </c>
      <c r="C1256" s="69" t="s">
        <v>80</v>
      </c>
      <c r="D1256" s="70" t="s">
        <v>199</v>
      </c>
      <c r="E1256" s="69" t="s">
        <v>6488</v>
      </c>
      <c r="F1256" s="69" t="s">
        <v>6489</v>
      </c>
      <c r="G1256" s="69" t="s">
        <v>54</v>
      </c>
      <c r="H1256" s="70">
        <v>2024</v>
      </c>
      <c r="I1256" s="69" t="s">
        <v>63</v>
      </c>
      <c r="J1256" s="69" t="s">
        <v>6490</v>
      </c>
      <c r="K1256" s="71" t="s">
        <v>6491</v>
      </c>
      <c r="L1256" s="71" t="s">
        <v>6492</v>
      </c>
      <c r="M1256" s="71" t="s">
        <v>6493</v>
      </c>
      <c r="N1256" s="69" t="s">
        <v>44</v>
      </c>
      <c r="O1256" s="64">
        <v>1</v>
      </c>
      <c r="P1256" s="72">
        <v>36700</v>
      </c>
      <c r="Q1256" s="69" t="s">
        <v>6494</v>
      </c>
      <c r="R1256" s="69"/>
      <c r="S1256" s="121" t="s">
        <v>665</v>
      </c>
      <c r="T1256" s="56">
        <v>30</v>
      </c>
      <c r="U1256" s="56">
        <v>3</v>
      </c>
    </row>
    <row r="1257" spans="1:21" ht="14.25" customHeight="1" x14ac:dyDescent="0.35">
      <c r="A1257" s="47">
        <v>1241</v>
      </c>
      <c r="B1257" s="69" t="s">
        <v>79</v>
      </c>
      <c r="C1257" s="69" t="s">
        <v>80</v>
      </c>
      <c r="D1257" s="70" t="s">
        <v>200</v>
      </c>
      <c r="E1257" s="69" t="s">
        <v>6488</v>
      </c>
      <c r="F1257" s="69" t="s">
        <v>6489</v>
      </c>
      <c r="G1257" s="69" t="s">
        <v>54</v>
      </c>
      <c r="H1257" s="70">
        <v>2024</v>
      </c>
      <c r="I1257" s="69" t="s">
        <v>63</v>
      </c>
      <c r="J1257" s="69" t="s">
        <v>6495</v>
      </c>
      <c r="K1257" s="71" t="s">
        <v>6496</v>
      </c>
      <c r="L1257" s="71" t="s">
        <v>6497</v>
      </c>
      <c r="M1257" s="71" t="s">
        <v>6498</v>
      </c>
      <c r="N1257" s="69" t="s">
        <v>44</v>
      </c>
      <c r="O1257" s="64">
        <v>1</v>
      </c>
      <c r="P1257" s="72">
        <v>36700</v>
      </c>
      <c r="Q1257" s="69" t="s">
        <v>6499</v>
      </c>
      <c r="R1257" s="69"/>
      <c r="S1257" s="121" t="s">
        <v>665</v>
      </c>
      <c r="T1257" s="56">
        <v>30</v>
      </c>
      <c r="U1257" s="56">
        <v>3</v>
      </c>
    </row>
    <row r="1258" spans="1:21" ht="14.25" customHeight="1" thickBot="1" x14ac:dyDescent="0.4">
      <c r="A1258" s="58">
        <v>1242</v>
      </c>
      <c r="B1258" s="69" t="s">
        <v>79</v>
      </c>
      <c r="C1258" s="69" t="s">
        <v>80</v>
      </c>
      <c r="D1258" s="70" t="s">
        <v>209</v>
      </c>
      <c r="E1258" s="69" t="s">
        <v>6488</v>
      </c>
      <c r="F1258" s="69" t="s">
        <v>6489</v>
      </c>
      <c r="G1258" s="69" t="s">
        <v>54</v>
      </c>
      <c r="H1258" s="70">
        <v>2024</v>
      </c>
      <c r="I1258" s="69" t="s">
        <v>63</v>
      </c>
      <c r="J1258" s="69" t="s">
        <v>6500</v>
      </c>
      <c r="K1258" s="71" t="s">
        <v>6501</v>
      </c>
      <c r="L1258" s="71" t="s">
        <v>6502</v>
      </c>
      <c r="M1258" s="71" t="s">
        <v>6503</v>
      </c>
      <c r="N1258" s="69" t="s">
        <v>44</v>
      </c>
      <c r="O1258" s="64">
        <v>1</v>
      </c>
      <c r="P1258" s="72">
        <v>36700</v>
      </c>
      <c r="Q1258" s="69" t="s">
        <v>6504</v>
      </c>
      <c r="R1258" s="69"/>
      <c r="S1258" s="121" t="s">
        <v>665</v>
      </c>
      <c r="T1258" s="56">
        <v>30</v>
      </c>
      <c r="U1258" s="56">
        <v>3</v>
      </c>
    </row>
    <row r="1259" spans="1:21" ht="14.25" customHeight="1" x14ac:dyDescent="0.35">
      <c r="A1259" s="47">
        <v>1243</v>
      </c>
      <c r="B1259" s="69" t="s">
        <v>79</v>
      </c>
      <c r="C1259" s="69" t="s">
        <v>80</v>
      </c>
      <c r="D1259" s="70" t="s">
        <v>215</v>
      </c>
      <c r="E1259" s="69" t="s">
        <v>6488</v>
      </c>
      <c r="F1259" s="69" t="s">
        <v>6489</v>
      </c>
      <c r="G1259" s="69" t="s">
        <v>54</v>
      </c>
      <c r="H1259" s="70">
        <v>2024</v>
      </c>
      <c r="I1259" s="69" t="s">
        <v>63</v>
      </c>
      <c r="J1259" s="69" t="s">
        <v>6505</v>
      </c>
      <c r="K1259" s="71" t="s">
        <v>6506</v>
      </c>
      <c r="L1259" s="71" t="s">
        <v>6507</v>
      </c>
      <c r="M1259" s="71" t="s">
        <v>6508</v>
      </c>
      <c r="N1259" s="69" t="s">
        <v>44</v>
      </c>
      <c r="O1259" s="64">
        <v>1</v>
      </c>
      <c r="P1259" s="72">
        <v>36700</v>
      </c>
      <c r="Q1259" s="69" t="s">
        <v>6509</v>
      </c>
      <c r="R1259" s="69"/>
      <c r="S1259" s="121" t="s">
        <v>665</v>
      </c>
      <c r="T1259" s="56">
        <v>30</v>
      </c>
      <c r="U1259" s="56">
        <v>3</v>
      </c>
    </row>
    <row r="1260" spans="1:21" ht="14.25" customHeight="1" thickBot="1" x14ac:dyDescent="0.4">
      <c r="A1260" s="58">
        <v>1244</v>
      </c>
      <c r="B1260" s="69" t="s">
        <v>79</v>
      </c>
      <c r="C1260" s="69" t="s">
        <v>80</v>
      </c>
      <c r="D1260" s="70" t="s">
        <v>223</v>
      </c>
      <c r="E1260" s="69" t="s">
        <v>6488</v>
      </c>
      <c r="F1260" s="69" t="s">
        <v>6489</v>
      </c>
      <c r="G1260" s="69" t="s">
        <v>54</v>
      </c>
      <c r="H1260" s="70">
        <v>2024</v>
      </c>
      <c r="I1260" s="69" t="s">
        <v>63</v>
      </c>
      <c r="J1260" s="69" t="s">
        <v>6510</v>
      </c>
      <c r="K1260" s="71" t="s">
        <v>6511</v>
      </c>
      <c r="L1260" s="71" t="s">
        <v>6512</v>
      </c>
      <c r="M1260" s="71" t="s">
        <v>6513</v>
      </c>
      <c r="N1260" s="69" t="s">
        <v>44</v>
      </c>
      <c r="O1260" s="64">
        <v>1</v>
      </c>
      <c r="P1260" s="72">
        <v>36700</v>
      </c>
      <c r="Q1260" s="69" t="s">
        <v>6514</v>
      </c>
      <c r="R1260" s="69"/>
      <c r="S1260" s="121" t="s">
        <v>665</v>
      </c>
      <c r="T1260" s="56">
        <v>30</v>
      </c>
      <c r="U1260" s="56">
        <v>3</v>
      </c>
    </row>
    <row r="1261" spans="1:21" ht="14.25" customHeight="1" x14ac:dyDescent="0.35">
      <c r="A1261" s="47">
        <v>1245</v>
      </c>
      <c r="B1261" s="69" t="s">
        <v>79</v>
      </c>
      <c r="C1261" s="69" t="s">
        <v>80</v>
      </c>
      <c r="D1261" s="70" t="s">
        <v>229</v>
      </c>
      <c r="E1261" s="69" t="s">
        <v>6488</v>
      </c>
      <c r="F1261" s="69" t="s">
        <v>6489</v>
      </c>
      <c r="G1261" s="69" t="s">
        <v>54</v>
      </c>
      <c r="H1261" s="70">
        <v>2024</v>
      </c>
      <c r="I1261" s="69" t="s">
        <v>63</v>
      </c>
      <c r="J1261" s="69" t="s">
        <v>6515</v>
      </c>
      <c r="K1261" s="71" t="s">
        <v>6516</v>
      </c>
      <c r="L1261" s="71" t="s">
        <v>6517</v>
      </c>
      <c r="M1261" s="71" t="s">
        <v>6518</v>
      </c>
      <c r="N1261" s="69" t="s">
        <v>44</v>
      </c>
      <c r="O1261" s="64">
        <v>1</v>
      </c>
      <c r="P1261" s="72">
        <v>36700</v>
      </c>
      <c r="Q1261" s="69" t="s">
        <v>6519</v>
      </c>
      <c r="R1261" s="69"/>
      <c r="S1261" s="121" t="s">
        <v>665</v>
      </c>
      <c r="T1261" s="56">
        <v>30</v>
      </c>
      <c r="U1261" s="56">
        <v>3</v>
      </c>
    </row>
    <row r="1262" spans="1:21" ht="14.25" customHeight="1" thickBot="1" x14ac:dyDescent="0.4">
      <c r="A1262" s="58">
        <v>1246</v>
      </c>
      <c r="B1262" s="69" t="s">
        <v>79</v>
      </c>
      <c r="C1262" s="69" t="s">
        <v>80</v>
      </c>
      <c r="D1262" s="70" t="s">
        <v>238</v>
      </c>
      <c r="E1262" s="69" t="s">
        <v>6488</v>
      </c>
      <c r="F1262" s="69" t="s">
        <v>6489</v>
      </c>
      <c r="G1262" s="69" t="s">
        <v>54</v>
      </c>
      <c r="H1262" s="70">
        <v>2024</v>
      </c>
      <c r="I1262" s="69" t="s">
        <v>63</v>
      </c>
      <c r="J1262" s="69" t="s">
        <v>6520</v>
      </c>
      <c r="K1262" s="71" t="s">
        <v>6521</v>
      </c>
      <c r="L1262" s="71" t="s">
        <v>6522</v>
      </c>
      <c r="M1262" s="71" t="s">
        <v>6523</v>
      </c>
      <c r="N1262" s="69" t="s">
        <v>44</v>
      </c>
      <c r="O1262" s="64">
        <v>1</v>
      </c>
      <c r="P1262" s="72">
        <v>36700</v>
      </c>
      <c r="Q1262" s="69" t="s">
        <v>6524</v>
      </c>
      <c r="R1262" s="69"/>
      <c r="S1262" s="121" t="s">
        <v>665</v>
      </c>
      <c r="T1262" s="56">
        <v>30</v>
      </c>
      <c r="U1262" s="56">
        <v>3</v>
      </c>
    </row>
    <row r="1263" spans="1:21" ht="14.25" customHeight="1" x14ac:dyDescent="0.35">
      <c r="A1263" s="47">
        <v>1247</v>
      </c>
      <c r="B1263" s="69" t="s">
        <v>79</v>
      </c>
      <c r="C1263" s="69" t="s">
        <v>80</v>
      </c>
      <c r="D1263" s="70" t="s">
        <v>244</v>
      </c>
      <c r="E1263" s="69" t="s">
        <v>6488</v>
      </c>
      <c r="F1263" s="69" t="s">
        <v>6489</v>
      </c>
      <c r="G1263" s="69" t="s">
        <v>54</v>
      </c>
      <c r="H1263" s="70">
        <v>2024</v>
      </c>
      <c r="I1263" s="69" t="s">
        <v>63</v>
      </c>
      <c r="J1263" s="69" t="s">
        <v>6525</v>
      </c>
      <c r="K1263" s="71" t="s">
        <v>6526</v>
      </c>
      <c r="L1263" s="71" t="s">
        <v>6527</v>
      </c>
      <c r="M1263" s="71" t="s">
        <v>6528</v>
      </c>
      <c r="N1263" s="69" t="s">
        <v>44</v>
      </c>
      <c r="O1263" s="64">
        <v>1</v>
      </c>
      <c r="P1263" s="72">
        <v>36700</v>
      </c>
      <c r="Q1263" s="69" t="s">
        <v>6529</v>
      </c>
      <c r="R1263" s="69"/>
      <c r="S1263" s="121" t="s">
        <v>665</v>
      </c>
      <c r="T1263" s="56">
        <v>30</v>
      </c>
      <c r="U1263" s="56">
        <v>3</v>
      </c>
    </row>
    <row r="1264" spans="1:21" ht="14.25" customHeight="1" thickBot="1" x14ac:dyDescent="0.4">
      <c r="A1264" s="58">
        <v>1248</v>
      </c>
      <c r="B1264" s="69" t="s">
        <v>79</v>
      </c>
      <c r="C1264" s="69" t="s">
        <v>80</v>
      </c>
      <c r="D1264" s="70" t="s">
        <v>253</v>
      </c>
      <c r="E1264" s="69" t="s">
        <v>6488</v>
      </c>
      <c r="F1264" s="69" t="s">
        <v>6489</v>
      </c>
      <c r="G1264" s="69" t="s">
        <v>54</v>
      </c>
      <c r="H1264" s="70">
        <v>2024</v>
      </c>
      <c r="I1264" s="69" t="s">
        <v>63</v>
      </c>
      <c r="J1264" s="69" t="s">
        <v>6530</v>
      </c>
      <c r="K1264" s="71" t="s">
        <v>6531</v>
      </c>
      <c r="L1264" s="71" t="s">
        <v>6532</v>
      </c>
      <c r="M1264" s="71" t="s">
        <v>6533</v>
      </c>
      <c r="N1264" s="69" t="s">
        <v>44</v>
      </c>
      <c r="O1264" s="64">
        <v>1</v>
      </c>
      <c r="P1264" s="72">
        <v>36700</v>
      </c>
      <c r="Q1264" s="69" t="s">
        <v>6534</v>
      </c>
      <c r="R1264" s="69"/>
      <c r="S1264" s="121" t="s">
        <v>665</v>
      </c>
      <c r="T1264" s="56">
        <v>30</v>
      </c>
      <c r="U1264" s="56">
        <v>3</v>
      </c>
    </row>
    <row r="1265" spans="1:21" ht="14.25" customHeight="1" x14ac:dyDescent="0.35">
      <c r="A1265" s="47">
        <v>1249</v>
      </c>
      <c r="B1265" s="69" t="s">
        <v>79</v>
      </c>
      <c r="C1265" s="69" t="s">
        <v>80</v>
      </c>
      <c r="D1265" s="70" t="s">
        <v>259</v>
      </c>
      <c r="E1265" s="69" t="s">
        <v>6488</v>
      </c>
      <c r="F1265" s="69" t="s">
        <v>6489</v>
      </c>
      <c r="G1265" s="69" t="s">
        <v>54</v>
      </c>
      <c r="H1265" s="70">
        <v>2024</v>
      </c>
      <c r="I1265" s="69" t="s">
        <v>63</v>
      </c>
      <c r="J1265" s="69" t="s">
        <v>6535</v>
      </c>
      <c r="K1265" s="71" t="s">
        <v>6536</v>
      </c>
      <c r="L1265" s="71" t="s">
        <v>6537</v>
      </c>
      <c r="M1265" s="71" t="s">
        <v>6538</v>
      </c>
      <c r="N1265" s="69" t="s">
        <v>44</v>
      </c>
      <c r="O1265" s="64">
        <v>1</v>
      </c>
      <c r="P1265" s="72">
        <v>36700</v>
      </c>
      <c r="Q1265" s="69" t="s">
        <v>6539</v>
      </c>
      <c r="R1265" s="69"/>
      <c r="S1265" s="121" t="s">
        <v>665</v>
      </c>
      <c r="T1265" s="56">
        <v>30</v>
      </c>
      <c r="U1265" s="56">
        <v>3</v>
      </c>
    </row>
    <row r="1266" spans="1:21" ht="14.25" customHeight="1" thickBot="1" x14ac:dyDescent="0.4">
      <c r="A1266" s="58">
        <v>1250</v>
      </c>
      <c r="B1266" s="69" t="s">
        <v>79</v>
      </c>
      <c r="C1266" s="69" t="s">
        <v>80</v>
      </c>
      <c r="D1266" s="70" t="s">
        <v>264</v>
      </c>
      <c r="E1266" s="69" t="s">
        <v>6488</v>
      </c>
      <c r="F1266" s="69" t="s">
        <v>6489</v>
      </c>
      <c r="G1266" s="69" t="s">
        <v>54</v>
      </c>
      <c r="H1266" s="70">
        <v>2024</v>
      </c>
      <c r="I1266" s="69" t="s">
        <v>63</v>
      </c>
      <c r="J1266" s="69" t="s">
        <v>6540</v>
      </c>
      <c r="K1266" s="71" t="s">
        <v>6541</v>
      </c>
      <c r="L1266" s="71" t="s">
        <v>6542</v>
      </c>
      <c r="M1266" s="71" t="s">
        <v>6543</v>
      </c>
      <c r="N1266" s="69" t="s">
        <v>44</v>
      </c>
      <c r="O1266" s="64">
        <v>1</v>
      </c>
      <c r="P1266" s="72">
        <v>36700</v>
      </c>
      <c r="Q1266" s="69" t="s">
        <v>6544</v>
      </c>
      <c r="R1266" s="69"/>
      <c r="S1266" s="121" t="s">
        <v>665</v>
      </c>
      <c r="T1266" s="56">
        <v>30</v>
      </c>
      <c r="U1266" s="56">
        <v>3</v>
      </c>
    </row>
    <row r="1267" spans="1:21" ht="14.25" customHeight="1" x14ac:dyDescent="0.35">
      <c r="A1267" s="47">
        <v>1251</v>
      </c>
      <c r="B1267" s="69" t="s">
        <v>79</v>
      </c>
      <c r="C1267" s="69" t="s">
        <v>80</v>
      </c>
      <c r="D1267" s="70" t="s">
        <v>269</v>
      </c>
      <c r="E1267" s="69" t="s">
        <v>6488</v>
      </c>
      <c r="F1267" s="69" t="s">
        <v>6489</v>
      </c>
      <c r="G1267" s="69" t="s">
        <v>54</v>
      </c>
      <c r="H1267" s="70">
        <v>2024</v>
      </c>
      <c r="I1267" s="69" t="s">
        <v>63</v>
      </c>
      <c r="J1267" s="69" t="s">
        <v>6545</v>
      </c>
      <c r="K1267" s="71" t="s">
        <v>6546</v>
      </c>
      <c r="L1267" s="71" t="s">
        <v>6547</v>
      </c>
      <c r="M1267" s="71" t="s">
        <v>6548</v>
      </c>
      <c r="N1267" s="69" t="s">
        <v>44</v>
      </c>
      <c r="O1267" s="64">
        <v>1</v>
      </c>
      <c r="P1267" s="72">
        <v>36700</v>
      </c>
      <c r="Q1267" s="69" t="s">
        <v>6549</v>
      </c>
      <c r="R1267" s="69"/>
      <c r="S1267" s="121" t="s">
        <v>665</v>
      </c>
      <c r="T1267" s="56">
        <v>30</v>
      </c>
      <c r="U1267" s="56">
        <v>3</v>
      </c>
    </row>
    <row r="1268" spans="1:21" ht="14.25" customHeight="1" thickBot="1" x14ac:dyDescent="0.4">
      <c r="A1268" s="58">
        <v>1252</v>
      </c>
      <c r="B1268" s="69" t="s">
        <v>79</v>
      </c>
      <c r="C1268" s="69" t="s">
        <v>80</v>
      </c>
      <c r="D1268" s="70" t="s">
        <v>274</v>
      </c>
      <c r="E1268" s="69" t="s">
        <v>6550</v>
      </c>
      <c r="F1268" s="69" t="s">
        <v>88</v>
      </c>
      <c r="G1268" s="69" t="s">
        <v>54</v>
      </c>
      <c r="H1268" s="70">
        <v>2024</v>
      </c>
      <c r="I1268" s="69" t="s">
        <v>63</v>
      </c>
      <c r="J1268" s="69" t="s">
        <v>6551</v>
      </c>
      <c r="K1268" s="71" t="s">
        <v>6552</v>
      </c>
      <c r="L1268" s="71" t="s">
        <v>6553</v>
      </c>
      <c r="M1268" s="71" t="s">
        <v>6554</v>
      </c>
      <c r="N1268" s="69" t="s">
        <v>44</v>
      </c>
      <c r="O1268" s="64">
        <v>1</v>
      </c>
      <c r="P1268" s="72">
        <v>30430</v>
      </c>
      <c r="Q1268" s="69" t="s">
        <v>6555</v>
      </c>
      <c r="R1268" s="69"/>
      <c r="S1268" s="121" t="s">
        <v>665</v>
      </c>
      <c r="T1268" s="56">
        <v>30</v>
      </c>
      <c r="U1268" s="56">
        <v>3</v>
      </c>
    </row>
    <row r="1269" spans="1:21" ht="14.25" customHeight="1" x14ac:dyDescent="0.35">
      <c r="A1269" s="47">
        <v>1253</v>
      </c>
      <c r="B1269" s="69" t="s">
        <v>79</v>
      </c>
      <c r="C1269" s="69" t="s">
        <v>80</v>
      </c>
      <c r="D1269" s="70" t="s">
        <v>280</v>
      </c>
      <c r="E1269" s="69" t="s">
        <v>6556</v>
      </c>
      <c r="F1269" s="69" t="s">
        <v>88</v>
      </c>
      <c r="G1269" s="69" t="s">
        <v>54</v>
      </c>
      <c r="H1269" s="70">
        <v>2024</v>
      </c>
      <c r="I1269" s="69" t="s">
        <v>63</v>
      </c>
      <c r="J1269" s="69" t="s">
        <v>6557</v>
      </c>
      <c r="K1269" s="71" t="s">
        <v>6558</v>
      </c>
      <c r="L1269" s="71" t="s">
        <v>6559</v>
      </c>
      <c r="M1269" s="71" t="s">
        <v>6560</v>
      </c>
      <c r="N1269" s="69" t="s">
        <v>44</v>
      </c>
      <c r="O1269" s="64">
        <v>1</v>
      </c>
      <c r="P1269" s="72">
        <v>30430</v>
      </c>
      <c r="Q1269" s="69" t="s">
        <v>6561</v>
      </c>
      <c r="R1269" s="69"/>
      <c r="S1269" s="121" t="s">
        <v>665</v>
      </c>
      <c r="T1269" s="56">
        <v>30</v>
      </c>
      <c r="U1269" s="56">
        <v>3</v>
      </c>
    </row>
    <row r="1270" spans="1:21" ht="14.25" customHeight="1" thickBot="1" x14ac:dyDescent="0.4">
      <c r="A1270" s="58">
        <v>1254</v>
      </c>
      <c r="B1270" s="69" t="s">
        <v>79</v>
      </c>
      <c r="C1270" s="69" t="s">
        <v>80</v>
      </c>
      <c r="D1270" s="70" t="s">
        <v>286</v>
      </c>
      <c r="E1270" s="69" t="s">
        <v>6556</v>
      </c>
      <c r="F1270" s="69" t="s">
        <v>88</v>
      </c>
      <c r="G1270" s="69" t="s">
        <v>54</v>
      </c>
      <c r="H1270" s="70">
        <v>2024</v>
      </c>
      <c r="I1270" s="69" t="s">
        <v>63</v>
      </c>
      <c r="J1270" s="69" t="s">
        <v>6562</v>
      </c>
      <c r="K1270" s="71" t="s">
        <v>6563</v>
      </c>
      <c r="L1270" s="71" t="s">
        <v>6564</v>
      </c>
      <c r="M1270" s="71" t="s">
        <v>6565</v>
      </c>
      <c r="N1270" s="69" t="s">
        <v>44</v>
      </c>
      <c r="O1270" s="64">
        <v>1</v>
      </c>
      <c r="P1270" s="72">
        <v>30430</v>
      </c>
      <c r="Q1270" s="69" t="s">
        <v>6566</v>
      </c>
      <c r="R1270" s="69"/>
      <c r="S1270" s="121" t="s">
        <v>665</v>
      </c>
      <c r="T1270" s="56">
        <v>30</v>
      </c>
      <c r="U1270" s="56">
        <v>3</v>
      </c>
    </row>
    <row r="1271" spans="1:21" ht="14.25" customHeight="1" x14ac:dyDescent="0.35">
      <c r="A1271" s="47">
        <v>1255</v>
      </c>
      <c r="B1271" s="69" t="s">
        <v>79</v>
      </c>
      <c r="C1271" s="69" t="s">
        <v>80</v>
      </c>
      <c r="D1271" s="70" t="s">
        <v>291</v>
      </c>
      <c r="E1271" s="69" t="s">
        <v>6556</v>
      </c>
      <c r="F1271" s="69" t="s">
        <v>88</v>
      </c>
      <c r="G1271" s="69" t="s">
        <v>54</v>
      </c>
      <c r="H1271" s="70">
        <v>2024</v>
      </c>
      <c r="I1271" s="69" t="s">
        <v>63</v>
      </c>
      <c r="J1271" s="69" t="s">
        <v>6567</v>
      </c>
      <c r="K1271" s="71" t="s">
        <v>6568</v>
      </c>
      <c r="L1271" s="71" t="s">
        <v>6569</v>
      </c>
      <c r="M1271" s="71" t="s">
        <v>6570</v>
      </c>
      <c r="N1271" s="69" t="s">
        <v>44</v>
      </c>
      <c r="O1271" s="64">
        <v>1</v>
      </c>
      <c r="P1271" s="72">
        <v>30430</v>
      </c>
      <c r="Q1271" s="69" t="s">
        <v>6571</v>
      </c>
      <c r="R1271" s="69"/>
      <c r="S1271" s="121" t="s">
        <v>665</v>
      </c>
      <c r="T1271" s="56">
        <v>30</v>
      </c>
      <c r="U1271" s="56">
        <v>3</v>
      </c>
    </row>
    <row r="1272" spans="1:21" ht="14.25" customHeight="1" thickBot="1" x14ac:dyDescent="0.4">
      <c r="A1272" s="58">
        <v>1256</v>
      </c>
      <c r="B1272" s="69" t="s">
        <v>2244</v>
      </c>
      <c r="C1272" s="69" t="s">
        <v>2245</v>
      </c>
      <c r="D1272" s="70" t="s">
        <v>51</v>
      </c>
      <c r="E1272" s="69" t="s">
        <v>6572</v>
      </c>
      <c r="F1272" s="69" t="s">
        <v>202</v>
      </c>
      <c r="G1272" s="69" t="s">
        <v>2954</v>
      </c>
      <c r="H1272" s="70">
        <v>2021</v>
      </c>
      <c r="I1272" s="69" t="s">
        <v>63</v>
      </c>
      <c r="J1272" s="69" t="s">
        <v>6573</v>
      </c>
      <c r="K1272" s="71" t="s">
        <v>6574</v>
      </c>
      <c r="L1272" s="71" t="s">
        <v>6575</v>
      </c>
      <c r="M1272" s="71" t="s">
        <v>6576</v>
      </c>
      <c r="N1272" s="69" t="s">
        <v>44</v>
      </c>
      <c r="O1272" s="64">
        <v>1</v>
      </c>
      <c r="P1272" s="72">
        <v>17100</v>
      </c>
      <c r="Q1272" s="69" t="s">
        <v>6577</v>
      </c>
      <c r="R1272" s="69"/>
      <c r="S1272" s="121" t="s">
        <v>665</v>
      </c>
      <c r="T1272" s="56">
        <v>30</v>
      </c>
      <c r="U1272" s="56">
        <v>3</v>
      </c>
    </row>
    <row r="1273" spans="1:21" ht="14.25" customHeight="1" x14ac:dyDescent="0.35">
      <c r="A1273" s="47">
        <v>1257</v>
      </c>
      <c r="B1273" s="69" t="s">
        <v>2244</v>
      </c>
      <c r="C1273" s="69" t="s">
        <v>2245</v>
      </c>
      <c r="D1273" s="70" t="s">
        <v>59</v>
      </c>
      <c r="E1273" s="69" t="s">
        <v>6572</v>
      </c>
      <c r="F1273" s="69" t="s">
        <v>202</v>
      </c>
      <c r="G1273" s="69" t="s">
        <v>2954</v>
      </c>
      <c r="H1273" s="70">
        <v>2021</v>
      </c>
      <c r="I1273" s="69" t="s">
        <v>63</v>
      </c>
      <c r="J1273" s="69" t="s">
        <v>6578</v>
      </c>
      <c r="K1273" s="71" t="s">
        <v>6579</v>
      </c>
      <c r="L1273" s="71" t="s">
        <v>6580</v>
      </c>
      <c r="M1273" s="71" t="s">
        <v>6581</v>
      </c>
      <c r="N1273" s="69" t="s">
        <v>57</v>
      </c>
      <c r="O1273" s="64">
        <v>1</v>
      </c>
      <c r="P1273" s="72">
        <v>17100</v>
      </c>
      <c r="Q1273" s="69" t="s">
        <v>6577</v>
      </c>
      <c r="R1273" s="69"/>
      <c r="S1273" s="121" t="s">
        <v>665</v>
      </c>
      <c r="T1273" s="56">
        <v>30</v>
      </c>
      <c r="U1273" s="56">
        <v>3</v>
      </c>
    </row>
    <row r="1274" spans="1:21" ht="14.25" customHeight="1" thickBot="1" x14ac:dyDescent="0.4">
      <c r="A1274" s="58">
        <v>1258</v>
      </c>
      <c r="B1274" s="69" t="s">
        <v>2244</v>
      </c>
      <c r="C1274" s="69" t="s">
        <v>2245</v>
      </c>
      <c r="D1274" s="70" t="s">
        <v>97</v>
      </c>
      <c r="E1274" s="69" t="s">
        <v>6572</v>
      </c>
      <c r="F1274" s="69" t="s">
        <v>202</v>
      </c>
      <c r="G1274" s="69" t="s">
        <v>2954</v>
      </c>
      <c r="H1274" s="70">
        <v>2021</v>
      </c>
      <c r="I1274" s="69" t="s">
        <v>63</v>
      </c>
      <c r="J1274" s="69" t="s">
        <v>6582</v>
      </c>
      <c r="K1274" s="71" t="s">
        <v>6583</v>
      </c>
      <c r="L1274" s="71" t="s">
        <v>6584</v>
      </c>
      <c r="M1274" s="71" t="s">
        <v>6585</v>
      </c>
      <c r="N1274" s="69" t="s">
        <v>57</v>
      </c>
      <c r="O1274" s="64">
        <v>1</v>
      </c>
      <c r="P1274" s="72">
        <v>17100</v>
      </c>
      <c r="Q1274" s="69" t="s">
        <v>6577</v>
      </c>
      <c r="R1274" s="69"/>
      <c r="S1274" s="121" t="s">
        <v>665</v>
      </c>
      <c r="T1274" s="56">
        <v>30</v>
      </c>
      <c r="U1274" s="56">
        <v>3</v>
      </c>
    </row>
    <row r="1275" spans="1:21" ht="14.25" customHeight="1" x14ac:dyDescent="0.35">
      <c r="A1275" s="47">
        <v>1259</v>
      </c>
      <c r="B1275" s="69" t="s">
        <v>2244</v>
      </c>
      <c r="C1275" s="69" t="s">
        <v>2245</v>
      </c>
      <c r="D1275" s="70" t="s">
        <v>101</v>
      </c>
      <c r="E1275" s="69" t="s">
        <v>6572</v>
      </c>
      <c r="F1275" s="69" t="s">
        <v>202</v>
      </c>
      <c r="G1275" s="69" t="s">
        <v>2954</v>
      </c>
      <c r="H1275" s="70">
        <v>2021</v>
      </c>
      <c r="I1275" s="69" t="s">
        <v>63</v>
      </c>
      <c r="J1275" s="69" t="s">
        <v>6586</v>
      </c>
      <c r="K1275" s="71" t="s">
        <v>6587</v>
      </c>
      <c r="L1275" s="71" t="s">
        <v>6588</v>
      </c>
      <c r="M1275" s="71" t="s">
        <v>6589</v>
      </c>
      <c r="N1275" s="69" t="s">
        <v>57</v>
      </c>
      <c r="O1275" s="64">
        <v>1</v>
      </c>
      <c r="P1275" s="72">
        <v>17100</v>
      </c>
      <c r="Q1275" s="69" t="s">
        <v>6577</v>
      </c>
      <c r="R1275" s="69"/>
      <c r="S1275" s="121" t="s">
        <v>665</v>
      </c>
      <c r="T1275" s="56">
        <v>30</v>
      </c>
      <c r="U1275" s="56">
        <v>3</v>
      </c>
    </row>
    <row r="1276" spans="1:21" ht="14.25" customHeight="1" thickBot="1" x14ac:dyDescent="0.4">
      <c r="A1276" s="58">
        <v>1260</v>
      </c>
      <c r="B1276" s="69" t="s">
        <v>2064</v>
      </c>
      <c r="C1276" s="69" t="s">
        <v>2065</v>
      </c>
      <c r="D1276" s="70" t="s">
        <v>51</v>
      </c>
      <c r="E1276" s="69" t="s">
        <v>6590</v>
      </c>
      <c r="F1276" s="69" t="s">
        <v>2023</v>
      </c>
      <c r="G1276" s="69" t="s">
        <v>54</v>
      </c>
      <c r="H1276" s="70">
        <v>2010</v>
      </c>
      <c r="I1276" s="69"/>
      <c r="J1276" s="69" t="s">
        <v>6591</v>
      </c>
      <c r="K1276" s="71" t="s">
        <v>6592</v>
      </c>
      <c r="L1276" s="71" t="s">
        <v>6593</v>
      </c>
      <c r="M1276" s="71" t="s">
        <v>6594</v>
      </c>
      <c r="N1276" s="69" t="s">
        <v>57</v>
      </c>
      <c r="O1276" s="64">
        <v>1</v>
      </c>
      <c r="P1276" s="72">
        <v>310000</v>
      </c>
      <c r="Q1276" s="69" t="s">
        <v>6595</v>
      </c>
      <c r="R1276" s="69"/>
      <c r="S1276" s="121" t="s">
        <v>687</v>
      </c>
      <c r="T1276" s="56">
        <v>31</v>
      </c>
      <c r="U1276" s="56">
        <v>6</v>
      </c>
    </row>
    <row r="1277" spans="1:21" ht="14.25" customHeight="1" x14ac:dyDescent="0.35">
      <c r="A1277" s="47">
        <v>1261</v>
      </c>
      <c r="B1277" s="69" t="s">
        <v>70</v>
      </c>
      <c r="C1277" s="69" t="s">
        <v>71</v>
      </c>
      <c r="D1277" s="70" t="s">
        <v>51</v>
      </c>
      <c r="E1277" s="69" t="s">
        <v>5488</v>
      </c>
      <c r="F1277" s="69">
        <v>2393</v>
      </c>
      <c r="G1277" s="69" t="s">
        <v>140</v>
      </c>
      <c r="H1277" s="70">
        <v>2018</v>
      </c>
      <c r="I1277" s="69" t="s">
        <v>63</v>
      </c>
      <c r="J1277" s="69" t="s">
        <v>6596</v>
      </c>
      <c r="K1277" s="71" t="s">
        <v>6597</v>
      </c>
      <c r="L1277" s="71" t="s">
        <v>6598</v>
      </c>
      <c r="M1277" s="71" t="s">
        <v>6599</v>
      </c>
      <c r="N1277" s="69" t="s">
        <v>57</v>
      </c>
      <c r="O1277" s="64">
        <v>1</v>
      </c>
      <c r="P1277" s="72">
        <v>399250</v>
      </c>
      <c r="Q1277" s="69" t="s">
        <v>6600</v>
      </c>
      <c r="R1277" s="69"/>
      <c r="S1277" s="121" t="s">
        <v>687</v>
      </c>
      <c r="T1277" s="56">
        <v>31</v>
      </c>
      <c r="U1277" s="56">
        <v>4</v>
      </c>
    </row>
    <row r="1278" spans="1:21" ht="14.25" customHeight="1" thickBot="1" x14ac:dyDescent="0.4">
      <c r="A1278" s="58">
        <v>1262</v>
      </c>
      <c r="B1278" s="69" t="s">
        <v>70</v>
      </c>
      <c r="C1278" s="69" t="s">
        <v>71</v>
      </c>
      <c r="D1278" s="70" t="s">
        <v>59</v>
      </c>
      <c r="E1278" s="69" t="s">
        <v>4627</v>
      </c>
      <c r="F1278" s="69" t="s">
        <v>3698</v>
      </c>
      <c r="G1278" s="69" t="s">
        <v>63</v>
      </c>
      <c r="H1278" s="70">
        <v>2023</v>
      </c>
      <c r="I1278" s="69" t="s">
        <v>63</v>
      </c>
      <c r="J1278" s="69" t="s">
        <v>6601</v>
      </c>
      <c r="K1278" s="71" t="s">
        <v>6602</v>
      </c>
      <c r="L1278" s="71" t="s">
        <v>6603</v>
      </c>
      <c r="M1278" s="71" t="s">
        <v>6604</v>
      </c>
      <c r="N1278" s="69" t="s">
        <v>44</v>
      </c>
      <c r="O1278" s="64">
        <v>1</v>
      </c>
      <c r="P1278" s="72">
        <v>470900</v>
      </c>
      <c r="Q1278" s="69" t="s">
        <v>6605</v>
      </c>
      <c r="R1278" s="69"/>
      <c r="S1278" s="121" t="s">
        <v>687</v>
      </c>
      <c r="T1278" s="56">
        <v>31</v>
      </c>
      <c r="U1278" s="56">
        <v>4</v>
      </c>
    </row>
    <row r="1279" spans="1:21" ht="14.25" customHeight="1" x14ac:dyDescent="0.35">
      <c r="A1279" s="47">
        <v>1263</v>
      </c>
      <c r="B1279" s="69" t="s">
        <v>79</v>
      </c>
      <c r="C1279" s="69" t="s">
        <v>80</v>
      </c>
      <c r="D1279" s="70" t="s">
        <v>51</v>
      </c>
      <c r="E1279" s="69" t="s">
        <v>3766</v>
      </c>
      <c r="F1279" s="69" t="s">
        <v>148</v>
      </c>
      <c r="G1279" s="69" t="s">
        <v>140</v>
      </c>
      <c r="H1279" s="70">
        <v>2018</v>
      </c>
      <c r="I1279" s="69" t="s">
        <v>63</v>
      </c>
      <c r="J1279" s="69" t="s">
        <v>6606</v>
      </c>
      <c r="K1279" s="71" t="s">
        <v>6607</v>
      </c>
      <c r="L1279" s="71" t="s">
        <v>6608</v>
      </c>
      <c r="M1279" s="71" t="s">
        <v>6609</v>
      </c>
      <c r="N1279" s="69" t="s">
        <v>57</v>
      </c>
      <c r="O1279" s="64">
        <v>1</v>
      </c>
      <c r="P1279" s="72">
        <v>31708</v>
      </c>
      <c r="Q1279" s="69" t="s">
        <v>168</v>
      </c>
      <c r="R1279" s="69"/>
      <c r="S1279" s="121" t="s">
        <v>687</v>
      </c>
      <c r="T1279" s="56">
        <v>31</v>
      </c>
      <c r="U1279" s="56">
        <v>3</v>
      </c>
    </row>
    <row r="1280" spans="1:21" ht="14.25" customHeight="1" thickBot="1" x14ac:dyDescent="0.4">
      <c r="A1280" s="58">
        <v>1264</v>
      </c>
      <c r="B1280" s="69" t="s">
        <v>79</v>
      </c>
      <c r="C1280" s="69" t="s">
        <v>80</v>
      </c>
      <c r="D1280" s="70" t="s">
        <v>59</v>
      </c>
      <c r="E1280" s="69" t="s">
        <v>147</v>
      </c>
      <c r="F1280" s="69" t="s">
        <v>148</v>
      </c>
      <c r="G1280" s="69" t="s">
        <v>140</v>
      </c>
      <c r="H1280" s="70">
        <v>2015</v>
      </c>
      <c r="I1280" s="69"/>
      <c r="J1280" s="69" t="s">
        <v>6610</v>
      </c>
      <c r="K1280" s="71" t="s">
        <v>6611</v>
      </c>
      <c r="L1280" s="71" t="s">
        <v>6612</v>
      </c>
      <c r="M1280" s="71" t="s">
        <v>6613</v>
      </c>
      <c r="N1280" s="69" t="s">
        <v>57</v>
      </c>
      <c r="O1280" s="64">
        <v>1</v>
      </c>
      <c r="P1280" s="72">
        <v>19430</v>
      </c>
      <c r="Q1280" s="69" t="s">
        <v>6614</v>
      </c>
      <c r="R1280" s="69"/>
      <c r="S1280" s="121" t="s">
        <v>687</v>
      </c>
      <c r="T1280" s="56">
        <v>31</v>
      </c>
      <c r="U1280" s="56">
        <v>3</v>
      </c>
    </row>
    <row r="1281" spans="1:23" ht="14.25" customHeight="1" x14ac:dyDescent="0.35">
      <c r="A1281" s="47">
        <v>1265</v>
      </c>
      <c r="B1281" s="69" t="s">
        <v>79</v>
      </c>
      <c r="C1281" s="69" t="s">
        <v>80</v>
      </c>
      <c r="D1281" s="70" t="s">
        <v>97</v>
      </c>
      <c r="E1281" s="69" t="s">
        <v>1377</v>
      </c>
      <c r="F1281" s="69" t="s">
        <v>1378</v>
      </c>
      <c r="G1281" s="69" t="s">
        <v>140</v>
      </c>
      <c r="H1281" s="70">
        <v>2014</v>
      </c>
      <c r="I1281" s="69"/>
      <c r="J1281" s="69" t="s">
        <v>6615</v>
      </c>
      <c r="K1281" s="71" t="s">
        <v>6616</v>
      </c>
      <c r="L1281" s="71" t="s">
        <v>6617</v>
      </c>
      <c r="M1281" s="71" t="s">
        <v>6618</v>
      </c>
      <c r="N1281" s="69" t="s">
        <v>57</v>
      </c>
      <c r="O1281" s="64">
        <v>1</v>
      </c>
      <c r="P1281" s="72">
        <v>19189.532999999999</v>
      </c>
      <c r="Q1281" s="69" t="s">
        <v>6619</v>
      </c>
      <c r="R1281" s="69"/>
      <c r="S1281" s="121" t="s">
        <v>687</v>
      </c>
      <c r="T1281" s="56">
        <v>31</v>
      </c>
      <c r="U1281" s="56">
        <v>3</v>
      </c>
    </row>
    <row r="1282" spans="1:23" ht="14.25" customHeight="1" thickBot="1" x14ac:dyDescent="0.4">
      <c r="A1282" s="58">
        <v>1266</v>
      </c>
      <c r="B1282" s="69" t="s">
        <v>79</v>
      </c>
      <c r="C1282" s="69" t="s">
        <v>80</v>
      </c>
      <c r="D1282" s="70" t="s">
        <v>101</v>
      </c>
      <c r="E1282" s="69" t="s">
        <v>1377</v>
      </c>
      <c r="F1282" s="69" t="s">
        <v>1378</v>
      </c>
      <c r="G1282" s="69" t="s">
        <v>140</v>
      </c>
      <c r="H1282" s="70">
        <v>2014</v>
      </c>
      <c r="I1282" s="69"/>
      <c r="J1282" s="69" t="s">
        <v>6620</v>
      </c>
      <c r="K1282" s="71" t="s">
        <v>6621</v>
      </c>
      <c r="L1282" s="71" t="s">
        <v>6622</v>
      </c>
      <c r="M1282" s="71" t="s">
        <v>6623</v>
      </c>
      <c r="N1282" s="69" t="s">
        <v>57</v>
      </c>
      <c r="O1282" s="64">
        <v>1</v>
      </c>
      <c r="P1282" s="72">
        <v>19189.532999999999</v>
      </c>
      <c r="Q1282" s="69" t="s">
        <v>6624</v>
      </c>
      <c r="R1282" s="69"/>
      <c r="S1282" s="121" t="s">
        <v>687</v>
      </c>
      <c r="T1282" s="56">
        <v>31</v>
      </c>
      <c r="U1282" s="56">
        <v>3</v>
      </c>
    </row>
    <row r="1283" spans="1:23" ht="14.25" customHeight="1" x14ac:dyDescent="0.35">
      <c r="A1283" s="47">
        <v>1267</v>
      </c>
      <c r="B1283" s="69" t="s">
        <v>79</v>
      </c>
      <c r="C1283" s="69" t="s">
        <v>80</v>
      </c>
      <c r="D1283" s="70" t="s">
        <v>107</v>
      </c>
      <c r="E1283" s="69" t="s">
        <v>201</v>
      </c>
      <c r="F1283" s="69" t="s">
        <v>202</v>
      </c>
      <c r="G1283" s="69" t="s">
        <v>54</v>
      </c>
      <c r="H1283" s="70">
        <v>2012</v>
      </c>
      <c r="I1283" s="69"/>
      <c r="J1283" s="69" t="s">
        <v>6625</v>
      </c>
      <c r="K1283" s="71" t="s">
        <v>6626</v>
      </c>
      <c r="L1283" s="71" t="s">
        <v>6627</v>
      </c>
      <c r="M1283" s="71" t="s">
        <v>6628</v>
      </c>
      <c r="N1283" s="69" t="s">
        <v>57</v>
      </c>
      <c r="O1283" s="64">
        <v>1</v>
      </c>
      <c r="P1283" s="72">
        <v>12577.55</v>
      </c>
      <c r="Q1283" s="69" t="s">
        <v>6629</v>
      </c>
      <c r="R1283" s="69"/>
      <c r="S1283" s="121" t="s">
        <v>687</v>
      </c>
      <c r="T1283" s="56">
        <v>31</v>
      </c>
      <c r="U1283" s="56">
        <v>3</v>
      </c>
    </row>
    <row r="1284" spans="1:23" ht="14.25" customHeight="1" thickBot="1" x14ac:dyDescent="0.4">
      <c r="A1284" s="58">
        <v>1268</v>
      </c>
      <c r="B1284" s="69" t="s">
        <v>79</v>
      </c>
      <c r="C1284" s="69" t="s">
        <v>80</v>
      </c>
      <c r="D1284" s="70" t="s">
        <v>112</v>
      </c>
      <c r="E1284" s="69" t="s">
        <v>6630</v>
      </c>
      <c r="F1284" s="69" t="s">
        <v>1854</v>
      </c>
      <c r="G1284" s="69" t="s">
        <v>140</v>
      </c>
      <c r="H1284" s="70">
        <v>2019</v>
      </c>
      <c r="I1284" s="69"/>
      <c r="J1284" s="69" t="s">
        <v>6631</v>
      </c>
      <c r="K1284" s="71" t="s">
        <v>6632</v>
      </c>
      <c r="L1284" s="71" t="s">
        <v>6633</v>
      </c>
      <c r="M1284" s="71" t="s">
        <v>6634</v>
      </c>
      <c r="N1284" s="69" t="s">
        <v>57</v>
      </c>
      <c r="O1284" s="64">
        <v>1</v>
      </c>
      <c r="P1284" s="72">
        <v>20600</v>
      </c>
      <c r="Q1284" s="69" t="s">
        <v>80</v>
      </c>
      <c r="R1284" s="69"/>
      <c r="S1284" s="121" t="s">
        <v>687</v>
      </c>
      <c r="T1284" s="56">
        <v>31</v>
      </c>
      <c r="U1284" s="56">
        <v>3</v>
      </c>
    </row>
    <row r="1285" spans="1:23" ht="14.25" customHeight="1" x14ac:dyDescent="0.35">
      <c r="A1285" s="47">
        <v>1269</v>
      </c>
      <c r="B1285" s="69" t="s">
        <v>79</v>
      </c>
      <c r="C1285" s="69" t="s">
        <v>80</v>
      </c>
      <c r="D1285" s="70" t="s">
        <v>116</v>
      </c>
      <c r="E1285" s="69" t="s">
        <v>6635</v>
      </c>
      <c r="F1285" s="69" t="s">
        <v>293</v>
      </c>
      <c r="G1285" s="69" t="s">
        <v>2637</v>
      </c>
      <c r="H1285" s="70">
        <v>2019</v>
      </c>
      <c r="I1285" s="69" t="s">
        <v>63</v>
      </c>
      <c r="J1285" s="69" t="s">
        <v>6636</v>
      </c>
      <c r="K1285" s="71" t="s">
        <v>6637</v>
      </c>
      <c r="L1285" s="71" t="s">
        <v>6638</v>
      </c>
      <c r="M1285" s="71" t="s">
        <v>6639</v>
      </c>
      <c r="N1285" s="69" t="s">
        <v>57</v>
      </c>
      <c r="O1285" s="64">
        <v>1</v>
      </c>
      <c r="P1285" s="72">
        <v>33000</v>
      </c>
      <c r="Q1285" s="69" t="s">
        <v>80</v>
      </c>
      <c r="R1285" s="69"/>
      <c r="S1285" s="121" t="s">
        <v>687</v>
      </c>
      <c r="T1285" s="56">
        <v>31</v>
      </c>
      <c r="U1285" s="56">
        <v>3</v>
      </c>
    </row>
    <row r="1286" spans="1:23" ht="14.25" customHeight="1" thickBot="1" x14ac:dyDescent="0.4">
      <c r="A1286" s="58">
        <v>1270</v>
      </c>
      <c r="B1286" s="69" t="s">
        <v>79</v>
      </c>
      <c r="C1286" s="69" t="s">
        <v>80</v>
      </c>
      <c r="D1286" s="70" t="s">
        <v>841</v>
      </c>
      <c r="E1286" s="69" t="s">
        <v>6635</v>
      </c>
      <c r="F1286" s="69" t="s">
        <v>293</v>
      </c>
      <c r="G1286" s="69" t="s">
        <v>2637</v>
      </c>
      <c r="H1286" s="70">
        <v>2019</v>
      </c>
      <c r="I1286" s="69" t="s">
        <v>63</v>
      </c>
      <c r="J1286" s="69" t="s">
        <v>6640</v>
      </c>
      <c r="K1286" s="71" t="s">
        <v>6641</v>
      </c>
      <c r="L1286" s="71" t="s">
        <v>6642</v>
      </c>
      <c r="M1286" s="71" t="s">
        <v>6643</v>
      </c>
      <c r="N1286" s="69" t="s">
        <v>57</v>
      </c>
      <c r="O1286" s="64">
        <v>1</v>
      </c>
      <c r="P1286" s="72">
        <v>33000</v>
      </c>
      <c r="Q1286" s="69" t="s">
        <v>80</v>
      </c>
      <c r="R1286" s="69"/>
      <c r="S1286" s="121" t="s">
        <v>687</v>
      </c>
      <c r="T1286" s="56">
        <v>31</v>
      </c>
      <c r="U1286" s="56">
        <v>3</v>
      </c>
    </row>
    <row r="1287" spans="1:23" ht="14.25" customHeight="1" x14ac:dyDescent="0.35">
      <c r="A1287" s="47">
        <v>1271</v>
      </c>
      <c r="B1287" s="69" t="s">
        <v>79</v>
      </c>
      <c r="C1287" s="69" t="s">
        <v>80</v>
      </c>
      <c r="D1287" s="70" t="s">
        <v>904</v>
      </c>
      <c r="E1287" s="69" t="s">
        <v>6635</v>
      </c>
      <c r="F1287" s="69" t="s">
        <v>293</v>
      </c>
      <c r="G1287" s="69" t="s">
        <v>2637</v>
      </c>
      <c r="H1287" s="70">
        <v>2019</v>
      </c>
      <c r="I1287" s="69" t="s">
        <v>63</v>
      </c>
      <c r="J1287" s="69" t="s">
        <v>6644</v>
      </c>
      <c r="K1287" s="71" t="s">
        <v>6645</v>
      </c>
      <c r="L1287" s="71" t="s">
        <v>6646</v>
      </c>
      <c r="M1287" s="71" t="s">
        <v>6647</v>
      </c>
      <c r="N1287" s="69" t="s">
        <v>57</v>
      </c>
      <c r="O1287" s="64">
        <v>1</v>
      </c>
      <c r="P1287" s="72">
        <v>33000</v>
      </c>
      <c r="Q1287" s="69" t="s">
        <v>80</v>
      </c>
      <c r="R1287" s="69"/>
      <c r="S1287" s="121" t="s">
        <v>687</v>
      </c>
      <c r="T1287" s="56">
        <v>31</v>
      </c>
      <c r="U1287" s="56">
        <v>3</v>
      </c>
    </row>
    <row r="1288" spans="1:23" ht="14.25" customHeight="1" thickBot="1" x14ac:dyDescent="0.4">
      <c r="A1288" s="58">
        <v>1272</v>
      </c>
      <c r="B1288" s="69" t="s">
        <v>79</v>
      </c>
      <c r="C1288" s="69" t="s">
        <v>80</v>
      </c>
      <c r="D1288" s="70" t="s">
        <v>122</v>
      </c>
      <c r="E1288" s="69" t="s">
        <v>6648</v>
      </c>
      <c r="F1288" s="69" t="s">
        <v>88</v>
      </c>
      <c r="G1288" s="69" t="s">
        <v>54</v>
      </c>
      <c r="H1288" s="70">
        <v>2007</v>
      </c>
      <c r="I1288" s="69"/>
      <c r="J1288" s="69" t="s">
        <v>6649</v>
      </c>
      <c r="K1288" s="71" t="s">
        <v>6650</v>
      </c>
      <c r="L1288" s="71" t="s">
        <v>6651</v>
      </c>
      <c r="M1288" s="71" t="s">
        <v>6652</v>
      </c>
      <c r="N1288" s="69" t="s">
        <v>57</v>
      </c>
      <c r="O1288" s="64">
        <v>1</v>
      </c>
      <c r="P1288" s="72">
        <v>14500</v>
      </c>
      <c r="Q1288" s="69"/>
      <c r="R1288" s="69"/>
      <c r="S1288" s="121" t="s">
        <v>687</v>
      </c>
      <c r="T1288" s="56">
        <v>31</v>
      </c>
      <c r="U1288" s="56">
        <v>3</v>
      </c>
    </row>
    <row r="1289" spans="1:23" ht="14.25" customHeight="1" x14ac:dyDescent="0.35">
      <c r="A1289" s="47">
        <v>1273</v>
      </c>
      <c r="B1289" s="190" t="s">
        <v>70</v>
      </c>
      <c r="C1289" s="190" t="s">
        <v>71</v>
      </c>
      <c r="D1289" s="191" t="s">
        <v>97</v>
      </c>
      <c r="E1289" s="190" t="s">
        <v>4627</v>
      </c>
      <c r="F1289" s="190" t="s">
        <v>3698</v>
      </c>
      <c r="G1289" s="190" t="s">
        <v>140</v>
      </c>
      <c r="H1289" s="191">
        <v>2023</v>
      </c>
      <c r="I1289" s="190" t="s">
        <v>63</v>
      </c>
      <c r="J1289" s="192" t="s">
        <v>6653</v>
      </c>
      <c r="K1289" s="193" t="s">
        <v>6654</v>
      </c>
      <c r="L1289" s="194" t="s">
        <v>6655</v>
      </c>
      <c r="M1289" s="194" t="s">
        <v>6656</v>
      </c>
      <c r="N1289" s="190" t="s">
        <v>44</v>
      </c>
      <c r="O1289" s="195">
        <v>1</v>
      </c>
      <c r="P1289" s="196">
        <v>470900</v>
      </c>
      <c r="Q1289" s="197" t="s">
        <v>6657</v>
      </c>
      <c r="R1289" s="213"/>
      <c r="S1289" s="121" t="s">
        <v>712</v>
      </c>
      <c r="T1289" s="56">
        <v>32</v>
      </c>
      <c r="U1289" s="56">
        <v>4</v>
      </c>
      <c r="V1289" s="198"/>
      <c r="W1289" s="198"/>
    </row>
    <row r="1290" spans="1:23" ht="14.25" customHeight="1" thickBot="1" x14ac:dyDescent="0.4">
      <c r="A1290" s="58">
        <v>1274</v>
      </c>
      <c r="B1290" s="190" t="s">
        <v>79</v>
      </c>
      <c r="C1290" s="190" t="s">
        <v>80</v>
      </c>
      <c r="D1290" s="191" t="s">
        <v>51</v>
      </c>
      <c r="E1290" s="190" t="s">
        <v>2654</v>
      </c>
      <c r="F1290" s="190"/>
      <c r="G1290" s="190" t="s">
        <v>54</v>
      </c>
      <c r="H1290" s="191">
        <v>2006</v>
      </c>
      <c r="I1290" s="190"/>
      <c r="J1290" s="199"/>
      <c r="K1290" s="200"/>
      <c r="L1290" s="194"/>
      <c r="M1290" s="194"/>
      <c r="N1290" s="190" t="s">
        <v>57</v>
      </c>
      <c r="O1290" s="195">
        <v>1</v>
      </c>
      <c r="P1290" s="196">
        <v>6500</v>
      </c>
      <c r="Q1290" s="201" t="s">
        <v>6658</v>
      </c>
      <c r="R1290" s="214"/>
      <c r="S1290" s="121" t="s">
        <v>712</v>
      </c>
      <c r="T1290" s="56">
        <v>32</v>
      </c>
      <c r="U1290" s="56">
        <v>3</v>
      </c>
      <c r="V1290" s="198"/>
      <c r="W1290" s="198"/>
    </row>
    <row r="1291" spans="1:23" ht="14.25" customHeight="1" x14ac:dyDescent="0.35">
      <c r="A1291" s="47">
        <v>1275</v>
      </c>
      <c r="B1291" s="190" t="s">
        <v>79</v>
      </c>
      <c r="C1291" s="190" t="s">
        <v>80</v>
      </c>
      <c r="D1291" s="191" t="s">
        <v>59</v>
      </c>
      <c r="E1291" s="190" t="s">
        <v>6659</v>
      </c>
      <c r="F1291" s="190" t="s">
        <v>148</v>
      </c>
      <c r="G1291" s="190" t="s">
        <v>140</v>
      </c>
      <c r="H1291" s="191">
        <v>2017</v>
      </c>
      <c r="I1291" s="190" t="s">
        <v>63</v>
      </c>
      <c r="J1291" s="199" t="s">
        <v>6660</v>
      </c>
      <c r="K1291" s="200" t="s">
        <v>6661</v>
      </c>
      <c r="L1291" s="194" t="s">
        <v>6662</v>
      </c>
      <c r="M1291" s="194" t="s">
        <v>6663</v>
      </c>
      <c r="N1291" s="190" t="s">
        <v>57</v>
      </c>
      <c r="O1291" s="195">
        <v>1</v>
      </c>
      <c r="P1291" s="196">
        <v>19729.667000000001</v>
      </c>
      <c r="Q1291" s="202" t="s">
        <v>6664</v>
      </c>
      <c r="R1291" s="213"/>
      <c r="S1291" s="121" t="s">
        <v>712</v>
      </c>
      <c r="T1291" s="56">
        <v>32</v>
      </c>
      <c r="U1291" s="56">
        <v>3</v>
      </c>
      <c r="V1291" s="198"/>
      <c r="W1291" s="198"/>
    </row>
    <row r="1292" spans="1:23" ht="14.25" customHeight="1" thickBot="1" x14ac:dyDescent="0.4">
      <c r="A1292" s="58">
        <v>1276</v>
      </c>
      <c r="B1292" s="190" t="s">
        <v>79</v>
      </c>
      <c r="C1292" s="190" t="s">
        <v>80</v>
      </c>
      <c r="D1292" s="191" t="s">
        <v>97</v>
      </c>
      <c r="E1292" s="190" t="s">
        <v>4035</v>
      </c>
      <c r="F1292" s="190" t="s">
        <v>4036</v>
      </c>
      <c r="G1292" s="190" t="s">
        <v>140</v>
      </c>
      <c r="H1292" s="191">
        <v>2015</v>
      </c>
      <c r="I1292" s="190"/>
      <c r="J1292" s="199" t="s">
        <v>6665</v>
      </c>
      <c r="K1292" s="200" t="s">
        <v>6666</v>
      </c>
      <c r="L1292" s="194" t="s">
        <v>6667</v>
      </c>
      <c r="M1292" s="194" t="s">
        <v>6668</v>
      </c>
      <c r="N1292" s="190" t="s">
        <v>57</v>
      </c>
      <c r="O1292" s="195">
        <v>1</v>
      </c>
      <c r="P1292" s="196">
        <v>18976</v>
      </c>
      <c r="Q1292" s="202" t="s">
        <v>6669</v>
      </c>
      <c r="R1292" s="213"/>
      <c r="S1292" s="121" t="s">
        <v>712</v>
      </c>
      <c r="T1292" s="56">
        <v>32</v>
      </c>
      <c r="U1292" s="56">
        <v>3</v>
      </c>
      <c r="V1292" s="198"/>
      <c r="W1292" s="198"/>
    </row>
    <row r="1293" spans="1:23" ht="14.25" customHeight="1" x14ac:dyDescent="0.35">
      <c r="A1293" s="47">
        <v>1277</v>
      </c>
      <c r="B1293" s="190" t="s">
        <v>79</v>
      </c>
      <c r="C1293" s="190" t="s">
        <v>80</v>
      </c>
      <c r="D1293" s="191" t="s">
        <v>101</v>
      </c>
      <c r="E1293" s="190" t="s">
        <v>147</v>
      </c>
      <c r="F1293" s="190" t="s">
        <v>148</v>
      </c>
      <c r="G1293" s="190" t="s">
        <v>140</v>
      </c>
      <c r="H1293" s="191">
        <v>2015</v>
      </c>
      <c r="I1293" s="190"/>
      <c r="J1293" s="199" t="s">
        <v>6670</v>
      </c>
      <c r="K1293" s="200" t="s">
        <v>6671</v>
      </c>
      <c r="L1293" s="194" t="s">
        <v>6672</v>
      </c>
      <c r="M1293" s="194" t="s">
        <v>6673</v>
      </c>
      <c r="N1293" s="190" t="s">
        <v>57</v>
      </c>
      <c r="O1293" s="195">
        <v>1</v>
      </c>
      <c r="P1293" s="196">
        <v>19430</v>
      </c>
      <c r="Q1293" s="202" t="s">
        <v>6674</v>
      </c>
      <c r="R1293" s="213"/>
      <c r="S1293" s="121" t="s">
        <v>712</v>
      </c>
      <c r="T1293" s="56">
        <v>32</v>
      </c>
      <c r="U1293" s="56">
        <v>3</v>
      </c>
      <c r="V1293" s="198"/>
      <c r="W1293" s="198"/>
    </row>
    <row r="1294" spans="1:23" ht="14.25" customHeight="1" thickBot="1" x14ac:dyDescent="0.4">
      <c r="A1294" s="58">
        <v>1278</v>
      </c>
      <c r="B1294" s="190" t="s">
        <v>79</v>
      </c>
      <c r="C1294" s="190" t="s">
        <v>80</v>
      </c>
      <c r="D1294" s="191" t="s">
        <v>107</v>
      </c>
      <c r="E1294" s="190" t="s">
        <v>1110</v>
      </c>
      <c r="F1294" s="190" t="s">
        <v>163</v>
      </c>
      <c r="G1294" s="190" t="s">
        <v>140</v>
      </c>
      <c r="H1294" s="191">
        <v>2017</v>
      </c>
      <c r="I1294" s="190" t="s">
        <v>63</v>
      </c>
      <c r="J1294" s="199" t="s">
        <v>6675</v>
      </c>
      <c r="K1294" s="200" t="s">
        <v>6676</v>
      </c>
      <c r="L1294" s="194" t="s">
        <v>6677</v>
      </c>
      <c r="M1294" s="194" t="s">
        <v>6678</v>
      </c>
      <c r="N1294" s="190" t="s">
        <v>57</v>
      </c>
      <c r="O1294" s="195">
        <v>1</v>
      </c>
      <c r="P1294" s="196">
        <v>15846.6</v>
      </c>
      <c r="Q1294" s="202" t="s">
        <v>6679</v>
      </c>
      <c r="R1294" s="213"/>
      <c r="S1294" s="121" t="s">
        <v>712</v>
      </c>
      <c r="T1294" s="56">
        <v>32</v>
      </c>
      <c r="U1294" s="56">
        <v>3</v>
      </c>
      <c r="V1294" s="198"/>
      <c r="W1294" s="198"/>
    </row>
    <row r="1295" spans="1:23" ht="32.25" customHeight="1" x14ac:dyDescent="0.35">
      <c r="A1295" s="47">
        <v>1279</v>
      </c>
      <c r="B1295" s="190" t="s">
        <v>79</v>
      </c>
      <c r="C1295" s="190" t="s">
        <v>80</v>
      </c>
      <c r="D1295" s="191" t="s">
        <v>112</v>
      </c>
      <c r="E1295" s="190" t="s">
        <v>6680</v>
      </c>
      <c r="F1295" s="190" t="s">
        <v>443</v>
      </c>
      <c r="G1295" s="190" t="s">
        <v>54</v>
      </c>
      <c r="H1295" s="191">
        <v>2010</v>
      </c>
      <c r="I1295" s="190"/>
      <c r="J1295" s="190" t="s">
        <v>6681</v>
      </c>
      <c r="K1295" s="194" t="s">
        <v>6682</v>
      </c>
      <c r="L1295" s="194" t="s">
        <v>6683</v>
      </c>
      <c r="M1295" s="194"/>
      <c r="N1295" s="190" t="s">
        <v>57</v>
      </c>
      <c r="O1295" s="195">
        <v>1</v>
      </c>
      <c r="P1295" s="196">
        <v>13948</v>
      </c>
      <c r="Q1295" s="190"/>
      <c r="R1295" s="190"/>
      <c r="S1295" s="121" t="s">
        <v>712</v>
      </c>
      <c r="T1295" s="56">
        <v>32</v>
      </c>
      <c r="U1295" s="56">
        <v>3</v>
      </c>
      <c r="V1295" s="198"/>
      <c r="W1295" s="198"/>
    </row>
    <row r="1296" spans="1:23" ht="14.25" customHeight="1" thickBot="1" x14ac:dyDescent="0.4">
      <c r="A1296" s="58">
        <v>1280</v>
      </c>
      <c r="B1296" s="69" t="s">
        <v>70</v>
      </c>
      <c r="C1296" s="69" t="s">
        <v>71</v>
      </c>
      <c r="D1296" s="70" t="s">
        <v>101</v>
      </c>
      <c r="E1296" s="69" t="s">
        <v>6684</v>
      </c>
      <c r="F1296" s="69" t="s">
        <v>1683</v>
      </c>
      <c r="G1296" s="69" t="s">
        <v>140</v>
      </c>
      <c r="H1296" s="70">
        <v>2024</v>
      </c>
      <c r="I1296" s="69" t="s">
        <v>63</v>
      </c>
      <c r="J1296" s="69" t="s">
        <v>6685</v>
      </c>
      <c r="K1296" s="71" t="s">
        <v>6686</v>
      </c>
      <c r="L1296" s="71" t="s">
        <v>6687</v>
      </c>
      <c r="M1296" s="71" t="s">
        <v>6688</v>
      </c>
      <c r="N1296" s="69" t="s">
        <v>44</v>
      </c>
      <c r="O1296" s="64">
        <v>1</v>
      </c>
      <c r="P1296" s="72">
        <v>477500</v>
      </c>
      <c r="Q1296" s="69" t="s">
        <v>6689</v>
      </c>
      <c r="R1296" s="69"/>
      <c r="S1296" s="121" t="s">
        <v>731</v>
      </c>
      <c r="T1296" s="56">
        <v>33</v>
      </c>
      <c r="U1296" s="56">
        <v>4</v>
      </c>
    </row>
    <row r="1297" spans="1:21" ht="14.25" customHeight="1" x14ac:dyDescent="0.35">
      <c r="A1297" s="47">
        <v>1281</v>
      </c>
      <c r="B1297" s="69" t="s">
        <v>79</v>
      </c>
      <c r="C1297" s="69" t="s">
        <v>80</v>
      </c>
      <c r="D1297" s="70" t="s">
        <v>51</v>
      </c>
      <c r="E1297" s="69" t="s">
        <v>6690</v>
      </c>
      <c r="F1297" s="69" t="s">
        <v>6691</v>
      </c>
      <c r="G1297" s="69" t="s">
        <v>54</v>
      </c>
      <c r="H1297" s="70">
        <v>2007</v>
      </c>
      <c r="I1297" s="69"/>
      <c r="J1297" s="69" t="s">
        <v>6692</v>
      </c>
      <c r="K1297" s="71" t="s">
        <v>6693</v>
      </c>
      <c r="L1297" s="71" t="s">
        <v>6694</v>
      </c>
      <c r="M1297" s="71" t="s">
        <v>6695</v>
      </c>
      <c r="N1297" s="69" t="s">
        <v>57</v>
      </c>
      <c r="O1297" s="64">
        <v>1</v>
      </c>
      <c r="P1297" s="72">
        <v>2500</v>
      </c>
      <c r="Q1297" s="69"/>
      <c r="R1297" s="69"/>
      <c r="S1297" s="121" t="s">
        <v>731</v>
      </c>
      <c r="T1297" s="56">
        <v>33</v>
      </c>
      <c r="U1297" s="56">
        <v>3</v>
      </c>
    </row>
    <row r="1298" spans="1:21" ht="14.25" customHeight="1" thickBot="1" x14ac:dyDescent="0.4">
      <c r="A1298" s="58">
        <v>1282</v>
      </c>
      <c r="B1298" s="69" t="s">
        <v>79</v>
      </c>
      <c r="C1298" s="69" t="s">
        <v>80</v>
      </c>
      <c r="D1298" s="70" t="s">
        <v>59</v>
      </c>
      <c r="E1298" s="69" t="s">
        <v>6696</v>
      </c>
      <c r="F1298" s="69" t="s">
        <v>6697</v>
      </c>
      <c r="G1298" s="69" t="s">
        <v>54</v>
      </c>
      <c r="H1298" s="70">
        <v>2007</v>
      </c>
      <c r="I1298" s="69"/>
      <c r="J1298" s="69" t="s">
        <v>6698</v>
      </c>
      <c r="K1298" s="71" t="s">
        <v>6699</v>
      </c>
      <c r="L1298" s="71"/>
      <c r="M1298" s="71"/>
      <c r="N1298" s="69" t="s">
        <v>57</v>
      </c>
      <c r="O1298" s="64">
        <v>1</v>
      </c>
      <c r="P1298" s="72">
        <v>4500</v>
      </c>
      <c r="Q1298" s="69"/>
      <c r="R1298" s="69"/>
      <c r="S1298" s="121" t="s">
        <v>731</v>
      </c>
      <c r="T1298" s="56">
        <v>33</v>
      </c>
      <c r="U1298" s="56">
        <v>3</v>
      </c>
    </row>
    <row r="1299" spans="1:21" ht="14.25" customHeight="1" x14ac:dyDescent="0.35">
      <c r="A1299" s="47">
        <v>1283</v>
      </c>
      <c r="B1299" s="69" t="s">
        <v>79</v>
      </c>
      <c r="C1299" s="69" t="s">
        <v>80</v>
      </c>
      <c r="D1299" s="70" t="s">
        <v>97</v>
      </c>
      <c r="E1299" s="69" t="s">
        <v>201</v>
      </c>
      <c r="F1299" s="69" t="s">
        <v>202</v>
      </c>
      <c r="G1299" s="69" t="s">
        <v>54</v>
      </c>
      <c r="H1299" s="70">
        <v>2012</v>
      </c>
      <c r="I1299" s="69"/>
      <c r="J1299" s="69" t="s">
        <v>6700</v>
      </c>
      <c r="K1299" s="71" t="s">
        <v>6701</v>
      </c>
      <c r="L1299" s="71" t="s">
        <v>6702</v>
      </c>
      <c r="M1299" s="71" t="s">
        <v>6703</v>
      </c>
      <c r="N1299" s="69" t="s">
        <v>57</v>
      </c>
      <c r="O1299" s="64">
        <v>1</v>
      </c>
      <c r="P1299" s="72">
        <v>12577.55</v>
      </c>
      <c r="Q1299" s="69" t="s">
        <v>6704</v>
      </c>
      <c r="R1299" s="69"/>
      <c r="S1299" s="121" t="s">
        <v>731</v>
      </c>
      <c r="T1299" s="56">
        <v>33</v>
      </c>
      <c r="U1299" s="56">
        <v>3</v>
      </c>
    </row>
    <row r="1300" spans="1:21" ht="14.25" customHeight="1" thickBot="1" x14ac:dyDescent="0.4">
      <c r="A1300" s="58">
        <v>1284</v>
      </c>
      <c r="B1300" s="69" t="s">
        <v>79</v>
      </c>
      <c r="C1300" s="69" t="s">
        <v>80</v>
      </c>
      <c r="D1300" s="70" t="s">
        <v>101</v>
      </c>
      <c r="E1300" s="69" t="s">
        <v>216</v>
      </c>
      <c r="F1300" s="69" t="s">
        <v>217</v>
      </c>
      <c r="G1300" s="69" t="s">
        <v>54</v>
      </c>
      <c r="H1300" s="70">
        <v>2012</v>
      </c>
      <c r="I1300" s="69"/>
      <c r="J1300" s="69" t="s">
        <v>6705</v>
      </c>
      <c r="K1300" s="71" t="s">
        <v>6706</v>
      </c>
      <c r="L1300" s="71" t="s">
        <v>6707</v>
      </c>
      <c r="M1300" s="71" t="s">
        <v>6708</v>
      </c>
      <c r="N1300" s="69" t="s">
        <v>57</v>
      </c>
      <c r="O1300" s="64">
        <v>1</v>
      </c>
      <c r="P1300" s="72">
        <v>19426.599999999999</v>
      </c>
      <c r="Q1300" s="69" t="s">
        <v>6704</v>
      </c>
      <c r="R1300" s="69"/>
      <c r="S1300" s="121" t="s">
        <v>731</v>
      </c>
      <c r="T1300" s="56">
        <v>33</v>
      </c>
      <c r="U1300" s="56">
        <v>3</v>
      </c>
    </row>
    <row r="1301" spans="1:21" ht="14.25" customHeight="1" x14ac:dyDescent="0.35">
      <c r="A1301" s="47">
        <v>1285</v>
      </c>
      <c r="B1301" s="69" t="s">
        <v>79</v>
      </c>
      <c r="C1301" s="69" t="s">
        <v>80</v>
      </c>
      <c r="D1301" s="70" t="s">
        <v>107</v>
      </c>
      <c r="E1301" s="69" t="s">
        <v>1110</v>
      </c>
      <c r="F1301" s="69" t="s">
        <v>163</v>
      </c>
      <c r="G1301" s="69" t="s">
        <v>140</v>
      </c>
      <c r="H1301" s="70">
        <v>2017</v>
      </c>
      <c r="I1301" s="69" t="s">
        <v>63</v>
      </c>
      <c r="J1301" s="69" t="s">
        <v>6709</v>
      </c>
      <c r="K1301" s="71" t="s">
        <v>6710</v>
      </c>
      <c r="L1301" s="71" t="s">
        <v>6711</v>
      </c>
      <c r="M1301" s="71" t="s">
        <v>6712</v>
      </c>
      <c r="N1301" s="69" t="s">
        <v>57</v>
      </c>
      <c r="O1301" s="64">
        <v>1</v>
      </c>
      <c r="P1301" s="72">
        <v>15846.6</v>
      </c>
      <c r="Q1301" s="69" t="s">
        <v>6713</v>
      </c>
      <c r="R1301" s="69"/>
      <c r="S1301" s="121" t="s">
        <v>731</v>
      </c>
      <c r="T1301" s="56">
        <v>33</v>
      </c>
      <c r="U1301" s="56">
        <v>3</v>
      </c>
    </row>
    <row r="1302" spans="1:21" ht="14.25" customHeight="1" thickBot="1" x14ac:dyDescent="0.4">
      <c r="A1302" s="58">
        <v>1286</v>
      </c>
      <c r="B1302" s="69" t="s">
        <v>79</v>
      </c>
      <c r="C1302" s="69" t="s">
        <v>80</v>
      </c>
      <c r="D1302" s="70" t="s">
        <v>112</v>
      </c>
      <c r="E1302" s="69" t="s">
        <v>6659</v>
      </c>
      <c r="F1302" s="69" t="s">
        <v>148</v>
      </c>
      <c r="G1302" s="69" t="s">
        <v>140</v>
      </c>
      <c r="H1302" s="70">
        <v>2017</v>
      </c>
      <c r="I1302" s="69" t="s">
        <v>63</v>
      </c>
      <c r="J1302" s="69" t="s">
        <v>6714</v>
      </c>
      <c r="K1302" s="71" t="s">
        <v>6715</v>
      </c>
      <c r="L1302" s="71" t="s">
        <v>6716</v>
      </c>
      <c r="M1302" s="71" t="s">
        <v>6717</v>
      </c>
      <c r="N1302" s="69" t="s">
        <v>57</v>
      </c>
      <c r="O1302" s="64">
        <v>1</v>
      </c>
      <c r="P1302" s="72">
        <v>19729.667000000001</v>
      </c>
      <c r="Q1302" s="69" t="s">
        <v>6713</v>
      </c>
      <c r="R1302" s="69"/>
      <c r="S1302" s="121" t="s">
        <v>731</v>
      </c>
      <c r="T1302" s="56">
        <v>33</v>
      </c>
      <c r="U1302" s="56">
        <v>3</v>
      </c>
    </row>
    <row r="1303" spans="1:21" ht="14.25" customHeight="1" x14ac:dyDescent="0.35">
      <c r="A1303" s="47">
        <v>1287</v>
      </c>
      <c r="B1303" s="69" t="s">
        <v>79</v>
      </c>
      <c r="C1303" s="69" t="s">
        <v>80</v>
      </c>
      <c r="D1303" s="70" t="s">
        <v>116</v>
      </c>
      <c r="E1303" s="69" t="s">
        <v>239</v>
      </c>
      <c r="F1303" s="69" t="s">
        <v>148</v>
      </c>
      <c r="G1303" s="69" t="s">
        <v>140</v>
      </c>
      <c r="H1303" s="70">
        <v>2018</v>
      </c>
      <c r="I1303" s="69" t="s">
        <v>63</v>
      </c>
      <c r="J1303" s="69" t="s">
        <v>6718</v>
      </c>
      <c r="K1303" s="71" t="s">
        <v>6719</v>
      </c>
      <c r="L1303" s="71" t="s">
        <v>6720</v>
      </c>
      <c r="M1303" s="71" t="s">
        <v>6721</v>
      </c>
      <c r="N1303" s="69" t="s">
        <v>57</v>
      </c>
      <c r="O1303" s="64">
        <v>1</v>
      </c>
      <c r="P1303" s="72">
        <v>20234.71</v>
      </c>
      <c r="Q1303" s="69" t="s">
        <v>168</v>
      </c>
      <c r="R1303" s="69"/>
      <c r="S1303" s="121" t="s">
        <v>731</v>
      </c>
      <c r="T1303" s="56">
        <v>33</v>
      </c>
      <c r="U1303" s="56">
        <v>3</v>
      </c>
    </row>
    <row r="1304" spans="1:21" ht="14.25" customHeight="1" thickBot="1" x14ac:dyDescent="0.4">
      <c r="A1304" s="58">
        <v>1288</v>
      </c>
      <c r="B1304" s="69" t="s">
        <v>2685</v>
      </c>
      <c r="C1304" s="69" t="s">
        <v>2686</v>
      </c>
      <c r="D1304" s="70" t="s">
        <v>51</v>
      </c>
      <c r="E1304" s="69" t="s">
        <v>6722</v>
      </c>
      <c r="F1304" s="69" t="s">
        <v>293</v>
      </c>
      <c r="G1304" s="69" t="s">
        <v>54</v>
      </c>
      <c r="H1304" s="70">
        <v>2013</v>
      </c>
      <c r="I1304" s="69"/>
      <c r="J1304" s="69" t="s">
        <v>6723</v>
      </c>
      <c r="K1304" s="71" t="s">
        <v>6724</v>
      </c>
      <c r="L1304" s="71" t="s">
        <v>6725</v>
      </c>
      <c r="M1304" s="71" t="s">
        <v>6726</v>
      </c>
      <c r="N1304" s="69" t="s">
        <v>57</v>
      </c>
      <c r="O1304" s="64">
        <v>1</v>
      </c>
      <c r="P1304" s="72">
        <v>32926</v>
      </c>
      <c r="Q1304" s="69" t="s">
        <v>6727</v>
      </c>
      <c r="R1304" s="69"/>
      <c r="S1304" s="121" t="s">
        <v>731</v>
      </c>
      <c r="T1304" s="56">
        <v>33</v>
      </c>
      <c r="U1304" s="56">
        <v>3</v>
      </c>
    </row>
    <row r="1305" spans="1:21" ht="14.25" customHeight="1" x14ac:dyDescent="0.35">
      <c r="A1305" s="47">
        <v>1289</v>
      </c>
      <c r="B1305" s="69" t="s">
        <v>2685</v>
      </c>
      <c r="C1305" s="69" t="s">
        <v>2686</v>
      </c>
      <c r="D1305" s="70" t="s">
        <v>59</v>
      </c>
      <c r="E1305" s="69" t="s">
        <v>6722</v>
      </c>
      <c r="F1305" s="69" t="s">
        <v>293</v>
      </c>
      <c r="G1305" s="69" t="s">
        <v>54</v>
      </c>
      <c r="H1305" s="70">
        <v>2013</v>
      </c>
      <c r="I1305" s="69"/>
      <c r="J1305" s="69" t="s">
        <v>6728</v>
      </c>
      <c r="K1305" s="71" t="s">
        <v>6729</v>
      </c>
      <c r="L1305" s="71" t="s">
        <v>6730</v>
      </c>
      <c r="M1305" s="71" t="s">
        <v>6731</v>
      </c>
      <c r="N1305" s="69" t="s">
        <v>57</v>
      </c>
      <c r="O1305" s="64">
        <v>1</v>
      </c>
      <c r="P1305" s="72">
        <v>32926</v>
      </c>
      <c r="Q1305" s="69" t="s">
        <v>6727</v>
      </c>
      <c r="R1305" s="69"/>
      <c r="S1305" s="121" t="s">
        <v>731</v>
      </c>
      <c r="T1305" s="56">
        <v>33</v>
      </c>
      <c r="U1305" s="56">
        <v>3</v>
      </c>
    </row>
    <row r="1306" spans="1:21" ht="14.25" customHeight="1" thickBot="1" x14ac:dyDescent="0.4">
      <c r="A1306" s="58">
        <v>1290</v>
      </c>
      <c r="B1306" s="69" t="s">
        <v>70</v>
      </c>
      <c r="C1306" s="69" t="s">
        <v>71</v>
      </c>
      <c r="D1306" s="70" t="s">
        <v>51</v>
      </c>
      <c r="E1306" s="69" t="s">
        <v>5016</v>
      </c>
      <c r="F1306" s="69" t="s">
        <v>5017</v>
      </c>
      <c r="G1306" s="69" t="s">
        <v>415</v>
      </c>
      <c r="H1306" s="70">
        <v>2009</v>
      </c>
      <c r="I1306" s="69"/>
      <c r="J1306" s="69" t="s">
        <v>6732</v>
      </c>
      <c r="K1306" s="71" t="s">
        <v>6733</v>
      </c>
      <c r="L1306" s="71" t="s">
        <v>6734</v>
      </c>
      <c r="M1306" s="71" t="s">
        <v>6735</v>
      </c>
      <c r="N1306" s="69" t="s">
        <v>57</v>
      </c>
      <c r="O1306" s="64">
        <v>1</v>
      </c>
      <c r="P1306" s="72">
        <v>199000</v>
      </c>
      <c r="Q1306" s="69" t="s">
        <v>6736</v>
      </c>
      <c r="R1306" s="69"/>
      <c r="S1306" s="121" t="s">
        <v>758</v>
      </c>
      <c r="T1306" s="56">
        <v>34</v>
      </c>
      <c r="U1306" s="56">
        <v>4</v>
      </c>
    </row>
    <row r="1307" spans="1:21" ht="14.25" customHeight="1" x14ac:dyDescent="0.35">
      <c r="A1307" s="47">
        <v>1291</v>
      </c>
      <c r="B1307" s="69" t="s">
        <v>70</v>
      </c>
      <c r="C1307" s="69" t="s">
        <v>71</v>
      </c>
      <c r="D1307" s="70" t="s">
        <v>59</v>
      </c>
      <c r="E1307" s="69" t="s">
        <v>6684</v>
      </c>
      <c r="F1307" s="69" t="s">
        <v>1683</v>
      </c>
      <c r="G1307" s="69" t="s">
        <v>140</v>
      </c>
      <c r="H1307" s="70">
        <v>2024</v>
      </c>
      <c r="I1307" s="69" t="s">
        <v>63</v>
      </c>
      <c r="J1307" s="69" t="s">
        <v>6737</v>
      </c>
      <c r="K1307" s="71" t="s">
        <v>6738</v>
      </c>
      <c r="L1307" s="71" t="s">
        <v>6739</v>
      </c>
      <c r="M1307" s="71" t="s">
        <v>6740</v>
      </c>
      <c r="N1307" s="69" t="s">
        <v>44</v>
      </c>
      <c r="O1307" s="64">
        <v>1</v>
      </c>
      <c r="P1307" s="72">
        <v>477500</v>
      </c>
      <c r="Q1307" s="69" t="s">
        <v>6689</v>
      </c>
      <c r="R1307" s="69"/>
      <c r="S1307" s="121" t="s">
        <v>758</v>
      </c>
      <c r="T1307" s="56">
        <v>34</v>
      </c>
      <c r="U1307" s="56">
        <v>4</v>
      </c>
    </row>
    <row r="1308" spans="1:21" ht="14.25" customHeight="1" thickBot="1" x14ac:dyDescent="0.4">
      <c r="A1308" s="58">
        <v>1292</v>
      </c>
      <c r="B1308" s="69" t="s">
        <v>79</v>
      </c>
      <c r="C1308" s="69" t="s">
        <v>80</v>
      </c>
      <c r="D1308" s="70" t="s">
        <v>51</v>
      </c>
      <c r="E1308" s="69" t="s">
        <v>1383</v>
      </c>
      <c r="F1308" s="69" t="s">
        <v>163</v>
      </c>
      <c r="G1308" s="69" t="s">
        <v>140</v>
      </c>
      <c r="H1308" s="70">
        <v>2015</v>
      </c>
      <c r="I1308" s="69"/>
      <c r="J1308" s="69" t="s">
        <v>6741</v>
      </c>
      <c r="K1308" s="71" t="s">
        <v>6742</v>
      </c>
      <c r="L1308" s="71" t="s">
        <v>6743</v>
      </c>
      <c r="M1308" s="71" t="s">
        <v>6744</v>
      </c>
      <c r="N1308" s="69" t="s">
        <v>57</v>
      </c>
      <c r="O1308" s="64">
        <v>1</v>
      </c>
      <c r="P1308" s="72">
        <v>14962.333000000001</v>
      </c>
      <c r="Q1308" s="69" t="s">
        <v>6745</v>
      </c>
      <c r="R1308" s="69"/>
      <c r="S1308" s="121" t="s">
        <v>758</v>
      </c>
      <c r="T1308" s="56">
        <v>34</v>
      </c>
      <c r="U1308" s="56">
        <v>3</v>
      </c>
    </row>
    <row r="1309" spans="1:21" ht="14.25" customHeight="1" x14ac:dyDescent="0.35">
      <c r="A1309" s="47">
        <v>1293</v>
      </c>
      <c r="B1309" s="69" t="s">
        <v>79</v>
      </c>
      <c r="C1309" s="69" t="s">
        <v>80</v>
      </c>
      <c r="D1309" s="70" t="s">
        <v>51</v>
      </c>
      <c r="E1309" s="69" t="s">
        <v>6746</v>
      </c>
      <c r="F1309" s="69" t="s">
        <v>5312</v>
      </c>
      <c r="G1309" s="69" t="s">
        <v>313</v>
      </c>
      <c r="H1309" s="70">
        <v>2019</v>
      </c>
      <c r="I1309" s="69" t="s">
        <v>63</v>
      </c>
      <c r="J1309" s="69" t="s">
        <v>6747</v>
      </c>
      <c r="K1309" s="71" t="s">
        <v>6748</v>
      </c>
      <c r="L1309" s="71" t="s">
        <v>6749</v>
      </c>
      <c r="M1309" s="71" t="s">
        <v>6750</v>
      </c>
      <c r="N1309" s="69" t="s">
        <v>57</v>
      </c>
      <c r="O1309" s="64">
        <v>1</v>
      </c>
      <c r="P1309" s="72">
        <v>28600</v>
      </c>
      <c r="Q1309" s="69" t="s">
        <v>6751</v>
      </c>
      <c r="R1309" s="69"/>
      <c r="S1309" s="121" t="s">
        <v>758</v>
      </c>
      <c r="T1309" s="56">
        <v>34</v>
      </c>
      <c r="U1309" s="56">
        <v>3</v>
      </c>
    </row>
    <row r="1310" spans="1:21" ht="14.25" customHeight="1" thickBot="1" x14ac:dyDescent="0.4">
      <c r="A1310" s="58">
        <v>1294</v>
      </c>
      <c r="B1310" s="69" t="s">
        <v>79</v>
      </c>
      <c r="C1310" s="69" t="s">
        <v>80</v>
      </c>
      <c r="D1310" s="70" t="s">
        <v>51</v>
      </c>
      <c r="E1310" s="69" t="s">
        <v>6752</v>
      </c>
      <c r="F1310" s="69" t="s">
        <v>156</v>
      </c>
      <c r="G1310" s="69" t="s">
        <v>313</v>
      </c>
      <c r="H1310" s="70">
        <v>2019</v>
      </c>
      <c r="I1310" s="69" t="s">
        <v>63</v>
      </c>
      <c r="J1310" s="69" t="s">
        <v>6753</v>
      </c>
      <c r="K1310" s="71" t="s">
        <v>6754</v>
      </c>
      <c r="L1310" s="71" t="s">
        <v>6755</v>
      </c>
      <c r="M1310" s="71" t="s">
        <v>6756</v>
      </c>
      <c r="N1310" s="69" t="s">
        <v>57</v>
      </c>
      <c r="O1310" s="64">
        <v>1</v>
      </c>
      <c r="P1310" s="72">
        <v>19600</v>
      </c>
      <c r="Q1310" s="69" t="s">
        <v>6757</v>
      </c>
      <c r="R1310" s="69"/>
      <c r="S1310" s="121" t="s">
        <v>758</v>
      </c>
      <c r="T1310" s="56">
        <v>34</v>
      </c>
      <c r="U1310" s="56">
        <v>3</v>
      </c>
    </row>
    <row r="1311" spans="1:21" ht="14.25" customHeight="1" x14ac:dyDescent="0.35">
      <c r="A1311" s="47">
        <v>1295</v>
      </c>
      <c r="B1311" s="69" t="s">
        <v>79</v>
      </c>
      <c r="C1311" s="69" t="s">
        <v>80</v>
      </c>
      <c r="D1311" s="70" t="s">
        <v>59</v>
      </c>
      <c r="E1311" s="69" t="s">
        <v>1377</v>
      </c>
      <c r="F1311" s="69" t="s">
        <v>1378</v>
      </c>
      <c r="G1311" s="69" t="s">
        <v>140</v>
      </c>
      <c r="H1311" s="70">
        <v>2014</v>
      </c>
      <c r="I1311" s="69"/>
      <c r="J1311" s="69" t="s">
        <v>6758</v>
      </c>
      <c r="K1311" s="71" t="s">
        <v>6759</v>
      </c>
      <c r="L1311" s="71" t="s">
        <v>6760</v>
      </c>
      <c r="M1311" s="71" t="s">
        <v>6761</v>
      </c>
      <c r="N1311" s="69" t="s">
        <v>57</v>
      </c>
      <c r="O1311" s="64">
        <v>1</v>
      </c>
      <c r="P1311" s="72">
        <v>19189.532999999999</v>
      </c>
      <c r="Q1311" s="69" t="s">
        <v>6745</v>
      </c>
      <c r="R1311" s="69"/>
      <c r="S1311" s="121" t="s">
        <v>758</v>
      </c>
      <c r="T1311" s="56">
        <v>34</v>
      </c>
      <c r="U1311" s="56">
        <v>3</v>
      </c>
    </row>
    <row r="1312" spans="1:21" ht="14.25" customHeight="1" thickBot="1" x14ac:dyDescent="0.4">
      <c r="A1312" s="58">
        <v>1296</v>
      </c>
      <c r="B1312" s="69" t="s">
        <v>79</v>
      </c>
      <c r="C1312" s="69" t="s">
        <v>80</v>
      </c>
      <c r="D1312" s="70" t="s">
        <v>59</v>
      </c>
      <c r="E1312" s="69" t="s">
        <v>6752</v>
      </c>
      <c r="F1312" s="69" t="s">
        <v>156</v>
      </c>
      <c r="G1312" s="69" t="s">
        <v>313</v>
      </c>
      <c r="H1312" s="70">
        <v>2019</v>
      </c>
      <c r="I1312" s="69" t="s">
        <v>63</v>
      </c>
      <c r="J1312" s="69" t="s">
        <v>6762</v>
      </c>
      <c r="K1312" s="71" t="s">
        <v>6763</v>
      </c>
      <c r="L1312" s="71" t="s">
        <v>6764</v>
      </c>
      <c r="M1312" s="71" t="s">
        <v>6765</v>
      </c>
      <c r="N1312" s="69" t="s">
        <v>57</v>
      </c>
      <c r="O1312" s="64">
        <v>1</v>
      </c>
      <c r="P1312" s="72">
        <v>19600</v>
      </c>
      <c r="Q1312" s="69" t="s">
        <v>6766</v>
      </c>
      <c r="R1312" s="69"/>
      <c r="S1312" s="121" t="s">
        <v>758</v>
      </c>
      <c r="T1312" s="56">
        <v>34</v>
      </c>
      <c r="U1312" s="56">
        <v>3</v>
      </c>
    </row>
    <row r="1313" spans="1:21" ht="14.25" customHeight="1" x14ac:dyDescent="0.35">
      <c r="A1313" s="47">
        <v>1297</v>
      </c>
      <c r="B1313" s="69" t="s">
        <v>79</v>
      </c>
      <c r="C1313" s="69" t="s">
        <v>80</v>
      </c>
      <c r="D1313" s="70" t="s">
        <v>59</v>
      </c>
      <c r="E1313" s="69" t="s">
        <v>6767</v>
      </c>
      <c r="F1313" s="69" t="s">
        <v>217</v>
      </c>
      <c r="G1313" s="69" t="s">
        <v>313</v>
      </c>
      <c r="H1313" s="70">
        <v>2020</v>
      </c>
      <c r="I1313" s="69" t="s">
        <v>63</v>
      </c>
      <c r="J1313" s="69" t="s">
        <v>6768</v>
      </c>
      <c r="K1313" s="71" t="s">
        <v>6769</v>
      </c>
      <c r="L1313" s="71" t="s">
        <v>6770</v>
      </c>
      <c r="M1313" s="71" t="s">
        <v>6771</v>
      </c>
      <c r="N1313" s="69" t="s">
        <v>57</v>
      </c>
      <c r="O1313" s="64">
        <v>1</v>
      </c>
      <c r="P1313" s="72">
        <v>37200</v>
      </c>
      <c r="Q1313" s="69" t="s">
        <v>6772</v>
      </c>
      <c r="R1313" s="69"/>
      <c r="S1313" s="121" t="s">
        <v>758</v>
      </c>
      <c r="T1313" s="56">
        <v>34</v>
      </c>
      <c r="U1313" s="56">
        <v>3</v>
      </c>
    </row>
    <row r="1314" spans="1:21" ht="14.25" customHeight="1" thickBot="1" x14ac:dyDescent="0.4">
      <c r="A1314" s="58">
        <v>1298</v>
      </c>
      <c r="B1314" s="69" t="s">
        <v>79</v>
      </c>
      <c r="C1314" s="69" t="s">
        <v>80</v>
      </c>
      <c r="D1314" s="70" t="s">
        <v>97</v>
      </c>
      <c r="E1314" s="69" t="s">
        <v>1383</v>
      </c>
      <c r="F1314" s="69" t="s">
        <v>163</v>
      </c>
      <c r="G1314" s="69" t="s">
        <v>140</v>
      </c>
      <c r="H1314" s="70">
        <v>2015</v>
      </c>
      <c r="I1314" s="69"/>
      <c r="J1314" s="69" t="s">
        <v>6773</v>
      </c>
      <c r="K1314" s="71" t="s">
        <v>6774</v>
      </c>
      <c r="L1314" s="71" t="s">
        <v>6775</v>
      </c>
      <c r="M1314" s="71" t="s">
        <v>6776</v>
      </c>
      <c r="N1314" s="69" t="s">
        <v>57</v>
      </c>
      <c r="O1314" s="64">
        <v>1</v>
      </c>
      <c r="P1314" s="72">
        <v>14962.333000000001</v>
      </c>
      <c r="Q1314" s="69" t="s">
        <v>6745</v>
      </c>
      <c r="R1314" s="69"/>
      <c r="S1314" s="121" t="s">
        <v>758</v>
      </c>
      <c r="T1314" s="56">
        <v>34</v>
      </c>
      <c r="U1314" s="56">
        <v>3</v>
      </c>
    </row>
    <row r="1315" spans="1:21" ht="14.25" customHeight="1" x14ac:dyDescent="0.35">
      <c r="A1315" s="47">
        <v>1299</v>
      </c>
      <c r="B1315" s="69" t="s">
        <v>79</v>
      </c>
      <c r="C1315" s="69" t="s">
        <v>80</v>
      </c>
      <c r="D1315" s="70" t="s">
        <v>97</v>
      </c>
      <c r="E1315" s="69" t="s">
        <v>6777</v>
      </c>
      <c r="F1315" s="69" t="s">
        <v>293</v>
      </c>
      <c r="G1315" s="69" t="s">
        <v>62</v>
      </c>
      <c r="H1315" s="70">
        <v>2019</v>
      </c>
      <c r="I1315" s="69" t="s">
        <v>63</v>
      </c>
      <c r="J1315" s="69" t="s">
        <v>6778</v>
      </c>
      <c r="K1315" s="71" t="s">
        <v>6779</v>
      </c>
      <c r="L1315" s="71" t="s">
        <v>6780</v>
      </c>
      <c r="M1315" s="71" t="s">
        <v>6781</v>
      </c>
      <c r="N1315" s="69" t="s">
        <v>57</v>
      </c>
      <c r="O1315" s="64">
        <v>1</v>
      </c>
      <c r="P1315" s="72">
        <v>27700</v>
      </c>
      <c r="Q1315" s="69" t="s">
        <v>6782</v>
      </c>
      <c r="R1315" s="69"/>
      <c r="S1315" s="121" t="s">
        <v>758</v>
      </c>
      <c r="T1315" s="56">
        <v>34</v>
      </c>
      <c r="U1315" s="56">
        <v>3</v>
      </c>
    </row>
    <row r="1316" spans="1:21" ht="14.25" customHeight="1" thickBot="1" x14ac:dyDescent="0.4">
      <c r="A1316" s="58">
        <v>1300</v>
      </c>
      <c r="B1316" s="69" t="s">
        <v>79</v>
      </c>
      <c r="C1316" s="69" t="s">
        <v>80</v>
      </c>
      <c r="D1316" s="70" t="s">
        <v>97</v>
      </c>
      <c r="E1316" s="69" t="s">
        <v>6783</v>
      </c>
      <c r="F1316" s="69" t="s">
        <v>217</v>
      </c>
      <c r="G1316" s="69" t="s">
        <v>313</v>
      </c>
      <c r="H1316" s="70">
        <v>2020</v>
      </c>
      <c r="I1316" s="69" t="s">
        <v>63</v>
      </c>
      <c r="J1316" s="69" t="s">
        <v>6784</v>
      </c>
      <c r="K1316" s="71" t="s">
        <v>6785</v>
      </c>
      <c r="L1316" s="71" t="s">
        <v>6786</v>
      </c>
      <c r="M1316" s="71" t="s">
        <v>6787</v>
      </c>
      <c r="N1316" s="69" t="s">
        <v>57</v>
      </c>
      <c r="O1316" s="64">
        <v>1</v>
      </c>
      <c r="P1316" s="72">
        <v>34200</v>
      </c>
      <c r="Q1316" s="69" t="s">
        <v>6788</v>
      </c>
      <c r="R1316" s="69"/>
      <c r="S1316" s="121" t="s">
        <v>758</v>
      </c>
      <c r="T1316" s="56">
        <v>34</v>
      </c>
      <c r="U1316" s="56">
        <v>3</v>
      </c>
    </row>
    <row r="1317" spans="1:21" ht="14.25" customHeight="1" x14ac:dyDescent="0.35">
      <c r="A1317" s="47">
        <v>1301</v>
      </c>
      <c r="B1317" s="69" t="s">
        <v>79</v>
      </c>
      <c r="C1317" s="69" t="s">
        <v>80</v>
      </c>
      <c r="D1317" s="70" t="s">
        <v>101</v>
      </c>
      <c r="E1317" s="69" t="s">
        <v>230</v>
      </c>
      <c r="F1317" s="69" t="s">
        <v>231</v>
      </c>
      <c r="G1317" s="69" t="s">
        <v>54</v>
      </c>
      <c r="H1317" s="70">
        <v>2013</v>
      </c>
      <c r="I1317" s="69" t="s">
        <v>63</v>
      </c>
      <c r="J1317" s="69" t="s">
        <v>6789</v>
      </c>
      <c r="K1317" s="71" t="s">
        <v>6790</v>
      </c>
      <c r="L1317" s="71" t="s">
        <v>6791</v>
      </c>
      <c r="M1317" s="71" t="s">
        <v>6792</v>
      </c>
      <c r="N1317" s="69" t="s">
        <v>57</v>
      </c>
      <c r="O1317" s="64">
        <v>1</v>
      </c>
      <c r="P1317" s="72">
        <v>18004.099999999999</v>
      </c>
      <c r="Q1317" s="69" t="s">
        <v>6745</v>
      </c>
      <c r="R1317" s="69"/>
      <c r="S1317" s="121" t="s">
        <v>758</v>
      </c>
      <c r="T1317" s="56">
        <v>34</v>
      </c>
      <c r="U1317" s="56">
        <v>3</v>
      </c>
    </row>
    <row r="1318" spans="1:21" ht="14.25" customHeight="1" thickBot="1" x14ac:dyDescent="0.4">
      <c r="A1318" s="58">
        <v>1302</v>
      </c>
      <c r="B1318" s="69" t="s">
        <v>79</v>
      </c>
      <c r="C1318" s="69" t="s">
        <v>80</v>
      </c>
      <c r="D1318" s="70" t="s">
        <v>101</v>
      </c>
      <c r="E1318" s="69" t="s">
        <v>6746</v>
      </c>
      <c r="F1318" s="69" t="s">
        <v>5312</v>
      </c>
      <c r="G1318" s="69" t="s">
        <v>313</v>
      </c>
      <c r="H1318" s="70">
        <v>2019</v>
      </c>
      <c r="I1318" s="69" t="s">
        <v>63</v>
      </c>
      <c r="J1318" s="69" t="s">
        <v>6793</v>
      </c>
      <c r="K1318" s="71" t="s">
        <v>6794</v>
      </c>
      <c r="L1318" s="71" t="s">
        <v>6795</v>
      </c>
      <c r="M1318" s="71" t="s">
        <v>6796</v>
      </c>
      <c r="N1318" s="69" t="s">
        <v>57</v>
      </c>
      <c r="O1318" s="64">
        <v>1</v>
      </c>
      <c r="P1318" s="72">
        <v>28600</v>
      </c>
      <c r="Q1318" s="69" t="s">
        <v>6751</v>
      </c>
      <c r="R1318" s="69"/>
      <c r="S1318" s="121" t="s">
        <v>758</v>
      </c>
      <c r="T1318" s="56">
        <v>34</v>
      </c>
      <c r="U1318" s="56">
        <v>3</v>
      </c>
    </row>
    <row r="1319" spans="1:21" ht="14.25" customHeight="1" x14ac:dyDescent="0.35">
      <c r="A1319" s="47">
        <v>1303</v>
      </c>
      <c r="B1319" s="69" t="s">
        <v>79</v>
      </c>
      <c r="C1319" s="69" t="s">
        <v>80</v>
      </c>
      <c r="D1319" s="70" t="s">
        <v>101</v>
      </c>
      <c r="E1319" s="69" t="s">
        <v>6797</v>
      </c>
      <c r="F1319" s="69" t="s">
        <v>217</v>
      </c>
      <c r="G1319" s="69" t="s">
        <v>313</v>
      </c>
      <c r="H1319" s="70">
        <v>2020</v>
      </c>
      <c r="I1319" s="69" t="s">
        <v>63</v>
      </c>
      <c r="J1319" s="69" t="s">
        <v>6798</v>
      </c>
      <c r="K1319" s="71" t="s">
        <v>6799</v>
      </c>
      <c r="L1319" s="71" t="s">
        <v>6800</v>
      </c>
      <c r="M1319" s="71" t="s">
        <v>6801</v>
      </c>
      <c r="N1319" s="69" t="s">
        <v>57</v>
      </c>
      <c r="O1319" s="64">
        <v>1</v>
      </c>
      <c r="P1319" s="72">
        <v>34200</v>
      </c>
      <c r="Q1319" s="69" t="s">
        <v>6802</v>
      </c>
      <c r="R1319" s="69"/>
      <c r="S1319" s="121" t="s">
        <v>758</v>
      </c>
      <c r="T1319" s="56">
        <v>34</v>
      </c>
      <c r="U1319" s="56">
        <v>3</v>
      </c>
    </row>
    <row r="1320" spans="1:21" ht="14.25" customHeight="1" thickBot="1" x14ac:dyDescent="0.4">
      <c r="A1320" s="58">
        <v>1304</v>
      </c>
      <c r="B1320" s="69" t="s">
        <v>79</v>
      </c>
      <c r="C1320" s="69" t="s">
        <v>80</v>
      </c>
      <c r="D1320" s="70" t="s">
        <v>107</v>
      </c>
      <c r="E1320" s="69" t="s">
        <v>1860</v>
      </c>
      <c r="F1320" s="69" t="s">
        <v>202</v>
      </c>
      <c r="G1320" s="69" t="s">
        <v>54</v>
      </c>
      <c r="H1320" s="70">
        <v>2012</v>
      </c>
      <c r="I1320" s="69"/>
      <c r="J1320" s="69" t="s">
        <v>6803</v>
      </c>
      <c r="K1320" s="71" t="s">
        <v>6804</v>
      </c>
      <c r="L1320" s="71" t="s">
        <v>6805</v>
      </c>
      <c r="M1320" s="71" t="s">
        <v>6806</v>
      </c>
      <c r="N1320" s="69" t="s">
        <v>57</v>
      </c>
      <c r="O1320" s="64">
        <v>1</v>
      </c>
      <c r="P1320" s="72">
        <v>13177.55</v>
      </c>
      <c r="Q1320" s="69" t="s">
        <v>6745</v>
      </c>
      <c r="R1320" s="69"/>
      <c r="S1320" s="121" t="s">
        <v>758</v>
      </c>
      <c r="T1320" s="56">
        <v>34</v>
      </c>
      <c r="U1320" s="56">
        <v>3</v>
      </c>
    </row>
    <row r="1321" spans="1:21" ht="14.25" customHeight="1" x14ac:dyDescent="0.35">
      <c r="A1321" s="47">
        <v>1305</v>
      </c>
      <c r="B1321" s="69" t="s">
        <v>79</v>
      </c>
      <c r="C1321" s="69" t="s">
        <v>80</v>
      </c>
      <c r="D1321" s="70" t="s">
        <v>107</v>
      </c>
      <c r="E1321" s="69" t="s">
        <v>6797</v>
      </c>
      <c r="F1321" s="69" t="s">
        <v>217</v>
      </c>
      <c r="G1321" s="69" t="s">
        <v>313</v>
      </c>
      <c r="H1321" s="70">
        <v>2020</v>
      </c>
      <c r="I1321" s="69" t="s">
        <v>63</v>
      </c>
      <c r="J1321" s="69" t="s">
        <v>6807</v>
      </c>
      <c r="K1321" s="71" t="s">
        <v>6808</v>
      </c>
      <c r="L1321" s="71" t="s">
        <v>6809</v>
      </c>
      <c r="M1321" s="71" t="s">
        <v>6810</v>
      </c>
      <c r="N1321" s="69" t="s">
        <v>57</v>
      </c>
      <c r="O1321" s="64">
        <v>1</v>
      </c>
      <c r="P1321" s="72">
        <v>34200</v>
      </c>
      <c r="Q1321" s="69" t="s">
        <v>6802</v>
      </c>
      <c r="R1321" s="69"/>
      <c r="S1321" s="121" t="s">
        <v>758</v>
      </c>
      <c r="T1321" s="56">
        <v>34</v>
      </c>
      <c r="U1321" s="56">
        <v>3</v>
      </c>
    </row>
    <row r="1322" spans="1:21" ht="14.25" customHeight="1" thickBot="1" x14ac:dyDescent="0.4">
      <c r="A1322" s="58">
        <v>1306</v>
      </c>
      <c r="B1322" s="69" t="s">
        <v>79</v>
      </c>
      <c r="C1322" s="69" t="s">
        <v>80</v>
      </c>
      <c r="D1322" s="70" t="s">
        <v>112</v>
      </c>
      <c r="E1322" s="69" t="s">
        <v>1860</v>
      </c>
      <c r="F1322" s="69" t="s">
        <v>202</v>
      </c>
      <c r="G1322" s="69" t="s">
        <v>54</v>
      </c>
      <c r="H1322" s="70">
        <v>2012</v>
      </c>
      <c r="I1322" s="69"/>
      <c r="J1322" s="69" t="s">
        <v>6811</v>
      </c>
      <c r="K1322" s="71" t="s">
        <v>6812</v>
      </c>
      <c r="L1322" s="71" t="s">
        <v>6813</v>
      </c>
      <c r="M1322" s="71" t="s">
        <v>6814</v>
      </c>
      <c r="N1322" s="69" t="s">
        <v>57</v>
      </c>
      <c r="O1322" s="64">
        <v>1</v>
      </c>
      <c r="P1322" s="72">
        <v>13177.55</v>
      </c>
      <c r="Q1322" s="69" t="s">
        <v>6745</v>
      </c>
      <c r="R1322" s="69"/>
      <c r="S1322" s="121" t="s">
        <v>758</v>
      </c>
      <c r="T1322" s="56">
        <v>34</v>
      </c>
      <c r="U1322" s="56">
        <v>3</v>
      </c>
    </row>
    <row r="1323" spans="1:21" ht="14.25" customHeight="1" x14ac:dyDescent="0.35">
      <c r="A1323" s="47">
        <v>1307</v>
      </c>
      <c r="B1323" s="69" t="s">
        <v>79</v>
      </c>
      <c r="C1323" s="69" t="s">
        <v>80</v>
      </c>
      <c r="D1323" s="70" t="s">
        <v>841</v>
      </c>
      <c r="E1323" s="69" t="s">
        <v>6815</v>
      </c>
      <c r="F1323" s="69" t="s">
        <v>88</v>
      </c>
      <c r="G1323" s="69" t="s">
        <v>140</v>
      </c>
      <c r="H1323" s="70">
        <v>2010</v>
      </c>
      <c r="I1323" s="69" t="s">
        <v>63</v>
      </c>
      <c r="J1323" s="69" t="s">
        <v>6816</v>
      </c>
      <c r="K1323" s="71" t="s">
        <v>6817</v>
      </c>
      <c r="L1323" s="71" t="s">
        <v>6818</v>
      </c>
      <c r="M1323" s="71" t="s">
        <v>6819</v>
      </c>
      <c r="N1323" s="69" t="s">
        <v>57</v>
      </c>
      <c r="O1323" s="64">
        <v>1</v>
      </c>
      <c r="P1323" s="72">
        <v>17800</v>
      </c>
      <c r="Q1323" s="69" t="s">
        <v>6820</v>
      </c>
      <c r="R1323" s="69"/>
      <c r="S1323" s="121" t="s">
        <v>758</v>
      </c>
      <c r="T1323" s="56">
        <v>34</v>
      </c>
      <c r="U1323" s="56">
        <v>3</v>
      </c>
    </row>
    <row r="1324" spans="1:21" ht="14.25" customHeight="1" thickBot="1" x14ac:dyDescent="0.4">
      <c r="A1324" s="58">
        <v>1308</v>
      </c>
      <c r="B1324" s="69" t="s">
        <v>79</v>
      </c>
      <c r="C1324" s="69" t="s">
        <v>80</v>
      </c>
      <c r="D1324" s="70" t="s">
        <v>126</v>
      </c>
      <c r="E1324" s="69" t="s">
        <v>239</v>
      </c>
      <c r="F1324" s="69" t="s">
        <v>148</v>
      </c>
      <c r="G1324" s="69" t="s">
        <v>140</v>
      </c>
      <c r="H1324" s="70">
        <v>2018</v>
      </c>
      <c r="I1324" s="69" t="s">
        <v>63</v>
      </c>
      <c r="J1324" s="69" t="s">
        <v>6821</v>
      </c>
      <c r="K1324" s="71" t="s">
        <v>6822</v>
      </c>
      <c r="L1324" s="71" t="s">
        <v>6823</v>
      </c>
      <c r="M1324" s="71" t="s">
        <v>6824</v>
      </c>
      <c r="N1324" s="69" t="s">
        <v>57</v>
      </c>
      <c r="O1324" s="64">
        <v>1</v>
      </c>
      <c r="P1324" s="72">
        <v>20234.71</v>
      </c>
      <c r="Q1324" s="69" t="s">
        <v>168</v>
      </c>
      <c r="R1324" s="69"/>
      <c r="S1324" s="121" t="s">
        <v>758</v>
      </c>
      <c r="T1324" s="56">
        <v>34</v>
      </c>
      <c r="U1324" s="56">
        <v>3</v>
      </c>
    </row>
    <row r="1325" spans="1:21" ht="14.25" customHeight="1" x14ac:dyDescent="0.35">
      <c r="A1325" s="47">
        <v>1309</v>
      </c>
      <c r="B1325" s="69" t="s">
        <v>79</v>
      </c>
      <c r="C1325" s="69" t="s">
        <v>80</v>
      </c>
      <c r="D1325" s="70" t="s">
        <v>132</v>
      </c>
      <c r="E1325" s="69" t="s">
        <v>239</v>
      </c>
      <c r="F1325" s="69" t="s">
        <v>148</v>
      </c>
      <c r="G1325" s="69" t="s">
        <v>140</v>
      </c>
      <c r="H1325" s="70">
        <v>2018</v>
      </c>
      <c r="I1325" s="69" t="s">
        <v>63</v>
      </c>
      <c r="J1325" s="69" t="s">
        <v>6825</v>
      </c>
      <c r="K1325" s="71" t="s">
        <v>6826</v>
      </c>
      <c r="L1325" s="71" t="s">
        <v>6827</v>
      </c>
      <c r="M1325" s="71" t="s">
        <v>6828</v>
      </c>
      <c r="N1325" s="69" t="s">
        <v>57</v>
      </c>
      <c r="O1325" s="64">
        <v>1</v>
      </c>
      <c r="P1325" s="72">
        <v>20234.71</v>
      </c>
      <c r="Q1325" s="69" t="s">
        <v>6829</v>
      </c>
      <c r="R1325" s="69"/>
      <c r="S1325" s="121" t="s">
        <v>758</v>
      </c>
      <c r="T1325" s="56">
        <v>34</v>
      </c>
      <c r="U1325" s="56">
        <v>3</v>
      </c>
    </row>
    <row r="1326" spans="1:21" ht="14.25" customHeight="1" thickBot="1" x14ac:dyDescent="0.4">
      <c r="A1326" s="58">
        <v>1310</v>
      </c>
      <c r="B1326" s="69" t="s">
        <v>79</v>
      </c>
      <c r="C1326" s="69" t="s">
        <v>80</v>
      </c>
      <c r="D1326" s="70" t="s">
        <v>137</v>
      </c>
      <c r="E1326" s="69" t="s">
        <v>2574</v>
      </c>
      <c r="F1326" s="69" t="s">
        <v>88</v>
      </c>
      <c r="G1326" s="69" t="s">
        <v>140</v>
      </c>
      <c r="H1326" s="70">
        <v>2015</v>
      </c>
      <c r="I1326" s="69"/>
      <c r="J1326" s="69" t="s">
        <v>6830</v>
      </c>
      <c r="K1326" s="71" t="s">
        <v>6831</v>
      </c>
      <c r="L1326" s="71" t="s">
        <v>6832</v>
      </c>
      <c r="M1326" s="71" t="s">
        <v>6833</v>
      </c>
      <c r="N1326" s="69" t="s">
        <v>57</v>
      </c>
      <c r="O1326" s="64">
        <v>1</v>
      </c>
      <c r="P1326" s="72">
        <v>16898</v>
      </c>
      <c r="Q1326" s="69" t="s">
        <v>6745</v>
      </c>
      <c r="R1326" s="69"/>
      <c r="S1326" s="121" t="s">
        <v>758</v>
      </c>
      <c r="T1326" s="56">
        <v>34</v>
      </c>
      <c r="U1326" s="56">
        <v>3</v>
      </c>
    </row>
    <row r="1327" spans="1:21" ht="14.25" customHeight="1" x14ac:dyDescent="0.35">
      <c r="A1327" s="47">
        <v>1311</v>
      </c>
      <c r="B1327" s="69" t="s">
        <v>79</v>
      </c>
      <c r="C1327" s="69" t="s">
        <v>80</v>
      </c>
      <c r="D1327" s="70" t="s">
        <v>146</v>
      </c>
      <c r="E1327" s="69" t="s">
        <v>2574</v>
      </c>
      <c r="F1327" s="69" t="s">
        <v>88</v>
      </c>
      <c r="G1327" s="69" t="s">
        <v>140</v>
      </c>
      <c r="H1327" s="70">
        <v>2015</v>
      </c>
      <c r="I1327" s="69"/>
      <c r="J1327" s="69" t="s">
        <v>6834</v>
      </c>
      <c r="K1327" s="71" t="s">
        <v>6835</v>
      </c>
      <c r="L1327" s="71" t="s">
        <v>6836</v>
      </c>
      <c r="M1327" s="71" t="s">
        <v>6837</v>
      </c>
      <c r="N1327" s="69" t="s">
        <v>57</v>
      </c>
      <c r="O1327" s="64">
        <v>1</v>
      </c>
      <c r="P1327" s="72">
        <v>16898</v>
      </c>
      <c r="Q1327" s="69" t="s">
        <v>6745</v>
      </c>
      <c r="R1327" s="69"/>
      <c r="S1327" s="121" t="s">
        <v>758</v>
      </c>
      <c r="T1327" s="56">
        <v>34</v>
      </c>
      <c r="U1327" s="56">
        <v>3</v>
      </c>
    </row>
    <row r="1328" spans="1:21" ht="14.25" customHeight="1" thickBot="1" x14ac:dyDescent="0.4">
      <c r="A1328" s="58">
        <v>1312</v>
      </c>
      <c r="B1328" s="69" t="s">
        <v>79</v>
      </c>
      <c r="C1328" s="69" t="s">
        <v>80</v>
      </c>
      <c r="D1328" s="70" t="s">
        <v>154</v>
      </c>
      <c r="E1328" s="69" t="s">
        <v>147</v>
      </c>
      <c r="F1328" s="69" t="s">
        <v>148</v>
      </c>
      <c r="G1328" s="69" t="s">
        <v>140</v>
      </c>
      <c r="H1328" s="70">
        <v>2015</v>
      </c>
      <c r="I1328" s="69"/>
      <c r="J1328" s="69" t="s">
        <v>6838</v>
      </c>
      <c r="K1328" s="71" t="s">
        <v>6839</v>
      </c>
      <c r="L1328" s="71" t="s">
        <v>6840</v>
      </c>
      <c r="M1328" s="71" t="s">
        <v>6841</v>
      </c>
      <c r="N1328" s="69" t="s">
        <v>57</v>
      </c>
      <c r="O1328" s="64">
        <v>1</v>
      </c>
      <c r="P1328" s="72">
        <v>19430</v>
      </c>
      <c r="Q1328" s="69" t="s">
        <v>6745</v>
      </c>
      <c r="R1328" s="69"/>
      <c r="S1328" s="121" t="s">
        <v>758</v>
      </c>
      <c r="T1328" s="56">
        <v>34</v>
      </c>
      <c r="U1328" s="56">
        <v>3</v>
      </c>
    </row>
    <row r="1329" spans="1:21" ht="14.25" customHeight="1" x14ac:dyDescent="0.35">
      <c r="A1329" s="47">
        <v>1313</v>
      </c>
      <c r="B1329" s="69" t="s">
        <v>79</v>
      </c>
      <c r="C1329" s="69" t="s">
        <v>80</v>
      </c>
      <c r="D1329" s="70" t="s">
        <v>161</v>
      </c>
      <c r="E1329" s="69" t="s">
        <v>147</v>
      </c>
      <c r="F1329" s="69" t="s">
        <v>148</v>
      </c>
      <c r="G1329" s="69" t="s">
        <v>140</v>
      </c>
      <c r="H1329" s="70">
        <v>2015</v>
      </c>
      <c r="I1329" s="69"/>
      <c r="J1329" s="69" t="s">
        <v>6842</v>
      </c>
      <c r="K1329" s="71" t="s">
        <v>6843</v>
      </c>
      <c r="L1329" s="71" t="s">
        <v>6844</v>
      </c>
      <c r="M1329" s="71" t="s">
        <v>6845</v>
      </c>
      <c r="N1329" s="69" t="s">
        <v>57</v>
      </c>
      <c r="O1329" s="64">
        <v>1</v>
      </c>
      <c r="P1329" s="72">
        <v>19430</v>
      </c>
      <c r="Q1329" s="69" t="s">
        <v>6745</v>
      </c>
      <c r="R1329" s="69"/>
      <c r="S1329" s="121" t="s">
        <v>758</v>
      </c>
      <c r="T1329" s="56">
        <v>34</v>
      </c>
      <c r="U1329" s="56">
        <v>3</v>
      </c>
    </row>
    <row r="1330" spans="1:21" ht="14.25" customHeight="1" thickBot="1" x14ac:dyDescent="0.4">
      <c r="A1330" s="58">
        <v>1314</v>
      </c>
      <c r="B1330" s="69" t="s">
        <v>2244</v>
      </c>
      <c r="C1330" s="69" t="s">
        <v>2245</v>
      </c>
      <c r="D1330" s="70" t="s">
        <v>51</v>
      </c>
      <c r="E1330" s="69" t="s">
        <v>2246</v>
      </c>
      <c r="F1330" s="69" t="s">
        <v>293</v>
      </c>
      <c r="G1330" s="69" t="s">
        <v>415</v>
      </c>
      <c r="H1330" s="70">
        <v>2019</v>
      </c>
      <c r="I1330" s="69" t="s">
        <v>63</v>
      </c>
      <c r="J1330" s="69" t="s">
        <v>6846</v>
      </c>
      <c r="K1330" s="71" t="s">
        <v>6847</v>
      </c>
      <c r="L1330" s="71" t="s">
        <v>6848</v>
      </c>
      <c r="M1330" s="71" t="s">
        <v>6849</v>
      </c>
      <c r="N1330" s="69" t="s">
        <v>57</v>
      </c>
      <c r="O1330" s="64">
        <v>1</v>
      </c>
      <c r="P1330" s="72">
        <v>33000</v>
      </c>
      <c r="Q1330" s="69" t="s">
        <v>6745</v>
      </c>
      <c r="R1330" s="69"/>
      <c r="S1330" s="121" t="s">
        <v>758</v>
      </c>
      <c r="T1330" s="56">
        <v>34</v>
      </c>
      <c r="U1330" s="56">
        <v>3</v>
      </c>
    </row>
    <row r="1331" spans="1:21" ht="14.25" customHeight="1" x14ac:dyDescent="0.35">
      <c r="A1331" s="47">
        <v>1315</v>
      </c>
      <c r="B1331" s="69" t="s">
        <v>1553</v>
      </c>
      <c r="C1331" s="69" t="s">
        <v>1554</v>
      </c>
      <c r="D1331" s="70" t="s">
        <v>51</v>
      </c>
      <c r="E1331" s="69" t="s">
        <v>6850</v>
      </c>
      <c r="F1331" s="69" t="s">
        <v>6851</v>
      </c>
      <c r="G1331" s="69" t="s">
        <v>415</v>
      </c>
      <c r="H1331" s="70">
        <v>2013</v>
      </c>
      <c r="I1331" s="69" t="s">
        <v>63</v>
      </c>
      <c r="J1331" s="69" t="s">
        <v>6852</v>
      </c>
      <c r="K1331" s="71" t="s">
        <v>6853</v>
      </c>
      <c r="L1331" s="71" t="s">
        <v>6854</v>
      </c>
      <c r="M1331" s="71" t="s">
        <v>6855</v>
      </c>
      <c r="N1331" s="69" t="s">
        <v>422</v>
      </c>
      <c r="O1331" s="64">
        <v>1</v>
      </c>
      <c r="P1331" s="72">
        <v>212100</v>
      </c>
      <c r="Q1331" s="69" t="s">
        <v>6856</v>
      </c>
      <c r="R1331" s="69"/>
      <c r="S1331" s="121" t="s">
        <v>758</v>
      </c>
      <c r="T1331" s="56">
        <v>34</v>
      </c>
      <c r="U1331" s="56">
        <v>4</v>
      </c>
    </row>
    <row r="1332" spans="1:21" ht="14.25" customHeight="1" thickBot="1" x14ac:dyDescent="0.4">
      <c r="A1332" s="58">
        <v>1316</v>
      </c>
      <c r="B1332" s="69" t="s">
        <v>2064</v>
      </c>
      <c r="C1332" s="69" t="s">
        <v>2065</v>
      </c>
      <c r="D1332" s="70" t="s">
        <v>51</v>
      </c>
      <c r="E1332" s="69" t="s">
        <v>6590</v>
      </c>
      <c r="F1332" s="69" t="s">
        <v>2023</v>
      </c>
      <c r="G1332" s="69" t="s">
        <v>54</v>
      </c>
      <c r="H1332" s="70">
        <v>2010</v>
      </c>
      <c r="I1332" s="69"/>
      <c r="J1332" s="69" t="s">
        <v>6857</v>
      </c>
      <c r="K1332" s="71" t="s">
        <v>6858</v>
      </c>
      <c r="L1332" s="71" t="s">
        <v>6859</v>
      </c>
      <c r="M1332" s="71" t="s">
        <v>6860</v>
      </c>
      <c r="N1332" s="69" t="s">
        <v>57</v>
      </c>
      <c r="O1332" s="64">
        <v>1</v>
      </c>
      <c r="P1332" s="72">
        <v>310000</v>
      </c>
      <c r="Q1332" s="69" t="s">
        <v>6861</v>
      </c>
      <c r="R1332" s="69"/>
      <c r="S1332" s="121" t="s">
        <v>775</v>
      </c>
      <c r="T1332" s="56">
        <v>35</v>
      </c>
      <c r="U1332" s="56">
        <v>6</v>
      </c>
    </row>
    <row r="1333" spans="1:21" ht="14.25" customHeight="1" x14ac:dyDescent="0.35">
      <c r="A1333" s="47">
        <v>1317</v>
      </c>
      <c r="B1333" s="69" t="s">
        <v>70</v>
      </c>
      <c r="C1333" s="69" t="s">
        <v>71</v>
      </c>
      <c r="D1333" s="70" t="s">
        <v>51</v>
      </c>
      <c r="E1333" s="69" t="s">
        <v>6862</v>
      </c>
      <c r="F1333" s="69">
        <v>2393</v>
      </c>
      <c r="G1333" s="69" t="s">
        <v>54</v>
      </c>
      <c r="H1333" s="70">
        <v>2022</v>
      </c>
      <c r="I1333" s="69"/>
      <c r="J1333" s="69" t="s">
        <v>6863</v>
      </c>
      <c r="K1333" s="71" t="s">
        <v>6864</v>
      </c>
      <c r="L1333" s="71" t="s">
        <v>6865</v>
      </c>
      <c r="M1333" s="71" t="s">
        <v>6866</v>
      </c>
      <c r="N1333" s="69" t="s">
        <v>44</v>
      </c>
      <c r="O1333" s="64">
        <v>1</v>
      </c>
      <c r="P1333" s="72">
        <v>425500</v>
      </c>
      <c r="Q1333" s="69"/>
      <c r="R1333" s="69"/>
      <c r="S1333" s="121" t="s">
        <v>775</v>
      </c>
      <c r="T1333" s="56">
        <v>35</v>
      </c>
      <c r="U1333" s="56">
        <v>4</v>
      </c>
    </row>
    <row r="1334" spans="1:21" ht="14.25" customHeight="1" thickBot="1" x14ac:dyDescent="0.4">
      <c r="A1334" s="58">
        <v>1318</v>
      </c>
      <c r="B1334" s="69" t="s">
        <v>79</v>
      </c>
      <c r="C1334" s="69" t="s">
        <v>80</v>
      </c>
      <c r="D1334" s="70" t="s">
        <v>51</v>
      </c>
      <c r="E1334" s="69" t="s">
        <v>216</v>
      </c>
      <c r="F1334" s="69" t="s">
        <v>217</v>
      </c>
      <c r="G1334" s="69" t="s">
        <v>54</v>
      </c>
      <c r="H1334" s="70">
        <v>2012</v>
      </c>
      <c r="I1334" s="69"/>
      <c r="J1334" s="69" t="s">
        <v>6867</v>
      </c>
      <c r="K1334" s="71" t="s">
        <v>6868</v>
      </c>
      <c r="L1334" s="71" t="s">
        <v>6869</v>
      </c>
      <c r="M1334" s="71" t="s">
        <v>6870</v>
      </c>
      <c r="N1334" s="69" t="s">
        <v>57</v>
      </c>
      <c r="O1334" s="64">
        <v>1</v>
      </c>
      <c r="P1334" s="72">
        <v>19426.599999999999</v>
      </c>
      <c r="Q1334" s="69" t="s">
        <v>6871</v>
      </c>
      <c r="R1334" s="69"/>
      <c r="S1334" s="121" t="s">
        <v>775</v>
      </c>
      <c r="T1334" s="56">
        <v>35</v>
      </c>
      <c r="U1334" s="56">
        <v>3</v>
      </c>
    </row>
    <row r="1335" spans="1:21" ht="14.25" customHeight="1" x14ac:dyDescent="0.35">
      <c r="A1335" s="47">
        <v>1319</v>
      </c>
      <c r="B1335" s="69" t="s">
        <v>79</v>
      </c>
      <c r="C1335" s="69" t="s">
        <v>80</v>
      </c>
      <c r="D1335" s="70" t="s">
        <v>59</v>
      </c>
      <c r="E1335" s="69" t="s">
        <v>6872</v>
      </c>
      <c r="F1335" s="69" t="s">
        <v>6873</v>
      </c>
      <c r="G1335" s="69" t="s">
        <v>140</v>
      </c>
      <c r="H1335" s="70">
        <v>2010</v>
      </c>
      <c r="I1335" s="69"/>
      <c r="J1335" s="69" t="s">
        <v>6874</v>
      </c>
      <c r="K1335" s="71" t="s">
        <v>6875</v>
      </c>
      <c r="L1335" s="71" t="s">
        <v>6876</v>
      </c>
      <c r="M1335" s="71" t="s">
        <v>6877</v>
      </c>
      <c r="N1335" s="69" t="s">
        <v>57</v>
      </c>
      <c r="O1335" s="64">
        <v>1</v>
      </c>
      <c r="P1335" s="72">
        <v>17950</v>
      </c>
      <c r="Q1335" s="69"/>
      <c r="R1335" s="69"/>
      <c r="S1335" s="121" t="s">
        <v>775</v>
      </c>
      <c r="T1335" s="56">
        <v>35</v>
      </c>
      <c r="U1335" s="56">
        <v>3</v>
      </c>
    </row>
    <row r="1336" spans="1:21" ht="14.25" customHeight="1" thickBot="1" x14ac:dyDescent="0.4">
      <c r="A1336" s="58">
        <v>1320</v>
      </c>
      <c r="B1336" s="69" t="s">
        <v>79</v>
      </c>
      <c r="C1336" s="69" t="s">
        <v>80</v>
      </c>
      <c r="D1336" s="70" t="s">
        <v>97</v>
      </c>
      <c r="E1336" s="69" t="s">
        <v>147</v>
      </c>
      <c r="F1336" s="69" t="s">
        <v>148</v>
      </c>
      <c r="G1336" s="69" t="s">
        <v>140</v>
      </c>
      <c r="H1336" s="70">
        <v>2015</v>
      </c>
      <c r="I1336" s="69"/>
      <c r="J1336" s="69" t="s">
        <v>6878</v>
      </c>
      <c r="K1336" s="71" t="s">
        <v>6879</v>
      </c>
      <c r="L1336" s="71" t="s">
        <v>6880</v>
      </c>
      <c r="M1336" s="71" t="s">
        <v>6881</v>
      </c>
      <c r="N1336" s="69" t="s">
        <v>57</v>
      </c>
      <c r="O1336" s="64">
        <v>1</v>
      </c>
      <c r="P1336" s="72">
        <v>19430</v>
      </c>
      <c r="Q1336" s="69" t="s">
        <v>6882</v>
      </c>
      <c r="R1336" s="69"/>
      <c r="S1336" s="121" t="s">
        <v>775</v>
      </c>
      <c r="T1336" s="56">
        <v>35</v>
      </c>
      <c r="U1336" s="56">
        <v>3</v>
      </c>
    </row>
    <row r="1337" spans="1:21" ht="14.25" customHeight="1" x14ac:dyDescent="0.35">
      <c r="A1337" s="47">
        <v>1321</v>
      </c>
      <c r="B1337" s="69" t="s">
        <v>79</v>
      </c>
      <c r="C1337" s="69" t="s">
        <v>80</v>
      </c>
      <c r="D1337" s="70" t="s">
        <v>101</v>
      </c>
      <c r="E1337" s="69" t="s">
        <v>1377</v>
      </c>
      <c r="F1337" s="69" t="s">
        <v>1378</v>
      </c>
      <c r="G1337" s="69" t="s">
        <v>140</v>
      </c>
      <c r="H1337" s="70">
        <v>2014</v>
      </c>
      <c r="I1337" s="69"/>
      <c r="J1337" s="69" t="s">
        <v>6883</v>
      </c>
      <c r="K1337" s="71" t="s">
        <v>6884</v>
      </c>
      <c r="L1337" s="71" t="s">
        <v>6885</v>
      </c>
      <c r="M1337" s="71" t="s">
        <v>6886</v>
      </c>
      <c r="N1337" s="69" t="s">
        <v>57</v>
      </c>
      <c r="O1337" s="64">
        <v>1</v>
      </c>
      <c r="P1337" s="72">
        <v>19189.532999999999</v>
      </c>
      <c r="Q1337" s="69" t="s">
        <v>6882</v>
      </c>
      <c r="R1337" s="69"/>
      <c r="S1337" s="121" t="s">
        <v>775</v>
      </c>
      <c r="T1337" s="56">
        <v>35</v>
      </c>
      <c r="U1337" s="56">
        <v>3</v>
      </c>
    </row>
    <row r="1338" spans="1:21" ht="14.25" customHeight="1" thickBot="1" x14ac:dyDescent="0.4">
      <c r="A1338" s="58">
        <v>1322</v>
      </c>
      <c r="B1338" s="69" t="s">
        <v>79</v>
      </c>
      <c r="C1338" s="69" t="s">
        <v>80</v>
      </c>
      <c r="D1338" s="70" t="s">
        <v>107</v>
      </c>
      <c r="E1338" s="69" t="s">
        <v>6872</v>
      </c>
      <c r="F1338" s="69" t="s">
        <v>6873</v>
      </c>
      <c r="G1338" s="69" t="s">
        <v>140</v>
      </c>
      <c r="H1338" s="70">
        <v>2010</v>
      </c>
      <c r="I1338" s="69"/>
      <c r="J1338" s="69" t="s">
        <v>6887</v>
      </c>
      <c r="K1338" s="71" t="s">
        <v>6888</v>
      </c>
      <c r="L1338" s="71" t="s">
        <v>6889</v>
      </c>
      <c r="M1338" s="71"/>
      <c r="N1338" s="69" t="s">
        <v>57</v>
      </c>
      <c r="O1338" s="64">
        <v>1</v>
      </c>
      <c r="P1338" s="72">
        <v>17950</v>
      </c>
      <c r="Q1338" s="69"/>
      <c r="R1338" s="69"/>
      <c r="S1338" s="121" t="s">
        <v>775</v>
      </c>
      <c r="T1338" s="56">
        <v>35</v>
      </c>
      <c r="U1338" s="56">
        <v>3</v>
      </c>
    </row>
    <row r="1339" spans="1:21" ht="14.25" customHeight="1" x14ac:dyDescent="0.35">
      <c r="A1339" s="47">
        <v>1323</v>
      </c>
      <c r="B1339" s="69" t="s">
        <v>79</v>
      </c>
      <c r="C1339" s="69" t="s">
        <v>80</v>
      </c>
      <c r="D1339" s="70" t="s">
        <v>112</v>
      </c>
      <c r="E1339" s="69" t="s">
        <v>147</v>
      </c>
      <c r="F1339" s="69" t="s">
        <v>148</v>
      </c>
      <c r="G1339" s="69" t="s">
        <v>140</v>
      </c>
      <c r="H1339" s="70">
        <v>2015</v>
      </c>
      <c r="I1339" s="69"/>
      <c r="J1339" s="69" t="s">
        <v>6890</v>
      </c>
      <c r="K1339" s="71" t="s">
        <v>6891</v>
      </c>
      <c r="L1339" s="71" t="s">
        <v>6892</v>
      </c>
      <c r="M1339" s="71" t="s">
        <v>6893</v>
      </c>
      <c r="N1339" s="69" t="s">
        <v>57</v>
      </c>
      <c r="O1339" s="64">
        <v>1</v>
      </c>
      <c r="P1339" s="72">
        <v>19430</v>
      </c>
      <c r="Q1339" s="69" t="s">
        <v>6894</v>
      </c>
      <c r="R1339" s="69"/>
      <c r="S1339" s="121" t="s">
        <v>775</v>
      </c>
      <c r="T1339" s="56">
        <v>35</v>
      </c>
      <c r="U1339" s="56">
        <v>3</v>
      </c>
    </row>
    <row r="1340" spans="1:21" ht="14.25" customHeight="1" thickBot="1" x14ac:dyDescent="0.4">
      <c r="A1340" s="58">
        <v>1324</v>
      </c>
      <c r="B1340" s="69" t="s">
        <v>79</v>
      </c>
      <c r="C1340" s="69" t="s">
        <v>80</v>
      </c>
      <c r="D1340" s="70" t="s">
        <v>116</v>
      </c>
      <c r="E1340" s="69" t="s">
        <v>3766</v>
      </c>
      <c r="F1340" s="69" t="s">
        <v>148</v>
      </c>
      <c r="G1340" s="69" t="s">
        <v>140</v>
      </c>
      <c r="H1340" s="70">
        <v>2018</v>
      </c>
      <c r="I1340" s="69" t="s">
        <v>63</v>
      </c>
      <c r="J1340" s="69" t="s">
        <v>6895</v>
      </c>
      <c r="K1340" s="71" t="s">
        <v>6896</v>
      </c>
      <c r="L1340" s="71" t="s">
        <v>6897</v>
      </c>
      <c r="M1340" s="71" t="s">
        <v>6898</v>
      </c>
      <c r="N1340" s="69" t="s">
        <v>57</v>
      </c>
      <c r="O1340" s="64">
        <v>1</v>
      </c>
      <c r="P1340" s="72">
        <v>31708</v>
      </c>
      <c r="Q1340" s="69" t="s">
        <v>168</v>
      </c>
      <c r="R1340" s="69"/>
      <c r="S1340" s="121" t="s">
        <v>775</v>
      </c>
      <c r="T1340" s="56">
        <v>35</v>
      </c>
      <c r="U1340" s="56">
        <v>3</v>
      </c>
    </row>
    <row r="1341" spans="1:21" ht="14.25" customHeight="1" x14ac:dyDescent="0.35">
      <c r="A1341" s="47">
        <v>1325</v>
      </c>
      <c r="B1341" s="69" t="s">
        <v>79</v>
      </c>
      <c r="C1341" s="69" t="s">
        <v>80</v>
      </c>
      <c r="D1341" s="70" t="s">
        <v>841</v>
      </c>
      <c r="E1341" s="69" t="s">
        <v>6899</v>
      </c>
      <c r="F1341" s="69">
        <v>100</v>
      </c>
      <c r="G1341" s="69" t="s">
        <v>2954</v>
      </c>
      <c r="H1341" s="70">
        <v>2007</v>
      </c>
      <c r="I1341" s="69"/>
      <c r="J1341" s="69" t="s">
        <v>6900</v>
      </c>
      <c r="K1341" s="71" t="s">
        <v>6901</v>
      </c>
      <c r="L1341" s="71" t="s">
        <v>6902</v>
      </c>
      <c r="M1341" s="71" t="s">
        <v>6903</v>
      </c>
      <c r="N1341" s="69" t="s">
        <v>57</v>
      </c>
      <c r="O1341" s="64">
        <v>1</v>
      </c>
      <c r="P1341" s="72">
        <v>6500</v>
      </c>
      <c r="Q1341" s="69"/>
      <c r="R1341" s="69"/>
      <c r="S1341" s="121" t="s">
        <v>775</v>
      </c>
      <c r="T1341" s="56">
        <v>35</v>
      </c>
      <c r="U1341" s="56">
        <v>3</v>
      </c>
    </row>
    <row r="1342" spans="1:21" ht="14.25" customHeight="1" thickBot="1" x14ac:dyDescent="0.4">
      <c r="A1342" s="58">
        <v>1326</v>
      </c>
      <c r="B1342" s="69" t="s">
        <v>70</v>
      </c>
      <c r="C1342" s="69" t="s">
        <v>71</v>
      </c>
      <c r="D1342" s="70" t="s">
        <v>51</v>
      </c>
      <c r="E1342" s="69" t="s">
        <v>2501</v>
      </c>
      <c r="F1342" s="69" t="s">
        <v>1683</v>
      </c>
      <c r="G1342" s="69" t="s">
        <v>140</v>
      </c>
      <c r="H1342" s="70">
        <v>2017</v>
      </c>
      <c r="I1342" s="69" t="s">
        <v>63</v>
      </c>
      <c r="J1342" s="69" t="s">
        <v>6904</v>
      </c>
      <c r="K1342" s="71" t="s">
        <v>6905</v>
      </c>
      <c r="L1342" s="71" t="s">
        <v>6906</v>
      </c>
      <c r="M1342" s="71" t="s">
        <v>6907</v>
      </c>
      <c r="N1342" s="69" t="s">
        <v>57</v>
      </c>
      <c r="O1342" s="64">
        <v>1</v>
      </c>
      <c r="P1342" s="72">
        <v>399250</v>
      </c>
      <c r="Q1342" s="69" t="s">
        <v>6908</v>
      </c>
      <c r="R1342" s="69"/>
      <c r="S1342" s="121" t="s">
        <v>797</v>
      </c>
      <c r="T1342" s="56">
        <v>36</v>
      </c>
      <c r="U1342" s="56">
        <v>4</v>
      </c>
    </row>
    <row r="1343" spans="1:21" ht="14.25" customHeight="1" x14ac:dyDescent="0.35">
      <c r="A1343" s="47">
        <v>1327</v>
      </c>
      <c r="B1343" s="69" t="s">
        <v>70</v>
      </c>
      <c r="C1343" s="69" t="s">
        <v>71</v>
      </c>
      <c r="D1343" s="70" t="s">
        <v>59</v>
      </c>
      <c r="E1343" s="69" t="s">
        <v>4627</v>
      </c>
      <c r="F1343" s="69">
        <v>2393</v>
      </c>
      <c r="G1343" s="69" t="s">
        <v>63</v>
      </c>
      <c r="H1343" s="70">
        <v>2023</v>
      </c>
      <c r="I1343" s="69" t="s">
        <v>63</v>
      </c>
      <c r="J1343" s="69" t="s">
        <v>6909</v>
      </c>
      <c r="K1343" s="71" t="s">
        <v>6910</v>
      </c>
      <c r="L1343" s="71" t="s">
        <v>6911</v>
      </c>
      <c r="M1343" s="71" t="s">
        <v>6912</v>
      </c>
      <c r="N1343" s="69" t="s">
        <v>44</v>
      </c>
      <c r="O1343" s="64">
        <v>1</v>
      </c>
      <c r="P1343" s="72">
        <v>470900</v>
      </c>
      <c r="Q1343" s="69" t="s">
        <v>6913</v>
      </c>
      <c r="R1343" s="69"/>
      <c r="S1343" s="121" t="s">
        <v>797</v>
      </c>
      <c r="T1343" s="56">
        <v>36</v>
      </c>
      <c r="U1343" s="56">
        <v>4</v>
      </c>
    </row>
    <row r="1344" spans="1:21" ht="14.25" customHeight="1" thickBot="1" x14ac:dyDescent="0.4">
      <c r="A1344" s="58">
        <v>1328</v>
      </c>
      <c r="B1344" s="69" t="s">
        <v>79</v>
      </c>
      <c r="C1344" s="69" t="s">
        <v>80</v>
      </c>
      <c r="D1344" s="70" t="s">
        <v>51</v>
      </c>
      <c r="E1344" s="69" t="s">
        <v>3766</v>
      </c>
      <c r="F1344" s="69" t="s">
        <v>148</v>
      </c>
      <c r="G1344" s="69" t="s">
        <v>140</v>
      </c>
      <c r="H1344" s="70">
        <v>2018</v>
      </c>
      <c r="I1344" s="69" t="s">
        <v>63</v>
      </c>
      <c r="J1344" s="69" t="s">
        <v>6914</v>
      </c>
      <c r="K1344" s="71" t="s">
        <v>6915</v>
      </c>
      <c r="L1344" s="71" t="s">
        <v>6916</v>
      </c>
      <c r="M1344" s="71" t="s">
        <v>6917</v>
      </c>
      <c r="N1344" s="69" t="s">
        <v>57</v>
      </c>
      <c r="O1344" s="64">
        <v>1</v>
      </c>
      <c r="P1344" s="72">
        <v>31708</v>
      </c>
      <c r="Q1344" s="69" t="s">
        <v>168</v>
      </c>
      <c r="R1344" s="69"/>
      <c r="S1344" s="121" t="s">
        <v>797</v>
      </c>
      <c r="T1344" s="56">
        <v>36</v>
      </c>
      <c r="U1344" s="56">
        <v>3</v>
      </c>
    </row>
    <row r="1345" spans="1:21" ht="14.25" customHeight="1" x14ac:dyDescent="0.35">
      <c r="A1345" s="47">
        <v>1329</v>
      </c>
      <c r="B1345" s="69" t="s">
        <v>79</v>
      </c>
      <c r="C1345" s="69" t="s">
        <v>80</v>
      </c>
      <c r="D1345" s="70" t="s">
        <v>59</v>
      </c>
      <c r="E1345" s="69" t="s">
        <v>239</v>
      </c>
      <c r="F1345" s="69" t="s">
        <v>148</v>
      </c>
      <c r="G1345" s="69" t="s">
        <v>140</v>
      </c>
      <c r="H1345" s="70">
        <v>2018</v>
      </c>
      <c r="I1345" s="69" t="s">
        <v>63</v>
      </c>
      <c r="J1345" s="69" t="s">
        <v>6918</v>
      </c>
      <c r="K1345" s="71" t="s">
        <v>6919</v>
      </c>
      <c r="L1345" s="71" t="s">
        <v>6920</v>
      </c>
      <c r="M1345" s="71" t="s">
        <v>6921</v>
      </c>
      <c r="N1345" s="69" t="s">
        <v>57</v>
      </c>
      <c r="O1345" s="64">
        <v>1</v>
      </c>
      <c r="P1345" s="72">
        <v>20234.71</v>
      </c>
      <c r="Q1345" s="69" t="s">
        <v>168</v>
      </c>
      <c r="R1345" s="69"/>
      <c r="S1345" s="121" t="s">
        <v>797</v>
      </c>
      <c r="T1345" s="56">
        <v>36</v>
      </c>
      <c r="U1345" s="56">
        <v>3</v>
      </c>
    </row>
    <row r="1346" spans="1:21" ht="14.25" customHeight="1" thickBot="1" x14ac:dyDescent="0.4">
      <c r="A1346" s="58">
        <v>1330</v>
      </c>
      <c r="B1346" s="69" t="s">
        <v>79</v>
      </c>
      <c r="C1346" s="69" t="s">
        <v>80</v>
      </c>
      <c r="D1346" s="70" t="s">
        <v>97</v>
      </c>
      <c r="E1346" s="69" t="s">
        <v>201</v>
      </c>
      <c r="F1346" s="69" t="s">
        <v>202</v>
      </c>
      <c r="G1346" s="69" t="s">
        <v>54</v>
      </c>
      <c r="H1346" s="70">
        <v>2012</v>
      </c>
      <c r="I1346" s="69"/>
      <c r="J1346" s="69" t="s">
        <v>6922</v>
      </c>
      <c r="K1346" s="71" t="s">
        <v>6923</v>
      </c>
      <c r="L1346" s="71" t="s">
        <v>6924</v>
      </c>
      <c r="M1346" s="71" t="s">
        <v>6925</v>
      </c>
      <c r="N1346" s="69" t="s">
        <v>57</v>
      </c>
      <c r="O1346" s="64">
        <v>1</v>
      </c>
      <c r="P1346" s="72">
        <v>12577.55</v>
      </c>
      <c r="Q1346" s="69" t="s">
        <v>6926</v>
      </c>
      <c r="R1346" s="69"/>
      <c r="S1346" s="121" t="s">
        <v>797</v>
      </c>
      <c r="T1346" s="56">
        <v>36</v>
      </c>
      <c r="U1346" s="56">
        <v>3</v>
      </c>
    </row>
    <row r="1347" spans="1:21" ht="14.25" customHeight="1" x14ac:dyDescent="0.35">
      <c r="A1347" s="47">
        <v>1331</v>
      </c>
      <c r="B1347" s="69" t="s">
        <v>79</v>
      </c>
      <c r="C1347" s="69" t="s">
        <v>80</v>
      </c>
      <c r="D1347" s="70" t="s">
        <v>101</v>
      </c>
      <c r="E1347" s="69" t="s">
        <v>216</v>
      </c>
      <c r="F1347" s="69" t="s">
        <v>217</v>
      </c>
      <c r="G1347" s="69" t="s">
        <v>54</v>
      </c>
      <c r="H1347" s="70">
        <v>2012</v>
      </c>
      <c r="I1347" s="69"/>
      <c r="J1347" s="69" t="s">
        <v>6927</v>
      </c>
      <c r="K1347" s="71" t="s">
        <v>6928</v>
      </c>
      <c r="L1347" s="71" t="s">
        <v>6929</v>
      </c>
      <c r="M1347" s="71" t="s">
        <v>6930</v>
      </c>
      <c r="N1347" s="69" t="s">
        <v>57</v>
      </c>
      <c r="O1347" s="64">
        <v>1</v>
      </c>
      <c r="P1347" s="72">
        <v>19426.599999999999</v>
      </c>
      <c r="Q1347" s="69" t="s">
        <v>6926</v>
      </c>
      <c r="R1347" s="69"/>
      <c r="S1347" s="121" t="s">
        <v>797</v>
      </c>
      <c r="T1347" s="56">
        <v>36</v>
      </c>
      <c r="U1347" s="56">
        <v>3</v>
      </c>
    </row>
    <row r="1348" spans="1:21" ht="14.25" customHeight="1" thickBot="1" x14ac:dyDescent="0.4">
      <c r="A1348" s="58">
        <v>1332</v>
      </c>
      <c r="B1348" s="69" t="s">
        <v>79</v>
      </c>
      <c r="C1348" s="69" t="s">
        <v>80</v>
      </c>
      <c r="D1348" s="70" t="s">
        <v>107</v>
      </c>
      <c r="E1348" s="69" t="s">
        <v>3782</v>
      </c>
      <c r="F1348" s="69" t="s">
        <v>148</v>
      </c>
      <c r="G1348" s="69" t="s">
        <v>140</v>
      </c>
      <c r="H1348" s="70">
        <v>2015</v>
      </c>
      <c r="I1348" s="69"/>
      <c r="J1348" s="69" t="s">
        <v>6931</v>
      </c>
      <c r="K1348" s="71" t="s">
        <v>6932</v>
      </c>
      <c r="L1348" s="71" t="s">
        <v>6933</v>
      </c>
      <c r="M1348" s="71" t="s">
        <v>6934</v>
      </c>
      <c r="N1348" s="69" t="s">
        <v>57</v>
      </c>
      <c r="O1348" s="64">
        <v>1</v>
      </c>
      <c r="P1348" s="72">
        <v>19782.3</v>
      </c>
      <c r="Q1348" s="69" t="s">
        <v>6935</v>
      </c>
      <c r="R1348" s="69"/>
      <c r="S1348" s="121" t="s">
        <v>797</v>
      </c>
      <c r="T1348" s="56">
        <v>36</v>
      </c>
      <c r="U1348" s="56">
        <v>3</v>
      </c>
    </row>
    <row r="1349" spans="1:21" ht="14.25" customHeight="1" x14ac:dyDescent="0.35">
      <c r="A1349" s="47">
        <v>1333</v>
      </c>
      <c r="B1349" s="69" t="s">
        <v>79</v>
      </c>
      <c r="C1349" s="69" t="s">
        <v>80</v>
      </c>
      <c r="D1349" s="70" t="s">
        <v>112</v>
      </c>
      <c r="E1349" s="69" t="s">
        <v>1110</v>
      </c>
      <c r="F1349" s="69" t="s">
        <v>163</v>
      </c>
      <c r="G1349" s="69" t="s">
        <v>140</v>
      </c>
      <c r="H1349" s="70">
        <v>2017</v>
      </c>
      <c r="I1349" s="69" t="s">
        <v>63</v>
      </c>
      <c r="J1349" s="69" t="s">
        <v>6936</v>
      </c>
      <c r="K1349" s="71" t="s">
        <v>6937</v>
      </c>
      <c r="L1349" s="71" t="s">
        <v>6938</v>
      </c>
      <c r="M1349" s="71" t="s">
        <v>6939</v>
      </c>
      <c r="N1349" s="69" t="s">
        <v>57</v>
      </c>
      <c r="O1349" s="64">
        <v>1</v>
      </c>
      <c r="P1349" s="72">
        <v>15846.6</v>
      </c>
      <c r="Q1349" s="69" t="s">
        <v>6908</v>
      </c>
      <c r="R1349" s="69"/>
      <c r="S1349" s="121" t="s">
        <v>797</v>
      </c>
      <c r="T1349" s="56">
        <v>36</v>
      </c>
      <c r="U1349" s="56">
        <v>3</v>
      </c>
    </row>
    <row r="1350" spans="1:21" ht="14.25" customHeight="1" thickBot="1" x14ac:dyDescent="0.4">
      <c r="A1350" s="58">
        <v>1334</v>
      </c>
      <c r="B1350" s="69" t="s">
        <v>79</v>
      </c>
      <c r="C1350" s="69" t="s">
        <v>80</v>
      </c>
      <c r="D1350" s="70" t="s">
        <v>51</v>
      </c>
      <c r="E1350" s="69" t="s">
        <v>201</v>
      </c>
      <c r="F1350" s="69" t="s">
        <v>202</v>
      </c>
      <c r="G1350" s="69" t="s">
        <v>54</v>
      </c>
      <c r="H1350" s="70">
        <v>2012</v>
      </c>
      <c r="I1350" s="69"/>
      <c r="J1350" s="69" t="s">
        <v>6940</v>
      </c>
      <c r="K1350" s="71" t="s">
        <v>6941</v>
      </c>
      <c r="L1350" s="71" t="s">
        <v>6942</v>
      </c>
      <c r="M1350" s="71" t="s">
        <v>6943</v>
      </c>
      <c r="N1350" s="69" t="s">
        <v>57</v>
      </c>
      <c r="O1350" s="64">
        <v>1</v>
      </c>
      <c r="P1350" s="72">
        <v>12577.55</v>
      </c>
      <c r="Q1350" s="69" t="s">
        <v>6944</v>
      </c>
      <c r="R1350" s="69"/>
      <c r="S1350" s="203" t="s">
        <v>817</v>
      </c>
      <c r="T1350" s="56">
        <v>37</v>
      </c>
      <c r="U1350" s="56">
        <v>3</v>
      </c>
    </row>
    <row r="1351" spans="1:21" ht="14.25" customHeight="1" x14ac:dyDescent="0.35">
      <c r="A1351" s="47">
        <v>1335</v>
      </c>
      <c r="B1351" s="69" t="s">
        <v>79</v>
      </c>
      <c r="C1351" s="69" t="s">
        <v>80</v>
      </c>
      <c r="D1351" s="70" t="s">
        <v>97</v>
      </c>
      <c r="E1351" s="69" t="s">
        <v>5318</v>
      </c>
      <c r="F1351" s="69" t="s">
        <v>5319</v>
      </c>
      <c r="G1351" s="69" t="s">
        <v>5320</v>
      </c>
      <c r="H1351" s="70">
        <v>2024</v>
      </c>
      <c r="I1351" s="69" t="s">
        <v>63</v>
      </c>
      <c r="J1351" s="69" t="s">
        <v>6945</v>
      </c>
      <c r="K1351" s="71" t="s">
        <v>6946</v>
      </c>
      <c r="L1351" s="71" t="s">
        <v>6947</v>
      </c>
      <c r="M1351" s="71" t="s">
        <v>6948</v>
      </c>
      <c r="N1351" s="69" t="s">
        <v>44</v>
      </c>
      <c r="O1351" s="64">
        <v>1</v>
      </c>
      <c r="P1351" s="72">
        <v>31000</v>
      </c>
      <c r="Q1351" s="69" t="s">
        <v>6949</v>
      </c>
      <c r="R1351" s="69"/>
      <c r="S1351" s="203" t="s">
        <v>817</v>
      </c>
      <c r="T1351" s="56">
        <v>37</v>
      </c>
      <c r="U1351" s="56">
        <v>3</v>
      </c>
    </row>
    <row r="1352" spans="1:21" ht="14.25" customHeight="1" thickBot="1" x14ac:dyDescent="0.4">
      <c r="A1352" s="58">
        <v>1336</v>
      </c>
      <c r="B1352" s="69" t="s">
        <v>2244</v>
      </c>
      <c r="C1352" s="69" t="s">
        <v>2245</v>
      </c>
      <c r="D1352" s="70" t="s">
        <v>51</v>
      </c>
      <c r="E1352" s="69" t="s">
        <v>6950</v>
      </c>
      <c r="F1352" s="69">
        <v>108</v>
      </c>
      <c r="G1352" s="69" t="s">
        <v>415</v>
      </c>
      <c r="H1352" s="70">
        <v>2019</v>
      </c>
      <c r="I1352" s="69" t="s">
        <v>63</v>
      </c>
      <c r="J1352" s="69" t="s">
        <v>6951</v>
      </c>
      <c r="K1352" s="71" t="s">
        <v>6952</v>
      </c>
      <c r="L1352" s="71" t="s">
        <v>6953</v>
      </c>
      <c r="M1352" s="71" t="s">
        <v>6954</v>
      </c>
      <c r="N1352" s="69" t="s">
        <v>57</v>
      </c>
      <c r="O1352" s="64">
        <v>1</v>
      </c>
      <c r="P1352" s="72">
        <v>17500</v>
      </c>
      <c r="Q1352" s="69" t="s">
        <v>6955</v>
      </c>
      <c r="R1352" s="69"/>
      <c r="S1352" s="203" t="s">
        <v>817</v>
      </c>
      <c r="T1352" s="56">
        <v>37</v>
      </c>
      <c r="U1352" s="56">
        <v>3</v>
      </c>
    </row>
    <row r="1353" spans="1:21" ht="14.25" customHeight="1" x14ac:dyDescent="0.35">
      <c r="A1353" s="47">
        <v>1337</v>
      </c>
      <c r="B1353" s="69" t="s">
        <v>2244</v>
      </c>
      <c r="C1353" s="69" t="s">
        <v>2245</v>
      </c>
      <c r="D1353" s="70" t="s">
        <v>59</v>
      </c>
      <c r="E1353" s="69" t="s">
        <v>6950</v>
      </c>
      <c r="F1353" s="69">
        <v>108</v>
      </c>
      <c r="G1353" s="69" t="s">
        <v>415</v>
      </c>
      <c r="H1353" s="70">
        <v>2019</v>
      </c>
      <c r="I1353" s="69" t="s">
        <v>63</v>
      </c>
      <c r="J1353" s="69" t="s">
        <v>6956</v>
      </c>
      <c r="K1353" s="71" t="s">
        <v>6957</v>
      </c>
      <c r="L1353" s="71" t="s">
        <v>6958</v>
      </c>
      <c r="M1353" s="71" t="s">
        <v>6959</v>
      </c>
      <c r="N1353" s="69" t="s">
        <v>57</v>
      </c>
      <c r="O1353" s="64">
        <v>1</v>
      </c>
      <c r="P1353" s="72">
        <v>17500</v>
      </c>
      <c r="Q1353" s="69" t="s">
        <v>6960</v>
      </c>
      <c r="R1353" s="69"/>
      <c r="S1353" s="203" t="s">
        <v>817</v>
      </c>
      <c r="T1353" s="56">
        <v>37</v>
      </c>
      <c r="U1353" s="56">
        <v>3</v>
      </c>
    </row>
    <row r="1354" spans="1:21" ht="14.25" customHeight="1" thickBot="1" x14ac:dyDescent="0.4">
      <c r="A1354" s="58">
        <v>1338</v>
      </c>
      <c r="B1354" s="69" t="s">
        <v>70</v>
      </c>
      <c r="C1354" s="69" t="s">
        <v>71</v>
      </c>
      <c r="D1354" s="70" t="s">
        <v>59</v>
      </c>
      <c r="E1354" s="69" t="s">
        <v>6684</v>
      </c>
      <c r="F1354" s="69" t="s">
        <v>1683</v>
      </c>
      <c r="G1354" s="69" t="s">
        <v>140</v>
      </c>
      <c r="H1354" s="70">
        <v>2024</v>
      </c>
      <c r="I1354" s="69" t="s">
        <v>63</v>
      </c>
      <c r="J1354" s="69" t="s">
        <v>6961</v>
      </c>
      <c r="K1354" s="71" t="s">
        <v>6962</v>
      </c>
      <c r="L1354" s="71" t="s">
        <v>6963</v>
      </c>
      <c r="M1354" s="71" t="s">
        <v>6964</v>
      </c>
      <c r="N1354" s="69" t="s">
        <v>44</v>
      </c>
      <c r="O1354" s="64">
        <v>1</v>
      </c>
      <c r="P1354" s="72">
        <v>477500</v>
      </c>
      <c r="Q1354" s="69" t="s">
        <v>6689</v>
      </c>
      <c r="R1354" s="69"/>
      <c r="S1354" s="203" t="s">
        <v>838</v>
      </c>
      <c r="T1354" s="56">
        <v>38</v>
      </c>
      <c r="U1354" s="56">
        <v>4</v>
      </c>
    </row>
    <row r="1355" spans="1:21" ht="14.25" customHeight="1" x14ac:dyDescent="0.35">
      <c r="A1355" s="47">
        <v>1339</v>
      </c>
      <c r="B1355" s="69" t="s">
        <v>79</v>
      </c>
      <c r="C1355" s="69" t="s">
        <v>80</v>
      </c>
      <c r="D1355" s="70" t="s">
        <v>51</v>
      </c>
      <c r="E1355" s="69" t="s">
        <v>1377</v>
      </c>
      <c r="F1355" s="69" t="s">
        <v>1378</v>
      </c>
      <c r="G1355" s="69" t="s">
        <v>140</v>
      </c>
      <c r="H1355" s="70">
        <v>2014</v>
      </c>
      <c r="I1355" s="69"/>
      <c r="J1355" s="69" t="s">
        <v>6965</v>
      </c>
      <c r="K1355" s="71" t="s">
        <v>6966</v>
      </c>
      <c r="L1355" s="71" t="s">
        <v>6967</v>
      </c>
      <c r="M1355" s="71" t="s">
        <v>6968</v>
      </c>
      <c r="N1355" s="69" t="s">
        <v>57</v>
      </c>
      <c r="O1355" s="64">
        <v>1</v>
      </c>
      <c r="P1355" s="72">
        <v>19189.532999999999</v>
      </c>
      <c r="Q1355" s="69" t="s">
        <v>6969</v>
      </c>
      <c r="R1355" s="69"/>
      <c r="S1355" s="203" t="s">
        <v>838</v>
      </c>
      <c r="T1355" s="56">
        <v>38</v>
      </c>
      <c r="U1355" s="56">
        <v>3</v>
      </c>
    </row>
    <row r="1356" spans="1:21" ht="14.25" customHeight="1" thickBot="1" x14ac:dyDescent="0.4">
      <c r="A1356" s="58">
        <v>1340</v>
      </c>
      <c r="B1356" s="69" t="s">
        <v>79</v>
      </c>
      <c r="C1356" s="69" t="s">
        <v>80</v>
      </c>
      <c r="D1356" s="70" t="s">
        <v>59</v>
      </c>
      <c r="E1356" s="69" t="s">
        <v>201</v>
      </c>
      <c r="F1356" s="69" t="s">
        <v>202</v>
      </c>
      <c r="G1356" s="69" t="s">
        <v>54</v>
      </c>
      <c r="H1356" s="70">
        <v>2012</v>
      </c>
      <c r="I1356" s="69"/>
      <c r="J1356" s="69" t="s">
        <v>6970</v>
      </c>
      <c r="K1356" s="71" t="s">
        <v>6971</v>
      </c>
      <c r="L1356" s="71" t="s">
        <v>6972</v>
      </c>
      <c r="M1356" s="71" t="s">
        <v>6973</v>
      </c>
      <c r="N1356" s="69" t="s">
        <v>57</v>
      </c>
      <c r="O1356" s="64">
        <v>1</v>
      </c>
      <c r="P1356" s="72">
        <v>12577.55</v>
      </c>
      <c r="Q1356" s="69" t="s">
        <v>6974</v>
      </c>
      <c r="R1356" s="69"/>
      <c r="S1356" s="203" t="s">
        <v>838</v>
      </c>
      <c r="T1356" s="56">
        <v>38</v>
      </c>
      <c r="U1356" s="56">
        <v>3</v>
      </c>
    </row>
    <row r="1357" spans="1:21" ht="14.25" customHeight="1" x14ac:dyDescent="0.35">
      <c r="A1357" s="47">
        <v>1341</v>
      </c>
      <c r="B1357" s="69" t="s">
        <v>79</v>
      </c>
      <c r="C1357" s="69" t="s">
        <v>80</v>
      </c>
      <c r="D1357" s="70" t="s">
        <v>97</v>
      </c>
      <c r="E1357" s="69" t="s">
        <v>2574</v>
      </c>
      <c r="F1357" s="69" t="s">
        <v>88</v>
      </c>
      <c r="G1357" s="69" t="s">
        <v>140</v>
      </c>
      <c r="H1357" s="70">
        <v>2015</v>
      </c>
      <c r="I1357" s="69"/>
      <c r="J1357" s="69" t="s">
        <v>6975</v>
      </c>
      <c r="K1357" s="71" t="s">
        <v>6976</v>
      </c>
      <c r="L1357" s="71" t="s">
        <v>6977</v>
      </c>
      <c r="M1357" s="71" t="s">
        <v>6978</v>
      </c>
      <c r="N1357" s="69" t="s">
        <v>57</v>
      </c>
      <c r="O1357" s="64">
        <v>1</v>
      </c>
      <c r="P1357" s="72">
        <v>16898</v>
      </c>
      <c r="Q1357" s="69" t="s">
        <v>6979</v>
      </c>
      <c r="R1357" s="69"/>
      <c r="S1357" s="203" t="s">
        <v>838</v>
      </c>
      <c r="T1357" s="56">
        <v>38</v>
      </c>
      <c r="U1357" s="56">
        <v>3</v>
      </c>
    </row>
    <row r="1358" spans="1:21" ht="14.25" customHeight="1" thickBot="1" x14ac:dyDescent="0.4">
      <c r="A1358" s="58">
        <v>1342</v>
      </c>
      <c r="B1358" s="69" t="s">
        <v>79</v>
      </c>
      <c r="C1358" s="69" t="s">
        <v>80</v>
      </c>
      <c r="D1358" s="70" t="s">
        <v>101</v>
      </c>
      <c r="E1358" s="69" t="s">
        <v>216</v>
      </c>
      <c r="F1358" s="69" t="s">
        <v>217</v>
      </c>
      <c r="G1358" s="69" t="s">
        <v>54</v>
      </c>
      <c r="H1358" s="70">
        <v>2012</v>
      </c>
      <c r="I1358" s="69"/>
      <c r="J1358" s="69" t="s">
        <v>6980</v>
      </c>
      <c r="K1358" s="71" t="s">
        <v>6981</v>
      </c>
      <c r="L1358" s="71" t="s">
        <v>6982</v>
      </c>
      <c r="M1358" s="71" t="s">
        <v>6983</v>
      </c>
      <c r="N1358" s="69" t="s">
        <v>57</v>
      </c>
      <c r="O1358" s="64">
        <v>1</v>
      </c>
      <c r="P1358" s="72">
        <v>19426.599999999999</v>
      </c>
      <c r="Q1358" s="69" t="s">
        <v>6974</v>
      </c>
      <c r="R1358" s="69"/>
      <c r="S1358" s="203" t="s">
        <v>838</v>
      </c>
      <c r="T1358" s="56">
        <v>38</v>
      </c>
      <c r="U1358" s="56">
        <v>3</v>
      </c>
    </row>
    <row r="1359" spans="1:21" ht="14.25" customHeight="1" x14ac:dyDescent="0.35">
      <c r="A1359" s="47">
        <v>1343</v>
      </c>
      <c r="B1359" s="69" t="s">
        <v>70</v>
      </c>
      <c r="C1359" s="69" t="s">
        <v>71</v>
      </c>
      <c r="D1359" s="70" t="s">
        <v>51</v>
      </c>
      <c r="E1359" s="69" t="s">
        <v>6684</v>
      </c>
      <c r="F1359" s="69">
        <v>2393</v>
      </c>
      <c r="G1359" s="69" t="s">
        <v>140</v>
      </c>
      <c r="H1359" s="70">
        <v>2024</v>
      </c>
      <c r="I1359" s="69" t="s">
        <v>63</v>
      </c>
      <c r="J1359" s="69" t="s">
        <v>6984</v>
      </c>
      <c r="K1359" s="71" t="s">
        <v>6985</v>
      </c>
      <c r="L1359" s="71" t="s">
        <v>6986</v>
      </c>
      <c r="M1359" s="71" t="s">
        <v>6987</v>
      </c>
      <c r="N1359" s="69" t="s">
        <v>44</v>
      </c>
      <c r="O1359" s="64">
        <v>1</v>
      </c>
      <c r="P1359" s="72">
        <v>477500</v>
      </c>
      <c r="Q1359" s="69" t="s">
        <v>6689</v>
      </c>
      <c r="R1359" s="69"/>
      <c r="S1359" s="203" t="s">
        <v>859</v>
      </c>
      <c r="T1359" s="56">
        <v>39</v>
      </c>
      <c r="U1359" s="56">
        <v>4</v>
      </c>
    </row>
    <row r="1360" spans="1:21" ht="14.25" customHeight="1" thickBot="1" x14ac:dyDescent="0.4">
      <c r="A1360" s="58">
        <v>1344</v>
      </c>
      <c r="B1360" s="69" t="s">
        <v>79</v>
      </c>
      <c r="C1360" s="69" t="s">
        <v>80</v>
      </c>
      <c r="D1360" s="70" t="s">
        <v>51</v>
      </c>
      <c r="E1360" s="69" t="s">
        <v>1377</v>
      </c>
      <c r="F1360" s="69" t="s">
        <v>1378</v>
      </c>
      <c r="G1360" s="69" t="s">
        <v>140</v>
      </c>
      <c r="H1360" s="70">
        <v>2014</v>
      </c>
      <c r="I1360" s="69"/>
      <c r="J1360" s="69" t="s">
        <v>6988</v>
      </c>
      <c r="K1360" s="71" t="s">
        <v>6989</v>
      </c>
      <c r="L1360" s="71" t="s">
        <v>6990</v>
      </c>
      <c r="M1360" s="71" t="s">
        <v>6991</v>
      </c>
      <c r="N1360" s="69" t="s">
        <v>57</v>
      </c>
      <c r="O1360" s="64">
        <v>1</v>
      </c>
      <c r="P1360" s="72">
        <v>19189.532999999999</v>
      </c>
      <c r="Q1360" s="69" t="s">
        <v>859</v>
      </c>
      <c r="R1360" s="69"/>
      <c r="S1360" s="203" t="s">
        <v>859</v>
      </c>
      <c r="T1360" s="56">
        <v>39</v>
      </c>
      <c r="U1360" s="56">
        <v>3</v>
      </c>
    </row>
    <row r="1361" spans="1:21" ht="14.25" customHeight="1" x14ac:dyDescent="0.35">
      <c r="A1361" s="47">
        <v>1345</v>
      </c>
      <c r="B1361" s="69" t="s">
        <v>79</v>
      </c>
      <c r="C1361" s="69" t="s">
        <v>80</v>
      </c>
      <c r="D1361" s="70" t="s">
        <v>101</v>
      </c>
      <c r="E1361" s="69" t="s">
        <v>1888</v>
      </c>
      <c r="F1361" s="69" t="s">
        <v>443</v>
      </c>
      <c r="G1361" s="69" t="s">
        <v>54</v>
      </c>
      <c r="H1361" s="70">
        <v>2013</v>
      </c>
      <c r="I1361" s="69" t="s">
        <v>63</v>
      </c>
      <c r="J1361" s="69" t="s">
        <v>6992</v>
      </c>
      <c r="K1361" s="71" t="s">
        <v>6993</v>
      </c>
      <c r="L1361" s="71" t="s">
        <v>6994</v>
      </c>
      <c r="M1361" s="71" t="s">
        <v>6995</v>
      </c>
      <c r="N1361" s="69" t="s">
        <v>57</v>
      </c>
      <c r="O1361" s="64">
        <v>1</v>
      </c>
      <c r="P1361" s="72">
        <v>14108.5</v>
      </c>
      <c r="Q1361" s="69" t="s">
        <v>6996</v>
      </c>
      <c r="R1361" s="69"/>
      <c r="S1361" s="203" t="s">
        <v>859</v>
      </c>
      <c r="T1361" s="56">
        <v>39</v>
      </c>
      <c r="U1361" s="56">
        <v>3</v>
      </c>
    </row>
    <row r="1362" spans="1:21" ht="14.25" customHeight="1" thickBot="1" x14ac:dyDescent="0.4">
      <c r="A1362" s="58">
        <v>1346</v>
      </c>
      <c r="B1362" s="69" t="s">
        <v>79</v>
      </c>
      <c r="C1362" s="69" t="s">
        <v>80</v>
      </c>
      <c r="D1362" s="70" t="s">
        <v>107</v>
      </c>
      <c r="E1362" s="69" t="s">
        <v>201</v>
      </c>
      <c r="F1362" s="69" t="s">
        <v>202</v>
      </c>
      <c r="G1362" s="69" t="s">
        <v>54</v>
      </c>
      <c r="H1362" s="70">
        <v>2012</v>
      </c>
      <c r="I1362" s="69"/>
      <c r="J1362" s="69" t="s">
        <v>6997</v>
      </c>
      <c r="K1362" s="71" t="s">
        <v>6998</v>
      </c>
      <c r="L1362" s="71" t="s">
        <v>6999</v>
      </c>
      <c r="M1362" s="71" t="s">
        <v>7000</v>
      </c>
      <c r="N1362" s="69" t="s">
        <v>57</v>
      </c>
      <c r="O1362" s="64">
        <v>1</v>
      </c>
      <c r="P1362" s="72">
        <v>12577.55</v>
      </c>
      <c r="Q1362" s="69" t="s">
        <v>7001</v>
      </c>
      <c r="R1362" s="69"/>
      <c r="S1362" s="203" t="s">
        <v>859</v>
      </c>
      <c r="T1362" s="56">
        <v>39</v>
      </c>
      <c r="U1362" s="56">
        <v>3</v>
      </c>
    </row>
    <row r="1363" spans="1:21" ht="14.25" customHeight="1" x14ac:dyDescent="0.35">
      <c r="A1363" s="47">
        <v>1347</v>
      </c>
      <c r="B1363" s="69" t="s">
        <v>2064</v>
      </c>
      <c r="C1363" s="69" t="s">
        <v>2065</v>
      </c>
      <c r="D1363" s="70" t="s">
        <v>51</v>
      </c>
      <c r="E1363" s="69" t="s">
        <v>6590</v>
      </c>
      <c r="F1363" s="69" t="s">
        <v>2023</v>
      </c>
      <c r="G1363" s="69" t="s">
        <v>54</v>
      </c>
      <c r="H1363" s="70">
        <v>2010</v>
      </c>
      <c r="I1363" s="69"/>
      <c r="J1363" s="69" t="s">
        <v>7002</v>
      </c>
      <c r="K1363" s="71" t="s">
        <v>7003</v>
      </c>
      <c r="L1363" s="71" t="s">
        <v>7004</v>
      </c>
      <c r="M1363" s="71" t="s">
        <v>7005</v>
      </c>
      <c r="N1363" s="69" t="s">
        <v>57</v>
      </c>
      <c r="O1363" s="64">
        <v>1</v>
      </c>
      <c r="P1363" s="72">
        <v>310000</v>
      </c>
      <c r="Q1363" s="69" t="s">
        <v>7006</v>
      </c>
      <c r="R1363" s="69"/>
      <c r="S1363" s="203" t="s">
        <v>882</v>
      </c>
      <c r="T1363" s="56">
        <v>40</v>
      </c>
      <c r="U1363" s="56">
        <v>6</v>
      </c>
    </row>
    <row r="1364" spans="1:21" ht="14.25" customHeight="1" thickBot="1" x14ac:dyDescent="0.4">
      <c r="A1364" s="58">
        <v>1348</v>
      </c>
      <c r="B1364" s="69" t="s">
        <v>70</v>
      </c>
      <c r="C1364" s="69" t="s">
        <v>71</v>
      </c>
      <c r="D1364" s="70" t="s">
        <v>51</v>
      </c>
      <c r="E1364" s="69" t="s">
        <v>5016</v>
      </c>
      <c r="F1364" s="69" t="s">
        <v>5017</v>
      </c>
      <c r="G1364" s="69" t="s">
        <v>415</v>
      </c>
      <c r="H1364" s="70">
        <v>2009</v>
      </c>
      <c r="I1364" s="69"/>
      <c r="J1364" s="69" t="s">
        <v>7007</v>
      </c>
      <c r="K1364" s="71" t="s">
        <v>7008</v>
      </c>
      <c r="L1364" s="71" t="s">
        <v>7009</v>
      </c>
      <c r="M1364" s="71" t="s">
        <v>7010</v>
      </c>
      <c r="N1364" s="69" t="s">
        <v>57</v>
      </c>
      <c r="O1364" s="64">
        <v>1</v>
      </c>
      <c r="P1364" s="72">
        <v>199500</v>
      </c>
      <c r="Q1364" s="69"/>
      <c r="R1364" s="69"/>
      <c r="S1364" s="203" t="s">
        <v>882</v>
      </c>
      <c r="T1364" s="56">
        <v>40</v>
      </c>
      <c r="U1364" s="56">
        <v>4</v>
      </c>
    </row>
    <row r="1365" spans="1:21" ht="14.25" customHeight="1" x14ac:dyDescent="0.35">
      <c r="A1365" s="47">
        <v>1349</v>
      </c>
      <c r="B1365" s="69" t="s">
        <v>70</v>
      </c>
      <c r="C1365" s="69" t="s">
        <v>71</v>
      </c>
      <c r="D1365" s="70" t="s">
        <v>97</v>
      </c>
      <c r="E1365" s="69" t="s">
        <v>6862</v>
      </c>
      <c r="F1365" s="69">
        <v>2393</v>
      </c>
      <c r="G1365" s="69" t="s">
        <v>54</v>
      </c>
      <c r="H1365" s="70">
        <v>2022</v>
      </c>
      <c r="I1365" s="69"/>
      <c r="J1365" s="69" t="s">
        <v>7011</v>
      </c>
      <c r="K1365" s="71" t="s">
        <v>7012</v>
      </c>
      <c r="L1365" s="71" t="s">
        <v>7013</v>
      </c>
      <c r="M1365" s="71" t="s">
        <v>7014</v>
      </c>
      <c r="N1365" s="69" t="s">
        <v>44</v>
      </c>
      <c r="O1365" s="64">
        <v>1</v>
      </c>
      <c r="P1365" s="72">
        <v>425500</v>
      </c>
      <c r="Q1365" s="69"/>
      <c r="R1365" s="69"/>
      <c r="S1365" s="203" t="s">
        <v>882</v>
      </c>
      <c r="T1365" s="56">
        <v>40</v>
      </c>
      <c r="U1365" s="56">
        <v>4</v>
      </c>
    </row>
    <row r="1366" spans="1:21" ht="14.25" customHeight="1" thickBot="1" x14ac:dyDescent="0.4">
      <c r="A1366" s="58">
        <v>1350</v>
      </c>
      <c r="B1366" s="69" t="s">
        <v>79</v>
      </c>
      <c r="C1366" s="69" t="s">
        <v>80</v>
      </c>
      <c r="D1366" s="70" t="s">
        <v>51</v>
      </c>
      <c r="E1366" s="69" t="s">
        <v>299</v>
      </c>
      <c r="F1366" s="69" t="s">
        <v>443</v>
      </c>
      <c r="G1366" s="69" t="s">
        <v>54</v>
      </c>
      <c r="H1366" s="70">
        <v>2006</v>
      </c>
      <c r="I1366" s="69"/>
      <c r="J1366" s="69" t="s">
        <v>7015</v>
      </c>
      <c r="K1366" s="71" t="s">
        <v>7016</v>
      </c>
      <c r="L1366" s="71" t="s">
        <v>7017</v>
      </c>
      <c r="M1366" s="71" t="s">
        <v>7018</v>
      </c>
      <c r="N1366" s="69" t="s">
        <v>57</v>
      </c>
      <c r="O1366" s="64">
        <v>1</v>
      </c>
      <c r="P1366" s="72">
        <v>14500</v>
      </c>
      <c r="Q1366" s="69" t="s">
        <v>7019</v>
      </c>
      <c r="R1366" s="69"/>
      <c r="S1366" s="203" t="s">
        <v>882</v>
      </c>
      <c r="T1366" s="56">
        <v>40</v>
      </c>
      <c r="U1366" s="56">
        <v>3</v>
      </c>
    </row>
    <row r="1367" spans="1:21" ht="14.25" customHeight="1" x14ac:dyDescent="0.35">
      <c r="A1367" s="47">
        <v>1351</v>
      </c>
      <c r="B1367" s="69" t="s">
        <v>79</v>
      </c>
      <c r="C1367" s="69" t="s">
        <v>80</v>
      </c>
      <c r="D1367" s="70" t="s">
        <v>59</v>
      </c>
      <c r="E1367" s="69" t="s">
        <v>239</v>
      </c>
      <c r="F1367" s="69" t="s">
        <v>148</v>
      </c>
      <c r="G1367" s="69" t="s">
        <v>140</v>
      </c>
      <c r="H1367" s="70">
        <v>2018</v>
      </c>
      <c r="I1367" s="69" t="s">
        <v>63</v>
      </c>
      <c r="J1367" s="69" t="s">
        <v>7020</v>
      </c>
      <c r="K1367" s="71" t="s">
        <v>7021</v>
      </c>
      <c r="L1367" s="71" t="s">
        <v>7022</v>
      </c>
      <c r="M1367" s="71" t="s">
        <v>7023</v>
      </c>
      <c r="N1367" s="69" t="s">
        <v>57</v>
      </c>
      <c r="O1367" s="64">
        <v>1</v>
      </c>
      <c r="P1367" s="72">
        <v>20234.71</v>
      </c>
      <c r="Q1367" s="69" t="s">
        <v>168</v>
      </c>
      <c r="R1367" s="69"/>
      <c r="S1367" s="203" t="s">
        <v>882</v>
      </c>
      <c r="T1367" s="56">
        <v>40</v>
      </c>
      <c r="U1367" s="56">
        <v>3</v>
      </c>
    </row>
    <row r="1368" spans="1:21" ht="14.25" customHeight="1" thickBot="1" x14ac:dyDescent="0.4">
      <c r="A1368" s="58">
        <v>1352</v>
      </c>
      <c r="B1368" s="69" t="s">
        <v>79</v>
      </c>
      <c r="C1368" s="69" t="s">
        <v>80</v>
      </c>
      <c r="D1368" s="70" t="s">
        <v>97</v>
      </c>
      <c r="E1368" s="69" t="s">
        <v>6659</v>
      </c>
      <c r="F1368" s="69" t="s">
        <v>148</v>
      </c>
      <c r="G1368" s="69" t="s">
        <v>140</v>
      </c>
      <c r="H1368" s="70">
        <v>2017</v>
      </c>
      <c r="I1368" s="69" t="s">
        <v>63</v>
      </c>
      <c r="J1368" s="69" t="s">
        <v>7024</v>
      </c>
      <c r="K1368" s="71" t="s">
        <v>7025</v>
      </c>
      <c r="L1368" s="71" t="s">
        <v>7026</v>
      </c>
      <c r="M1368" s="71" t="s">
        <v>7027</v>
      </c>
      <c r="N1368" s="69" t="s">
        <v>57</v>
      </c>
      <c r="O1368" s="64">
        <v>1</v>
      </c>
      <c r="P1368" s="72">
        <v>19729.667000000001</v>
      </c>
      <c r="Q1368" s="69" t="s">
        <v>7028</v>
      </c>
      <c r="R1368" s="69"/>
      <c r="S1368" s="203" t="s">
        <v>882</v>
      </c>
      <c r="T1368" s="56">
        <v>40</v>
      </c>
      <c r="U1368" s="56">
        <v>3</v>
      </c>
    </row>
    <row r="1369" spans="1:21" ht="14.25" customHeight="1" x14ac:dyDescent="0.35">
      <c r="A1369" s="47">
        <v>1353</v>
      </c>
      <c r="B1369" s="69" t="s">
        <v>79</v>
      </c>
      <c r="C1369" s="69" t="s">
        <v>80</v>
      </c>
      <c r="D1369" s="70" t="s">
        <v>101</v>
      </c>
      <c r="E1369" s="69" t="s">
        <v>201</v>
      </c>
      <c r="F1369" s="69" t="s">
        <v>202</v>
      </c>
      <c r="G1369" s="69" t="s">
        <v>54</v>
      </c>
      <c r="H1369" s="70">
        <v>2012</v>
      </c>
      <c r="I1369" s="69"/>
      <c r="J1369" s="69" t="s">
        <v>7029</v>
      </c>
      <c r="K1369" s="71" t="s">
        <v>7030</v>
      </c>
      <c r="L1369" s="71" t="s">
        <v>7031</v>
      </c>
      <c r="M1369" s="71" t="s">
        <v>7032</v>
      </c>
      <c r="N1369" s="69" t="s">
        <v>57</v>
      </c>
      <c r="O1369" s="64">
        <v>1</v>
      </c>
      <c r="P1369" s="72">
        <v>12577.55</v>
      </c>
      <c r="Q1369" s="69" t="s">
        <v>7033</v>
      </c>
      <c r="R1369" s="69"/>
      <c r="S1369" s="203" t="s">
        <v>882</v>
      </c>
      <c r="T1369" s="56">
        <v>40</v>
      </c>
      <c r="U1369" s="56">
        <v>3</v>
      </c>
    </row>
    <row r="1370" spans="1:21" ht="14.25" customHeight="1" thickBot="1" x14ac:dyDescent="0.4">
      <c r="A1370" s="58">
        <v>1354</v>
      </c>
      <c r="B1370" s="69" t="s">
        <v>79</v>
      </c>
      <c r="C1370" s="69" t="s">
        <v>80</v>
      </c>
      <c r="D1370" s="70" t="s">
        <v>107</v>
      </c>
      <c r="E1370" s="69" t="s">
        <v>216</v>
      </c>
      <c r="F1370" s="69" t="s">
        <v>217</v>
      </c>
      <c r="G1370" s="69" t="s">
        <v>54</v>
      </c>
      <c r="H1370" s="70">
        <v>2012</v>
      </c>
      <c r="I1370" s="69"/>
      <c r="J1370" s="69" t="s">
        <v>7034</v>
      </c>
      <c r="K1370" s="71" t="s">
        <v>7035</v>
      </c>
      <c r="L1370" s="71" t="s">
        <v>7036</v>
      </c>
      <c r="M1370" s="71" t="s">
        <v>7037</v>
      </c>
      <c r="N1370" s="69" t="s">
        <v>57</v>
      </c>
      <c r="O1370" s="64">
        <v>1</v>
      </c>
      <c r="P1370" s="72">
        <v>19426.599999999999</v>
      </c>
      <c r="Q1370" s="69" t="s">
        <v>7033</v>
      </c>
      <c r="R1370" s="69"/>
      <c r="S1370" s="203" t="s">
        <v>882</v>
      </c>
      <c r="T1370" s="56">
        <v>40</v>
      </c>
      <c r="U1370" s="56">
        <v>3</v>
      </c>
    </row>
    <row r="1371" spans="1:21" ht="14.25" customHeight="1" x14ac:dyDescent="0.35">
      <c r="A1371" s="47">
        <v>1355</v>
      </c>
      <c r="B1371" s="69" t="s">
        <v>79</v>
      </c>
      <c r="C1371" s="69" t="s">
        <v>80</v>
      </c>
      <c r="D1371" s="70" t="s">
        <v>112</v>
      </c>
      <c r="E1371" s="69" t="s">
        <v>3766</v>
      </c>
      <c r="F1371" s="69" t="s">
        <v>148</v>
      </c>
      <c r="G1371" s="69" t="s">
        <v>140</v>
      </c>
      <c r="H1371" s="70">
        <v>2018</v>
      </c>
      <c r="I1371" s="69" t="s">
        <v>63</v>
      </c>
      <c r="J1371" s="69" t="s">
        <v>7038</v>
      </c>
      <c r="K1371" s="71" t="s">
        <v>7039</v>
      </c>
      <c r="L1371" s="71" t="s">
        <v>7040</v>
      </c>
      <c r="M1371" s="71" t="s">
        <v>7041</v>
      </c>
      <c r="N1371" s="69" t="s">
        <v>57</v>
      </c>
      <c r="O1371" s="64">
        <v>1</v>
      </c>
      <c r="P1371" s="72">
        <v>31708</v>
      </c>
      <c r="Q1371" s="69" t="s">
        <v>168</v>
      </c>
      <c r="R1371" s="69"/>
      <c r="S1371" s="203" t="s">
        <v>882</v>
      </c>
      <c r="T1371" s="56">
        <v>40</v>
      </c>
      <c r="U1371" s="56">
        <v>3</v>
      </c>
    </row>
    <row r="1372" spans="1:21" ht="14.25" customHeight="1" thickBot="1" x14ac:dyDescent="0.4">
      <c r="A1372" s="58">
        <v>1356</v>
      </c>
      <c r="B1372" s="69" t="s">
        <v>1745</v>
      </c>
      <c r="C1372" s="69" t="s">
        <v>1746</v>
      </c>
      <c r="D1372" s="70" t="s">
        <v>51</v>
      </c>
      <c r="E1372" s="69" t="s">
        <v>7042</v>
      </c>
      <c r="F1372" s="69">
        <v>4009</v>
      </c>
      <c r="G1372" s="69" t="s">
        <v>63</v>
      </c>
      <c r="H1372" s="70">
        <v>2019</v>
      </c>
      <c r="I1372" s="69" t="s">
        <v>63</v>
      </c>
      <c r="J1372" s="69" t="s">
        <v>7043</v>
      </c>
      <c r="K1372" s="71" t="s">
        <v>7044</v>
      </c>
      <c r="L1372" s="71" t="s">
        <v>7045</v>
      </c>
      <c r="M1372" s="71" t="s">
        <v>7046</v>
      </c>
      <c r="N1372" s="69" t="s">
        <v>57</v>
      </c>
      <c r="O1372" s="64">
        <v>1</v>
      </c>
      <c r="P1372" s="72">
        <v>795003</v>
      </c>
      <c r="Q1372" s="69" t="s">
        <v>7047</v>
      </c>
      <c r="R1372" s="69"/>
      <c r="S1372" s="203" t="s">
        <v>903</v>
      </c>
      <c r="T1372" s="56">
        <v>41</v>
      </c>
      <c r="U1372" s="56">
        <v>4</v>
      </c>
    </row>
    <row r="1373" spans="1:21" ht="14.25" customHeight="1" x14ac:dyDescent="0.35">
      <c r="A1373" s="47">
        <v>1357</v>
      </c>
      <c r="B1373" s="69" t="s">
        <v>1806</v>
      </c>
      <c r="C1373" s="69" t="s">
        <v>1807</v>
      </c>
      <c r="D1373" s="70" t="s">
        <v>51</v>
      </c>
      <c r="E1373" s="69" t="s">
        <v>7048</v>
      </c>
      <c r="F1373" s="69"/>
      <c r="G1373" s="69" t="s">
        <v>63</v>
      </c>
      <c r="H1373" s="70">
        <v>2024</v>
      </c>
      <c r="I1373" s="69" t="s">
        <v>63</v>
      </c>
      <c r="J1373" s="69" t="s">
        <v>63</v>
      </c>
      <c r="K1373" s="71" t="s">
        <v>63</v>
      </c>
      <c r="L1373" s="71" t="s">
        <v>63</v>
      </c>
      <c r="M1373" s="71" t="s">
        <v>63</v>
      </c>
      <c r="N1373" s="69" t="s">
        <v>44</v>
      </c>
      <c r="O1373" s="64">
        <v>1</v>
      </c>
      <c r="P1373" s="72">
        <v>484100</v>
      </c>
      <c r="Q1373" s="69" t="s">
        <v>7049</v>
      </c>
      <c r="R1373" s="69"/>
      <c r="S1373" s="203" t="s">
        <v>903</v>
      </c>
      <c r="T1373" s="56">
        <v>41</v>
      </c>
      <c r="U1373" s="56">
        <v>4</v>
      </c>
    </row>
    <row r="1374" spans="1:21" ht="14.25" customHeight="1" thickBot="1" x14ac:dyDescent="0.4">
      <c r="A1374" s="58">
        <v>1358</v>
      </c>
      <c r="B1374" s="69" t="s">
        <v>2064</v>
      </c>
      <c r="C1374" s="69" t="s">
        <v>2065</v>
      </c>
      <c r="D1374" s="70" t="s">
        <v>51</v>
      </c>
      <c r="E1374" s="69" t="s">
        <v>7050</v>
      </c>
      <c r="F1374" s="69" t="s">
        <v>7051</v>
      </c>
      <c r="G1374" s="69" t="s">
        <v>7052</v>
      </c>
      <c r="H1374" s="70">
        <v>2017</v>
      </c>
      <c r="I1374" s="69" t="s">
        <v>63</v>
      </c>
      <c r="J1374" s="69" t="s">
        <v>7053</v>
      </c>
      <c r="K1374" s="71" t="s">
        <v>7054</v>
      </c>
      <c r="L1374" s="71" t="s">
        <v>7055</v>
      </c>
      <c r="M1374" s="71" t="s">
        <v>63</v>
      </c>
      <c r="N1374" s="69" t="s">
        <v>57</v>
      </c>
      <c r="O1374" s="64">
        <v>1</v>
      </c>
      <c r="P1374" s="72">
        <v>434176</v>
      </c>
      <c r="Q1374" s="69" t="s">
        <v>7056</v>
      </c>
      <c r="R1374" s="69"/>
      <c r="S1374" s="203" t="s">
        <v>903</v>
      </c>
      <c r="T1374" s="56">
        <v>41</v>
      </c>
      <c r="U1374" s="56">
        <v>6</v>
      </c>
    </row>
    <row r="1375" spans="1:21" ht="14.25" customHeight="1" x14ac:dyDescent="0.35">
      <c r="A1375" s="47">
        <v>1359</v>
      </c>
      <c r="B1375" s="69" t="s">
        <v>70</v>
      </c>
      <c r="C1375" s="69" t="s">
        <v>71</v>
      </c>
      <c r="D1375" s="70" t="s">
        <v>51</v>
      </c>
      <c r="E1375" s="69" t="s">
        <v>7057</v>
      </c>
      <c r="F1375" s="69" t="s">
        <v>1595</v>
      </c>
      <c r="G1375" s="69" t="s">
        <v>140</v>
      </c>
      <c r="H1375" s="70">
        <v>2015</v>
      </c>
      <c r="I1375" s="69"/>
      <c r="J1375" s="69" t="s">
        <v>7058</v>
      </c>
      <c r="K1375" s="71" t="s">
        <v>7059</v>
      </c>
      <c r="L1375" s="71" t="s">
        <v>7060</v>
      </c>
      <c r="M1375" s="71" t="s">
        <v>7061</v>
      </c>
      <c r="N1375" s="69" t="s">
        <v>57</v>
      </c>
      <c r="O1375" s="64">
        <v>1</v>
      </c>
      <c r="P1375" s="72">
        <v>199440</v>
      </c>
      <c r="Q1375" s="69" t="s">
        <v>2624</v>
      </c>
      <c r="R1375" s="69"/>
      <c r="S1375" s="203" t="s">
        <v>903</v>
      </c>
      <c r="T1375" s="56">
        <v>41</v>
      </c>
      <c r="U1375" s="56">
        <v>4</v>
      </c>
    </row>
    <row r="1376" spans="1:21" ht="14.25" customHeight="1" thickBot="1" x14ac:dyDescent="0.4">
      <c r="A1376" s="58">
        <v>1360</v>
      </c>
      <c r="B1376" s="69" t="s">
        <v>70</v>
      </c>
      <c r="C1376" s="69" t="s">
        <v>71</v>
      </c>
      <c r="D1376" s="70" t="s">
        <v>97</v>
      </c>
      <c r="E1376" s="69" t="s">
        <v>7062</v>
      </c>
      <c r="F1376" s="69"/>
      <c r="G1376" s="69" t="s">
        <v>415</v>
      </c>
      <c r="H1376" s="70">
        <v>2017</v>
      </c>
      <c r="I1376" s="69" t="s">
        <v>63</v>
      </c>
      <c r="J1376" s="69" t="s">
        <v>7063</v>
      </c>
      <c r="K1376" s="71" t="s">
        <v>7064</v>
      </c>
      <c r="L1376" s="71" t="s">
        <v>7065</v>
      </c>
      <c r="M1376" s="71" t="s">
        <v>63</v>
      </c>
      <c r="N1376" s="69" t="s">
        <v>57</v>
      </c>
      <c r="O1376" s="64">
        <v>1</v>
      </c>
      <c r="P1376" s="72">
        <v>456016</v>
      </c>
      <c r="Q1376" s="69" t="s">
        <v>7066</v>
      </c>
      <c r="R1376" s="69"/>
      <c r="S1376" s="203" t="s">
        <v>903</v>
      </c>
      <c r="T1376" s="56">
        <v>41</v>
      </c>
      <c r="U1376" s="56">
        <v>4</v>
      </c>
    </row>
    <row r="1377" spans="1:21" ht="14.25" customHeight="1" x14ac:dyDescent="0.35">
      <c r="A1377" s="47">
        <v>1361</v>
      </c>
      <c r="B1377" s="69" t="s">
        <v>79</v>
      </c>
      <c r="C1377" s="69" t="s">
        <v>80</v>
      </c>
      <c r="D1377" s="70" t="s">
        <v>51</v>
      </c>
      <c r="E1377" s="69" t="s">
        <v>414</v>
      </c>
      <c r="F1377" s="69" t="s">
        <v>217</v>
      </c>
      <c r="G1377" s="69" t="s">
        <v>415</v>
      </c>
      <c r="H1377" s="70">
        <v>2021</v>
      </c>
      <c r="I1377" s="69" t="s">
        <v>63</v>
      </c>
      <c r="J1377" s="69" t="s">
        <v>7067</v>
      </c>
      <c r="K1377" s="71" t="s">
        <v>7068</v>
      </c>
      <c r="L1377" s="71" t="s">
        <v>7069</v>
      </c>
      <c r="M1377" s="71" t="s">
        <v>7070</v>
      </c>
      <c r="N1377" s="69" t="s">
        <v>57</v>
      </c>
      <c r="O1377" s="64">
        <v>1</v>
      </c>
      <c r="P1377" s="72">
        <v>33100</v>
      </c>
      <c r="Q1377" s="69" t="s">
        <v>420</v>
      </c>
      <c r="R1377" s="69"/>
      <c r="S1377" s="203" t="s">
        <v>903</v>
      </c>
      <c r="T1377" s="56">
        <v>41</v>
      </c>
      <c r="U1377" s="56">
        <v>3</v>
      </c>
    </row>
    <row r="1378" spans="1:21" ht="14.25" customHeight="1" thickBot="1" x14ac:dyDescent="0.4">
      <c r="A1378" s="58">
        <v>1362</v>
      </c>
      <c r="B1378" s="69" t="s">
        <v>79</v>
      </c>
      <c r="C1378" s="69" t="s">
        <v>80</v>
      </c>
      <c r="D1378" s="70" t="s">
        <v>59</v>
      </c>
      <c r="E1378" s="69" t="s">
        <v>414</v>
      </c>
      <c r="F1378" s="69" t="s">
        <v>217</v>
      </c>
      <c r="G1378" s="69" t="s">
        <v>415</v>
      </c>
      <c r="H1378" s="70">
        <v>2021</v>
      </c>
      <c r="I1378" s="69" t="s">
        <v>63</v>
      </c>
      <c r="J1378" s="69" t="s">
        <v>7071</v>
      </c>
      <c r="K1378" s="71" t="s">
        <v>7072</v>
      </c>
      <c r="L1378" s="71" t="s">
        <v>7073</v>
      </c>
      <c r="M1378" s="71" t="s">
        <v>7074</v>
      </c>
      <c r="N1378" s="69" t="s">
        <v>57</v>
      </c>
      <c r="O1378" s="64">
        <v>1</v>
      </c>
      <c r="P1378" s="72">
        <v>33100</v>
      </c>
      <c r="Q1378" s="69" t="s">
        <v>420</v>
      </c>
      <c r="R1378" s="69"/>
      <c r="S1378" s="203" t="s">
        <v>903</v>
      </c>
      <c r="T1378" s="56">
        <v>41</v>
      </c>
      <c r="U1378" s="56">
        <v>3</v>
      </c>
    </row>
    <row r="1379" spans="1:21" ht="14.25" customHeight="1" x14ac:dyDescent="0.35">
      <c r="A1379" s="47">
        <v>1363</v>
      </c>
      <c r="B1379" s="69" t="s">
        <v>79</v>
      </c>
      <c r="C1379" s="69" t="s">
        <v>80</v>
      </c>
      <c r="D1379" s="70" t="s">
        <v>97</v>
      </c>
      <c r="E1379" s="69" t="s">
        <v>414</v>
      </c>
      <c r="F1379" s="69" t="s">
        <v>217</v>
      </c>
      <c r="G1379" s="69" t="s">
        <v>415</v>
      </c>
      <c r="H1379" s="70">
        <v>2021</v>
      </c>
      <c r="I1379" s="69" t="s">
        <v>63</v>
      </c>
      <c r="J1379" s="69" t="s">
        <v>7075</v>
      </c>
      <c r="K1379" s="71" t="s">
        <v>7076</v>
      </c>
      <c r="L1379" s="71" t="s">
        <v>7077</v>
      </c>
      <c r="M1379" s="71" t="s">
        <v>7078</v>
      </c>
      <c r="N1379" s="69" t="s">
        <v>57</v>
      </c>
      <c r="O1379" s="64">
        <v>1</v>
      </c>
      <c r="P1379" s="72">
        <v>33100</v>
      </c>
      <c r="Q1379" s="69" t="s">
        <v>420</v>
      </c>
      <c r="R1379" s="69"/>
      <c r="S1379" s="203" t="s">
        <v>903</v>
      </c>
      <c r="T1379" s="56">
        <v>41</v>
      </c>
      <c r="U1379" s="56">
        <v>3</v>
      </c>
    </row>
    <row r="1380" spans="1:21" ht="14.25" customHeight="1" thickBot="1" x14ac:dyDescent="0.4">
      <c r="A1380" s="58">
        <v>1364</v>
      </c>
      <c r="B1380" s="69" t="s">
        <v>79</v>
      </c>
      <c r="C1380" s="69" t="s">
        <v>80</v>
      </c>
      <c r="D1380" s="70" t="s">
        <v>101</v>
      </c>
      <c r="E1380" s="69" t="s">
        <v>414</v>
      </c>
      <c r="F1380" s="69" t="s">
        <v>217</v>
      </c>
      <c r="G1380" s="69" t="s">
        <v>415</v>
      </c>
      <c r="H1380" s="70">
        <v>2021</v>
      </c>
      <c r="I1380" s="69" t="s">
        <v>63</v>
      </c>
      <c r="J1380" s="69" t="s">
        <v>7079</v>
      </c>
      <c r="K1380" s="71" t="s">
        <v>7080</v>
      </c>
      <c r="L1380" s="71" t="s">
        <v>7081</v>
      </c>
      <c r="M1380" s="71" t="s">
        <v>7082</v>
      </c>
      <c r="N1380" s="69" t="s">
        <v>57</v>
      </c>
      <c r="O1380" s="64">
        <v>1</v>
      </c>
      <c r="P1380" s="72">
        <v>33100</v>
      </c>
      <c r="Q1380" s="69" t="s">
        <v>420</v>
      </c>
      <c r="R1380" s="69"/>
      <c r="S1380" s="203" t="s">
        <v>903</v>
      </c>
      <c r="T1380" s="56">
        <v>41</v>
      </c>
      <c r="U1380" s="56">
        <v>3</v>
      </c>
    </row>
    <row r="1381" spans="1:21" ht="14.25" customHeight="1" x14ac:dyDescent="0.35">
      <c r="A1381" s="47">
        <v>1365</v>
      </c>
      <c r="B1381" s="69" t="s">
        <v>79</v>
      </c>
      <c r="C1381" s="69" t="s">
        <v>80</v>
      </c>
      <c r="D1381" s="70" t="s">
        <v>107</v>
      </c>
      <c r="E1381" s="69" t="s">
        <v>414</v>
      </c>
      <c r="F1381" s="69" t="s">
        <v>217</v>
      </c>
      <c r="G1381" s="69" t="s">
        <v>415</v>
      </c>
      <c r="H1381" s="70">
        <v>2021</v>
      </c>
      <c r="I1381" s="69" t="s">
        <v>63</v>
      </c>
      <c r="J1381" s="69" t="s">
        <v>7083</v>
      </c>
      <c r="K1381" s="71" t="s">
        <v>7084</v>
      </c>
      <c r="L1381" s="71" t="s">
        <v>7085</v>
      </c>
      <c r="M1381" s="71" t="s">
        <v>7086</v>
      </c>
      <c r="N1381" s="69" t="s">
        <v>57</v>
      </c>
      <c r="O1381" s="64">
        <v>1</v>
      </c>
      <c r="P1381" s="72">
        <v>33100</v>
      </c>
      <c r="Q1381" s="69" t="s">
        <v>420</v>
      </c>
      <c r="R1381" s="69"/>
      <c r="S1381" s="203" t="s">
        <v>903</v>
      </c>
      <c r="T1381" s="56">
        <v>41</v>
      </c>
      <c r="U1381" s="56">
        <v>3</v>
      </c>
    </row>
    <row r="1382" spans="1:21" ht="14.25" customHeight="1" thickBot="1" x14ac:dyDescent="0.4">
      <c r="A1382" s="58">
        <v>1366</v>
      </c>
      <c r="B1382" s="69" t="s">
        <v>79</v>
      </c>
      <c r="C1382" s="69" t="s">
        <v>80</v>
      </c>
      <c r="D1382" s="70" t="s">
        <v>112</v>
      </c>
      <c r="E1382" s="69" t="s">
        <v>414</v>
      </c>
      <c r="F1382" s="69" t="s">
        <v>217</v>
      </c>
      <c r="G1382" s="69" t="s">
        <v>415</v>
      </c>
      <c r="H1382" s="70">
        <v>2021</v>
      </c>
      <c r="I1382" s="69" t="s">
        <v>63</v>
      </c>
      <c r="J1382" s="69" t="s">
        <v>7087</v>
      </c>
      <c r="K1382" s="71" t="s">
        <v>7088</v>
      </c>
      <c r="L1382" s="71" t="s">
        <v>7089</v>
      </c>
      <c r="M1382" s="71" t="s">
        <v>7090</v>
      </c>
      <c r="N1382" s="69" t="s">
        <v>57</v>
      </c>
      <c r="O1382" s="64">
        <v>1</v>
      </c>
      <c r="P1382" s="72">
        <v>33100</v>
      </c>
      <c r="Q1382" s="69" t="s">
        <v>420</v>
      </c>
      <c r="R1382" s="69"/>
      <c r="S1382" s="203" t="s">
        <v>903</v>
      </c>
      <c r="T1382" s="56">
        <v>41</v>
      </c>
      <c r="U1382" s="56">
        <v>3</v>
      </c>
    </row>
    <row r="1383" spans="1:21" ht="14.25" customHeight="1" x14ac:dyDescent="0.35">
      <c r="A1383" s="47">
        <v>1367</v>
      </c>
      <c r="B1383" s="69" t="s">
        <v>79</v>
      </c>
      <c r="C1383" s="69" t="s">
        <v>80</v>
      </c>
      <c r="D1383" s="70" t="s">
        <v>116</v>
      </c>
      <c r="E1383" s="69" t="s">
        <v>414</v>
      </c>
      <c r="F1383" s="69" t="s">
        <v>217</v>
      </c>
      <c r="G1383" s="69" t="s">
        <v>415</v>
      </c>
      <c r="H1383" s="70">
        <v>2021</v>
      </c>
      <c r="I1383" s="69" t="s">
        <v>63</v>
      </c>
      <c r="J1383" s="69" t="s">
        <v>7091</v>
      </c>
      <c r="K1383" s="71" t="s">
        <v>7092</v>
      </c>
      <c r="L1383" s="71" t="s">
        <v>7093</v>
      </c>
      <c r="M1383" s="71" t="s">
        <v>7094</v>
      </c>
      <c r="N1383" s="69" t="s">
        <v>57</v>
      </c>
      <c r="O1383" s="64">
        <v>1</v>
      </c>
      <c r="P1383" s="72">
        <v>33100</v>
      </c>
      <c r="Q1383" s="69" t="s">
        <v>420</v>
      </c>
      <c r="R1383" s="69"/>
      <c r="S1383" s="203" t="s">
        <v>903</v>
      </c>
      <c r="T1383" s="56">
        <v>41</v>
      </c>
      <c r="U1383" s="56">
        <v>3</v>
      </c>
    </row>
    <row r="1384" spans="1:21" ht="14.25" customHeight="1" thickBot="1" x14ac:dyDescent="0.4">
      <c r="A1384" s="58">
        <v>1368</v>
      </c>
      <c r="B1384" s="69" t="s">
        <v>79</v>
      </c>
      <c r="C1384" s="69" t="s">
        <v>80</v>
      </c>
      <c r="D1384" s="70" t="s">
        <v>841</v>
      </c>
      <c r="E1384" s="69" t="s">
        <v>414</v>
      </c>
      <c r="F1384" s="69" t="s">
        <v>217</v>
      </c>
      <c r="G1384" s="69" t="s">
        <v>415</v>
      </c>
      <c r="H1384" s="70">
        <v>2021</v>
      </c>
      <c r="I1384" s="69" t="s">
        <v>63</v>
      </c>
      <c r="J1384" s="69" t="s">
        <v>7095</v>
      </c>
      <c r="K1384" s="71" t="s">
        <v>7096</v>
      </c>
      <c r="L1384" s="71" t="s">
        <v>7097</v>
      </c>
      <c r="M1384" s="71" t="s">
        <v>7098</v>
      </c>
      <c r="N1384" s="69" t="s">
        <v>57</v>
      </c>
      <c r="O1384" s="64">
        <v>1</v>
      </c>
      <c r="P1384" s="72">
        <v>33100</v>
      </c>
      <c r="Q1384" s="69" t="s">
        <v>420</v>
      </c>
      <c r="R1384" s="69"/>
      <c r="S1384" s="203" t="s">
        <v>903</v>
      </c>
      <c r="T1384" s="56">
        <v>41</v>
      </c>
      <c r="U1384" s="56">
        <v>3</v>
      </c>
    </row>
    <row r="1385" spans="1:21" ht="14.25" customHeight="1" x14ac:dyDescent="0.35">
      <c r="A1385" s="47">
        <v>1369</v>
      </c>
      <c r="B1385" s="69" t="s">
        <v>79</v>
      </c>
      <c r="C1385" s="69" t="s">
        <v>80</v>
      </c>
      <c r="D1385" s="70" t="s">
        <v>904</v>
      </c>
      <c r="E1385" s="69" t="s">
        <v>414</v>
      </c>
      <c r="F1385" s="69" t="s">
        <v>217</v>
      </c>
      <c r="G1385" s="69" t="s">
        <v>415</v>
      </c>
      <c r="H1385" s="70">
        <v>2021</v>
      </c>
      <c r="I1385" s="69" t="s">
        <v>63</v>
      </c>
      <c r="J1385" s="69" t="s">
        <v>7099</v>
      </c>
      <c r="K1385" s="71" t="s">
        <v>7100</v>
      </c>
      <c r="L1385" s="71" t="s">
        <v>7101</v>
      </c>
      <c r="M1385" s="71" t="s">
        <v>7102</v>
      </c>
      <c r="N1385" s="69" t="s">
        <v>57</v>
      </c>
      <c r="O1385" s="64">
        <v>1</v>
      </c>
      <c r="P1385" s="72">
        <v>33100</v>
      </c>
      <c r="Q1385" s="69" t="s">
        <v>420</v>
      </c>
      <c r="R1385" s="69"/>
      <c r="S1385" s="203" t="s">
        <v>903</v>
      </c>
      <c r="T1385" s="56">
        <v>41</v>
      </c>
      <c r="U1385" s="56">
        <v>3</v>
      </c>
    </row>
    <row r="1386" spans="1:21" ht="14.25" customHeight="1" thickBot="1" x14ac:dyDescent="0.4">
      <c r="A1386" s="58">
        <v>1370</v>
      </c>
      <c r="B1386" s="69" t="s">
        <v>79</v>
      </c>
      <c r="C1386" s="69" t="s">
        <v>80</v>
      </c>
      <c r="D1386" s="70" t="s">
        <v>122</v>
      </c>
      <c r="E1386" s="69" t="s">
        <v>414</v>
      </c>
      <c r="F1386" s="69" t="s">
        <v>217</v>
      </c>
      <c r="G1386" s="69" t="s">
        <v>415</v>
      </c>
      <c r="H1386" s="70">
        <v>2021</v>
      </c>
      <c r="I1386" s="69" t="s">
        <v>63</v>
      </c>
      <c r="J1386" s="69" t="s">
        <v>7103</v>
      </c>
      <c r="K1386" s="71" t="s">
        <v>7104</v>
      </c>
      <c r="L1386" s="71" t="s">
        <v>7105</v>
      </c>
      <c r="M1386" s="71" t="s">
        <v>7106</v>
      </c>
      <c r="N1386" s="69" t="s">
        <v>57</v>
      </c>
      <c r="O1386" s="64">
        <v>1</v>
      </c>
      <c r="P1386" s="72">
        <v>33100</v>
      </c>
      <c r="Q1386" s="69" t="s">
        <v>420</v>
      </c>
      <c r="R1386" s="69"/>
      <c r="S1386" s="203" t="s">
        <v>903</v>
      </c>
      <c r="T1386" s="56">
        <v>41</v>
      </c>
      <c r="U1386" s="56">
        <v>3</v>
      </c>
    </row>
    <row r="1387" spans="1:21" ht="14.25" customHeight="1" x14ac:dyDescent="0.35">
      <c r="A1387" s="47">
        <v>1371</v>
      </c>
      <c r="B1387" s="69" t="s">
        <v>79</v>
      </c>
      <c r="C1387" s="69" t="s">
        <v>80</v>
      </c>
      <c r="D1387" s="70" t="s">
        <v>126</v>
      </c>
      <c r="E1387" s="69" t="s">
        <v>414</v>
      </c>
      <c r="F1387" s="69" t="s">
        <v>217</v>
      </c>
      <c r="G1387" s="69" t="s">
        <v>415</v>
      </c>
      <c r="H1387" s="70">
        <v>2021</v>
      </c>
      <c r="I1387" s="69" t="s">
        <v>63</v>
      </c>
      <c r="J1387" s="69" t="s">
        <v>7107</v>
      </c>
      <c r="K1387" s="71" t="s">
        <v>7108</v>
      </c>
      <c r="L1387" s="71" t="s">
        <v>7109</v>
      </c>
      <c r="M1387" s="71" t="s">
        <v>7110</v>
      </c>
      <c r="N1387" s="69" t="s">
        <v>57</v>
      </c>
      <c r="O1387" s="64">
        <v>1</v>
      </c>
      <c r="P1387" s="72">
        <v>33100</v>
      </c>
      <c r="Q1387" s="69" t="s">
        <v>420</v>
      </c>
      <c r="R1387" s="69"/>
      <c r="S1387" s="203" t="s">
        <v>903</v>
      </c>
      <c r="T1387" s="56">
        <v>41</v>
      </c>
      <c r="U1387" s="56">
        <v>3</v>
      </c>
    </row>
    <row r="1388" spans="1:21" ht="14.25" customHeight="1" thickBot="1" x14ac:dyDescent="0.4">
      <c r="A1388" s="58">
        <v>1372</v>
      </c>
      <c r="B1388" s="69" t="s">
        <v>79</v>
      </c>
      <c r="C1388" s="69" t="s">
        <v>80</v>
      </c>
      <c r="D1388" s="70" t="s">
        <v>132</v>
      </c>
      <c r="E1388" s="69" t="s">
        <v>414</v>
      </c>
      <c r="F1388" s="69" t="s">
        <v>217</v>
      </c>
      <c r="G1388" s="69" t="s">
        <v>415</v>
      </c>
      <c r="H1388" s="70">
        <v>2021</v>
      </c>
      <c r="I1388" s="69" t="s">
        <v>63</v>
      </c>
      <c r="J1388" s="69" t="s">
        <v>7111</v>
      </c>
      <c r="K1388" s="71" t="s">
        <v>7112</v>
      </c>
      <c r="L1388" s="71" t="s">
        <v>7113</v>
      </c>
      <c r="M1388" s="71" t="s">
        <v>7114</v>
      </c>
      <c r="N1388" s="69" t="s">
        <v>57</v>
      </c>
      <c r="O1388" s="64">
        <v>1</v>
      </c>
      <c r="P1388" s="72">
        <v>33100</v>
      </c>
      <c r="Q1388" s="69" t="s">
        <v>420</v>
      </c>
      <c r="R1388" s="69"/>
      <c r="S1388" s="203" t="s">
        <v>903</v>
      </c>
      <c r="T1388" s="56">
        <v>41</v>
      </c>
      <c r="U1388" s="56">
        <v>3</v>
      </c>
    </row>
    <row r="1389" spans="1:21" ht="14.25" customHeight="1" x14ac:dyDescent="0.35">
      <c r="A1389" s="47">
        <v>1373</v>
      </c>
      <c r="B1389" s="69" t="s">
        <v>79</v>
      </c>
      <c r="C1389" s="69" t="s">
        <v>80</v>
      </c>
      <c r="D1389" s="70" t="s">
        <v>137</v>
      </c>
      <c r="E1389" s="69" t="s">
        <v>414</v>
      </c>
      <c r="F1389" s="69" t="s">
        <v>217</v>
      </c>
      <c r="G1389" s="69" t="s">
        <v>415</v>
      </c>
      <c r="H1389" s="70">
        <v>2021</v>
      </c>
      <c r="I1389" s="69" t="s">
        <v>63</v>
      </c>
      <c r="J1389" s="69" t="s">
        <v>7115</v>
      </c>
      <c r="K1389" s="71" t="s">
        <v>7116</v>
      </c>
      <c r="L1389" s="71" t="s">
        <v>7117</v>
      </c>
      <c r="M1389" s="71" t="s">
        <v>7118</v>
      </c>
      <c r="N1389" s="69" t="s">
        <v>57</v>
      </c>
      <c r="O1389" s="64">
        <v>1</v>
      </c>
      <c r="P1389" s="72">
        <v>33100</v>
      </c>
      <c r="Q1389" s="69" t="s">
        <v>420</v>
      </c>
      <c r="R1389" s="69"/>
      <c r="S1389" s="203" t="s">
        <v>903</v>
      </c>
      <c r="T1389" s="56">
        <v>41</v>
      </c>
      <c r="U1389" s="56">
        <v>3</v>
      </c>
    </row>
    <row r="1390" spans="1:21" ht="14.25" customHeight="1" thickBot="1" x14ac:dyDescent="0.4">
      <c r="A1390" s="58">
        <v>1374</v>
      </c>
      <c r="B1390" s="69" t="s">
        <v>79</v>
      </c>
      <c r="C1390" s="69" t="s">
        <v>80</v>
      </c>
      <c r="D1390" s="70" t="s">
        <v>146</v>
      </c>
      <c r="E1390" s="69" t="s">
        <v>414</v>
      </c>
      <c r="F1390" s="69" t="s">
        <v>217</v>
      </c>
      <c r="G1390" s="69" t="s">
        <v>415</v>
      </c>
      <c r="H1390" s="70">
        <v>2021</v>
      </c>
      <c r="I1390" s="69" t="s">
        <v>63</v>
      </c>
      <c r="J1390" s="69" t="s">
        <v>7119</v>
      </c>
      <c r="K1390" s="71" t="s">
        <v>7120</v>
      </c>
      <c r="L1390" s="71" t="s">
        <v>7121</v>
      </c>
      <c r="M1390" s="71" t="s">
        <v>7122</v>
      </c>
      <c r="N1390" s="69" t="s">
        <v>57</v>
      </c>
      <c r="O1390" s="64">
        <v>1</v>
      </c>
      <c r="P1390" s="72">
        <v>33100</v>
      </c>
      <c r="Q1390" s="69" t="s">
        <v>420</v>
      </c>
      <c r="R1390" s="69"/>
      <c r="S1390" s="203" t="s">
        <v>903</v>
      </c>
      <c r="T1390" s="56">
        <v>41</v>
      </c>
      <c r="U1390" s="56">
        <v>3</v>
      </c>
    </row>
    <row r="1391" spans="1:21" ht="14.25" customHeight="1" x14ac:dyDescent="0.35">
      <c r="A1391" s="47">
        <v>1375</v>
      </c>
      <c r="B1391" s="69" t="s">
        <v>79</v>
      </c>
      <c r="C1391" s="69" t="s">
        <v>80</v>
      </c>
      <c r="D1391" s="70" t="s">
        <v>154</v>
      </c>
      <c r="E1391" s="69" t="s">
        <v>414</v>
      </c>
      <c r="F1391" s="69" t="s">
        <v>217</v>
      </c>
      <c r="G1391" s="69" t="s">
        <v>415</v>
      </c>
      <c r="H1391" s="70">
        <v>2021</v>
      </c>
      <c r="I1391" s="69" t="s">
        <v>63</v>
      </c>
      <c r="J1391" s="69" t="s">
        <v>7123</v>
      </c>
      <c r="K1391" s="71" t="s">
        <v>7124</v>
      </c>
      <c r="L1391" s="71" t="s">
        <v>7125</v>
      </c>
      <c r="M1391" s="71" t="s">
        <v>7126</v>
      </c>
      <c r="N1391" s="69" t="s">
        <v>57</v>
      </c>
      <c r="O1391" s="64">
        <v>1</v>
      </c>
      <c r="P1391" s="72">
        <v>33100</v>
      </c>
      <c r="Q1391" s="69" t="s">
        <v>420</v>
      </c>
      <c r="R1391" s="69"/>
      <c r="S1391" s="203" t="s">
        <v>903</v>
      </c>
      <c r="T1391" s="56">
        <v>41</v>
      </c>
      <c r="U1391" s="56">
        <v>3</v>
      </c>
    </row>
    <row r="1392" spans="1:21" ht="14.25" customHeight="1" thickBot="1" x14ac:dyDescent="0.4">
      <c r="A1392" s="58">
        <v>1376</v>
      </c>
      <c r="B1392" s="69" t="s">
        <v>79</v>
      </c>
      <c r="C1392" s="69" t="s">
        <v>80</v>
      </c>
      <c r="D1392" s="70" t="s">
        <v>161</v>
      </c>
      <c r="E1392" s="69" t="s">
        <v>2524</v>
      </c>
      <c r="F1392" s="69" t="s">
        <v>217</v>
      </c>
      <c r="G1392" s="69" t="s">
        <v>2525</v>
      </c>
      <c r="H1392" s="70">
        <v>2020</v>
      </c>
      <c r="I1392" s="69" t="s">
        <v>63</v>
      </c>
      <c r="J1392" s="69" t="s">
        <v>7127</v>
      </c>
      <c r="K1392" s="71" t="s">
        <v>7128</v>
      </c>
      <c r="L1392" s="71" t="s">
        <v>7129</v>
      </c>
      <c r="M1392" s="71" t="s">
        <v>7130</v>
      </c>
      <c r="N1392" s="69" t="s">
        <v>57</v>
      </c>
      <c r="O1392" s="64">
        <v>1</v>
      </c>
      <c r="P1392" s="72">
        <v>33000</v>
      </c>
      <c r="Q1392" s="69" t="s">
        <v>2530</v>
      </c>
      <c r="R1392" s="69"/>
      <c r="S1392" s="203" t="s">
        <v>903</v>
      </c>
      <c r="T1392" s="56">
        <v>41</v>
      </c>
      <c r="U1392" s="56">
        <v>3</v>
      </c>
    </row>
    <row r="1393" spans="1:21" ht="14.25" customHeight="1" x14ac:dyDescent="0.35">
      <c r="A1393" s="47">
        <v>1377</v>
      </c>
      <c r="B1393" s="69" t="s">
        <v>79</v>
      </c>
      <c r="C1393" s="69" t="s">
        <v>80</v>
      </c>
      <c r="D1393" s="70" t="s">
        <v>169</v>
      </c>
      <c r="E1393" s="69" t="s">
        <v>2524</v>
      </c>
      <c r="F1393" s="69" t="s">
        <v>217</v>
      </c>
      <c r="G1393" s="69" t="s">
        <v>2525</v>
      </c>
      <c r="H1393" s="70">
        <v>2020</v>
      </c>
      <c r="I1393" s="69" t="s">
        <v>63</v>
      </c>
      <c r="J1393" s="69" t="s">
        <v>7131</v>
      </c>
      <c r="K1393" s="71" t="s">
        <v>7132</v>
      </c>
      <c r="L1393" s="71" t="s">
        <v>7133</v>
      </c>
      <c r="M1393" s="71" t="s">
        <v>7134</v>
      </c>
      <c r="N1393" s="69" t="s">
        <v>57</v>
      </c>
      <c r="O1393" s="64">
        <v>1</v>
      </c>
      <c r="P1393" s="72">
        <v>33000</v>
      </c>
      <c r="Q1393" s="69" t="s">
        <v>2530</v>
      </c>
      <c r="R1393" s="69"/>
      <c r="S1393" s="203" t="s">
        <v>903</v>
      </c>
      <c r="T1393" s="56">
        <v>41</v>
      </c>
      <c r="U1393" s="56">
        <v>3</v>
      </c>
    </row>
    <row r="1394" spans="1:21" ht="14.25" customHeight="1" thickBot="1" x14ac:dyDescent="0.4">
      <c r="A1394" s="58">
        <v>1378</v>
      </c>
      <c r="B1394" s="69" t="s">
        <v>79</v>
      </c>
      <c r="C1394" s="69" t="s">
        <v>80</v>
      </c>
      <c r="D1394" s="70" t="s">
        <v>176</v>
      </c>
      <c r="E1394" s="69" t="s">
        <v>2524</v>
      </c>
      <c r="F1394" s="69" t="s">
        <v>217</v>
      </c>
      <c r="G1394" s="69" t="s">
        <v>2525</v>
      </c>
      <c r="H1394" s="70">
        <v>2020</v>
      </c>
      <c r="I1394" s="69" t="s">
        <v>63</v>
      </c>
      <c r="J1394" s="69" t="s">
        <v>7135</v>
      </c>
      <c r="K1394" s="71" t="s">
        <v>7136</v>
      </c>
      <c r="L1394" s="71" t="s">
        <v>7137</v>
      </c>
      <c r="M1394" s="71" t="s">
        <v>7138</v>
      </c>
      <c r="N1394" s="69" t="s">
        <v>57</v>
      </c>
      <c r="O1394" s="64">
        <v>1</v>
      </c>
      <c r="P1394" s="72">
        <v>33000</v>
      </c>
      <c r="Q1394" s="69" t="s">
        <v>2530</v>
      </c>
      <c r="R1394" s="69"/>
      <c r="S1394" s="203" t="s">
        <v>903</v>
      </c>
      <c r="T1394" s="56">
        <v>41</v>
      </c>
      <c r="U1394" s="56">
        <v>3</v>
      </c>
    </row>
    <row r="1395" spans="1:21" ht="14.25" customHeight="1" x14ac:dyDescent="0.35">
      <c r="A1395" s="47">
        <v>1379</v>
      </c>
      <c r="B1395" s="69" t="s">
        <v>79</v>
      </c>
      <c r="C1395" s="69" t="s">
        <v>80</v>
      </c>
      <c r="D1395" s="70" t="s">
        <v>1236</v>
      </c>
      <c r="E1395" s="69" t="s">
        <v>2524</v>
      </c>
      <c r="F1395" s="69" t="s">
        <v>217</v>
      </c>
      <c r="G1395" s="69" t="s">
        <v>2525</v>
      </c>
      <c r="H1395" s="70">
        <v>2020</v>
      </c>
      <c r="I1395" s="69" t="s">
        <v>63</v>
      </c>
      <c r="J1395" s="69" t="s">
        <v>7139</v>
      </c>
      <c r="K1395" s="71" t="s">
        <v>7140</v>
      </c>
      <c r="L1395" s="71" t="s">
        <v>7141</v>
      </c>
      <c r="M1395" s="71" t="s">
        <v>7142</v>
      </c>
      <c r="N1395" s="69" t="s">
        <v>57</v>
      </c>
      <c r="O1395" s="64">
        <v>1</v>
      </c>
      <c r="P1395" s="72">
        <v>33000</v>
      </c>
      <c r="Q1395" s="69" t="s">
        <v>2530</v>
      </c>
      <c r="R1395" s="69"/>
      <c r="S1395" s="203" t="s">
        <v>903</v>
      </c>
      <c r="T1395" s="56">
        <v>41</v>
      </c>
      <c r="U1395" s="56">
        <v>3</v>
      </c>
    </row>
    <row r="1396" spans="1:21" ht="14.25" customHeight="1" thickBot="1" x14ac:dyDescent="0.4">
      <c r="A1396" s="58">
        <v>1380</v>
      </c>
      <c r="B1396" s="69" t="s">
        <v>79</v>
      </c>
      <c r="C1396" s="69" t="s">
        <v>80</v>
      </c>
      <c r="D1396" s="70" t="s">
        <v>181</v>
      </c>
      <c r="E1396" s="69" t="s">
        <v>2524</v>
      </c>
      <c r="F1396" s="69" t="s">
        <v>217</v>
      </c>
      <c r="G1396" s="69" t="s">
        <v>2525</v>
      </c>
      <c r="H1396" s="70">
        <v>2020</v>
      </c>
      <c r="I1396" s="69" t="s">
        <v>63</v>
      </c>
      <c r="J1396" s="69" t="s">
        <v>7143</v>
      </c>
      <c r="K1396" s="71" t="s">
        <v>7144</v>
      </c>
      <c r="L1396" s="71" t="s">
        <v>7145</v>
      </c>
      <c r="M1396" s="71" t="s">
        <v>7146</v>
      </c>
      <c r="N1396" s="69" t="s">
        <v>57</v>
      </c>
      <c r="O1396" s="64">
        <v>1</v>
      </c>
      <c r="P1396" s="72">
        <v>33000</v>
      </c>
      <c r="Q1396" s="69" t="s">
        <v>2530</v>
      </c>
      <c r="R1396" s="69"/>
      <c r="S1396" s="203" t="s">
        <v>903</v>
      </c>
      <c r="T1396" s="56">
        <v>41</v>
      </c>
      <c r="U1396" s="56">
        <v>3</v>
      </c>
    </row>
    <row r="1397" spans="1:21" ht="14.25" customHeight="1" x14ac:dyDescent="0.35">
      <c r="A1397" s="47">
        <v>1381</v>
      </c>
      <c r="B1397" s="69" t="s">
        <v>79</v>
      </c>
      <c r="C1397" s="69" t="s">
        <v>80</v>
      </c>
      <c r="D1397" s="70" t="s">
        <v>187</v>
      </c>
      <c r="E1397" s="69" t="s">
        <v>2524</v>
      </c>
      <c r="F1397" s="69" t="s">
        <v>217</v>
      </c>
      <c r="G1397" s="69" t="s">
        <v>2525</v>
      </c>
      <c r="H1397" s="70">
        <v>2020</v>
      </c>
      <c r="I1397" s="69" t="s">
        <v>63</v>
      </c>
      <c r="J1397" s="69" t="s">
        <v>7147</v>
      </c>
      <c r="K1397" s="71" t="s">
        <v>7148</v>
      </c>
      <c r="L1397" s="71" t="s">
        <v>7149</v>
      </c>
      <c r="M1397" s="71" t="s">
        <v>7150</v>
      </c>
      <c r="N1397" s="69" t="s">
        <v>57</v>
      </c>
      <c r="O1397" s="64">
        <v>1</v>
      </c>
      <c r="P1397" s="72">
        <v>33000</v>
      </c>
      <c r="Q1397" s="69" t="s">
        <v>2530</v>
      </c>
      <c r="R1397" s="69"/>
      <c r="S1397" s="203" t="s">
        <v>903</v>
      </c>
      <c r="T1397" s="56">
        <v>41</v>
      </c>
      <c r="U1397" s="56">
        <v>3</v>
      </c>
    </row>
    <row r="1398" spans="1:21" ht="14.25" customHeight="1" thickBot="1" x14ac:dyDescent="0.4">
      <c r="A1398" s="58">
        <v>1382</v>
      </c>
      <c r="B1398" s="69" t="s">
        <v>79</v>
      </c>
      <c r="C1398" s="69" t="s">
        <v>80</v>
      </c>
      <c r="D1398" s="70" t="s">
        <v>190</v>
      </c>
      <c r="E1398" s="69" t="s">
        <v>2524</v>
      </c>
      <c r="F1398" s="69" t="s">
        <v>217</v>
      </c>
      <c r="G1398" s="69" t="s">
        <v>2525</v>
      </c>
      <c r="H1398" s="70">
        <v>2020</v>
      </c>
      <c r="I1398" s="69" t="s">
        <v>63</v>
      </c>
      <c r="J1398" s="69" t="s">
        <v>7151</v>
      </c>
      <c r="K1398" s="71" t="s">
        <v>7152</v>
      </c>
      <c r="L1398" s="71" t="s">
        <v>7153</v>
      </c>
      <c r="M1398" s="71" t="s">
        <v>7154</v>
      </c>
      <c r="N1398" s="69" t="s">
        <v>57</v>
      </c>
      <c r="O1398" s="64">
        <v>1</v>
      </c>
      <c r="P1398" s="72">
        <v>33000</v>
      </c>
      <c r="Q1398" s="69" t="s">
        <v>2530</v>
      </c>
      <c r="R1398" s="69"/>
      <c r="S1398" s="203" t="s">
        <v>903</v>
      </c>
      <c r="T1398" s="56">
        <v>41</v>
      </c>
      <c r="U1398" s="56">
        <v>3</v>
      </c>
    </row>
    <row r="1399" spans="1:21" ht="14.25" customHeight="1" x14ac:dyDescent="0.35">
      <c r="A1399" s="47">
        <v>1383</v>
      </c>
      <c r="B1399" s="69" t="s">
        <v>79</v>
      </c>
      <c r="C1399" s="69" t="s">
        <v>80</v>
      </c>
      <c r="D1399" s="70" t="s">
        <v>192</v>
      </c>
      <c r="E1399" s="69" t="s">
        <v>2524</v>
      </c>
      <c r="F1399" s="69" t="s">
        <v>217</v>
      </c>
      <c r="G1399" s="69" t="s">
        <v>2525</v>
      </c>
      <c r="H1399" s="70">
        <v>2020</v>
      </c>
      <c r="I1399" s="69" t="s">
        <v>63</v>
      </c>
      <c r="J1399" s="69" t="s">
        <v>7155</v>
      </c>
      <c r="K1399" s="71" t="s">
        <v>7156</v>
      </c>
      <c r="L1399" s="71" t="s">
        <v>7157</v>
      </c>
      <c r="M1399" s="71" t="s">
        <v>7158</v>
      </c>
      <c r="N1399" s="69" t="s">
        <v>57</v>
      </c>
      <c r="O1399" s="64">
        <v>1</v>
      </c>
      <c r="P1399" s="72">
        <v>33000</v>
      </c>
      <c r="Q1399" s="69" t="s">
        <v>2530</v>
      </c>
      <c r="R1399" s="69"/>
      <c r="S1399" s="203" t="s">
        <v>903</v>
      </c>
      <c r="T1399" s="56">
        <v>41</v>
      </c>
      <c r="U1399" s="56">
        <v>3</v>
      </c>
    </row>
    <row r="1400" spans="1:21" ht="14.25" customHeight="1" thickBot="1" x14ac:dyDescent="0.4">
      <c r="A1400" s="58">
        <v>1384</v>
      </c>
      <c r="B1400" s="69" t="s">
        <v>79</v>
      </c>
      <c r="C1400" s="69" t="s">
        <v>80</v>
      </c>
      <c r="D1400" s="70" t="s">
        <v>195</v>
      </c>
      <c r="E1400" s="69" t="s">
        <v>2524</v>
      </c>
      <c r="F1400" s="69" t="s">
        <v>217</v>
      </c>
      <c r="G1400" s="69" t="s">
        <v>2525</v>
      </c>
      <c r="H1400" s="70">
        <v>2020</v>
      </c>
      <c r="I1400" s="69" t="s">
        <v>63</v>
      </c>
      <c r="J1400" s="69" t="s">
        <v>7159</v>
      </c>
      <c r="K1400" s="71" t="s">
        <v>7160</v>
      </c>
      <c r="L1400" s="71" t="s">
        <v>7161</v>
      </c>
      <c r="M1400" s="71" t="s">
        <v>7162</v>
      </c>
      <c r="N1400" s="69" t="s">
        <v>57</v>
      </c>
      <c r="O1400" s="64">
        <v>1</v>
      </c>
      <c r="P1400" s="72">
        <v>33000</v>
      </c>
      <c r="Q1400" s="69" t="s">
        <v>2530</v>
      </c>
      <c r="R1400" s="69"/>
      <c r="S1400" s="203" t="s">
        <v>903</v>
      </c>
      <c r="T1400" s="56">
        <v>41</v>
      </c>
      <c r="U1400" s="56">
        <v>3</v>
      </c>
    </row>
    <row r="1401" spans="1:21" ht="14.25" customHeight="1" x14ac:dyDescent="0.35">
      <c r="A1401" s="47">
        <v>1385</v>
      </c>
      <c r="B1401" s="69" t="s">
        <v>79</v>
      </c>
      <c r="C1401" s="69" t="s">
        <v>80</v>
      </c>
      <c r="D1401" s="70" t="s">
        <v>199</v>
      </c>
      <c r="E1401" s="69" t="s">
        <v>2524</v>
      </c>
      <c r="F1401" s="69" t="s">
        <v>217</v>
      </c>
      <c r="G1401" s="69" t="s">
        <v>2525</v>
      </c>
      <c r="H1401" s="70">
        <v>2020</v>
      </c>
      <c r="I1401" s="69" t="s">
        <v>63</v>
      </c>
      <c r="J1401" s="69" t="s">
        <v>7163</v>
      </c>
      <c r="K1401" s="71" t="s">
        <v>7164</v>
      </c>
      <c r="L1401" s="71" t="s">
        <v>7165</v>
      </c>
      <c r="M1401" s="71" t="s">
        <v>7166</v>
      </c>
      <c r="N1401" s="69" t="s">
        <v>57</v>
      </c>
      <c r="O1401" s="64">
        <v>1</v>
      </c>
      <c r="P1401" s="72">
        <v>33000</v>
      </c>
      <c r="Q1401" s="69" t="s">
        <v>2530</v>
      </c>
      <c r="R1401" s="69"/>
      <c r="S1401" s="203" t="s">
        <v>903</v>
      </c>
      <c r="T1401" s="56">
        <v>41</v>
      </c>
      <c r="U1401" s="56">
        <v>3</v>
      </c>
    </row>
    <row r="1402" spans="1:21" ht="14.25" customHeight="1" thickBot="1" x14ac:dyDescent="0.4">
      <c r="A1402" s="58">
        <v>1386</v>
      </c>
      <c r="B1402" s="69" t="s">
        <v>79</v>
      </c>
      <c r="C1402" s="69" t="s">
        <v>80</v>
      </c>
      <c r="D1402" s="70" t="s">
        <v>200</v>
      </c>
      <c r="E1402" s="69" t="s">
        <v>2524</v>
      </c>
      <c r="F1402" s="69" t="s">
        <v>217</v>
      </c>
      <c r="G1402" s="69" t="s">
        <v>2525</v>
      </c>
      <c r="H1402" s="70">
        <v>2020</v>
      </c>
      <c r="I1402" s="69" t="s">
        <v>63</v>
      </c>
      <c r="J1402" s="69" t="s">
        <v>7167</v>
      </c>
      <c r="K1402" s="71" t="s">
        <v>7168</v>
      </c>
      <c r="L1402" s="71" t="s">
        <v>7169</v>
      </c>
      <c r="M1402" s="71" t="s">
        <v>7170</v>
      </c>
      <c r="N1402" s="69" t="s">
        <v>57</v>
      </c>
      <c r="O1402" s="64">
        <v>1</v>
      </c>
      <c r="P1402" s="72">
        <v>33000</v>
      </c>
      <c r="Q1402" s="69" t="s">
        <v>2530</v>
      </c>
      <c r="R1402" s="69"/>
      <c r="S1402" s="203" t="s">
        <v>903</v>
      </c>
      <c r="T1402" s="56">
        <v>41</v>
      </c>
      <c r="U1402" s="56">
        <v>3</v>
      </c>
    </row>
    <row r="1403" spans="1:21" ht="14.25" customHeight="1" x14ac:dyDescent="0.35">
      <c r="A1403" s="47">
        <v>1387</v>
      </c>
      <c r="B1403" s="69" t="s">
        <v>79</v>
      </c>
      <c r="C1403" s="69" t="s">
        <v>80</v>
      </c>
      <c r="D1403" s="70" t="s">
        <v>209</v>
      </c>
      <c r="E1403" s="69" t="s">
        <v>2524</v>
      </c>
      <c r="F1403" s="69" t="s">
        <v>217</v>
      </c>
      <c r="G1403" s="69" t="s">
        <v>2525</v>
      </c>
      <c r="H1403" s="70">
        <v>2020</v>
      </c>
      <c r="I1403" s="69" t="s">
        <v>63</v>
      </c>
      <c r="J1403" s="69" t="s">
        <v>7171</v>
      </c>
      <c r="K1403" s="71" t="s">
        <v>7172</v>
      </c>
      <c r="L1403" s="71" t="s">
        <v>7173</v>
      </c>
      <c r="M1403" s="71" t="s">
        <v>7174</v>
      </c>
      <c r="N1403" s="69" t="s">
        <v>57</v>
      </c>
      <c r="O1403" s="64">
        <v>1</v>
      </c>
      <c r="P1403" s="72">
        <v>33000</v>
      </c>
      <c r="Q1403" s="69" t="s">
        <v>2530</v>
      </c>
      <c r="R1403" s="69"/>
      <c r="S1403" s="203" t="s">
        <v>903</v>
      </c>
      <c r="T1403" s="56">
        <v>41</v>
      </c>
      <c r="U1403" s="56">
        <v>3</v>
      </c>
    </row>
    <row r="1404" spans="1:21" ht="14.25" customHeight="1" thickBot="1" x14ac:dyDescent="0.4">
      <c r="A1404" s="58">
        <v>1388</v>
      </c>
      <c r="B1404" s="69" t="s">
        <v>79</v>
      </c>
      <c r="C1404" s="69" t="s">
        <v>80</v>
      </c>
      <c r="D1404" s="70" t="s">
        <v>215</v>
      </c>
      <c r="E1404" s="69" t="s">
        <v>2524</v>
      </c>
      <c r="F1404" s="69" t="s">
        <v>217</v>
      </c>
      <c r="G1404" s="69" t="s">
        <v>2525</v>
      </c>
      <c r="H1404" s="70">
        <v>2020</v>
      </c>
      <c r="I1404" s="69" t="s">
        <v>63</v>
      </c>
      <c r="J1404" s="69" t="s">
        <v>7175</v>
      </c>
      <c r="K1404" s="71" t="s">
        <v>7176</v>
      </c>
      <c r="L1404" s="71" t="s">
        <v>7177</v>
      </c>
      <c r="M1404" s="71" t="s">
        <v>7178</v>
      </c>
      <c r="N1404" s="69" t="s">
        <v>57</v>
      </c>
      <c r="O1404" s="64">
        <v>1</v>
      </c>
      <c r="P1404" s="72">
        <v>33000</v>
      </c>
      <c r="Q1404" s="69" t="s">
        <v>2530</v>
      </c>
      <c r="R1404" s="69"/>
      <c r="S1404" s="203" t="s">
        <v>903</v>
      </c>
      <c r="T1404" s="56">
        <v>41</v>
      </c>
      <c r="U1404" s="56">
        <v>3</v>
      </c>
    </row>
    <row r="1405" spans="1:21" ht="14.25" customHeight="1" x14ac:dyDescent="0.35">
      <c r="A1405" s="47">
        <v>1389</v>
      </c>
      <c r="B1405" s="69" t="s">
        <v>79</v>
      </c>
      <c r="C1405" s="69" t="s">
        <v>80</v>
      </c>
      <c r="D1405" s="70" t="s">
        <v>223</v>
      </c>
      <c r="E1405" s="69" t="s">
        <v>2524</v>
      </c>
      <c r="F1405" s="69" t="s">
        <v>217</v>
      </c>
      <c r="G1405" s="69" t="s">
        <v>2525</v>
      </c>
      <c r="H1405" s="70">
        <v>2020</v>
      </c>
      <c r="I1405" s="69" t="s">
        <v>63</v>
      </c>
      <c r="J1405" s="69" t="s">
        <v>7179</v>
      </c>
      <c r="K1405" s="71" t="s">
        <v>7180</v>
      </c>
      <c r="L1405" s="71" t="s">
        <v>7181</v>
      </c>
      <c r="M1405" s="71" t="s">
        <v>7182</v>
      </c>
      <c r="N1405" s="69" t="s">
        <v>57</v>
      </c>
      <c r="O1405" s="64">
        <v>1</v>
      </c>
      <c r="P1405" s="72">
        <v>33000</v>
      </c>
      <c r="Q1405" s="69" t="s">
        <v>2530</v>
      </c>
      <c r="R1405" s="69"/>
      <c r="S1405" s="203" t="s">
        <v>903</v>
      </c>
      <c r="T1405" s="56">
        <v>41</v>
      </c>
      <c r="U1405" s="56">
        <v>3</v>
      </c>
    </row>
    <row r="1406" spans="1:21" ht="14.25" customHeight="1" thickBot="1" x14ac:dyDescent="0.4">
      <c r="A1406" s="58">
        <v>1390</v>
      </c>
      <c r="B1406" s="69" t="s">
        <v>79</v>
      </c>
      <c r="C1406" s="69" t="s">
        <v>80</v>
      </c>
      <c r="D1406" s="70" t="s">
        <v>229</v>
      </c>
      <c r="E1406" s="69" t="s">
        <v>2524</v>
      </c>
      <c r="F1406" s="69" t="s">
        <v>217</v>
      </c>
      <c r="G1406" s="69" t="s">
        <v>2525</v>
      </c>
      <c r="H1406" s="70">
        <v>2020</v>
      </c>
      <c r="I1406" s="69" t="s">
        <v>63</v>
      </c>
      <c r="J1406" s="69" t="s">
        <v>7183</v>
      </c>
      <c r="K1406" s="71" t="s">
        <v>7184</v>
      </c>
      <c r="L1406" s="71" t="s">
        <v>7185</v>
      </c>
      <c r="M1406" s="71" t="s">
        <v>7186</v>
      </c>
      <c r="N1406" s="69" t="s">
        <v>57</v>
      </c>
      <c r="O1406" s="64">
        <v>1</v>
      </c>
      <c r="P1406" s="72">
        <v>33000</v>
      </c>
      <c r="Q1406" s="69" t="s">
        <v>2530</v>
      </c>
      <c r="R1406" s="69"/>
      <c r="S1406" s="203" t="s">
        <v>903</v>
      </c>
      <c r="T1406" s="56">
        <v>41</v>
      </c>
      <c r="U1406" s="56">
        <v>3</v>
      </c>
    </row>
    <row r="1407" spans="1:21" ht="14.25" customHeight="1" x14ac:dyDescent="0.35">
      <c r="A1407" s="47">
        <v>1391</v>
      </c>
      <c r="B1407" s="69" t="s">
        <v>79</v>
      </c>
      <c r="C1407" s="69" t="s">
        <v>80</v>
      </c>
      <c r="D1407" s="70" t="s">
        <v>238</v>
      </c>
      <c r="E1407" s="69" t="s">
        <v>2524</v>
      </c>
      <c r="F1407" s="69" t="s">
        <v>217</v>
      </c>
      <c r="G1407" s="69" t="s">
        <v>2525</v>
      </c>
      <c r="H1407" s="70">
        <v>2020</v>
      </c>
      <c r="I1407" s="69" t="s">
        <v>63</v>
      </c>
      <c r="J1407" s="69" t="s">
        <v>7187</v>
      </c>
      <c r="K1407" s="71" t="s">
        <v>7188</v>
      </c>
      <c r="L1407" s="71" t="s">
        <v>7189</v>
      </c>
      <c r="M1407" s="71" t="s">
        <v>7190</v>
      </c>
      <c r="N1407" s="69" t="s">
        <v>57</v>
      </c>
      <c r="O1407" s="64">
        <v>1</v>
      </c>
      <c r="P1407" s="72">
        <v>33000</v>
      </c>
      <c r="Q1407" s="69" t="s">
        <v>2530</v>
      </c>
      <c r="R1407" s="69"/>
      <c r="S1407" s="203" t="s">
        <v>903</v>
      </c>
      <c r="T1407" s="56">
        <v>41</v>
      </c>
      <c r="U1407" s="56">
        <v>3</v>
      </c>
    </row>
    <row r="1408" spans="1:21" ht="14.25" customHeight="1" thickBot="1" x14ac:dyDescent="0.4">
      <c r="A1408" s="58">
        <v>1392</v>
      </c>
      <c r="B1408" s="69" t="s">
        <v>79</v>
      </c>
      <c r="C1408" s="69" t="s">
        <v>80</v>
      </c>
      <c r="D1408" s="70" t="s">
        <v>244</v>
      </c>
      <c r="E1408" s="69" t="s">
        <v>2524</v>
      </c>
      <c r="F1408" s="69" t="s">
        <v>217</v>
      </c>
      <c r="G1408" s="69" t="s">
        <v>2525</v>
      </c>
      <c r="H1408" s="70">
        <v>2020</v>
      </c>
      <c r="I1408" s="69" t="s">
        <v>63</v>
      </c>
      <c r="J1408" s="69" t="s">
        <v>7191</v>
      </c>
      <c r="K1408" s="71" t="s">
        <v>7192</v>
      </c>
      <c r="L1408" s="71" t="s">
        <v>7193</v>
      </c>
      <c r="M1408" s="71" t="s">
        <v>7194</v>
      </c>
      <c r="N1408" s="69" t="s">
        <v>57</v>
      </c>
      <c r="O1408" s="64">
        <v>1</v>
      </c>
      <c r="P1408" s="72">
        <v>33000</v>
      </c>
      <c r="Q1408" s="69" t="s">
        <v>2530</v>
      </c>
      <c r="R1408" s="69"/>
      <c r="S1408" s="203" t="s">
        <v>903</v>
      </c>
      <c r="T1408" s="56">
        <v>41</v>
      </c>
      <c r="U1408" s="56">
        <v>3</v>
      </c>
    </row>
    <row r="1409" spans="1:21" ht="14.25" customHeight="1" x14ac:dyDescent="0.35">
      <c r="A1409" s="47">
        <v>1393</v>
      </c>
      <c r="B1409" s="69" t="s">
        <v>79</v>
      </c>
      <c r="C1409" s="69" t="s">
        <v>80</v>
      </c>
      <c r="D1409" s="70" t="s">
        <v>253</v>
      </c>
      <c r="E1409" s="69" t="s">
        <v>2524</v>
      </c>
      <c r="F1409" s="69" t="s">
        <v>217</v>
      </c>
      <c r="G1409" s="69" t="s">
        <v>2525</v>
      </c>
      <c r="H1409" s="70">
        <v>2020</v>
      </c>
      <c r="I1409" s="69" t="s">
        <v>63</v>
      </c>
      <c r="J1409" s="69" t="s">
        <v>7195</v>
      </c>
      <c r="K1409" s="71" t="s">
        <v>7196</v>
      </c>
      <c r="L1409" s="71" t="s">
        <v>7197</v>
      </c>
      <c r="M1409" s="71" t="s">
        <v>7198</v>
      </c>
      <c r="N1409" s="69" t="s">
        <v>57</v>
      </c>
      <c r="O1409" s="64">
        <v>1</v>
      </c>
      <c r="P1409" s="72">
        <v>33000</v>
      </c>
      <c r="Q1409" s="69" t="s">
        <v>2530</v>
      </c>
      <c r="R1409" s="69"/>
      <c r="S1409" s="203" t="s">
        <v>903</v>
      </c>
      <c r="T1409" s="56">
        <v>41</v>
      </c>
      <c r="U1409" s="56">
        <v>3</v>
      </c>
    </row>
    <row r="1410" spans="1:21" ht="14.25" customHeight="1" thickBot="1" x14ac:dyDescent="0.4">
      <c r="A1410" s="58">
        <v>1394</v>
      </c>
      <c r="B1410" s="69" t="s">
        <v>79</v>
      </c>
      <c r="C1410" s="69" t="s">
        <v>80</v>
      </c>
      <c r="D1410" s="70" t="s">
        <v>259</v>
      </c>
      <c r="E1410" s="69" t="s">
        <v>414</v>
      </c>
      <c r="F1410" s="69" t="s">
        <v>217</v>
      </c>
      <c r="G1410" s="69" t="s">
        <v>415</v>
      </c>
      <c r="H1410" s="70">
        <v>2021</v>
      </c>
      <c r="I1410" s="69" t="s">
        <v>63</v>
      </c>
      <c r="J1410" s="69" t="s">
        <v>7199</v>
      </c>
      <c r="K1410" s="71" t="s">
        <v>7864</v>
      </c>
      <c r="L1410" s="71" t="s">
        <v>7200</v>
      </c>
      <c r="M1410" s="71" t="s">
        <v>7201</v>
      </c>
      <c r="N1410" s="69" t="s">
        <v>57</v>
      </c>
      <c r="O1410" s="64">
        <v>1</v>
      </c>
      <c r="P1410" s="72">
        <v>33100</v>
      </c>
      <c r="Q1410" s="69" t="s">
        <v>420</v>
      </c>
      <c r="R1410" s="69"/>
      <c r="S1410" s="203" t="s">
        <v>903</v>
      </c>
      <c r="T1410" s="56">
        <v>41</v>
      </c>
      <c r="U1410" s="56">
        <v>3</v>
      </c>
    </row>
    <row r="1411" spans="1:21" ht="14.25" customHeight="1" x14ac:dyDescent="0.35">
      <c r="A1411" s="47">
        <v>1395</v>
      </c>
      <c r="B1411" s="69" t="s">
        <v>79</v>
      </c>
      <c r="C1411" s="69" t="s">
        <v>80</v>
      </c>
      <c r="D1411" s="70" t="s">
        <v>264</v>
      </c>
      <c r="E1411" s="69" t="s">
        <v>414</v>
      </c>
      <c r="F1411" s="69" t="s">
        <v>217</v>
      </c>
      <c r="G1411" s="69" t="s">
        <v>415</v>
      </c>
      <c r="H1411" s="70">
        <v>2021</v>
      </c>
      <c r="I1411" s="69" t="s">
        <v>63</v>
      </c>
      <c r="J1411" s="69" t="s">
        <v>7202</v>
      </c>
      <c r="K1411" s="71" t="s">
        <v>7203</v>
      </c>
      <c r="L1411" s="71" t="s">
        <v>7204</v>
      </c>
      <c r="M1411" s="71" t="s">
        <v>7205</v>
      </c>
      <c r="N1411" s="69" t="s">
        <v>57</v>
      </c>
      <c r="O1411" s="64">
        <v>1</v>
      </c>
      <c r="P1411" s="72">
        <v>33100</v>
      </c>
      <c r="Q1411" s="69" t="s">
        <v>420</v>
      </c>
      <c r="R1411" s="69"/>
      <c r="S1411" s="203" t="s">
        <v>903</v>
      </c>
      <c r="T1411" s="56">
        <v>41</v>
      </c>
      <c r="U1411" s="56">
        <v>3</v>
      </c>
    </row>
    <row r="1412" spans="1:21" ht="14.25" customHeight="1" thickBot="1" x14ac:dyDescent="0.4">
      <c r="A1412" s="58">
        <v>1396</v>
      </c>
      <c r="B1412" s="69" t="s">
        <v>79</v>
      </c>
      <c r="C1412" s="69" t="s">
        <v>80</v>
      </c>
      <c r="D1412" s="70" t="s">
        <v>269</v>
      </c>
      <c r="E1412" s="69" t="s">
        <v>414</v>
      </c>
      <c r="F1412" s="69" t="s">
        <v>217</v>
      </c>
      <c r="G1412" s="69" t="s">
        <v>415</v>
      </c>
      <c r="H1412" s="70">
        <v>2021</v>
      </c>
      <c r="I1412" s="69" t="s">
        <v>63</v>
      </c>
      <c r="J1412" s="69" t="s">
        <v>7865</v>
      </c>
      <c r="K1412" s="71" t="s">
        <v>7206</v>
      </c>
      <c r="L1412" s="71" t="s">
        <v>7207</v>
      </c>
      <c r="M1412" s="71" t="s">
        <v>7208</v>
      </c>
      <c r="N1412" s="69" t="s">
        <v>57</v>
      </c>
      <c r="O1412" s="64">
        <v>1</v>
      </c>
      <c r="P1412" s="72">
        <v>33100</v>
      </c>
      <c r="Q1412" s="69" t="s">
        <v>420</v>
      </c>
      <c r="R1412" s="69"/>
      <c r="S1412" s="203" t="s">
        <v>903</v>
      </c>
      <c r="T1412" s="56">
        <v>41</v>
      </c>
      <c r="U1412" s="56">
        <v>3</v>
      </c>
    </row>
    <row r="1413" spans="1:21" ht="14.25" customHeight="1" x14ac:dyDescent="0.35">
      <c r="A1413" s="47">
        <v>1397</v>
      </c>
      <c r="B1413" s="69" t="s">
        <v>79</v>
      </c>
      <c r="C1413" s="69" t="s">
        <v>80</v>
      </c>
      <c r="D1413" s="70" t="s">
        <v>274</v>
      </c>
      <c r="E1413" s="69" t="s">
        <v>414</v>
      </c>
      <c r="F1413" s="69" t="s">
        <v>217</v>
      </c>
      <c r="G1413" s="69" t="s">
        <v>415</v>
      </c>
      <c r="H1413" s="70">
        <v>2021</v>
      </c>
      <c r="I1413" s="69" t="s">
        <v>63</v>
      </c>
      <c r="J1413" s="69" t="s">
        <v>7866</v>
      </c>
      <c r="K1413" s="71" t="s">
        <v>7209</v>
      </c>
      <c r="L1413" s="71" t="s">
        <v>7210</v>
      </c>
      <c r="M1413" s="71" t="s">
        <v>7211</v>
      </c>
      <c r="N1413" s="69" t="s">
        <v>57</v>
      </c>
      <c r="O1413" s="64">
        <v>1</v>
      </c>
      <c r="P1413" s="72">
        <v>33100</v>
      </c>
      <c r="Q1413" s="69" t="s">
        <v>420</v>
      </c>
      <c r="R1413" s="69"/>
      <c r="S1413" s="203" t="s">
        <v>903</v>
      </c>
      <c r="T1413" s="56">
        <v>41</v>
      </c>
      <c r="U1413" s="56">
        <v>3</v>
      </c>
    </row>
    <row r="1414" spans="1:21" ht="14.25" customHeight="1" thickBot="1" x14ac:dyDescent="0.4">
      <c r="A1414" s="58">
        <v>1398</v>
      </c>
      <c r="B1414" s="69" t="s">
        <v>79</v>
      </c>
      <c r="C1414" s="69" t="s">
        <v>80</v>
      </c>
      <c r="D1414" s="70" t="s">
        <v>280</v>
      </c>
      <c r="E1414" s="69" t="s">
        <v>414</v>
      </c>
      <c r="F1414" s="69" t="s">
        <v>217</v>
      </c>
      <c r="G1414" s="69" t="s">
        <v>415</v>
      </c>
      <c r="H1414" s="70">
        <v>2021</v>
      </c>
      <c r="I1414" s="69" t="s">
        <v>63</v>
      </c>
      <c r="J1414" s="69" t="s">
        <v>7867</v>
      </c>
      <c r="K1414" s="71" t="s">
        <v>7212</v>
      </c>
      <c r="L1414" s="71" t="s">
        <v>7213</v>
      </c>
      <c r="M1414" s="71" t="s">
        <v>7214</v>
      </c>
      <c r="N1414" s="69" t="s">
        <v>57</v>
      </c>
      <c r="O1414" s="64">
        <v>1</v>
      </c>
      <c r="P1414" s="72">
        <v>33100</v>
      </c>
      <c r="Q1414" s="69" t="s">
        <v>420</v>
      </c>
      <c r="R1414" s="69"/>
      <c r="S1414" s="203" t="s">
        <v>903</v>
      </c>
      <c r="T1414" s="56">
        <v>41</v>
      </c>
      <c r="U1414" s="56">
        <v>3</v>
      </c>
    </row>
    <row r="1415" spans="1:21" ht="14.25" customHeight="1" x14ac:dyDescent="0.35">
      <c r="A1415" s="47">
        <v>1399</v>
      </c>
      <c r="B1415" s="69" t="s">
        <v>79</v>
      </c>
      <c r="C1415" s="69" t="s">
        <v>80</v>
      </c>
      <c r="D1415" s="70" t="s">
        <v>286</v>
      </c>
      <c r="E1415" s="69" t="s">
        <v>414</v>
      </c>
      <c r="F1415" s="69" t="s">
        <v>217</v>
      </c>
      <c r="G1415" s="69" t="s">
        <v>415</v>
      </c>
      <c r="H1415" s="70">
        <v>2021</v>
      </c>
      <c r="I1415" s="69" t="s">
        <v>63</v>
      </c>
      <c r="J1415" s="69" t="s">
        <v>63</v>
      </c>
      <c r="K1415" s="71" t="s">
        <v>7215</v>
      </c>
      <c r="L1415" s="71" t="s">
        <v>7216</v>
      </c>
      <c r="M1415" s="71" t="s">
        <v>7217</v>
      </c>
      <c r="N1415" s="69" t="s">
        <v>57</v>
      </c>
      <c r="O1415" s="64">
        <v>1</v>
      </c>
      <c r="P1415" s="72">
        <v>33100</v>
      </c>
      <c r="Q1415" s="69" t="s">
        <v>420</v>
      </c>
      <c r="R1415" s="69"/>
      <c r="S1415" s="203" t="s">
        <v>903</v>
      </c>
      <c r="T1415" s="56">
        <v>41</v>
      </c>
      <c r="U1415" s="56">
        <v>3</v>
      </c>
    </row>
    <row r="1416" spans="1:21" ht="14.25" customHeight="1" thickBot="1" x14ac:dyDescent="0.4">
      <c r="A1416" s="58">
        <v>1400</v>
      </c>
      <c r="B1416" s="69" t="s">
        <v>79</v>
      </c>
      <c r="C1416" s="69" t="s">
        <v>80</v>
      </c>
      <c r="D1416" s="70" t="s">
        <v>291</v>
      </c>
      <c r="E1416" s="69" t="s">
        <v>414</v>
      </c>
      <c r="F1416" s="69" t="s">
        <v>217</v>
      </c>
      <c r="G1416" s="69" t="s">
        <v>415</v>
      </c>
      <c r="H1416" s="70">
        <v>2021</v>
      </c>
      <c r="I1416" s="69" t="s">
        <v>63</v>
      </c>
      <c r="J1416" s="69" t="s">
        <v>63</v>
      </c>
      <c r="K1416" s="71" t="s">
        <v>7218</v>
      </c>
      <c r="L1416" s="71" t="s">
        <v>7219</v>
      </c>
      <c r="M1416" s="71" t="s">
        <v>7220</v>
      </c>
      <c r="N1416" s="69" t="s">
        <v>57</v>
      </c>
      <c r="O1416" s="64">
        <v>1</v>
      </c>
      <c r="P1416" s="72">
        <v>33100</v>
      </c>
      <c r="Q1416" s="69" t="s">
        <v>420</v>
      </c>
      <c r="R1416" s="69"/>
      <c r="S1416" s="203" t="s">
        <v>903</v>
      </c>
      <c r="T1416" s="56">
        <v>41</v>
      </c>
      <c r="U1416" s="56">
        <v>3</v>
      </c>
    </row>
    <row r="1417" spans="1:21" ht="14.25" customHeight="1" x14ac:dyDescent="0.35">
      <c r="A1417" s="47">
        <v>1401</v>
      </c>
      <c r="B1417" s="69" t="s">
        <v>79</v>
      </c>
      <c r="C1417" s="69" t="s">
        <v>80</v>
      </c>
      <c r="D1417" s="70" t="s">
        <v>298</v>
      </c>
      <c r="E1417" s="69" t="s">
        <v>414</v>
      </c>
      <c r="F1417" s="69" t="s">
        <v>217</v>
      </c>
      <c r="G1417" s="69" t="s">
        <v>415</v>
      </c>
      <c r="H1417" s="70">
        <v>2021</v>
      </c>
      <c r="I1417" s="69" t="s">
        <v>63</v>
      </c>
      <c r="J1417" s="69" t="s">
        <v>63</v>
      </c>
      <c r="K1417" s="71" t="s">
        <v>7221</v>
      </c>
      <c r="L1417" s="71" t="s">
        <v>7222</v>
      </c>
      <c r="M1417" s="71" t="s">
        <v>7223</v>
      </c>
      <c r="N1417" s="69" t="s">
        <v>57</v>
      </c>
      <c r="O1417" s="64">
        <v>1</v>
      </c>
      <c r="P1417" s="72">
        <v>33100</v>
      </c>
      <c r="Q1417" s="69" t="s">
        <v>420</v>
      </c>
      <c r="R1417" s="69"/>
      <c r="S1417" s="203" t="s">
        <v>903</v>
      </c>
      <c r="T1417" s="56">
        <v>41</v>
      </c>
      <c r="U1417" s="56">
        <v>3</v>
      </c>
    </row>
    <row r="1418" spans="1:21" ht="14.25" customHeight="1" thickBot="1" x14ac:dyDescent="0.4">
      <c r="A1418" s="58">
        <v>1402</v>
      </c>
      <c r="B1418" s="69" t="s">
        <v>79</v>
      </c>
      <c r="C1418" s="69" t="s">
        <v>80</v>
      </c>
      <c r="D1418" s="70" t="s">
        <v>310</v>
      </c>
      <c r="E1418" s="69" t="s">
        <v>414</v>
      </c>
      <c r="F1418" s="69" t="s">
        <v>217</v>
      </c>
      <c r="G1418" s="69" t="s">
        <v>415</v>
      </c>
      <c r="H1418" s="70">
        <v>2021</v>
      </c>
      <c r="I1418" s="69" t="s">
        <v>63</v>
      </c>
      <c r="J1418" s="69" t="s">
        <v>63</v>
      </c>
      <c r="K1418" s="71" t="s">
        <v>7224</v>
      </c>
      <c r="L1418" s="71" t="s">
        <v>7225</v>
      </c>
      <c r="M1418" s="71" t="s">
        <v>7226</v>
      </c>
      <c r="N1418" s="69" t="s">
        <v>57</v>
      </c>
      <c r="O1418" s="64">
        <v>1</v>
      </c>
      <c r="P1418" s="72">
        <v>33100</v>
      </c>
      <c r="Q1418" s="69" t="s">
        <v>420</v>
      </c>
      <c r="R1418" s="69"/>
      <c r="S1418" s="203" t="s">
        <v>903</v>
      </c>
      <c r="T1418" s="56">
        <v>41</v>
      </c>
      <c r="U1418" s="56">
        <v>3</v>
      </c>
    </row>
    <row r="1419" spans="1:21" ht="14.25" customHeight="1" x14ac:dyDescent="0.35">
      <c r="A1419" s="47">
        <v>1403</v>
      </c>
      <c r="B1419" s="69" t="s">
        <v>79</v>
      </c>
      <c r="C1419" s="69" t="s">
        <v>80</v>
      </c>
      <c r="D1419" s="70" t="s">
        <v>319</v>
      </c>
      <c r="E1419" s="69" t="s">
        <v>414</v>
      </c>
      <c r="F1419" s="69" t="s">
        <v>217</v>
      </c>
      <c r="G1419" s="69" t="s">
        <v>415</v>
      </c>
      <c r="H1419" s="70">
        <v>2021</v>
      </c>
      <c r="I1419" s="69" t="s">
        <v>63</v>
      </c>
      <c r="J1419" s="69" t="s">
        <v>63</v>
      </c>
      <c r="K1419" s="71" t="s">
        <v>7227</v>
      </c>
      <c r="L1419" s="71" t="s">
        <v>7228</v>
      </c>
      <c r="M1419" s="71" t="s">
        <v>7229</v>
      </c>
      <c r="N1419" s="69" t="s">
        <v>57</v>
      </c>
      <c r="O1419" s="64">
        <v>1</v>
      </c>
      <c r="P1419" s="72">
        <v>33100</v>
      </c>
      <c r="Q1419" s="69" t="s">
        <v>420</v>
      </c>
      <c r="R1419" s="69"/>
      <c r="S1419" s="203" t="s">
        <v>903</v>
      </c>
      <c r="T1419" s="56">
        <v>41</v>
      </c>
      <c r="U1419" s="56">
        <v>3</v>
      </c>
    </row>
    <row r="1420" spans="1:21" ht="14.25" customHeight="1" thickBot="1" x14ac:dyDescent="0.4">
      <c r="A1420" s="58">
        <v>1404</v>
      </c>
      <c r="B1420" s="69" t="s">
        <v>79</v>
      </c>
      <c r="C1420" s="69" t="s">
        <v>80</v>
      </c>
      <c r="D1420" s="70" t="s">
        <v>325</v>
      </c>
      <c r="E1420" s="69" t="s">
        <v>414</v>
      </c>
      <c r="F1420" s="69" t="s">
        <v>217</v>
      </c>
      <c r="G1420" s="69" t="s">
        <v>415</v>
      </c>
      <c r="H1420" s="70">
        <v>2021</v>
      </c>
      <c r="I1420" s="69" t="s">
        <v>63</v>
      </c>
      <c r="J1420" s="69" t="s">
        <v>63</v>
      </c>
      <c r="K1420" s="71" t="s">
        <v>7230</v>
      </c>
      <c r="L1420" s="71" t="s">
        <v>7231</v>
      </c>
      <c r="M1420" s="71" t="s">
        <v>7232</v>
      </c>
      <c r="N1420" s="69" t="s">
        <v>57</v>
      </c>
      <c r="O1420" s="64">
        <v>1</v>
      </c>
      <c r="P1420" s="72">
        <v>33100</v>
      </c>
      <c r="Q1420" s="69" t="s">
        <v>420</v>
      </c>
      <c r="R1420" s="69"/>
      <c r="S1420" s="203" t="s">
        <v>903</v>
      </c>
      <c r="T1420" s="56">
        <v>41</v>
      </c>
      <c r="U1420" s="56">
        <v>3</v>
      </c>
    </row>
    <row r="1421" spans="1:21" ht="14.25" customHeight="1" x14ac:dyDescent="0.35">
      <c r="A1421" s="47">
        <v>1405</v>
      </c>
      <c r="B1421" s="69" t="s">
        <v>79</v>
      </c>
      <c r="C1421" s="69" t="s">
        <v>80</v>
      </c>
      <c r="D1421" s="70" t="s">
        <v>332</v>
      </c>
      <c r="E1421" s="69" t="s">
        <v>414</v>
      </c>
      <c r="F1421" s="69" t="s">
        <v>217</v>
      </c>
      <c r="G1421" s="69" t="s">
        <v>415</v>
      </c>
      <c r="H1421" s="70">
        <v>2021</v>
      </c>
      <c r="I1421" s="69" t="s">
        <v>63</v>
      </c>
      <c r="J1421" s="69" t="s">
        <v>63</v>
      </c>
      <c r="K1421" s="71" t="s">
        <v>7233</v>
      </c>
      <c r="L1421" s="71" t="s">
        <v>7234</v>
      </c>
      <c r="M1421" s="71" t="s">
        <v>7235</v>
      </c>
      <c r="N1421" s="69" t="s">
        <v>57</v>
      </c>
      <c r="O1421" s="64">
        <v>1</v>
      </c>
      <c r="P1421" s="72">
        <v>33100</v>
      </c>
      <c r="Q1421" s="69" t="s">
        <v>420</v>
      </c>
      <c r="R1421" s="69"/>
      <c r="S1421" s="203" t="s">
        <v>903</v>
      </c>
      <c r="T1421" s="56">
        <v>41</v>
      </c>
      <c r="U1421" s="56">
        <v>3</v>
      </c>
    </row>
    <row r="1422" spans="1:21" ht="14.25" customHeight="1" thickBot="1" x14ac:dyDescent="0.4">
      <c r="A1422" s="58">
        <v>1406</v>
      </c>
      <c r="B1422" s="69" t="s">
        <v>79</v>
      </c>
      <c r="C1422" s="69" t="s">
        <v>80</v>
      </c>
      <c r="D1422" s="70" t="s">
        <v>338</v>
      </c>
      <c r="E1422" s="69" t="s">
        <v>414</v>
      </c>
      <c r="F1422" s="69" t="s">
        <v>217</v>
      </c>
      <c r="G1422" s="69" t="s">
        <v>415</v>
      </c>
      <c r="H1422" s="70">
        <v>2021</v>
      </c>
      <c r="I1422" s="69" t="s">
        <v>63</v>
      </c>
      <c r="J1422" s="69" t="s">
        <v>63</v>
      </c>
      <c r="K1422" s="71" t="s">
        <v>7236</v>
      </c>
      <c r="L1422" s="71" t="s">
        <v>7237</v>
      </c>
      <c r="M1422" s="71" t="s">
        <v>7238</v>
      </c>
      <c r="N1422" s="69" t="s">
        <v>57</v>
      </c>
      <c r="O1422" s="64">
        <v>1</v>
      </c>
      <c r="P1422" s="72">
        <v>33100</v>
      </c>
      <c r="Q1422" s="69" t="s">
        <v>420</v>
      </c>
      <c r="R1422" s="69"/>
      <c r="S1422" s="203" t="s">
        <v>903</v>
      </c>
      <c r="T1422" s="56">
        <v>41</v>
      </c>
      <c r="U1422" s="56">
        <v>3</v>
      </c>
    </row>
    <row r="1423" spans="1:21" ht="14.25" customHeight="1" x14ac:dyDescent="0.35">
      <c r="A1423" s="47">
        <v>1407</v>
      </c>
      <c r="B1423" s="69" t="s">
        <v>79</v>
      </c>
      <c r="C1423" s="69" t="s">
        <v>80</v>
      </c>
      <c r="D1423" s="70" t="s">
        <v>343</v>
      </c>
      <c r="E1423" s="69" t="s">
        <v>414</v>
      </c>
      <c r="F1423" s="69" t="s">
        <v>217</v>
      </c>
      <c r="G1423" s="69" t="s">
        <v>415</v>
      </c>
      <c r="H1423" s="70">
        <v>2021</v>
      </c>
      <c r="I1423" s="69" t="s">
        <v>63</v>
      </c>
      <c r="J1423" s="69" t="s">
        <v>7239</v>
      </c>
      <c r="K1423" s="71" t="s">
        <v>7240</v>
      </c>
      <c r="L1423" s="71" t="s">
        <v>7241</v>
      </c>
      <c r="M1423" s="71" t="s">
        <v>7242</v>
      </c>
      <c r="N1423" s="69" t="s">
        <v>57</v>
      </c>
      <c r="O1423" s="64">
        <v>1</v>
      </c>
      <c r="P1423" s="72">
        <v>33100</v>
      </c>
      <c r="Q1423" s="69" t="s">
        <v>420</v>
      </c>
      <c r="R1423" s="69"/>
      <c r="S1423" s="203" t="s">
        <v>903</v>
      </c>
      <c r="T1423" s="56">
        <v>41</v>
      </c>
      <c r="U1423" s="56">
        <v>3</v>
      </c>
    </row>
    <row r="1424" spans="1:21" ht="14.25" customHeight="1" thickBot="1" x14ac:dyDescent="0.4">
      <c r="A1424" s="58">
        <v>1408</v>
      </c>
      <c r="B1424" s="69" t="s">
        <v>79</v>
      </c>
      <c r="C1424" s="69" t="s">
        <v>80</v>
      </c>
      <c r="D1424" s="70" t="s">
        <v>348</v>
      </c>
      <c r="E1424" s="69" t="s">
        <v>414</v>
      </c>
      <c r="F1424" s="69" t="s">
        <v>217</v>
      </c>
      <c r="G1424" s="69" t="s">
        <v>415</v>
      </c>
      <c r="H1424" s="70">
        <v>2021</v>
      </c>
      <c r="I1424" s="69" t="s">
        <v>63</v>
      </c>
      <c r="J1424" s="69" t="s">
        <v>63</v>
      </c>
      <c r="K1424" s="71" t="s">
        <v>7243</v>
      </c>
      <c r="L1424" s="71" t="s">
        <v>7244</v>
      </c>
      <c r="M1424" s="71" t="s">
        <v>7245</v>
      </c>
      <c r="N1424" s="69" t="s">
        <v>57</v>
      </c>
      <c r="O1424" s="64">
        <v>1</v>
      </c>
      <c r="P1424" s="72">
        <v>33100</v>
      </c>
      <c r="Q1424" s="69" t="s">
        <v>420</v>
      </c>
      <c r="R1424" s="69"/>
      <c r="S1424" s="203" t="s">
        <v>903</v>
      </c>
      <c r="T1424" s="56">
        <v>41</v>
      </c>
      <c r="U1424" s="56">
        <v>3</v>
      </c>
    </row>
    <row r="1425" spans="1:21" ht="14.25" customHeight="1" x14ac:dyDescent="0.35">
      <c r="A1425" s="47">
        <v>1409</v>
      </c>
      <c r="B1425" s="69" t="s">
        <v>79</v>
      </c>
      <c r="C1425" s="69" t="s">
        <v>80</v>
      </c>
      <c r="D1425" s="70" t="s">
        <v>353</v>
      </c>
      <c r="E1425" s="69" t="s">
        <v>414</v>
      </c>
      <c r="F1425" s="69" t="s">
        <v>217</v>
      </c>
      <c r="G1425" s="69" t="s">
        <v>415</v>
      </c>
      <c r="H1425" s="70">
        <v>2021</v>
      </c>
      <c r="I1425" s="69" t="s">
        <v>63</v>
      </c>
      <c r="J1425" s="69" t="s">
        <v>63</v>
      </c>
      <c r="K1425" s="71" t="s">
        <v>7246</v>
      </c>
      <c r="L1425" s="71" t="s">
        <v>7247</v>
      </c>
      <c r="M1425" s="71" t="s">
        <v>7248</v>
      </c>
      <c r="N1425" s="69" t="s">
        <v>57</v>
      </c>
      <c r="O1425" s="64">
        <v>1</v>
      </c>
      <c r="P1425" s="72">
        <v>33100</v>
      </c>
      <c r="Q1425" s="69" t="s">
        <v>420</v>
      </c>
      <c r="R1425" s="69"/>
      <c r="S1425" s="203" t="s">
        <v>903</v>
      </c>
      <c r="T1425" s="56">
        <v>41</v>
      </c>
      <c r="U1425" s="56">
        <v>3</v>
      </c>
    </row>
    <row r="1426" spans="1:21" ht="14.25" customHeight="1" thickBot="1" x14ac:dyDescent="0.4">
      <c r="A1426" s="58">
        <v>1410</v>
      </c>
      <c r="B1426" s="69" t="s">
        <v>79</v>
      </c>
      <c r="C1426" s="69" t="s">
        <v>80</v>
      </c>
      <c r="D1426" s="70" t="s">
        <v>359</v>
      </c>
      <c r="E1426" s="69" t="s">
        <v>414</v>
      </c>
      <c r="F1426" s="69" t="s">
        <v>217</v>
      </c>
      <c r="G1426" s="69" t="s">
        <v>415</v>
      </c>
      <c r="H1426" s="70">
        <v>2021</v>
      </c>
      <c r="I1426" s="69" t="s">
        <v>63</v>
      </c>
      <c r="J1426" s="69" t="s">
        <v>63</v>
      </c>
      <c r="K1426" s="71" t="s">
        <v>7249</v>
      </c>
      <c r="L1426" s="71" t="s">
        <v>7250</v>
      </c>
      <c r="M1426" s="71" t="s">
        <v>7251</v>
      </c>
      <c r="N1426" s="69" t="s">
        <v>57</v>
      </c>
      <c r="O1426" s="64">
        <v>1</v>
      </c>
      <c r="P1426" s="72">
        <v>33100</v>
      </c>
      <c r="Q1426" s="69" t="s">
        <v>420</v>
      </c>
      <c r="R1426" s="69"/>
      <c r="S1426" s="203" t="s">
        <v>903</v>
      </c>
      <c r="T1426" s="56">
        <v>41</v>
      </c>
      <c r="U1426" s="56">
        <v>3</v>
      </c>
    </row>
    <row r="1427" spans="1:21" ht="14.25" customHeight="1" x14ac:dyDescent="0.35">
      <c r="A1427" s="47">
        <v>1411</v>
      </c>
      <c r="B1427" s="69" t="s">
        <v>79</v>
      </c>
      <c r="C1427" s="69" t="s">
        <v>80</v>
      </c>
      <c r="D1427" s="70" t="s">
        <v>366</v>
      </c>
      <c r="E1427" s="69" t="s">
        <v>414</v>
      </c>
      <c r="F1427" s="69" t="s">
        <v>217</v>
      </c>
      <c r="G1427" s="69" t="s">
        <v>415</v>
      </c>
      <c r="H1427" s="70">
        <v>2021</v>
      </c>
      <c r="I1427" s="69" t="s">
        <v>63</v>
      </c>
      <c r="J1427" s="69" t="s">
        <v>63</v>
      </c>
      <c r="K1427" s="71" t="s">
        <v>7252</v>
      </c>
      <c r="L1427" s="71" t="s">
        <v>7253</v>
      </c>
      <c r="M1427" s="71" t="s">
        <v>7254</v>
      </c>
      <c r="N1427" s="69" t="s">
        <v>57</v>
      </c>
      <c r="O1427" s="64">
        <v>1</v>
      </c>
      <c r="P1427" s="72">
        <v>33100</v>
      </c>
      <c r="Q1427" s="69" t="s">
        <v>420</v>
      </c>
      <c r="R1427" s="69"/>
      <c r="S1427" s="203" t="s">
        <v>903</v>
      </c>
      <c r="T1427" s="56">
        <v>41</v>
      </c>
      <c r="U1427" s="56">
        <v>3</v>
      </c>
    </row>
    <row r="1428" spans="1:21" ht="14.25" customHeight="1" thickBot="1" x14ac:dyDescent="0.4">
      <c r="A1428" s="58">
        <v>1412</v>
      </c>
      <c r="B1428" s="69" t="s">
        <v>79</v>
      </c>
      <c r="C1428" s="69" t="s">
        <v>80</v>
      </c>
      <c r="D1428" s="70" t="s">
        <v>371</v>
      </c>
      <c r="E1428" s="69" t="s">
        <v>414</v>
      </c>
      <c r="F1428" s="69" t="s">
        <v>217</v>
      </c>
      <c r="G1428" s="69" t="s">
        <v>415</v>
      </c>
      <c r="H1428" s="70">
        <v>2021</v>
      </c>
      <c r="I1428" s="69" t="s">
        <v>63</v>
      </c>
      <c r="J1428" s="69" t="s">
        <v>63</v>
      </c>
      <c r="K1428" s="71" t="s">
        <v>7255</v>
      </c>
      <c r="L1428" s="71" t="s">
        <v>7256</v>
      </c>
      <c r="M1428" s="71" t="s">
        <v>7257</v>
      </c>
      <c r="N1428" s="69" t="s">
        <v>57</v>
      </c>
      <c r="O1428" s="64">
        <v>1</v>
      </c>
      <c r="P1428" s="72">
        <v>33100</v>
      </c>
      <c r="Q1428" s="69" t="s">
        <v>420</v>
      </c>
      <c r="R1428" s="69"/>
      <c r="S1428" s="203" t="s">
        <v>903</v>
      </c>
      <c r="T1428" s="56">
        <v>41</v>
      </c>
      <c r="U1428" s="56">
        <v>3</v>
      </c>
    </row>
    <row r="1429" spans="1:21" ht="14.25" customHeight="1" x14ac:dyDescent="0.35">
      <c r="A1429" s="47">
        <v>1413</v>
      </c>
      <c r="B1429" s="69" t="s">
        <v>79</v>
      </c>
      <c r="C1429" s="69" t="s">
        <v>80</v>
      </c>
      <c r="D1429" s="70" t="s">
        <v>376</v>
      </c>
      <c r="E1429" s="69" t="s">
        <v>414</v>
      </c>
      <c r="F1429" s="69" t="s">
        <v>217</v>
      </c>
      <c r="G1429" s="69" t="s">
        <v>415</v>
      </c>
      <c r="H1429" s="70">
        <v>2021</v>
      </c>
      <c r="I1429" s="69" t="s">
        <v>63</v>
      </c>
      <c r="J1429" s="69" t="s">
        <v>63</v>
      </c>
      <c r="K1429" s="71" t="s">
        <v>7258</v>
      </c>
      <c r="L1429" s="71" t="s">
        <v>7259</v>
      </c>
      <c r="M1429" s="71" t="s">
        <v>7260</v>
      </c>
      <c r="N1429" s="69" t="s">
        <v>57</v>
      </c>
      <c r="O1429" s="64">
        <v>1</v>
      </c>
      <c r="P1429" s="72">
        <v>33100</v>
      </c>
      <c r="Q1429" s="69" t="s">
        <v>420</v>
      </c>
      <c r="R1429" s="69"/>
      <c r="S1429" s="203" t="s">
        <v>903</v>
      </c>
      <c r="T1429" s="56">
        <v>41</v>
      </c>
      <c r="U1429" s="56">
        <v>3</v>
      </c>
    </row>
    <row r="1430" spans="1:21" ht="14.25" customHeight="1" thickBot="1" x14ac:dyDescent="0.4">
      <c r="A1430" s="58">
        <v>1414</v>
      </c>
      <c r="B1430" s="69" t="s">
        <v>79</v>
      </c>
      <c r="C1430" s="69" t="s">
        <v>80</v>
      </c>
      <c r="D1430" s="70" t="s">
        <v>392</v>
      </c>
      <c r="E1430" s="69" t="s">
        <v>414</v>
      </c>
      <c r="F1430" s="69" t="s">
        <v>217</v>
      </c>
      <c r="G1430" s="69" t="s">
        <v>415</v>
      </c>
      <c r="H1430" s="70">
        <v>2021</v>
      </c>
      <c r="I1430" s="69" t="s">
        <v>63</v>
      </c>
      <c r="J1430" s="69" t="s">
        <v>63</v>
      </c>
      <c r="K1430" s="71" t="s">
        <v>7261</v>
      </c>
      <c r="L1430" s="71" t="s">
        <v>7262</v>
      </c>
      <c r="M1430" s="71" t="s">
        <v>7263</v>
      </c>
      <c r="N1430" s="69" t="s">
        <v>57</v>
      </c>
      <c r="O1430" s="64">
        <v>1</v>
      </c>
      <c r="P1430" s="72">
        <v>33100</v>
      </c>
      <c r="Q1430" s="69" t="s">
        <v>420</v>
      </c>
      <c r="R1430" s="69"/>
      <c r="S1430" s="203" t="s">
        <v>903</v>
      </c>
      <c r="T1430" s="56">
        <v>41</v>
      </c>
      <c r="U1430" s="56">
        <v>3</v>
      </c>
    </row>
    <row r="1431" spans="1:21" ht="14.25" customHeight="1" x14ac:dyDescent="0.35">
      <c r="A1431" s="47">
        <v>1415</v>
      </c>
      <c r="B1431" s="69" t="s">
        <v>79</v>
      </c>
      <c r="C1431" s="69" t="s">
        <v>80</v>
      </c>
      <c r="D1431" s="70" t="s">
        <v>403</v>
      </c>
      <c r="E1431" s="69" t="s">
        <v>414</v>
      </c>
      <c r="F1431" s="69" t="s">
        <v>217</v>
      </c>
      <c r="G1431" s="69" t="s">
        <v>415</v>
      </c>
      <c r="H1431" s="70">
        <v>2021</v>
      </c>
      <c r="I1431" s="69" t="s">
        <v>63</v>
      </c>
      <c r="J1431" s="69" t="s">
        <v>63</v>
      </c>
      <c r="K1431" s="71" t="s">
        <v>7264</v>
      </c>
      <c r="L1431" s="71" t="s">
        <v>7265</v>
      </c>
      <c r="M1431" s="71" t="s">
        <v>7266</v>
      </c>
      <c r="N1431" s="69" t="s">
        <v>57</v>
      </c>
      <c r="O1431" s="64">
        <v>1</v>
      </c>
      <c r="P1431" s="72">
        <v>33100</v>
      </c>
      <c r="Q1431" s="69" t="s">
        <v>420</v>
      </c>
      <c r="R1431" s="69"/>
      <c r="S1431" s="203" t="s">
        <v>903</v>
      </c>
      <c r="T1431" s="56">
        <v>41</v>
      </c>
      <c r="U1431" s="56">
        <v>3</v>
      </c>
    </row>
    <row r="1432" spans="1:21" ht="14.25" customHeight="1" thickBot="1" x14ac:dyDescent="0.4">
      <c r="A1432" s="58">
        <v>1416</v>
      </c>
      <c r="B1432" s="69" t="s">
        <v>79</v>
      </c>
      <c r="C1432" s="69" t="s">
        <v>80</v>
      </c>
      <c r="D1432" s="70" t="s">
        <v>408</v>
      </c>
      <c r="E1432" s="69" t="s">
        <v>414</v>
      </c>
      <c r="F1432" s="69" t="s">
        <v>217</v>
      </c>
      <c r="G1432" s="69" t="s">
        <v>415</v>
      </c>
      <c r="H1432" s="70">
        <v>2021</v>
      </c>
      <c r="I1432" s="69" t="s">
        <v>63</v>
      </c>
      <c r="J1432" s="69" t="s">
        <v>63</v>
      </c>
      <c r="K1432" s="71" t="s">
        <v>7267</v>
      </c>
      <c r="L1432" s="71" t="s">
        <v>7268</v>
      </c>
      <c r="M1432" s="71" t="s">
        <v>7269</v>
      </c>
      <c r="N1432" s="69" t="s">
        <v>57</v>
      </c>
      <c r="O1432" s="64">
        <v>1</v>
      </c>
      <c r="P1432" s="72">
        <v>33100</v>
      </c>
      <c r="Q1432" s="69" t="s">
        <v>420</v>
      </c>
      <c r="R1432" s="69"/>
      <c r="S1432" s="203" t="s">
        <v>903</v>
      </c>
      <c r="T1432" s="56">
        <v>41</v>
      </c>
      <c r="U1432" s="56">
        <v>3</v>
      </c>
    </row>
    <row r="1433" spans="1:21" ht="14.25" customHeight="1" x14ac:dyDescent="0.35">
      <c r="A1433" s="47">
        <v>1417</v>
      </c>
      <c r="B1433" s="69" t="s">
        <v>79</v>
      </c>
      <c r="C1433" s="69" t="s">
        <v>80</v>
      </c>
      <c r="D1433" s="70" t="s">
        <v>413</v>
      </c>
      <c r="E1433" s="69" t="s">
        <v>414</v>
      </c>
      <c r="F1433" s="69" t="s">
        <v>217</v>
      </c>
      <c r="G1433" s="69" t="s">
        <v>415</v>
      </c>
      <c r="H1433" s="70">
        <v>2021</v>
      </c>
      <c r="I1433" s="69" t="s">
        <v>63</v>
      </c>
      <c r="J1433" s="69" t="s">
        <v>63</v>
      </c>
      <c r="K1433" s="71" t="s">
        <v>7270</v>
      </c>
      <c r="L1433" s="71" t="s">
        <v>7271</v>
      </c>
      <c r="M1433" s="71" t="s">
        <v>7272</v>
      </c>
      <c r="N1433" s="69" t="s">
        <v>57</v>
      </c>
      <c r="O1433" s="64">
        <v>1</v>
      </c>
      <c r="P1433" s="72">
        <v>33100</v>
      </c>
      <c r="Q1433" s="69" t="s">
        <v>420</v>
      </c>
      <c r="R1433" s="69"/>
      <c r="S1433" s="203" t="s">
        <v>903</v>
      </c>
      <c r="T1433" s="56">
        <v>41</v>
      </c>
      <c r="U1433" s="56">
        <v>3</v>
      </c>
    </row>
    <row r="1434" spans="1:21" ht="14.25" customHeight="1" thickBot="1" x14ac:dyDescent="0.4">
      <c r="A1434" s="58">
        <v>1418</v>
      </c>
      <c r="B1434" s="69" t="s">
        <v>79</v>
      </c>
      <c r="C1434" s="69" t="s">
        <v>80</v>
      </c>
      <c r="D1434" s="70" t="s">
        <v>3140</v>
      </c>
      <c r="E1434" s="69" t="s">
        <v>414</v>
      </c>
      <c r="F1434" s="69" t="s">
        <v>217</v>
      </c>
      <c r="G1434" s="69" t="s">
        <v>415</v>
      </c>
      <c r="H1434" s="70">
        <v>2021</v>
      </c>
      <c r="I1434" s="69" t="s">
        <v>63</v>
      </c>
      <c r="J1434" s="69" t="s">
        <v>63</v>
      </c>
      <c r="K1434" s="71" t="s">
        <v>7273</v>
      </c>
      <c r="L1434" s="71" t="s">
        <v>7274</v>
      </c>
      <c r="M1434" s="71" t="s">
        <v>7275</v>
      </c>
      <c r="N1434" s="69" t="s">
        <v>57</v>
      </c>
      <c r="O1434" s="64">
        <v>1</v>
      </c>
      <c r="P1434" s="72">
        <v>33100</v>
      </c>
      <c r="Q1434" s="69" t="s">
        <v>420</v>
      </c>
      <c r="R1434" s="69"/>
      <c r="S1434" s="203" t="s">
        <v>903</v>
      </c>
      <c r="T1434" s="56">
        <v>41</v>
      </c>
      <c r="U1434" s="56">
        <v>3</v>
      </c>
    </row>
    <row r="1435" spans="1:21" ht="14.25" customHeight="1" x14ac:dyDescent="0.35">
      <c r="A1435" s="47">
        <v>1419</v>
      </c>
      <c r="B1435" s="69" t="s">
        <v>79</v>
      </c>
      <c r="C1435" s="69" t="s">
        <v>80</v>
      </c>
      <c r="D1435" s="70" t="s">
        <v>1450</v>
      </c>
      <c r="E1435" s="69" t="s">
        <v>414</v>
      </c>
      <c r="F1435" s="69" t="s">
        <v>217</v>
      </c>
      <c r="G1435" s="69" t="s">
        <v>415</v>
      </c>
      <c r="H1435" s="70">
        <v>2021</v>
      </c>
      <c r="I1435" s="69" t="s">
        <v>63</v>
      </c>
      <c r="J1435" s="69" t="s">
        <v>63</v>
      </c>
      <c r="K1435" s="71" t="s">
        <v>7276</v>
      </c>
      <c r="L1435" s="71" t="s">
        <v>7277</v>
      </c>
      <c r="M1435" s="71" t="s">
        <v>7278</v>
      </c>
      <c r="N1435" s="69" t="s">
        <v>57</v>
      </c>
      <c r="O1435" s="64">
        <v>1</v>
      </c>
      <c r="P1435" s="72">
        <v>33100</v>
      </c>
      <c r="Q1435" s="69" t="s">
        <v>420</v>
      </c>
      <c r="R1435" s="69"/>
      <c r="S1435" s="203" t="s">
        <v>903</v>
      </c>
      <c r="T1435" s="56">
        <v>41</v>
      </c>
      <c r="U1435" s="56">
        <v>3</v>
      </c>
    </row>
    <row r="1436" spans="1:21" ht="14.25" customHeight="1" thickBot="1" x14ac:dyDescent="0.4">
      <c r="A1436" s="58">
        <v>1420</v>
      </c>
      <c r="B1436" s="69" t="s">
        <v>79</v>
      </c>
      <c r="C1436" s="69" t="s">
        <v>80</v>
      </c>
      <c r="D1436" s="70" t="s">
        <v>1456</v>
      </c>
      <c r="E1436" s="69" t="s">
        <v>414</v>
      </c>
      <c r="F1436" s="69" t="s">
        <v>217</v>
      </c>
      <c r="G1436" s="69" t="s">
        <v>415</v>
      </c>
      <c r="H1436" s="70">
        <v>2021</v>
      </c>
      <c r="I1436" s="69" t="s">
        <v>63</v>
      </c>
      <c r="J1436" s="69" t="s">
        <v>63</v>
      </c>
      <c r="K1436" s="71" t="s">
        <v>7279</v>
      </c>
      <c r="L1436" s="71" t="s">
        <v>7280</v>
      </c>
      <c r="M1436" s="71" t="s">
        <v>7281</v>
      </c>
      <c r="N1436" s="69" t="s">
        <v>57</v>
      </c>
      <c r="O1436" s="64">
        <v>1</v>
      </c>
      <c r="P1436" s="72">
        <v>33100</v>
      </c>
      <c r="Q1436" s="69" t="s">
        <v>420</v>
      </c>
      <c r="R1436" s="69"/>
      <c r="S1436" s="203" t="s">
        <v>903</v>
      </c>
      <c r="T1436" s="56">
        <v>41</v>
      </c>
      <c r="U1436" s="56">
        <v>3</v>
      </c>
    </row>
    <row r="1437" spans="1:21" ht="14.25" customHeight="1" x14ac:dyDescent="0.35">
      <c r="A1437" s="47">
        <v>1421</v>
      </c>
      <c r="B1437" s="69" t="s">
        <v>79</v>
      </c>
      <c r="C1437" s="69" t="s">
        <v>80</v>
      </c>
      <c r="D1437" s="70" t="s">
        <v>1462</v>
      </c>
      <c r="E1437" s="69" t="s">
        <v>414</v>
      </c>
      <c r="F1437" s="69" t="s">
        <v>217</v>
      </c>
      <c r="G1437" s="69" t="s">
        <v>415</v>
      </c>
      <c r="H1437" s="70">
        <v>2021</v>
      </c>
      <c r="I1437" s="69" t="s">
        <v>63</v>
      </c>
      <c r="J1437" s="69" t="s">
        <v>63</v>
      </c>
      <c r="K1437" s="71" t="s">
        <v>7282</v>
      </c>
      <c r="L1437" s="71" t="s">
        <v>7283</v>
      </c>
      <c r="M1437" s="71" t="s">
        <v>7284</v>
      </c>
      <c r="N1437" s="69" t="s">
        <v>57</v>
      </c>
      <c r="O1437" s="64">
        <v>1</v>
      </c>
      <c r="P1437" s="72">
        <v>33100</v>
      </c>
      <c r="Q1437" s="69" t="s">
        <v>420</v>
      </c>
      <c r="R1437" s="69"/>
      <c r="S1437" s="203" t="s">
        <v>903</v>
      </c>
      <c r="T1437" s="56">
        <v>41</v>
      </c>
      <c r="U1437" s="56">
        <v>3</v>
      </c>
    </row>
    <row r="1438" spans="1:21" ht="14.25" customHeight="1" thickBot="1" x14ac:dyDescent="0.4">
      <c r="A1438" s="58">
        <v>1422</v>
      </c>
      <c r="B1438" s="69" t="s">
        <v>79</v>
      </c>
      <c r="C1438" s="69" t="s">
        <v>80</v>
      </c>
      <c r="D1438" s="70" t="s">
        <v>1469</v>
      </c>
      <c r="E1438" s="69" t="s">
        <v>414</v>
      </c>
      <c r="F1438" s="69" t="s">
        <v>217</v>
      </c>
      <c r="G1438" s="69" t="s">
        <v>415</v>
      </c>
      <c r="H1438" s="70">
        <v>2021</v>
      </c>
      <c r="I1438" s="69" t="s">
        <v>63</v>
      </c>
      <c r="J1438" s="69" t="s">
        <v>63</v>
      </c>
      <c r="K1438" s="71" t="s">
        <v>7285</v>
      </c>
      <c r="L1438" s="71" t="s">
        <v>7286</v>
      </c>
      <c r="M1438" s="71" t="s">
        <v>7287</v>
      </c>
      <c r="N1438" s="69" t="s">
        <v>57</v>
      </c>
      <c r="O1438" s="64">
        <v>1</v>
      </c>
      <c r="P1438" s="72">
        <v>33100</v>
      </c>
      <c r="Q1438" s="69" t="s">
        <v>420</v>
      </c>
      <c r="R1438" s="69"/>
      <c r="S1438" s="203" t="s">
        <v>903</v>
      </c>
      <c r="T1438" s="56">
        <v>41</v>
      </c>
      <c r="U1438" s="56">
        <v>3</v>
      </c>
    </row>
    <row r="1439" spans="1:21" ht="14.25" customHeight="1" x14ac:dyDescent="0.35">
      <c r="A1439" s="47">
        <v>1423</v>
      </c>
      <c r="B1439" s="69" t="s">
        <v>79</v>
      </c>
      <c r="C1439" s="69" t="s">
        <v>80</v>
      </c>
      <c r="D1439" s="70" t="s">
        <v>1475</v>
      </c>
      <c r="E1439" s="69" t="s">
        <v>414</v>
      </c>
      <c r="F1439" s="69" t="s">
        <v>217</v>
      </c>
      <c r="G1439" s="69" t="s">
        <v>415</v>
      </c>
      <c r="H1439" s="70">
        <v>2021</v>
      </c>
      <c r="I1439" s="69" t="s">
        <v>63</v>
      </c>
      <c r="J1439" s="69" t="s">
        <v>63</v>
      </c>
      <c r="K1439" s="71" t="s">
        <v>7288</v>
      </c>
      <c r="L1439" s="71" t="s">
        <v>7289</v>
      </c>
      <c r="M1439" s="71" t="s">
        <v>7290</v>
      </c>
      <c r="N1439" s="69" t="s">
        <v>57</v>
      </c>
      <c r="O1439" s="64">
        <v>1</v>
      </c>
      <c r="P1439" s="72">
        <v>33100</v>
      </c>
      <c r="Q1439" s="69" t="s">
        <v>420</v>
      </c>
      <c r="R1439" s="69"/>
      <c r="S1439" s="203" t="s">
        <v>903</v>
      </c>
      <c r="T1439" s="56">
        <v>41</v>
      </c>
      <c r="U1439" s="56">
        <v>3</v>
      </c>
    </row>
    <row r="1440" spans="1:21" ht="14.25" customHeight="1" thickBot="1" x14ac:dyDescent="0.4">
      <c r="A1440" s="58">
        <v>1424</v>
      </c>
      <c r="B1440" s="69" t="s">
        <v>79</v>
      </c>
      <c r="C1440" s="69" t="s">
        <v>80</v>
      </c>
      <c r="D1440" s="70" t="s">
        <v>1480</v>
      </c>
      <c r="E1440" s="69" t="s">
        <v>414</v>
      </c>
      <c r="F1440" s="69" t="s">
        <v>217</v>
      </c>
      <c r="G1440" s="69" t="s">
        <v>415</v>
      </c>
      <c r="H1440" s="70">
        <v>2021</v>
      </c>
      <c r="I1440" s="69" t="s">
        <v>63</v>
      </c>
      <c r="J1440" s="69" t="s">
        <v>63</v>
      </c>
      <c r="K1440" s="71" t="s">
        <v>7291</v>
      </c>
      <c r="L1440" s="71" t="s">
        <v>7292</v>
      </c>
      <c r="M1440" s="71" t="s">
        <v>7293</v>
      </c>
      <c r="N1440" s="69" t="s">
        <v>57</v>
      </c>
      <c r="O1440" s="64">
        <v>1</v>
      </c>
      <c r="P1440" s="72">
        <v>33100</v>
      </c>
      <c r="Q1440" s="69" t="s">
        <v>420</v>
      </c>
      <c r="R1440" s="69"/>
      <c r="S1440" s="203" t="s">
        <v>903</v>
      </c>
      <c r="T1440" s="56">
        <v>41</v>
      </c>
      <c r="U1440" s="56">
        <v>3</v>
      </c>
    </row>
    <row r="1441" spans="1:21" ht="14.25" customHeight="1" x14ac:dyDescent="0.35">
      <c r="A1441" s="47">
        <v>1425</v>
      </c>
      <c r="B1441" s="69" t="s">
        <v>79</v>
      </c>
      <c r="C1441" s="69" t="s">
        <v>80</v>
      </c>
      <c r="D1441" s="70" t="s">
        <v>1485</v>
      </c>
      <c r="E1441" s="69" t="s">
        <v>414</v>
      </c>
      <c r="F1441" s="69" t="s">
        <v>217</v>
      </c>
      <c r="G1441" s="69" t="s">
        <v>415</v>
      </c>
      <c r="H1441" s="70">
        <v>2021</v>
      </c>
      <c r="I1441" s="69" t="s">
        <v>63</v>
      </c>
      <c r="J1441" s="69" t="s">
        <v>63</v>
      </c>
      <c r="K1441" s="71" t="s">
        <v>7294</v>
      </c>
      <c r="L1441" s="71" t="s">
        <v>7295</v>
      </c>
      <c r="M1441" s="71" t="s">
        <v>7296</v>
      </c>
      <c r="N1441" s="69" t="s">
        <v>57</v>
      </c>
      <c r="O1441" s="64">
        <v>1</v>
      </c>
      <c r="P1441" s="72">
        <v>33100</v>
      </c>
      <c r="Q1441" s="69" t="s">
        <v>420</v>
      </c>
      <c r="R1441" s="69"/>
      <c r="S1441" s="203" t="s">
        <v>903</v>
      </c>
      <c r="T1441" s="56">
        <v>41</v>
      </c>
      <c r="U1441" s="56">
        <v>3</v>
      </c>
    </row>
    <row r="1442" spans="1:21" ht="14.25" customHeight="1" thickBot="1" x14ac:dyDescent="0.4">
      <c r="A1442" s="58">
        <v>1426</v>
      </c>
      <c r="B1442" s="69" t="s">
        <v>79</v>
      </c>
      <c r="C1442" s="69" t="s">
        <v>80</v>
      </c>
      <c r="D1442" s="70" t="s">
        <v>1490</v>
      </c>
      <c r="E1442" s="69" t="s">
        <v>414</v>
      </c>
      <c r="F1442" s="69" t="s">
        <v>217</v>
      </c>
      <c r="G1442" s="69" t="s">
        <v>415</v>
      </c>
      <c r="H1442" s="70">
        <v>2021</v>
      </c>
      <c r="I1442" s="69" t="s">
        <v>63</v>
      </c>
      <c r="J1442" s="69" t="s">
        <v>63</v>
      </c>
      <c r="K1442" s="71" t="s">
        <v>7297</v>
      </c>
      <c r="L1442" s="71" t="s">
        <v>7298</v>
      </c>
      <c r="M1442" s="71" t="s">
        <v>7299</v>
      </c>
      <c r="N1442" s="69" t="s">
        <v>57</v>
      </c>
      <c r="O1442" s="64">
        <v>1</v>
      </c>
      <c r="P1442" s="72">
        <v>33100</v>
      </c>
      <c r="Q1442" s="69" t="s">
        <v>420</v>
      </c>
      <c r="R1442" s="69"/>
      <c r="S1442" s="203" t="s">
        <v>903</v>
      </c>
      <c r="T1442" s="56">
        <v>41</v>
      </c>
      <c r="U1442" s="56">
        <v>3</v>
      </c>
    </row>
    <row r="1443" spans="1:21" ht="14.25" customHeight="1" x14ac:dyDescent="0.35">
      <c r="A1443" s="47">
        <v>1427</v>
      </c>
      <c r="B1443" s="69" t="s">
        <v>79</v>
      </c>
      <c r="C1443" s="69" t="s">
        <v>80</v>
      </c>
      <c r="D1443" s="70" t="s">
        <v>1498</v>
      </c>
      <c r="E1443" s="69" t="s">
        <v>414</v>
      </c>
      <c r="F1443" s="69" t="s">
        <v>217</v>
      </c>
      <c r="G1443" s="69" t="s">
        <v>415</v>
      </c>
      <c r="H1443" s="70">
        <v>2021</v>
      </c>
      <c r="I1443" s="69" t="s">
        <v>63</v>
      </c>
      <c r="J1443" s="69" t="s">
        <v>63</v>
      </c>
      <c r="K1443" s="71" t="s">
        <v>7300</v>
      </c>
      <c r="L1443" s="71" t="s">
        <v>7301</v>
      </c>
      <c r="M1443" s="71" t="s">
        <v>7302</v>
      </c>
      <c r="N1443" s="69" t="s">
        <v>57</v>
      </c>
      <c r="O1443" s="64">
        <v>1</v>
      </c>
      <c r="P1443" s="72">
        <v>33100</v>
      </c>
      <c r="Q1443" s="69" t="s">
        <v>420</v>
      </c>
      <c r="R1443" s="69"/>
      <c r="S1443" s="203" t="s">
        <v>903</v>
      </c>
      <c r="T1443" s="56">
        <v>41</v>
      </c>
      <c r="U1443" s="56">
        <v>3</v>
      </c>
    </row>
    <row r="1444" spans="1:21" ht="14.25" customHeight="1" thickBot="1" x14ac:dyDescent="0.4">
      <c r="A1444" s="58">
        <v>1428</v>
      </c>
      <c r="B1444" s="69" t="s">
        <v>79</v>
      </c>
      <c r="C1444" s="69" t="s">
        <v>80</v>
      </c>
      <c r="D1444" s="70" t="s">
        <v>1506</v>
      </c>
      <c r="E1444" s="69" t="s">
        <v>414</v>
      </c>
      <c r="F1444" s="69" t="s">
        <v>217</v>
      </c>
      <c r="G1444" s="69" t="s">
        <v>415</v>
      </c>
      <c r="H1444" s="70">
        <v>2021</v>
      </c>
      <c r="I1444" s="69" t="s">
        <v>63</v>
      </c>
      <c r="J1444" s="69" t="s">
        <v>63</v>
      </c>
      <c r="K1444" s="71" t="s">
        <v>7303</v>
      </c>
      <c r="L1444" s="71" t="s">
        <v>7304</v>
      </c>
      <c r="M1444" s="71" t="s">
        <v>7305</v>
      </c>
      <c r="N1444" s="69" t="s">
        <v>57</v>
      </c>
      <c r="O1444" s="64">
        <v>1</v>
      </c>
      <c r="P1444" s="72">
        <v>33100</v>
      </c>
      <c r="Q1444" s="69" t="s">
        <v>420</v>
      </c>
      <c r="R1444" s="69"/>
      <c r="S1444" s="203" t="s">
        <v>903</v>
      </c>
      <c r="T1444" s="56">
        <v>41</v>
      </c>
      <c r="U1444" s="56">
        <v>3</v>
      </c>
    </row>
    <row r="1445" spans="1:21" ht="14.25" customHeight="1" x14ac:dyDescent="0.35">
      <c r="A1445" s="47">
        <v>1429</v>
      </c>
      <c r="B1445" s="69" t="s">
        <v>79</v>
      </c>
      <c r="C1445" s="69" t="s">
        <v>80</v>
      </c>
      <c r="D1445" s="70" t="s">
        <v>1511</v>
      </c>
      <c r="E1445" s="69" t="s">
        <v>414</v>
      </c>
      <c r="F1445" s="69" t="s">
        <v>217</v>
      </c>
      <c r="G1445" s="69" t="s">
        <v>415</v>
      </c>
      <c r="H1445" s="70">
        <v>2021</v>
      </c>
      <c r="I1445" s="69" t="s">
        <v>63</v>
      </c>
      <c r="J1445" s="69" t="s">
        <v>63</v>
      </c>
      <c r="K1445" s="71" t="s">
        <v>7306</v>
      </c>
      <c r="L1445" s="71" t="s">
        <v>7307</v>
      </c>
      <c r="M1445" s="71" t="s">
        <v>7308</v>
      </c>
      <c r="N1445" s="69" t="s">
        <v>57</v>
      </c>
      <c r="O1445" s="64">
        <v>1</v>
      </c>
      <c r="P1445" s="72">
        <v>33100</v>
      </c>
      <c r="Q1445" s="69" t="s">
        <v>420</v>
      </c>
      <c r="R1445" s="69"/>
      <c r="S1445" s="203" t="s">
        <v>903</v>
      </c>
      <c r="T1445" s="56">
        <v>41</v>
      </c>
      <c r="U1445" s="56">
        <v>3</v>
      </c>
    </row>
    <row r="1446" spans="1:21" ht="14.25" customHeight="1" thickBot="1" x14ac:dyDescent="0.4">
      <c r="A1446" s="58">
        <v>1430</v>
      </c>
      <c r="B1446" s="69" t="s">
        <v>79</v>
      </c>
      <c r="C1446" s="69" t="s">
        <v>80</v>
      </c>
      <c r="D1446" s="70" t="s">
        <v>1520</v>
      </c>
      <c r="E1446" s="69" t="s">
        <v>414</v>
      </c>
      <c r="F1446" s="69" t="s">
        <v>217</v>
      </c>
      <c r="G1446" s="69" t="s">
        <v>415</v>
      </c>
      <c r="H1446" s="70">
        <v>2021</v>
      </c>
      <c r="I1446" s="69" t="s">
        <v>63</v>
      </c>
      <c r="J1446" s="69" t="s">
        <v>63</v>
      </c>
      <c r="K1446" s="71" t="s">
        <v>7309</v>
      </c>
      <c r="L1446" s="71" t="s">
        <v>7310</v>
      </c>
      <c r="M1446" s="71" t="s">
        <v>7311</v>
      </c>
      <c r="N1446" s="69" t="s">
        <v>57</v>
      </c>
      <c r="O1446" s="64">
        <v>1</v>
      </c>
      <c r="P1446" s="72">
        <v>33100</v>
      </c>
      <c r="Q1446" s="69" t="s">
        <v>420</v>
      </c>
      <c r="R1446" s="69"/>
      <c r="S1446" s="203" t="s">
        <v>903</v>
      </c>
      <c r="T1446" s="56">
        <v>41</v>
      </c>
      <c r="U1446" s="56">
        <v>3</v>
      </c>
    </row>
    <row r="1447" spans="1:21" ht="14.25" customHeight="1" x14ac:dyDescent="0.35">
      <c r="A1447" s="47">
        <v>1431</v>
      </c>
      <c r="B1447" s="69" t="s">
        <v>79</v>
      </c>
      <c r="C1447" s="69" t="s">
        <v>80</v>
      </c>
      <c r="D1447" s="70" t="s">
        <v>1526</v>
      </c>
      <c r="E1447" s="69" t="s">
        <v>414</v>
      </c>
      <c r="F1447" s="69" t="s">
        <v>217</v>
      </c>
      <c r="G1447" s="69" t="s">
        <v>415</v>
      </c>
      <c r="H1447" s="70">
        <v>2021</v>
      </c>
      <c r="I1447" s="69" t="s">
        <v>63</v>
      </c>
      <c r="J1447" s="69" t="s">
        <v>63</v>
      </c>
      <c r="K1447" s="71" t="s">
        <v>7312</v>
      </c>
      <c r="L1447" s="71" t="s">
        <v>7313</v>
      </c>
      <c r="M1447" s="71" t="s">
        <v>7314</v>
      </c>
      <c r="N1447" s="69" t="s">
        <v>57</v>
      </c>
      <c r="O1447" s="64">
        <v>1</v>
      </c>
      <c r="P1447" s="72">
        <v>33100</v>
      </c>
      <c r="Q1447" s="69" t="s">
        <v>420</v>
      </c>
      <c r="R1447" s="69"/>
      <c r="S1447" s="203" t="s">
        <v>903</v>
      </c>
      <c r="T1447" s="56">
        <v>41</v>
      </c>
      <c r="U1447" s="56">
        <v>3</v>
      </c>
    </row>
    <row r="1448" spans="1:21" ht="14.25" customHeight="1" thickBot="1" x14ac:dyDescent="0.4">
      <c r="A1448" s="58">
        <v>1432</v>
      </c>
      <c r="B1448" s="69" t="s">
        <v>79</v>
      </c>
      <c r="C1448" s="69" t="s">
        <v>80</v>
      </c>
      <c r="D1448" s="70" t="s">
        <v>1532</v>
      </c>
      <c r="E1448" s="69" t="s">
        <v>414</v>
      </c>
      <c r="F1448" s="69" t="s">
        <v>217</v>
      </c>
      <c r="G1448" s="69" t="s">
        <v>415</v>
      </c>
      <c r="H1448" s="70">
        <v>2021</v>
      </c>
      <c r="I1448" s="69" t="s">
        <v>63</v>
      </c>
      <c r="J1448" s="69" t="s">
        <v>63</v>
      </c>
      <c r="K1448" s="71" t="s">
        <v>7315</v>
      </c>
      <c r="L1448" s="71" t="s">
        <v>7316</v>
      </c>
      <c r="M1448" s="71" t="s">
        <v>7317</v>
      </c>
      <c r="N1448" s="69" t="s">
        <v>57</v>
      </c>
      <c r="O1448" s="64">
        <v>1</v>
      </c>
      <c r="P1448" s="72">
        <v>33100</v>
      </c>
      <c r="Q1448" s="69" t="s">
        <v>420</v>
      </c>
      <c r="R1448" s="69"/>
      <c r="S1448" s="203" t="s">
        <v>903</v>
      </c>
      <c r="T1448" s="56">
        <v>41</v>
      </c>
      <c r="U1448" s="56">
        <v>3</v>
      </c>
    </row>
    <row r="1449" spans="1:21" ht="14.25" customHeight="1" x14ac:dyDescent="0.35">
      <c r="A1449" s="47">
        <v>1433</v>
      </c>
      <c r="B1449" s="69" t="s">
        <v>79</v>
      </c>
      <c r="C1449" s="69" t="s">
        <v>80</v>
      </c>
      <c r="D1449" s="70" t="s">
        <v>1537</v>
      </c>
      <c r="E1449" s="69" t="s">
        <v>414</v>
      </c>
      <c r="F1449" s="69" t="s">
        <v>217</v>
      </c>
      <c r="G1449" s="69" t="s">
        <v>415</v>
      </c>
      <c r="H1449" s="70">
        <v>2021</v>
      </c>
      <c r="I1449" s="69" t="s">
        <v>63</v>
      </c>
      <c r="J1449" s="69" t="s">
        <v>63</v>
      </c>
      <c r="K1449" s="71" t="s">
        <v>7318</v>
      </c>
      <c r="L1449" s="71" t="s">
        <v>7319</v>
      </c>
      <c r="M1449" s="71" t="s">
        <v>7320</v>
      </c>
      <c r="N1449" s="69" t="s">
        <v>57</v>
      </c>
      <c r="O1449" s="64">
        <v>1</v>
      </c>
      <c r="P1449" s="72">
        <v>33100</v>
      </c>
      <c r="Q1449" s="69" t="s">
        <v>420</v>
      </c>
      <c r="R1449" s="69"/>
      <c r="S1449" s="203" t="s">
        <v>903</v>
      </c>
      <c r="T1449" s="56">
        <v>41</v>
      </c>
      <c r="U1449" s="56">
        <v>3</v>
      </c>
    </row>
    <row r="1450" spans="1:21" ht="14.25" customHeight="1" thickBot="1" x14ac:dyDescent="0.4">
      <c r="A1450" s="58">
        <v>1434</v>
      </c>
      <c r="B1450" s="69" t="s">
        <v>79</v>
      </c>
      <c r="C1450" s="69" t="s">
        <v>80</v>
      </c>
      <c r="D1450" s="70" t="s">
        <v>1543</v>
      </c>
      <c r="E1450" s="69" t="s">
        <v>414</v>
      </c>
      <c r="F1450" s="69" t="s">
        <v>217</v>
      </c>
      <c r="G1450" s="69" t="s">
        <v>415</v>
      </c>
      <c r="H1450" s="70">
        <v>2021</v>
      </c>
      <c r="I1450" s="69" t="s">
        <v>63</v>
      </c>
      <c r="J1450" s="69" t="s">
        <v>7321</v>
      </c>
      <c r="K1450" s="71" t="s">
        <v>7322</v>
      </c>
      <c r="L1450" s="71" t="s">
        <v>7323</v>
      </c>
      <c r="M1450" s="71" t="s">
        <v>7324</v>
      </c>
      <c r="N1450" s="69" t="s">
        <v>57</v>
      </c>
      <c r="O1450" s="64">
        <v>1</v>
      </c>
      <c r="P1450" s="72">
        <v>33100</v>
      </c>
      <c r="Q1450" s="69" t="s">
        <v>420</v>
      </c>
      <c r="R1450" s="69"/>
      <c r="S1450" s="203" t="s">
        <v>903</v>
      </c>
      <c r="T1450" s="56">
        <v>41</v>
      </c>
      <c r="U1450" s="56">
        <v>3</v>
      </c>
    </row>
    <row r="1451" spans="1:21" ht="14.25" customHeight="1" x14ac:dyDescent="0.35">
      <c r="A1451" s="47">
        <v>1435</v>
      </c>
      <c r="B1451" s="69" t="s">
        <v>79</v>
      </c>
      <c r="C1451" s="69" t="s">
        <v>80</v>
      </c>
      <c r="D1451" s="70" t="s">
        <v>7325</v>
      </c>
      <c r="E1451" s="69" t="s">
        <v>414</v>
      </c>
      <c r="F1451" s="69" t="s">
        <v>217</v>
      </c>
      <c r="G1451" s="69" t="s">
        <v>415</v>
      </c>
      <c r="H1451" s="70">
        <v>2021</v>
      </c>
      <c r="I1451" s="69" t="s">
        <v>63</v>
      </c>
      <c r="J1451" s="69" t="s">
        <v>63</v>
      </c>
      <c r="K1451" s="71" t="s">
        <v>7326</v>
      </c>
      <c r="L1451" s="71" t="s">
        <v>7327</v>
      </c>
      <c r="M1451" s="71" t="s">
        <v>7328</v>
      </c>
      <c r="N1451" s="69" t="s">
        <v>57</v>
      </c>
      <c r="O1451" s="64">
        <v>1</v>
      </c>
      <c r="P1451" s="72">
        <v>33100</v>
      </c>
      <c r="Q1451" s="69" t="s">
        <v>420</v>
      </c>
      <c r="R1451" s="69"/>
      <c r="S1451" s="203" t="s">
        <v>903</v>
      </c>
      <c r="T1451" s="56">
        <v>41</v>
      </c>
      <c r="U1451" s="56">
        <v>3</v>
      </c>
    </row>
    <row r="1452" spans="1:21" ht="14.25" customHeight="1" thickBot="1" x14ac:dyDescent="0.4">
      <c r="A1452" s="58">
        <v>1436</v>
      </c>
      <c r="B1452" s="69" t="s">
        <v>79</v>
      </c>
      <c r="C1452" s="69" t="s">
        <v>80</v>
      </c>
      <c r="D1452" s="70" t="s">
        <v>6076</v>
      </c>
      <c r="E1452" s="69" t="s">
        <v>414</v>
      </c>
      <c r="F1452" s="69" t="s">
        <v>217</v>
      </c>
      <c r="G1452" s="69" t="s">
        <v>415</v>
      </c>
      <c r="H1452" s="70">
        <v>2021</v>
      </c>
      <c r="I1452" s="69" t="s">
        <v>63</v>
      </c>
      <c r="J1452" s="69" t="s">
        <v>63</v>
      </c>
      <c r="K1452" s="71" t="s">
        <v>7329</v>
      </c>
      <c r="L1452" s="71" t="s">
        <v>7330</v>
      </c>
      <c r="M1452" s="71" t="s">
        <v>7331</v>
      </c>
      <c r="N1452" s="69" t="s">
        <v>57</v>
      </c>
      <c r="O1452" s="64">
        <v>1</v>
      </c>
      <c r="P1452" s="72">
        <v>33100</v>
      </c>
      <c r="Q1452" s="69" t="s">
        <v>420</v>
      </c>
      <c r="R1452" s="69"/>
      <c r="S1452" s="203" t="s">
        <v>903</v>
      </c>
      <c r="T1452" s="56">
        <v>41</v>
      </c>
      <c r="U1452" s="56">
        <v>3</v>
      </c>
    </row>
    <row r="1453" spans="1:21" ht="14.25" customHeight="1" x14ac:dyDescent="0.35">
      <c r="A1453" s="47">
        <v>1437</v>
      </c>
      <c r="B1453" s="69" t="s">
        <v>79</v>
      </c>
      <c r="C1453" s="69" t="s">
        <v>80</v>
      </c>
      <c r="D1453" s="70" t="s">
        <v>6081</v>
      </c>
      <c r="E1453" s="69" t="s">
        <v>414</v>
      </c>
      <c r="F1453" s="69" t="s">
        <v>217</v>
      </c>
      <c r="G1453" s="69" t="s">
        <v>415</v>
      </c>
      <c r="H1453" s="70">
        <v>2021</v>
      </c>
      <c r="I1453" s="69" t="s">
        <v>63</v>
      </c>
      <c r="J1453" s="69" t="s">
        <v>63</v>
      </c>
      <c r="K1453" s="71" t="s">
        <v>7332</v>
      </c>
      <c r="L1453" s="71" t="s">
        <v>7333</v>
      </c>
      <c r="M1453" s="71" t="s">
        <v>7334</v>
      </c>
      <c r="N1453" s="69" t="s">
        <v>57</v>
      </c>
      <c r="O1453" s="64">
        <v>1</v>
      </c>
      <c r="P1453" s="72">
        <v>33100</v>
      </c>
      <c r="Q1453" s="69" t="s">
        <v>420</v>
      </c>
      <c r="R1453" s="69"/>
      <c r="S1453" s="203" t="s">
        <v>903</v>
      </c>
      <c r="T1453" s="56">
        <v>41</v>
      </c>
      <c r="U1453" s="56">
        <v>3</v>
      </c>
    </row>
    <row r="1454" spans="1:21" ht="14.25" customHeight="1" thickBot="1" x14ac:dyDescent="0.4">
      <c r="A1454" s="58">
        <v>1438</v>
      </c>
      <c r="B1454" s="69" t="s">
        <v>79</v>
      </c>
      <c r="C1454" s="69" t="s">
        <v>80</v>
      </c>
      <c r="D1454" s="70" t="s">
        <v>6085</v>
      </c>
      <c r="E1454" s="69" t="s">
        <v>414</v>
      </c>
      <c r="F1454" s="69" t="s">
        <v>217</v>
      </c>
      <c r="G1454" s="69" t="s">
        <v>415</v>
      </c>
      <c r="H1454" s="70">
        <v>2021</v>
      </c>
      <c r="I1454" s="69" t="s">
        <v>63</v>
      </c>
      <c r="J1454" s="69" t="s">
        <v>63</v>
      </c>
      <c r="K1454" s="71" t="s">
        <v>7335</v>
      </c>
      <c r="L1454" s="71" t="s">
        <v>7336</v>
      </c>
      <c r="M1454" s="71" t="s">
        <v>7337</v>
      </c>
      <c r="N1454" s="69" t="s">
        <v>57</v>
      </c>
      <c r="O1454" s="64">
        <v>1</v>
      </c>
      <c r="P1454" s="72">
        <v>33100</v>
      </c>
      <c r="Q1454" s="69" t="s">
        <v>420</v>
      </c>
      <c r="R1454" s="69"/>
      <c r="S1454" s="203" t="s">
        <v>903</v>
      </c>
      <c r="T1454" s="56">
        <v>41</v>
      </c>
      <c r="U1454" s="56">
        <v>3</v>
      </c>
    </row>
    <row r="1455" spans="1:21" ht="14.25" customHeight="1" x14ac:dyDescent="0.35">
      <c r="A1455" s="47">
        <v>1439</v>
      </c>
      <c r="B1455" s="69" t="s">
        <v>79</v>
      </c>
      <c r="C1455" s="69" t="s">
        <v>80</v>
      </c>
      <c r="D1455" s="70" t="s">
        <v>6089</v>
      </c>
      <c r="E1455" s="69" t="s">
        <v>414</v>
      </c>
      <c r="F1455" s="69" t="s">
        <v>217</v>
      </c>
      <c r="G1455" s="69" t="s">
        <v>415</v>
      </c>
      <c r="H1455" s="70">
        <v>2021</v>
      </c>
      <c r="I1455" s="69" t="s">
        <v>63</v>
      </c>
      <c r="J1455" s="69" t="s">
        <v>63</v>
      </c>
      <c r="K1455" s="71" t="s">
        <v>7338</v>
      </c>
      <c r="L1455" s="71" t="s">
        <v>7339</v>
      </c>
      <c r="M1455" s="71" t="s">
        <v>7340</v>
      </c>
      <c r="N1455" s="69" t="s">
        <v>57</v>
      </c>
      <c r="O1455" s="64">
        <v>1</v>
      </c>
      <c r="P1455" s="72">
        <v>33100</v>
      </c>
      <c r="Q1455" s="69" t="s">
        <v>420</v>
      </c>
      <c r="R1455" s="69"/>
      <c r="S1455" s="203" t="s">
        <v>903</v>
      </c>
      <c r="T1455" s="56">
        <v>41</v>
      </c>
      <c r="U1455" s="56">
        <v>3</v>
      </c>
    </row>
    <row r="1456" spans="1:21" ht="14.25" customHeight="1" thickBot="1" x14ac:dyDescent="0.4">
      <c r="A1456" s="58">
        <v>1440</v>
      </c>
      <c r="B1456" s="69" t="s">
        <v>79</v>
      </c>
      <c r="C1456" s="69" t="s">
        <v>80</v>
      </c>
      <c r="D1456" s="70" t="s">
        <v>7341</v>
      </c>
      <c r="E1456" s="69" t="s">
        <v>414</v>
      </c>
      <c r="F1456" s="69" t="s">
        <v>217</v>
      </c>
      <c r="G1456" s="69" t="s">
        <v>415</v>
      </c>
      <c r="H1456" s="70">
        <v>2021</v>
      </c>
      <c r="I1456" s="69" t="s">
        <v>63</v>
      </c>
      <c r="J1456" s="69" t="s">
        <v>63</v>
      </c>
      <c r="K1456" s="71" t="s">
        <v>7342</v>
      </c>
      <c r="L1456" s="71" t="s">
        <v>7343</v>
      </c>
      <c r="M1456" s="71" t="s">
        <v>7344</v>
      </c>
      <c r="N1456" s="69" t="s">
        <v>57</v>
      </c>
      <c r="O1456" s="64">
        <v>1</v>
      </c>
      <c r="P1456" s="72">
        <v>33100</v>
      </c>
      <c r="Q1456" s="69" t="s">
        <v>420</v>
      </c>
      <c r="R1456" s="69"/>
      <c r="S1456" s="203" t="s">
        <v>903</v>
      </c>
      <c r="T1456" s="56">
        <v>41</v>
      </c>
      <c r="U1456" s="56">
        <v>3</v>
      </c>
    </row>
    <row r="1457" spans="1:21" ht="14.25" customHeight="1" x14ac:dyDescent="0.35">
      <c r="A1457" s="47">
        <v>1441</v>
      </c>
      <c r="B1457" s="69" t="s">
        <v>79</v>
      </c>
      <c r="C1457" s="69" t="s">
        <v>80</v>
      </c>
      <c r="D1457" s="70" t="s">
        <v>6092</v>
      </c>
      <c r="E1457" s="69" t="s">
        <v>414</v>
      </c>
      <c r="F1457" s="69" t="s">
        <v>217</v>
      </c>
      <c r="G1457" s="69" t="s">
        <v>415</v>
      </c>
      <c r="H1457" s="70">
        <v>2021</v>
      </c>
      <c r="I1457" s="69" t="s">
        <v>63</v>
      </c>
      <c r="J1457" s="69" t="s">
        <v>63</v>
      </c>
      <c r="K1457" s="71" t="s">
        <v>7345</v>
      </c>
      <c r="L1457" s="71" t="s">
        <v>7346</v>
      </c>
      <c r="M1457" s="71" t="s">
        <v>7347</v>
      </c>
      <c r="N1457" s="69" t="s">
        <v>57</v>
      </c>
      <c r="O1457" s="64">
        <v>1</v>
      </c>
      <c r="P1457" s="72">
        <v>33100</v>
      </c>
      <c r="Q1457" s="69" t="s">
        <v>420</v>
      </c>
      <c r="R1457" s="69"/>
      <c r="S1457" s="203" t="s">
        <v>903</v>
      </c>
      <c r="T1457" s="56">
        <v>41</v>
      </c>
      <c r="U1457" s="56">
        <v>3</v>
      </c>
    </row>
    <row r="1458" spans="1:21" ht="14.25" customHeight="1" thickBot="1" x14ac:dyDescent="0.4">
      <c r="A1458" s="58">
        <v>1442</v>
      </c>
      <c r="B1458" s="69" t="s">
        <v>79</v>
      </c>
      <c r="C1458" s="69" t="s">
        <v>80</v>
      </c>
      <c r="D1458" s="70" t="s">
        <v>7348</v>
      </c>
      <c r="E1458" s="69" t="s">
        <v>414</v>
      </c>
      <c r="F1458" s="69" t="s">
        <v>217</v>
      </c>
      <c r="G1458" s="69" t="s">
        <v>415</v>
      </c>
      <c r="H1458" s="70">
        <v>2021</v>
      </c>
      <c r="I1458" s="69" t="s">
        <v>63</v>
      </c>
      <c r="J1458" s="69" t="s">
        <v>63</v>
      </c>
      <c r="K1458" s="71" t="s">
        <v>7349</v>
      </c>
      <c r="L1458" s="71" t="s">
        <v>7350</v>
      </c>
      <c r="M1458" s="71" t="s">
        <v>7351</v>
      </c>
      <c r="N1458" s="69" t="s">
        <v>57</v>
      </c>
      <c r="O1458" s="64">
        <v>1</v>
      </c>
      <c r="P1458" s="72">
        <v>33100</v>
      </c>
      <c r="Q1458" s="69" t="s">
        <v>420</v>
      </c>
      <c r="R1458" s="69"/>
      <c r="S1458" s="203" t="s">
        <v>903</v>
      </c>
      <c r="T1458" s="56">
        <v>41</v>
      </c>
      <c r="U1458" s="56">
        <v>3</v>
      </c>
    </row>
    <row r="1459" spans="1:21" ht="14.25" customHeight="1" x14ac:dyDescent="0.35">
      <c r="A1459" s="47">
        <v>1443</v>
      </c>
      <c r="B1459" s="69" t="s">
        <v>79</v>
      </c>
      <c r="C1459" s="69" t="s">
        <v>80</v>
      </c>
      <c r="D1459" s="70" t="s">
        <v>6097</v>
      </c>
      <c r="E1459" s="69" t="s">
        <v>414</v>
      </c>
      <c r="F1459" s="69" t="s">
        <v>217</v>
      </c>
      <c r="G1459" s="69" t="s">
        <v>415</v>
      </c>
      <c r="H1459" s="70">
        <v>2021</v>
      </c>
      <c r="I1459" s="69" t="s">
        <v>63</v>
      </c>
      <c r="J1459" s="69" t="s">
        <v>63</v>
      </c>
      <c r="K1459" s="71" t="s">
        <v>7352</v>
      </c>
      <c r="L1459" s="71" t="s">
        <v>7353</v>
      </c>
      <c r="M1459" s="71" t="s">
        <v>7354</v>
      </c>
      <c r="N1459" s="69" t="s">
        <v>57</v>
      </c>
      <c r="O1459" s="64">
        <v>1</v>
      </c>
      <c r="P1459" s="72">
        <v>33100</v>
      </c>
      <c r="Q1459" s="69" t="s">
        <v>420</v>
      </c>
      <c r="R1459" s="69"/>
      <c r="S1459" s="203" t="s">
        <v>903</v>
      </c>
      <c r="T1459" s="56">
        <v>41</v>
      </c>
      <c r="U1459" s="56">
        <v>3</v>
      </c>
    </row>
    <row r="1460" spans="1:21" ht="14.25" customHeight="1" thickBot="1" x14ac:dyDescent="0.4">
      <c r="A1460" s="58">
        <v>1444</v>
      </c>
      <c r="B1460" s="69" t="s">
        <v>79</v>
      </c>
      <c r="C1460" s="69" t="s">
        <v>80</v>
      </c>
      <c r="D1460" s="70" t="s">
        <v>6102</v>
      </c>
      <c r="E1460" s="69" t="s">
        <v>414</v>
      </c>
      <c r="F1460" s="69" t="s">
        <v>217</v>
      </c>
      <c r="G1460" s="69" t="s">
        <v>415</v>
      </c>
      <c r="H1460" s="70">
        <v>2021</v>
      </c>
      <c r="I1460" s="69" t="s">
        <v>63</v>
      </c>
      <c r="J1460" s="69" t="s">
        <v>63</v>
      </c>
      <c r="K1460" s="71" t="s">
        <v>7355</v>
      </c>
      <c r="L1460" s="71" t="s">
        <v>7356</v>
      </c>
      <c r="M1460" s="71" t="s">
        <v>7357</v>
      </c>
      <c r="N1460" s="69" t="s">
        <v>57</v>
      </c>
      <c r="O1460" s="64">
        <v>1</v>
      </c>
      <c r="P1460" s="72">
        <v>33100</v>
      </c>
      <c r="Q1460" s="69" t="s">
        <v>420</v>
      </c>
      <c r="R1460" s="69"/>
      <c r="S1460" s="203" t="s">
        <v>903</v>
      </c>
      <c r="T1460" s="56">
        <v>41</v>
      </c>
      <c r="U1460" s="56">
        <v>3</v>
      </c>
    </row>
    <row r="1461" spans="1:21" ht="14.25" customHeight="1" x14ac:dyDescent="0.35">
      <c r="A1461" s="47">
        <v>1445</v>
      </c>
      <c r="B1461" s="69" t="s">
        <v>79</v>
      </c>
      <c r="C1461" s="69" t="s">
        <v>80</v>
      </c>
      <c r="D1461" s="70" t="s">
        <v>6108</v>
      </c>
      <c r="E1461" s="69" t="s">
        <v>414</v>
      </c>
      <c r="F1461" s="69" t="s">
        <v>217</v>
      </c>
      <c r="G1461" s="69" t="s">
        <v>415</v>
      </c>
      <c r="H1461" s="70">
        <v>2021</v>
      </c>
      <c r="I1461" s="69" t="s">
        <v>63</v>
      </c>
      <c r="J1461" s="69" t="s">
        <v>63</v>
      </c>
      <c r="K1461" s="71" t="s">
        <v>7358</v>
      </c>
      <c r="L1461" s="71" t="s">
        <v>7359</v>
      </c>
      <c r="M1461" s="71" t="s">
        <v>7360</v>
      </c>
      <c r="N1461" s="69" t="s">
        <v>57</v>
      </c>
      <c r="O1461" s="64">
        <v>1</v>
      </c>
      <c r="P1461" s="72">
        <v>33100</v>
      </c>
      <c r="Q1461" s="69" t="s">
        <v>420</v>
      </c>
      <c r="R1461" s="69"/>
      <c r="S1461" s="203" t="s">
        <v>903</v>
      </c>
      <c r="T1461" s="56">
        <v>41</v>
      </c>
      <c r="U1461" s="56">
        <v>3</v>
      </c>
    </row>
    <row r="1462" spans="1:21" ht="14.25" customHeight="1" thickBot="1" x14ac:dyDescent="0.4">
      <c r="A1462" s="58">
        <v>1446</v>
      </c>
      <c r="B1462" s="69" t="s">
        <v>79</v>
      </c>
      <c r="C1462" s="69" t="s">
        <v>80</v>
      </c>
      <c r="D1462" s="70" t="s">
        <v>6120</v>
      </c>
      <c r="E1462" s="69" t="s">
        <v>414</v>
      </c>
      <c r="F1462" s="69" t="s">
        <v>217</v>
      </c>
      <c r="G1462" s="69" t="s">
        <v>415</v>
      </c>
      <c r="H1462" s="70">
        <v>2021</v>
      </c>
      <c r="I1462" s="69" t="s">
        <v>63</v>
      </c>
      <c r="J1462" s="69" t="s">
        <v>63</v>
      </c>
      <c r="K1462" s="71" t="s">
        <v>7361</v>
      </c>
      <c r="L1462" s="71" t="s">
        <v>7362</v>
      </c>
      <c r="M1462" s="71" t="s">
        <v>7363</v>
      </c>
      <c r="N1462" s="69" t="s">
        <v>57</v>
      </c>
      <c r="O1462" s="64">
        <v>1</v>
      </c>
      <c r="P1462" s="72">
        <v>33100</v>
      </c>
      <c r="Q1462" s="69" t="s">
        <v>420</v>
      </c>
      <c r="R1462" s="69"/>
      <c r="S1462" s="203" t="s">
        <v>903</v>
      </c>
      <c r="T1462" s="56">
        <v>41</v>
      </c>
      <c r="U1462" s="56">
        <v>3</v>
      </c>
    </row>
    <row r="1463" spans="1:21" ht="14.25" customHeight="1" x14ac:dyDescent="0.35">
      <c r="A1463" s="47">
        <v>1447</v>
      </c>
      <c r="B1463" s="69" t="s">
        <v>79</v>
      </c>
      <c r="C1463" s="69" t="s">
        <v>80</v>
      </c>
      <c r="D1463" s="70" t="s">
        <v>6126</v>
      </c>
      <c r="E1463" s="69" t="s">
        <v>414</v>
      </c>
      <c r="F1463" s="69" t="s">
        <v>217</v>
      </c>
      <c r="G1463" s="69" t="s">
        <v>415</v>
      </c>
      <c r="H1463" s="70">
        <v>2021</v>
      </c>
      <c r="I1463" s="69" t="s">
        <v>63</v>
      </c>
      <c r="J1463" s="69" t="s">
        <v>63</v>
      </c>
      <c r="K1463" s="71" t="s">
        <v>7364</v>
      </c>
      <c r="L1463" s="71" t="s">
        <v>7365</v>
      </c>
      <c r="M1463" s="71" t="s">
        <v>7366</v>
      </c>
      <c r="N1463" s="69" t="s">
        <v>57</v>
      </c>
      <c r="O1463" s="64">
        <v>1</v>
      </c>
      <c r="P1463" s="72">
        <v>33100</v>
      </c>
      <c r="Q1463" s="69" t="s">
        <v>420</v>
      </c>
      <c r="R1463" s="69"/>
      <c r="S1463" s="203" t="s">
        <v>903</v>
      </c>
      <c r="T1463" s="56">
        <v>41</v>
      </c>
      <c r="U1463" s="56">
        <v>3</v>
      </c>
    </row>
    <row r="1464" spans="1:21" ht="14.25" customHeight="1" thickBot="1" x14ac:dyDescent="0.4">
      <c r="A1464" s="58">
        <v>1448</v>
      </c>
      <c r="B1464" s="69" t="s">
        <v>79</v>
      </c>
      <c r="C1464" s="69" t="s">
        <v>80</v>
      </c>
      <c r="D1464" s="70" t="s">
        <v>6132</v>
      </c>
      <c r="E1464" s="69" t="s">
        <v>2648</v>
      </c>
      <c r="F1464" s="69" t="s">
        <v>63</v>
      </c>
      <c r="G1464" s="69" t="s">
        <v>63</v>
      </c>
      <c r="H1464" s="70">
        <v>2019</v>
      </c>
      <c r="I1464" s="69" t="s">
        <v>63</v>
      </c>
      <c r="J1464" s="69" t="s">
        <v>63</v>
      </c>
      <c r="K1464" s="71" t="s">
        <v>7367</v>
      </c>
      <c r="L1464" s="71" t="s">
        <v>7368</v>
      </c>
      <c r="M1464" s="71" t="s">
        <v>7369</v>
      </c>
      <c r="N1464" s="69" t="s">
        <v>57</v>
      </c>
      <c r="O1464" s="64">
        <v>1</v>
      </c>
      <c r="P1464" s="72">
        <v>33000</v>
      </c>
      <c r="Q1464" s="69" t="s">
        <v>7370</v>
      </c>
      <c r="R1464" s="69"/>
      <c r="S1464" s="203" t="s">
        <v>903</v>
      </c>
      <c r="T1464" s="56">
        <v>41</v>
      </c>
      <c r="U1464" s="56">
        <v>3</v>
      </c>
    </row>
    <row r="1465" spans="1:21" ht="14.25" customHeight="1" x14ac:dyDescent="0.35">
      <c r="A1465" s="47">
        <v>1449</v>
      </c>
      <c r="B1465" s="69" t="s">
        <v>79</v>
      </c>
      <c r="C1465" s="69" t="s">
        <v>80</v>
      </c>
      <c r="D1465" s="70" t="s">
        <v>6138</v>
      </c>
      <c r="E1465" s="69" t="s">
        <v>2648</v>
      </c>
      <c r="F1465" s="69" t="s">
        <v>63</v>
      </c>
      <c r="G1465" s="69" t="s">
        <v>63</v>
      </c>
      <c r="H1465" s="70">
        <v>2019</v>
      </c>
      <c r="I1465" s="69" t="s">
        <v>63</v>
      </c>
      <c r="J1465" s="69" t="s">
        <v>63</v>
      </c>
      <c r="K1465" s="71" t="s">
        <v>7371</v>
      </c>
      <c r="L1465" s="71" t="s">
        <v>7372</v>
      </c>
      <c r="M1465" s="71" t="s">
        <v>7373</v>
      </c>
      <c r="N1465" s="69" t="s">
        <v>57</v>
      </c>
      <c r="O1465" s="64">
        <v>1</v>
      </c>
      <c r="P1465" s="72">
        <v>33000</v>
      </c>
      <c r="Q1465" s="69" t="s">
        <v>7370</v>
      </c>
      <c r="R1465" s="69"/>
      <c r="S1465" s="203" t="s">
        <v>903</v>
      </c>
      <c r="T1465" s="56">
        <v>41</v>
      </c>
      <c r="U1465" s="56">
        <v>3</v>
      </c>
    </row>
    <row r="1466" spans="1:21" ht="14.25" customHeight="1" thickBot="1" x14ac:dyDescent="0.4">
      <c r="A1466" s="58">
        <v>1450</v>
      </c>
      <c r="B1466" s="69" t="s">
        <v>79</v>
      </c>
      <c r="C1466" s="69" t="s">
        <v>80</v>
      </c>
      <c r="D1466" s="70" t="s">
        <v>6144</v>
      </c>
      <c r="E1466" s="69" t="s">
        <v>2648</v>
      </c>
      <c r="F1466" s="69" t="s">
        <v>63</v>
      </c>
      <c r="G1466" s="69" t="s">
        <v>63</v>
      </c>
      <c r="H1466" s="70">
        <v>2019</v>
      </c>
      <c r="I1466" s="69" t="s">
        <v>63</v>
      </c>
      <c r="J1466" s="69" t="s">
        <v>63</v>
      </c>
      <c r="K1466" s="71" t="s">
        <v>7374</v>
      </c>
      <c r="L1466" s="71" t="s">
        <v>7375</v>
      </c>
      <c r="M1466" s="71" t="s">
        <v>7376</v>
      </c>
      <c r="N1466" s="69" t="s">
        <v>57</v>
      </c>
      <c r="O1466" s="64">
        <v>1</v>
      </c>
      <c r="P1466" s="72">
        <v>33000</v>
      </c>
      <c r="Q1466" s="69" t="s">
        <v>7370</v>
      </c>
      <c r="R1466" s="69"/>
      <c r="S1466" s="203" t="s">
        <v>903</v>
      </c>
      <c r="T1466" s="56">
        <v>41</v>
      </c>
      <c r="U1466" s="56">
        <v>3</v>
      </c>
    </row>
    <row r="1467" spans="1:21" ht="14.25" customHeight="1" x14ac:dyDescent="0.35">
      <c r="A1467" s="47">
        <v>1451</v>
      </c>
      <c r="B1467" s="69" t="s">
        <v>79</v>
      </c>
      <c r="C1467" s="69" t="s">
        <v>80</v>
      </c>
      <c r="D1467" s="70" t="s">
        <v>6150</v>
      </c>
      <c r="E1467" s="69" t="s">
        <v>2648</v>
      </c>
      <c r="F1467" s="69" t="s">
        <v>63</v>
      </c>
      <c r="G1467" s="69" t="s">
        <v>63</v>
      </c>
      <c r="H1467" s="70">
        <v>2019</v>
      </c>
      <c r="I1467" s="69" t="s">
        <v>63</v>
      </c>
      <c r="J1467" s="69" t="s">
        <v>63</v>
      </c>
      <c r="K1467" s="71" t="s">
        <v>7377</v>
      </c>
      <c r="L1467" s="71" t="s">
        <v>7378</v>
      </c>
      <c r="M1467" s="71" t="s">
        <v>7379</v>
      </c>
      <c r="N1467" s="69" t="s">
        <v>57</v>
      </c>
      <c r="O1467" s="64">
        <v>1</v>
      </c>
      <c r="P1467" s="72">
        <v>33000</v>
      </c>
      <c r="Q1467" s="69" t="s">
        <v>7370</v>
      </c>
      <c r="R1467" s="69"/>
      <c r="S1467" s="203" t="s">
        <v>903</v>
      </c>
      <c r="T1467" s="56">
        <v>41</v>
      </c>
      <c r="U1467" s="56">
        <v>3</v>
      </c>
    </row>
    <row r="1468" spans="1:21" ht="14.25" customHeight="1" thickBot="1" x14ac:dyDescent="0.4">
      <c r="A1468" s="58">
        <v>1452</v>
      </c>
      <c r="B1468" s="69" t="s">
        <v>79</v>
      </c>
      <c r="C1468" s="69" t="s">
        <v>80</v>
      </c>
      <c r="D1468" s="70" t="s">
        <v>6156</v>
      </c>
      <c r="E1468" s="69" t="s">
        <v>414</v>
      </c>
      <c r="F1468" s="69" t="s">
        <v>217</v>
      </c>
      <c r="G1468" s="69" t="s">
        <v>415</v>
      </c>
      <c r="H1468" s="70">
        <v>2021</v>
      </c>
      <c r="I1468" s="69" t="s">
        <v>63</v>
      </c>
      <c r="J1468" s="69" t="s">
        <v>63</v>
      </c>
      <c r="K1468" s="71" t="s">
        <v>7380</v>
      </c>
      <c r="L1468" s="71" t="s">
        <v>7381</v>
      </c>
      <c r="M1468" s="71" t="s">
        <v>7382</v>
      </c>
      <c r="N1468" s="69" t="s">
        <v>57</v>
      </c>
      <c r="O1468" s="64">
        <v>1</v>
      </c>
      <c r="P1468" s="72">
        <v>33100</v>
      </c>
      <c r="Q1468" s="69" t="s">
        <v>420</v>
      </c>
      <c r="R1468" s="69"/>
      <c r="S1468" s="203" t="s">
        <v>903</v>
      </c>
      <c r="T1468" s="56">
        <v>41</v>
      </c>
      <c r="U1468" s="56">
        <v>3</v>
      </c>
    </row>
    <row r="1469" spans="1:21" ht="14.25" customHeight="1" x14ac:dyDescent="0.35">
      <c r="A1469" s="47">
        <v>1453</v>
      </c>
      <c r="B1469" s="69" t="s">
        <v>79</v>
      </c>
      <c r="C1469" s="69" t="s">
        <v>80</v>
      </c>
      <c r="D1469" s="70" t="s">
        <v>6162</v>
      </c>
      <c r="E1469" s="69" t="s">
        <v>414</v>
      </c>
      <c r="F1469" s="69" t="s">
        <v>217</v>
      </c>
      <c r="G1469" s="69" t="s">
        <v>415</v>
      </c>
      <c r="H1469" s="70">
        <v>2021</v>
      </c>
      <c r="I1469" s="69" t="s">
        <v>63</v>
      </c>
      <c r="J1469" s="69" t="s">
        <v>63</v>
      </c>
      <c r="K1469" s="71" t="s">
        <v>7383</v>
      </c>
      <c r="L1469" s="71" t="s">
        <v>7384</v>
      </c>
      <c r="M1469" s="71" t="s">
        <v>7385</v>
      </c>
      <c r="N1469" s="69" t="s">
        <v>57</v>
      </c>
      <c r="O1469" s="64">
        <v>1</v>
      </c>
      <c r="P1469" s="72">
        <v>33100</v>
      </c>
      <c r="Q1469" s="69" t="s">
        <v>420</v>
      </c>
      <c r="R1469" s="69"/>
      <c r="S1469" s="203" t="s">
        <v>903</v>
      </c>
      <c r="T1469" s="56">
        <v>41</v>
      </c>
      <c r="U1469" s="56">
        <v>3</v>
      </c>
    </row>
    <row r="1470" spans="1:21" ht="14.25" customHeight="1" thickBot="1" x14ac:dyDescent="0.4">
      <c r="A1470" s="58">
        <v>1454</v>
      </c>
      <c r="B1470" s="69" t="s">
        <v>79</v>
      </c>
      <c r="C1470" s="69" t="s">
        <v>80</v>
      </c>
      <c r="D1470" s="70" t="s">
        <v>6168</v>
      </c>
      <c r="E1470" s="69" t="s">
        <v>414</v>
      </c>
      <c r="F1470" s="69" t="s">
        <v>217</v>
      </c>
      <c r="G1470" s="69" t="s">
        <v>415</v>
      </c>
      <c r="H1470" s="70">
        <v>2021</v>
      </c>
      <c r="I1470" s="69" t="s">
        <v>63</v>
      </c>
      <c r="J1470" s="69" t="s">
        <v>63</v>
      </c>
      <c r="K1470" s="71" t="s">
        <v>7386</v>
      </c>
      <c r="L1470" s="71" t="s">
        <v>7387</v>
      </c>
      <c r="M1470" s="71" t="s">
        <v>7388</v>
      </c>
      <c r="N1470" s="69" t="s">
        <v>57</v>
      </c>
      <c r="O1470" s="64">
        <v>1</v>
      </c>
      <c r="P1470" s="72">
        <v>33100</v>
      </c>
      <c r="Q1470" s="69" t="s">
        <v>420</v>
      </c>
      <c r="R1470" s="69"/>
      <c r="S1470" s="203" t="s">
        <v>903</v>
      </c>
      <c r="T1470" s="56">
        <v>41</v>
      </c>
      <c r="U1470" s="56">
        <v>3</v>
      </c>
    </row>
    <row r="1471" spans="1:21" ht="14.25" customHeight="1" x14ac:dyDescent="0.35">
      <c r="A1471" s="47">
        <v>1455</v>
      </c>
      <c r="B1471" s="69" t="s">
        <v>79</v>
      </c>
      <c r="C1471" s="69" t="s">
        <v>80</v>
      </c>
      <c r="D1471" s="70" t="s">
        <v>6174</v>
      </c>
      <c r="E1471" s="69" t="s">
        <v>414</v>
      </c>
      <c r="F1471" s="69" t="s">
        <v>217</v>
      </c>
      <c r="G1471" s="69" t="s">
        <v>415</v>
      </c>
      <c r="H1471" s="70">
        <v>2021</v>
      </c>
      <c r="I1471" s="69" t="s">
        <v>63</v>
      </c>
      <c r="J1471" s="69" t="s">
        <v>63</v>
      </c>
      <c r="K1471" s="71" t="s">
        <v>7389</v>
      </c>
      <c r="L1471" s="71" t="s">
        <v>7390</v>
      </c>
      <c r="M1471" s="71" t="s">
        <v>7391</v>
      </c>
      <c r="N1471" s="69" t="s">
        <v>57</v>
      </c>
      <c r="O1471" s="64">
        <v>1</v>
      </c>
      <c r="P1471" s="72">
        <v>33100</v>
      </c>
      <c r="Q1471" s="69" t="s">
        <v>420</v>
      </c>
      <c r="R1471" s="69"/>
      <c r="S1471" s="203" t="s">
        <v>903</v>
      </c>
      <c r="T1471" s="56">
        <v>41</v>
      </c>
      <c r="U1471" s="56">
        <v>3</v>
      </c>
    </row>
    <row r="1472" spans="1:21" ht="14.25" customHeight="1" thickBot="1" x14ac:dyDescent="0.4">
      <c r="A1472" s="58">
        <v>1456</v>
      </c>
      <c r="B1472" s="69" t="s">
        <v>79</v>
      </c>
      <c r="C1472" s="69" t="s">
        <v>80</v>
      </c>
      <c r="D1472" s="70" t="s">
        <v>6180</v>
      </c>
      <c r="E1472" s="69" t="s">
        <v>414</v>
      </c>
      <c r="F1472" s="69" t="s">
        <v>217</v>
      </c>
      <c r="G1472" s="69" t="s">
        <v>415</v>
      </c>
      <c r="H1472" s="70">
        <v>2021</v>
      </c>
      <c r="I1472" s="69" t="s">
        <v>63</v>
      </c>
      <c r="J1472" s="69" t="s">
        <v>63</v>
      </c>
      <c r="K1472" s="71" t="s">
        <v>7392</v>
      </c>
      <c r="L1472" s="71" t="s">
        <v>7393</v>
      </c>
      <c r="M1472" s="71" t="s">
        <v>7394</v>
      </c>
      <c r="N1472" s="69" t="s">
        <v>57</v>
      </c>
      <c r="O1472" s="64">
        <v>1</v>
      </c>
      <c r="P1472" s="72">
        <v>33100</v>
      </c>
      <c r="Q1472" s="69" t="s">
        <v>420</v>
      </c>
      <c r="R1472" s="69"/>
      <c r="S1472" s="203" t="s">
        <v>903</v>
      </c>
      <c r="T1472" s="56">
        <v>41</v>
      </c>
      <c r="U1472" s="56">
        <v>3</v>
      </c>
    </row>
    <row r="1473" spans="1:21" ht="14.25" customHeight="1" x14ac:dyDescent="0.35">
      <c r="A1473" s="47">
        <v>1457</v>
      </c>
      <c r="B1473" s="69" t="s">
        <v>79</v>
      </c>
      <c r="C1473" s="69" t="s">
        <v>80</v>
      </c>
      <c r="D1473" s="70" t="s">
        <v>6186</v>
      </c>
      <c r="E1473" s="69" t="s">
        <v>2513</v>
      </c>
      <c r="F1473" s="69" t="s">
        <v>202</v>
      </c>
      <c r="G1473" s="69" t="s">
        <v>54</v>
      </c>
      <c r="H1473" s="70">
        <v>2010</v>
      </c>
      <c r="I1473" s="69"/>
      <c r="J1473" s="69" t="s">
        <v>7395</v>
      </c>
      <c r="K1473" s="71" t="s">
        <v>7396</v>
      </c>
      <c r="L1473" s="71" t="s">
        <v>7397</v>
      </c>
      <c r="M1473" s="71" t="s">
        <v>7398</v>
      </c>
      <c r="N1473" s="69" t="s">
        <v>57</v>
      </c>
      <c r="O1473" s="64">
        <v>1</v>
      </c>
      <c r="P1473" s="72">
        <v>16050</v>
      </c>
      <c r="Q1473" s="69" t="s">
        <v>7399</v>
      </c>
      <c r="R1473" s="69"/>
      <c r="S1473" s="203" t="s">
        <v>903</v>
      </c>
      <c r="T1473" s="56">
        <v>41</v>
      </c>
      <c r="U1473" s="56">
        <v>3</v>
      </c>
    </row>
    <row r="1474" spans="1:21" ht="14.25" customHeight="1" thickBot="1" x14ac:dyDescent="0.4">
      <c r="A1474" s="58">
        <v>1458</v>
      </c>
      <c r="B1474" s="69" t="s">
        <v>79</v>
      </c>
      <c r="C1474" s="69" t="s">
        <v>80</v>
      </c>
      <c r="D1474" s="70" t="s">
        <v>7400</v>
      </c>
      <c r="E1474" s="69" t="s">
        <v>2173</v>
      </c>
      <c r="F1474" s="69" t="s">
        <v>88</v>
      </c>
      <c r="G1474" s="69" t="s">
        <v>54</v>
      </c>
      <c r="H1474" s="70">
        <v>2008</v>
      </c>
      <c r="I1474" s="69"/>
      <c r="J1474" s="69" t="s">
        <v>7401</v>
      </c>
      <c r="K1474" s="71" t="s">
        <v>7402</v>
      </c>
      <c r="L1474" s="71" t="s">
        <v>7403</v>
      </c>
      <c r="M1474" s="71" t="s">
        <v>7404</v>
      </c>
      <c r="N1474" s="69" t="s">
        <v>57</v>
      </c>
      <c r="O1474" s="64">
        <v>1</v>
      </c>
      <c r="P1474" s="72">
        <v>16950</v>
      </c>
      <c r="Q1474" s="69" t="s">
        <v>7405</v>
      </c>
      <c r="R1474" s="69"/>
      <c r="S1474" s="203" t="s">
        <v>903</v>
      </c>
      <c r="T1474" s="56">
        <v>41</v>
      </c>
      <c r="U1474" s="56">
        <v>3</v>
      </c>
    </row>
    <row r="1475" spans="1:21" ht="14.25" customHeight="1" x14ac:dyDescent="0.35">
      <c r="A1475" s="47">
        <v>1459</v>
      </c>
      <c r="B1475" s="69" t="s">
        <v>79</v>
      </c>
      <c r="C1475" s="69" t="s">
        <v>80</v>
      </c>
      <c r="D1475" s="70" t="s">
        <v>7406</v>
      </c>
      <c r="E1475" s="69" t="s">
        <v>2648</v>
      </c>
      <c r="F1475" s="69" t="s">
        <v>63</v>
      </c>
      <c r="G1475" s="69" t="s">
        <v>63</v>
      </c>
      <c r="H1475" s="70">
        <v>2019</v>
      </c>
      <c r="I1475" s="69" t="s">
        <v>63</v>
      </c>
      <c r="J1475" s="69" t="s">
        <v>63</v>
      </c>
      <c r="K1475" s="71" t="s">
        <v>7407</v>
      </c>
      <c r="L1475" s="71" t="s">
        <v>7408</v>
      </c>
      <c r="M1475" s="71" t="s">
        <v>7409</v>
      </c>
      <c r="N1475" s="69" t="s">
        <v>57</v>
      </c>
      <c r="O1475" s="64">
        <v>1</v>
      </c>
      <c r="P1475" s="72">
        <v>33000</v>
      </c>
      <c r="Q1475" s="69" t="s">
        <v>7370</v>
      </c>
      <c r="R1475" s="69"/>
      <c r="S1475" s="203" t="s">
        <v>903</v>
      </c>
      <c r="T1475" s="56">
        <v>41</v>
      </c>
      <c r="U1475" s="56">
        <v>3</v>
      </c>
    </row>
    <row r="1476" spans="1:21" ht="14.25" customHeight="1" thickBot="1" x14ac:dyDescent="0.4">
      <c r="A1476" s="58">
        <v>1460</v>
      </c>
      <c r="B1476" s="69" t="s">
        <v>79</v>
      </c>
      <c r="C1476" s="69" t="s">
        <v>80</v>
      </c>
      <c r="D1476" s="70" t="s">
        <v>7410</v>
      </c>
      <c r="E1476" s="69" t="s">
        <v>2648</v>
      </c>
      <c r="F1476" s="69" t="s">
        <v>63</v>
      </c>
      <c r="G1476" s="69" t="s">
        <v>63</v>
      </c>
      <c r="H1476" s="70">
        <v>2019</v>
      </c>
      <c r="I1476" s="69" t="s">
        <v>63</v>
      </c>
      <c r="J1476" s="69" t="s">
        <v>63</v>
      </c>
      <c r="K1476" s="71" t="s">
        <v>7411</v>
      </c>
      <c r="L1476" s="71" t="s">
        <v>7412</v>
      </c>
      <c r="M1476" s="71" t="s">
        <v>7413</v>
      </c>
      <c r="N1476" s="69" t="s">
        <v>57</v>
      </c>
      <c r="O1476" s="64">
        <v>1</v>
      </c>
      <c r="P1476" s="72">
        <v>33000</v>
      </c>
      <c r="Q1476" s="69" t="s">
        <v>7370</v>
      </c>
      <c r="R1476" s="69"/>
      <c r="S1476" s="203" t="s">
        <v>903</v>
      </c>
      <c r="T1476" s="56">
        <v>41</v>
      </c>
      <c r="U1476" s="56">
        <v>3</v>
      </c>
    </row>
    <row r="1477" spans="1:21" ht="14.25" customHeight="1" x14ac:dyDescent="0.35">
      <c r="A1477" s="47">
        <v>1461</v>
      </c>
      <c r="B1477" s="69" t="s">
        <v>79</v>
      </c>
      <c r="C1477" s="69" t="s">
        <v>80</v>
      </c>
      <c r="D1477" s="70" t="s">
        <v>6198</v>
      </c>
      <c r="E1477" s="69" t="s">
        <v>2648</v>
      </c>
      <c r="F1477" s="69" t="s">
        <v>63</v>
      </c>
      <c r="G1477" s="69" t="s">
        <v>63</v>
      </c>
      <c r="H1477" s="70">
        <v>2019</v>
      </c>
      <c r="I1477" s="69" t="s">
        <v>63</v>
      </c>
      <c r="J1477" s="69" t="s">
        <v>63</v>
      </c>
      <c r="K1477" s="71" t="s">
        <v>7414</v>
      </c>
      <c r="L1477" s="71" t="s">
        <v>7415</v>
      </c>
      <c r="M1477" s="71" t="s">
        <v>7416</v>
      </c>
      <c r="N1477" s="69" t="s">
        <v>57</v>
      </c>
      <c r="O1477" s="64">
        <v>1</v>
      </c>
      <c r="P1477" s="72">
        <v>33000</v>
      </c>
      <c r="Q1477" s="69" t="s">
        <v>7370</v>
      </c>
      <c r="R1477" s="69"/>
      <c r="S1477" s="203" t="s">
        <v>903</v>
      </c>
      <c r="T1477" s="56">
        <v>41</v>
      </c>
      <c r="U1477" s="56">
        <v>3</v>
      </c>
    </row>
    <row r="1478" spans="1:21" ht="14.25" customHeight="1" thickBot="1" x14ac:dyDescent="0.4">
      <c r="A1478" s="58">
        <v>1462</v>
      </c>
      <c r="B1478" s="69" t="s">
        <v>79</v>
      </c>
      <c r="C1478" s="69" t="s">
        <v>80</v>
      </c>
      <c r="D1478" s="70" t="s">
        <v>6204</v>
      </c>
      <c r="E1478" s="69" t="s">
        <v>2648</v>
      </c>
      <c r="F1478" s="69" t="s">
        <v>63</v>
      </c>
      <c r="G1478" s="69" t="s">
        <v>63</v>
      </c>
      <c r="H1478" s="70">
        <v>2019</v>
      </c>
      <c r="I1478" s="69" t="s">
        <v>63</v>
      </c>
      <c r="J1478" s="69" t="s">
        <v>63</v>
      </c>
      <c r="K1478" s="71" t="s">
        <v>7417</v>
      </c>
      <c r="L1478" s="71" t="s">
        <v>7418</v>
      </c>
      <c r="M1478" s="71" t="s">
        <v>7419</v>
      </c>
      <c r="N1478" s="69" t="s">
        <v>57</v>
      </c>
      <c r="O1478" s="64">
        <v>1</v>
      </c>
      <c r="P1478" s="72">
        <v>33000</v>
      </c>
      <c r="Q1478" s="69" t="s">
        <v>7370</v>
      </c>
      <c r="R1478" s="69"/>
      <c r="S1478" s="203" t="s">
        <v>903</v>
      </c>
      <c r="T1478" s="56">
        <v>41</v>
      </c>
      <c r="U1478" s="56">
        <v>3</v>
      </c>
    </row>
    <row r="1479" spans="1:21" ht="14.25" customHeight="1" x14ac:dyDescent="0.35">
      <c r="A1479" s="47">
        <v>1463</v>
      </c>
      <c r="B1479" s="69" t="s">
        <v>79</v>
      </c>
      <c r="C1479" s="69" t="s">
        <v>80</v>
      </c>
      <c r="D1479" s="70" t="s">
        <v>6210</v>
      </c>
      <c r="E1479" s="69" t="s">
        <v>2648</v>
      </c>
      <c r="F1479" s="69" t="s">
        <v>63</v>
      </c>
      <c r="G1479" s="69" t="s">
        <v>63</v>
      </c>
      <c r="H1479" s="70">
        <v>2019</v>
      </c>
      <c r="I1479" s="69" t="s">
        <v>63</v>
      </c>
      <c r="J1479" s="69" t="s">
        <v>63</v>
      </c>
      <c r="K1479" s="71" t="s">
        <v>7420</v>
      </c>
      <c r="L1479" s="71" t="s">
        <v>7421</v>
      </c>
      <c r="M1479" s="71" t="s">
        <v>7422</v>
      </c>
      <c r="N1479" s="69" t="s">
        <v>57</v>
      </c>
      <c r="O1479" s="64">
        <v>1</v>
      </c>
      <c r="P1479" s="72">
        <v>33000</v>
      </c>
      <c r="Q1479" s="69" t="s">
        <v>7370</v>
      </c>
      <c r="R1479" s="69"/>
      <c r="S1479" s="203" t="s">
        <v>903</v>
      </c>
      <c r="T1479" s="56">
        <v>41</v>
      </c>
      <c r="U1479" s="56">
        <v>3</v>
      </c>
    </row>
    <row r="1480" spans="1:21" ht="14.25" customHeight="1" thickBot="1" x14ac:dyDescent="0.4">
      <c r="A1480" s="58">
        <v>1464</v>
      </c>
      <c r="B1480" s="69" t="s">
        <v>79</v>
      </c>
      <c r="C1480" s="69" t="s">
        <v>80</v>
      </c>
      <c r="D1480" s="70" t="s">
        <v>6216</v>
      </c>
      <c r="E1480" s="69" t="s">
        <v>2648</v>
      </c>
      <c r="F1480" s="69" t="s">
        <v>63</v>
      </c>
      <c r="G1480" s="69" t="s">
        <v>63</v>
      </c>
      <c r="H1480" s="70">
        <v>2019</v>
      </c>
      <c r="I1480" s="69" t="s">
        <v>63</v>
      </c>
      <c r="J1480" s="69" t="s">
        <v>63</v>
      </c>
      <c r="K1480" s="71" t="s">
        <v>7423</v>
      </c>
      <c r="L1480" s="71" t="s">
        <v>7424</v>
      </c>
      <c r="M1480" s="71" t="s">
        <v>7425</v>
      </c>
      <c r="N1480" s="69" t="s">
        <v>57</v>
      </c>
      <c r="O1480" s="64">
        <v>1</v>
      </c>
      <c r="P1480" s="72">
        <v>33000</v>
      </c>
      <c r="Q1480" s="69" t="s">
        <v>7370</v>
      </c>
      <c r="R1480" s="69"/>
      <c r="S1480" s="203" t="s">
        <v>903</v>
      </c>
      <c r="T1480" s="56">
        <v>41</v>
      </c>
      <c r="U1480" s="56">
        <v>3</v>
      </c>
    </row>
    <row r="1481" spans="1:21" ht="14.25" customHeight="1" x14ac:dyDescent="0.35">
      <c r="A1481" s="47">
        <v>1465</v>
      </c>
      <c r="B1481" s="69" t="s">
        <v>79</v>
      </c>
      <c r="C1481" s="69" t="s">
        <v>80</v>
      </c>
      <c r="D1481" s="70" t="s">
        <v>6222</v>
      </c>
      <c r="E1481" s="69" t="s">
        <v>2648</v>
      </c>
      <c r="F1481" s="69" t="s">
        <v>63</v>
      </c>
      <c r="G1481" s="69" t="s">
        <v>63</v>
      </c>
      <c r="H1481" s="70">
        <v>2019</v>
      </c>
      <c r="I1481" s="69" t="s">
        <v>63</v>
      </c>
      <c r="J1481" s="69" t="s">
        <v>63</v>
      </c>
      <c r="K1481" s="71" t="s">
        <v>7426</v>
      </c>
      <c r="L1481" s="71" t="s">
        <v>7427</v>
      </c>
      <c r="M1481" s="71" t="s">
        <v>7428</v>
      </c>
      <c r="N1481" s="69" t="s">
        <v>57</v>
      </c>
      <c r="O1481" s="64">
        <v>1</v>
      </c>
      <c r="P1481" s="72">
        <v>33000</v>
      </c>
      <c r="Q1481" s="69" t="s">
        <v>7370</v>
      </c>
      <c r="R1481" s="69"/>
      <c r="S1481" s="203" t="s">
        <v>903</v>
      </c>
      <c r="T1481" s="56">
        <v>41</v>
      </c>
      <c r="U1481" s="56">
        <v>3</v>
      </c>
    </row>
    <row r="1482" spans="1:21" ht="14.25" customHeight="1" thickBot="1" x14ac:dyDescent="0.4">
      <c r="A1482" s="58">
        <v>1466</v>
      </c>
      <c r="B1482" s="69" t="s">
        <v>79</v>
      </c>
      <c r="C1482" s="69" t="s">
        <v>80</v>
      </c>
      <c r="D1482" s="70" t="s">
        <v>6228</v>
      </c>
      <c r="E1482" s="69" t="s">
        <v>2648</v>
      </c>
      <c r="F1482" s="69" t="s">
        <v>63</v>
      </c>
      <c r="G1482" s="69" t="s">
        <v>63</v>
      </c>
      <c r="H1482" s="70">
        <v>2019</v>
      </c>
      <c r="I1482" s="69" t="s">
        <v>63</v>
      </c>
      <c r="J1482" s="69" t="s">
        <v>63</v>
      </c>
      <c r="K1482" s="71" t="s">
        <v>7429</v>
      </c>
      <c r="L1482" s="71" t="s">
        <v>7430</v>
      </c>
      <c r="M1482" s="71" t="s">
        <v>7431</v>
      </c>
      <c r="N1482" s="69" t="s">
        <v>57</v>
      </c>
      <c r="O1482" s="64">
        <v>1</v>
      </c>
      <c r="P1482" s="72">
        <v>33000</v>
      </c>
      <c r="Q1482" s="69" t="s">
        <v>7370</v>
      </c>
      <c r="R1482" s="69"/>
      <c r="S1482" s="203" t="s">
        <v>903</v>
      </c>
      <c r="T1482" s="56">
        <v>41</v>
      </c>
      <c r="U1482" s="56">
        <v>3</v>
      </c>
    </row>
    <row r="1483" spans="1:21" ht="14.25" customHeight="1" x14ac:dyDescent="0.35">
      <c r="A1483" s="47">
        <v>1467</v>
      </c>
      <c r="B1483" s="69" t="s">
        <v>79</v>
      </c>
      <c r="C1483" s="69" t="s">
        <v>80</v>
      </c>
      <c r="D1483" s="70" t="s">
        <v>6234</v>
      </c>
      <c r="E1483" s="69" t="s">
        <v>2648</v>
      </c>
      <c r="F1483" s="69" t="s">
        <v>483</v>
      </c>
      <c r="G1483" s="69" t="s">
        <v>415</v>
      </c>
      <c r="H1483" s="70">
        <v>2019</v>
      </c>
      <c r="I1483" s="69" t="s">
        <v>63</v>
      </c>
      <c r="J1483" s="69" t="s">
        <v>7432</v>
      </c>
      <c r="K1483" s="71" t="s">
        <v>7433</v>
      </c>
      <c r="L1483" s="71" t="s">
        <v>7434</v>
      </c>
      <c r="M1483" s="71" t="s">
        <v>7435</v>
      </c>
      <c r="N1483" s="69" t="s">
        <v>57</v>
      </c>
      <c r="O1483" s="64">
        <v>1</v>
      </c>
      <c r="P1483" s="72">
        <v>33000</v>
      </c>
      <c r="Q1483" s="69" t="s">
        <v>7370</v>
      </c>
      <c r="R1483" s="69"/>
      <c r="S1483" s="203" t="s">
        <v>903</v>
      </c>
      <c r="T1483" s="56">
        <v>41</v>
      </c>
      <c r="U1483" s="56">
        <v>3</v>
      </c>
    </row>
    <row r="1484" spans="1:21" ht="14.25" customHeight="1" thickBot="1" x14ac:dyDescent="0.4">
      <c r="A1484" s="58">
        <v>1468</v>
      </c>
      <c r="B1484" s="69" t="s">
        <v>79</v>
      </c>
      <c r="C1484" s="69" t="s">
        <v>80</v>
      </c>
      <c r="D1484" s="70" t="s">
        <v>6240</v>
      </c>
      <c r="E1484" s="69" t="s">
        <v>2648</v>
      </c>
      <c r="F1484" s="69" t="s">
        <v>63</v>
      </c>
      <c r="G1484" s="69" t="s">
        <v>63</v>
      </c>
      <c r="H1484" s="70">
        <v>2019</v>
      </c>
      <c r="I1484" s="69" t="s">
        <v>63</v>
      </c>
      <c r="J1484" s="69" t="s">
        <v>63</v>
      </c>
      <c r="K1484" s="71" t="s">
        <v>7436</v>
      </c>
      <c r="L1484" s="71" t="s">
        <v>7437</v>
      </c>
      <c r="M1484" s="71" t="s">
        <v>7438</v>
      </c>
      <c r="N1484" s="69" t="s">
        <v>57</v>
      </c>
      <c r="O1484" s="64">
        <v>1</v>
      </c>
      <c r="P1484" s="72">
        <v>33000</v>
      </c>
      <c r="Q1484" s="69" t="s">
        <v>7370</v>
      </c>
      <c r="R1484" s="69"/>
      <c r="S1484" s="203" t="s">
        <v>903</v>
      </c>
      <c r="T1484" s="56">
        <v>41</v>
      </c>
      <c r="U1484" s="56">
        <v>3</v>
      </c>
    </row>
    <row r="1485" spans="1:21" ht="14.25" customHeight="1" x14ac:dyDescent="0.35">
      <c r="A1485" s="47">
        <v>1469</v>
      </c>
      <c r="B1485" s="69" t="s">
        <v>79</v>
      </c>
      <c r="C1485" s="69" t="s">
        <v>80</v>
      </c>
      <c r="D1485" s="70" t="s">
        <v>6246</v>
      </c>
      <c r="E1485" s="69" t="s">
        <v>2648</v>
      </c>
      <c r="F1485" s="69" t="s">
        <v>63</v>
      </c>
      <c r="G1485" s="69" t="s">
        <v>63</v>
      </c>
      <c r="H1485" s="70">
        <v>2019</v>
      </c>
      <c r="I1485" s="69" t="s">
        <v>63</v>
      </c>
      <c r="J1485" s="69" t="s">
        <v>63</v>
      </c>
      <c r="K1485" s="71" t="s">
        <v>7439</v>
      </c>
      <c r="L1485" s="71" t="s">
        <v>7440</v>
      </c>
      <c r="M1485" s="71" t="s">
        <v>7441</v>
      </c>
      <c r="N1485" s="69" t="s">
        <v>57</v>
      </c>
      <c r="O1485" s="64">
        <v>1</v>
      </c>
      <c r="P1485" s="72">
        <v>33000</v>
      </c>
      <c r="Q1485" s="69" t="s">
        <v>7370</v>
      </c>
      <c r="R1485" s="69"/>
      <c r="S1485" s="203" t="s">
        <v>903</v>
      </c>
      <c r="T1485" s="56">
        <v>41</v>
      </c>
      <c r="U1485" s="56">
        <v>3</v>
      </c>
    </row>
    <row r="1486" spans="1:21" ht="14.25" customHeight="1" thickBot="1" x14ac:dyDescent="0.4">
      <c r="A1486" s="58">
        <v>1470</v>
      </c>
      <c r="B1486" s="69" t="s">
        <v>79</v>
      </c>
      <c r="C1486" s="69" t="s">
        <v>80</v>
      </c>
      <c r="D1486" s="70" t="s">
        <v>6252</v>
      </c>
      <c r="E1486" s="69" t="s">
        <v>2648</v>
      </c>
      <c r="F1486" s="69" t="s">
        <v>63</v>
      </c>
      <c r="G1486" s="69" t="s">
        <v>63</v>
      </c>
      <c r="H1486" s="70">
        <v>2019</v>
      </c>
      <c r="I1486" s="69" t="s">
        <v>63</v>
      </c>
      <c r="J1486" s="69" t="s">
        <v>63</v>
      </c>
      <c r="K1486" s="71" t="s">
        <v>7442</v>
      </c>
      <c r="L1486" s="71" t="s">
        <v>7443</v>
      </c>
      <c r="M1486" s="71" t="s">
        <v>7444</v>
      </c>
      <c r="N1486" s="69" t="s">
        <v>57</v>
      </c>
      <c r="O1486" s="64">
        <v>1</v>
      </c>
      <c r="P1486" s="72">
        <v>33000</v>
      </c>
      <c r="Q1486" s="69" t="s">
        <v>7370</v>
      </c>
      <c r="R1486" s="69"/>
      <c r="S1486" s="203" t="s">
        <v>903</v>
      </c>
      <c r="T1486" s="56">
        <v>41</v>
      </c>
      <c r="U1486" s="56">
        <v>3</v>
      </c>
    </row>
    <row r="1487" spans="1:21" ht="14.25" customHeight="1" x14ac:dyDescent="0.35">
      <c r="A1487" s="47">
        <v>1471</v>
      </c>
      <c r="B1487" s="69" t="s">
        <v>79</v>
      </c>
      <c r="C1487" s="69" t="s">
        <v>80</v>
      </c>
      <c r="D1487" s="70" t="s">
        <v>6258</v>
      </c>
      <c r="E1487" s="69" t="s">
        <v>2648</v>
      </c>
      <c r="F1487" s="69" t="s">
        <v>63</v>
      </c>
      <c r="G1487" s="69" t="s">
        <v>63</v>
      </c>
      <c r="H1487" s="70">
        <v>2019</v>
      </c>
      <c r="I1487" s="69" t="s">
        <v>63</v>
      </c>
      <c r="J1487" s="69" t="s">
        <v>63</v>
      </c>
      <c r="K1487" s="71" t="s">
        <v>7445</v>
      </c>
      <c r="L1487" s="71" t="s">
        <v>7446</v>
      </c>
      <c r="M1487" s="71" t="s">
        <v>7447</v>
      </c>
      <c r="N1487" s="69" t="s">
        <v>57</v>
      </c>
      <c r="O1487" s="64">
        <v>1</v>
      </c>
      <c r="P1487" s="72">
        <v>33000</v>
      </c>
      <c r="Q1487" s="69" t="s">
        <v>7370</v>
      </c>
      <c r="R1487" s="69"/>
      <c r="S1487" s="203" t="s">
        <v>903</v>
      </c>
      <c r="T1487" s="56">
        <v>41</v>
      </c>
      <c r="U1487" s="56">
        <v>3</v>
      </c>
    </row>
    <row r="1488" spans="1:21" ht="14.25" customHeight="1" thickBot="1" x14ac:dyDescent="0.4">
      <c r="A1488" s="58">
        <v>1472</v>
      </c>
      <c r="B1488" s="69" t="s">
        <v>79</v>
      </c>
      <c r="C1488" s="69" t="s">
        <v>80</v>
      </c>
      <c r="D1488" s="70" t="s">
        <v>7448</v>
      </c>
      <c r="E1488" s="69" t="s">
        <v>2648</v>
      </c>
      <c r="F1488" s="69" t="s">
        <v>63</v>
      </c>
      <c r="G1488" s="69" t="s">
        <v>63</v>
      </c>
      <c r="H1488" s="70">
        <v>2019</v>
      </c>
      <c r="I1488" s="69" t="s">
        <v>63</v>
      </c>
      <c r="J1488" s="69" t="s">
        <v>63</v>
      </c>
      <c r="K1488" s="71" t="s">
        <v>7449</v>
      </c>
      <c r="L1488" s="71" t="s">
        <v>7450</v>
      </c>
      <c r="M1488" s="71" t="s">
        <v>7451</v>
      </c>
      <c r="N1488" s="69" t="s">
        <v>57</v>
      </c>
      <c r="O1488" s="64">
        <v>1</v>
      </c>
      <c r="P1488" s="72">
        <v>33000</v>
      </c>
      <c r="Q1488" s="69" t="s">
        <v>7370</v>
      </c>
      <c r="R1488" s="69"/>
      <c r="S1488" s="203" t="s">
        <v>903</v>
      </c>
      <c r="T1488" s="56">
        <v>41</v>
      </c>
      <c r="U1488" s="56">
        <v>3</v>
      </c>
    </row>
    <row r="1489" spans="1:21" ht="14.25" customHeight="1" x14ac:dyDescent="0.35">
      <c r="A1489" s="47">
        <v>1473</v>
      </c>
      <c r="B1489" s="69" t="s">
        <v>79</v>
      </c>
      <c r="C1489" s="69" t="s">
        <v>80</v>
      </c>
      <c r="D1489" s="70" t="s">
        <v>6263</v>
      </c>
      <c r="E1489" s="69" t="s">
        <v>2524</v>
      </c>
      <c r="F1489" s="69" t="s">
        <v>217</v>
      </c>
      <c r="G1489" s="69" t="s">
        <v>2525</v>
      </c>
      <c r="H1489" s="70">
        <v>2020</v>
      </c>
      <c r="I1489" s="69" t="s">
        <v>63</v>
      </c>
      <c r="J1489" s="69" t="s">
        <v>63</v>
      </c>
      <c r="K1489" s="71" t="s">
        <v>7452</v>
      </c>
      <c r="L1489" s="71" t="s">
        <v>7453</v>
      </c>
      <c r="M1489" s="71" t="s">
        <v>7454</v>
      </c>
      <c r="N1489" s="69" t="s">
        <v>57</v>
      </c>
      <c r="O1489" s="64">
        <v>1</v>
      </c>
      <c r="P1489" s="72">
        <v>33000</v>
      </c>
      <c r="Q1489" s="69" t="s">
        <v>2530</v>
      </c>
      <c r="R1489" s="69"/>
      <c r="S1489" s="203" t="s">
        <v>903</v>
      </c>
      <c r="T1489" s="56">
        <v>41</v>
      </c>
      <c r="U1489" s="56">
        <v>3</v>
      </c>
    </row>
    <row r="1490" spans="1:21" ht="14.25" customHeight="1" thickBot="1" x14ac:dyDescent="0.4">
      <c r="A1490" s="58">
        <v>1474</v>
      </c>
      <c r="B1490" s="69" t="s">
        <v>79</v>
      </c>
      <c r="C1490" s="69" t="s">
        <v>80</v>
      </c>
      <c r="D1490" s="70" t="s">
        <v>7455</v>
      </c>
      <c r="E1490" s="69" t="s">
        <v>2648</v>
      </c>
      <c r="F1490" s="69" t="s">
        <v>63</v>
      </c>
      <c r="G1490" s="69" t="s">
        <v>63</v>
      </c>
      <c r="H1490" s="70">
        <v>2019</v>
      </c>
      <c r="I1490" s="69" t="s">
        <v>63</v>
      </c>
      <c r="J1490" s="69" t="s">
        <v>63</v>
      </c>
      <c r="K1490" s="71" t="s">
        <v>7456</v>
      </c>
      <c r="L1490" s="71" t="s">
        <v>7457</v>
      </c>
      <c r="M1490" s="71" t="s">
        <v>7458</v>
      </c>
      <c r="N1490" s="69" t="s">
        <v>57</v>
      </c>
      <c r="O1490" s="64">
        <v>1</v>
      </c>
      <c r="P1490" s="72">
        <v>33000</v>
      </c>
      <c r="Q1490" s="69" t="s">
        <v>7370</v>
      </c>
      <c r="R1490" s="69"/>
      <c r="S1490" s="203" t="s">
        <v>903</v>
      </c>
      <c r="T1490" s="56">
        <v>41</v>
      </c>
      <c r="U1490" s="56">
        <v>3</v>
      </c>
    </row>
    <row r="1491" spans="1:21" ht="14.25" customHeight="1" x14ac:dyDescent="0.35">
      <c r="A1491" s="47">
        <v>1475</v>
      </c>
      <c r="B1491" s="69" t="s">
        <v>79</v>
      </c>
      <c r="C1491" s="69" t="s">
        <v>80</v>
      </c>
      <c r="D1491" s="70" t="s">
        <v>6271</v>
      </c>
      <c r="E1491" s="69" t="s">
        <v>2648</v>
      </c>
      <c r="F1491" s="69" t="s">
        <v>63</v>
      </c>
      <c r="G1491" s="69" t="s">
        <v>63</v>
      </c>
      <c r="H1491" s="70">
        <v>2019</v>
      </c>
      <c r="I1491" s="69" t="s">
        <v>63</v>
      </c>
      <c r="J1491" s="69" t="s">
        <v>63</v>
      </c>
      <c r="K1491" s="71" t="s">
        <v>7459</v>
      </c>
      <c r="L1491" s="71" t="s">
        <v>7460</v>
      </c>
      <c r="M1491" s="71" t="s">
        <v>7461</v>
      </c>
      <c r="N1491" s="69" t="s">
        <v>57</v>
      </c>
      <c r="O1491" s="64">
        <v>1</v>
      </c>
      <c r="P1491" s="72">
        <v>33000</v>
      </c>
      <c r="Q1491" s="69" t="s">
        <v>7370</v>
      </c>
      <c r="R1491" s="69"/>
      <c r="S1491" s="203" t="s">
        <v>903</v>
      </c>
      <c r="T1491" s="56">
        <v>41</v>
      </c>
      <c r="U1491" s="56">
        <v>3</v>
      </c>
    </row>
    <row r="1492" spans="1:21" ht="14.25" customHeight="1" thickBot="1" x14ac:dyDescent="0.4">
      <c r="A1492" s="58">
        <v>1476</v>
      </c>
      <c r="B1492" s="69" t="s">
        <v>79</v>
      </c>
      <c r="C1492" s="69" t="s">
        <v>80</v>
      </c>
      <c r="D1492" s="70" t="s">
        <v>6284</v>
      </c>
      <c r="E1492" s="69" t="s">
        <v>7462</v>
      </c>
      <c r="F1492" s="69" t="s">
        <v>217</v>
      </c>
      <c r="G1492" s="69" t="s">
        <v>415</v>
      </c>
      <c r="H1492" s="70">
        <v>2017</v>
      </c>
      <c r="I1492" s="69" t="s">
        <v>63</v>
      </c>
      <c r="J1492" s="69" t="s">
        <v>7463</v>
      </c>
      <c r="K1492" s="71" t="s">
        <v>7464</v>
      </c>
      <c r="L1492" s="71" t="s">
        <v>7465</v>
      </c>
      <c r="M1492" s="71" t="s">
        <v>63</v>
      </c>
      <c r="N1492" s="69" t="s">
        <v>57</v>
      </c>
      <c r="O1492" s="64">
        <v>1</v>
      </c>
      <c r="P1492" s="72">
        <v>28061</v>
      </c>
      <c r="Q1492" s="69" t="s">
        <v>7466</v>
      </c>
      <c r="R1492" s="69"/>
      <c r="S1492" s="203" t="s">
        <v>903</v>
      </c>
      <c r="T1492" s="56">
        <v>41</v>
      </c>
      <c r="U1492" s="56">
        <v>3</v>
      </c>
    </row>
    <row r="1493" spans="1:21" ht="14.25" customHeight="1" x14ac:dyDescent="0.35">
      <c r="A1493" s="47">
        <v>1477</v>
      </c>
      <c r="B1493" s="69" t="s">
        <v>79</v>
      </c>
      <c r="C1493" s="69" t="s">
        <v>80</v>
      </c>
      <c r="D1493" s="70" t="s">
        <v>6290</v>
      </c>
      <c r="E1493" s="69" t="s">
        <v>414</v>
      </c>
      <c r="F1493" s="69" t="s">
        <v>217</v>
      </c>
      <c r="G1493" s="69" t="s">
        <v>415</v>
      </c>
      <c r="H1493" s="70">
        <v>2021</v>
      </c>
      <c r="I1493" s="69" t="s">
        <v>63</v>
      </c>
      <c r="J1493" s="69" t="s">
        <v>63</v>
      </c>
      <c r="K1493" s="71" t="s">
        <v>7467</v>
      </c>
      <c r="L1493" s="71" t="s">
        <v>7468</v>
      </c>
      <c r="M1493" s="71" t="s">
        <v>7469</v>
      </c>
      <c r="N1493" s="69" t="s">
        <v>57</v>
      </c>
      <c r="O1493" s="64">
        <v>1</v>
      </c>
      <c r="P1493" s="72">
        <v>33100</v>
      </c>
      <c r="Q1493" s="69" t="s">
        <v>420</v>
      </c>
      <c r="R1493" s="69"/>
      <c r="S1493" s="203" t="s">
        <v>903</v>
      </c>
      <c r="T1493" s="56">
        <v>41</v>
      </c>
      <c r="U1493" s="56">
        <v>3</v>
      </c>
    </row>
    <row r="1494" spans="1:21" ht="14.25" customHeight="1" thickBot="1" x14ac:dyDescent="0.4">
      <c r="A1494" s="58">
        <v>1478</v>
      </c>
      <c r="B1494" s="69" t="s">
        <v>79</v>
      </c>
      <c r="C1494" s="69" t="s">
        <v>80</v>
      </c>
      <c r="D1494" s="70" t="s">
        <v>6296</v>
      </c>
      <c r="E1494" s="69" t="s">
        <v>414</v>
      </c>
      <c r="F1494" s="69" t="s">
        <v>217</v>
      </c>
      <c r="G1494" s="69" t="s">
        <v>415</v>
      </c>
      <c r="H1494" s="70">
        <v>2021</v>
      </c>
      <c r="I1494" s="69" t="s">
        <v>63</v>
      </c>
      <c r="J1494" s="69" t="s">
        <v>63</v>
      </c>
      <c r="K1494" s="71" t="s">
        <v>7470</v>
      </c>
      <c r="L1494" s="71" t="s">
        <v>7471</v>
      </c>
      <c r="M1494" s="71" t="s">
        <v>7472</v>
      </c>
      <c r="N1494" s="69" t="s">
        <v>57</v>
      </c>
      <c r="O1494" s="64">
        <v>1</v>
      </c>
      <c r="P1494" s="72">
        <v>33100</v>
      </c>
      <c r="Q1494" s="69" t="s">
        <v>420</v>
      </c>
      <c r="R1494" s="69"/>
      <c r="S1494" s="203" t="s">
        <v>903</v>
      </c>
      <c r="T1494" s="56">
        <v>41</v>
      </c>
      <c r="U1494" s="56">
        <v>3</v>
      </c>
    </row>
    <row r="1495" spans="1:21" ht="14.25" customHeight="1" x14ac:dyDescent="0.35">
      <c r="A1495" s="47">
        <v>1479</v>
      </c>
      <c r="B1495" s="69" t="s">
        <v>79</v>
      </c>
      <c r="C1495" s="69" t="s">
        <v>80</v>
      </c>
      <c r="D1495" s="70" t="s">
        <v>6302</v>
      </c>
      <c r="E1495" s="69" t="s">
        <v>414</v>
      </c>
      <c r="F1495" s="69" t="s">
        <v>217</v>
      </c>
      <c r="G1495" s="69" t="s">
        <v>415</v>
      </c>
      <c r="H1495" s="70">
        <v>2021</v>
      </c>
      <c r="I1495" s="69" t="s">
        <v>63</v>
      </c>
      <c r="J1495" s="69" t="s">
        <v>63</v>
      </c>
      <c r="K1495" s="71" t="s">
        <v>7473</v>
      </c>
      <c r="L1495" s="71" t="s">
        <v>7474</v>
      </c>
      <c r="M1495" s="71" t="s">
        <v>7475</v>
      </c>
      <c r="N1495" s="69" t="s">
        <v>57</v>
      </c>
      <c r="O1495" s="64">
        <v>1</v>
      </c>
      <c r="P1495" s="72">
        <v>33100</v>
      </c>
      <c r="Q1495" s="69" t="s">
        <v>420</v>
      </c>
      <c r="R1495" s="69"/>
      <c r="S1495" s="203" t="s">
        <v>903</v>
      </c>
      <c r="T1495" s="56">
        <v>41</v>
      </c>
      <c r="U1495" s="56">
        <v>3</v>
      </c>
    </row>
    <row r="1496" spans="1:21" ht="14.25" customHeight="1" thickBot="1" x14ac:dyDescent="0.4">
      <c r="A1496" s="58">
        <v>1480</v>
      </c>
      <c r="B1496" s="69" t="s">
        <v>79</v>
      </c>
      <c r="C1496" s="69" t="s">
        <v>80</v>
      </c>
      <c r="D1496" s="70" t="s">
        <v>6307</v>
      </c>
      <c r="E1496" s="69" t="s">
        <v>414</v>
      </c>
      <c r="F1496" s="69" t="s">
        <v>217</v>
      </c>
      <c r="G1496" s="69" t="s">
        <v>415</v>
      </c>
      <c r="H1496" s="70">
        <v>2021</v>
      </c>
      <c r="I1496" s="69" t="s">
        <v>63</v>
      </c>
      <c r="J1496" s="69" t="s">
        <v>63</v>
      </c>
      <c r="K1496" s="71" t="s">
        <v>7476</v>
      </c>
      <c r="L1496" s="71" t="s">
        <v>7477</v>
      </c>
      <c r="M1496" s="71" t="s">
        <v>7478</v>
      </c>
      <c r="N1496" s="69" t="s">
        <v>57</v>
      </c>
      <c r="O1496" s="64">
        <v>1</v>
      </c>
      <c r="P1496" s="72">
        <v>33100</v>
      </c>
      <c r="Q1496" s="69" t="s">
        <v>420</v>
      </c>
      <c r="R1496" s="69"/>
      <c r="S1496" s="203" t="s">
        <v>903</v>
      </c>
      <c r="T1496" s="56">
        <v>41</v>
      </c>
      <c r="U1496" s="56">
        <v>3</v>
      </c>
    </row>
    <row r="1497" spans="1:21" ht="14.25" customHeight="1" x14ac:dyDescent="0.35">
      <c r="A1497" s="47">
        <v>1481</v>
      </c>
      <c r="B1497" s="69" t="s">
        <v>79</v>
      </c>
      <c r="C1497" s="69" t="s">
        <v>80</v>
      </c>
      <c r="D1497" s="70" t="s">
        <v>6313</v>
      </c>
      <c r="E1497" s="69" t="s">
        <v>414</v>
      </c>
      <c r="F1497" s="69" t="s">
        <v>217</v>
      </c>
      <c r="G1497" s="69" t="s">
        <v>415</v>
      </c>
      <c r="H1497" s="70">
        <v>2021</v>
      </c>
      <c r="I1497" s="69" t="s">
        <v>63</v>
      </c>
      <c r="J1497" s="69" t="s">
        <v>63</v>
      </c>
      <c r="K1497" s="71" t="s">
        <v>7479</v>
      </c>
      <c r="L1497" s="71" t="s">
        <v>7480</v>
      </c>
      <c r="M1497" s="71" t="s">
        <v>7481</v>
      </c>
      <c r="N1497" s="69" t="s">
        <v>57</v>
      </c>
      <c r="O1497" s="64">
        <v>1</v>
      </c>
      <c r="P1497" s="72">
        <v>33100</v>
      </c>
      <c r="Q1497" s="69" t="s">
        <v>420</v>
      </c>
      <c r="R1497" s="69"/>
      <c r="S1497" s="203" t="s">
        <v>903</v>
      </c>
      <c r="T1497" s="56">
        <v>41</v>
      </c>
      <c r="U1497" s="56">
        <v>3</v>
      </c>
    </row>
    <row r="1498" spans="1:21" ht="14.25" customHeight="1" thickBot="1" x14ac:dyDescent="0.4">
      <c r="A1498" s="58">
        <v>1482</v>
      </c>
      <c r="B1498" s="69" t="s">
        <v>79</v>
      </c>
      <c r="C1498" s="69" t="s">
        <v>80</v>
      </c>
      <c r="D1498" s="70" t="s">
        <v>6319</v>
      </c>
      <c r="E1498" s="69" t="s">
        <v>414</v>
      </c>
      <c r="F1498" s="69" t="s">
        <v>217</v>
      </c>
      <c r="G1498" s="69" t="s">
        <v>415</v>
      </c>
      <c r="H1498" s="70">
        <v>2021</v>
      </c>
      <c r="I1498" s="69" t="s">
        <v>63</v>
      </c>
      <c r="J1498" s="69" t="s">
        <v>63</v>
      </c>
      <c r="K1498" s="71" t="s">
        <v>7482</v>
      </c>
      <c r="L1498" s="71" t="s">
        <v>7483</v>
      </c>
      <c r="M1498" s="71" t="s">
        <v>7484</v>
      </c>
      <c r="N1498" s="69" t="s">
        <v>57</v>
      </c>
      <c r="O1498" s="64">
        <v>1</v>
      </c>
      <c r="P1498" s="72">
        <v>33100</v>
      </c>
      <c r="Q1498" s="69" t="s">
        <v>420</v>
      </c>
      <c r="R1498" s="69"/>
      <c r="S1498" s="203" t="s">
        <v>903</v>
      </c>
      <c r="T1498" s="56">
        <v>41</v>
      </c>
      <c r="U1498" s="56">
        <v>3</v>
      </c>
    </row>
    <row r="1499" spans="1:21" ht="14.25" customHeight="1" x14ac:dyDescent="0.35">
      <c r="A1499" s="47">
        <v>1483</v>
      </c>
      <c r="B1499" s="69" t="s">
        <v>79</v>
      </c>
      <c r="C1499" s="69" t="s">
        <v>80</v>
      </c>
      <c r="D1499" s="70" t="s">
        <v>6325</v>
      </c>
      <c r="E1499" s="69" t="s">
        <v>414</v>
      </c>
      <c r="F1499" s="69" t="s">
        <v>217</v>
      </c>
      <c r="G1499" s="69" t="s">
        <v>415</v>
      </c>
      <c r="H1499" s="70">
        <v>2021</v>
      </c>
      <c r="I1499" s="69" t="s">
        <v>63</v>
      </c>
      <c r="J1499" s="69" t="s">
        <v>63</v>
      </c>
      <c r="K1499" s="71" t="s">
        <v>7485</v>
      </c>
      <c r="L1499" s="71" t="s">
        <v>7486</v>
      </c>
      <c r="M1499" s="71" t="s">
        <v>7487</v>
      </c>
      <c r="N1499" s="69" t="s">
        <v>57</v>
      </c>
      <c r="O1499" s="64">
        <v>1</v>
      </c>
      <c r="P1499" s="72">
        <v>33100</v>
      </c>
      <c r="Q1499" s="69" t="s">
        <v>420</v>
      </c>
      <c r="R1499" s="69"/>
      <c r="S1499" s="203" t="s">
        <v>903</v>
      </c>
      <c r="T1499" s="56">
        <v>41</v>
      </c>
      <c r="U1499" s="56">
        <v>3</v>
      </c>
    </row>
    <row r="1500" spans="1:21" ht="14.25" customHeight="1" thickBot="1" x14ac:dyDescent="0.4">
      <c r="A1500" s="58">
        <v>1484</v>
      </c>
      <c r="B1500" s="69" t="s">
        <v>79</v>
      </c>
      <c r="C1500" s="69" t="s">
        <v>80</v>
      </c>
      <c r="D1500" s="70" t="s">
        <v>6332</v>
      </c>
      <c r="E1500" s="69" t="s">
        <v>414</v>
      </c>
      <c r="F1500" s="69" t="s">
        <v>217</v>
      </c>
      <c r="G1500" s="69" t="s">
        <v>415</v>
      </c>
      <c r="H1500" s="70">
        <v>2021</v>
      </c>
      <c r="I1500" s="69" t="s">
        <v>63</v>
      </c>
      <c r="J1500" s="69" t="s">
        <v>63</v>
      </c>
      <c r="K1500" s="71" t="s">
        <v>7488</v>
      </c>
      <c r="L1500" s="71" t="s">
        <v>7489</v>
      </c>
      <c r="M1500" s="71" t="s">
        <v>7490</v>
      </c>
      <c r="N1500" s="69" t="s">
        <v>57</v>
      </c>
      <c r="O1500" s="64">
        <v>1</v>
      </c>
      <c r="P1500" s="72">
        <v>33100</v>
      </c>
      <c r="Q1500" s="69" t="s">
        <v>420</v>
      </c>
      <c r="R1500" s="69"/>
      <c r="S1500" s="203" t="s">
        <v>903</v>
      </c>
      <c r="T1500" s="56">
        <v>41</v>
      </c>
      <c r="U1500" s="56">
        <v>3</v>
      </c>
    </row>
    <row r="1501" spans="1:21" ht="14.25" customHeight="1" x14ac:dyDescent="0.35">
      <c r="A1501" s="47">
        <v>1485</v>
      </c>
      <c r="B1501" s="69" t="s">
        <v>79</v>
      </c>
      <c r="C1501" s="69" t="s">
        <v>80</v>
      </c>
      <c r="D1501" s="70" t="s">
        <v>6337</v>
      </c>
      <c r="E1501" s="69" t="s">
        <v>414</v>
      </c>
      <c r="F1501" s="69" t="s">
        <v>217</v>
      </c>
      <c r="G1501" s="69" t="s">
        <v>415</v>
      </c>
      <c r="H1501" s="70">
        <v>2021</v>
      </c>
      <c r="I1501" s="69" t="s">
        <v>63</v>
      </c>
      <c r="J1501" s="69" t="s">
        <v>63</v>
      </c>
      <c r="K1501" s="71" t="s">
        <v>7491</v>
      </c>
      <c r="L1501" s="71" t="s">
        <v>7492</v>
      </c>
      <c r="M1501" s="71" t="s">
        <v>7493</v>
      </c>
      <c r="N1501" s="69" t="s">
        <v>57</v>
      </c>
      <c r="O1501" s="64">
        <v>1</v>
      </c>
      <c r="P1501" s="72">
        <v>33100</v>
      </c>
      <c r="Q1501" s="69" t="s">
        <v>420</v>
      </c>
      <c r="R1501" s="69"/>
      <c r="S1501" s="203" t="s">
        <v>903</v>
      </c>
      <c r="T1501" s="56">
        <v>41</v>
      </c>
      <c r="U1501" s="56">
        <v>3</v>
      </c>
    </row>
    <row r="1502" spans="1:21" ht="14.25" customHeight="1" thickBot="1" x14ac:dyDescent="0.4">
      <c r="A1502" s="58">
        <v>1486</v>
      </c>
      <c r="B1502" s="69" t="s">
        <v>79</v>
      </c>
      <c r="C1502" s="69" t="s">
        <v>80</v>
      </c>
      <c r="D1502" s="70" t="s">
        <v>7494</v>
      </c>
      <c r="E1502" s="69" t="s">
        <v>414</v>
      </c>
      <c r="F1502" s="69" t="s">
        <v>217</v>
      </c>
      <c r="G1502" s="69" t="s">
        <v>415</v>
      </c>
      <c r="H1502" s="70">
        <v>2021</v>
      </c>
      <c r="I1502" s="69" t="s">
        <v>63</v>
      </c>
      <c r="J1502" s="69" t="s">
        <v>63</v>
      </c>
      <c r="K1502" s="71" t="s">
        <v>7495</v>
      </c>
      <c r="L1502" s="71" t="s">
        <v>7496</v>
      </c>
      <c r="M1502" s="71" t="s">
        <v>7497</v>
      </c>
      <c r="N1502" s="69" t="s">
        <v>57</v>
      </c>
      <c r="O1502" s="64">
        <v>1</v>
      </c>
      <c r="P1502" s="72">
        <v>33100</v>
      </c>
      <c r="Q1502" s="69" t="s">
        <v>420</v>
      </c>
      <c r="R1502" s="69"/>
      <c r="S1502" s="203" t="s">
        <v>903</v>
      </c>
      <c r="T1502" s="56">
        <v>41</v>
      </c>
      <c r="U1502" s="56">
        <v>3</v>
      </c>
    </row>
    <row r="1503" spans="1:21" ht="14.25" customHeight="1" x14ac:dyDescent="0.35">
      <c r="A1503" s="47">
        <v>1487</v>
      </c>
      <c r="B1503" s="69" t="s">
        <v>79</v>
      </c>
      <c r="C1503" s="69" t="s">
        <v>80</v>
      </c>
      <c r="D1503" s="70" t="s">
        <v>7498</v>
      </c>
      <c r="E1503" s="69" t="s">
        <v>414</v>
      </c>
      <c r="F1503" s="69" t="s">
        <v>217</v>
      </c>
      <c r="G1503" s="69" t="s">
        <v>415</v>
      </c>
      <c r="H1503" s="70">
        <v>2021</v>
      </c>
      <c r="I1503" s="69" t="s">
        <v>63</v>
      </c>
      <c r="J1503" s="69" t="s">
        <v>63</v>
      </c>
      <c r="K1503" s="71" t="s">
        <v>7499</v>
      </c>
      <c r="L1503" s="71" t="s">
        <v>7500</v>
      </c>
      <c r="M1503" s="71" t="s">
        <v>7501</v>
      </c>
      <c r="N1503" s="69" t="s">
        <v>57</v>
      </c>
      <c r="O1503" s="64">
        <v>1</v>
      </c>
      <c r="P1503" s="72">
        <v>33100</v>
      </c>
      <c r="Q1503" s="69" t="s">
        <v>420</v>
      </c>
      <c r="R1503" s="69"/>
      <c r="S1503" s="203" t="s">
        <v>903</v>
      </c>
      <c r="T1503" s="56">
        <v>41</v>
      </c>
      <c r="U1503" s="56">
        <v>3</v>
      </c>
    </row>
    <row r="1504" spans="1:21" ht="14.25" customHeight="1" thickBot="1" x14ac:dyDescent="0.4">
      <c r="A1504" s="58">
        <v>1488</v>
      </c>
      <c r="B1504" s="69" t="s">
        <v>79</v>
      </c>
      <c r="C1504" s="69" t="s">
        <v>80</v>
      </c>
      <c r="D1504" s="70" t="s">
        <v>7502</v>
      </c>
      <c r="E1504" s="69" t="s">
        <v>414</v>
      </c>
      <c r="F1504" s="69" t="s">
        <v>217</v>
      </c>
      <c r="G1504" s="69" t="s">
        <v>415</v>
      </c>
      <c r="H1504" s="70">
        <v>2021</v>
      </c>
      <c r="I1504" s="69" t="s">
        <v>63</v>
      </c>
      <c r="J1504" s="69" t="s">
        <v>63</v>
      </c>
      <c r="K1504" s="71" t="s">
        <v>7503</v>
      </c>
      <c r="L1504" s="71" t="s">
        <v>7504</v>
      </c>
      <c r="M1504" s="71" t="s">
        <v>7505</v>
      </c>
      <c r="N1504" s="69" t="s">
        <v>57</v>
      </c>
      <c r="O1504" s="64">
        <v>1</v>
      </c>
      <c r="P1504" s="72">
        <v>33100</v>
      </c>
      <c r="Q1504" s="69" t="s">
        <v>420</v>
      </c>
      <c r="R1504" s="69"/>
      <c r="S1504" s="203" t="s">
        <v>903</v>
      </c>
      <c r="T1504" s="56">
        <v>41</v>
      </c>
      <c r="U1504" s="56">
        <v>3</v>
      </c>
    </row>
    <row r="1505" spans="1:21" ht="14.25" customHeight="1" x14ac:dyDescent="0.35">
      <c r="A1505" s="47">
        <v>1489</v>
      </c>
      <c r="B1505" s="69" t="s">
        <v>79</v>
      </c>
      <c r="C1505" s="69" t="s">
        <v>80</v>
      </c>
      <c r="D1505" s="70" t="s">
        <v>7506</v>
      </c>
      <c r="E1505" s="69" t="s">
        <v>414</v>
      </c>
      <c r="F1505" s="69" t="s">
        <v>217</v>
      </c>
      <c r="G1505" s="69" t="s">
        <v>415</v>
      </c>
      <c r="H1505" s="70">
        <v>2021</v>
      </c>
      <c r="I1505" s="69" t="s">
        <v>63</v>
      </c>
      <c r="J1505" s="69" t="s">
        <v>63</v>
      </c>
      <c r="K1505" s="71" t="s">
        <v>7507</v>
      </c>
      <c r="L1505" s="71" t="s">
        <v>7508</v>
      </c>
      <c r="M1505" s="71" t="s">
        <v>7509</v>
      </c>
      <c r="N1505" s="69" t="s">
        <v>57</v>
      </c>
      <c r="O1505" s="64">
        <v>1</v>
      </c>
      <c r="P1505" s="72">
        <v>33100</v>
      </c>
      <c r="Q1505" s="69" t="s">
        <v>420</v>
      </c>
      <c r="R1505" s="69"/>
      <c r="S1505" s="203" t="s">
        <v>903</v>
      </c>
      <c r="T1505" s="56">
        <v>41</v>
      </c>
      <c r="U1505" s="56">
        <v>3</v>
      </c>
    </row>
    <row r="1506" spans="1:21" ht="14.25" customHeight="1" thickBot="1" x14ac:dyDescent="0.4">
      <c r="A1506" s="58">
        <v>1490</v>
      </c>
      <c r="B1506" s="69" t="s">
        <v>79</v>
      </c>
      <c r="C1506" s="69" t="s">
        <v>80</v>
      </c>
      <c r="D1506" s="70" t="s">
        <v>7510</v>
      </c>
      <c r="E1506" s="69" t="s">
        <v>414</v>
      </c>
      <c r="F1506" s="69" t="s">
        <v>217</v>
      </c>
      <c r="G1506" s="69" t="s">
        <v>415</v>
      </c>
      <c r="H1506" s="70">
        <v>2021</v>
      </c>
      <c r="I1506" s="69" t="s">
        <v>63</v>
      </c>
      <c r="J1506" s="69" t="s">
        <v>63</v>
      </c>
      <c r="K1506" s="71" t="s">
        <v>7511</v>
      </c>
      <c r="L1506" s="71" t="s">
        <v>7512</v>
      </c>
      <c r="M1506" s="71" t="s">
        <v>7513</v>
      </c>
      <c r="N1506" s="69" t="s">
        <v>57</v>
      </c>
      <c r="O1506" s="64">
        <v>1</v>
      </c>
      <c r="P1506" s="72">
        <v>33100</v>
      </c>
      <c r="Q1506" s="69" t="s">
        <v>420</v>
      </c>
      <c r="R1506" s="69"/>
      <c r="S1506" s="203" t="s">
        <v>903</v>
      </c>
      <c r="T1506" s="56">
        <v>41</v>
      </c>
      <c r="U1506" s="56">
        <v>3</v>
      </c>
    </row>
    <row r="1507" spans="1:21" ht="14.25" customHeight="1" x14ac:dyDescent="0.35">
      <c r="A1507" s="47">
        <v>1491</v>
      </c>
      <c r="B1507" s="69" t="s">
        <v>79</v>
      </c>
      <c r="C1507" s="69" t="s">
        <v>80</v>
      </c>
      <c r="D1507" s="70" t="s">
        <v>7514</v>
      </c>
      <c r="E1507" s="69" t="s">
        <v>414</v>
      </c>
      <c r="F1507" s="69" t="s">
        <v>217</v>
      </c>
      <c r="G1507" s="69" t="s">
        <v>415</v>
      </c>
      <c r="H1507" s="70">
        <v>2021</v>
      </c>
      <c r="I1507" s="69" t="s">
        <v>63</v>
      </c>
      <c r="J1507" s="69" t="s">
        <v>63</v>
      </c>
      <c r="K1507" s="71" t="s">
        <v>7515</v>
      </c>
      <c r="L1507" s="71" t="s">
        <v>7516</v>
      </c>
      <c r="M1507" s="71" t="s">
        <v>7517</v>
      </c>
      <c r="N1507" s="69" t="s">
        <v>57</v>
      </c>
      <c r="O1507" s="64">
        <v>1</v>
      </c>
      <c r="P1507" s="72">
        <v>33100</v>
      </c>
      <c r="Q1507" s="69" t="s">
        <v>420</v>
      </c>
      <c r="R1507" s="69"/>
      <c r="S1507" s="203" t="s">
        <v>903</v>
      </c>
      <c r="T1507" s="56">
        <v>41</v>
      </c>
      <c r="U1507" s="56">
        <v>3</v>
      </c>
    </row>
    <row r="1508" spans="1:21" ht="14.25" customHeight="1" thickBot="1" x14ac:dyDescent="0.4">
      <c r="A1508" s="58">
        <v>1492</v>
      </c>
      <c r="B1508" s="69" t="s">
        <v>79</v>
      </c>
      <c r="C1508" s="69" t="s">
        <v>80</v>
      </c>
      <c r="D1508" s="70" t="s">
        <v>7518</v>
      </c>
      <c r="E1508" s="69" t="s">
        <v>414</v>
      </c>
      <c r="F1508" s="69" t="s">
        <v>217</v>
      </c>
      <c r="G1508" s="69" t="s">
        <v>415</v>
      </c>
      <c r="H1508" s="70">
        <v>2021</v>
      </c>
      <c r="I1508" s="69" t="s">
        <v>63</v>
      </c>
      <c r="J1508" s="69" t="s">
        <v>63</v>
      </c>
      <c r="K1508" s="71" t="s">
        <v>7519</v>
      </c>
      <c r="L1508" s="71" t="s">
        <v>7520</v>
      </c>
      <c r="M1508" s="71" t="s">
        <v>7521</v>
      </c>
      <c r="N1508" s="69" t="s">
        <v>57</v>
      </c>
      <c r="O1508" s="64">
        <v>1</v>
      </c>
      <c r="P1508" s="72">
        <v>33100</v>
      </c>
      <c r="Q1508" s="69" t="s">
        <v>420</v>
      </c>
      <c r="R1508" s="69"/>
      <c r="S1508" s="203" t="s">
        <v>903</v>
      </c>
      <c r="T1508" s="56">
        <v>41</v>
      </c>
      <c r="U1508" s="56">
        <v>3</v>
      </c>
    </row>
    <row r="1509" spans="1:21" ht="14.25" customHeight="1" x14ac:dyDescent="0.35">
      <c r="A1509" s="47">
        <v>1493</v>
      </c>
      <c r="B1509" s="69" t="s">
        <v>79</v>
      </c>
      <c r="C1509" s="69" t="s">
        <v>80</v>
      </c>
      <c r="D1509" s="70" t="s">
        <v>7522</v>
      </c>
      <c r="E1509" s="69" t="s">
        <v>414</v>
      </c>
      <c r="F1509" s="69" t="s">
        <v>217</v>
      </c>
      <c r="G1509" s="69" t="s">
        <v>415</v>
      </c>
      <c r="H1509" s="70">
        <v>2021</v>
      </c>
      <c r="I1509" s="69" t="s">
        <v>63</v>
      </c>
      <c r="J1509" s="69" t="s">
        <v>63</v>
      </c>
      <c r="K1509" s="71" t="s">
        <v>7523</v>
      </c>
      <c r="L1509" s="71" t="s">
        <v>7524</v>
      </c>
      <c r="M1509" s="71" t="s">
        <v>7525</v>
      </c>
      <c r="N1509" s="69" t="s">
        <v>57</v>
      </c>
      <c r="O1509" s="64">
        <v>1</v>
      </c>
      <c r="P1509" s="72">
        <v>33100</v>
      </c>
      <c r="Q1509" s="69" t="s">
        <v>420</v>
      </c>
      <c r="R1509" s="69"/>
      <c r="S1509" s="203" t="s">
        <v>903</v>
      </c>
      <c r="T1509" s="56">
        <v>41</v>
      </c>
      <c r="U1509" s="56">
        <v>3</v>
      </c>
    </row>
    <row r="1510" spans="1:21" ht="14.25" customHeight="1" thickBot="1" x14ac:dyDescent="0.4">
      <c r="A1510" s="58">
        <v>1494</v>
      </c>
      <c r="B1510" s="69" t="s">
        <v>79</v>
      </c>
      <c r="C1510" s="69" t="s">
        <v>80</v>
      </c>
      <c r="D1510" s="70" t="s">
        <v>7526</v>
      </c>
      <c r="E1510" s="69" t="s">
        <v>414</v>
      </c>
      <c r="F1510" s="69" t="s">
        <v>217</v>
      </c>
      <c r="G1510" s="69" t="s">
        <v>415</v>
      </c>
      <c r="H1510" s="70">
        <v>2021</v>
      </c>
      <c r="I1510" s="69" t="s">
        <v>63</v>
      </c>
      <c r="J1510" s="69" t="s">
        <v>63</v>
      </c>
      <c r="K1510" s="71" t="s">
        <v>7527</v>
      </c>
      <c r="L1510" s="71" t="s">
        <v>7528</v>
      </c>
      <c r="M1510" s="71" t="s">
        <v>7529</v>
      </c>
      <c r="N1510" s="69" t="s">
        <v>57</v>
      </c>
      <c r="O1510" s="64">
        <v>1</v>
      </c>
      <c r="P1510" s="72">
        <v>33100</v>
      </c>
      <c r="Q1510" s="69" t="s">
        <v>420</v>
      </c>
      <c r="R1510" s="69"/>
      <c r="S1510" s="203" t="s">
        <v>903</v>
      </c>
      <c r="T1510" s="56">
        <v>41</v>
      </c>
      <c r="U1510" s="56">
        <v>3</v>
      </c>
    </row>
    <row r="1511" spans="1:21" ht="14.25" customHeight="1" x14ac:dyDescent="0.35">
      <c r="A1511" s="47">
        <v>1495</v>
      </c>
      <c r="B1511" s="69" t="s">
        <v>79</v>
      </c>
      <c r="C1511" s="69" t="s">
        <v>80</v>
      </c>
      <c r="D1511" s="70" t="s">
        <v>7530</v>
      </c>
      <c r="E1511" s="69" t="s">
        <v>414</v>
      </c>
      <c r="F1511" s="69" t="s">
        <v>217</v>
      </c>
      <c r="G1511" s="69" t="s">
        <v>415</v>
      </c>
      <c r="H1511" s="70">
        <v>2021</v>
      </c>
      <c r="I1511" s="69" t="s">
        <v>63</v>
      </c>
      <c r="J1511" s="69" t="s">
        <v>63</v>
      </c>
      <c r="K1511" s="71" t="s">
        <v>7531</v>
      </c>
      <c r="L1511" s="71" t="s">
        <v>7532</v>
      </c>
      <c r="M1511" s="71" t="s">
        <v>7533</v>
      </c>
      <c r="N1511" s="69" t="s">
        <v>57</v>
      </c>
      <c r="O1511" s="64">
        <v>1</v>
      </c>
      <c r="P1511" s="72">
        <v>33100</v>
      </c>
      <c r="Q1511" s="69" t="s">
        <v>420</v>
      </c>
      <c r="R1511" s="69"/>
      <c r="S1511" s="203" t="s">
        <v>903</v>
      </c>
      <c r="T1511" s="56">
        <v>41</v>
      </c>
      <c r="U1511" s="56">
        <v>3</v>
      </c>
    </row>
    <row r="1512" spans="1:21" ht="14.25" customHeight="1" thickBot="1" x14ac:dyDescent="0.4">
      <c r="A1512" s="58">
        <v>1496</v>
      </c>
      <c r="B1512" s="69" t="s">
        <v>79</v>
      </c>
      <c r="C1512" s="69" t="s">
        <v>80</v>
      </c>
      <c r="D1512" s="70" t="s">
        <v>7534</v>
      </c>
      <c r="E1512" s="69" t="s">
        <v>414</v>
      </c>
      <c r="F1512" s="69" t="s">
        <v>217</v>
      </c>
      <c r="G1512" s="69" t="s">
        <v>415</v>
      </c>
      <c r="H1512" s="70">
        <v>2021</v>
      </c>
      <c r="I1512" s="69" t="s">
        <v>63</v>
      </c>
      <c r="J1512" s="69" t="s">
        <v>63</v>
      </c>
      <c r="K1512" s="71" t="s">
        <v>7535</v>
      </c>
      <c r="L1512" s="71" t="s">
        <v>7536</v>
      </c>
      <c r="M1512" s="71" t="s">
        <v>7537</v>
      </c>
      <c r="N1512" s="69" t="s">
        <v>57</v>
      </c>
      <c r="O1512" s="64">
        <v>1</v>
      </c>
      <c r="P1512" s="72">
        <v>33100</v>
      </c>
      <c r="Q1512" s="69" t="s">
        <v>420</v>
      </c>
      <c r="R1512" s="69"/>
      <c r="S1512" s="203" t="s">
        <v>903</v>
      </c>
      <c r="T1512" s="56">
        <v>41</v>
      </c>
      <c r="U1512" s="56">
        <v>3</v>
      </c>
    </row>
    <row r="1513" spans="1:21" ht="14.25" customHeight="1" x14ac:dyDescent="0.35">
      <c r="A1513" s="47">
        <v>1497</v>
      </c>
      <c r="B1513" s="69" t="s">
        <v>79</v>
      </c>
      <c r="C1513" s="69" t="s">
        <v>80</v>
      </c>
      <c r="D1513" s="70" t="s">
        <v>7538</v>
      </c>
      <c r="E1513" s="69" t="s">
        <v>6482</v>
      </c>
      <c r="F1513" s="69" t="s">
        <v>483</v>
      </c>
      <c r="G1513" s="69" t="s">
        <v>4228</v>
      </c>
      <c r="H1513" s="70">
        <v>2022</v>
      </c>
      <c r="I1513" s="69" t="s">
        <v>63</v>
      </c>
      <c r="J1513" s="69" t="s">
        <v>7539</v>
      </c>
      <c r="K1513" s="71" t="s">
        <v>7540</v>
      </c>
      <c r="L1513" s="71" t="s">
        <v>7541</v>
      </c>
      <c r="M1513" s="71" t="s">
        <v>63</v>
      </c>
      <c r="N1513" s="69" t="s">
        <v>44</v>
      </c>
      <c r="O1513" s="64">
        <v>1</v>
      </c>
      <c r="P1513" s="72">
        <v>34497</v>
      </c>
      <c r="Q1513" s="69" t="s">
        <v>7542</v>
      </c>
      <c r="R1513" s="69"/>
      <c r="S1513" s="203" t="s">
        <v>903</v>
      </c>
      <c r="T1513" s="56">
        <v>41</v>
      </c>
      <c r="U1513" s="56">
        <v>3</v>
      </c>
    </row>
    <row r="1514" spans="1:21" ht="14.25" customHeight="1" thickBot="1" x14ac:dyDescent="0.4">
      <c r="A1514" s="58">
        <v>1498</v>
      </c>
      <c r="B1514" s="69" t="s">
        <v>79</v>
      </c>
      <c r="C1514" s="69" t="s">
        <v>80</v>
      </c>
      <c r="D1514" s="70" t="s">
        <v>7543</v>
      </c>
      <c r="E1514" s="69" t="s">
        <v>6482</v>
      </c>
      <c r="F1514" s="69" t="s">
        <v>483</v>
      </c>
      <c r="G1514" s="69" t="s">
        <v>4228</v>
      </c>
      <c r="H1514" s="70">
        <v>2022</v>
      </c>
      <c r="I1514" s="69" t="s">
        <v>63</v>
      </c>
      <c r="J1514" s="69" t="s">
        <v>63</v>
      </c>
      <c r="K1514" s="71" t="s">
        <v>63</v>
      </c>
      <c r="L1514" s="71" t="s">
        <v>7544</v>
      </c>
      <c r="M1514" s="71" t="s">
        <v>63</v>
      </c>
      <c r="N1514" s="69" t="s">
        <v>44</v>
      </c>
      <c r="O1514" s="64">
        <v>1</v>
      </c>
      <c r="P1514" s="72">
        <v>34497</v>
      </c>
      <c r="Q1514" s="69" t="s">
        <v>7542</v>
      </c>
      <c r="R1514" s="69"/>
      <c r="S1514" s="203" t="s">
        <v>903</v>
      </c>
      <c r="T1514" s="56">
        <v>41</v>
      </c>
      <c r="U1514" s="56">
        <v>3</v>
      </c>
    </row>
    <row r="1515" spans="1:21" ht="14.25" customHeight="1" x14ac:dyDescent="0.35">
      <c r="A1515" s="47">
        <v>1499</v>
      </c>
      <c r="B1515" s="69" t="s">
        <v>79</v>
      </c>
      <c r="C1515" s="69" t="s">
        <v>80</v>
      </c>
      <c r="D1515" s="70" t="s">
        <v>7545</v>
      </c>
      <c r="E1515" s="69" t="s">
        <v>6482</v>
      </c>
      <c r="F1515" s="69" t="s">
        <v>483</v>
      </c>
      <c r="G1515" s="69" t="s">
        <v>4228</v>
      </c>
      <c r="H1515" s="70">
        <v>2022</v>
      </c>
      <c r="I1515" s="69" t="s">
        <v>63</v>
      </c>
      <c r="J1515" s="69" t="s">
        <v>63</v>
      </c>
      <c r="K1515" s="71" t="s">
        <v>63</v>
      </c>
      <c r="L1515" s="71" t="s">
        <v>7546</v>
      </c>
      <c r="M1515" s="71" t="s">
        <v>63</v>
      </c>
      <c r="N1515" s="69" t="s">
        <v>44</v>
      </c>
      <c r="O1515" s="64">
        <v>1</v>
      </c>
      <c r="P1515" s="72">
        <v>34497</v>
      </c>
      <c r="Q1515" s="69" t="s">
        <v>7542</v>
      </c>
      <c r="R1515" s="69"/>
      <c r="S1515" s="203" t="s">
        <v>903</v>
      </c>
      <c r="T1515" s="56">
        <v>41</v>
      </c>
      <c r="U1515" s="56">
        <v>3</v>
      </c>
    </row>
    <row r="1516" spans="1:21" ht="14.25" customHeight="1" thickBot="1" x14ac:dyDescent="0.4">
      <c r="A1516" s="58">
        <v>1500</v>
      </c>
      <c r="B1516" s="69" t="s">
        <v>79</v>
      </c>
      <c r="C1516" s="69" t="s">
        <v>80</v>
      </c>
      <c r="D1516" s="70" t="s">
        <v>6345</v>
      </c>
      <c r="E1516" s="69" t="s">
        <v>6482</v>
      </c>
      <c r="F1516" s="69" t="s">
        <v>483</v>
      </c>
      <c r="G1516" s="69" t="s">
        <v>4228</v>
      </c>
      <c r="H1516" s="70">
        <v>2022</v>
      </c>
      <c r="I1516" s="69" t="s">
        <v>63</v>
      </c>
      <c r="J1516" s="69" t="s">
        <v>63</v>
      </c>
      <c r="K1516" s="71" t="s">
        <v>63</v>
      </c>
      <c r="L1516" s="71" t="s">
        <v>7547</v>
      </c>
      <c r="M1516" s="71" t="s">
        <v>63</v>
      </c>
      <c r="N1516" s="69" t="s">
        <v>44</v>
      </c>
      <c r="O1516" s="64">
        <v>1</v>
      </c>
      <c r="P1516" s="72">
        <v>34497</v>
      </c>
      <c r="Q1516" s="69" t="s">
        <v>7542</v>
      </c>
      <c r="R1516" s="69"/>
      <c r="S1516" s="203" t="s">
        <v>903</v>
      </c>
      <c r="T1516" s="56">
        <v>41</v>
      </c>
      <c r="U1516" s="56">
        <v>3</v>
      </c>
    </row>
    <row r="1517" spans="1:21" ht="14.25" customHeight="1" x14ac:dyDescent="0.35">
      <c r="A1517" s="47">
        <v>1501</v>
      </c>
      <c r="B1517" s="69" t="s">
        <v>79</v>
      </c>
      <c r="C1517" s="69" t="s">
        <v>80</v>
      </c>
      <c r="D1517" s="70" t="s">
        <v>6351</v>
      </c>
      <c r="E1517" s="69" t="s">
        <v>6482</v>
      </c>
      <c r="F1517" s="69" t="s">
        <v>483</v>
      </c>
      <c r="G1517" s="69" t="s">
        <v>4228</v>
      </c>
      <c r="H1517" s="70">
        <v>2022</v>
      </c>
      <c r="I1517" s="69" t="s">
        <v>63</v>
      </c>
      <c r="J1517" s="69" t="s">
        <v>63</v>
      </c>
      <c r="K1517" s="71" t="s">
        <v>63</v>
      </c>
      <c r="L1517" s="71" t="s">
        <v>7548</v>
      </c>
      <c r="M1517" s="71" t="s">
        <v>63</v>
      </c>
      <c r="N1517" s="69" t="s">
        <v>44</v>
      </c>
      <c r="O1517" s="64">
        <v>1</v>
      </c>
      <c r="P1517" s="72">
        <v>34497</v>
      </c>
      <c r="Q1517" s="69" t="s">
        <v>7542</v>
      </c>
      <c r="R1517" s="69"/>
      <c r="S1517" s="203" t="s">
        <v>903</v>
      </c>
      <c r="T1517" s="56">
        <v>41</v>
      </c>
      <c r="U1517" s="56">
        <v>3</v>
      </c>
    </row>
    <row r="1518" spans="1:21" ht="14.25" customHeight="1" thickBot="1" x14ac:dyDescent="0.4">
      <c r="A1518" s="58">
        <v>1502</v>
      </c>
      <c r="B1518" s="69" t="s">
        <v>79</v>
      </c>
      <c r="C1518" s="69" t="s">
        <v>80</v>
      </c>
      <c r="D1518" s="70" t="s">
        <v>7549</v>
      </c>
      <c r="E1518" s="69" t="s">
        <v>6482</v>
      </c>
      <c r="F1518" s="69" t="s">
        <v>483</v>
      </c>
      <c r="G1518" s="69" t="s">
        <v>4228</v>
      </c>
      <c r="H1518" s="70">
        <v>2022</v>
      </c>
      <c r="I1518" s="69" t="s">
        <v>63</v>
      </c>
      <c r="J1518" s="69" t="s">
        <v>63</v>
      </c>
      <c r="K1518" s="71" t="s">
        <v>63</v>
      </c>
      <c r="L1518" s="71" t="s">
        <v>7550</v>
      </c>
      <c r="M1518" s="71" t="s">
        <v>63</v>
      </c>
      <c r="N1518" s="69" t="s">
        <v>44</v>
      </c>
      <c r="O1518" s="64">
        <v>1</v>
      </c>
      <c r="P1518" s="72">
        <v>34497</v>
      </c>
      <c r="Q1518" s="69" t="s">
        <v>7542</v>
      </c>
      <c r="R1518" s="69"/>
      <c r="S1518" s="203" t="s">
        <v>903</v>
      </c>
      <c r="T1518" s="56">
        <v>41</v>
      </c>
      <c r="U1518" s="56">
        <v>3</v>
      </c>
    </row>
    <row r="1519" spans="1:21" ht="14.25" customHeight="1" x14ac:dyDescent="0.35">
      <c r="A1519" s="47">
        <v>1503</v>
      </c>
      <c r="B1519" s="69" t="s">
        <v>79</v>
      </c>
      <c r="C1519" s="69" t="s">
        <v>80</v>
      </c>
      <c r="D1519" s="70" t="s">
        <v>7551</v>
      </c>
      <c r="E1519" s="69" t="s">
        <v>6482</v>
      </c>
      <c r="F1519" s="69" t="s">
        <v>483</v>
      </c>
      <c r="G1519" s="69" t="s">
        <v>4228</v>
      </c>
      <c r="H1519" s="70">
        <v>2022</v>
      </c>
      <c r="I1519" s="69" t="s">
        <v>63</v>
      </c>
      <c r="J1519" s="69" t="s">
        <v>63</v>
      </c>
      <c r="K1519" s="71" t="s">
        <v>63</v>
      </c>
      <c r="L1519" s="71" t="s">
        <v>7552</v>
      </c>
      <c r="M1519" s="71" t="s">
        <v>63</v>
      </c>
      <c r="N1519" s="69" t="s">
        <v>44</v>
      </c>
      <c r="O1519" s="64">
        <v>1</v>
      </c>
      <c r="P1519" s="72">
        <v>34497</v>
      </c>
      <c r="Q1519" s="69" t="s">
        <v>7542</v>
      </c>
      <c r="R1519" s="69"/>
      <c r="S1519" s="203" t="s">
        <v>903</v>
      </c>
      <c r="T1519" s="56">
        <v>41</v>
      </c>
      <c r="U1519" s="56">
        <v>3</v>
      </c>
    </row>
    <row r="1520" spans="1:21" ht="14.25" customHeight="1" thickBot="1" x14ac:dyDescent="0.4">
      <c r="A1520" s="58">
        <v>1504</v>
      </c>
      <c r="B1520" s="69" t="s">
        <v>79</v>
      </c>
      <c r="C1520" s="69" t="s">
        <v>80</v>
      </c>
      <c r="D1520" s="70" t="s">
        <v>7553</v>
      </c>
      <c r="E1520" s="69" t="s">
        <v>6482</v>
      </c>
      <c r="F1520" s="69" t="s">
        <v>483</v>
      </c>
      <c r="G1520" s="69" t="s">
        <v>4228</v>
      </c>
      <c r="H1520" s="70">
        <v>2022</v>
      </c>
      <c r="I1520" s="69" t="s">
        <v>63</v>
      </c>
      <c r="J1520" s="69" t="s">
        <v>63</v>
      </c>
      <c r="K1520" s="71" t="s">
        <v>63</v>
      </c>
      <c r="L1520" s="71" t="s">
        <v>7554</v>
      </c>
      <c r="M1520" s="71" t="s">
        <v>63</v>
      </c>
      <c r="N1520" s="69" t="s">
        <v>44</v>
      </c>
      <c r="O1520" s="64">
        <v>1</v>
      </c>
      <c r="P1520" s="72">
        <v>34497</v>
      </c>
      <c r="Q1520" s="69" t="s">
        <v>7542</v>
      </c>
      <c r="R1520" s="69"/>
      <c r="S1520" s="203" t="s">
        <v>903</v>
      </c>
      <c r="T1520" s="56">
        <v>41</v>
      </c>
      <c r="U1520" s="56">
        <v>3</v>
      </c>
    </row>
    <row r="1521" spans="1:21" ht="14.25" customHeight="1" x14ac:dyDescent="0.35">
      <c r="A1521" s="47">
        <v>1505</v>
      </c>
      <c r="B1521" s="69" t="s">
        <v>79</v>
      </c>
      <c r="C1521" s="69" t="s">
        <v>80</v>
      </c>
      <c r="D1521" s="70" t="s">
        <v>7555</v>
      </c>
      <c r="E1521" s="69" t="s">
        <v>6482</v>
      </c>
      <c r="F1521" s="69" t="s">
        <v>483</v>
      </c>
      <c r="G1521" s="69" t="s">
        <v>4228</v>
      </c>
      <c r="H1521" s="70">
        <v>2022</v>
      </c>
      <c r="I1521" s="69" t="s">
        <v>63</v>
      </c>
      <c r="J1521" s="69" t="s">
        <v>63</v>
      </c>
      <c r="K1521" s="71" t="s">
        <v>63</v>
      </c>
      <c r="L1521" s="71" t="s">
        <v>7556</v>
      </c>
      <c r="M1521" s="71" t="s">
        <v>63</v>
      </c>
      <c r="N1521" s="69" t="s">
        <v>44</v>
      </c>
      <c r="O1521" s="64">
        <v>1</v>
      </c>
      <c r="P1521" s="72">
        <v>34497</v>
      </c>
      <c r="Q1521" s="69" t="s">
        <v>7542</v>
      </c>
      <c r="R1521" s="69"/>
      <c r="S1521" s="203" t="s">
        <v>903</v>
      </c>
      <c r="T1521" s="56">
        <v>41</v>
      </c>
      <c r="U1521" s="56">
        <v>3</v>
      </c>
    </row>
    <row r="1522" spans="1:21" ht="14.25" customHeight="1" thickBot="1" x14ac:dyDescent="0.4">
      <c r="A1522" s="58">
        <v>1506</v>
      </c>
      <c r="B1522" s="69" t="s">
        <v>79</v>
      </c>
      <c r="C1522" s="69" t="s">
        <v>80</v>
      </c>
      <c r="D1522" s="70" t="s">
        <v>7557</v>
      </c>
      <c r="E1522" s="69" t="s">
        <v>6482</v>
      </c>
      <c r="F1522" s="69" t="s">
        <v>483</v>
      </c>
      <c r="G1522" s="69" t="s">
        <v>4228</v>
      </c>
      <c r="H1522" s="70">
        <v>2022</v>
      </c>
      <c r="I1522" s="69" t="s">
        <v>63</v>
      </c>
      <c r="J1522" s="69" t="s">
        <v>63</v>
      </c>
      <c r="K1522" s="71" t="s">
        <v>63</v>
      </c>
      <c r="L1522" s="71" t="s">
        <v>7558</v>
      </c>
      <c r="M1522" s="71" t="s">
        <v>63</v>
      </c>
      <c r="N1522" s="69" t="s">
        <v>44</v>
      </c>
      <c r="O1522" s="64">
        <v>1</v>
      </c>
      <c r="P1522" s="72">
        <v>34497</v>
      </c>
      <c r="Q1522" s="69" t="s">
        <v>7542</v>
      </c>
      <c r="R1522" s="69"/>
      <c r="S1522" s="203" t="s">
        <v>903</v>
      </c>
      <c r="T1522" s="56">
        <v>41</v>
      </c>
      <c r="U1522" s="56">
        <v>3</v>
      </c>
    </row>
    <row r="1523" spans="1:21" ht="14.25" customHeight="1" x14ac:dyDescent="0.35">
      <c r="A1523" s="47">
        <v>1507</v>
      </c>
      <c r="B1523" s="69" t="s">
        <v>79</v>
      </c>
      <c r="C1523" s="69" t="s">
        <v>80</v>
      </c>
      <c r="D1523" s="70" t="s">
        <v>7559</v>
      </c>
      <c r="E1523" s="69" t="s">
        <v>6482</v>
      </c>
      <c r="F1523" s="69" t="s">
        <v>483</v>
      </c>
      <c r="G1523" s="69" t="s">
        <v>4228</v>
      </c>
      <c r="H1523" s="70">
        <v>2022</v>
      </c>
      <c r="I1523" s="69" t="s">
        <v>63</v>
      </c>
      <c r="J1523" s="69" t="s">
        <v>63</v>
      </c>
      <c r="K1523" s="71" t="s">
        <v>63</v>
      </c>
      <c r="L1523" s="71" t="s">
        <v>7560</v>
      </c>
      <c r="M1523" s="71" t="s">
        <v>63</v>
      </c>
      <c r="N1523" s="69" t="s">
        <v>44</v>
      </c>
      <c r="O1523" s="64">
        <v>1</v>
      </c>
      <c r="P1523" s="72">
        <v>34497</v>
      </c>
      <c r="Q1523" s="69" t="s">
        <v>7542</v>
      </c>
      <c r="R1523" s="69"/>
      <c r="S1523" s="203" t="s">
        <v>903</v>
      </c>
      <c r="T1523" s="56">
        <v>41</v>
      </c>
      <c r="U1523" s="56">
        <v>3</v>
      </c>
    </row>
    <row r="1524" spans="1:21" ht="14.25" customHeight="1" thickBot="1" x14ac:dyDescent="0.4">
      <c r="A1524" s="58">
        <v>1508</v>
      </c>
      <c r="B1524" s="69" t="s">
        <v>79</v>
      </c>
      <c r="C1524" s="69" t="s">
        <v>80</v>
      </c>
      <c r="D1524" s="70" t="s">
        <v>7561</v>
      </c>
      <c r="E1524" s="69" t="s">
        <v>6482</v>
      </c>
      <c r="F1524" s="69" t="s">
        <v>483</v>
      </c>
      <c r="G1524" s="69" t="s">
        <v>4228</v>
      </c>
      <c r="H1524" s="70">
        <v>2022</v>
      </c>
      <c r="I1524" s="69" t="s">
        <v>63</v>
      </c>
      <c r="J1524" s="69" t="s">
        <v>63</v>
      </c>
      <c r="K1524" s="71" t="s">
        <v>63</v>
      </c>
      <c r="L1524" s="71" t="s">
        <v>7562</v>
      </c>
      <c r="M1524" s="71" t="s">
        <v>63</v>
      </c>
      <c r="N1524" s="69" t="s">
        <v>44</v>
      </c>
      <c r="O1524" s="64">
        <v>1</v>
      </c>
      <c r="P1524" s="72">
        <v>34497</v>
      </c>
      <c r="Q1524" s="69" t="s">
        <v>7542</v>
      </c>
      <c r="R1524" s="69"/>
      <c r="S1524" s="203" t="s">
        <v>903</v>
      </c>
      <c r="T1524" s="56">
        <v>41</v>
      </c>
      <c r="U1524" s="56">
        <v>3</v>
      </c>
    </row>
    <row r="1525" spans="1:21" ht="14.25" customHeight="1" x14ac:dyDescent="0.35">
      <c r="A1525" s="47">
        <v>1509</v>
      </c>
      <c r="B1525" s="69" t="s">
        <v>79</v>
      </c>
      <c r="C1525" s="69" t="s">
        <v>80</v>
      </c>
      <c r="D1525" s="70" t="s">
        <v>7563</v>
      </c>
      <c r="E1525" s="69" t="s">
        <v>6482</v>
      </c>
      <c r="F1525" s="69" t="s">
        <v>483</v>
      </c>
      <c r="G1525" s="69" t="s">
        <v>4228</v>
      </c>
      <c r="H1525" s="70">
        <v>2022</v>
      </c>
      <c r="I1525" s="69" t="s">
        <v>63</v>
      </c>
      <c r="J1525" s="69" t="s">
        <v>63</v>
      </c>
      <c r="K1525" s="71" t="s">
        <v>63</v>
      </c>
      <c r="L1525" s="71" t="s">
        <v>7564</v>
      </c>
      <c r="M1525" s="71" t="s">
        <v>63</v>
      </c>
      <c r="N1525" s="69" t="s">
        <v>44</v>
      </c>
      <c r="O1525" s="64">
        <v>1</v>
      </c>
      <c r="P1525" s="72">
        <v>34497</v>
      </c>
      <c r="Q1525" s="69" t="s">
        <v>7542</v>
      </c>
      <c r="R1525" s="69"/>
      <c r="S1525" s="203" t="s">
        <v>903</v>
      </c>
      <c r="T1525" s="56">
        <v>41</v>
      </c>
      <c r="U1525" s="56">
        <v>3</v>
      </c>
    </row>
    <row r="1526" spans="1:21" ht="14.25" customHeight="1" thickBot="1" x14ac:dyDescent="0.4">
      <c r="A1526" s="58">
        <v>1510</v>
      </c>
      <c r="B1526" s="69" t="s">
        <v>79</v>
      </c>
      <c r="C1526" s="69" t="s">
        <v>80</v>
      </c>
      <c r="D1526" s="70" t="s">
        <v>7565</v>
      </c>
      <c r="E1526" s="69" t="s">
        <v>6482</v>
      </c>
      <c r="F1526" s="69" t="s">
        <v>483</v>
      </c>
      <c r="G1526" s="69" t="s">
        <v>4228</v>
      </c>
      <c r="H1526" s="70">
        <v>2022</v>
      </c>
      <c r="I1526" s="69" t="s">
        <v>63</v>
      </c>
      <c r="J1526" s="69" t="s">
        <v>63</v>
      </c>
      <c r="K1526" s="71" t="s">
        <v>63</v>
      </c>
      <c r="L1526" s="71" t="s">
        <v>7566</v>
      </c>
      <c r="M1526" s="71" t="s">
        <v>63</v>
      </c>
      <c r="N1526" s="69" t="s">
        <v>44</v>
      </c>
      <c r="O1526" s="64">
        <v>1</v>
      </c>
      <c r="P1526" s="72">
        <v>34497</v>
      </c>
      <c r="Q1526" s="69" t="s">
        <v>7542</v>
      </c>
      <c r="R1526" s="69"/>
      <c r="S1526" s="203" t="s">
        <v>903</v>
      </c>
      <c r="T1526" s="56">
        <v>41</v>
      </c>
      <c r="U1526" s="56">
        <v>3</v>
      </c>
    </row>
    <row r="1527" spans="1:21" ht="14.25" customHeight="1" x14ac:dyDescent="0.35">
      <c r="A1527" s="47">
        <v>1511</v>
      </c>
      <c r="B1527" s="69" t="s">
        <v>79</v>
      </c>
      <c r="C1527" s="69" t="s">
        <v>80</v>
      </c>
      <c r="D1527" s="70" t="s">
        <v>7567</v>
      </c>
      <c r="E1527" s="69" t="s">
        <v>6482</v>
      </c>
      <c r="F1527" s="69" t="s">
        <v>483</v>
      </c>
      <c r="G1527" s="69" t="s">
        <v>4228</v>
      </c>
      <c r="H1527" s="70">
        <v>2022</v>
      </c>
      <c r="I1527" s="69" t="s">
        <v>63</v>
      </c>
      <c r="J1527" s="69" t="s">
        <v>63</v>
      </c>
      <c r="K1527" s="71" t="s">
        <v>63</v>
      </c>
      <c r="L1527" s="71" t="s">
        <v>7568</v>
      </c>
      <c r="M1527" s="71" t="s">
        <v>63</v>
      </c>
      <c r="N1527" s="69" t="s">
        <v>44</v>
      </c>
      <c r="O1527" s="64">
        <v>1</v>
      </c>
      <c r="P1527" s="72">
        <v>34497</v>
      </c>
      <c r="Q1527" s="69" t="s">
        <v>7542</v>
      </c>
      <c r="R1527" s="69"/>
      <c r="S1527" s="203" t="s">
        <v>903</v>
      </c>
      <c r="T1527" s="56">
        <v>41</v>
      </c>
      <c r="U1527" s="56">
        <v>3</v>
      </c>
    </row>
    <row r="1528" spans="1:21" ht="14.25" customHeight="1" thickBot="1" x14ac:dyDescent="0.4">
      <c r="A1528" s="58">
        <v>1512</v>
      </c>
      <c r="B1528" s="69" t="s">
        <v>79</v>
      </c>
      <c r="C1528" s="69" t="s">
        <v>80</v>
      </c>
      <c r="D1528" s="70" t="s">
        <v>7569</v>
      </c>
      <c r="E1528" s="69" t="s">
        <v>6482</v>
      </c>
      <c r="F1528" s="69" t="s">
        <v>483</v>
      </c>
      <c r="G1528" s="69" t="s">
        <v>4228</v>
      </c>
      <c r="H1528" s="70">
        <v>2022</v>
      </c>
      <c r="I1528" s="69" t="s">
        <v>63</v>
      </c>
      <c r="J1528" s="69" t="s">
        <v>63</v>
      </c>
      <c r="K1528" s="71" t="s">
        <v>63</v>
      </c>
      <c r="L1528" s="71" t="s">
        <v>7570</v>
      </c>
      <c r="M1528" s="71" t="s">
        <v>63</v>
      </c>
      <c r="N1528" s="69" t="s">
        <v>44</v>
      </c>
      <c r="O1528" s="64">
        <v>1</v>
      </c>
      <c r="P1528" s="72">
        <v>34497</v>
      </c>
      <c r="Q1528" s="69" t="s">
        <v>7542</v>
      </c>
      <c r="R1528" s="69"/>
      <c r="S1528" s="203" t="s">
        <v>903</v>
      </c>
      <c r="T1528" s="56">
        <v>41</v>
      </c>
      <c r="U1528" s="56">
        <v>3</v>
      </c>
    </row>
    <row r="1529" spans="1:21" ht="14.25" customHeight="1" x14ac:dyDescent="0.35">
      <c r="A1529" s="47">
        <v>1513</v>
      </c>
      <c r="B1529" s="69" t="s">
        <v>79</v>
      </c>
      <c r="C1529" s="69" t="s">
        <v>80</v>
      </c>
      <c r="D1529" s="70" t="s">
        <v>7571</v>
      </c>
      <c r="E1529" s="69" t="s">
        <v>6482</v>
      </c>
      <c r="F1529" s="69" t="s">
        <v>483</v>
      </c>
      <c r="G1529" s="69" t="s">
        <v>4228</v>
      </c>
      <c r="H1529" s="70">
        <v>2022</v>
      </c>
      <c r="I1529" s="69" t="s">
        <v>63</v>
      </c>
      <c r="J1529" s="69" t="s">
        <v>63</v>
      </c>
      <c r="K1529" s="71" t="s">
        <v>63</v>
      </c>
      <c r="L1529" s="71" t="s">
        <v>7572</v>
      </c>
      <c r="M1529" s="71" t="s">
        <v>63</v>
      </c>
      <c r="N1529" s="69" t="s">
        <v>44</v>
      </c>
      <c r="O1529" s="64">
        <v>1</v>
      </c>
      <c r="P1529" s="72">
        <v>34497</v>
      </c>
      <c r="Q1529" s="69" t="s">
        <v>7542</v>
      </c>
      <c r="R1529" s="69"/>
      <c r="S1529" s="203" t="s">
        <v>903</v>
      </c>
      <c r="T1529" s="56">
        <v>41</v>
      </c>
      <c r="U1529" s="56">
        <v>3</v>
      </c>
    </row>
    <row r="1530" spans="1:21" ht="14.25" customHeight="1" thickBot="1" x14ac:dyDescent="0.4">
      <c r="A1530" s="58">
        <v>1514</v>
      </c>
      <c r="B1530" s="69" t="s">
        <v>79</v>
      </c>
      <c r="C1530" s="69" t="s">
        <v>80</v>
      </c>
      <c r="D1530" s="70" t="s">
        <v>7573</v>
      </c>
      <c r="E1530" s="69" t="s">
        <v>6482</v>
      </c>
      <c r="F1530" s="69" t="s">
        <v>483</v>
      </c>
      <c r="G1530" s="69" t="s">
        <v>4228</v>
      </c>
      <c r="H1530" s="70">
        <v>2022</v>
      </c>
      <c r="I1530" s="69" t="s">
        <v>63</v>
      </c>
      <c r="J1530" s="69" t="s">
        <v>63</v>
      </c>
      <c r="K1530" s="71" t="s">
        <v>63</v>
      </c>
      <c r="L1530" s="71" t="s">
        <v>7574</v>
      </c>
      <c r="M1530" s="71" t="s">
        <v>63</v>
      </c>
      <c r="N1530" s="69" t="s">
        <v>44</v>
      </c>
      <c r="O1530" s="64">
        <v>1</v>
      </c>
      <c r="P1530" s="72">
        <v>34497</v>
      </c>
      <c r="Q1530" s="69" t="s">
        <v>7542</v>
      </c>
      <c r="R1530" s="69"/>
      <c r="S1530" s="203" t="s">
        <v>903</v>
      </c>
      <c r="T1530" s="56">
        <v>41</v>
      </c>
      <c r="U1530" s="56">
        <v>3</v>
      </c>
    </row>
    <row r="1531" spans="1:21" ht="14.25" customHeight="1" x14ac:dyDescent="0.35">
      <c r="A1531" s="47">
        <v>1515</v>
      </c>
      <c r="B1531" s="69" t="s">
        <v>79</v>
      </c>
      <c r="C1531" s="69" t="s">
        <v>80</v>
      </c>
      <c r="D1531" s="70" t="s">
        <v>7575</v>
      </c>
      <c r="E1531" s="69" t="s">
        <v>6482</v>
      </c>
      <c r="F1531" s="69" t="s">
        <v>483</v>
      </c>
      <c r="G1531" s="69" t="s">
        <v>4228</v>
      </c>
      <c r="H1531" s="70">
        <v>2022</v>
      </c>
      <c r="I1531" s="69" t="s">
        <v>63</v>
      </c>
      <c r="J1531" s="69" t="s">
        <v>63</v>
      </c>
      <c r="K1531" s="71" t="s">
        <v>63</v>
      </c>
      <c r="L1531" s="71" t="s">
        <v>7576</v>
      </c>
      <c r="M1531" s="71" t="s">
        <v>63</v>
      </c>
      <c r="N1531" s="69" t="s">
        <v>44</v>
      </c>
      <c r="O1531" s="64">
        <v>1</v>
      </c>
      <c r="P1531" s="72">
        <v>34497</v>
      </c>
      <c r="Q1531" s="69" t="s">
        <v>7542</v>
      </c>
      <c r="R1531" s="69"/>
      <c r="S1531" s="203" t="s">
        <v>903</v>
      </c>
      <c r="T1531" s="56">
        <v>41</v>
      </c>
      <c r="U1531" s="56">
        <v>3</v>
      </c>
    </row>
    <row r="1532" spans="1:21" ht="14.25" customHeight="1" thickBot="1" x14ac:dyDescent="0.4">
      <c r="A1532" s="58">
        <v>1516</v>
      </c>
      <c r="B1532" s="69" t="s">
        <v>79</v>
      </c>
      <c r="C1532" s="69" t="s">
        <v>80</v>
      </c>
      <c r="D1532" s="70" t="s">
        <v>7577</v>
      </c>
      <c r="E1532" s="69" t="s">
        <v>6482</v>
      </c>
      <c r="F1532" s="69" t="s">
        <v>483</v>
      </c>
      <c r="G1532" s="69" t="s">
        <v>4228</v>
      </c>
      <c r="H1532" s="70">
        <v>2022</v>
      </c>
      <c r="I1532" s="69" t="s">
        <v>63</v>
      </c>
      <c r="J1532" s="69" t="s">
        <v>63</v>
      </c>
      <c r="K1532" s="71" t="s">
        <v>63</v>
      </c>
      <c r="L1532" s="71" t="s">
        <v>7578</v>
      </c>
      <c r="M1532" s="71" t="s">
        <v>63</v>
      </c>
      <c r="N1532" s="69" t="s">
        <v>44</v>
      </c>
      <c r="O1532" s="64">
        <v>1</v>
      </c>
      <c r="P1532" s="72">
        <v>34497</v>
      </c>
      <c r="Q1532" s="69" t="s">
        <v>7542</v>
      </c>
      <c r="R1532" s="69"/>
      <c r="S1532" s="203" t="s">
        <v>903</v>
      </c>
      <c r="T1532" s="56">
        <v>41</v>
      </c>
      <c r="U1532" s="56">
        <v>3</v>
      </c>
    </row>
    <row r="1533" spans="1:21" ht="14.25" customHeight="1" x14ac:dyDescent="0.35">
      <c r="A1533" s="47">
        <v>1517</v>
      </c>
      <c r="B1533" s="69" t="s">
        <v>79</v>
      </c>
      <c r="C1533" s="69" t="s">
        <v>80</v>
      </c>
      <c r="D1533" s="70" t="s">
        <v>7579</v>
      </c>
      <c r="E1533" s="69" t="s">
        <v>6482</v>
      </c>
      <c r="F1533" s="69" t="s">
        <v>483</v>
      </c>
      <c r="G1533" s="69" t="s">
        <v>4228</v>
      </c>
      <c r="H1533" s="70">
        <v>2022</v>
      </c>
      <c r="I1533" s="69" t="s">
        <v>63</v>
      </c>
      <c r="J1533" s="69" t="s">
        <v>63</v>
      </c>
      <c r="K1533" s="71" t="s">
        <v>63</v>
      </c>
      <c r="L1533" s="71" t="s">
        <v>7580</v>
      </c>
      <c r="M1533" s="71" t="s">
        <v>63</v>
      </c>
      <c r="N1533" s="69" t="s">
        <v>44</v>
      </c>
      <c r="O1533" s="64">
        <v>1</v>
      </c>
      <c r="P1533" s="72">
        <v>34497</v>
      </c>
      <c r="Q1533" s="69" t="s">
        <v>7542</v>
      </c>
      <c r="R1533" s="69"/>
      <c r="S1533" s="203" t="s">
        <v>903</v>
      </c>
      <c r="T1533" s="56">
        <v>41</v>
      </c>
      <c r="U1533" s="56">
        <v>3</v>
      </c>
    </row>
    <row r="1534" spans="1:21" ht="14.25" customHeight="1" thickBot="1" x14ac:dyDescent="0.4">
      <c r="A1534" s="58">
        <v>1518</v>
      </c>
      <c r="B1534" s="69" t="s">
        <v>79</v>
      </c>
      <c r="C1534" s="69" t="s">
        <v>80</v>
      </c>
      <c r="D1534" s="70" t="s">
        <v>7581</v>
      </c>
      <c r="E1534" s="69" t="s">
        <v>6482</v>
      </c>
      <c r="F1534" s="69" t="s">
        <v>483</v>
      </c>
      <c r="G1534" s="69" t="s">
        <v>4228</v>
      </c>
      <c r="H1534" s="70">
        <v>2022</v>
      </c>
      <c r="I1534" s="69" t="s">
        <v>63</v>
      </c>
      <c r="J1534" s="69" t="s">
        <v>63</v>
      </c>
      <c r="K1534" s="71" t="s">
        <v>63</v>
      </c>
      <c r="L1534" s="71" t="s">
        <v>7582</v>
      </c>
      <c r="M1534" s="71" t="s">
        <v>63</v>
      </c>
      <c r="N1534" s="69" t="s">
        <v>44</v>
      </c>
      <c r="O1534" s="64">
        <v>1</v>
      </c>
      <c r="P1534" s="72">
        <v>34497</v>
      </c>
      <c r="Q1534" s="69" t="s">
        <v>7542</v>
      </c>
      <c r="R1534" s="69"/>
      <c r="S1534" s="203" t="s">
        <v>903</v>
      </c>
      <c r="T1534" s="56">
        <v>41</v>
      </c>
      <c r="U1534" s="56">
        <v>3</v>
      </c>
    </row>
    <row r="1535" spans="1:21" ht="14.25" customHeight="1" x14ac:dyDescent="0.35">
      <c r="A1535" s="47">
        <v>1519</v>
      </c>
      <c r="B1535" s="69" t="s">
        <v>79</v>
      </c>
      <c r="C1535" s="69" t="s">
        <v>80</v>
      </c>
      <c r="D1535" s="70" t="s">
        <v>7583</v>
      </c>
      <c r="E1535" s="69" t="s">
        <v>6482</v>
      </c>
      <c r="F1535" s="69" t="s">
        <v>483</v>
      </c>
      <c r="G1535" s="69" t="s">
        <v>4228</v>
      </c>
      <c r="H1535" s="70">
        <v>2022</v>
      </c>
      <c r="I1535" s="69" t="s">
        <v>63</v>
      </c>
      <c r="J1535" s="69" t="s">
        <v>63</v>
      </c>
      <c r="K1535" s="71" t="s">
        <v>63</v>
      </c>
      <c r="L1535" s="71" t="s">
        <v>7584</v>
      </c>
      <c r="M1535" s="71" t="s">
        <v>63</v>
      </c>
      <c r="N1535" s="69" t="s">
        <v>44</v>
      </c>
      <c r="O1535" s="64">
        <v>1</v>
      </c>
      <c r="P1535" s="72">
        <v>34497</v>
      </c>
      <c r="Q1535" s="69" t="s">
        <v>7542</v>
      </c>
      <c r="R1535" s="69"/>
      <c r="S1535" s="203" t="s">
        <v>903</v>
      </c>
      <c r="T1535" s="56">
        <v>41</v>
      </c>
      <c r="U1535" s="56">
        <v>3</v>
      </c>
    </row>
    <row r="1536" spans="1:21" ht="14.25" customHeight="1" thickBot="1" x14ac:dyDescent="0.4">
      <c r="A1536" s="58">
        <v>1520</v>
      </c>
      <c r="B1536" s="69" t="s">
        <v>79</v>
      </c>
      <c r="C1536" s="69" t="s">
        <v>80</v>
      </c>
      <c r="D1536" s="70" t="s">
        <v>7585</v>
      </c>
      <c r="E1536" s="69" t="s">
        <v>6482</v>
      </c>
      <c r="F1536" s="69" t="s">
        <v>483</v>
      </c>
      <c r="G1536" s="69" t="s">
        <v>4228</v>
      </c>
      <c r="H1536" s="70">
        <v>2022</v>
      </c>
      <c r="I1536" s="69" t="s">
        <v>63</v>
      </c>
      <c r="J1536" s="69" t="s">
        <v>63</v>
      </c>
      <c r="K1536" s="71" t="s">
        <v>63</v>
      </c>
      <c r="L1536" s="71" t="s">
        <v>7586</v>
      </c>
      <c r="M1536" s="71" t="s">
        <v>63</v>
      </c>
      <c r="N1536" s="69" t="s">
        <v>44</v>
      </c>
      <c r="O1536" s="64">
        <v>1</v>
      </c>
      <c r="P1536" s="72">
        <v>34497</v>
      </c>
      <c r="Q1536" s="69" t="s">
        <v>7542</v>
      </c>
      <c r="R1536" s="69"/>
      <c r="S1536" s="203" t="s">
        <v>903</v>
      </c>
      <c r="T1536" s="56">
        <v>41</v>
      </c>
      <c r="U1536" s="56">
        <v>3</v>
      </c>
    </row>
    <row r="1537" spans="1:21" ht="14.25" customHeight="1" x14ac:dyDescent="0.35">
      <c r="A1537" s="47">
        <v>1521</v>
      </c>
      <c r="B1537" s="69" t="s">
        <v>79</v>
      </c>
      <c r="C1537" s="69" t="s">
        <v>80</v>
      </c>
      <c r="D1537" s="70" t="s">
        <v>7587</v>
      </c>
      <c r="E1537" s="69" t="s">
        <v>6482</v>
      </c>
      <c r="F1537" s="69" t="s">
        <v>483</v>
      </c>
      <c r="G1537" s="69" t="s">
        <v>4228</v>
      </c>
      <c r="H1537" s="70">
        <v>2022</v>
      </c>
      <c r="I1537" s="69" t="s">
        <v>63</v>
      </c>
      <c r="J1537" s="69" t="s">
        <v>63</v>
      </c>
      <c r="K1537" s="71" t="s">
        <v>63</v>
      </c>
      <c r="L1537" s="71" t="s">
        <v>7588</v>
      </c>
      <c r="M1537" s="71" t="s">
        <v>63</v>
      </c>
      <c r="N1537" s="69" t="s">
        <v>44</v>
      </c>
      <c r="O1537" s="64">
        <v>1</v>
      </c>
      <c r="P1537" s="72">
        <v>34497</v>
      </c>
      <c r="Q1537" s="69" t="s">
        <v>7542</v>
      </c>
      <c r="R1537" s="69"/>
      <c r="S1537" s="203" t="s">
        <v>903</v>
      </c>
      <c r="T1537" s="56">
        <v>41</v>
      </c>
      <c r="U1537" s="56">
        <v>3</v>
      </c>
    </row>
    <row r="1538" spans="1:21" ht="14.25" customHeight="1" thickBot="1" x14ac:dyDescent="0.4">
      <c r="A1538" s="58">
        <v>1522</v>
      </c>
      <c r="B1538" s="69" t="s">
        <v>79</v>
      </c>
      <c r="C1538" s="69" t="s">
        <v>80</v>
      </c>
      <c r="D1538" s="70" t="s">
        <v>7589</v>
      </c>
      <c r="E1538" s="69" t="s">
        <v>6482</v>
      </c>
      <c r="F1538" s="69" t="s">
        <v>483</v>
      </c>
      <c r="G1538" s="69" t="s">
        <v>4228</v>
      </c>
      <c r="H1538" s="70">
        <v>2022</v>
      </c>
      <c r="I1538" s="69" t="s">
        <v>63</v>
      </c>
      <c r="J1538" s="69" t="s">
        <v>63</v>
      </c>
      <c r="K1538" s="71" t="s">
        <v>63</v>
      </c>
      <c r="L1538" s="71" t="s">
        <v>7590</v>
      </c>
      <c r="M1538" s="71" t="s">
        <v>63</v>
      </c>
      <c r="N1538" s="69" t="s">
        <v>44</v>
      </c>
      <c r="O1538" s="64">
        <v>1</v>
      </c>
      <c r="P1538" s="72">
        <v>34497</v>
      </c>
      <c r="Q1538" s="69" t="s">
        <v>7542</v>
      </c>
      <c r="R1538" s="69"/>
      <c r="S1538" s="203" t="s">
        <v>903</v>
      </c>
      <c r="T1538" s="56">
        <v>41</v>
      </c>
      <c r="U1538" s="56">
        <v>3</v>
      </c>
    </row>
    <row r="1539" spans="1:21" ht="14.25" customHeight="1" x14ac:dyDescent="0.35">
      <c r="A1539" s="47">
        <v>1523</v>
      </c>
      <c r="B1539" s="69" t="s">
        <v>79</v>
      </c>
      <c r="C1539" s="69" t="s">
        <v>80</v>
      </c>
      <c r="D1539" s="70" t="s">
        <v>7591</v>
      </c>
      <c r="E1539" s="69" t="s">
        <v>6482</v>
      </c>
      <c r="F1539" s="69" t="s">
        <v>483</v>
      </c>
      <c r="G1539" s="69" t="s">
        <v>4228</v>
      </c>
      <c r="H1539" s="70">
        <v>2022</v>
      </c>
      <c r="I1539" s="69" t="s">
        <v>63</v>
      </c>
      <c r="J1539" s="69" t="s">
        <v>63</v>
      </c>
      <c r="K1539" s="71" t="s">
        <v>63</v>
      </c>
      <c r="L1539" s="71" t="s">
        <v>7592</v>
      </c>
      <c r="M1539" s="71" t="s">
        <v>63</v>
      </c>
      <c r="N1539" s="69" t="s">
        <v>44</v>
      </c>
      <c r="O1539" s="64">
        <v>1</v>
      </c>
      <c r="P1539" s="72">
        <v>34497</v>
      </c>
      <c r="Q1539" s="69" t="s">
        <v>7542</v>
      </c>
      <c r="R1539" s="69"/>
      <c r="S1539" s="203" t="s">
        <v>903</v>
      </c>
      <c r="T1539" s="56">
        <v>41</v>
      </c>
      <c r="U1539" s="56">
        <v>3</v>
      </c>
    </row>
    <row r="1540" spans="1:21" ht="14.25" customHeight="1" thickBot="1" x14ac:dyDescent="0.4">
      <c r="A1540" s="58">
        <v>1524</v>
      </c>
      <c r="B1540" s="69" t="s">
        <v>79</v>
      </c>
      <c r="C1540" s="69" t="s">
        <v>80</v>
      </c>
      <c r="D1540" s="70" t="s">
        <v>7593</v>
      </c>
      <c r="E1540" s="69" t="s">
        <v>6482</v>
      </c>
      <c r="F1540" s="69" t="s">
        <v>483</v>
      </c>
      <c r="G1540" s="69" t="s">
        <v>4228</v>
      </c>
      <c r="H1540" s="70">
        <v>2022</v>
      </c>
      <c r="I1540" s="69" t="s">
        <v>63</v>
      </c>
      <c r="J1540" s="69" t="s">
        <v>63</v>
      </c>
      <c r="K1540" s="71" t="s">
        <v>63</v>
      </c>
      <c r="L1540" s="71" t="s">
        <v>7594</v>
      </c>
      <c r="M1540" s="71" t="s">
        <v>63</v>
      </c>
      <c r="N1540" s="69" t="s">
        <v>44</v>
      </c>
      <c r="O1540" s="64">
        <v>1</v>
      </c>
      <c r="P1540" s="72">
        <v>34497</v>
      </c>
      <c r="Q1540" s="69" t="s">
        <v>7542</v>
      </c>
      <c r="R1540" s="69"/>
      <c r="S1540" s="203" t="s">
        <v>903</v>
      </c>
      <c r="T1540" s="56">
        <v>41</v>
      </c>
      <c r="U1540" s="56">
        <v>3</v>
      </c>
    </row>
    <row r="1541" spans="1:21" ht="14.25" customHeight="1" x14ac:dyDescent="0.35">
      <c r="A1541" s="47">
        <v>1525</v>
      </c>
      <c r="B1541" s="69" t="s">
        <v>79</v>
      </c>
      <c r="C1541" s="69" t="s">
        <v>80</v>
      </c>
      <c r="D1541" s="70" t="s">
        <v>7595</v>
      </c>
      <c r="E1541" s="69" t="s">
        <v>6482</v>
      </c>
      <c r="F1541" s="69" t="s">
        <v>483</v>
      </c>
      <c r="G1541" s="69" t="s">
        <v>4228</v>
      </c>
      <c r="H1541" s="70">
        <v>2022</v>
      </c>
      <c r="I1541" s="69" t="s">
        <v>63</v>
      </c>
      <c r="J1541" s="69" t="s">
        <v>63</v>
      </c>
      <c r="K1541" s="71" t="s">
        <v>63</v>
      </c>
      <c r="L1541" s="71" t="s">
        <v>7596</v>
      </c>
      <c r="M1541" s="71" t="s">
        <v>63</v>
      </c>
      <c r="N1541" s="69" t="s">
        <v>44</v>
      </c>
      <c r="O1541" s="64">
        <v>1</v>
      </c>
      <c r="P1541" s="72">
        <v>34497</v>
      </c>
      <c r="Q1541" s="69" t="s">
        <v>7542</v>
      </c>
      <c r="R1541" s="69"/>
      <c r="S1541" s="203" t="s">
        <v>903</v>
      </c>
      <c r="T1541" s="56">
        <v>41</v>
      </c>
      <c r="U1541" s="56">
        <v>3</v>
      </c>
    </row>
    <row r="1542" spans="1:21" ht="14.25" customHeight="1" thickBot="1" x14ac:dyDescent="0.4">
      <c r="A1542" s="58">
        <v>1526</v>
      </c>
      <c r="B1542" s="69" t="s">
        <v>79</v>
      </c>
      <c r="C1542" s="69" t="s">
        <v>80</v>
      </c>
      <c r="D1542" s="70" t="s">
        <v>7597</v>
      </c>
      <c r="E1542" s="69" t="s">
        <v>6482</v>
      </c>
      <c r="F1542" s="69" t="s">
        <v>483</v>
      </c>
      <c r="G1542" s="69" t="s">
        <v>4228</v>
      </c>
      <c r="H1542" s="70">
        <v>2022</v>
      </c>
      <c r="I1542" s="69" t="s">
        <v>63</v>
      </c>
      <c r="J1542" s="69" t="s">
        <v>63</v>
      </c>
      <c r="K1542" s="71" t="s">
        <v>63</v>
      </c>
      <c r="L1542" s="71" t="s">
        <v>7598</v>
      </c>
      <c r="M1542" s="71" t="s">
        <v>63</v>
      </c>
      <c r="N1542" s="69" t="s">
        <v>44</v>
      </c>
      <c r="O1542" s="64">
        <v>1</v>
      </c>
      <c r="P1542" s="72">
        <v>34497</v>
      </c>
      <c r="Q1542" s="69" t="s">
        <v>7542</v>
      </c>
      <c r="R1542" s="69"/>
      <c r="S1542" s="203" t="s">
        <v>903</v>
      </c>
      <c r="T1542" s="56">
        <v>41</v>
      </c>
      <c r="U1542" s="56">
        <v>3</v>
      </c>
    </row>
    <row r="1543" spans="1:21" ht="14.25" customHeight="1" x14ac:dyDescent="0.35">
      <c r="A1543" s="47">
        <v>1527</v>
      </c>
      <c r="B1543" s="69" t="s">
        <v>79</v>
      </c>
      <c r="C1543" s="69" t="s">
        <v>80</v>
      </c>
      <c r="D1543" s="70" t="s">
        <v>7599</v>
      </c>
      <c r="E1543" s="69" t="s">
        <v>6482</v>
      </c>
      <c r="F1543" s="69" t="s">
        <v>483</v>
      </c>
      <c r="G1543" s="69" t="s">
        <v>4228</v>
      </c>
      <c r="H1543" s="70">
        <v>2022</v>
      </c>
      <c r="I1543" s="69" t="s">
        <v>63</v>
      </c>
      <c r="J1543" s="69" t="s">
        <v>63</v>
      </c>
      <c r="K1543" s="71" t="s">
        <v>63</v>
      </c>
      <c r="L1543" s="71" t="s">
        <v>7600</v>
      </c>
      <c r="M1543" s="71" t="s">
        <v>63</v>
      </c>
      <c r="N1543" s="69" t="s">
        <v>44</v>
      </c>
      <c r="O1543" s="64">
        <v>1</v>
      </c>
      <c r="P1543" s="72">
        <v>34497</v>
      </c>
      <c r="Q1543" s="69" t="s">
        <v>7542</v>
      </c>
      <c r="R1543" s="69"/>
      <c r="S1543" s="203" t="s">
        <v>903</v>
      </c>
      <c r="T1543" s="56">
        <v>41</v>
      </c>
      <c r="U1543" s="56">
        <v>3</v>
      </c>
    </row>
    <row r="1544" spans="1:21" ht="14.25" customHeight="1" thickBot="1" x14ac:dyDescent="0.4">
      <c r="A1544" s="58">
        <v>1528</v>
      </c>
      <c r="B1544" s="69" t="s">
        <v>79</v>
      </c>
      <c r="C1544" s="69" t="s">
        <v>80</v>
      </c>
      <c r="D1544" s="70" t="s">
        <v>7601</v>
      </c>
      <c r="E1544" s="69" t="s">
        <v>6482</v>
      </c>
      <c r="F1544" s="69" t="s">
        <v>483</v>
      </c>
      <c r="G1544" s="69" t="s">
        <v>4228</v>
      </c>
      <c r="H1544" s="70">
        <v>2022</v>
      </c>
      <c r="I1544" s="69" t="s">
        <v>63</v>
      </c>
      <c r="J1544" s="69" t="s">
        <v>63</v>
      </c>
      <c r="K1544" s="71" t="s">
        <v>63</v>
      </c>
      <c r="L1544" s="71" t="s">
        <v>7602</v>
      </c>
      <c r="M1544" s="71" t="s">
        <v>63</v>
      </c>
      <c r="N1544" s="69" t="s">
        <v>44</v>
      </c>
      <c r="O1544" s="64">
        <v>1</v>
      </c>
      <c r="P1544" s="72">
        <v>34497</v>
      </c>
      <c r="Q1544" s="69" t="s">
        <v>7542</v>
      </c>
      <c r="R1544" s="69"/>
      <c r="S1544" s="203" t="s">
        <v>903</v>
      </c>
      <c r="T1544" s="56">
        <v>41</v>
      </c>
      <c r="U1544" s="56">
        <v>3</v>
      </c>
    </row>
    <row r="1545" spans="1:21" ht="14.25" customHeight="1" x14ac:dyDescent="0.35">
      <c r="A1545" s="47">
        <v>1529</v>
      </c>
      <c r="B1545" s="69" t="s">
        <v>79</v>
      </c>
      <c r="C1545" s="69" t="s">
        <v>80</v>
      </c>
      <c r="D1545" s="70" t="s">
        <v>7603</v>
      </c>
      <c r="E1545" s="69" t="s">
        <v>6482</v>
      </c>
      <c r="F1545" s="69" t="s">
        <v>483</v>
      </c>
      <c r="G1545" s="69" t="s">
        <v>4228</v>
      </c>
      <c r="H1545" s="70">
        <v>2022</v>
      </c>
      <c r="I1545" s="69" t="s">
        <v>63</v>
      </c>
      <c r="J1545" s="69" t="s">
        <v>63</v>
      </c>
      <c r="K1545" s="71" t="s">
        <v>63</v>
      </c>
      <c r="L1545" s="71" t="s">
        <v>7604</v>
      </c>
      <c r="M1545" s="71" t="s">
        <v>63</v>
      </c>
      <c r="N1545" s="69" t="s">
        <v>44</v>
      </c>
      <c r="O1545" s="64">
        <v>1</v>
      </c>
      <c r="P1545" s="72">
        <v>34497</v>
      </c>
      <c r="Q1545" s="69" t="s">
        <v>7542</v>
      </c>
      <c r="R1545" s="69"/>
      <c r="S1545" s="203" t="s">
        <v>903</v>
      </c>
      <c r="T1545" s="56">
        <v>41</v>
      </c>
      <c r="U1545" s="56">
        <v>3</v>
      </c>
    </row>
    <row r="1546" spans="1:21" ht="14.25" customHeight="1" thickBot="1" x14ac:dyDescent="0.4">
      <c r="A1546" s="58">
        <v>1530</v>
      </c>
      <c r="B1546" s="69" t="s">
        <v>79</v>
      </c>
      <c r="C1546" s="69" t="s">
        <v>80</v>
      </c>
      <c r="D1546" s="70" t="s">
        <v>7605</v>
      </c>
      <c r="E1546" s="69" t="s">
        <v>6482</v>
      </c>
      <c r="F1546" s="69" t="s">
        <v>483</v>
      </c>
      <c r="G1546" s="69" t="s">
        <v>4228</v>
      </c>
      <c r="H1546" s="70">
        <v>2022</v>
      </c>
      <c r="I1546" s="69" t="s">
        <v>63</v>
      </c>
      <c r="J1546" s="69" t="s">
        <v>63</v>
      </c>
      <c r="K1546" s="71" t="s">
        <v>63</v>
      </c>
      <c r="L1546" s="71" t="s">
        <v>7606</v>
      </c>
      <c r="M1546" s="71" t="s">
        <v>63</v>
      </c>
      <c r="N1546" s="69" t="s">
        <v>44</v>
      </c>
      <c r="O1546" s="64">
        <v>1</v>
      </c>
      <c r="P1546" s="72">
        <v>34497</v>
      </c>
      <c r="Q1546" s="69" t="s">
        <v>7542</v>
      </c>
      <c r="R1546" s="69"/>
      <c r="S1546" s="203" t="s">
        <v>903</v>
      </c>
      <c r="T1546" s="56">
        <v>41</v>
      </c>
      <c r="U1546" s="56">
        <v>3</v>
      </c>
    </row>
    <row r="1547" spans="1:21" ht="14.25" customHeight="1" x14ac:dyDescent="0.35">
      <c r="A1547" s="47">
        <v>1531</v>
      </c>
      <c r="B1547" s="69" t="s">
        <v>79</v>
      </c>
      <c r="C1547" s="69" t="s">
        <v>80</v>
      </c>
      <c r="D1547" s="70" t="s">
        <v>7607</v>
      </c>
      <c r="E1547" s="69" t="s">
        <v>6482</v>
      </c>
      <c r="F1547" s="69" t="s">
        <v>483</v>
      </c>
      <c r="G1547" s="69" t="s">
        <v>4228</v>
      </c>
      <c r="H1547" s="70">
        <v>2022</v>
      </c>
      <c r="I1547" s="69" t="s">
        <v>63</v>
      </c>
      <c r="J1547" s="69" t="s">
        <v>63</v>
      </c>
      <c r="K1547" s="71" t="s">
        <v>63</v>
      </c>
      <c r="L1547" s="71" t="s">
        <v>7608</v>
      </c>
      <c r="M1547" s="71" t="s">
        <v>63</v>
      </c>
      <c r="N1547" s="69" t="s">
        <v>44</v>
      </c>
      <c r="O1547" s="64">
        <v>1</v>
      </c>
      <c r="P1547" s="72">
        <v>34497</v>
      </c>
      <c r="Q1547" s="69" t="s">
        <v>7542</v>
      </c>
      <c r="R1547" s="69"/>
      <c r="S1547" s="203" t="s">
        <v>903</v>
      </c>
      <c r="T1547" s="56">
        <v>41</v>
      </c>
      <c r="U1547" s="56">
        <v>3</v>
      </c>
    </row>
    <row r="1548" spans="1:21" ht="14.25" customHeight="1" thickBot="1" x14ac:dyDescent="0.4">
      <c r="A1548" s="58">
        <v>1532</v>
      </c>
      <c r="B1548" s="69" t="s">
        <v>79</v>
      </c>
      <c r="C1548" s="69" t="s">
        <v>80</v>
      </c>
      <c r="D1548" s="70" t="s">
        <v>7609</v>
      </c>
      <c r="E1548" s="69" t="s">
        <v>6482</v>
      </c>
      <c r="F1548" s="69" t="s">
        <v>483</v>
      </c>
      <c r="G1548" s="69" t="s">
        <v>4228</v>
      </c>
      <c r="H1548" s="70">
        <v>2022</v>
      </c>
      <c r="I1548" s="69" t="s">
        <v>63</v>
      </c>
      <c r="J1548" s="69" t="s">
        <v>63</v>
      </c>
      <c r="K1548" s="71" t="s">
        <v>63</v>
      </c>
      <c r="L1548" s="71" t="s">
        <v>7610</v>
      </c>
      <c r="M1548" s="71" t="s">
        <v>63</v>
      </c>
      <c r="N1548" s="69" t="s">
        <v>44</v>
      </c>
      <c r="O1548" s="64">
        <v>1</v>
      </c>
      <c r="P1548" s="72">
        <v>34497</v>
      </c>
      <c r="Q1548" s="69" t="s">
        <v>7542</v>
      </c>
      <c r="R1548" s="69"/>
      <c r="S1548" s="203" t="s">
        <v>903</v>
      </c>
      <c r="T1548" s="56">
        <v>41</v>
      </c>
      <c r="U1548" s="56">
        <v>3</v>
      </c>
    </row>
    <row r="1549" spans="1:21" ht="14.25" customHeight="1" x14ac:dyDescent="0.35">
      <c r="A1549" s="47">
        <v>1533</v>
      </c>
      <c r="B1549" s="69" t="s">
        <v>79</v>
      </c>
      <c r="C1549" s="69" t="s">
        <v>80</v>
      </c>
      <c r="D1549" s="70" t="s">
        <v>7611</v>
      </c>
      <c r="E1549" s="69" t="s">
        <v>6482</v>
      </c>
      <c r="F1549" s="69" t="s">
        <v>483</v>
      </c>
      <c r="G1549" s="69" t="s">
        <v>4228</v>
      </c>
      <c r="H1549" s="70">
        <v>2022</v>
      </c>
      <c r="I1549" s="69" t="s">
        <v>63</v>
      </c>
      <c r="J1549" s="69" t="s">
        <v>63</v>
      </c>
      <c r="K1549" s="71" t="s">
        <v>63</v>
      </c>
      <c r="L1549" s="71" t="s">
        <v>7612</v>
      </c>
      <c r="M1549" s="71" t="s">
        <v>63</v>
      </c>
      <c r="N1549" s="69" t="s">
        <v>44</v>
      </c>
      <c r="O1549" s="64">
        <v>1</v>
      </c>
      <c r="P1549" s="72">
        <v>34497</v>
      </c>
      <c r="Q1549" s="69" t="s">
        <v>7542</v>
      </c>
      <c r="R1549" s="69"/>
      <c r="S1549" s="203" t="s">
        <v>903</v>
      </c>
      <c r="T1549" s="56">
        <v>41</v>
      </c>
      <c r="U1549" s="56">
        <v>3</v>
      </c>
    </row>
    <row r="1550" spans="1:21" ht="14.25" customHeight="1" thickBot="1" x14ac:dyDescent="0.4">
      <c r="A1550" s="58">
        <v>1534</v>
      </c>
      <c r="B1550" s="69" t="s">
        <v>79</v>
      </c>
      <c r="C1550" s="69" t="s">
        <v>80</v>
      </c>
      <c r="D1550" s="70" t="s">
        <v>7613</v>
      </c>
      <c r="E1550" s="69" t="s">
        <v>6482</v>
      </c>
      <c r="F1550" s="69" t="s">
        <v>483</v>
      </c>
      <c r="G1550" s="69" t="s">
        <v>4228</v>
      </c>
      <c r="H1550" s="70">
        <v>2022</v>
      </c>
      <c r="I1550" s="69" t="s">
        <v>63</v>
      </c>
      <c r="J1550" s="69" t="s">
        <v>63</v>
      </c>
      <c r="K1550" s="71" t="s">
        <v>63</v>
      </c>
      <c r="L1550" s="71" t="s">
        <v>7614</v>
      </c>
      <c r="M1550" s="71" t="s">
        <v>63</v>
      </c>
      <c r="N1550" s="69" t="s">
        <v>44</v>
      </c>
      <c r="O1550" s="64">
        <v>1</v>
      </c>
      <c r="P1550" s="72">
        <v>34497</v>
      </c>
      <c r="Q1550" s="69" t="s">
        <v>7542</v>
      </c>
      <c r="R1550" s="69"/>
      <c r="S1550" s="203" t="s">
        <v>903</v>
      </c>
      <c r="T1550" s="56">
        <v>41</v>
      </c>
      <c r="U1550" s="56">
        <v>3</v>
      </c>
    </row>
    <row r="1551" spans="1:21" ht="14.25" customHeight="1" x14ac:dyDescent="0.35">
      <c r="A1551" s="47">
        <v>1535</v>
      </c>
      <c r="B1551" s="69" t="s">
        <v>79</v>
      </c>
      <c r="C1551" s="69" t="s">
        <v>80</v>
      </c>
      <c r="D1551" s="70" t="s">
        <v>7615</v>
      </c>
      <c r="E1551" s="69" t="s">
        <v>6482</v>
      </c>
      <c r="F1551" s="69" t="s">
        <v>483</v>
      </c>
      <c r="G1551" s="69" t="s">
        <v>4228</v>
      </c>
      <c r="H1551" s="70">
        <v>2022</v>
      </c>
      <c r="I1551" s="69" t="s">
        <v>63</v>
      </c>
      <c r="J1551" s="69" t="s">
        <v>63</v>
      </c>
      <c r="K1551" s="71" t="s">
        <v>63</v>
      </c>
      <c r="L1551" s="71" t="s">
        <v>7616</v>
      </c>
      <c r="M1551" s="71" t="s">
        <v>63</v>
      </c>
      <c r="N1551" s="69" t="s">
        <v>44</v>
      </c>
      <c r="O1551" s="64">
        <v>1</v>
      </c>
      <c r="P1551" s="72">
        <v>34497</v>
      </c>
      <c r="Q1551" s="69" t="s">
        <v>7542</v>
      </c>
      <c r="R1551" s="69"/>
      <c r="S1551" s="203" t="s">
        <v>903</v>
      </c>
      <c r="T1551" s="56">
        <v>41</v>
      </c>
      <c r="U1551" s="56">
        <v>3</v>
      </c>
    </row>
    <row r="1552" spans="1:21" ht="14.25" customHeight="1" thickBot="1" x14ac:dyDescent="0.4">
      <c r="A1552" s="58">
        <v>1536</v>
      </c>
      <c r="B1552" s="69" t="s">
        <v>79</v>
      </c>
      <c r="C1552" s="69" t="s">
        <v>80</v>
      </c>
      <c r="D1552" s="70" t="s">
        <v>7617</v>
      </c>
      <c r="E1552" s="69" t="s">
        <v>6482</v>
      </c>
      <c r="F1552" s="69" t="s">
        <v>483</v>
      </c>
      <c r="G1552" s="69" t="s">
        <v>4228</v>
      </c>
      <c r="H1552" s="70">
        <v>2022</v>
      </c>
      <c r="I1552" s="69" t="s">
        <v>63</v>
      </c>
      <c r="J1552" s="69" t="s">
        <v>63</v>
      </c>
      <c r="K1552" s="71" t="s">
        <v>63</v>
      </c>
      <c r="L1552" s="71" t="s">
        <v>7618</v>
      </c>
      <c r="M1552" s="71" t="s">
        <v>63</v>
      </c>
      <c r="N1552" s="69" t="s">
        <v>44</v>
      </c>
      <c r="O1552" s="64">
        <v>1</v>
      </c>
      <c r="P1552" s="72">
        <v>34497</v>
      </c>
      <c r="Q1552" s="69" t="s">
        <v>7542</v>
      </c>
      <c r="R1552" s="69"/>
      <c r="S1552" s="203" t="s">
        <v>903</v>
      </c>
      <c r="T1552" s="56">
        <v>41</v>
      </c>
      <c r="U1552" s="56">
        <v>3</v>
      </c>
    </row>
    <row r="1553" spans="1:21" ht="14.25" customHeight="1" x14ac:dyDescent="0.35">
      <c r="A1553" s="47">
        <v>1537</v>
      </c>
      <c r="B1553" s="69" t="s">
        <v>79</v>
      </c>
      <c r="C1553" s="69" t="s">
        <v>80</v>
      </c>
      <c r="D1553" s="70" t="s">
        <v>7619</v>
      </c>
      <c r="E1553" s="69" t="s">
        <v>6482</v>
      </c>
      <c r="F1553" s="69" t="s">
        <v>483</v>
      </c>
      <c r="G1553" s="69" t="s">
        <v>4228</v>
      </c>
      <c r="H1553" s="70">
        <v>2022</v>
      </c>
      <c r="I1553" s="69" t="s">
        <v>63</v>
      </c>
      <c r="J1553" s="69" t="s">
        <v>63</v>
      </c>
      <c r="K1553" s="71" t="s">
        <v>63</v>
      </c>
      <c r="L1553" s="71" t="s">
        <v>7620</v>
      </c>
      <c r="M1553" s="71" t="s">
        <v>63</v>
      </c>
      <c r="N1553" s="69" t="s">
        <v>44</v>
      </c>
      <c r="O1553" s="64">
        <v>1</v>
      </c>
      <c r="P1553" s="72">
        <v>34497</v>
      </c>
      <c r="Q1553" s="69" t="s">
        <v>7542</v>
      </c>
      <c r="R1553" s="69"/>
      <c r="S1553" s="203" t="s">
        <v>903</v>
      </c>
      <c r="T1553" s="56">
        <v>41</v>
      </c>
      <c r="U1553" s="56">
        <v>3</v>
      </c>
    </row>
    <row r="1554" spans="1:21" ht="14.25" customHeight="1" thickBot="1" x14ac:dyDescent="0.4">
      <c r="A1554" s="58">
        <v>1538</v>
      </c>
      <c r="B1554" s="69" t="s">
        <v>79</v>
      </c>
      <c r="C1554" s="69" t="s">
        <v>80</v>
      </c>
      <c r="D1554" s="70" t="s">
        <v>7621</v>
      </c>
      <c r="E1554" s="69" t="s">
        <v>6482</v>
      </c>
      <c r="F1554" s="69" t="s">
        <v>483</v>
      </c>
      <c r="G1554" s="69" t="s">
        <v>4228</v>
      </c>
      <c r="H1554" s="70">
        <v>2022</v>
      </c>
      <c r="I1554" s="69" t="s">
        <v>63</v>
      </c>
      <c r="J1554" s="69" t="s">
        <v>63</v>
      </c>
      <c r="K1554" s="71" t="s">
        <v>63</v>
      </c>
      <c r="L1554" s="71" t="s">
        <v>7622</v>
      </c>
      <c r="M1554" s="71" t="s">
        <v>63</v>
      </c>
      <c r="N1554" s="69" t="s">
        <v>44</v>
      </c>
      <c r="O1554" s="64">
        <v>1</v>
      </c>
      <c r="P1554" s="72">
        <v>34497</v>
      </c>
      <c r="Q1554" s="69" t="s">
        <v>7542</v>
      </c>
      <c r="R1554" s="69"/>
      <c r="S1554" s="203" t="s">
        <v>903</v>
      </c>
      <c r="T1554" s="56">
        <v>41</v>
      </c>
      <c r="U1554" s="56">
        <v>3</v>
      </c>
    </row>
    <row r="1555" spans="1:21" ht="14.25" customHeight="1" x14ac:dyDescent="0.35">
      <c r="A1555" s="47">
        <v>1539</v>
      </c>
      <c r="B1555" s="69" t="s">
        <v>79</v>
      </c>
      <c r="C1555" s="69" t="s">
        <v>80</v>
      </c>
      <c r="D1555" s="70" t="s">
        <v>7623</v>
      </c>
      <c r="E1555" s="69" t="s">
        <v>6482</v>
      </c>
      <c r="F1555" s="69" t="s">
        <v>483</v>
      </c>
      <c r="G1555" s="69" t="s">
        <v>4228</v>
      </c>
      <c r="H1555" s="70">
        <v>2022</v>
      </c>
      <c r="I1555" s="69" t="s">
        <v>63</v>
      </c>
      <c r="J1555" s="69" t="s">
        <v>63</v>
      </c>
      <c r="K1555" s="71" t="s">
        <v>63</v>
      </c>
      <c r="L1555" s="71" t="s">
        <v>7624</v>
      </c>
      <c r="M1555" s="71" t="s">
        <v>63</v>
      </c>
      <c r="N1555" s="69" t="s">
        <v>44</v>
      </c>
      <c r="O1555" s="64">
        <v>1</v>
      </c>
      <c r="P1555" s="72">
        <v>34497</v>
      </c>
      <c r="Q1555" s="69" t="s">
        <v>7542</v>
      </c>
      <c r="R1555" s="69"/>
      <c r="S1555" s="203" t="s">
        <v>903</v>
      </c>
      <c r="T1555" s="56">
        <v>41</v>
      </c>
      <c r="U1555" s="56">
        <v>3</v>
      </c>
    </row>
    <row r="1556" spans="1:21" ht="14.25" customHeight="1" thickBot="1" x14ac:dyDescent="0.4">
      <c r="A1556" s="58">
        <v>1540</v>
      </c>
      <c r="B1556" s="69" t="s">
        <v>79</v>
      </c>
      <c r="C1556" s="69" t="s">
        <v>80</v>
      </c>
      <c r="D1556" s="70" t="s">
        <v>7625</v>
      </c>
      <c r="E1556" s="69" t="s">
        <v>6482</v>
      </c>
      <c r="F1556" s="69" t="s">
        <v>483</v>
      </c>
      <c r="G1556" s="69" t="s">
        <v>4228</v>
      </c>
      <c r="H1556" s="70">
        <v>2022</v>
      </c>
      <c r="I1556" s="69" t="s">
        <v>63</v>
      </c>
      <c r="J1556" s="69" t="s">
        <v>63</v>
      </c>
      <c r="K1556" s="71" t="s">
        <v>63</v>
      </c>
      <c r="L1556" s="71" t="s">
        <v>7626</v>
      </c>
      <c r="M1556" s="71" t="s">
        <v>63</v>
      </c>
      <c r="N1556" s="69" t="s">
        <v>44</v>
      </c>
      <c r="O1556" s="64">
        <v>1</v>
      </c>
      <c r="P1556" s="72">
        <v>34497</v>
      </c>
      <c r="Q1556" s="69" t="s">
        <v>7542</v>
      </c>
      <c r="R1556" s="69"/>
      <c r="S1556" s="203" t="s">
        <v>903</v>
      </c>
      <c r="T1556" s="56">
        <v>41</v>
      </c>
      <c r="U1556" s="56">
        <v>3</v>
      </c>
    </row>
    <row r="1557" spans="1:21" ht="14.25" customHeight="1" x14ac:dyDescent="0.35">
      <c r="A1557" s="47">
        <v>1541</v>
      </c>
      <c r="B1557" s="69" t="s">
        <v>79</v>
      </c>
      <c r="C1557" s="69" t="s">
        <v>80</v>
      </c>
      <c r="D1557" s="70" t="s">
        <v>7627</v>
      </c>
      <c r="E1557" s="69" t="s">
        <v>6482</v>
      </c>
      <c r="F1557" s="69" t="s">
        <v>483</v>
      </c>
      <c r="G1557" s="69" t="s">
        <v>4228</v>
      </c>
      <c r="H1557" s="70">
        <v>2022</v>
      </c>
      <c r="I1557" s="69" t="s">
        <v>63</v>
      </c>
      <c r="J1557" s="69" t="s">
        <v>63</v>
      </c>
      <c r="K1557" s="71" t="s">
        <v>63</v>
      </c>
      <c r="L1557" s="71" t="s">
        <v>7628</v>
      </c>
      <c r="M1557" s="71" t="s">
        <v>63</v>
      </c>
      <c r="N1557" s="69" t="s">
        <v>44</v>
      </c>
      <c r="O1557" s="64">
        <v>1</v>
      </c>
      <c r="P1557" s="72">
        <v>34497</v>
      </c>
      <c r="Q1557" s="69" t="s">
        <v>7542</v>
      </c>
      <c r="R1557" s="69"/>
      <c r="S1557" s="203" t="s">
        <v>903</v>
      </c>
      <c r="T1557" s="56">
        <v>41</v>
      </c>
      <c r="U1557" s="56">
        <v>3</v>
      </c>
    </row>
    <row r="1558" spans="1:21" ht="14.25" customHeight="1" thickBot="1" x14ac:dyDescent="0.4">
      <c r="A1558" s="58">
        <v>1542</v>
      </c>
      <c r="B1558" s="69" t="s">
        <v>79</v>
      </c>
      <c r="C1558" s="69" t="s">
        <v>80</v>
      </c>
      <c r="D1558" s="70" t="s">
        <v>7629</v>
      </c>
      <c r="E1558" s="69" t="s">
        <v>6482</v>
      </c>
      <c r="F1558" s="69" t="s">
        <v>483</v>
      </c>
      <c r="G1558" s="69" t="s">
        <v>4228</v>
      </c>
      <c r="H1558" s="70">
        <v>2022</v>
      </c>
      <c r="I1558" s="69" t="s">
        <v>63</v>
      </c>
      <c r="J1558" s="69" t="s">
        <v>63</v>
      </c>
      <c r="K1558" s="71" t="s">
        <v>63</v>
      </c>
      <c r="L1558" s="71" t="s">
        <v>7630</v>
      </c>
      <c r="M1558" s="71" t="s">
        <v>63</v>
      </c>
      <c r="N1558" s="69" t="s">
        <v>44</v>
      </c>
      <c r="O1558" s="64">
        <v>1</v>
      </c>
      <c r="P1558" s="72">
        <v>34497</v>
      </c>
      <c r="Q1558" s="69" t="s">
        <v>7542</v>
      </c>
      <c r="R1558" s="69"/>
      <c r="S1558" s="203" t="s">
        <v>903</v>
      </c>
      <c r="T1558" s="56">
        <v>41</v>
      </c>
      <c r="U1558" s="56">
        <v>3</v>
      </c>
    </row>
    <row r="1559" spans="1:21" ht="14.25" customHeight="1" x14ac:dyDescent="0.35">
      <c r="A1559" s="47">
        <v>1543</v>
      </c>
      <c r="B1559" s="69" t="s">
        <v>79</v>
      </c>
      <c r="C1559" s="69" t="s">
        <v>80</v>
      </c>
      <c r="D1559" s="70" t="s">
        <v>7631</v>
      </c>
      <c r="E1559" s="69" t="s">
        <v>6482</v>
      </c>
      <c r="F1559" s="69" t="s">
        <v>483</v>
      </c>
      <c r="G1559" s="69" t="s">
        <v>4228</v>
      </c>
      <c r="H1559" s="70">
        <v>2022</v>
      </c>
      <c r="I1559" s="69" t="s">
        <v>63</v>
      </c>
      <c r="J1559" s="69" t="s">
        <v>63</v>
      </c>
      <c r="K1559" s="71" t="s">
        <v>63</v>
      </c>
      <c r="L1559" s="71" t="s">
        <v>7632</v>
      </c>
      <c r="M1559" s="71" t="s">
        <v>63</v>
      </c>
      <c r="N1559" s="69" t="s">
        <v>44</v>
      </c>
      <c r="O1559" s="64">
        <v>1</v>
      </c>
      <c r="P1559" s="72">
        <v>34497</v>
      </c>
      <c r="Q1559" s="69" t="s">
        <v>7542</v>
      </c>
      <c r="R1559" s="69"/>
      <c r="S1559" s="203" t="s">
        <v>903</v>
      </c>
      <c r="T1559" s="56">
        <v>41</v>
      </c>
      <c r="U1559" s="56">
        <v>3</v>
      </c>
    </row>
    <row r="1560" spans="1:21" ht="14.25" customHeight="1" thickBot="1" x14ac:dyDescent="0.4">
      <c r="A1560" s="58">
        <v>1544</v>
      </c>
      <c r="B1560" s="69" t="s">
        <v>79</v>
      </c>
      <c r="C1560" s="69" t="s">
        <v>80</v>
      </c>
      <c r="D1560" s="70" t="s">
        <v>7633</v>
      </c>
      <c r="E1560" s="69" t="s">
        <v>6482</v>
      </c>
      <c r="F1560" s="69" t="s">
        <v>483</v>
      </c>
      <c r="G1560" s="69" t="s">
        <v>4228</v>
      </c>
      <c r="H1560" s="70">
        <v>2022</v>
      </c>
      <c r="I1560" s="69" t="s">
        <v>63</v>
      </c>
      <c r="J1560" s="69" t="s">
        <v>63</v>
      </c>
      <c r="K1560" s="71" t="s">
        <v>63</v>
      </c>
      <c r="L1560" s="71" t="s">
        <v>7634</v>
      </c>
      <c r="M1560" s="71" t="s">
        <v>63</v>
      </c>
      <c r="N1560" s="69" t="s">
        <v>44</v>
      </c>
      <c r="O1560" s="64">
        <v>1</v>
      </c>
      <c r="P1560" s="72">
        <v>34497</v>
      </c>
      <c r="Q1560" s="69" t="s">
        <v>7542</v>
      </c>
      <c r="R1560" s="69"/>
      <c r="S1560" s="203" t="s">
        <v>903</v>
      </c>
      <c r="T1560" s="56">
        <v>41</v>
      </c>
      <c r="U1560" s="56">
        <v>3</v>
      </c>
    </row>
    <row r="1561" spans="1:21" ht="14.25" customHeight="1" x14ac:dyDescent="0.35">
      <c r="A1561" s="47">
        <v>1545</v>
      </c>
      <c r="B1561" s="69" t="s">
        <v>79</v>
      </c>
      <c r="C1561" s="69" t="s">
        <v>80</v>
      </c>
      <c r="D1561" s="70" t="s">
        <v>7635</v>
      </c>
      <c r="E1561" s="69" t="s">
        <v>6482</v>
      </c>
      <c r="F1561" s="69" t="s">
        <v>483</v>
      </c>
      <c r="G1561" s="69" t="s">
        <v>4228</v>
      </c>
      <c r="H1561" s="70">
        <v>2022</v>
      </c>
      <c r="I1561" s="69" t="s">
        <v>63</v>
      </c>
      <c r="J1561" s="69" t="s">
        <v>63</v>
      </c>
      <c r="K1561" s="71" t="s">
        <v>63</v>
      </c>
      <c r="L1561" s="71" t="s">
        <v>7636</v>
      </c>
      <c r="M1561" s="71" t="s">
        <v>63</v>
      </c>
      <c r="N1561" s="69" t="s">
        <v>44</v>
      </c>
      <c r="O1561" s="64">
        <v>1</v>
      </c>
      <c r="P1561" s="72">
        <v>34497</v>
      </c>
      <c r="Q1561" s="69" t="s">
        <v>7542</v>
      </c>
      <c r="R1561" s="69"/>
      <c r="S1561" s="203" t="s">
        <v>903</v>
      </c>
      <c r="T1561" s="56">
        <v>41</v>
      </c>
      <c r="U1561" s="56">
        <v>3</v>
      </c>
    </row>
    <row r="1562" spans="1:21" ht="14.25" customHeight="1" thickBot="1" x14ac:dyDescent="0.4">
      <c r="A1562" s="58">
        <v>1546</v>
      </c>
      <c r="B1562" s="69" t="s">
        <v>79</v>
      </c>
      <c r="C1562" s="69" t="s">
        <v>80</v>
      </c>
      <c r="D1562" s="70" t="s">
        <v>7637</v>
      </c>
      <c r="E1562" s="69" t="s">
        <v>7638</v>
      </c>
      <c r="F1562" s="69"/>
      <c r="G1562" s="69" t="s">
        <v>63</v>
      </c>
      <c r="H1562" s="70">
        <v>2024</v>
      </c>
      <c r="I1562" s="69" t="s">
        <v>63</v>
      </c>
      <c r="J1562" s="69" t="s">
        <v>63</v>
      </c>
      <c r="K1562" s="71" t="s">
        <v>63</v>
      </c>
      <c r="L1562" s="71" t="s">
        <v>63</v>
      </c>
      <c r="M1562" s="71" t="s">
        <v>63</v>
      </c>
      <c r="N1562" s="69" t="s">
        <v>44</v>
      </c>
      <c r="O1562" s="64">
        <v>1</v>
      </c>
      <c r="P1562" s="72">
        <v>185500</v>
      </c>
      <c r="Q1562" s="69" t="s">
        <v>7639</v>
      </c>
      <c r="R1562" s="69"/>
      <c r="S1562" s="203" t="s">
        <v>903</v>
      </c>
      <c r="T1562" s="56">
        <v>41</v>
      </c>
      <c r="U1562" s="56">
        <v>3</v>
      </c>
    </row>
    <row r="1563" spans="1:21" ht="14.25" customHeight="1" x14ac:dyDescent="0.35">
      <c r="A1563" s="47">
        <v>1547</v>
      </c>
      <c r="B1563" s="69" t="s">
        <v>1711</v>
      </c>
      <c r="C1563" s="69" t="s">
        <v>1712</v>
      </c>
      <c r="D1563" s="70" t="s">
        <v>51</v>
      </c>
      <c r="E1563" s="69" t="s">
        <v>7042</v>
      </c>
      <c r="F1563" s="69" t="s">
        <v>63</v>
      </c>
      <c r="G1563" s="69" t="s">
        <v>63</v>
      </c>
      <c r="H1563" s="70">
        <v>2019</v>
      </c>
      <c r="I1563" s="69" t="s">
        <v>63</v>
      </c>
      <c r="J1563" s="69" t="s">
        <v>63</v>
      </c>
      <c r="K1563" s="71" t="s">
        <v>7640</v>
      </c>
      <c r="L1563" s="71" t="s">
        <v>7641</v>
      </c>
      <c r="M1563" s="71" t="s">
        <v>7642</v>
      </c>
      <c r="N1563" s="69" t="s">
        <v>57</v>
      </c>
      <c r="O1563" s="64">
        <v>1</v>
      </c>
      <c r="P1563" s="72">
        <v>999460</v>
      </c>
      <c r="Q1563" s="69" t="s">
        <v>7643</v>
      </c>
      <c r="R1563" s="69"/>
      <c r="S1563" s="203" t="s">
        <v>903</v>
      </c>
      <c r="T1563" s="56">
        <v>41</v>
      </c>
      <c r="U1563" s="56">
        <v>6</v>
      </c>
    </row>
    <row r="1564" spans="1:21" ht="14.25" customHeight="1" thickBot="1" x14ac:dyDescent="0.4">
      <c r="A1564" s="58">
        <v>1548</v>
      </c>
      <c r="B1564" s="69" t="s">
        <v>1711</v>
      </c>
      <c r="C1564" s="69" t="s">
        <v>1712</v>
      </c>
      <c r="D1564" s="70" t="s">
        <v>59</v>
      </c>
      <c r="E1564" s="69" t="s">
        <v>7042</v>
      </c>
      <c r="F1564" s="69" t="s">
        <v>7644</v>
      </c>
      <c r="G1564" s="69" t="s">
        <v>415</v>
      </c>
      <c r="H1564" s="70">
        <v>2019</v>
      </c>
      <c r="I1564" s="69" t="s">
        <v>63</v>
      </c>
      <c r="J1564" s="69" t="s">
        <v>7645</v>
      </c>
      <c r="K1564" s="71" t="s">
        <v>7646</v>
      </c>
      <c r="L1564" s="71" t="s">
        <v>7647</v>
      </c>
      <c r="M1564" s="71" t="s">
        <v>7648</v>
      </c>
      <c r="N1564" s="69" t="s">
        <v>57</v>
      </c>
      <c r="O1564" s="64">
        <v>1</v>
      </c>
      <c r="P1564" s="72">
        <v>999460</v>
      </c>
      <c r="Q1564" s="69" t="s">
        <v>7643</v>
      </c>
      <c r="R1564" s="69"/>
      <c r="S1564" s="203" t="s">
        <v>903</v>
      </c>
      <c r="T1564" s="56">
        <v>41</v>
      </c>
      <c r="U1564" s="56">
        <v>6</v>
      </c>
    </row>
    <row r="1565" spans="1:21" ht="14.25" customHeight="1" x14ac:dyDescent="0.35">
      <c r="A1565" s="47">
        <v>1549</v>
      </c>
      <c r="B1565" s="69" t="s">
        <v>1711</v>
      </c>
      <c r="C1565" s="69" t="s">
        <v>1712</v>
      </c>
      <c r="D1565" s="70" t="s">
        <v>97</v>
      </c>
      <c r="E1565" s="69" t="s">
        <v>7042</v>
      </c>
      <c r="F1565" s="69" t="s">
        <v>63</v>
      </c>
      <c r="G1565" s="69" t="s">
        <v>63</v>
      </c>
      <c r="H1565" s="70">
        <v>2019</v>
      </c>
      <c r="I1565" s="69" t="s">
        <v>63</v>
      </c>
      <c r="J1565" s="69" t="s">
        <v>63</v>
      </c>
      <c r="K1565" s="71" t="s">
        <v>7649</v>
      </c>
      <c r="L1565" s="71" t="s">
        <v>7650</v>
      </c>
      <c r="M1565" s="71" t="s">
        <v>7651</v>
      </c>
      <c r="N1565" s="69" t="s">
        <v>57</v>
      </c>
      <c r="O1565" s="64">
        <v>1</v>
      </c>
      <c r="P1565" s="72">
        <v>999460</v>
      </c>
      <c r="Q1565" s="69" t="s">
        <v>7643</v>
      </c>
      <c r="R1565" s="69"/>
      <c r="S1565" s="203" t="s">
        <v>903</v>
      </c>
      <c r="T1565" s="56">
        <v>41</v>
      </c>
      <c r="U1565" s="56">
        <v>6</v>
      </c>
    </row>
    <row r="1566" spans="1:21" ht="14.25" customHeight="1" thickBot="1" x14ac:dyDescent="0.4">
      <c r="A1566" s="58">
        <v>1550</v>
      </c>
      <c r="B1566" s="69" t="s">
        <v>1711</v>
      </c>
      <c r="C1566" s="69" t="s">
        <v>1712</v>
      </c>
      <c r="D1566" s="70" t="s">
        <v>101</v>
      </c>
      <c r="E1566" s="69" t="s">
        <v>7042</v>
      </c>
      <c r="F1566" s="69" t="s">
        <v>7644</v>
      </c>
      <c r="G1566" s="69" t="s">
        <v>415</v>
      </c>
      <c r="H1566" s="70">
        <v>2019</v>
      </c>
      <c r="I1566" s="69" t="s">
        <v>63</v>
      </c>
      <c r="J1566" s="69" t="s">
        <v>7652</v>
      </c>
      <c r="K1566" s="71" t="s">
        <v>63</v>
      </c>
      <c r="L1566" s="71" t="s">
        <v>63</v>
      </c>
      <c r="M1566" s="71" t="s">
        <v>63</v>
      </c>
      <c r="N1566" s="69" t="s">
        <v>57</v>
      </c>
      <c r="O1566" s="64">
        <v>1</v>
      </c>
      <c r="P1566" s="72">
        <v>999460</v>
      </c>
      <c r="Q1566" s="69" t="s">
        <v>7643</v>
      </c>
      <c r="R1566" s="69"/>
      <c r="S1566" s="203" t="s">
        <v>903</v>
      </c>
      <c r="T1566" s="56">
        <v>41</v>
      </c>
      <c r="U1566" s="56">
        <v>6</v>
      </c>
    </row>
    <row r="1567" spans="1:21" ht="14.25" customHeight="1" x14ac:dyDescent="0.35">
      <c r="A1567" s="47">
        <v>1551</v>
      </c>
      <c r="B1567" s="69" t="s">
        <v>1711</v>
      </c>
      <c r="C1567" s="69" t="s">
        <v>1712</v>
      </c>
      <c r="D1567" s="70" t="s">
        <v>107</v>
      </c>
      <c r="E1567" s="69" t="s">
        <v>7042</v>
      </c>
      <c r="F1567" s="69" t="s">
        <v>63</v>
      </c>
      <c r="G1567" s="69" t="s">
        <v>63</v>
      </c>
      <c r="H1567" s="70">
        <v>2019</v>
      </c>
      <c r="I1567" s="69" t="s">
        <v>63</v>
      </c>
      <c r="J1567" s="69" t="s">
        <v>63</v>
      </c>
      <c r="K1567" s="71" t="s">
        <v>7653</v>
      </c>
      <c r="L1567" s="71" t="s">
        <v>7654</v>
      </c>
      <c r="M1567" s="71" t="s">
        <v>7655</v>
      </c>
      <c r="N1567" s="69" t="s">
        <v>57</v>
      </c>
      <c r="O1567" s="64">
        <v>1</v>
      </c>
      <c r="P1567" s="72">
        <v>999460</v>
      </c>
      <c r="Q1567" s="69" t="s">
        <v>7643</v>
      </c>
      <c r="R1567" s="69"/>
      <c r="S1567" s="203" t="s">
        <v>903</v>
      </c>
      <c r="T1567" s="56">
        <v>41</v>
      </c>
      <c r="U1567" s="56">
        <v>6</v>
      </c>
    </row>
    <row r="1568" spans="1:21" ht="14.25" customHeight="1" thickBot="1" x14ac:dyDescent="0.4">
      <c r="A1568" s="58">
        <v>1552</v>
      </c>
      <c r="B1568" s="69" t="s">
        <v>1711</v>
      </c>
      <c r="C1568" s="69" t="s">
        <v>1712</v>
      </c>
      <c r="D1568" s="70" t="s">
        <v>112</v>
      </c>
      <c r="E1568" s="69" t="s">
        <v>3657</v>
      </c>
      <c r="F1568" s="69" t="s">
        <v>63</v>
      </c>
      <c r="G1568" s="69" t="s">
        <v>63</v>
      </c>
      <c r="H1568" s="70">
        <v>2019</v>
      </c>
      <c r="I1568" s="69" t="s">
        <v>63</v>
      </c>
      <c r="J1568" s="69" t="s">
        <v>63</v>
      </c>
      <c r="K1568" s="71" t="s">
        <v>7656</v>
      </c>
      <c r="L1568" s="71" t="s">
        <v>7657</v>
      </c>
      <c r="M1568" s="71" t="s">
        <v>7658</v>
      </c>
      <c r="N1568" s="69" t="s">
        <v>57</v>
      </c>
      <c r="O1568" s="64">
        <v>1</v>
      </c>
      <c r="P1568" s="72">
        <v>1400300</v>
      </c>
      <c r="Q1568" s="69" t="s">
        <v>7659</v>
      </c>
      <c r="R1568" s="69"/>
      <c r="S1568" s="203" t="s">
        <v>903</v>
      </c>
      <c r="T1568" s="56">
        <v>41</v>
      </c>
      <c r="U1568" s="56">
        <v>6</v>
      </c>
    </row>
    <row r="1569" spans="1:21" ht="14.25" customHeight="1" x14ac:dyDescent="0.35">
      <c r="A1569" s="47">
        <v>1553</v>
      </c>
      <c r="B1569" s="69" t="s">
        <v>1711</v>
      </c>
      <c r="C1569" s="69" t="s">
        <v>1712</v>
      </c>
      <c r="D1569" s="70" t="s">
        <v>116</v>
      </c>
      <c r="E1569" s="69" t="s">
        <v>3657</v>
      </c>
      <c r="F1569" s="69" t="s">
        <v>63</v>
      </c>
      <c r="G1569" s="69" t="s">
        <v>63</v>
      </c>
      <c r="H1569" s="70">
        <v>2019</v>
      </c>
      <c r="I1569" s="69" t="s">
        <v>63</v>
      </c>
      <c r="J1569" s="69" t="s">
        <v>63</v>
      </c>
      <c r="K1569" s="71" t="s">
        <v>7660</v>
      </c>
      <c r="L1569" s="71" t="s">
        <v>7661</v>
      </c>
      <c r="M1569" s="71" t="s">
        <v>7662</v>
      </c>
      <c r="N1569" s="69" t="s">
        <v>57</v>
      </c>
      <c r="O1569" s="64">
        <v>1</v>
      </c>
      <c r="P1569" s="72">
        <v>1400300</v>
      </c>
      <c r="Q1569" s="69" t="s">
        <v>7659</v>
      </c>
      <c r="R1569" s="69"/>
      <c r="S1569" s="203" t="s">
        <v>903</v>
      </c>
      <c r="T1569" s="56">
        <v>41</v>
      </c>
      <c r="U1569" s="56">
        <v>6</v>
      </c>
    </row>
    <row r="1570" spans="1:21" ht="14.25" customHeight="1" thickBot="1" x14ac:dyDescent="0.4">
      <c r="A1570" s="58">
        <v>1554</v>
      </c>
      <c r="B1570" s="69" t="s">
        <v>1711</v>
      </c>
      <c r="C1570" s="69" t="s">
        <v>1712</v>
      </c>
      <c r="D1570" s="70" t="s">
        <v>841</v>
      </c>
      <c r="E1570" s="69" t="s">
        <v>3657</v>
      </c>
      <c r="F1570" s="69" t="s">
        <v>63</v>
      </c>
      <c r="G1570" s="69" t="s">
        <v>63</v>
      </c>
      <c r="H1570" s="70">
        <v>2019</v>
      </c>
      <c r="I1570" s="69" t="s">
        <v>63</v>
      </c>
      <c r="J1570" s="69" t="s">
        <v>63</v>
      </c>
      <c r="K1570" s="71" t="s">
        <v>7663</v>
      </c>
      <c r="L1570" s="71" t="s">
        <v>7664</v>
      </c>
      <c r="M1570" s="71" t="s">
        <v>7665</v>
      </c>
      <c r="N1570" s="69" t="s">
        <v>57</v>
      </c>
      <c r="O1570" s="64">
        <v>1</v>
      </c>
      <c r="P1570" s="72">
        <v>1400300</v>
      </c>
      <c r="Q1570" s="69" t="s">
        <v>7659</v>
      </c>
      <c r="R1570" s="69"/>
      <c r="S1570" s="203" t="s">
        <v>903</v>
      </c>
      <c r="T1570" s="56">
        <v>41</v>
      </c>
      <c r="U1570" s="56">
        <v>6</v>
      </c>
    </row>
    <row r="1571" spans="1:21" ht="14.25" customHeight="1" x14ac:dyDescent="0.35">
      <c r="A1571" s="47">
        <v>1555</v>
      </c>
      <c r="B1571" s="69" t="s">
        <v>1711</v>
      </c>
      <c r="C1571" s="69" t="s">
        <v>1712</v>
      </c>
      <c r="D1571" s="70" t="s">
        <v>904</v>
      </c>
      <c r="E1571" s="69" t="s">
        <v>1713</v>
      </c>
      <c r="F1571" s="69" t="s">
        <v>1714</v>
      </c>
      <c r="G1571" s="69" t="s">
        <v>140</v>
      </c>
      <c r="H1571" s="70">
        <v>2020</v>
      </c>
      <c r="I1571" s="69" t="s">
        <v>63</v>
      </c>
      <c r="J1571" s="69" t="s">
        <v>7666</v>
      </c>
      <c r="K1571" s="71" t="s">
        <v>7667</v>
      </c>
      <c r="L1571" s="71" t="s">
        <v>7668</v>
      </c>
      <c r="M1571" s="71" t="s">
        <v>7669</v>
      </c>
      <c r="N1571" s="69" t="s">
        <v>57</v>
      </c>
      <c r="O1571" s="64">
        <v>1</v>
      </c>
      <c r="P1571" s="72">
        <v>643500</v>
      </c>
      <c r="Q1571" s="69" t="s">
        <v>1719</v>
      </c>
      <c r="R1571" s="69"/>
      <c r="S1571" s="203" t="s">
        <v>903</v>
      </c>
      <c r="T1571" s="56">
        <v>41</v>
      </c>
      <c r="U1571" s="56">
        <v>6</v>
      </c>
    </row>
    <row r="1572" spans="1:21" ht="14.25" customHeight="1" thickBot="1" x14ac:dyDescent="0.4">
      <c r="A1572" s="58">
        <v>1556</v>
      </c>
      <c r="B1572" s="69" t="s">
        <v>1711</v>
      </c>
      <c r="C1572" s="69" t="s">
        <v>1712</v>
      </c>
      <c r="D1572" s="70" t="s">
        <v>126</v>
      </c>
      <c r="E1572" s="69" t="s">
        <v>1713</v>
      </c>
      <c r="F1572" s="69" t="s">
        <v>7670</v>
      </c>
      <c r="G1572" s="69" t="s">
        <v>140</v>
      </c>
      <c r="H1572" s="70">
        <v>2020</v>
      </c>
      <c r="I1572" s="69" t="s">
        <v>63</v>
      </c>
      <c r="J1572" s="69" t="s">
        <v>63</v>
      </c>
      <c r="K1572" s="71" t="s">
        <v>7671</v>
      </c>
      <c r="L1572" s="71" t="s">
        <v>7672</v>
      </c>
      <c r="M1572" s="71" t="s">
        <v>7673</v>
      </c>
      <c r="N1572" s="69" t="s">
        <v>57</v>
      </c>
      <c r="O1572" s="64">
        <v>1</v>
      </c>
      <c r="P1572" s="72">
        <v>644600</v>
      </c>
      <c r="Q1572" s="69" t="s">
        <v>7674</v>
      </c>
      <c r="R1572" s="69"/>
      <c r="S1572" s="203" t="s">
        <v>903</v>
      </c>
      <c r="T1572" s="56">
        <v>41</v>
      </c>
      <c r="U1572" s="56">
        <v>6</v>
      </c>
    </row>
    <row r="1573" spans="1:21" ht="14.25" customHeight="1" x14ac:dyDescent="0.35">
      <c r="A1573" s="47">
        <v>1557</v>
      </c>
      <c r="B1573" s="69" t="s">
        <v>1711</v>
      </c>
      <c r="C1573" s="69" t="s">
        <v>1712</v>
      </c>
      <c r="D1573" s="70" t="s">
        <v>132</v>
      </c>
      <c r="E1573" s="69" t="s">
        <v>7675</v>
      </c>
      <c r="F1573" s="69" t="s">
        <v>7644</v>
      </c>
      <c r="G1573" s="69" t="s">
        <v>2525</v>
      </c>
      <c r="H1573" s="70">
        <v>2020</v>
      </c>
      <c r="I1573" s="69" t="s">
        <v>63</v>
      </c>
      <c r="J1573" s="69" t="s">
        <v>63</v>
      </c>
      <c r="K1573" s="71" t="s">
        <v>7676</v>
      </c>
      <c r="L1573" s="71" t="s">
        <v>7677</v>
      </c>
      <c r="M1573" s="71" t="s">
        <v>7678</v>
      </c>
      <c r="N1573" s="69" t="s">
        <v>57</v>
      </c>
      <c r="O1573" s="64">
        <v>1</v>
      </c>
      <c r="P1573" s="72">
        <v>1144000</v>
      </c>
      <c r="Q1573" s="69" t="s">
        <v>7679</v>
      </c>
      <c r="R1573" s="69"/>
      <c r="S1573" s="203" t="s">
        <v>903</v>
      </c>
      <c r="T1573" s="56">
        <v>41</v>
      </c>
      <c r="U1573" s="56">
        <v>6</v>
      </c>
    </row>
    <row r="1574" spans="1:21" ht="14.25" customHeight="1" thickBot="1" x14ac:dyDescent="0.4">
      <c r="A1574" s="58">
        <v>1558</v>
      </c>
      <c r="B1574" s="69" t="s">
        <v>1711</v>
      </c>
      <c r="C1574" s="69" t="s">
        <v>1712</v>
      </c>
      <c r="D1574" s="70" t="s">
        <v>137</v>
      </c>
      <c r="E1574" s="69" t="s">
        <v>7675</v>
      </c>
      <c r="F1574" s="69" t="s">
        <v>7644</v>
      </c>
      <c r="G1574" s="69" t="s">
        <v>2525</v>
      </c>
      <c r="H1574" s="70">
        <v>2020</v>
      </c>
      <c r="I1574" s="69" t="s">
        <v>63</v>
      </c>
      <c r="J1574" s="69" t="s">
        <v>63</v>
      </c>
      <c r="K1574" s="71" t="s">
        <v>7680</v>
      </c>
      <c r="L1574" s="71" t="s">
        <v>7681</v>
      </c>
      <c r="M1574" s="71" t="s">
        <v>7682</v>
      </c>
      <c r="N1574" s="69" t="s">
        <v>57</v>
      </c>
      <c r="O1574" s="64">
        <v>1</v>
      </c>
      <c r="P1574" s="72">
        <v>1144000</v>
      </c>
      <c r="Q1574" s="69" t="s">
        <v>7679</v>
      </c>
      <c r="R1574" s="69"/>
      <c r="S1574" s="203" t="s">
        <v>903</v>
      </c>
      <c r="T1574" s="56">
        <v>41</v>
      </c>
      <c r="U1574" s="56">
        <v>6</v>
      </c>
    </row>
    <row r="1575" spans="1:21" ht="14.25" customHeight="1" x14ac:dyDescent="0.35">
      <c r="A1575" s="47">
        <v>1559</v>
      </c>
      <c r="B1575" s="69" t="s">
        <v>1711</v>
      </c>
      <c r="C1575" s="69" t="s">
        <v>1712</v>
      </c>
      <c r="D1575" s="70" t="s">
        <v>146</v>
      </c>
      <c r="E1575" s="69" t="s">
        <v>7675</v>
      </c>
      <c r="F1575" s="69" t="s">
        <v>7644</v>
      </c>
      <c r="G1575" s="69" t="s">
        <v>2525</v>
      </c>
      <c r="H1575" s="70">
        <v>2020</v>
      </c>
      <c r="I1575" s="69" t="s">
        <v>63</v>
      </c>
      <c r="J1575" s="69" t="s">
        <v>63</v>
      </c>
      <c r="K1575" s="71" t="s">
        <v>7683</v>
      </c>
      <c r="L1575" s="71" t="s">
        <v>7684</v>
      </c>
      <c r="M1575" s="71" t="s">
        <v>7685</v>
      </c>
      <c r="N1575" s="69" t="s">
        <v>57</v>
      </c>
      <c r="O1575" s="64">
        <v>1</v>
      </c>
      <c r="P1575" s="72">
        <v>1144000</v>
      </c>
      <c r="Q1575" s="69" t="s">
        <v>7679</v>
      </c>
      <c r="R1575" s="69"/>
      <c r="S1575" s="203" t="s">
        <v>903</v>
      </c>
      <c r="T1575" s="56">
        <v>41</v>
      </c>
      <c r="U1575" s="56">
        <v>6</v>
      </c>
    </row>
    <row r="1576" spans="1:21" ht="14.25" customHeight="1" thickBot="1" x14ac:dyDescent="0.4">
      <c r="A1576" s="58">
        <v>1560</v>
      </c>
      <c r="B1576" s="69" t="s">
        <v>1711</v>
      </c>
      <c r="C1576" s="69" t="s">
        <v>1712</v>
      </c>
      <c r="D1576" s="70" t="s">
        <v>154</v>
      </c>
      <c r="E1576" s="69" t="s">
        <v>7675</v>
      </c>
      <c r="F1576" s="69" t="s">
        <v>7644</v>
      </c>
      <c r="G1576" s="69" t="s">
        <v>2525</v>
      </c>
      <c r="H1576" s="70">
        <v>2020</v>
      </c>
      <c r="I1576" s="69" t="s">
        <v>63</v>
      </c>
      <c r="J1576" s="69" t="s">
        <v>63</v>
      </c>
      <c r="K1576" s="71" t="s">
        <v>7686</v>
      </c>
      <c r="L1576" s="71" t="s">
        <v>7687</v>
      </c>
      <c r="M1576" s="71" t="s">
        <v>7688</v>
      </c>
      <c r="N1576" s="69" t="s">
        <v>57</v>
      </c>
      <c r="O1576" s="64">
        <v>1</v>
      </c>
      <c r="P1576" s="72">
        <v>1144000</v>
      </c>
      <c r="Q1576" s="69" t="s">
        <v>7679</v>
      </c>
      <c r="R1576" s="69"/>
      <c r="S1576" s="203" t="s">
        <v>903</v>
      </c>
      <c r="T1576" s="56">
        <v>41</v>
      </c>
      <c r="U1576" s="56">
        <v>6</v>
      </c>
    </row>
    <row r="1577" spans="1:21" ht="14.25" customHeight="1" x14ac:dyDescent="0.35">
      <c r="A1577" s="47">
        <v>1561</v>
      </c>
      <c r="B1577" s="69" t="s">
        <v>1711</v>
      </c>
      <c r="C1577" s="69" t="s">
        <v>1712</v>
      </c>
      <c r="D1577" s="70" t="s">
        <v>161</v>
      </c>
      <c r="E1577" s="69" t="s">
        <v>7689</v>
      </c>
      <c r="F1577" s="69" t="s">
        <v>63</v>
      </c>
      <c r="G1577" s="69" t="s">
        <v>415</v>
      </c>
      <c r="H1577" s="70">
        <v>2021</v>
      </c>
      <c r="I1577" s="69" t="s">
        <v>63</v>
      </c>
      <c r="J1577" s="69" t="s">
        <v>63</v>
      </c>
      <c r="K1577" s="71" t="s">
        <v>7690</v>
      </c>
      <c r="L1577" s="71" t="s">
        <v>7691</v>
      </c>
      <c r="M1577" s="71" t="s">
        <v>7692</v>
      </c>
      <c r="N1577" s="69" t="s">
        <v>57</v>
      </c>
      <c r="O1577" s="64">
        <v>1</v>
      </c>
      <c r="P1577" s="72">
        <v>1173150</v>
      </c>
      <c r="Q1577" s="69" t="s">
        <v>7693</v>
      </c>
      <c r="R1577" s="69"/>
      <c r="S1577" s="203" t="s">
        <v>903</v>
      </c>
      <c r="T1577" s="56">
        <v>41</v>
      </c>
      <c r="U1577" s="56">
        <v>6</v>
      </c>
    </row>
    <row r="1578" spans="1:21" ht="14.25" customHeight="1" thickBot="1" x14ac:dyDescent="0.4">
      <c r="A1578" s="58">
        <v>1562</v>
      </c>
      <c r="B1578" s="69" t="s">
        <v>1711</v>
      </c>
      <c r="C1578" s="69" t="s">
        <v>1712</v>
      </c>
      <c r="D1578" s="70" t="s">
        <v>169</v>
      </c>
      <c r="E1578" s="69" t="s">
        <v>7689</v>
      </c>
      <c r="F1578" s="69" t="s">
        <v>63</v>
      </c>
      <c r="G1578" s="69" t="s">
        <v>415</v>
      </c>
      <c r="H1578" s="70">
        <v>2021</v>
      </c>
      <c r="I1578" s="69" t="s">
        <v>63</v>
      </c>
      <c r="J1578" s="69" t="s">
        <v>63</v>
      </c>
      <c r="K1578" s="71" t="s">
        <v>7694</v>
      </c>
      <c r="L1578" s="71" t="s">
        <v>7695</v>
      </c>
      <c r="M1578" s="71" t="s">
        <v>7696</v>
      </c>
      <c r="N1578" s="69" t="s">
        <v>57</v>
      </c>
      <c r="O1578" s="64">
        <v>1</v>
      </c>
      <c r="P1578" s="72">
        <v>1173150</v>
      </c>
      <c r="Q1578" s="69" t="s">
        <v>7693</v>
      </c>
      <c r="R1578" s="69"/>
      <c r="S1578" s="203" t="s">
        <v>903</v>
      </c>
      <c r="T1578" s="56">
        <v>41</v>
      </c>
      <c r="U1578" s="56">
        <v>6</v>
      </c>
    </row>
    <row r="1579" spans="1:21" ht="14.25" customHeight="1" x14ac:dyDescent="0.35">
      <c r="A1579" s="47">
        <v>1563</v>
      </c>
      <c r="B1579" s="69" t="s">
        <v>1711</v>
      </c>
      <c r="C1579" s="69" t="s">
        <v>1712</v>
      </c>
      <c r="D1579" s="70" t="s">
        <v>176</v>
      </c>
      <c r="E1579" s="69" t="s">
        <v>7689</v>
      </c>
      <c r="F1579" s="69" t="s">
        <v>63</v>
      </c>
      <c r="G1579" s="69" t="s">
        <v>415</v>
      </c>
      <c r="H1579" s="70">
        <v>2021</v>
      </c>
      <c r="I1579" s="69" t="s">
        <v>63</v>
      </c>
      <c r="J1579" s="69" t="s">
        <v>63</v>
      </c>
      <c r="K1579" s="71" t="s">
        <v>7697</v>
      </c>
      <c r="L1579" s="71" t="s">
        <v>7698</v>
      </c>
      <c r="M1579" s="71" t="s">
        <v>7699</v>
      </c>
      <c r="N1579" s="69" t="s">
        <v>57</v>
      </c>
      <c r="O1579" s="64">
        <v>1</v>
      </c>
      <c r="P1579" s="72">
        <v>1173150</v>
      </c>
      <c r="Q1579" s="69" t="s">
        <v>7693</v>
      </c>
      <c r="R1579" s="69"/>
      <c r="S1579" s="203" t="s">
        <v>903</v>
      </c>
      <c r="T1579" s="56">
        <v>41</v>
      </c>
      <c r="U1579" s="56">
        <v>6</v>
      </c>
    </row>
    <row r="1580" spans="1:21" ht="14.25" customHeight="1" thickBot="1" x14ac:dyDescent="0.4">
      <c r="A1580" s="58">
        <v>1564</v>
      </c>
      <c r="B1580" s="69" t="s">
        <v>1711</v>
      </c>
      <c r="C1580" s="69" t="s">
        <v>1712</v>
      </c>
      <c r="D1580" s="70" t="s">
        <v>1236</v>
      </c>
      <c r="E1580" s="69" t="s">
        <v>7689</v>
      </c>
      <c r="F1580" s="69" t="s">
        <v>63</v>
      </c>
      <c r="G1580" s="69" t="s">
        <v>415</v>
      </c>
      <c r="H1580" s="70">
        <v>2021</v>
      </c>
      <c r="I1580" s="69" t="s">
        <v>63</v>
      </c>
      <c r="J1580" s="69" t="s">
        <v>63</v>
      </c>
      <c r="K1580" s="71" t="s">
        <v>7700</v>
      </c>
      <c r="L1580" s="71" t="s">
        <v>7701</v>
      </c>
      <c r="M1580" s="71" t="s">
        <v>7702</v>
      </c>
      <c r="N1580" s="69" t="s">
        <v>57</v>
      </c>
      <c r="O1580" s="64">
        <v>1</v>
      </c>
      <c r="P1580" s="72">
        <v>1173150</v>
      </c>
      <c r="Q1580" s="69" t="s">
        <v>7693</v>
      </c>
      <c r="R1580" s="69"/>
      <c r="S1580" s="203" t="s">
        <v>903</v>
      </c>
      <c r="T1580" s="56">
        <v>41</v>
      </c>
      <c r="U1580" s="56">
        <v>6</v>
      </c>
    </row>
    <row r="1581" spans="1:21" ht="14.25" customHeight="1" x14ac:dyDescent="0.35">
      <c r="A1581" s="47">
        <v>1565</v>
      </c>
      <c r="B1581" s="69" t="s">
        <v>1711</v>
      </c>
      <c r="C1581" s="69" t="s">
        <v>1712</v>
      </c>
      <c r="D1581" s="70" t="s">
        <v>181</v>
      </c>
      <c r="E1581" s="69" t="s">
        <v>7689</v>
      </c>
      <c r="F1581" s="69" t="s">
        <v>63</v>
      </c>
      <c r="G1581" s="69" t="s">
        <v>415</v>
      </c>
      <c r="H1581" s="70">
        <v>2021</v>
      </c>
      <c r="I1581" s="69" t="s">
        <v>63</v>
      </c>
      <c r="J1581" s="69" t="s">
        <v>63</v>
      </c>
      <c r="K1581" s="71" t="s">
        <v>7703</v>
      </c>
      <c r="L1581" s="71" t="s">
        <v>7704</v>
      </c>
      <c r="M1581" s="71" t="s">
        <v>7705</v>
      </c>
      <c r="N1581" s="69" t="s">
        <v>57</v>
      </c>
      <c r="O1581" s="64">
        <v>1</v>
      </c>
      <c r="P1581" s="72">
        <v>1173150</v>
      </c>
      <c r="Q1581" s="69" t="s">
        <v>7693</v>
      </c>
      <c r="R1581" s="69"/>
      <c r="S1581" s="203" t="s">
        <v>903</v>
      </c>
      <c r="T1581" s="56">
        <v>41</v>
      </c>
      <c r="U1581" s="56">
        <v>6</v>
      </c>
    </row>
    <row r="1582" spans="1:21" ht="14.25" customHeight="1" thickBot="1" x14ac:dyDescent="0.4">
      <c r="A1582" s="58">
        <v>1566</v>
      </c>
      <c r="B1582" s="69" t="s">
        <v>1711</v>
      </c>
      <c r="C1582" s="69" t="s">
        <v>1712</v>
      </c>
      <c r="D1582" s="70" t="s">
        <v>187</v>
      </c>
      <c r="E1582" s="69" t="s">
        <v>7689</v>
      </c>
      <c r="F1582" s="69" t="s">
        <v>63</v>
      </c>
      <c r="G1582" s="69" t="s">
        <v>415</v>
      </c>
      <c r="H1582" s="70">
        <v>2021</v>
      </c>
      <c r="I1582" s="69" t="s">
        <v>63</v>
      </c>
      <c r="J1582" s="69" t="s">
        <v>63</v>
      </c>
      <c r="K1582" s="71" t="s">
        <v>7706</v>
      </c>
      <c r="L1582" s="71" t="s">
        <v>7707</v>
      </c>
      <c r="M1582" s="71" t="s">
        <v>7708</v>
      </c>
      <c r="N1582" s="69" t="s">
        <v>57</v>
      </c>
      <c r="O1582" s="64">
        <v>1</v>
      </c>
      <c r="P1582" s="72">
        <v>1173150</v>
      </c>
      <c r="Q1582" s="69" t="s">
        <v>7693</v>
      </c>
      <c r="R1582" s="69"/>
      <c r="S1582" s="203" t="s">
        <v>903</v>
      </c>
      <c r="T1582" s="56">
        <v>41</v>
      </c>
      <c r="U1582" s="56">
        <v>6</v>
      </c>
    </row>
    <row r="1583" spans="1:21" ht="14.25" customHeight="1" x14ac:dyDescent="0.35">
      <c r="A1583" s="47">
        <v>1567</v>
      </c>
      <c r="B1583" s="69" t="s">
        <v>1711</v>
      </c>
      <c r="C1583" s="69" t="s">
        <v>1712</v>
      </c>
      <c r="D1583" s="70" t="s">
        <v>190</v>
      </c>
      <c r="E1583" s="69" t="s">
        <v>7689</v>
      </c>
      <c r="F1583" s="69" t="s">
        <v>63</v>
      </c>
      <c r="G1583" s="69" t="s">
        <v>415</v>
      </c>
      <c r="H1583" s="70">
        <v>2021</v>
      </c>
      <c r="I1583" s="69" t="s">
        <v>63</v>
      </c>
      <c r="J1583" s="69" t="s">
        <v>63</v>
      </c>
      <c r="K1583" s="71" t="s">
        <v>7709</v>
      </c>
      <c r="L1583" s="71" t="s">
        <v>7710</v>
      </c>
      <c r="M1583" s="71" t="s">
        <v>7711</v>
      </c>
      <c r="N1583" s="69" t="s">
        <v>57</v>
      </c>
      <c r="O1583" s="64">
        <v>1</v>
      </c>
      <c r="P1583" s="72">
        <v>1173150</v>
      </c>
      <c r="Q1583" s="69" t="s">
        <v>7693</v>
      </c>
      <c r="R1583" s="69"/>
      <c r="S1583" s="203" t="s">
        <v>903</v>
      </c>
      <c r="T1583" s="56">
        <v>41</v>
      </c>
      <c r="U1583" s="56">
        <v>6</v>
      </c>
    </row>
    <row r="1584" spans="1:21" ht="14.25" customHeight="1" thickBot="1" x14ac:dyDescent="0.4">
      <c r="A1584" s="58">
        <v>1568</v>
      </c>
      <c r="B1584" s="69" t="s">
        <v>1711</v>
      </c>
      <c r="C1584" s="69" t="s">
        <v>1712</v>
      </c>
      <c r="D1584" s="70" t="s">
        <v>192</v>
      </c>
      <c r="E1584" s="69" t="s">
        <v>7712</v>
      </c>
      <c r="F1584" s="69" t="s">
        <v>7713</v>
      </c>
      <c r="G1584" s="69" t="s">
        <v>4228</v>
      </c>
      <c r="H1584" s="70">
        <v>2022</v>
      </c>
      <c r="I1584" s="69" t="s">
        <v>63</v>
      </c>
      <c r="J1584" s="69" t="s">
        <v>7714</v>
      </c>
      <c r="K1584" s="71" t="s">
        <v>7715</v>
      </c>
      <c r="L1584" s="71" t="s">
        <v>63</v>
      </c>
      <c r="M1584" s="71" t="s">
        <v>63</v>
      </c>
      <c r="N1584" s="69" t="s">
        <v>44</v>
      </c>
      <c r="O1584" s="64">
        <v>1</v>
      </c>
      <c r="P1584" s="72">
        <v>805000</v>
      </c>
      <c r="Q1584" s="69" t="s">
        <v>7716</v>
      </c>
      <c r="R1584" s="69"/>
      <c r="S1584" s="203" t="s">
        <v>903</v>
      </c>
      <c r="T1584" s="56">
        <v>41</v>
      </c>
      <c r="U1584" s="56">
        <v>6</v>
      </c>
    </row>
    <row r="1585" spans="1:21" ht="14.25" customHeight="1" x14ac:dyDescent="0.35">
      <c r="A1585" s="47">
        <v>1569</v>
      </c>
      <c r="B1585" s="69" t="s">
        <v>1711</v>
      </c>
      <c r="C1585" s="69" t="s">
        <v>1712</v>
      </c>
      <c r="D1585" s="70" t="s">
        <v>194</v>
      </c>
      <c r="E1585" s="69" t="s">
        <v>7712</v>
      </c>
      <c r="F1585" s="69" t="s">
        <v>7713</v>
      </c>
      <c r="G1585" s="69" t="s">
        <v>4228</v>
      </c>
      <c r="H1585" s="70">
        <v>2022</v>
      </c>
      <c r="I1585" s="69" t="s">
        <v>63</v>
      </c>
      <c r="J1585" s="69" t="s">
        <v>7717</v>
      </c>
      <c r="K1585" s="71" t="s">
        <v>7718</v>
      </c>
      <c r="L1585" s="71" t="s">
        <v>63</v>
      </c>
      <c r="M1585" s="71" t="s">
        <v>63</v>
      </c>
      <c r="N1585" s="69" t="s">
        <v>44</v>
      </c>
      <c r="O1585" s="64">
        <v>1</v>
      </c>
      <c r="P1585" s="72">
        <v>805000</v>
      </c>
      <c r="Q1585" s="69" t="s">
        <v>7716</v>
      </c>
      <c r="R1585" s="69"/>
      <c r="S1585" s="203" t="s">
        <v>903</v>
      </c>
      <c r="T1585" s="56">
        <v>41</v>
      </c>
      <c r="U1585" s="56">
        <v>6</v>
      </c>
    </row>
    <row r="1586" spans="1:21" ht="14.25" customHeight="1" thickBot="1" x14ac:dyDescent="0.4">
      <c r="A1586" s="58">
        <v>1570</v>
      </c>
      <c r="B1586" s="69" t="s">
        <v>1711</v>
      </c>
      <c r="C1586" s="69" t="s">
        <v>1712</v>
      </c>
      <c r="D1586" s="70" t="s">
        <v>195</v>
      </c>
      <c r="E1586" s="69" t="s">
        <v>7712</v>
      </c>
      <c r="F1586" s="69" t="s">
        <v>7713</v>
      </c>
      <c r="G1586" s="69" t="s">
        <v>4228</v>
      </c>
      <c r="H1586" s="70">
        <v>2022</v>
      </c>
      <c r="I1586" s="69" t="s">
        <v>63</v>
      </c>
      <c r="J1586" s="69" t="s">
        <v>7719</v>
      </c>
      <c r="K1586" s="71" t="s">
        <v>7720</v>
      </c>
      <c r="L1586" s="71" t="s">
        <v>63</v>
      </c>
      <c r="M1586" s="71" t="s">
        <v>63</v>
      </c>
      <c r="N1586" s="69" t="s">
        <v>44</v>
      </c>
      <c r="O1586" s="64">
        <v>1</v>
      </c>
      <c r="P1586" s="72">
        <v>805000</v>
      </c>
      <c r="Q1586" s="69" t="s">
        <v>7716</v>
      </c>
      <c r="R1586" s="69"/>
      <c r="S1586" s="203" t="s">
        <v>903</v>
      </c>
      <c r="T1586" s="56">
        <v>41</v>
      </c>
      <c r="U1586" s="56">
        <v>6</v>
      </c>
    </row>
    <row r="1587" spans="1:21" ht="14.25" customHeight="1" x14ac:dyDescent="0.35">
      <c r="A1587" s="47">
        <v>1571</v>
      </c>
      <c r="B1587" s="69" t="s">
        <v>1711</v>
      </c>
      <c r="C1587" s="69" t="s">
        <v>1712</v>
      </c>
      <c r="D1587" s="70" t="s">
        <v>7721</v>
      </c>
      <c r="E1587" s="69" t="s">
        <v>7722</v>
      </c>
      <c r="F1587" s="69"/>
      <c r="G1587" s="69" t="s">
        <v>63</v>
      </c>
      <c r="H1587" s="70">
        <v>2023</v>
      </c>
      <c r="I1587" s="69" t="s">
        <v>63</v>
      </c>
      <c r="J1587" s="69" t="s">
        <v>63</v>
      </c>
      <c r="K1587" s="71" t="s">
        <v>63</v>
      </c>
      <c r="L1587" s="71" t="s">
        <v>63</v>
      </c>
      <c r="M1587" s="71" t="s">
        <v>63</v>
      </c>
      <c r="N1587" s="69" t="s">
        <v>44</v>
      </c>
      <c r="O1587" s="64">
        <v>1</v>
      </c>
      <c r="P1587" s="72">
        <v>1755000</v>
      </c>
      <c r="Q1587" s="69" t="s">
        <v>7716</v>
      </c>
      <c r="R1587" s="69"/>
      <c r="S1587" s="203" t="s">
        <v>903</v>
      </c>
      <c r="T1587" s="56">
        <v>41</v>
      </c>
      <c r="U1587" s="56">
        <v>6</v>
      </c>
    </row>
    <row r="1588" spans="1:21" ht="14.25" customHeight="1" thickBot="1" x14ac:dyDescent="0.4">
      <c r="A1588" s="58">
        <v>1572</v>
      </c>
      <c r="B1588" s="69" t="s">
        <v>1711</v>
      </c>
      <c r="C1588" s="69" t="s">
        <v>1712</v>
      </c>
      <c r="D1588" s="70" t="s">
        <v>209</v>
      </c>
      <c r="E1588" s="69" t="s">
        <v>7723</v>
      </c>
      <c r="F1588" s="69" t="s">
        <v>2023</v>
      </c>
      <c r="G1588" s="69" t="s">
        <v>247</v>
      </c>
      <c r="H1588" s="70">
        <v>2024</v>
      </c>
      <c r="I1588" s="69" t="s">
        <v>63</v>
      </c>
      <c r="J1588" s="69" t="s">
        <v>7724</v>
      </c>
      <c r="K1588" s="71" t="s">
        <v>7725</v>
      </c>
      <c r="L1588" s="71" t="s">
        <v>7726</v>
      </c>
      <c r="M1588" s="71" t="s">
        <v>7727</v>
      </c>
      <c r="N1588" s="69" t="s">
        <v>44</v>
      </c>
      <c r="O1588" s="64">
        <v>1</v>
      </c>
      <c r="P1588" s="72">
        <v>981500</v>
      </c>
      <c r="Q1588" s="69" t="s">
        <v>7728</v>
      </c>
      <c r="R1588" s="69"/>
      <c r="S1588" s="203" t="s">
        <v>903</v>
      </c>
      <c r="T1588" s="56">
        <v>41</v>
      </c>
      <c r="U1588" s="56">
        <v>6</v>
      </c>
    </row>
    <row r="1589" spans="1:21" ht="14.25" customHeight="1" x14ac:dyDescent="0.35">
      <c r="A1589" s="47">
        <v>1573</v>
      </c>
      <c r="B1589" s="69" t="s">
        <v>1711</v>
      </c>
      <c r="C1589" s="69" t="s">
        <v>1712</v>
      </c>
      <c r="D1589" s="70" t="s">
        <v>7729</v>
      </c>
      <c r="E1589" s="69" t="s">
        <v>7730</v>
      </c>
      <c r="F1589" s="69"/>
      <c r="G1589" s="69" t="s">
        <v>63</v>
      </c>
      <c r="H1589" s="70">
        <v>2024</v>
      </c>
      <c r="I1589" s="69" t="s">
        <v>63</v>
      </c>
      <c r="J1589" s="69" t="s">
        <v>63</v>
      </c>
      <c r="K1589" s="71" t="s">
        <v>63</v>
      </c>
      <c r="L1589" s="71" t="s">
        <v>63</v>
      </c>
      <c r="M1589" s="71" t="s">
        <v>63</v>
      </c>
      <c r="N1589" s="69" t="s">
        <v>44</v>
      </c>
      <c r="O1589" s="64">
        <v>1</v>
      </c>
      <c r="P1589" s="72">
        <v>2944500</v>
      </c>
      <c r="Q1589" s="69" t="s">
        <v>7728</v>
      </c>
      <c r="R1589" s="69"/>
      <c r="S1589" s="203" t="s">
        <v>903</v>
      </c>
      <c r="T1589" s="56">
        <v>41</v>
      </c>
      <c r="U1589" s="56">
        <v>6</v>
      </c>
    </row>
    <row r="1590" spans="1:21" ht="14.25" customHeight="1" thickBot="1" x14ac:dyDescent="0.4">
      <c r="A1590" s="58">
        <v>1574</v>
      </c>
      <c r="B1590" s="69" t="s">
        <v>7731</v>
      </c>
      <c r="C1590" s="69" t="s">
        <v>7732</v>
      </c>
      <c r="D1590" s="70" t="s">
        <v>51</v>
      </c>
      <c r="E1590" s="69" t="s">
        <v>7733</v>
      </c>
      <c r="F1590" s="69"/>
      <c r="G1590" s="69" t="s">
        <v>63</v>
      </c>
      <c r="H1590" s="70">
        <v>2024</v>
      </c>
      <c r="I1590" s="69" t="s">
        <v>63</v>
      </c>
      <c r="J1590" s="69" t="s">
        <v>63</v>
      </c>
      <c r="K1590" s="71" t="s">
        <v>63</v>
      </c>
      <c r="L1590" s="71" t="s">
        <v>63</v>
      </c>
      <c r="M1590" s="71" t="s">
        <v>63</v>
      </c>
      <c r="N1590" s="69" t="s">
        <v>44</v>
      </c>
      <c r="O1590" s="64">
        <v>1</v>
      </c>
      <c r="P1590" s="72">
        <v>748500</v>
      </c>
      <c r="Q1590" s="69" t="s">
        <v>7734</v>
      </c>
      <c r="R1590" s="69"/>
      <c r="S1590" s="203" t="s">
        <v>903</v>
      </c>
      <c r="T1590" s="56">
        <v>41</v>
      </c>
      <c r="U1590" s="56">
        <v>4</v>
      </c>
    </row>
    <row r="1591" spans="1:21" ht="14.25" customHeight="1" x14ac:dyDescent="0.35">
      <c r="A1591" s="47">
        <v>1575</v>
      </c>
      <c r="B1591" s="69" t="s">
        <v>7735</v>
      </c>
      <c r="C1591" s="69" t="s">
        <v>7736</v>
      </c>
      <c r="D1591" s="70" t="s">
        <v>51</v>
      </c>
      <c r="E1591" s="69" t="s">
        <v>1713</v>
      </c>
      <c r="F1591" s="69" t="s">
        <v>7737</v>
      </c>
      <c r="G1591" s="69" t="s">
        <v>415</v>
      </c>
      <c r="H1591" s="70">
        <v>2021</v>
      </c>
      <c r="I1591" s="69" t="s">
        <v>63</v>
      </c>
      <c r="J1591" s="69" t="s">
        <v>63</v>
      </c>
      <c r="K1591" s="71" t="s">
        <v>7738</v>
      </c>
      <c r="L1591" s="71" t="s">
        <v>7739</v>
      </c>
      <c r="M1591" s="71" t="s">
        <v>7740</v>
      </c>
      <c r="N1591" s="69" t="s">
        <v>57</v>
      </c>
      <c r="O1591" s="64">
        <v>1</v>
      </c>
      <c r="P1591" s="72">
        <v>768790</v>
      </c>
      <c r="Q1591" s="69" t="s">
        <v>7741</v>
      </c>
      <c r="R1591" s="69"/>
      <c r="S1591" s="203" t="s">
        <v>903</v>
      </c>
      <c r="T1591" s="56">
        <v>41</v>
      </c>
      <c r="U1591" s="56">
        <v>4</v>
      </c>
    </row>
    <row r="1592" spans="1:21" ht="14.25" customHeight="1" thickBot="1" x14ac:dyDescent="0.4">
      <c r="A1592" s="58">
        <v>1576</v>
      </c>
      <c r="B1592" s="69" t="s">
        <v>7735</v>
      </c>
      <c r="C1592" s="69" t="s">
        <v>7736</v>
      </c>
      <c r="D1592" s="70" t="s">
        <v>59</v>
      </c>
      <c r="E1592" s="69" t="s">
        <v>1713</v>
      </c>
      <c r="F1592" s="69" t="s">
        <v>7737</v>
      </c>
      <c r="G1592" s="69" t="s">
        <v>415</v>
      </c>
      <c r="H1592" s="70">
        <v>2021</v>
      </c>
      <c r="I1592" s="69" t="s">
        <v>63</v>
      </c>
      <c r="J1592" s="69" t="s">
        <v>63</v>
      </c>
      <c r="K1592" s="71" t="s">
        <v>7742</v>
      </c>
      <c r="L1592" s="71" t="s">
        <v>7743</v>
      </c>
      <c r="M1592" s="71" t="s">
        <v>7744</v>
      </c>
      <c r="N1592" s="69" t="s">
        <v>57</v>
      </c>
      <c r="O1592" s="64">
        <v>1</v>
      </c>
      <c r="P1592" s="72">
        <v>768790</v>
      </c>
      <c r="Q1592" s="69" t="s">
        <v>7741</v>
      </c>
      <c r="R1592" s="69"/>
      <c r="S1592" s="203" t="s">
        <v>903</v>
      </c>
      <c r="T1592" s="56">
        <v>41</v>
      </c>
      <c r="U1592" s="56">
        <v>4</v>
      </c>
    </row>
    <row r="1593" spans="1:21" ht="14.25" customHeight="1" x14ac:dyDescent="0.35">
      <c r="A1593" s="47">
        <v>1577</v>
      </c>
      <c r="B1593" s="69" t="s">
        <v>7735</v>
      </c>
      <c r="C1593" s="69" t="s">
        <v>7736</v>
      </c>
      <c r="D1593" s="70" t="s">
        <v>97</v>
      </c>
      <c r="E1593" s="69" t="s">
        <v>1713</v>
      </c>
      <c r="F1593" s="69" t="s">
        <v>7737</v>
      </c>
      <c r="G1593" s="69" t="s">
        <v>415</v>
      </c>
      <c r="H1593" s="70">
        <v>2021</v>
      </c>
      <c r="I1593" s="69" t="s">
        <v>63</v>
      </c>
      <c r="J1593" s="69" t="s">
        <v>63</v>
      </c>
      <c r="K1593" s="71" t="s">
        <v>7745</v>
      </c>
      <c r="L1593" s="71" t="s">
        <v>7746</v>
      </c>
      <c r="M1593" s="71" t="s">
        <v>7747</v>
      </c>
      <c r="N1593" s="69" t="s">
        <v>57</v>
      </c>
      <c r="O1593" s="64">
        <v>1</v>
      </c>
      <c r="P1593" s="72">
        <v>768790</v>
      </c>
      <c r="Q1593" s="69" t="s">
        <v>7741</v>
      </c>
      <c r="R1593" s="69"/>
      <c r="S1593" s="203" t="s">
        <v>903</v>
      </c>
      <c r="T1593" s="56">
        <v>41</v>
      </c>
      <c r="U1593" s="56">
        <v>4</v>
      </c>
    </row>
    <row r="1594" spans="1:21" ht="14.25" customHeight="1" thickBot="1" x14ac:dyDescent="0.4">
      <c r="A1594" s="58">
        <v>1578</v>
      </c>
      <c r="B1594" s="69" t="s">
        <v>7735</v>
      </c>
      <c r="C1594" s="69" t="s">
        <v>7736</v>
      </c>
      <c r="D1594" s="70" t="s">
        <v>101</v>
      </c>
      <c r="E1594" s="69" t="s">
        <v>1713</v>
      </c>
      <c r="F1594" s="69" t="s">
        <v>7737</v>
      </c>
      <c r="G1594" s="69" t="s">
        <v>415</v>
      </c>
      <c r="H1594" s="70">
        <v>2021</v>
      </c>
      <c r="I1594" s="69" t="s">
        <v>63</v>
      </c>
      <c r="J1594" s="69" t="s">
        <v>63</v>
      </c>
      <c r="K1594" s="71" t="s">
        <v>7748</v>
      </c>
      <c r="L1594" s="71" t="s">
        <v>7749</v>
      </c>
      <c r="M1594" s="71" t="s">
        <v>7750</v>
      </c>
      <c r="N1594" s="69" t="s">
        <v>57</v>
      </c>
      <c r="O1594" s="64">
        <v>1</v>
      </c>
      <c r="P1594" s="72">
        <v>768790</v>
      </c>
      <c r="Q1594" s="69" t="s">
        <v>7741</v>
      </c>
      <c r="R1594" s="69"/>
      <c r="S1594" s="203" t="s">
        <v>903</v>
      </c>
      <c r="T1594" s="56">
        <v>41</v>
      </c>
      <c r="U1594" s="56">
        <v>4</v>
      </c>
    </row>
    <row r="1595" spans="1:21" ht="14.25" customHeight="1" x14ac:dyDescent="0.35">
      <c r="A1595" s="47">
        <v>1579</v>
      </c>
      <c r="B1595" s="69" t="s">
        <v>7735</v>
      </c>
      <c r="C1595" s="69" t="s">
        <v>7736</v>
      </c>
      <c r="D1595" s="70" t="s">
        <v>107</v>
      </c>
      <c r="E1595" s="69" t="s">
        <v>1713</v>
      </c>
      <c r="F1595" s="69" t="s">
        <v>7737</v>
      </c>
      <c r="G1595" s="69" t="s">
        <v>415</v>
      </c>
      <c r="H1595" s="70">
        <v>2021</v>
      </c>
      <c r="I1595" s="69" t="s">
        <v>63</v>
      </c>
      <c r="J1595" s="69" t="s">
        <v>63</v>
      </c>
      <c r="K1595" s="71" t="s">
        <v>7751</v>
      </c>
      <c r="L1595" s="71" t="s">
        <v>7752</v>
      </c>
      <c r="M1595" s="71" t="s">
        <v>7753</v>
      </c>
      <c r="N1595" s="69" t="s">
        <v>57</v>
      </c>
      <c r="O1595" s="64">
        <v>1</v>
      </c>
      <c r="P1595" s="72">
        <v>768790</v>
      </c>
      <c r="Q1595" s="69" t="s">
        <v>7741</v>
      </c>
      <c r="R1595" s="69"/>
      <c r="S1595" s="203" t="s">
        <v>903</v>
      </c>
      <c r="T1595" s="56">
        <v>41</v>
      </c>
      <c r="U1595" s="56">
        <v>4</v>
      </c>
    </row>
    <row r="1596" spans="1:21" ht="14.25" customHeight="1" thickBot="1" x14ac:dyDescent="0.4">
      <c r="A1596" s="58">
        <v>1580</v>
      </c>
      <c r="B1596" s="69" t="s">
        <v>7735</v>
      </c>
      <c r="C1596" s="69" t="s">
        <v>7736</v>
      </c>
      <c r="D1596" s="70" t="s">
        <v>112</v>
      </c>
      <c r="E1596" s="69" t="s">
        <v>1713</v>
      </c>
      <c r="F1596" s="69" t="s">
        <v>7737</v>
      </c>
      <c r="G1596" s="69" t="s">
        <v>415</v>
      </c>
      <c r="H1596" s="70">
        <v>2021</v>
      </c>
      <c r="I1596" s="69" t="s">
        <v>63</v>
      </c>
      <c r="J1596" s="69" t="s">
        <v>63</v>
      </c>
      <c r="K1596" s="71" t="s">
        <v>7754</v>
      </c>
      <c r="L1596" s="71" t="s">
        <v>7755</v>
      </c>
      <c r="M1596" s="71" t="s">
        <v>7756</v>
      </c>
      <c r="N1596" s="69" t="s">
        <v>57</v>
      </c>
      <c r="O1596" s="64">
        <v>1</v>
      </c>
      <c r="P1596" s="72">
        <v>768790</v>
      </c>
      <c r="Q1596" s="69" t="s">
        <v>7741</v>
      </c>
      <c r="R1596" s="69"/>
      <c r="S1596" s="203" t="s">
        <v>903</v>
      </c>
      <c r="T1596" s="56">
        <v>41</v>
      </c>
      <c r="U1596" s="56">
        <v>4</v>
      </c>
    </row>
    <row r="1597" spans="1:21" ht="14.25" customHeight="1" x14ac:dyDescent="0.35">
      <c r="A1597" s="47">
        <v>1581</v>
      </c>
      <c r="B1597" s="69" t="s">
        <v>7735</v>
      </c>
      <c r="C1597" s="69" t="s">
        <v>7736</v>
      </c>
      <c r="D1597" s="70" t="s">
        <v>116</v>
      </c>
      <c r="E1597" s="69" t="s">
        <v>1713</v>
      </c>
      <c r="F1597" s="69" t="s">
        <v>7737</v>
      </c>
      <c r="G1597" s="69" t="s">
        <v>415</v>
      </c>
      <c r="H1597" s="70">
        <v>2021</v>
      </c>
      <c r="I1597" s="69" t="s">
        <v>63</v>
      </c>
      <c r="J1597" s="69" t="s">
        <v>63</v>
      </c>
      <c r="K1597" s="71" t="s">
        <v>7757</v>
      </c>
      <c r="L1597" s="71" t="s">
        <v>7758</v>
      </c>
      <c r="M1597" s="71" t="s">
        <v>7759</v>
      </c>
      <c r="N1597" s="69" t="s">
        <v>57</v>
      </c>
      <c r="O1597" s="64">
        <v>1</v>
      </c>
      <c r="P1597" s="72">
        <v>768790</v>
      </c>
      <c r="Q1597" s="69" t="s">
        <v>7741</v>
      </c>
      <c r="R1597" s="69"/>
      <c r="S1597" s="203" t="s">
        <v>903</v>
      </c>
      <c r="T1597" s="56">
        <v>41</v>
      </c>
      <c r="U1597" s="56">
        <v>4</v>
      </c>
    </row>
    <row r="1598" spans="1:21" ht="14.25" customHeight="1" thickBot="1" x14ac:dyDescent="0.4">
      <c r="A1598" s="58">
        <v>1582</v>
      </c>
      <c r="B1598" s="69" t="s">
        <v>7735</v>
      </c>
      <c r="C1598" s="69" t="s">
        <v>7736</v>
      </c>
      <c r="D1598" s="70" t="s">
        <v>841</v>
      </c>
      <c r="E1598" s="69" t="s">
        <v>1713</v>
      </c>
      <c r="F1598" s="69" t="s">
        <v>7737</v>
      </c>
      <c r="G1598" s="69" t="s">
        <v>415</v>
      </c>
      <c r="H1598" s="70">
        <v>2021</v>
      </c>
      <c r="I1598" s="69" t="s">
        <v>63</v>
      </c>
      <c r="J1598" s="69" t="s">
        <v>63</v>
      </c>
      <c r="K1598" s="71" t="s">
        <v>7760</v>
      </c>
      <c r="L1598" s="71" t="s">
        <v>7761</v>
      </c>
      <c r="M1598" s="71" t="s">
        <v>7762</v>
      </c>
      <c r="N1598" s="69" t="s">
        <v>57</v>
      </c>
      <c r="O1598" s="64">
        <v>1</v>
      </c>
      <c r="P1598" s="72">
        <v>768790</v>
      </c>
      <c r="Q1598" s="69" t="s">
        <v>7741</v>
      </c>
      <c r="R1598" s="69"/>
      <c r="S1598" s="203" t="s">
        <v>903</v>
      </c>
      <c r="T1598" s="56">
        <v>41</v>
      </c>
      <c r="U1598" s="56">
        <v>4</v>
      </c>
    </row>
    <row r="1599" spans="1:21" ht="14.25" customHeight="1" x14ac:dyDescent="0.35">
      <c r="A1599" s="47">
        <v>1583</v>
      </c>
      <c r="B1599" s="69" t="s">
        <v>7735</v>
      </c>
      <c r="C1599" s="69" t="s">
        <v>7736</v>
      </c>
      <c r="D1599" s="70" t="s">
        <v>904</v>
      </c>
      <c r="E1599" s="69" t="s">
        <v>1713</v>
      </c>
      <c r="F1599" s="69" t="s">
        <v>7737</v>
      </c>
      <c r="G1599" s="69" t="s">
        <v>415</v>
      </c>
      <c r="H1599" s="70">
        <v>2021</v>
      </c>
      <c r="I1599" s="69" t="s">
        <v>63</v>
      </c>
      <c r="J1599" s="69" t="s">
        <v>63</v>
      </c>
      <c r="K1599" s="71" t="s">
        <v>7763</v>
      </c>
      <c r="L1599" s="71" t="s">
        <v>7764</v>
      </c>
      <c r="M1599" s="71" t="s">
        <v>7765</v>
      </c>
      <c r="N1599" s="69" t="s">
        <v>57</v>
      </c>
      <c r="O1599" s="64">
        <v>1</v>
      </c>
      <c r="P1599" s="72">
        <v>768790</v>
      </c>
      <c r="Q1599" s="69" t="s">
        <v>7741</v>
      </c>
      <c r="R1599" s="69"/>
      <c r="S1599" s="203" t="s">
        <v>903</v>
      </c>
      <c r="T1599" s="56">
        <v>41</v>
      </c>
      <c r="U1599" s="56">
        <v>4</v>
      </c>
    </row>
    <row r="1600" spans="1:21" ht="14.25" customHeight="1" thickBot="1" x14ac:dyDescent="0.4">
      <c r="A1600" s="58">
        <v>1584</v>
      </c>
      <c r="B1600" s="69" t="s">
        <v>7735</v>
      </c>
      <c r="C1600" s="69" t="s">
        <v>7736</v>
      </c>
      <c r="D1600" s="70" t="s">
        <v>122</v>
      </c>
      <c r="E1600" s="69" t="s">
        <v>1713</v>
      </c>
      <c r="F1600" s="69" t="s">
        <v>7737</v>
      </c>
      <c r="G1600" s="69" t="s">
        <v>415</v>
      </c>
      <c r="H1600" s="70">
        <v>2021</v>
      </c>
      <c r="I1600" s="69" t="s">
        <v>63</v>
      </c>
      <c r="J1600" s="69" t="s">
        <v>63</v>
      </c>
      <c r="K1600" s="71" t="s">
        <v>7766</v>
      </c>
      <c r="L1600" s="71" t="s">
        <v>7767</v>
      </c>
      <c r="M1600" s="71" t="s">
        <v>7768</v>
      </c>
      <c r="N1600" s="69" t="s">
        <v>57</v>
      </c>
      <c r="O1600" s="64">
        <v>1</v>
      </c>
      <c r="P1600" s="72">
        <v>768790</v>
      </c>
      <c r="Q1600" s="69" t="s">
        <v>7741</v>
      </c>
      <c r="R1600" s="69"/>
      <c r="S1600" s="203" t="s">
        <v>903</v>
      </c>
      <c r="T1600" s="56">
        <v>41</v>
      </c>
      <c r="U1600" s="56">
        <v>4</v>
      </c>
    </row>
    <row r="1601" spans="1:21" ht="14.25" customHeight="1" x14ac:dyDescent="0.35">
      <c r="A1601" s="47">
        <v>1585</v>
      </c>
      <c r="B1601" s="69" t="s">
        <v>7735</v>
      </c>
      <c r="C1601" s="69" t="s">
        <v>7736</v>
      </c>
      <c r="D1601" s="70" t="s">
        <v>126</v>
      </c>
      <c r="E1601" s="69" t="s">
        <v>1713</v>
      </c>
      <c r="F1601" s="69" t="s">
        <v>7737</v>
      </c>
      <c r="G1601" s="69" t="s">
        <v>415</v>
      </c>
      <c r="H1601" s="70">
        <v>2021</v>
      </c>
      <c r="I1601" s="69" t="s">
        <v>63</v>
      </c>
      <c r="J1601" s="69" t="s">
        <v>63</v>
      </c>
      <c r="K1601" s="71" t="s">
        <v>7769</v>
      </c>
      <c r="L1601" s="71" t="s">
        <v>7770</v>
      </c>
      <c r="M1601" s="71" t="s">
        <v>7771</v>
      </c>
      <c r="N1601" s="69" t="s">
        <v>57</v>
      </c>
      <c r="O1601" s="64">
        <v>1</v>
      </c>
      <c r="P1601" s="72">
        <v>768790</v>
      </c>
      <c r="Q1601" s="69" t="s">
        <v>7741</v>
      </c>
      <c r="R1601" s="69"/>
      <c r="S1601" s="203" t="s">
        <v>903</v>
      </c>
      <c r="T1601" s="56">
        <v>41</v>
      </c>
      <c r="U1601" s="56">
        <v>4</v>
      </c>
    </row>
    <row r="1602" spans="1:21" ht="14.25" customHeight="1" thickBot="1" x14ac:dyDescent="0.4">
      <c r="A1602" s="58">
        <v>1586</v>
      </c>
      <c r="B1602" s="69" t="s">
        <v>7735</v>
      </c>
      <c r="C1602" s="69" t="s">
        <v>7736</v>
      </c>
      <c r="D1602" s="70" t="s">
        <v>132</v>
      </c>
      <c r="E1602" s="69" t="s">
        <v>1713</v>
      </c>
      <c r="F1602" s="69" t="s">
        <v>7737</v>
      </c>
      <c r="G1602" s="69" t="s">
        <v>415</v>
      </c>
      <c r="H1602" s="70">
        <v>2021</v>
      </c>
      <c r="I1602" s="69" t="s">
        <v>63</v>
      </c>
      <c r="J1602" s="69" t="s">
        <v>7772</v>
      </c>
      <c r="K1602" s="71" t="s">
        <v>63</v>
      </c>
      <c r="L1602" s="71" t="s">
        <v>63</v>
      </c>
      <c r="M1602" s="71" t="s">
        <v>63</v>
      </c>
      <c r="N1602" s="69" t="s">
        <v>57</v>
      </c>
      <c r="O1602" s="64">
        <v>1</v>
      </c>
      <c r="P1602" s="72">
        <v>768790</v>
      </c>
      <c r="Q1602" s="69" t="s">
        <v>7741</v>
      </c>
      <c r="R1602" s="69"/>
      <c r="S1602" s="203" t="s">
        <v>903</v>
      </c>
      <c r="T1602" s="56">
        <v>41</v>
      </c>
      <c r="U1602" s="56">
        <v>4</v>
      </c>
    </row>
    <row r="1603" spans="1:21" ht="14.25" customHeight="1" x14ac:dyDescent="0.35">
      <c r="A1603" s="47">
        <v>1587</v>
      </c>
      <c r="B1603" s="69" t="s">
        <v>7735</v>
      </c>
      <c r="C1603" s="69" t="s">
        <v>7736</v>
      </c>
      <c r="D1603" s="70" t="s">
        <v>137</v>
      </c>
      <c r="E1603" s="69" t="s">
        <v>1713</v>
      </c>
      <c r="F1603" s="69" t="s">
        <v>7737</v>
      </c>
      <c r="G1603" s="69" t="s">
        <v>415</v>
      </c>
      <c r="H1603" s="70">
        <v>2021</v>
      </c>
      <c r="I1603" s="69" t="s">
        <v>63</v>
      </c>
      <c r="J1603" s="69" t="s">
        <v>63</v>
      </c>
      <c r="K1603" s="71" t="s">
        <v>7773</v>
      </c>
      <c r="L1603" s="71" t="s">
        <v>7774</v>
      </c>
      <c r="M1603" s="71" t="s">
        <v>7775</v>
      </c>
      <c r="N1603" s="69" t="s">
        <v>57</v>
      </c>
      <c r="O1603" s="64">
        <v>1</v>
      </c>
      <c r="P1603" s="72">
        <v>768790</v>
      </c>
      <c r="Q1603" s="69" t="s">
        <v>7741</v>
      </c>
      <c r="R1603" s="69"/>
      <c r="S1603" s="203" t="s">
        <v>903</v>
      </c>
      <c r="T1603" s="56">
        <v>41</v>
      </c>
      <c r="U1603" s="56">
        <v>4</v>
      </c>
    </row>
    <row r="1604" spans="1:21" ht="14.25" customHeight="1" thickBot="1" x14ac:dyDescent="0.4">
      <c r="A1604" s="58">
        <v>1588</v>
      </c>
      <c r="B1604" s="69" t="s">
        <v>7735</v>
      </c>
      <c r="C1604" s="69" t="s">
        <v>7736</v>
      </c>
      <c r="D1604" s="70" t="s">
        <v>146</v>
      </c>
      <c r="E1604" s="69" t="s">
        <v>1713</v>
      </c>
      <c r="F1604" s="69" t="s">
        <v>7737</v>
      </c>
      <c r="G1604" s="69" t="s">
        <v>415</v>
      </c>
      <c r="H1604" s="70">
        <v>2021</v>
      </c>
      <c r="I1604" s="69" t="s">
        <v>63</v>
      </c>
      <c r="J1604" s="69" t="s">
        <v>63</v>
      </c>
      <c r="K1604" s="71" t="s">
        <v>7776</v>
      </c>
      <c r="L1604" s="71" t="s">
        <v>7777</v>
      </c>
      <c r="M1604" s="71" t="s">
        <v>7778</v>
      </c>
      <c r="N1604" s="69" t="s">
        <v>57</v>
      </c>
      <c r="O1604" s="64">
        <v>1</v>
      </c>
      <c r="P1604" s="72">
        <v>768790</v>
      </c>
      <c r="Q1604" s="69" t="s">
        <v>7741</v>
      </c>
      <c r="R1604" s="69"/>
      <c r="S1604" s="203" t="s">
        <v>903</v>
      </c>
      <c r="T1604" s="56">
        <v>41</v>
      </c>
      <c r="U1604" s="56">
        <v>4</v>
      </c>
    </row>
    <row r="1605" spans="1:21" ht="14.25" customHeight="1" x14ac:dyDescent="0.35">
      <c r="A1605" s="47">
        <v>1589</v>
      </c>
      <c r="B1605" s="69" t="s">
        <v>7735</v>
      </c>
      <c r="C1605" s="69" t="s">
        <v>7736</v>
      </c>
      <c r="D1605" s="70" t="s">
        <v>154</v>
      </c>
      <c r="E1605" s="69" t="s">
        <v>7779</v>
      </c>
      <c r="F1605" s="69" t="s">
        <v>63</v>
      </c>
      <c r="G1605" s="69" t="s">
        <v>54</v>
      </c>
      <c r="H1605" s="70">
        <v>2022</v>
      </c>
      <c r="I1605" s="69" t="s">
        <v>63</v>
      </c>
      <c r="J1605" s="69" t="s">
        <v>7780</v>
      </c>
      <c r="K1605" s="71" t="s">
        <v>7781</v>
      </c>
      <c r="L1605" s="71" t="s">
        <v>63</v>
      </c>
      <c r="M1605" s="71" t="s">
        <v>63</v>
      </c>
      <c r="N1605" s="69" t="s">
        <v>44</v>
      </c>
      <c r="O1605" s="64">
        <v>1</v>
      </c>
      <c r="P1605" s="72">
        <v>747500</v>
      </c>
      <c r="Q1605" s="69" t="s">
        <v>7782</v>
      </c>
      <c r="R1605" s="69"/>
      <c r="S1605" s="203" t="s">
        <v>903</v>
      </c>
      <c r="T1605" s="56">
        <v>41</v>
      </c>
      <c r="U1605" s="56">
        <v>4</v>
      </c>
    </row>
    <row r="1606" spans="1:21" ht="14.25" customHeight="1" thickBot="1" x14ac:dyDescent="0.4">
      <c r="A1606" s="58">
        <v>1590</v>
      </c>
      <c r="B1606" s="69" t="s">
        <v>1806</v>
      </c>
      <c r="C1606" s="69" t="s">
        <v>1807</v>
      </c>
      <c r="D1606" s="70" t="s">
        <v>51</v>
      </c>
      <c r="E1606" s="69" t="s">
        <v>2613</v>
      </c>
      <c r="F1606" s="69" t="s">
        <v>4227</v>
      </c>
      <c r="G1606" s="69" t="s">
        <v>54</v>
      </c>
      <c r="H1606" s="70">
        <v>2013</v>
      </c>
      <c r="I1606" s="69" t="s">
        <v>63</v>
      </c>
      <c r="J1606" s="69" t="s">
        <v>7783</v>
      </c>
      <c r="K1606" s="71" t="s">
        <v>7784</v>
      </c>
      <c r="L1606" s="71" t="s">
        <v>7785</v>
      </c>
      <c r="M1606" s="71" t="s">
        <v>7786</v>
      </c>
      <c r="N1606" s="69" t="s">
        <v>57</v>
      </c>
      <c r="O1606" s="64">
        <v>1</v>
      </c>
      <c r="P1606" s="72">
        <v>239750</v>
      </c>
      <c r="Q1606" s="69" t="s">
        <v>2518</v>
      </c>
      <c r="R1606" s="69"/>
      <c r="S1606" s="68" t="s">
        <v>7787</v>
      </c>
      <c r="T1606" s="56">
        <v>42</v>
      </c>
      <c r="U1606" s="56">
        <v>4</v>
      </c>
    </row>
    <row r="1607" spans="1:21" ht="14.25" customHeight="1" x14ac:dyDescent="0.35">
      <c r="A1607" s="47">
        <v>1591</v>
      </c>
      <c r="B1607" s="69" t="s">
        <v>1806</v>
      </c>
      <c r="C1607" s="69" t="s">
        <v>1807</v>
      </c>
      <c r="D1607" s="70" t="s">
        <v>59</v>
      </c>
      <c r="E1607" s="69" t="s">
        <v>7788</v>
      </c>
      <c r="F1607" s="69" t="s">
        <v>4227</v>
      </c>
      <c r="G1607" s="69" t="s">
        <v>63</v>
      </c>
      <c r="H1607" s="70">
        <v>2024</v>
      </c>
      <c r="I1607" s="69" t="s">
        <v>63</v>
      </c>
      <c r="J1607" s="69" t="s">
        <v>7789</v>
      </c>
      <c r="K1607" s="71" t="s">
        <v>7790</v>
      </c>
      <c r="L1607" s="71" t="s">
        <v>7791</v>
      </c>
      <c r="M1607" s="71" t="s">
        <v>7792</v>
      </c>
      <c r="N1607" s="69" t="s">
        <v>44</v>
      </c>
      <c r="O1607" s="64">
        <v>1</v>
      </c>
      <c r="P1607" s="72">
        <v>394400</v>
      </c>
      <c r="Q1607" s="69"/>
      <c r="R1607" s="69"/>
      <c r="S1607" s="68" t="s">
        <v>7787</v>
      </c>
      <c r="T1607" s="56">
        <v>42</v>
      </c>
      <c r="U1607" s="56">
        <v>4</v>
      </c>
    </row>
    <row r="1608" spans="1:21" ht="14.25" customHeight="1" thickBot="1" x14ac:dyDescent="0.4">
      <c r="A1608" s="58">
        <v>1592</v>
      </c>
      <c r="B1608" s="69" t="s">
        <v>79</v>
      </c>
      <c r="C1608" s="69" t="s">
        <v>80</v>
      </c>
      <c r="D1608" s="70" t="s">
        <v>51</v>
      </c>
      <c r="E1608" s="69" t="s">
        <v>4035</v>
      </c>
      <c r="F1608" s="69" t="s">
        <v>7793</v>
      </c>
      <c r="G1608" s="69" t="s">
        <v>140</v>
      </c>
      <c r="H1608" s="70">
        <v>2015</v>
      </c>
      <c r="I1608" s="69"/>
      <c r="J1608" s="69" t="s">
        <v>7794</v>
      </c>
      <c r="K1608" s="71" t="s">
        <v>7795</v>
      </c>
      <c r="L1608" s="71" t="s">
        <v>7796</v>
      </c>
      <c r="M1608" s="71" t="s">
        <v>7797</v>
      </c>
      <c r="N1608" s="69" t="s">
        <v>57</v>
      </c>
      <c r="O1608" s="64">
        <v>1</v>
      </c>
      <c r="P1608" s="72">
        <v>18976</v>
      </c>
      <c r="Q1608" s="69" t="s">
        <v>7798</v>
      </c>
      <c r="R1608" s="69"/>
      <c r="S1608" s="68" t="s">
        <v>7787</v>
      </c>
      <c r="T1608" s="56">
        <v>42</v>
      </c>
      <c r="U1608" s="56">
        <v>3</v>
      </c>
    </row>
    <row r="1609" spans="1:21" ht="14.25" customHeight="1" x14ac:dyDescent="0.35">
      <c r="A1609" s="47">
        <v>1593</v>
      </c>
      <c r="B1609" s="69" t="s">
        <v>79</v>
      </c>
      <c r="C1609" s="69" t="s">
        <v>80</v>
      </c>
      <c r="D1609" s="70" t="s">
        <v>59</v>
      </c>
      <c r="E1609" s="69" t="s">
        <v>2513</v>
      </c>
      <c r="F1609" s="69" t="s">
        <v>202</v>
      </c>
      <c r="G1609" s="69" t="s">
        <v>54</v>
      </c>
      <c r="H1609" s="70">
        <v>2010</v>
      </c>
      <c r="I1609" s="69"/>
      <c r="J1609" s="69" t="s">
        <v>7799</v>
      </c>
      <c r="K1609" s="71" t="s">
        <v>7800</v>
      </c>
      <c r="L1609" s="71" t="s">
        <v>7801</v>
      </c>
      <c r="M1609" s="71" t="s">
        <v>7802</v>
      </c>
      <c r="N1609" s="69" t="s">
        <v>57</v>
      </c>
      <c r="O1609" s="64">
        <v>1</v>
      </c>
      <c r="P1609" s="72">
        <v>16050</v>
      </c>
      <c r="Q1609" s="69" t="s">
        <v>7803</v>
      </c>
      <c r="R1609" s="69"/>
      <c r="S1609" s="68" t="s">
        <v>7787</v>
      </c>
      <c r="T1609" s="56">
        <v>42</v>
      </c>
      <c r="U1609" s="56">
        <v>3</v>
      </c>
    </row>
    <row r="1610" spans="1:21" ht="14.25" customHeight="1" thickBot="1" x14ac:dyDescent="0.4">
      <c r="A1610" s="58">
        <v>1594</v>
      </c>
      <c r="B1610" s="69" t="s">
        <v>79</v>
      </c>
      <c r="C1610" s="69" t="s">
        <v>80</v>
      </c>
      <c r="D1610" s="70" t="s">
        <v>97</v>
      </c>
      <c r="E1610" s="69" t="s">
        <v>7804</v>
      </c>
      <c r="F1610" s="69" t="s">
        <v>202</v>
      </c>
      <c r="G1610" s="69" t="s">
        <v>140</v>
      </c>
      <c r="H1610" s="70">
        <v>2023</v>
      </c>
      <c r="I1610" s="69" t="s">
        <v>63</v>
      </c>
      <c r="J1610" s="69" t="s">
        <v>7805</v>
      </c>
      <c r="K1610" s="71" t="s">
        <v>7806</v>
      </c>
      <c r="L1610" s="204" t="s">
        <v>7807</v>
      </c>
      <c r="M1610" s="71" t="s">
        <v>7808</v>
      </c>
      <c r="N1610" s="69" t="s">
        <v>44</v>
      </c>
      <c r="O1610" s="64">
        <v>1</v>
      </c>
      <c r="P1610" s="72">
        <v>18940</v>
      </c>
      <c r="Q1610" s="69" t="s">
        <v>80</v>
      </c>
      <c r="R1610" s="69"/>
      <c r="S1610" s="68" t="s">
        <v>7787</v>
      </c>
      <c r="T1610" s="56">
        <v>42</v>
      </c>
      <c r="U1610" s="56">
        <v>3</v>
      </c>
    </row>
    <row r="1611" spans="1:21" ht="14.25" customHeight="1" x14ac:dyDescent="0.35">
      <c r="A1611" s="47">
        <v>1595</v>
      </c>
      <c r="B1611" s="69" t="s">
        <v>79</v>
      </c>
      <c r="C1611" s="69" t="s">
        <v>80</v>
      </c>
      <c r="D1611" s="70" t="s">
        <v>101</v>
      </c>
      <c r="E1611" s="69" t="s">
        <v>7804</v>
      </c>
      <c r="F1611" s="69" t="s">
        <v>202</v>
      </c>
      <c r="G1611" s="69" t="s">
        <v>140</v>
      </c>
      <c r="H1611" s="70">
        <v>2023</v>
      </c>
      <c r="I1611" s="69" t="s">
        <v>63</v>
      </c>
      <c r="J1611" s="69" t="s">
        <v>7809</v>
      </c>
      <c r="K1611" s="71" t="s">
        <v>7810</v>
      </c>
      <c r="L1611" s="204" t="s">
        <v>7811</v>
      </c>
      <c r="M1611" s="71" t="s">
        <v>7812</v>
      </c>
      <c r="N1611" s="69" t="s">
        <v>44</v>
      </c>
      <c r="O1611" s="64">
        <v>1</v>
      </c>
      <c r="P1611" s="72">
        <v>18940</v>
      </c>
      <c r="Q1611" s="69" t="s">
        <v>80</v>
      </c>
      <c r="R1611" s="69"/>
      <c r="S1611" s="68" t="s">
        <v>7787</v>
      </c>
      <c r="T1611" s="56">
        <v>42</v>
      </c>
      <c r="U1611" s="56">
        <v>3</v>
      </c>
    </row>
    <row r="1612" spans="1:21" ht="14.25" customHeight="1" thickBot="1" x14ac:dyDescent="0.4">
      <c r="A1612" s="58">
        <v>1596</v>
      </c>
      <c r="B1612" s="69" t="s">
        <v>79</v>
      </c>
      <c r="C1612" s="69" t="s">
        <v>80</v>
      </c>
      <c r="D1612" s="70" t="s">
        <v>107</v>
      </c>
      <c r="E1612" s="69" t="s">
        <v>7804</v>
      </c>
      <c r="F1612" s="69" t="s">
        <v>202</v>
      </c>
      <c r="G1612" s="69" t="s">
        <v>140</v>
      </c>
      <c r="H1612" s="70">
        <v>2023</v>
      </c>
      <c r="I1612" s="69" t="s">
        <v>63</v>
      </c>
      <c r="J1612" s="69" t="s">
        <v>7813</v>
      </c>
      <c r="K1612" s="71" t="s">
        <v>7814</v>
      </c>
      <c r="L1612" s="204" t="s">
        <v>7815</v>
      </c>
      <c r="M1612" s="71" t="s">
        <v>7816</v>
      </c>
      <c r="N1612" s="69" t="s">
        <v>44</v>
      </c>
      <c r="O1612" s="64">
        <v>1</v>
      </c>
      <c r="P1612" s="72">
        <v>18940</v>
      </c>
      <c r="Q1612" s="69" t="s">
        <v>80</v>
      </c>
      <c r="R1612" s="69"/>
      <c r="S1612" s="68" t="s">
        <v>7787</v>
      </c>
      <c r="T1612" s="56">
        <v>42</v>
      </c>
      <c r="U1612" s="56">
        <v>3</v>
      </c>
    </row>
    <row r="1613" spans="1:21" ht="14.25" customHeight="1" x14ac:dyDescent="0.35">
      <c r="A1613" s="47">
        <v>1597</v>
      </c>
      <c r="B1613" s="69" t="s">
        <v>79</v>
      </c>
      <c r="C1613" s="69" t="s">
        <v>80</v>
      </c>
      <c r="D1613" s="70" t="s">
        <v>112</v>
      </c>
      <c r="E1613" s="69" t="s">
        <v>7804</v>
      </c>
      <c r="F1613" s="69" t="s">
        <v>202</v>
      </c>
      <c r="G1613" s="69" t="s">
        <v>140</v>
      </c>
      <c r="H1613" s="70">
        <v>2023</v>
      </c>
      <c r="I1613" s="69" t="s">
        <v>63</v>
      </c>
      <c r="J1613" s="69" t="s">
        <v>7817</v>
      </c>
      <c r="K1613" s="71" t="s">
        <v>7818</v>
      </c>
      <c r="L1613" s="204" t="s">
        <v>7819</v>
      </c>
      <c r="M1613" s="71" t="s">
        <v>7820</v>
      </c>
      <c r="N1613" s="69" t="s">
        <v>44</v>
      </c>
      <c r="O1613" s="64">
        <v>1</v>
      </c>
      <c r="P1613" s="72">
        <v>18940</v>
      </c>
      <c r="Q1613" s="69" t="s">
        <v>80</v>
      </c>
      <c r="R1613" s="69"/>
      <c r="S1613" s="68" t="s">
        <v>7787</v>
      </c>
      <c r="T1613" s="56">
        <v>42</v>
      </c>
      <c r="U1613" s="56">
        <v>3</v>
      </c>
    </row>
    <row r="1614" spans="1:21" ht="14.25" customHeight="1" thickBot="1" x14ac:dyDescent="0.4">
      <c r="A1614" s="58">
        <v>1598</v>
      </c>
      <c r="B1614" s="69" t="s">
        <v>79</v>
      </c>
      <c r="C1614" s="69" t="s">
        <v>80</v>
      </c>
      <c r="D1614" s="70" t="s">
        <v>126</v>
      </c>
      <c r="E1614" s="69" t="s">
        <v>7914</v>
      </c>
      <c r="F1614" s="69" t="s">
        <v>217</v>
      </c>
      <c r="G1614" s="69" t="s">
        <v>2954</v>
      </c>
      <c r="H1614" s="70">
        <v>2021</v>
      </c>
      <c r="I1614" s="69"/>
      <c r="J1614" s="69" t="s">
        <v>7107</v>
      </c>
      <c r="K1614" s="71"/>
      <c r="L1614" s="71" t="s">
        <v>7109</v>
      </c>
      <c r="M1614" s="71" t="s">
        <v>7868</v>
      </c>
      <c r="N1614" s="69" t="s">
        <v>44</v>
      </c>
      <c r="O1614" s="64"/>
      <c r="P1614" s="72">
        <v>7092857</v>
      </c>
      <c r="Q1614" s="69" t="s">
        <v>80</v>
      </c>
      <c r="R1614" s="69"/>
      <c r="S1614" s="68" t="s">
        <v>7787</v>
      </c>
      <c r="T1614" s="56">
        <v>42</v>
      </c>
      <c r="U1614" s="56">
        <v>6</v>
      </c>
    </row>
    <row r="1615" spans="1:21" ht="14.25" customHeight="1" x14ac:dyDescent="0.35">
      <c r="A1615" s="47">
        <v>1599</v>
      </c>
      <c r="B1615" s="69" t="s">
        <v>79</v>
      </c>
      <c r="C1615" s="69" t="s">
        <v>80</v>
      </c>
      <c r="D1615" s="70" t="s">
        <v>154</v>
      </c>
      <c r="E1615" s="69" t="s">
        <v>7915</v>
      </c>
      <c r="F1615" s="69" t="s">
        <v>217</v>
      </c>
      <c r="G1615" s="69" t="s">
        <v>140</v>
      </c>
      <c r="H1615" s="70">
        <v>2021</v>
      </c>
      <c r="I1615" s="69"/>
      <c r="J1615" s="69" t="s">
        <v>7107</v>
      </c>
      <c r="K1615" s="71"/>
      <c r="L1615" s="71" t="s">
        <v>7125</v>
      </c>
      <c r="M1615" s="71" t="s">
        <v>7869</v>
      </c>
      <c r="N1615" s="69" t="s">
        <v>44</v>
      </c>
      <c r="O1615" s="64"/>
      <c r="P1615" s="72">
        <v>7092857</v>
      </c>
      <c r="Q1615" s="69" t="s">
        <v>80</v>
      </c>
      <c r="R1615" s="69"/>
      <c r="S1615" s="68" t="s">
        <v>7787</v>
      </c>
      <c r="T1615" s="56">
        <v>42</v>
      </c>
      <c r="U1615" s="56">
        <v>6</v>
      </c>
    </row>
    <row r="1616" spans="1:21" ht="14.25" customHeight="1" thickBot="1" x14ac:dyDescent="0.4">
      <c r="A1616" s="58">
        <v>1600</v>
      </c>
      <c r="B1616" s="69" t="s">
        <v>79</v>
      </c>
      <c r="C1616" s="69" t="s">
        <v>80</v>
      </c>
      <c r="D1616" s="70" t="s">
        <v>7502</v>
      </c>
      <c r="E1616" s="69" t="s">
        <v>7915</v>
      </c>
      <c r="F1616" s="69" t="s">
        <v>217</v>
      </c>
      <c r="G1616" s="69" t="s">
        <v>140</v>
      </c>
      <c r="H1616" s="70">
        <v>2021</v>
      </c>
      <c r="I1616" s="69"/>
      <c r="J1616" s="69" t="s">
        <v>7870</v>
      </c>
      <c r="K1616" s="71"/>
      <c r="L1616" s="71" t="s">
        <v>7504</v>
      </c>
      <c r="M1616" s="71" t="s">
        <v>7871</v>
      </c>
      <c r="N1616" s="69" t="s">
        <v>44</v>
      </c>
      <c r="O1616" s="64"/>
      <c r="P1616" s="72">
        <v>7092857</v>
      </c>
      <c r="Q1616" s="69" t="s">
        <v>80</v>
      </c>
      <c r="R1616" s="69"/>
      <c r="S1616" s="68" t="s">
        <v>7787</v>
      </c>
      <c r="T1616" s="56">
        <v>42</v>
      </c>
      <c r="U1616" s="56">
        <v>6</v>
      </c>
    </row>
    <row r="1617" spans="1:23" ht="14.25" customHeight="1" x14ac:dyDescent="0.35">
      <c r="A1617" s="47">
        <v>1601</v>
      </c>
      <c r="B1617" s="69" t="s">
        <v>79</v>
      </c>
      <c r="C1617" s="69" t="s">
        <v>7916</v>
      </c>
      <c r="D1617" s="70" t="s">
        <v>112</v>
      </c>
      <c r="E1617" s="69" t="s">
        <v>7917</v>
      </c>
      <c r="F1617" s="69" t="s">
        <v>1658</v>
      </c>
      <c r="G1617" s="69" t="s">
        <v>140</v>
      </c>
      <c r="H1617" s="70">
        <v>2019</v>
      </c>
      <c r="I1617" s="69"/>
      <c r="J1617" s="69" t="s">
        <v>7872</v>
      </c>
      <c r="K1617" s="71"/>
      <c r="L1617" s="71" t="s">
        <v>7657</v>
      </c>
      <c r="M1617" s="71" t="s">
        <v>7873</v>
      </c>
      <c r="N1617" s="69" t="s">
        <v>44</v>
      </c>
      <c r="O1617" s="64"/>
      <c r="P1617" s="72">
        <v>1400300000</v>
      </c>
      <c r="Q1617" s="69" t="s">
        <v>7918</v>
      </c>
      <c r="R1617" s="69"/>
      <c r="S1617" s="68" t="s">
        <v>7787</v>
      </c>
      <c r="T1617" s="56">
        <v>42</v>
      </c>
      <c r="U1617" s="56">
        <v>6</v>
      </c>
    </row>
    <row r="1618" spans="1:23" ht="14.25" customHeight="1" thickBot="1" x14ac:dyDescent="0.4">
      <c r="A1618" s="58">
        <v>1602</v>
      </c>
      <c r="B1618" s="69" t="s">
        <v>1711</v>
      </c>
      <c r="C1618" s="69" t="s">
        <v>1712</v>
      </c>
      <c r="D1618" s="70" t="s">
        <v>181</v>
      </c>
      <c r="E1618" s="69" t="s">
        <v>7689</v>
      </c>
      <c r="F1618" s="69" t="s">
        <v>3673</v>
      </c>
      <c r="G1618" s="69" t="s">
        <v>2954</v>
      </c>
      <c r="H1618" s="70">
        <v>2021</v>
      </c>
      <c r="I1618" s="69"/>
      <c r="J1618" s="69" t="s">
        <v>7874</v>
      </c>
      <c r="K1618" s="71"/>
      <c r="L1618" s="71" t="s">
        <v>7704</v>
      </c>
      <c r="M1618" s="71" t="s">
        <v>7875</v>
      </c>
      <c r="N1618" s="69" t="s">
        <v>44</v>
      </c>
      <c r="O1618" s="64"/>
      <c r="P1618" s="72">
        <v>1173150000</v>
      </c>
      <c r="Q1618" s="69"/>
      <c r="R1618" s="69"/>
      <c r="S1618" s="68" t="s">
        <v>7787</v>
      </c>
      <c r="T1618" s="56">
        <v>42</v>
      </c>
      <c r="U1618" s="56">
        <v>6</v>
      </c>
    </row>
    <row r="1619" spans="1:23" ht="14.25" customHeight="1" thickBot="1" x14ac:dyDescent="0.4">
      <c r="A1619" s="47">
        <v>1603</v>
      </c>
      <c r="B1619" s="205" t="s">
        <v>1711</v>
      </c>
      <c r="C1619" s="205" t="s">
        <v>1712</v>
      </c>
      <c r="D1619" s="206" t="s">
        <v>187</v>
      </c>
      <c r="E1619" s="205" t="s">
        <v>7689</v>
      </c>
      <c r="F1619" s="205" t="s">
        <v>3673</v>
      </c>
      <c r="G1619" s="205" t="s">
        <v>2954</v>
      </c>
      <c r="H1619" s="206">
        <v>2021</v>
      </c>
      <c r="I1619" s="205"/>
      <c r="J1619" s="205" t="s">
        <v>7876</v>
      </c>
      <c r="K1619" s="207"/>
      <c r="L1619" s="207" t="s">
        <v>7877</v>
      </c>
      <c r="M1619" s="207" t="s">
        <v>7878</v>
      </c>
      <c r="N1619" s="205" t="s">
        <v>44</v>
      </c>
      <c r="O1619" s="208"/>
      <c r="P1619" s="209">
        <v>1173150000</v>
      </c>
      <c r="Q1619" s="205"/>
      <c r="R1619" s="205"/>
      <c r="S1619" s="210" t="s">
        <v>7787</v>
      </c>
      <c r="T1619" s="56">
        <v>42</v>
      </c>
      <c r="U1619" s="56">
        <v>6</v>
      </c>
    </row>
    <row r="1620" spans="1:23" ht="14.25" customHeight="1" x14ac:dyDescent="0.35">
      <c r="A1620" s="47">
        <v>1604</v>
      </c>
      <c r="B1620" s="205" t="s">
        <v>1711</v>
      </c>
      <c r="C1620" s="205" t="s">
        <v>1712</v>
      </c>
      <c r="D1620" s="206" t="s">
        <v>51</v>
      </c>
      <c r="E1620" s="205" t="s">
        <v>7821</v>
      </c>
      <c r="F1620" s="205" t="s">
        <v>2030</v>
      </c>
      <c r="G1620" s="205" t="s">
        <v>54</v>
      </c>
      <c r="H1620" s="206">
        <v>2007</v>
      </c>
      <c r="I1620" s="205" t="s">
        <v>7822</v>
      </c>
      <c r="J1620" s="205" t="s">
        <v>7823</v>
      </c>
      <c r="K1620" s="207" t="s">
        <v>7824</v>
      </c>
      <c r="L1620" s="207" t="s">
        <v>7825</v>
      </c>
      <c r="M1620" s="207" t="s">
        <v>7826</v>
      </c>
      <c r="N1620" s="205" t="s">
        <v>57</v>
      </c>
      <c r="O1620" s="208">
        <v>1</v>
      </c>
      <c r="P1620" s="209">
        <v>933225</v>
      </c>
      <c r="Q1620" s="205" t="s">
        <v>7827</v>
      </c>
      <c r="R1620" s="205"/>
      <c r="S1620" s="210" t="s">
        <v>7787</v>
      </c>
      <c r="T1620" s="56">
        <v>42</v>
      </c>
      <c r="U1620" s="56">
        <v>6</v>
      </c>
    </row>
    <row r="1621" spans="1:23" ht="14.25" customHeight="1" thickBot="1" x14ac:dyDescent="0.4">
      <c r="A1621" s="58">
        <v>1605</v>
      </c>
      <c r="B1621" s="205" t="s">
        <v>1711</v>
      </c>
      <c r="C1621" s="205" t="s">
        <v>1712</v>
      </c>
      <c r="D1621" s="206" t="s">
        <v>59</v>
      </c>
      <c r="E1621" s="205" t="s">
        <v>7828</v>
      </c>
      <c r="F1621" s="205" t="s">
        <v>2030</v>
      </c>
      <c r="G1621" s="205" t="s">
        <v>54</v>
      </c>
      <c r="H1621" s="206">
        <v>2007</v>
      </c>
      <c r="I1621" s="205" t="s">
        <v>7829</v>
      </c>
      <c r="J1621" s="205" t="s">
        <v>7830</v>
      </c>
      <c r="K1621" s="207" t="s">
        <v>7831</v>
      </c>
      <c r="L1621" s="207" t="s">
        <v>7832</v>
      </c>
      <c r="M1621" s="207"/>
      <c r="N1621" s="205" t="s">
        <v>57</v>
      </c>
      <c r="O1621" s="208">
        <v>1</v>
      </c>
      <c r="P1621" s="209">
        <v>947750</v>
      </c>
      <c r="Q1621" s="205" t="s">
        <v>7833</v>
      </c>
      <c r="R1621" s="205"/>
      <c r="S1621" s="210" t="s">
        <v>7787</v>
      </c>
      <c r="T1621" s="56">
        <v>42</v>
      </c>
      <c r="U1621" s="56">
        <v>6</v>
      </c>
    </row>
    <row r="1622" spans="1:23" ht="14.25" customHeight="1" thickBot="1" x14ac:dyDescent="0.4">
      <c r="A1622" s="47">
        <v>1606</v>
      </c>
      <c r="B1622" s="205" t="s">
        <v>1711</v>
      </c>
      <c r="C1622" s="205" t="s">
        <v>1712</v>
      </c>
      <c r="D1622" s="206" t="s">
        <v>97</v>
      </c>
      <c r="E1622" s="205" t="s">
        <v>7834</v>
      </c>
      <c r="F1622" s="205" t="s">
        <v>2030</v>
      </c>
      <c r="G1622" s="205" t="s">
        <v>140</v>
      </c>
      <c r="H1622" s="206">
        <v>2015</v>
      </c>
      <c r="I1622" s="205"/>
      <c r="J1622" s="205" t="s">
        <v>7835</v>
      </c>
      <c r="K1622" s="207" t="s">
        <v>7836</v>
      </c>
      <c r="L1622" s="207" t="s">
        <v>7837</v>
      </c>
      <c r="M1622" s="207" t="s">
        <v>7838</v>
      </c>
      <c r="N1622" s="205" t="s">
        <v>57</v>
      </c>
      <c r="O1622" s="208">
        <v>1</v>
      </c>
      <c r="P1622" s="209">
        <v>1342964.3630000001</v>
      </c>
      <c r="Q1622" s="205" t="s">
        <v>2624</v>
      </c>
      <c r="R1622" s="205"/>
      <c r="S1622" s="210" t="s">
        <v>7787</v>
      </c>
      <c r="T1622" s="56">
        <v>42</v>
      </c>
      <c r="U1622" s="56">
        <v>6</v>
      </c>
    </row>
    <row r="1623" spans="1:23" ht="14.25" customHeight="1" x14ac:dyDescent="0.35">
      <c r="A1623" s="47">
        <v>1607</v>
      </c>
      <c r="B1623" s="205" t="s">
        <v>1711</v>
      </c>
      <c r="C1623" s="205" t="s">
        <v>1712</v>
      </c>
      <c r="D1623" s="206" t="s">
        <v>101</v>
      </c>
      <c r="E1623" s="205" t="s">
        <v>7834</v>
      </c>
      <c r="F1623" s="205" t="s">
        <v>2030</v>
      </c>
      <c r="G1623" s="205" t="s">
        <v>140</v>
      </c>
      <c r="H1623" s="206">
        <v>2015</v>
      </c>
      <c r="I1623" s="205"/>
      <c r="J1623" s="205" t="s">
        <v>7839</v>
      </c>
      <c r="K1623" s="207" t="s">
        <v>7840</v>
      </c>
      <c r="L1623" s="207" t="s">
        <v>7841</v>
      </c>
      <c r="M1623" s="207" t="s">
        <v>7842</v>
      </c>
      <c r="N1623" s="205" t="s">
        <v>57</v>
      </c>
      <c r="O1623" s="208">
        <v>1</v>
      </c>
      <c r="P1623" s="209">
        <v>1342964.3630000001</v>
      </c>
      <c r="Q1623" s="205" t="s">
        <v>2624</v>
      </c>
      <c r="R1623" s="205"/>
      <c r="S1623" s="210" t="s">
        <v>7787</v>
      </c>
      <c r="T1623" s="56">
        <v>42</v>
      </c>
      <c r="U1623" s="56">
        <v>6</v>
      </c>
    </row>
    <row r="1624" spans="1:23" ht="14.25" customHeight="1" thickBot="1" x14ac:dyDescent="0.4">
      <c r="A1624" s="58">
        <v>1608</v>
      </c>
      <c r="B1624" s="205" t="s">
        <v>1711</v>
      </c>
      <c r="C1624" s="205" t="s">
        <v>1712</v>
      </c>
      <c r="D1624" s="206" t="s">
        <v>107</v>
      </c>
      <c r="E1624" s="205" t="s">
        <v>7843</v>
      </c>
      <c r="F1624" s="205" t="s">
        <v>3673</v>
      </c>
      <c r="G1624" s="205" t="s">
        <v>140</v>
      </c>
      <c r="H1624" s="206">
        <v>2016</v>
      </c>
      <c r="I1624" s="205"/>
      <c r="J1624" s="205" t="s">
        <v>7844</v>
      </c>
      <c r="K1624" s="207" t="s">
        <v>7845</v>
      </c>
      <c r="L1624" s="207" t="s">
        <v>7846</v>
      </c>
      <c r="M1624" s="207" t="s">
        <v>7847</v>
      </c>
      <c r="N1624" s="205" t="s">
        <v>57</v>
      </c>
      <c r="O1624" s="208">
        <v>1</v>
      </c>
      <c r="P1624" s="209">
        <v>1424401.6</v>
      </c>
      <c r="Q1624" s="205" t="s">
        <v>7848</v>
      </c>
      <c r="R1624" s="205"/>
      <c r="S1624" s="210" t="s">
        <v>7787</v>
      </c>
      <c r="T1624" s="56">
        <v>42</v>
      </c>
      <c r="U1624" s="56">
        <v>6</v>
      </c>
    </row>
    <row r="1625" spans="1:23" ht="14.25" customHeight="1" x14ac:dyDescent="0.35">
      <c r="A1625" s="47">
        <v>1609</v>
      </c>
      <c r="B1625" s="205" t="s">
        <v>1711</v>
      </c>
      <c r="C1625" s="205" t="s">
        <v>1712</v>
      </c>
      <c r="D1625" s="206" t="s">
        <v>112</v>
      </c>
      <c r="E1625" s="205" t="s">
        <v>7849</v>
      </c>
      <c r="F1625" s="205" t="s">
        <v>7850</v>
      </c>
      <c r="G1625" s="205" t="s">
        <v>140</v>
      </c>
      <c r="H1625" s="206">
        <v>2016</v>
      </c>
      <c r="I1625" s="205"/>
      <c r="J1625" s="205" t="s">
        <v>7851</v>
      </c>
      <c r="K1625" s="207" t="s">
        <v>7852</v>
      </c>
      <c r="L1625" s="207" t="s">
        <v>7853</v>
      </c>
      <c r="M1625" s="207" t="s">
        <v>7854</v>
      </c>
      <c r="N1625" s="205" t="s">
        <v>57</v>
      </c>
      <c r="O1625" s="208">
        <v>1</v>
      </c>
      <c r="P1625" s="209">
        <v>1906551.6</v>
      </c>
      <c r="Q1625" s="205" t="s">
        <v>903</v>
      </c>
      <c r="R1625" s="205"/>
      <c r="S1625" s="210" t="s">
        <v>7787</v>
      </c>
      <c r="T1625" s="56">
        <v>42</v>
      </c>
      <c r="U1625" s="56">
        <v>6</v>
      </c>
    </row>
    <row r="1626" spans="1:23" ht="25.5" customHeight="1" x14ac:dyDescent="0.35">
      <c r="A1626" s="295" t="s">
        <v>9</v>
      </c>
      <c r="B1626" s="296"/>
      <c r="C1626" s="296"/>
      <c r="D1626" s="296"/>
      <c r="E1626" s="296"/>
      <c r="F1626" s="296"/>
      <c r="G1626" s="296"/>
      <c r="H1626" s="296"/>
      <c r="I1626" s="296"/>
      <c r="J1626" s="296"/>
      <c r="K1626" s="296"/>
      <c r="L1626" s="296"/>
      <c r="M1626" s="296"/>
      <c r="N1626" s="297"/>
      <c r="O1626" s="215"/>
      <c r="P1626" s="216">
        <f>SUBTOTAL(9,P17:P1625)</f>
        <v>3957719141.8537998</v>
      </c>
      <c r="Q1626" s="217"/>
      <c r="R1626" s="217"/>
      <c r="S1626" s="217"/>
      <c r="T1626" s="57"/>
      <c r="U1626" s="56"/>
      <c r="V1626" s="57"/>
      <c r="W1626" s="57"/>
    </row>
    <row r="1627" spans="1:23" ht="15" customHeight="1" x14ac:dyDescent="0.35">
      <c r="A1627" s="218"/>
      <c r="B1627" s="292" t="s">
        <v>7856</v>
      </c>
      <c r="C1627" s="293"/>
      <c r="D1627" s="293"/>
      <c r="E1627" s="293"/>
      <c r="F1627" s="293"/>
      <c r="G1627" s="293"/>
      <c r="H1627" s="293"/>
      <c r="I1627" s="293"/>
      <c r="J1627" s="293"/>
      <c r="K1627" s="293"/>
      <c r="L1627" s="293"/>
      <c r="M1627" s="293"/>
      <c r="N1627" s="294"/>
      <c r="O1627" s="218"/>
      <c r="P1627" s="219">
        <f>SUM(9,P17:P1625)</f>
        <v>3957719150.8537998</v>
      </c>
      <c r="Q1627" s="218"/>
      <c r="R1627" s="218"/>
      <c r="S1627" s="218"/>
    </row>
  </sheetData>
  <autoFilter ref="A16:W1627" xr:uid="{00000000-0009-0000-0000-000000000000}"/>
  <mergeCells count="12">
    <mergeCell ref="A1:S1"/>
    <mergeCell ref="A2:S2"/>
    <mergeCell ref="A3:S3"/>
    <mergeCell ref="A4:S4"/>
    <mergeCell ref="I14:M14"/>
    <mergeCell ref="N14:N15"/>
    <mergeCell ref="P14:P15"/>
    <mergeCell ref="B1627:N1627"/>
    <mergeCell ref="A1626:N1626"/>
    <mergeCell ref="R14:R15"/>
    <mergeCell ref="Q14:Q15"/>
    <mergeCell ref="S14:S15"/>
  </mergeCells>
  <hyperlinks>
    <hyperlink ref="Q724" r:id="rId1" xr:uid="{00000000-0004-0000-0000-000000000000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A2"/>
    </sheetView>
  </sheetViews>
  <sheetFormatPr defaultColWidth="14.453125" defaultRowHeight="15" customHeight="1" x14ac:dyDescent="0.35"/>
  <cols>
    <col min="1" max="1" width="9.26953125" customWidth="1"/>
    <col min="2" max="2" width="66.54296875" customWidth="1"/>
    <col min="3" max="3" width="11.08984375" customWidth="1"/>
    <col min="4" max="4" width="20.7265625" customWidth="1"/>
    <col min="5" max="5" width="10.08984375" customWidth="1"/>
    <col min="6" max="6" width="20.7265625" customWidth="1"/>
    <col min="7" max="7" width="10.453125" customWidth="1"/>
    <col min="8" max="8" width="20.7265625" customWidth="1"/>
    <col min="9" max="9" width="9.81640625" customWidth="1"/>
    <col min="10" max="10" width="20.7265625" customWidth="1"/>
    <col min="11" max="11" width="10.7265625" customWidth="1"/>
    <col min="12" max="12" width="20.7265625" customWidth="1"/>
    <col min="13" max="13" width="11" customWidth="1"/>
    <col min="14" max="14" width="20.7265625" customWidth="1"/>
    <col min="15" max="15" width="9" customWidth="1"/>
    <col min="16" max="16" width="24.26953125" customWidth="1"/>
    <col min="17" max="17" width="26.26953125" customWidth="1"/>
    <col min="18" max="18" width="19.54296875" customWidth="1"/>
  </cols>
  <sheetData>
    <row r="1" spans="1:18" ht="48.75" customHeight="1" x14ac:dyDescent="0.35">
      <c r="A1" s="310" t="s">
        <v>0</v>
      </c>
      <c r="B1" s="312" t="s">
        <v>1</v>
      </c>
      <c r="C1" s="306" t="s">
        <v>2</v>
      </c>
      <c r="D1" s="307"/>
      <c r="E1" s="306" t="s">
        <v>3</v>
      </c>
      <c r="F1" s="307"/>
      <c r="G1" s="306" t="s">
        <v>4</v>
      </c>
      <c r="H1" s="307"/>
      <c r="I1" s="306" t="s">
        <v>5</v>
      </c>
      <c r="J1" s="307"/>
      <c r="K1" s="306" t="s">
        <v>6</v>
      </c>
      <c r="L1" s="307"/>
      <c r="M1" s="306" t="s">
        <v>8</v>
      </c>
      <c r="N1" s="307"/>
      <c r="O1" s="308" t="s">
        <v>9</v>
      </c>
      <c r="P1" s="309"/>
      <c r="Q1" s="4"/>
    </row>
    <row r="2" spans="1:18" ht="21" customHeight="1" x14ac:dyDescent="0.35">
      <c r="A2" s="311"/>
      <c r="B2" s="311"/>
      <c r="C2" s="6" t="s">
        <v>12</v>
      </c>
      <c r="D2" s="7" t="s">
        <v>13</v>
      </c>
      <c r="E2" s="6" t="s">
        <v>12</v>
      </c>
      <c r="F2" s="7" t="s">
        <v>13</v>
      </c>
      <c r="G2" s="6" t="s">
        <v>12</v>
      </c>
      <c r="H2" s="7" t="s">
        <v>13</v>
      </c>
      <c r="I2" s="6" t="s">
        <v>12</v>
      </c>
      <c r="J2" s="7" t="s">
        <v>13</v>
      </c>
      <c r="K2" s="6" t="s">
        <v>12</v>
      </c>
      <c r="L2" s="7" t="s">
        <v>13</v>
      </c>
      <c r="M2" s="6" t="s">
        <v>12</v>
      </c>
      <c r="N2" s="7" t="s">
        <v>13</v>
      </c>
      <c r="O2" s="6" t="s">
        <v>12</v>
      </c>
      <c r="P2" s="7" t="s">
        <v>13</v>
      </c>
      <c r="Q2" s="4"/>
    </row>
    <row r="3" spans="1:18" ht="14.25" hidden="1" customHeight="1" x14ac:dyDescent="0.35">
      <c r="A3" s="11">
        <v>1</v>
      </c>
      <c r="B3" s="12">
        <v>2</v>
      </c>
      <c r="C3" s="14">
        <v>3</v>
      </c>
      <c r="D3" s="15"/>
      <c r="E3" s="14">
        <v>4</v>
      </c>
      <c r="F3" s="15"/>
      <c r="G3" s="12">
        <v>5</v>
      </c>
      <c r="H3" s="12"/>
      <c r="I3" s="12">
        <v>6</v>
      </c>
      <c r="J3" s="12"/>
      <c r="K3" s="12">
        <v>7</v>
      </c>
      <c r="L3" s="12"/>
      <c r="M3" s="12">
        <v>8</v>
      </c>
      <c r="N3" s="12"/>
      <c r="O3" s="12"/>
      <c r="P3" s="12">
        <v>9</v>
      </c>
      <c r="Q3" s="16"/>
    </row>
    <row r="4" spans="1:18" ht="14.25" customHeight="1" x14ac:dyDescent="0.35">
      <c r="A4" s="17">
        <v>1</v>
      </c>
      <c r="B4" s="18" t="s">
        <v>16</v>
      </c>
      <c r="C4" s="19">
        <f>SUMIFS('KENDARAAN DINAS'!$O:$O,'KENDARAAN DINAS'!$U:$U,'REKAP KENDARAAN DINAS'!$C$3,'KENDARAAN DINAS'!$T:$T,'REKAP KENDARAAN DINAS'!A4)</f>
        <v>60</v>
      </c>
      <c r="D4" s="21">
        <f>SUMIFS('KENDARAAN DINAS'!$P:$P,'KENDARAAN DINAS'!$U:$U,'REKAP KENDARAAN DINAS'!$C$3,'KENDARAAN DINAS'!$T:$T,A4)</f>
        <v>1163804.9879999999</v>
      </c>
      <c r="E4" s="19">
        <f>SUMIFS('KENDARAAN DINAS'!$O:$O,'KENDARAAN DINAS'!$U:$U,$E$3,'KENDARAAN DINAS'!$T:$T,A4)</f>
        <v>3</v>
      </c>
      <c r="F4" s="21">
        <f>SUMIFS('KENDARAAN DINAS'!$P:$P,'KENDARAAN DINAS'!$U:$U,$E$3,'KENDARAAN DINAS'!$T:$T,A4)</f>
        <v>1267000</v>
      </c>
      <c r="G4" s="19">
        <f>SUMIFS('KENDARAAN DINAS'!$O:$O,'KENDARAAN DINAS'!$U:$U,$G$3,'KENDARAAN DINAS'!$T:$T,A4)</f>
        <v>0</v>
      </c>
      <c r="H4" s="21">
        <f>SUMIFS('KENDARAAN DINAS'!$P:$P,'KENDARAAN DINAS'!$U:$U,$G$3,'KENDARAAN DINAS'!$T:$T,A4)</f>
        <v>0</v>
      </c>
      <c r="I4" s="19">
        <f>SUMIFS('KENDARAAN DINAS'!$O:$O,'KENDARAAN DINAS'!$U:$U,$I$3,'KENDARAAN DINAS'!$T:$T,A4)</f>
        <v>0</v>
      </c>
      <c r="J4" s="21">
        <f>SUMIFS('KENDARAAN DINAS'!$P:$P,'KENDARAAN DINAS'!$U:$U,$I$3,'KENDARAAN DINAS'!$T:$T,A4)</f>
        <v>0</v>
      </c>
      <c r="K4" s="19">
        <f>SUMIFS('KENDARAAN DINAS'!$O:$O,'KENDARAAN DINAS'!$U:$U,$K$3,'KENDARAAN DINAS'!$T:$T,A4)</f>
        <v>0</v>
      </c>
      <c r="L4" s="21">
        <f>SUMIFS('KENDARAAN DINAS'!$P:$P,'KENDARAAN DINAS'!$U:$U,$K$3,'KENDARAAN DINAS'!$T:$T,A5)</f>
        <v>0</v>
      </c>
      <c r="M4" s="19">
        <f>SUMIFS('KENDARAAN DINAS'!$O:$O,'KENDARAAN DINAS'!$U:$U,$M$3,'KENDARAAN DINAS'!$T:$T,A4)</f>
        <v>0</v>
      </c>
      <c r="N4" s="21">
        <f>SUMIFS('KENDARAAN DINAS'!$P:$P,'KENDARAAN DINAS'!$U:$U,$M$3,'KENDARAAN DINAS'!$T:$T,A4)</f>
        <v>0</v>
      </c>
      <c r="O4" s="19">
        <f t="shared" ref="O4:P4" si="0">C4+E4+G4+I4+K4+M4</f>
        <v>63</v>
      </c>
      <c r="P4" s="29">
        <f t="shared" si="0"/>
        <v>2430804.9879999999</v>
      </c>
      <c r="Q4" s="30"/>
      <c r="R4" s="32"/>
    </row>
    <row r="5" spans="1:18" ht="14.25" customHeight="1" x14ac:dyDescent="0.35">
      <c r="A5" s="34">
        <v>2</v>
      </c>
      <c r="B5" s="35" t="s">
        <v>41</v>
      </c>
      <c r="C5" s="37">
        <f>SUMIFS('KENDARAAN DINAS'!$O:$O,'KENDARAAN DINAS'!$U:$U,'REKAP KENDARAAN DINAS'!$C$3,'KENDARAAN DINAS'!$T:$T,'REKAP KENDARAAN DINAS'!A5)</f>
        <v>215</v>
      </c>
      <c r="D5" s="40">
        <f>SUMIFS('KENDARAAN DINAS'!$P:$P,'KENDARAAN DINAS'!$U:$U,'REKAP KENDARAAN DINAS'!$C$3,'KENDARAAN DINAS'!$T:$T,A5)</f>
        <v>3547025.0659999964</v>
      </c>
      <c r="E5" s="37">
        <f>SUMIFS('KENDARAAN DINAS'!$O:$O,'KENDARAAN DINAS'!$U:$U,$E$3,'KENDARAAN DINAS'!$T:$T,A5)</f>
        <v>33</v>
      </c>
      <c r="F5" s="40">
        <f>SUMIFS('KENDARAAN DINAS'!$P:$P,'KENDARAAN DINAS'!$U:$U,$E$3,'KENDARAAN DINAS'!$T:$T,A5)</f>
        <v>11445354.125</v>
      </c>
      <c r="G5" s="37">
        <f>SUMIFS('KENDARAAN DINAS'!$O:$O,'KENDARAAN DINAS'!$U:$U,$G$3,'KENDARAAN DINAS'!$T:$T,A5)</f>
        <v>0</v>
      </c>
      <c r="H5" s="40">
        <f>SUMIFS('KENDARAAN DINAS'!$P:$P,'KENDARAAN DINAS'!$U:$U,$G$3,'KENDARAAN DINAS'!$T:$T,A5)</f>
        <v>0</v>
      </c>
      <c r="I5" s="37">
        <f>SUMIFS('KENDARAAN DINAS'!$O:$O,'KENDARAAN DINAS'!$U:$U,$I$3,'KENDARAAN DINAS'!$T:$T,A5)</f>
        <v>1</v>
      </c>
      <c r="J5" s="40">
        <f>SUMIFS('KENDARAAN DINAS'!$P:$P,'KENDARAAN DINAS'!$U:$U,$I$3,'KENDARAAN DINAS'!$T:$T,A5)</f>
        <v>643500</v>
      </c>
      <c r="K5" s="37">
        <f>SUMIFS('KENDARAAN DINAS'!$O:$O,'KENDARAAN DINAS'!$U:$U,$K$3,'KENDARAAN DINAS'!$T:$T,A5)</f>
        <v>0</v>
      </c>
      <c r="L5" s="40">
        <f>SUMIFS('KENDARAAN DINAS'!$P:$P,'KENDARAAN DINAS'!$U:$U,$K$3,'KENDARAAN DINAS'!$T:$T,A6)</f>
        <v>0</v>
      </c>
      <c r="M5" s="37">
        <f>SUMIFS('KENDARAAN DINAS'!$O:$O,'KENDARAAN DINAS'!$U:$U,$M$3,'KENDARAAN DINAS'!$T:$T,A5)</f>
        <v>0</v>
      </c>
      <c r="N5" s="40">
        <f>SUMIFS('KENDARAAN DINAS'!$P:$P,'KENDARAAN DINAS'!$U:$U,$M$3,'KENDARAAN DINAS'!$T:$T,A5)</f>
        <v>0</v>
      </c>
      <c r="O5" s="37">
        <f t="shared" ref="O5:P5" si="1">C5+E5+G5+I5+K5+M5</f>
        <v>249</v>
      </c>
      <c r="P5" s="62">
        <f t="shared" si="1"/>
        <v>15635879.190999996</v>
      </c>
      <c r="Q5" s="30"/>
      <c r="R5" s="32"/>
    </row>
    <row r="6" spans="1:18" ht="14.25" customHeight="1" x14ac:dyDescent="0.35">
      <c r="A6" s="34">
        <v>3</v>
      </c>
      <c r="B6" s="35" t="s">
        <v>64</v>
      </c>
      <c r="C6" s="37">
        <f>SUMIFS('KENDARAAN DINAS'!$O:$O,'KENDARAAN DINAS'!$U:$U,'REKAP KENDARAAN DINAS'!$C$3,'KENDARAAN DINAS'!$T:$T,'REKAP KENDARAAN DINAS'!A6)</f>
        <v>13</v>
      </c>
      <c r="D6" s="40">
        <f>SUMIFS('KENDARAAN DINAS'!$P:$P,'KENDARAAN DINAS'!$U:$U,'REKAP KENDARAAN DINAS'!$C$3,'KENDARAAN DINAS'!$T:$T,A6)</f>
        <v>188563.56600000005</v>
      </c>
      <c r="E6" s="37">
        <f>SUMIFS('KENDARAAN DINAS'!$O:$O,'KENDARAAN DINAS'!$U:$U,$E$3,'KENDARAAN DINAS'!$T:$T,A6)</f>
        <v>20</v>
      </c>
      <c r="F6" s="40">
        <f>SUMIFS('KENDARAAN DINAS'!$P:$P,'KENDARAAN DINAS'!$U:$U,$E$3,'KENDARAAN DINAS'!$T:$T,A6)</f>
        <v>4414557.75</v>
      </c>
      <c r="G6" s="37">
        <f>SUMIFS('KENDARAAN DINAS'!$O:$O,'KENDARAAN DINAS'!$U:$U,$G$3,'KENDARAAN DINAS'!$T:$T,A6)</f>
        <v>0</v>
      </c>
      <c r="H6" s="40">
        <f>SUMIFS('KENDARAAN DINAS'!$P:$P,'KENDARAAN DINAS'!$U:$U,$G$3,'KENDARAAN DINAS'!$T:$T,A6)</f>
        <v>0</v>
      </c>
      <c r="I6" s="37">
        <f>SUMIFS('KENDARAAN DINAS'!$O:$O,'KENDARAAN DINAS'!$U:$U,$I$3,'KENDARAAN DINAS'!$T:$T,A6)</f>
        <v>0</v>
      </c>
      <c r="J6" s="40">
        <f>SUMIFS('KENDARAAN DINAS'!$P:$P,'KENDARAAN DINAS'!$U:$U,$I$3,'KENDARAAN DINAS'!$T:$T,A6)</f>
        <v>0</v>
      </c>
      <c r="K6" s="37">
        <f>SUMIFS('KENDARAAN DINAS'!$O:$O,'KENDARAAN DINAS'!$U:$U,$K$3,'KENDARAAN DINAS'!$T:$T,A6)</f>
        <v>0</v>
      </c>
      <c r="L6" s="40">
        <f>SUMIFS('KENDARAAN DINAS'!$P:$P,'KENDARAAN DINAS'!$U:$U,$K$3,'KENDARAAN DINAS'!$T:$T,A7)</f>
        <v>0</v>
      </c>
      <c r="M6" s="37">
        <f>SUMIFS('KENDARAAN DINAS'!$O:$O,'KENDARAAN DINAS'!$U:$U,$M$3,'KENDARAAN DINAS'!$T:$T,A6)</f>
        <v>0</v>
      </c>
      <c r="N6" s="40">
        <f>SUMIFS('KENDARAAN DINAS'!$P:$P,'KENDARAAN DINAS'!$U:$U,$M$3,'KENDARAAN DINAS'!$T:$T,A6)</f>
        <v>0</v>
      </c>
      <c r="O6" s="37">
        <f t="shared" ref="O6:P6" si="2">C6+E6+G6+I6+K6+M6</f>
        <v>33</v>
      </c>
      <c r="P6" s="62">
        <f t="shared" si="2"/>
        <v>4603121.3159999996</v>
      </c>
      <c r="Q6" s="16"/>
    </row>
    <row r="7" spans="1:18" ht="14.25" customHeight="1" x14ac:dyDescent="0.35">
      <c r="A7" s="34">
        <v>4</v>
      </c>
      <c r="B7" s="35" t="s">
        <v>91</v>
      </c>
      <c r="C7" s="37">
        <f>SUMIFS('KENDARAAN DINAS'!$O:$O,'KENDARAAN DINAS'!$U:$U,'REKAP KENDARAAN DINAS'!$C$3,'KENDARAAN DINAS'!$T:$T,'REKAP KENDARAAN DINAS'!A7)</f>
        <v>15</v>
      </c>
      <c r="D7" s="40">
        <f>SUMIFS('KENDARAAN DINAS'!$P:$P,'KENDARAAN DINAS'!$U:$U,'REKAP KENDARAAN DINAS'!$C$3,'KENDARAAN DINAS'!$T:$T,A7)</f>
        <v>327325</v>
      </c>
      <c r="E7" s="37">
        <f>SUMIFS('KENDARAAN DINAS'!$O:$O,'KENDARAAN DINAS'!$U:$U,$E$3,'KENDARAAN DINAS'!$T:$T,A7)</f>
        <v>2</v>
      </c>
      <c r="F7" s="40">
        <f>SUMIFS('KENDARAAN DINAS'!$P:$P,'KENDARAAN DINAS'!$U:$U,$E$3,'KENDARAAN DINAS'!$T:$T,A7)</f>
        <v>927000</v>
      </c>
      <c r="G7" s="37">
        <f>SUMIFS('KENDARAAN DINAS'!$O:$O,'KENDARAAN DINAS'!$U:$U,$G$3,'KENDARAAN DINAS'!$T:$T,A7)</f>
        <v>0</v>
      </c>
      <c r="H7" s="40">
        <f>SUMIFS('KENDARAAN DINAS'!$P:$P,'KENDARAAN DINAS'!$U:$U,$G$3,'KENDARAAN DINAS'!$T:$T,A7)</f>
        <v>0</v>
      </c>
      <c r="I7" s="37">
        <f>SUMIFS('KENDARAAN DINAS'!$O:$O,'KENDARAAN DINAS'!$U:$U,$I$3,'KENDARAAN DINAS'!$T:$T,A7)</f>
        <v>0</v>
      </c>
      <c r="J7" s="40">
        <f>SUMIFS('KENDARAAN DINAS'!$P:$P,'KENDARAAN DINAS'!$U:$U,$I$3,'KENDARAAN DINAS'!$T:$T,A7)</f>
        <v>0</v>
      </c>
      <c r="K7" s="37">
        <f>SUMIFS('KENDARAAN DINAS'!$O:$O,'KENDARAAN DINAS'!$U:$U,$K$3,'KENDARAAN DINAS'!$T:$T,A7)</f>
        <v>0</v>
      </c>
      <c r="L7" s="40">
        <f>SUMIFS('KENDARAAN DINAS'!$P:$P,'KENDARAAN DINAS'!$U:$U,$K$3,'KENDARAAN DINAS'!$T:$T,A8)</f>
        <v>0</v>
      </c>
      <c r="M7" s="37">
        <f>SUMIFS('KENDARAAN DINAS'!$O:$O,'KENDARAAN DINAS'!$U:$U,$M$3,'KENDARAAN DINAS'!$T:$T,A7)</f>
        <v>0</v>
      </c>
      <c r="N7" s="40">
        <f>SUMIFS('KENDARAAN DINAS'!$P:$P,'KENDARAAN DINAS'!$U:$U,$M$3,'KENDARAAN DINAS'!$T:$T,A7)</f>
        <v>0</v>
      </c>
      <c r="O7" s="37">
        <f t="shared" ref="O7:P7" si="3">C7+E7+G7+I7+K7+M7</f>
        <v>17</v>
      </c>
      <c r="P7" s="62">
        <f t="shared" si="3"/>
        <v>1254325</v>
      </c>
      <c r="Q7" s="16"/>
    </row>
    <row r="8" spans="1:18" ht="14.25" customHeight="1" x14ac:dyDescent="0.35">
      <c r="A8" s="34">
        <v>5</v>
      </c>
      <c r="B8" s="35" t="s">
        <v>106</v>
      </c>
      <c r="C8" s="37">
        <f>SUMIFS('KENDARAAN DINAS'!$O:$O,'KENDARAAN DINAS'!$U:$U,'REKAP KENDARAAN DINAS'!$C$3,'KENDARAAN DINAS'!$T:$T,'REKAP KENDARAAN DINAS'!A8)</f>
        <v>40</v>
      </c>
      <c r="D8" s="40">
        <f>SUMIFS('KENDARAAN DINAS'!$P:$P,'KENDARAAN DINAS'!$U:$U,'REKAP KENDARAAN DINAS'!$C$3,'KENDARAAN DINAS'!$T:$T,A8)</f>
        <v>1670594.51</v>
      </c>
      <c r="E8" s="37">
        <f>SUMIFS('KENDARAAN DINAS'!$O:$O,'KENDARAAN DINAS'!$U:$U,$E$3,'KENDARAAN DINAS'!$T:$T,A8)</f>
        <v>7</v>
      </c>
      <c r="F8" s="40">
        <f>SUMIFS('KENDARAAN DINAS'!$P:$P,'KENDARAAN DINAS'!$U:$U,$E$3,'KENDARAAN DINAS'!$T:$T,A8)</f>
        <v>3173510</v>
      </c>
      <c r="G8" s="37">
        <f>SUMIFS('KENDARAAN DINAS'!$O:$O,'KENDARAAN DINAS'!$U:$U,$G$3,'KENDARAAN DINAS'!$T:$T,A8)</f>
        <v>0</v>
      </c>
      <c r="H8" s="40">
        <f>SUMIFS('KENDARAAN DINAS'!$P:$P,'KENDARAAN DINAS'!$U:$U,$G$3,'KENDARAAN DINAS'!$T:$T,A8)</f>
        <v>0</v>
      </c>
      <c r="I8" s="37">
        <f>SUMIFS('KENDARAAN DINAS'!$O:$O,'KENDARAAN DINAS'!$U:$U,$I$3,'KENDARAAN DINAS'!$T:$T,A8)</f>
        <v>12</v>
      </c>
      <c r="J8" s="40">
        <f>SUMIFS('KENDARAAN DINAS'!$P:$P,'KENDARAAN DINAS'!$U:$U,$I$3,'KENDARAAN DINAS'!$T:$T,A8)</f>
        <v>7635264.0150000006</v>
      </c>
      <c r="K8" s="37">
        <f>SUMIFS('KENDARAAN DINAS'!$O:$O,'KENDARAAN DINAS'!$U:$U,$K$3,'KENDARAAN DINAS'!$T:$T,A8)</f>
        <v>0</v>
      </c>
      <c r="L8" s="40">
        <f>SUMIFS('KENDARAAN DINAS'!$P:$P,'KENDARAAN DINAS'!$U:$U,$K$3,'KENDARAAN DINAS'!$T:$T,A9)</f>
        <v>0</v>
      </c>
      <c r="M8" s="37">
        <f>SUMIFS('KENDARAAN DINAS'!$O:$O,'KENDARAAN DINAS'!$U:$U,$M$3,'KENDARAAN DINAS'!$T:$T,A8)</f>
        <v>0</v>
      </c>
      <c r="N8" s="40">
        <f>SUMIFS('KENDARAAN DINAS'!$P:$P,'KENDARAAN DINAS'!$U:$U,$M$3,'KENDARAAN DINAS'!$T:$T,A8)</f>
        <v>0</v>
      </c>
      <c r="O8" s="37">
        <f t="shared" ref="O8:P8" si="4">C8+E8+G8+I8+K8+M8</f>
        <v>59</v>
      </c>
      <c r="P8" s="62">
        <f t="shared" si="4"/>
        <v>12479368.525</v>
      </c>
      <c r="Q8" s="16"/>
    </row>
    <row r="9" spans="1:18" ht="14.25" customHeight="1" x14ac:dyDescent="0.35">
      <c r="A9" s="34">
        <v>6</v>
      </c>
      <c r="B9" s="35" t="s">
        <v>128</v>
      </c>
      <c r="C9" s="37">
        <f>SUMIFS('KENDARAAN DINAS'!$O:$O,'KENDARAAN DINAS'!$U:$U,'REKAP KENDARAAN DINAS'!$C$3,'KENDARAAN DINAS'!$T:$T,'REKAP KENDARAAN DINAS'!A9)</f>
        <v>24</v>
      </c>
      <c r="D9" s="40">
        <f>SUMIFS('KENDARAAN DINAS'!$P:$P,'KENDARAAN DINAS'!$U:$U,'REKAP KENDARAAN DINAS'!$C$3,'KENDARAAN DINAS'!$T:$T,A9)</f>
        <v>565149.33299999998</v>
      </c>
      <c r="E9" s="37">
        <f>SUMIFS('KENDARAAN DINAS'!$O:$O,'KENDARAAN DINAS'!$U:$U,$E$3,'KENDARAAN DINAS'!$T:$T,A9)</f>
        <v>2</v>
      </c>
      <c r="F9" s="40">
        <f>SUMIFS('KENDARAAN DINAS'!$P:$P,'KENDARAAN DINAS'!$U:$U,$E$3,'KENDARAAN DINAS'!$T:$T,A9)</f>
        <v>744200</v>
      </c>
      <c r="G9" s="37">
        <f>SUMIFS('KENDARAAN DINAS'!$O:$O,'KENDARAAN DINAS'!$U:$U,$G$3,'KENDARAAN DINAS'!$T:$T,A9)</f>
        <v>0</v>
      </c>
      <c r="H9" s="40">
        <f>SUMIFS('KENDARAAN DINAS'!$P:$P,'KENDARAAN DINAS'!$U:$U,$G$3,'KENDARAAN DINAS'!$T:$T,A9)</f>
        <v>0</v>
      </c>
      <c r="I9" s="37">
        <f>SUMIFS('KENDARAAN DINAS'!$O:$O,'KENDARAAN DINAS'!$U:$U,$I$3,'KENDARAAN DINAS'!$T:$T,A9)</f>
        <v>0</v>
      </c>
      <c r="J9" s="40">
        <f>SUMIFS('KENDARAAN DINAS'!$P:$P,'KENDARAAN DINAS'!$U:$U,$I$3,'KENDARAAN DINAS'!$T:$T,A9)</f>
        <v>0</v>
      </c>
      <c r="K9" s="37">
        <f>SUMIFS('KENDARAAN DINAS'!$O:$O,'KENDARAAN DINAS'!$U:$U,$K$3,'KENDARAAN DINAS'!$T:$T,A9)</f>
        <v>0</v>
      </c>
      <c r="L9" s="40">
        <f>SUMIFS('KENDARAAN DINAS'!$P:$P,'KENDARAAN DINAS'!$U:$U,$K$3,'KENDARAAN DINAS'!$T:$T,A10)</f>
        <v>0</v>
      </c>
      <c r="M9" s="37">
        <f>SUMIFS('KENDARAAN DINAS'!$O:$O,'KENDARAAN DINAS'!$U:$U,$M$3,'KENDARAAN DINAS'!$T:$T,A9)</f>
        <v>0</v>
      </c>
      <c r="N9" s="40">
        <f>SUMIFS('KENDARAAN DINAS'!$P:$P,'KENDARAAN DINAS'!$U:$U,$M$3,'KENDARAAN DINAS'!$T:$T,A9)</f>
        <v>0</v>
      </c>
      <c r="O9" s="37">
        <f t="shared" ref="O9:P9" si="5">C9+E9+G9+I9+K9+M9</f>
        <v>26</v>
      </c>
      <c r="P9" s="62">
        <f t="shared" si="5"/>
        <v>1309349.3330000001</v>
      </c>
      <c r="Q9" s="16"/>
    </row>
    <row r="10" spans="1:18" ht="14.25" customHeight="1" x14ac:dyDescent="0.35">
      <c r="A10" s="34">
        <v>7</v>
      </c>
      <c r="B10" s="35" t="s">
        <v>153</v>
      </c>
      <c r="C10" s="37">
        <f>SUMIFS('KENDARAAN DINAS'!$O:$O,'KENDARAAN DINAS'!$U:$U,'REKAP KENDARAAN DINAS'!$C$3,'KENDARAAN DINAS'!$T:$T,'REKAP KENDARAAN DINAS'!A10)</f>
        <v>8</v>
      </c>
      <c r="D10" s="40">
        <f>SUMIFS('KENDARAAN DINAS'!$P:$P,'KENDARAAN DINAS'!$U:$U,'REKAP KENDARAAN DINAS'!$C$3,'KENDARAAN DINAS'!$T:$T,A10)</f>
        <v>218588</v>
      </c>
      <c r="E10" s="37">
        <f>SUMIFS('KENDARAAN DINAS'!$O:$O,'KENDARAAN DINAS'!$U:$U,$E$3,'KENDARAAN DINAS'!$T:$T,A10)</f>
        <v>4</v>
      </c>
      <c r="F10" s="40">
        <f>SUMIFS('KENDARAAN DINAS'!$P:$P,'KENDARAAN DINAS'!$U:$U,$E$3,'KENDARAAN DINAS'!$T:$T,A10)</f>
        <v>1406720</v>
      </c>
      <c r="G10" s="37">
        <f>SUMIFS('KENDARAAN DINAS'!$O:$O,'KENDARAAN DINAS'!$U:$U,$G$3,'KENDARAAN DINAS'!$T:$T,A10)</f>
        <v>0</v>
      </c>
      <c r="H10" s="40">
        <f>SUMIFS('KENDARAAN DINAS'!$P:$P,'KENDARAAN DINAS'!$U:$U,$G$3,'KENDARAAN DINAS'!$T:$T,A10)</f>
        <v>0</v>
      </c>
      <c r="I10" s="37">
        <f>SUMIFS('KENDARAAN DINAS'!$O:$O,'KENDARAAN DINAS'!$U:$U,$I$3,'KENDARAAN DINAS'!$T:$T,A10)</f>
        <v>1</v>
      </c>
      <c r="J10" s="40">
        <f>SUMIFS('KENDARAAN DINAS'!$P:$P,'KENDARAAN DINAS'!$U:$U,$I$3,'KENDARAAN DINAS'!$T:$T,A10)</f>
        <v>358291</v>
      </c>
      <c r="K10" s="37">
        <f>SUMIFS('KENDARAAN DINAS'!$O:$O,'KENDARAAN DINAS'!$U:$U,$K$3,'KENDARAAN DINAS'!$T:$T,A10)</f>
        <v>0</v>
      </c>
      <c r="L10" s="40">
        <f>SUMIFS('KENDARAAN DINAS'!$P:$P,'KENDARAAN DINAS'!$U:$U,$K$3,'KENDARAAN DINAS'!$T:$T,A11)</f>
        <v>0</v>
      </c>
      <c r="M10" s="37">
        <f>SUMIFS('KENDARAAN DINAS'!$O:$O,'KENDARAAN DINAS'!$U:$U,$M$3,'KENDARAAN DINAS'!$T:$T,A10)</f>
        <v>0</v>
      </c>
      <c r="N10" s="40">
        <f>SUMIFS('KENDARAAN DINAS'!$P:$P,'KENDARAAN DINAS'!$U:$U,$M$3,'KENDARAAN DINAS'!$T:$T,A10)</f>
        <v>0</v>
      </c>
      <c r="O10" s="37">
        <f t="shared" ref="O10:P10" si="6">C10+E10+G10+I10+K10+M10</f>
        <v>13</v>
      </c>
      <c r="P10" s="62">
        <f t="shared" si="6"/>
        <v>1983599</v>
      </c>
      <c r="Q10" s="16"/>
    </row>
    <row r="11" spans="1:18" ht="14.25" customHeight="1" x14ac:dyDescent="0.35">
      <c r="A11" s="34">
        <v>8</v>
      </c>
      <c r="B11" s="35" t="s">
        <v>182</v>
      </c>
      <c r="C11" s="37">
        <f>SUMIFS('KENDARAAN DINAS'!$O:$O,'KENDARAAN DINAS'!$U:$U,'REKAP KENDARAAN DINAS'!$C$3,'KENDARAAN DINAS'!$T:$T,'REKAP KENDARAAN DINAS'!A11)</f>
        <v>9</v>
      </c>
      <c r="D11" s="40">
        <f>SUMIFS('KENDARAAN DINAS'!$P:$P,'KENDARAAN DINAS'!$U:$U,'REKAP KENDARAAN DINAS'!$C$3,'KENDARAAN DINAS'!$T:$T,A11)</f>
        <v>167628.29999999999</v>
      </c>
      <c r="E11" s="37">
        <f>SUMIFS('KENDARAAN DINAS'!$O:$O,'KENDARAAN DINAS'!$U:$U,$E$3,'KENDARAAN DINAS'!$T:$T,A11)</f>
        <v>2</v>
      </c>
      <c r="F11" s="40">
        <f>SUMIFS('KENDARAAN DINAS'!$P:$P,'KENDARAAN DINAS'!$U:$U,$E$3,'KENDARAAN DINAS'!$T:$T,A11)</f>
        <v>532945</v>
      </c>
      <c r="G11" s="37">
        <f>SUMIFS('KENDARAAN DINAS'!$O:$O,'KENDARAAN DINAS'!$U:$U,$G$3,'KENDARAAN DINAS'!$T:$T,A11)</f>
        <v>0</v>
      </c>
      <c r="H11" s="40">
        <f>SUMIFS('KENDARAAN DINAS'!$P:$P,'KENDARAAN DINAS'!$U:$U,$G$3,'KENDARAAN DINAS'!$T:$T,A11)</f>
        <v>0</v>
      </c>
      <c r="I11" s="37">
        <f>SUMIFS('KENDARAAN DINAS'!$O:$O,'KENDARAAN DINAS'!$U:$U,$I$3,'KENDARAAN DINAS'!$T:$T,A11)</f>
        <v>0</v>
      </c>
      <c r="J11" s="40">
        <f>SUMIFS('KENDARAAN DINAS'!$P:$P,'KENDARAAN DINAS'!$U:$U,$I$3,'KENDARAAN DINAS'!$T:$T,A11)</f>
        <v>0</v>
      </c>
      <c r="K11" s="37">
        <f>SUMIFS('KENDARAAN DINAS'!$O:$O,'KENDARAAN DINAS'!$U:$U,$K$3,'KENDARAAN DINAS'!$T:$T,A11)</f>
        <v>0</v>
      </c>
      <c r="L11" s="40">
        <f>SUMIFS('KENDARAAN DINAS'!$P:$P,'KENDARAAN DINAS'!$U:$U,$K$3,'KENDARAAN DINAS'!$T:$T,A12)</f>
        <v>0</v>
      </c>
      <c r="M11" s="37">
        <f>SUMIFS('KENDARAAN DINAS'!$O:$O,'KENDARAAN DINAS'!$U:$U,$M$3,'KENDARAAN DINAS'!$T:$T,A11)</f>
        <v>0</v>
      </c>
      <c r="N11" s="40">
        <f>SUMIFS('KENDARAAN DINAS'!$P:$P,'KENDARAAN DINAS'!$U:$U,$M$3,'KENDARAAN DINAS'!$T:$T,A11)</f>
        <v>0</v>
      </c>
      <c r="O11" s="37">
        <f t="shared" ref="O11:P11" si="7">C11+E11+G11+I11+K11+M11</f>
        <v>11</v>
      </c>
      <c r="P11" s="62">
        <f t="shared" si="7"/>
        <v>700573.3</v>
      </c>
      <c r="Q11" s="16"/>
    </row>
    <row r="12" spans="1:18" ht="14.25" customHeight="1" x14ac:dyDescent="0.35">
      <c r="A12" s="34">
        <v>9</v>
      </c>
      <c r="B12" s="35" t="s">
        <v>193</v>
      </c>
      <c r="C12" s="37">
        <f>SUMIFS('KENDARAAN DINAS'!$O:$O,'KENDARAAN DINAS'!$U:$U,'REKAP KENDARAAN DINAS'!$C$3,'KENDARAAN DINAS'!$T:$T,'REKAP KENDARAAN DINAS'!A12)</f>
        <v>10</v>
      </c>
      <c r="D12" s="40">
        <f>SUMIFS('KENDARAAN DINAS'!$P:$P,'KENDARAAN DINAS'!$U:$U,'REKAP KENDARAAN DINAS'!$C$3,'KENDARAAN DINAS'!$T:$T,A12)</f>
        <v>178791.6</v>
      </c>
      <c r="E12" s="37">
        <f>SUMIFS('KENDARAAN DINAS'!$O:$O,'KENDARAAN DINAS'!$U:$U,$E$3,'KENDARAAN DINAS'!$T:$T,A12)</f>
        <v>3</v>
      </c>
      <c r="F12" s="40">
        <f>SUMIFS('KENDARAAN DINAS'!$P:$P,'KENDARAAN DINAS'!$U:$U,$E$3,'KENDARAAN DINAS'!$T:$T,A12)</f>
        <v>1163270</v>
      </c>
      <c r="G12" s="37">
        <f>SUMIFS('KENDARAAN DINAS'!$O:$O,'KENDARAAN DINAS'!$U:$U,$G$3,'KENDARAAN DINAS'!$T:$T,A12)</f>
        <v>0</v>
      </c>
      <c r="H12" s="40">
        <f>SUMIFS('KENDARAAN DINAS'!$P:$P,'KENDARAAN DINAS'!$U:$U,$G$3,'KENDARAAN DINAS'!$T:$T,A12)</f>
        <v>0</v>
      </c>
      <c r="I12" s="37">
        <f>SUMIFS('KENDARAAN DINAS'!$O:$O,'KENDARAAN DINAS'!$U:$U,$I$3,'KENDARAAN DINAS'!$T:$T,A12)</f>
        <v>0</v>
      </c>
      <c r="J12" s="40">
        <f>SUMIFS('KENDARAAN DINAS'!$P:$P,'KENDARAAN DINAS'!$U:$U,$I$3,'KENDARAAN DINAS'!$T:$T,A12)</f>
        <v>0</v>
      </c>
      <c r="K12" s="37">
        <f>SUMIFS('KENDARAAN DINAS'!$O:$O,'KENDARAAN DINAS'!$U:$U,$K$3,'KENDARAAN DINAS'!$T:$T,A12)</f>
        <v>0</v>
      </c>
      <c r="L12" s="40">
        <f>SUMIFS('KENDARAAN DINAS'!$P:$P,'KENDARAAN DINAS'!$U:$U,$K$3,'KENDARAAN DINAS'!$T:$T,A13)</f>
        <v>0</v>
      </c>
      <c r="M12" s="37">
        <f>SUMIFS('KENDARAAN DINAS'!$O:$O,'KENDARAAN DINAS'!$U:$U,$M$3,'KENDARAAN DINAS'!$T:$T,A12)</f>
        <v>0</v>
      </c>
      <c r="N12" s="40">
        <f>SUMIFS('KENDARAAN DINAS'!$P:$P,'KENDARAAN DINAS'!$U:$U,$M$3,'KENDARAAN DINAS'!$T:$T,A12)</f>
        <v>0</v>
      </c>
      <c r="O12" s="37">
        <f t="shared" ref="O12:P12" si="8">C12+E12+G12+I12+K12+M12</f>
        <v>13</v>
      </c>
      <c r="P12" s="62">
        <f t="shared" si="8"/>
        <v>1342061.6000000001</v>
      </c>
      <c r="Q12" s="16"/>
    </row>
    <row r="13" spans="1:18" ht="14.25" customHeight="1" x14ac:dyDescent="0.35">
      <c r="A13" s="34">
        <v>10</v>
      </c>
      <c r="B13" s="35" t="s">
        <v>204</v>
      </c>
      <c r="C13" s="37">
        <f>SUMIFS('KENDARAAN DINAS'!$O:$O,'KENDARAAN DINAS'!$U:$U,'REKAP KENDARAAN DINAS'!$C$3,'KENDARAAN DINAS'!$T:$T,'REKAP KENDARAAN DINAS'!A13)</f>
        <v>13</v>
      </c>
      <c r="D13" s="40">
        <f>SUMIFS('KENDARAAN DINAS'!$P:$P,'KENDARAAN DINAS'!$U:$U,'REKAP KENDARAAN DINAS'!$C$3,'KENDARAAN DINAS'!$T:$T,A13)</f>
        <v>213429.98299999998</v>
      </c>
      <c r="E13" s="37">
        <f>SUMIFS('KENDARAAN DINAS'!$O:$O,'KENDARAAN DINAS'!$U:$U,$E$3,'KENDARAAN DINAS'!$T:$T,A13)</f>
        <v>2</v>
      </c>
      <c r="F13" s="40">
        <f>SUMIFS('KENDARAAN DINAS'!$P:$P,'KENDARAAN DINAS'!$U:$U,$E$3,'KENDARAAN DINAS'!$T:$T,A13)</f>
        <v>472787.20000000001</v>
      </c>
      <c r="G13" s="37">
        <f>SUMIFS('KENDARAAN DINAS'!$O:$O,'KENDARAAN DINAS'!$U:$U,$G$3,'KENDARAAN DINAS'!$T:$T,A13)</f>
        <v>0</v>
      </c>
      <c r="H13" s="40">
        <f>SUMIFS('KENDARAAN DINAS'!$P:$P,'KENDARAAN DINAS'!$U:$U,$G$3,'KENDARAAN DINAS'!$T:$T,A13)</f>
        <v>0</v>
      </c>
      <c r="I13" s="37">
        <f>SUMIFS('KENDARAAN DINAS'!$O:$O,'KENDARAAN DINAS'!$U:$U,$I$3,'KENDARAAN DINAS'!$T:$T,A13)</f>
        <v>0</v>
      </c>
      <c r="J13" s="40">
        <f>SUMIFS('KENDARAAN DINAS'!$P:$P,'KENDARAAN DINAS'!$U:$U,$I$3,'KENDARAAN DINAS'!$T:$T,A13)</f>
        <v>0</v>
      </c>
      <c r="K13" s="37">
        <f>SUMIFS('KENDARAAN DINAS'!$O:$O,'KENDARAAN DINAS'!$U:$U,$K$3,'KENDARAAN DINAS'!$T:$T,A13)</f>
        <v>0</v>
      </c>
      <c r="L13" s="40">
        <f>SUMIFS('KENDARAAN DINAS'!$P:$P,'KENDARAAN DINAS'!$U:$U,$K$3,'KENDARAAN DINAS'!$T:$T,A14)</f>
        <v>0</v>
      </c>
      <c r="M13" s="37">
        <f>SUMIFS('KENDARAAN DINAS'!$O:$O,'KENDARAAN DINAS'!$U:$U,$M$3,'KENDARAAN DINAS'!$T:$T,A13)</f>
        <v>0</v>
      </c>
      <c r="N13" s="40">
        <f>SUMIFS('KENDARAAN DINAS'!$P:$P,'KENDARAAN DINAS'!$U:$U,$M$3,'KENDARAAN DINAS'!$T:$T,A13)</f>
        <v>0</v>
      </c>
      <c r="O13" s="37">
        <f t="shared" ref="O13:P13" si="9">C13+E13+G13+I13+K13+M13</f>
        <v>15</v>
      </c>
      <c r="P13" s="62">
        <f t="shared" si="9"/>
        <v>686217.18299999996</v>
      </c>
      <c r="Q13" s="16"/>
    </row>
    <row r="14" spans="1:18" ht="14.25" customHeight="1" x14ac:dyDescent="0.35">
      <c r="A14" s="34">
        <v>11</v>
      </c>
      <c r="B14" s="35" t="s">
        <v>234</v>
      </c>
      <c r="C14" s="37">
        <f>SUMIFS('KENDARAAN DINAS'!$O:$O,'KENDARAAN DINAS'!$U:$U,'REKAP KENDARAAN DINAS'!$C$3,'KENDARAAN DINAS'!$T:$T,'REKAP KENDARAAN DINAS'!A14)</f>
        <v>24</v>
      </c>
      <c r="D14" s="40">
        <f>SUMIFS('KENDARAAN DINAS'!$P:$P,'KENDARAAN DINAS'!$U:$U,'REKAP KENDARAAN DINAS'!$C$3,'KENDARAAN DINAS'!$T:$T,A14)</f>
        <v>469707.33299999998</v>
      </c>
      <c r="E14" s="37">
        <f>SUMIFS('KENDARAAN DINAS'!$O:$O,'KENDARAAN DINAS'!$U:$U,$E$3,'KENDARAAN DINAS'!$T:$T,A14)</f>
        <v>2</v>
      </c>
      <c r="F14" s="40">
        <f>SUMIFS('KENDARAAN DINAS'!$P:$P,'KENDARAAN DINAS'!$U:$U,$E$3,'KENDARAAN DINAS'!$T:$T,A14)</f>
        <v>907095</v>
      </c>
      <c r="G14" s="37">
        <f>SUMIFS('KENDARAAN DINAS'!$O:$O,'KENDARAAN DINAS'!$U:$U,$G$3,'KENDARAAN DINAS'!$T:$T,A14)</f>
        <v>0</v>
      </c>
      <c r="H14" s="40">
        <f>SUMIFS('KENDARAAN DINAS'!$P:$P,'KENDARAAN DINAS'!$U:$U,$G$3,'KENDARAAN DINAS'!$T:$T,A14)</f>
        <v>0</v>
      </c>
      <c r="I14" s="37">
        <f>SUMIFS('KENDARAAN DINAS'!$O:$O,'KENDARAAN DINAS'!$U:$U,$I$3,'KENDARAAN DINAS'!$T:$T,A14)</f>
        <v>0</v>
      </c>
      <c r="J14" s="40">
        <f>SUMIFS('KENDARAAN DINAS'!$P:$P,'KENDARAAN DINAS'!$U:$U,$I$3,'KENDARAAN DINAS'!$T:$T,A14)</f>
        <v>0</v>
      </c>
      <c r="K14" s="37">
        <f>SUMIFS('KENDARAAN DINAS'!$O:$O,'KENDARAAN DINAS'!$U:$U,$K$3,'KENDARAAN DINAS'!$T:$T,A14)</f>
        <v>0</v>
      </c>
      <c r="L14" s="40">
        <f>SUMIFS('KENDARAAN DINAS'!$P:$P,'KENDARAAN DINAS'!$U:$U,$K$3,'KENDARAAN DINAS'!$T:$T,A15)</f>
        <v>0</v>
      </c>
      <c r="M14" s="37">
        <f>SUMIFS('KENDARAAN DINAS'!$O:$O,'KENDARAAN DINAS'!$U:$U,$M$3,'KENDARAAN DINAS'!$T:$T,A14)</f>
        <v>0</v>
      </c>
      <c r="N14" s="40">
        <f>SUMIFS('KENDARAAN DINAS'!$P:$P,'KENDARAAN DINAS'!$U:$U,$M$3,'KENDARAAN DINAS'!$T:$T,A14)</f>
        <v>0</v>
      </c>
      <c r="O14" s="37">
        <f t="shared" ref="O14:P14" si="10">C14+E14+G14+I14+K14+M14</f>
        <v>26</v>
      </c>
      <c r="P14" s="62">
        <f t="shared" si="10"/>
        <v>1376802.3330000001</v>
      </c>
      <c r="Q14" s="16"/>
    </row>
    <row r="15" spans="1:18" ht="14.25" customHeight="1" x14ac:dyDescent="0.35">
      <c r="A15" s="34">
        <v>12</v>
      </c>
      <c r="B15" s="35" t="s">
        <v>258</v>
      </c>
      <c r="C15" s="37">
        <f>SUMIFS('KENDARAAN DINAS'!$O:$O,'KENDARAAN DINAS'!$U:$U,'REKAP KENDARAAN DINAS'!$C$3,'KENDARAAN DINAS'!$T:$T,'REKAP KENDARAAN DINAS'!A15)</f>
        <v>78</v>
      </c>
      <c r="D15" s="40">
        <f>SUMIFS('KENDARAAN DINAS'!$P:$P,'KENDARAAN DINAS'!$U:$U,'REKAP KENDARAAN DINAS'!$C$3,'KENDARAAN DINAS'!$T:$T,A15)</f>
        <v>1174700.4830000002</v>
      </c>
      <c r="E15" s="37">
        <f>SUMIFS('KENDARAAN DINAS'!$O:$O,'KENDARAAN DINAS'!$U:$U,$E$3,'KENDARAAN DINAS'!$T:$T,A15)</f>
        <v>5</v>
      </c>
      <c r="F15" s="40">
        <f>SUMIFS('KENDARAAN DINAS'!$P:$P,'KENDARAAN DINAS'!$U:$U,$E$3,'KENDARAAN DINAS'!$T:$T,A15)</f>
        <v>1154160</v>
      </c>
      <c r="G15" s="37">
        <f>SUMIFS('KENDARAAN DINAS'!$O:$O,'KENDARAAN DINAS'!$U:$U,$G$3,'KENDARAAN DINAS'!$T:$T,A15)</f>
        <v>0</v>
      </c>
      <c r="H15" s="40">
        <f>SUMIFS('KENDARAAN DINAS'!$P:$P,'KENDARAAN DINAS'!$U:$U,$G$3,'KENDARAAN DINAS'!$T:$T,A15)</f>
        <v>0</v>
      </c>
      <c r="I15" s="37">
        <f>SUMIFS('KENDARAAN DINAS'!$O:$O,'KENDARAAN DINAS'!$U:$U,$I$3,'KENDARAAN DINAS'!$T:$T,A15)</f>
        <v>0</v>
      </c>
      <c r="J15" s="40">
        <f>SUMIFS('KENDARAAN DINAS'!$P:$P,'KENDARAAN DINAS'!$U:$U,$I$3,'KENDARAAN DINAS'!$T:$T,A15)</f>
        <v>0</v>
      </c>
      <c r="K15" s="37">
        <f>SUMIFS('KENDARAAN DINAS'!$O:$O,'KENDARAAN DINAS'!$U:$U,$K$3,'KENDARAAN DINAS'!$T:$T,A15)</f>
        <v>0</v>
      </c>
      <c r="L15" s="40">
        <f>SUMIFS('KENDARAAN DINAS'!$P:$P,'KENDARAAN DINAS'!$U:$U,$K$3,'KENDARAAN DINAS'!$T:$T,A16)</f>
        <v>0</v>
      </c>
      <c r="M15" s="37">
        <f>SUMIFS('KENDARAAN DINAS'!$O:$O,'KENDARAAN DINAS'!$U:$U,$M$3,'KENDARAAN DINAS'!$T:$T,A15)</f>
        <v>0</v>
      </c>
      <c r="N15" s="40">
        <f>SUMIFS('KENDARAAN DINAS'!$P:$P,'KENDARAAN DINAS'!$U:$U,$M$3,'KENDARAAN DINAS'!$T:$T,A15)</f>
        <v>0</v>
      </c>
      <c r="O15" s="37">
        <f t="shared" ref="O15:P15" si="11">C15+E15+G15+I15+K15+M15</f>
        <v>83</v>
      </c>
      <c r="P15" s="62">
        <f t="shared" si="11"/>
        <v>2328860.483</v>
      </c>
      <c r="Q15" s="16"/>
    </row>
    <row r="16" spans="1:18" ht="14.25" customHeight="1" x14ac:dyDescent="0.35">
      <c r="A16" s="34">
        <v>13</v>
      </c>
      <c r="B16" s="35" t="s">
        <v>283</v>
      </c>
      <c r="C16" s="37">
        <f>SUMIFS('KENDARAAN DINAS'!$O:$O,'KENDARAAN DINAS'!$U:$U,'REKAP KENDARAAN DINAS'!$C$3,'KENDARAAN DINAS'!$T:$T,'REKAP KENDARAAN DINAS'!A16)</f>
        <v>30</v>
      </c>
      <c r="D16" s="40">
        <f>SUMIFS('KENDARAAN DINAS'!$P:$P,'KENDARAAN DINAS'!$U:$U,'REKAP KENDARAAN DINAS'!$C$3,'KENDARAAN DINAS'!$T:$T,A16)</f>
        <v>950437.08200000017</v>
      </c>
      <c r="E16" s="37">
        <f>SUMIFS('KENDARAAN DINAS'!$O:$O,'KENDARAAN DINAS'!$U:$U,$E$3,'KENDARAAN DINAS'!$T:$T,A16)</f>
        <v>5</v>
      </c>
      <c r="F16" s="40">
        <f>SUMIFS('KENDARAAN DINAS'!$P:$P,'KENDARAAN DINAS'!$U:$U,$E$3,'KENDARAAN DINAS'!$T:$T,A16)</f>
        <v>1794058.5</v>
      </c>
      <c r="G16" s="37">
        <f>SUMIFS('KENDARAAN DINAS'!$O:$O,'KENDARAAN DINAS'!$U:$U,$G$3,'KENDARAAN DINAS'!$T:$T,A16)</f>
        <v>0</v>
      </c>
      <c r="H16" s="40">
        <f>SUMIFS('KENDARAAN DINAS'!$P:$P,'KENDARAAN DINAS'!$U:$U,$G$3,'KENDARAAN DINAS'!$T:$T,A16)</f>
        <v>0</v>
      </c>
      <c r="I16" s="37">
        <f>SUMIFS('KENDARAAN DINAS'!$O:$O,'KENDARAAN DINAS'!$U:$U,$I$3,'KENDARAAN DINAS'!$T:$T,A16)</f>
        <v>8</v>
      </c>
      <c r="J16" s="40">
        <f>SUMIFS('KENDARAAN DINAS'!$P:$P,'KENDARAAN DINAS'!$U:$U,$I$3,'KENDARAAN DINAS'!$T:$T,A16)</f>
        <v>5060263</v>
      </c>
      <c r="K16" s="37">
        <f>SUMIFS('KENDARAAN DINAS'!$O:$O,'KENDARAAN DINAS'!$U:$U,$K$3,'KENDARAAN DINAS'!$T:$T,A16)</f>
        <v>0</v>
      </c>
      <c r="L16" s="40">
        <f>SUMIFS('KENDARAAN DINAS'!$P:$P,'KENDARAAN DINAS'!$U:$U,$K$3,'KENDARAAN DINAS'!$T:$T,A17)</f>
        <v>0</v>
      </c>
      <c r="M16" s="37">
        <f>SUMIFS('KENDARAAN DINAS'!$O:$O,'KENDARAAN DINAS'!$U:$U,$M$3,'KENDARAAN DINAS'!$T:$T,A16)</f>
        <v>0</v>
      </c>
      <c r="N16" s="40">
        <f>SUMIFS('KENDARAAN DINAS'!$P:$P,'KENDARAAN DINAS'!$U:$U,$M$3,'KENDARAAN DINAS'!$T:$T,A16)</f>
        <v>0</v>
      </c>
      <c r="O16" s="37">
        <f t="shared" ref="O16:P16" si="12">C16+E16+G16+I16+K16+M16</f>
        <v>43</v>
      </c>
      <c r="P16" s="62">
        <f t="shared" si="12"/>
        <v>7804758.5820000004</v>
      </c>
      <c r="Q16" s="16"/>
    </row>
    <row r="17" spans="1:18" ht="14.25" customHeight="1" x14ac:dyDescent="0.35">
      <c r="A17" s="34">
        <v>14</v>
      </c>
      <c r="B17" s="35" t="s">
        <v>309</v>
      </c>
      <c r="C17" s="37">
        <f>SUMIFS('KENDARAAN DINAS'!$O:$O,'KENDARAAN DINAS'!$U:$U,'REKAP KENDARAAN DINAS'!$C$3,'KENDARAAN DINAS'!$T:$T,'REKAP KENDARAAN DINAS'!A17)</f>
        <v>15</v>
      </c>
      <c r="D17" s="40">
        <f>SUMIFS('KENDARAAN DINAS'!$P:$P,'KENDARAAN DINAS'!$U:$U,'REKAP KENDARAAN DINAS'!$C$3,'KENDARAAN DINAS'!$T:$T,A17)</f>
        <v>251951.1</v>
      </c>
      <c r="E17" s="37">
        <f>SUMIFS('KENDARAAN DINAS'!$O:$O,'KENDARAAN DINAS'!$U:$U,$E$3,'KENDARAAN DINAS'!$T:$T,A17)</f>
        <v>1</v>
      </c>
      <c r="F17" s="40">
        <f>SUMIFS('KENDARAAN DINAS'!$P:$P,'KENDARAAN DINAS'!$U:$U,$E$3,'KENDARAAN DINAS'!$T:$T,A17)</f>
        <v>240000</v>
      </c>
      <c r="G17" s="37">
        <f>SUMIFS('KENDARAAN DINAS'!$O:$O,'KENDARAAN DINAS'!$U:$U,$G$3,'KENDARAAN DINAS'!$T:$T,A17)</f>
        <v>0</v>
      </c>
      <c r="H17" s="40">
        <f>SUMIFS('KENDARAAN DINAS'!$P:$P,'KENDARAAN DINAS'!$U:$U,$G$3,'KENDARAAN DINAS'!$T:$T,A17)</f>
        <v>0</v>
      </c>
      <c r="I17" s="37">
        <f>SUMIFS('KENDARAAN DINAS'!$O:$O,'KENDARAAN DINAS'!$U:$U,$I$3,'KENDARAAN DINAS'!$T:$T,A17)</f>
        <v>0</v>
      </c>
      <c r="J17" s="40">
        <f>SUMIFS('KENDARAAN DINAS'!$P:$P,'KENDARAAN DINAS'!$U:$U,$I$3,'KENDARAAN DINAS'!$T:$T,A17)</f>
        <v>0</v>
      </c>
      <c r="K17" s="37">
        <f>SUMIFS('KENDARAAN DINAS'!$O:$O,'KENDARAAN DINAS'!$U:$U,$K$3,'KENDARAAN DINAS'!$T:$T,A17)</f>
        <v>0</v>
      </c>
      <c r="L17" s="40">
        <f>SUMIFS('KENDARAAN DINAS'!$P:$P,'KENDARAAN DINAS'!$U:$U,$K$3,'KENDARAAN DINAS'!$T:$T,A18)</f>
        <v>0</v>
      </c>
      <c r="M17" s="37">
        <f>SUMIFS('KENDARAAN DINAS'!$O:$O,'KENDARAAN DINAS'!$U:$U,$M$3,'KENDARAAN DINAS'!$T:$T,A17)</f>
        <v>0</v>
      </c>
      <c r="N17" s="40">
        <f>SUMIFS('KENDARAAN DINAS'!$P:$P,'KENDARAAN DINAS'!$U:$U,$M$3,'KENDARAAN DINAS'!$T:$T,A17)</f>
        <v>0</v>
      </c>
      <c r="O17" s="37">
        <f t="shared" ref="O17:P17" si="13">C17+E17+G17+I17+K17+M17</f>
        <v>16</v>
      </c>
      <c r="P17" s="62">
        <f t="shared" si="13"/>
        <v>491951.1</v>
      </c>
      <c r="Q17" s="16"/>
    </row>
    <row r="18" spans="1:18" ht="14.25" customHeight="1" x14ac:dyDescent="0.35">
      <c r="A18" s="34">
        <v>15</v>
      </c>
      <c r="B18" s="35" t="s">
        <v>333</v>
      </c>
      <c r="C18" s="37">
        <f>SUMIFS('KENDARAAN DINAS'!$O:$O,'KENDARAAN DINAS'!$U:$U,'REKAP KENDARAAN DINAS'!$C$3,'KENDARAAN DINAS'!$T:$T,'REKAP KENDARAAN DINAS'!A18)</f>
        <v>16</v>
      </c>
      <c r="D18" s="40">
        <f>SUMIFS('KENDARAAN DINAS'!$P:$P,'KENDARAAN DINAS'!$U:$U,'REKAP KENDARAAN DINAS'!$C$3,'KENDARAAN DINAS'!$T:$T,A18)</f>
        <v>264569.16200000001</v>
      </c>
      <c r="E18" s="37">
        <f>SUMIFS('KENDARAAN DINAS'!$O:$O,'KENDARAAN DINAS'!$U:$U,$E$3,'KENDARAAN DINAS'!$T:$T,A18)</f>
        <v>4</v>
      </c>
      <c r="F18" s="40">
        <f>SUMIFS('KENDARAAN DINAS'!$P:$P,'KENDARAAN DINAS'!$U:$U,$E$3,'KENDARAAN DINAS'!$T:$T,A18)</f>
        <v>1549210</v>
      </c>
      <c r="G18" s="37">
        <f>SUMIFS('KENDARAAN DINAS'!$O:$O,'KENDARAAN DINAS'!$U:$U,$G$3,'KENDARAAN DINAS'!$T:$T,A18)</f>
        <v>0</v>
      </c>
      <c r="H18" s="40">
        <f>SUMIFS('KENDARAAN DINAS'!$P:$P,'KENDARAAN DINAS'!$U:$U,$G$3,'KENDARAAN DINAS'!$T:$T,A18)</f>
        <v>0</v>
      </c>
      <c r="I18" s="37">
        <f>SUMIFS('KENDARAAN DINAS'!$O:$O,'KENDARAAN DINAS'!$U:$U,$I$3,'KENDARAAN DINAS'!$T:$T,A18)</f>
        <v>0</v>
      </c>
      <c r="J18" s="40">
        <f>SUMIFS('KENDARAAN DINAS'!$P:$P,'KENDARAAN DINAS'!$U:$U,$I$3,'KENDARAAN DINAS'!$T:$T,A18)</f>
        <v>0</v>
      </c>
      <c r="K18" s="37">
        <f>SUMIFS('KENDARAAN DINAS'!$O:$O,'KENDARAAN DINAS'!$U:$U,$K$3,'KENDARAAN DINAS'!$T:$T,A18)</f>
        <v>0</v>
      </c>
      <c r="L18" s="40">
        <f>SUMIFS('KENDARAAN DINAS'!$P:$P,'KENDARAAN DINAS'!$U:$U,$K$3,'KENDARAAN DINAS'!$T:$T,A19)</f>
        <v>0</v>
      </c>
      <c r="M18" s="37">
        <f>SUMIFS('KENDARAAN DINAS'!$O:$O,'KENDARAAN DINAS'!$U:$U,$M$3,'KENDARAAN DINAS'!$T:$T,A18)</f>
        <v>0</v>
      </c>
      <c r="N18" s="40">
        <f>SUMIFS('KENDARAAN DINAS'!$P:$P,'KENDARAAN DINAS'!$U:$U,$M$3,'KENDARAAN DINAS'!$T:$T,A18)</f>
        <v>0</v>
      </c>
      <c r="O18" s="37">
        <f t="shared" ref="O18:P18" si="14">C18+E18+G18+I18+K18+M18</f>
        <v>20</v>
      </c>
      <c r="P18" s="62">
        <f t="shared" si="14"/>
        <v>1813779.162</v>
      </c>
      <c r="Q18" s="16"/>
    </row>
    <row r="19" spans="1:18" ht="14.25" customHeight="1" x14ac:dyDescent="0.35">
      <c r="A19" s="34">
        <v>16</v>
      </c>
      <c r="B19" s="35" t="s">
        <v>354</v>
      </c>
      <c r="C19" s="37">
        <f>SUMIFS('KENDARAAN DINAS'!$O:$O,'KENDARAAN DINAS'!$U:$U,'REKAP KENDARAAN DINAS'!$C$3,'KENDARAAN DINAS'!$T:$T,'REKAP KENDARAAN DINAS'!A19)</f>
        <v>0</v>
      </c>
      <c r="D19" s="40">
        <f>SUMIFS('KENDARAAN DINAS'!$P:$P,'KENDARAAN DINAS'!$U:$U,'REKAP KENDARAAN DINAS'!$C$3,'KENDARAAN DINAS'!$T:$T,A19)</f>
        <v>299559.364</v>
      </c>
      <c r="E19" s="37">
        <f>SUMIFS('KENDARAAN DINAS'!$O:$O,'KENDARAAN DINAS'!$U:$U,$E$3,'KENDARAAN DINAS'!$T:$T,A19)</f>
        <v>0</v>
      </c>
      <c r="F19" s="40">
        <f>SUMIFS('KENDARAAN DINAS'!$P:$P,'KENDARAAN DINAS'!$U:$U,$E$3,'KENDARAAN DINAS'!$T:$T,A19)</f>
        <v>3844704.642</v>
      </c>
      <c r="G19" s="37">
        <f>SUMIFS('KENDARAAN DINAS'!$O:$O,'KENDARAAN DINAS'!$U:$U,$G$3,'KENDARAAN DINAS'!$T:$T,A19)</f>
        <v>0</v>
      </c>
      <c r="H19" s="40">
        <f>SUMIFS('KENDARAAN DINAS'!$P:$P,'KENDARAAN DINAS'!$U:$U,$G$3,'KENDARAAN DINAS'!$T:$T,A19)</f>
        <v>109375</v>
      </c>
      <c r="I19" s="37">
        <f>SUMIFS('KENDARAAN DINAS'!$O:$O,'KENDARAAN DINAS'!$U:$U,$I$3,'KENDARAAN DINAS'!$T:$T,A19)</f>
        <v>0</v>
      </c>
      <c r="J19" s="40">
        <f>SUMIFS('KENDARAAN DINAS'!$P:$P,'KENDARAAN DINAS'!$U:$U,$I$3,'KENDARAAN DINAS'!$T:$T,A19)</f>
        <v>1498499.2</v>
      </c>
      <c r="K19" s="37">
        <f>SUMIFS('KENDARAAN DINAS'!$O:$O,'KENDARAAN DINAS'!$U:$U,$K$3,'KENDARAAN DINAS'!$T:$T,A19)</f>
        <v>0</v>
      </c>
      <c r="L19" s="40">
        <f>SUMIFS('KENDARAAN DINAS'!$P:$P,'KENDARAAN DINAS'!$U:$U,$K$3,'KENDARAAN DINAS'!$T:$T,A20)</f>
        <v>0</v>
      </c>
      <c r="M19" s="37">
        <f>SUMIFS('KENDARAAN DINAS'!$O:$O,'KENDARAAN DINAS'!$U:$U,$M$3,'KENDARAAN DINAS'!$T:$T,A19)</f>
        <v>0</v>
      </c>
      <c r="N19" s="40">
        <f>SUMIFS('KENDARAAN DINAS'!$P:$P,'KENDARAAN DINAS'!$U:$U,$M$3,'KENDARAAN DINAS'!$T:$T,A19)</f>
        <v>0</v>
      </c>
      <c r="O19" s="37">
        <f t="shared" ref="O19:P19" si="15">C19+E19+G19+I19+K19+M19</f>
        <v>0</v>
      </c>
      <c r="P19" s="62">
        <f t="shared" si="15"/>
        <v>5752138.2060000002</v>
      </c>
      <c r="Q19" s="16"/>
    </row>
    <row r="20" spans="1:18" ht="14.25" customHeight="1" x14ac:dyDescent="0.35">
      <c r="A20" s="34">
        <v>17</v>
      </c>
      <c r="B20" s="35" t="s">
        <v>377</v>
      </c>
      <c r="C20" s="37">
        <f>SUMIFS('KENDARAAN DINAS'!$O:$O,'KENDARAAN DINAS'!$U:$U,'REKAP KENDARAAN DINAS'!$C$3,'KENDARAAN DINAS'!$T:$T,'REKAP KENDARAAN DINAS'!A20)</f>
        <v>15</v>
      </c>
      <c r="D20" s="40">
        <f>SUMIFS('KENDARAAN DINAS'!$P:$P,'KENDARAAN DINAS'!$U:$U,'REKAP KENDARAAN DINAS'!$C$3,'KENDARAAN DINAS'!$T:$T,A20)</f>
        <v>262114.37400000001</v>
      </c>
      <c r="E20" s="37">
        <f>SUMIFS('KENDARAAN DINAS'!$O:$O,'KENDARAAN DINAS'!$U:$U,$E$3,'KENDARAAN DINAS'!$T:$T,A20)</f>
        <v>2</v>
      </c>
      <c r="F20" s="40">
        <f>SUMIFS('KENDARAAN DINAS'!$P:$P,'KENDARAAN DINAS'!$U:$U,$E$3,'KENDARAAN DINAS'!$T:$T,A20)</f>
        <v>638467</v>
      </c>
      <c r="G20" s="37">
        <f>SUMIFS('KENDARAAN DINAS'!$O:$O,'KENDARAAN DINAS'!$U:$U,$G$3,'KENDARAAN DINAS'!$T:$T,A20)</f>
        <v>0</v>
      </c>
      <c r="H20" s="40">
        <f>SUMIFS('KENDARAAN DINAS'!$P:$P,'KENDARAAN DINAS'!$U:$U,$G$3,'KENDARAAN DINAS'!$T:$T,A20)</f>
        <v>0</v>
      </c>
      <c r="I20" s="37">
        <f>SUMIFS('KENDARAAN DINAS'!$O:$O,'KENDARAAN DINAS'!$U:$U,$I$3,'KENDARAAN DINAS'!$T:$T,A20)</f>
        <v>0</v>
      </c>
      <c r="J20" s="40">
        <f>SUMIFS('KENDARAAN DINAS'!$P:$P,'KENDARAAN DINAS'!$U:$U,$I$3,'KENDARAAN DINAS'!$T:$T,A20)</f>
        <v>0</v>
      </c>
      <c r="K20" s="37">
        <f>SUMIFS('KENDARAAN DINAS'!$O:$O,'KENDARAAN DINAS'!$U:$U,$K$3,'KENDARAAN DINAS'!$T:$T,A20)</f>
        <v>0</v>
      </c>
      <c r="L20" s="40">
        <f>SUMIFS('KENDARAAN DINAS'!$P:$P,'KENDARAAN DINAS'!$U:$U,$K$3,'KENDARAAN DINAS'!$T:$T,A21)</f>
        <v>0</v>
      </c>
      <c r="M20" s="37">
        <f>SUMIFS('KENDARAAN DINAS'!$O:$O,'KENDARAAN DINAS'!$U:$U,$M$3,'KENDARAAN DINAS'!$T:$T,A20)</f>
        <v>0</v>
      </c>
      <c r="N20" s="40">
        <f>SUMIFS('KENDARAAN DINAS'!$P:$P,'KENDARAAN DINAS'!$U:$U,$M$3,'KENDARAAN DINAS'!$T:$T,A20)</f>
        <v>0</v>
      </c>
      <c r="O20" s="37">
        <f t="shared" ref="O20:P20" si="16">C20+E20+G20+I20+K20+M20</f>
        <v>17</v>
      </c>
      <c r="P20" s="62">
        <f t="shared" si="16"/>
        <v>900581.37400000007</v>
      </c>
      <c r="Q20" s="16"/>
    </row>
    <row r="21" spans="1:18" ht="14.25" customHeight="1" x14ac:dyDescent="0.35">
      <c r="A21" s="34">
        <v>18</v>
      </c>
      <c r="B21" s="35" t="s">
        <v>397</v>
      </c>
      <c r="C21" s="37">
        <f>SUMIFS('KENDARAAN DINAS'!$O:$O,'KENDARAAN DINAS'!$U:$U,'REKAP KENDARAAN DINAS'!$C$3,'KENDARAAN DINAS'!$T:$T,'REKAP KENDARAAN DINAS'!A21)</f>
        <v>19</v>
      </c>
      <c r="D21" s="40">
        <f>SUMIFS('KENDARAAN DINAS'!$P:$P,'KENDARAAN DINAS'!$U:$U,'REKAP KENDARAAN DINAS'!$C$3,'KENDARAAN DINAS'!$T:$T,A21)</f>
        <v>365288.13199999998</v>
      </c>
      <c r="E21" s="37">
        <f>SUMIFS('KENDARAAN DINAS'!$O:$O,'KENDARAAN DINAS'!$U:$U,$E$3,'KENDARAAN DINAS'!$T:$T,A21)</f>
        <v>2</v>
      </c>
      <c r="F21" s="40">
        <f>SUMIFS('KENDARAAN DINAS'!$P:$P,'KENDARAAN DINAS'!$U:$U,$E$3,'KENDARAAN DINAS'!$T:$T,A21)</f>
        <v>853500</v>
      </c>
      <c r="G21" s="37">
        <f>SUMIFS('KENDARAAN DINAS'!$O:$O,'KENDARAAN DINAS'!$U:$U,$G$3,'KENDARAAN DINAS'!$T:$T,A21)</f>
        <v>0</v>
      </c>
      <c r="H21" s="40">
        <f>SUMIFS('KENDARAAN DINAS'!$P:$P,'KENDARAAN DINAS'!$U:$U,$G$3,'KENDARAAN DINAS'!$T:$T,A21)</f>
        <v>0</v>
      </c>
      <c r="I21" s="37">
        <f>SUMIFS('KENDARAAN DINAS'!$O:$O,'KENDARAAN DINAS'!$U:$U,$I$3,'KENDARAAN DINAS'!$T:$T,A21)</f>
        <v>0</v>
      </c>
      <c r="J21" s="40">
        <f>SUMIFS('KENDARAAN DINAS'!$P:$P,'KENDARAAN DINAS'!$U:$U,$I$3,'KENDARAAN DINAS'!$T:$T,A21)</f>
        <v>0</v>
      </c>
      <c r="K21" s="37">
        <f>SUMIFS('KENDARAAN DINAS'!$O:$O,'KENDARAAN DINAS'!$U:$U,$K$3,'KENDARAAN DINAS'!$T:$T,A21)</f>
        <v>0</v>
      </c>
      <c r="L21" s="40">
        <f>SUMIFS('KENDARAAN DINAS'!$P:$P,'KENDARAAN DINAS'!$U:$U,$K$3,'KENDARAAN DINAS'!$T:$T,A22)</f>
        <v>0</v>
      </c>
      <c r="M21" s="37">
        <f>SUMIFS('KENDARAAN DINAS'!$O:$O,'KENDARAAN DINAS'!$U:$U,$M$3,'KENDARAAN DINAS'!$T:$T,A21)</f>
        <v>0</v>
      </c>
      <c r="N21" s="40">
        <f>SUMIFS('KENDARAAN DINAS'!$P:$P,'KENDARAAN DINAS'!$U:$U,$M$3,'KENDARAAN DINAS'!$T:$T,A21)</f>
        <v>0</v>
      </c>
      <c r="O21" s="37">
        <f t="shared" ref="O21:P21" si="17">C21+E21+G21+I21+K21+M21</f>
        <v>21</v>
      </c>
      <c r="P21" s="62">
        <f t="shared" si="17"/>
        <v>1218788.132</v>
      </c>
      <c r="Q21" s="16"/>
    </row>
    <row r="22" spans="1:18" ht="14.25" customHeight="1" x14ac:dyDescent="0.35">
      <c r="A22" s="34">
        <v>19</v>
      </c>
      <c r="B22" s="35" t="s">
        <v>419</v>
      </c>
      <c r="C22" s="37">
        <f>SUMIFS('KENDARAAN DINAS'!$O:$O,'KENDARAAN DINAS'!$U:$U,'REKAP KENDARAAN DINAS'!$C$3,'KENDARAAN DINAS'!$T:$T,'REKAP KENDARAAN DINAS'!A22)</f>
        <v>18</v>
      </c>
      <c r="D22" s="40">
        <f>SUMIFS('KENDARAAN DINAS'!$P:$P,'KENDARAAN DINAS'!$U:$U,'REKAP KENDARAAN DINAS'!$C$3,'KENDARAAN DINAS'!$T:$T,A22)</f>
        <v>309091.53000000003</v>
      </c>
      <c r="E22" s="37">
        <f>SUMIFS('KENDARAAN DINAS'!$O:$O,'KENDARAAN DINAS'!$U:$U,$E$3,'KENDARAAN DINAS'!$T:$T,A22)</f>
        <v>1</v>
      </c>
      <c r="F22" s="40">
        <f>SUMIFS('KENDARAAN DINAS'!$P:$P,'KENDARAAN DINAS'!$U:$U,$E$3,'KENDARAAN DINAS'!$T:$T,A22)</f>
        <v>241669.45</v>
      </c>
      <c r="G22" s="37">
        <f>SUMIFS('KENDARAAN DINAS'!$O:$O,'KENDARAAN DINAS'!$U:$U,$G$3,'KENDARAAN DINAS'!$T:$T,A22)</f>
        <v>0</v>
      </c>
      <c r="H22" s="40">
        <f>SUMIFS('KENDARAAN DINAS'!$P:$P,'KENDARAAN DINAS'!$U:$U,$G$3,'KENDARAAN DINAS'!$T:$T,A22)</f>
        <v>0</v>
      </c>
      <c r="I22" s="37">
        <f>SUMIFS('KENDARAAN DINAS'!$O:$O,'KENDARAAN DINAS'!$U:$U,$I$3,'KENDARAAN DINAS'!$T:$T,A22)</f>
        <v>0</v>
      </c>
      <c r="J22" s="40">
        <f>SUMIFS('KENDARAAN DINAS'!$P:$P,'KENDARAAN DINAS'!$U:$U,$I$3,'KENDARAAN DINAS'!$T:$T,A22)</f>
        <v>0</v>
      </c>
      <c r="K22" s="37">
        <f>SUMIFS('KENDARAAN DINAS'!$O:$O,'KENDARAAN DINAS'!$U:$U,$K$3,'KENDARAAN DINAS'!$T:$T,A22)</f>
        <v>0</v>
      </c>
      <c r="L22" s="40">
        <f>SUMIFS('KENDARAAN DINAS'!$P:$P,'KENDARAAN DINAS'!$U:$U,$K$3,'KENDARAAN DINAS'!$T:$T,A23)</f>
        <v>0</v>
      </c>
      <c r="M22" s="37">
        <f>SUMIFS('KENDARAAN DINAS'!$O:$O,'KENDARAAN DINAS'!$U:$U,$M$3,'KENDARAAN DINAS'!$T:$T,A22)</f>
        <v>0</v>
      </c>
      <c r="N22" s="40">
        <f>SUMIFS('KENDARAAN DINAS'!$P:$P,'KENDARAAN DINAS'!$U:$U,$M$3,'KENDARAAN DINAS'!$T:$T,A22)</f>
        <v>0</v>
      </c>
      <c r="O22" s="37">
        <f t="shared" ref="O22:P22" si="18">C22+E22+G22+I22+K22+M22</f>
        <v>19</v>
      </c>
      <c r="P22" s="62">
        <f t="shared" si="18"/>
        <v>550760.98</v>
      </c>
      <c r="Q22" s="16"/>
    </row>
    <row r="23" spans="1:18" ht="14.25" customHeight="1" x14ac:dyDescent="0.35">
      <c r="A23" s="34">
        <v>20</v>
      </c>
      <c r="B23" s="35" t="s">
        <v>440</v>
      </c>
      <c r="C23" s="37">
        <f>SUMIFS('KENDARAAN DINAS'!$O:$O,'KENDARAAN DINAS'!$U:$U,'REKAP KENDARAAN DINAS'!$C$3,'KENDARAAN DINAS'!$T:$T,'REKAP KENDARAAN DINAS'!A23)</f>
        <v>8</v>
      </c>
      <c r="D23" s="40">
        <f>SUMIFS('KENDARAAN DINAS'!$P:$P,'KENDARAAN DINAS'!$U:$U,'REKAP KENDARAAN DINAS'!$C$3,'KENDARAAN DINAS'!$T:$T,A23)</f>
        <v>134884.81</v>
      </c>
      <c r="E23" s="37">
        <f>SUMIFS('KENDARAAN DINAS'!$O:$O,'KENDARAAN DINAS'!$U:$U,$E$3,'KENDARAAN DINAS'!$T:$T,A23)</f>
        <v>2</v>
      </c>
      <c r="F23" s="40">
        <f>SUMIFS('KENDARAAN DINAS'!$P:$P,'KENDARAAN DINAS'!$U:$U,$E$3,'KENDARAAN DINAS'!$T:$T,A23)</f>
        <v>398430</v>
      </c>
      <c r="G23" s="37">
        <f>SUMIFS('KENDARAAN DINAS'!$O:$O,'KENDARAAN DINAS'!$U:$U,$G$3,'KENDARAAN DINAS'!$T:$T,A23)</f>
        <v>0</v>
      </c>
      <c r="H23" s="40">
        <f>SUMIFS('KENDARAAN DINAS'!$P:$P,'KENDARAAN DINAS'!$U:$U,$G$3,'KENDARAAN DINAS'!$T:$T,A23)</f>
        <v>0</v>
      </c>
      <c r="I23" s="37">
        <f>SUMIFS('KENDARAAN DINAS'!$O:$O,'KENDARAAN DINAS'!$U:$U,$I$3,'KENDARAAN DINAS'!$T:$T,A23)</f>
        <v>0</v>
      </c>
      <c r="J23" s="40">
        <f>SUMIFS('KENDARAAN DINAS'!$P:$P,'KENDARAAN DINAS'!$U:$U,$I$3,'KENDARAAN DINAS'!$T:$T,A23)</f>
        <v>0</v>
      </c>
      <c r="K23" s="37">
        <f>SUMIFS('KENDARAAN DINAS'!$O:$O,'KENDARAAN DINAS'!$U:$U,$K$3,'KENDARAAN DINAS'!$T:$T,A23)</f>
        <v>0</v>
      </c>
      <c r="L23" s="40">
        <f>SUMIFS('KENDARAAN DINAS'!$P:$P,'KENDARAAN DINAS'!$U:$U,$K$3,'KENDARAAN DINAS'!$T:$T,A24)</f>
        <v>0</v>
      </c>
      <c r="M23" s="37">
        <f>SUMIFS('KENDARAAN DINAS'!$O:$O,'KENDARAAN DINAS'!$U:$U,$M$3,'KENDARAAN DINAS'!$T:$T,A23)</f>
        <v>0</v>
      </c>
      <c r="N23" s="40">
        <f>SUMIFS('KENDARAAN DINAS'!$P:$P,'KENDARAAN DINAS'!$U:$U,$M$3,'KENDARAAN DINAS'!$T:$T,A23)</f>
        <v>0</v>
      </c>
      <c r="O23" s="37">
        <f t="shared" ref="O23:P23" si="19">C23+E23+G23+I23+K23+M23</f>
        <v>10</v>
      </c>
      <c r="P23" s="62">
        <f t="shared" si="19"/>
        <v>533314.81000000006</v>
      </c>
      <c r="Q23" s="16"/>
    </row>
    <row r="24" spans="1:18" ht="14.25" customHeight="1" x14ac:dyDescent="0.35">
      <c r="A24" s="34">
        <v>21</v>
      </c>
      <c r="B24" s="35" t="s">
        <v>466</v>
      </c>
      <c r="C24" s="37">
        <f>SUMIFS('KENDARAAN DINAS'!$O:$O,'KENDARAAN DINAS'!$U:$U,'REKAP KENDARAAN DINAS'!$C$3,'KENDARAAN DINAS'!$T:$T,'REKAP KENDARAAN DINAS'!A24)</f>
        <v>8</v>
      </c>
      <c r="D24" s="40">
        <f>SUMIFS('KENDARAAN DINAS'!$P:$P,'KENDARAAN DINAS'!$U:$U,'REKAP KENDARAAN DINAS'!$C$3,'KENDARAAN DINAS'!$T:$T,A24)</f>
        <v>148134.09879999998</v>
      </c>
      <c r="E24" s="37">
        <f>SUMIFS('KENDARAAN DINAS'!$O:$O,'KENDARAAN DINAS'!$U:$U,$E$3,'KENDARAAN DINAS'!$T:$T,A24)</f>
        <v>3</v>
      </c>
      <c r="F24" s="40">
        <f>SUMIFS('KENDARAAN DINAS'!$P:$P,'KENDARAAN DINAS'!$U:$U,$E$3,'KENDARAAN DINAS'!$T:$T,A24)</f>
        <v>1149014.9990000001</v>
      </c>
      <c r="G24" s="37">
        <f>SUMIFS('KENDARAAN DINAS'!$O:$O,'KENDARAAN DINAS'!$U:$U,$G$3,'KENDARAAN DINAS'!$T:$T,A24)</f>
        <v>0</v>
      </c>
      <c r="H24" s="40">
        <f>SUMIFS('KENDARAAN DINAS'!$P:$P,'KENDARAAN DINAS'!$U:$U,$G$3,'KENDARAAN DINAS'!$T:$T,A24)</f>
        <v>0</v>
      </c>
      <c r="I24" s="37">
        <f>SUMIFS('KENDARAAN DINAS'!$O:$O,'KENDARAAN DINAS'!$U:$U,$I$3,'KENDARAAN DINAS'!$T:$T,A24)</f>
        <v>0</v>
      </c>
      <c r="J24" s="40">
        <f>SUMIFS('KENDARAAN DINAS'!$P:$P,'KENDARAAN DINAS'!$U:$U,$I$3,'KENDARAAN DINAS'!$T:$T,A24)</f>
        <v>0</v>
      </c>
      <c r="K24" s="37">
        <f>SUMIFS('KENDARAAN DINAS'!$O:$O,'KENDARAAN DINAS'!$U:$U,$K$3,'KENDARAAN DINAS'!$T:$T,A24)</f>
        <v>0</v>
      </c>
      <c r="L24" s="40">
        <f>SUMIFS('KENDARAAN DINAS'!$P:$P,'KENDARAAN DINAS'!$U:$U,$K$3,'KENDARAAN DINAS'!$T:$T,A25)</f>
        <v>0</v>
      </c>
      <c r="M24" s="37">
        <f>SUMIFS('KENDARAAN DINAS'!$O:$O,'KENDARAAN DINAS'!$U:$U,$M$3,'KENDARAAN DINAS'!$T:$T,A24)</f>
        <v>0</v>
      </c>
      <c r="N24" s="40">
        <f>SUMIFS('KENDARAAN DINAS'!$P:$P,'KENDARAAN DINAS'!$U:$U,$M$3,'KENDARAAN DINAS'!$T:$T,A24)</f>
        <v>0</v>
      </c>
      <c r="O24" s="37">
        <f t="shared" ref="O24:P24" si="20">C24+E24+G24+I24+K24+M24</f>
        <v>11</v>
      </c>
      <c r="P24" s="62">
        <f t="shared" si="20"/>
        <v>1297149.0978000001</v>
      </c>
      <c r="Q24" s="16"/>
    </row>
    <row r="25" spans="1:18" ht="14.25" customHeight="1" x14ac:dyDescent="0.35">
      <c r="A25" s="34">
        <v>22</v>
      </c>
      <c r="B25" s="35" t="s">
        <v>495</v>
      </c>
      <c r="C25" s="37">
        <f>SUMIFS('KENDARAAN DINAS'!$O:$O,'KENDARAAN DINAS'!$U:$U,'REKAP KENDARAAN DINAS'!$C$3,'KENDARAAN DINAS'!$T:$T,'REKAP KENDARAAN DINAS'!A25)</f>
        <v>17</v>
      </c>
      <c r="D25" s="40">
        <f>SUMIFS('KENDARAAN DINAS'!$P:$P,'KENDARAAN DINAS'!$U:$U,'REKAP KENDARAAN DINAS'!$C$3,'KENDARAAN DINAS'!$T:$T,A25)</f>
        <v>422916</v>
      </c>
      <c r="E25" s="37">
        <f>SUMIFS('KENDARAAN DINAS'!$O:$O,'KENDARAAN DINAS'!$U:$U,$E$3,'KENDARAAN DINAS'!$T:$T,A25)</f>
        <v>2</v>
      </c>
      <c r="F25" s="40">
        <f>SUMIFS('KENDARAAN DINAS'!$P:$P,'KENDARAAN DINAS'!$U:$U,$E$3,'KENDARAAN DINAS'!$T:$T,A25)</f>
        <v>617750</v>
      </c>
      <c r="G25" s="37">
        <f>SUMIFS('KENDARAAN DINAS'!$O:$O,'KENDARAAN DINAS'!$U:$U,$G$3,'KENDARAAN DINAS'!$T:$T,A25)</f>
        <v>0</v>
      </c>
      <c r="H25" s="40">
        <f>SUMIFS('KENDARAAN DINAS'!$P:$P,'KENDARAAN DINAS'!$U:$U,$G$3,'KENDARAAN DINAS'!$T:$T,A25)</f>
        <v>0</v>
      </c>
      <c r="I25" s="37">
        <f>SUMIFS('KENDARAAN DINAS'!$O:$O,'KENDARAAN DINAS'!$U:$U,$I$3,'KENDARAAN DINAS'!$T:$T,A25)</f>
        <v>0</v>
      </c>
      <c r="J25" s="40">
        <f>SUMIFS('KENDARAAN DINAS'!$P:$P,'KENDARAAN DINAS'!$U:$U,$I$3,'KENDARAAN DINAS'!$T:$T,A25)</f>
        <v>0</v>
      </c>
      <c r="K25" s="37">
        <f>SUMIFS('KENDARAAN DINAS'!$O:$O,'KENDARAAN DINAS'!$U:$U,$K$3,'KENDARAAN DINAS'!$T:$T,A25)</f>
        <v>0</v>
      </c>
      <c r="L25" s="40">
        <f>SUMIFS('KENDARAAN DINAS'!$P:$P,'KENDARAAN DINAS'!$U:$U,$K$3,'KENDARAAN DINAS'!$T:$T,A26)</f>
        <v>0</v>
      </c>
      <c r="M25" s="37">
        <f>SUMIFS('KENDARAAN DINAS'!$O:$O,'KENDARAAN DINAS'!$U:$U,$M$3,'KENDARAAN DINAS'!$T:$T,A25)</f>
        <v>0</v>
      </c>
      <c r="N25" s="40">
        <f>SUMIFS('KENDARAAN DINAS'!$P:$P,'KENDARAAN DINAS'!$U:$U,$M$3,'KENDARAAN DINAS'!$T:$T,A25)</f>
        <v>0</v>
      </c>
      <c r="O25" s="37">
        <f t="shared" ref="O25:P25" si="21">C25+E25+G25+I25+K25+M25</f>
        <v>19</v>
      </c>
      <c r="P25" s="62">
        <f t="shared" si="21"/>
        <v>1040666</v>
      </c>
      <c r="Q25" s="16"/>
    </row>
    <row r="26" spans="1:18" ht="14.25" customHeight="1" x14ac:dyDescent="0.35">
      <c r="A26" s="34">
        <v>23</v>
      </c>
      <c r="B26" s="35" t="s">
        <v>515</v>
      </c>
      <c r="C26" s="37">
        <f>SUMIFS('KENDARAAN DINAS'!$O:$O,'KENDARAAN DINAS'!$U:$U,'REKAP KENDARAAN DINAS'!$C$3,'KENDARAAN DINAS'!$T:$T,'REKAP KENDARAAN DINAS'!A26)</f>
        <v>24</v>
      </c>
      <c r="D26" s="40">
        <f>SUMIFS('KENDARAAN DINAS'!$P:$P,'KENDARAAN DINAS'!$U:$U,'REKAP KENDARAAN DINAS'!$C$3,'KENDARAAN DINAS'!$T:$T,A26)</f>
        <v>462432.93200000003</v>
      </c>
      <c r="E26" s="37">
        <f>SUMIFS('KENDARAAN DINAS'!$O:$O,'KENDARAAN DINAS'!$U:$U,$E$3,'KENDARAAN DINAS'!$T:$T,A26)</f>
        <v>2</v>
      </c>
      <c r="F26" s="40">
        <f>SUMIFS('KENDARAAN DINAS'!$P:$P,'KENDARAAN DINAS'!$U:$U,$E$3,'KENDARAAN DINAS'!$T:$T,A26)</f>
        <v>645615</v>
      </c>
      <c r="G26" s="37">
        <f>SUMIFS('KENDARAAN DINAS'!$O:$O,'KENDARAAN DINAS'!$U:$U,$G$3,'KENDARAAN DINAS'!$T:$T,A26)</f>
        <v>0</v>
      </c>
      <c r="H26" s="40">
        <f>SUMIFS('KENDARAAN DINAS'!$P:$P,'KENDARAAN DINAS'!$U:$U,$G$3,'KENDARAAN DINAS'!$T:$T,A26)</f>
        <v>0</v>
      </c>
      <c r="I26" s="37">
        <f>SUMIFS('KENDARAAN DINAS'!$O:$O,'KENDARAAN DINAS'!$U:$U,$I$3,'KENDARAAN DINAS'!$T:$T,A26)</f>
        <v>0</v>
      </c>
      <c r="J26" s="40">
        <f>SUMIFS('KENDARAAN DINAS'!$P:$P,'KENDARAAN DINAS'!$U:$U,$I$3,'KENDARAAN DINAS'!$T:$T,A26)</f>
        <v>0</v>
      </c>
      <c r="K26" s="37">
        <f>SUMIFS('KENDARAAN DINAS'!$O:$O,'KENDARAAN DINAS'!$U:$U,$K$3,'KENDARAAN DINAS'!$T:$T,A26)</f>
        <v>0</v>
      </c>
      <c r="L26" s="40">
        <f>SUMIFS('KENDARAAN DINAS'!$P:$P,'KENDARAAN DINAS'!$U:$U,$K$3,'KENDARAAN DINAS'!$T:$T,A27)</f>
        <v>0</v>
      </c>
      <c r="M26" s="37">
        <f>SUMIFS('KENDARAAN DINAS'!$O:$O,'KENDARAAN DINAS'!$U:$U,$M$3,'KENDARAAN DINAS'!$T:$T,A26)</f>
        <v>0</v>
      </c>
      <c r="N26" s="40">
        <f>SUMIFS('KENDARAAN DINAS'!$P:$P,'KENDARAAN DINAS'!$U:$U,$M$3,'KENDARAAN DINAS'!$T:$T,A26)</f>
        <v>0</v>
      </c>
      <c r="O26" s="37">
        <f t="shared" ref="O26:P26" si="22">C26+E26+G26+I26+K26+M26</f>
        <v>26</v>
      </c>
      <c r="P26" s="62">
        <f t="shared" si="22"/>
        <v>1108047.932</v>
      </c>
      <c r="Q26" s="16"/>
    </row>
    <row r="27" spans="1:18" ht="14.25" customHeight="1" x14ac:dyDescent="0.35">
      <c r="A27" s="34">
        <v>24</v>
      </c>
      <c r="B27" s="35" t="s">
        <v>542</v>
      </c>
      <c r="C27" s="37">
        <f>SUMIFS('KENDARAAN DINAS'!$O:$O,'KENDARAAN DINAS'!$U:$U,'REKAP KENDARAAN DINAS'!$C$3,'KENDARAAN DINAS'!$T:$T,'REKAP KENDARAAN DINAS'!A27)</f>
        <v>48</v>
      </c>
      <c r="D27" s="40">
        <f>SUMIFS('KENDARAAN DINAS'!$P:$P,'KENDARAAN DINAS'!$U:$U,'REKAP KENDARAAN DINAS'!$C$3,'KENDARAAN DINAS'!$T:$T,A27)</f>
        <v>1109266.341</v>
      </c>
      <c r="E27" s="37">
        <f>SUMIFS('KENDARAAN DINAS'!$O:$O,'KENDARAAN DINAS'!$U:$U,$E$3,'KENDARAAN DINAS'!$T:$T,A27)</f>
        <v>34</v>
      </c>
      <c r="F27" s="40">
        <f>SUMIFS('KENDARAAN DINAS'!$P:$P,'KENDARAAN DINAS'!$U:$U,$E$3,'KENDARAAN DINAS'!$T:$T,A27)</f>
        <v>14452998.15</v>
      </c>
      <c r="G27" s="37">
        <f>SUMIFS('KENDARAAN DINAS'!$O:$O,'KENDARAAN DINAS'!$U:$U,$G$3,'KENDARAAN DINAS'!$T:$T,A27)</f>
        <v>1</v>
      </c>
      <c r="H27" s="40">
        <f>SUMIFS('KENDARAAN DINAS'!$P:$P,'KENDARAAN DINAS'!$U:$U,$G$3,'KENDARAAN DINAS'!$T:$T,A27)</f>
        <v>1180000</v>
      </c>
      <c r="I27" s="37">
        <f>SUMIFS('KENDARAAN DINAS'!$O:$O,'KENDARAAN DINAS'!$U:$U,$I$3,'KENDARAAN DINAS'!$T:$T,A27)</f>
        <v>0</v>
      </c>
      <c r="J27" s="40">
        <f>SUMIFS('KENDARAAN DINAS'!$P:$P,'KENDARAAN DINAS'!$U:$U,$I$3,'KENDARAAN DINAS'!$T:$T,A27)</f>
        <v>0</v>
      </c>
      <c r="K27" s="37">
        <f>SUMIFS('KENDARAAN DINAS'!$O:$O,'KENDARAAN DINAS'!$U:$U,$K$3,'KENDARAAN DINAS'!$T:$T,A27)</f>
        <v>0</v>
      </c>
      <c r="L27" s="40">
        <f>SUMIFS('KENDARAAN DINAS'!$P:$P,'KENDARAAN DINAS'!$U:$U,$K$3,'KENDARAAN DINAS'!$T:$T,A28)</f>
        <v>0</v>
      </c>
      <c r="M27" s="37">
        <f>SUMIFS('KENDARAAN DINAS'!$O:$O,'KENDARAAN DINAS'!$U:$U,$M$3,'KENDARAAN DINAS'!$T:$T,A27)</f>
        <v>0</v>
      </c>
      <c r="N27" s="40">
        <f>SUMIFS('KENDARAAN DINAS'!$P:$P,'KENDARAAN DINAS'!$U:$U,$M$3,'KENDARAAN DINAS'!$T:$T,A27)</f>
        <v>0</v>
      </c>
      <c r="O27" s="37">
        <f t="shared" ref="O27:P27" si="23">C27+E27+G27+I27+K27+M27</f>
        <v>83</v>
      </c>
      <c r="P27" s="62">
        <f t="shared" si="23"/>
        <v>16742264.491</v>
      </c>
      <c r="Q27" s="16"/>
    </row>
    <row r="28" spans="1:18" ht="14.25" customHeight="1" x14ac:dyDescent="0.35">
      <c r="A28" s="34">
        <v>25</v>
      </c>
      <c r="B28" s="35" t="s">
        <v>561</v>
      </c>
      <c r="C28" s="37">
        <f>SUMIFS('KENDARAAN DINAS'!$O:$O,'KENDARAAN DINAS'!$U:$U,'REKAP KENDARAAN DINAS'!$C$3,'KENDARAAN DINAS'!$T:$T,'REKAP KENDARAAN DINAS'!A28)</f>
        <v>36</v>
      </c>
      <c r="D28" s="40">
        <f>SUMIFS('KENDARAAN DINAS'!$P:$P,'KENDARAAN DINAS'!$U:$U,'REKAP KENDARAAN DINAS'!$C$3,'KENDARAAN DINAS'!$T:$T,A28)</f>
        <v>555582.05299999996</v>
      </c>
      <c r="E28" s="37">
        <f>SUMIFS('KENDARAAN DINAS'!$O:$O,'KENDARAAN DINAS'!$U:$U,$E$3,'KENDARAAN DINAS'!$T:$T,A28)</f>
        <v>27</v>
      </c>
      <c r="F28" s="40">
        <f>SUMIFS('KENDARAAN DINAS'!$P:$P,'KENDARAAN DINAS'!$U:$U,$E$3,'KENDARAAN DINAS'!$T:$T,A28)</f>
        <v>7236163</v>
      </c>
      <c r="G28" s="37">
        <f>SUMIFS('KENDARAAN DINAS'!$O:$O,'KENDARAAN DINAS'!$U:$U,$G$3,'KENDARAAN DINAS'!$T:$T,A28)</f>
        <v>0</v>
      </c>
      <c r="H28" s="40">
        <f>SUMIFS('KENDARAAN DINAS'!$P:$P,'KENDARAAN DINAS'!$U:$U,$G$3,'KENDARAAN DINAS'!$T:$T,A28)</f>
        <v>0</v>
      </c>
      <c r="I28" s="37">
        <f>SUMIFS('KENDARAAN DINAS'!$O:$O,'KENDARAAN DINAS'!$U:$U,$I$3,'KENDARAAN DINAS'!$T:$T,A28)</f>
        <v>0</v>
      </c>
      <c r="J28" s="40">
        <f>SUMIFS('KENDARAAN DINAS'!$P:$P,'KENDARAAN DINAS'!$U:$U,$I$3,'KENDARAAN DINAS'!$T:$T,A28)</f>
        <v>0</v>
      </c>
      <c r="K28" s="37">
        <f>SUMIFS('KENDARAAN DINAS'!$O:$O,'KENDARAAN DINAS'!$U:$U,$K$3,'KENDARAAN DINAS'!$T:$T,A28)</f>
        <v>0</v>
      </c>
      <c r="L28" s="40">
        <f>SUMIFS('KENDARAAN DINAS'!$P:$P,'KENDARAAN DINAS'!$U:$U,$K$3,'KENDARAAN DINAS'!$T:$T,A29)</f>
        <v>0</v>
      </c>
      <c r="M28" s="37">
        <f>SUMIFS('KENDARAAN DINAS'!$O:$O,'KENDARAAN DINAS'!$U:$U,$M$3,'KENDARAAN DINAS'!$T:$T,A28)</f>
        <v>0</v>
      </c>
      <c r="N28" s="40">
        <f>SUMIFS('KENDARAAN DINAS'!$P:$P,'KENDARAAN DINAS'!$U:$U,$M$3,'KENDARAAN DINAS'!$T:$T,A28)</f>
        <v>0</v>
      </c>
      <c r="O28" s="37">
        <f t="shared" ref="O28:P28" si="24">C28+E28+G28+I28+K28+M28</f>
        <v>63</v>
      </c>
      <c r="P28" s="62">
        <f t="shared" si="24"/>
        <v>7791745.0530000003</v>
      </c>
      <c r="Q28" s="16"/>
    </row>
    <row r="29" spans="1:18" ht="14.25" customHeight="1" x14ac:dyDescent="0.35">
      <c r="A29" s="34">
        <v>26</v>
      </c>
      <c r="B29" s="35" t="s">
        <v>580</v>
      </c>
      <c r="C29" s="37">
        <f>SUMIFS('KENDARAAN DINAS'!$O:$O,'KENDARAAN DINAS'!$U:$U,'REKAP KENDARAAN DINAS'!$C$3,'KENDARAAN DINAS'!$T:$T,'REKAP KENDARAAN DINAS'!A29)</f>
        <v>26</v>
      </c>
      <c r="D29" s="40">
        <f>SUMIFS('KENDARAAN DINAS'!$P:$P,'KENDARAAN DINAS'!$U:$U,'REKAP KENDARAAN DINAS'!$C$3,'KENDARAAN DINAS'!$T:$T,A29)</f>
        <v>532973.66</v>
      </c>
      <c r="E29" s="37">
        <f>SUMIFS('KENDARAAN DINAS'!$O:$O,'KENDARAAN DINAS'!$U:$U,$E$3,'KENDARAAN DINAS'!$T:$T,A29)</f>
        <v>1</v>
      </c>
      <c r="F29" s="40">
        <f>SUMIFS('KENDARAAN DINAS'!$P:$P,'KENDARAAN DINAS'!$U:$U,$E$3,'KENDARAAN DINAS'!$T:$T,A29)</f>
        <v>479300</v>
      </c>
      <c r="G29" s="37">
        <f>SUMIFS('KENDARAAN DINAS'!$O:$O,'KENDARAAN DINAS'!$U:$U,$G$3,'KENDARAAN DINAS'!$T:$T,A29)</f>
        <v>0</v>
      </c>
      <c r="H29" s="40">
        <f>SUMIFS('KENDARAAN DINAS'!$P:$P,'KENDARAAN DINAS'!$U:$U,$G$3,'KENDARAAN DINAS'!$T:$T,A29)</f>
        <v>0</v>
      </c>
      <c r="I29" s="37">
        <f>SUMIFS('KENDARAAN DINAS'!$O:$O,'KENDARAAN DINAS'!$U:$U,$I$3,'KENDARAAN DINAS'!$T:$T,A29)</f>
        <v>0</v>
      </c>
      <c r="J29" s="40">
        <f>SUMIFS('KENDARAAN DINAS'!$P:$P,'KENDARAAN DINAS'!$U:$U,$I$3,'KENDARAAN DINAS'!$T:$T,A29)</f>
        <v>0</v>
      </c>
      <c r="K29" s="37">
        <f>SUMIFS('KENDARAAN DINAS'!$O:$O,'KENDARAAN DINAS'!$U:$U,$K$3,'KENDARAAN DINAS'!$T:$T,A29)</f>
        <v>0</v>
      </c>
      <c r="L29" s="40">
        <f>SUMIFS('KENDARAAN DINAS'!$P:$P,'KENDARAAN DINAS'!$U:$U,$K$3,'KENDARAAN DINAS'!$T:$T,A30)</f>
        <v>0</v>
      </c>
      <c r="M29" s="37">
        <f>SUMIFS('KENDARAAN DINAS'!$O:$O,'KENDARAAN DINAS'!$U:$U,$M$3,'KENDARAAN DINAS'!$T:$T,A29)</f>
        <v>0</v>
      </c>
      <c r="N29" s="40">
        <f>SUMIFS('KENDARAAN DINAS'!$P:$P,'KENDARAAN DINAS'!$U:$U,$M$3,'KENDARAAN DINAS'!$T:$T,A29)</f>
        <v>0</v>
      </c>
      <c r="O29" s="37">
        <f t="shared" ref="O29:P29" si="25">C29+E29+G29+I29+K29+M29</f>
        <v>27</v>
      </c>
      <c r="P29" s="62">
        <f t="shared" si="25"/>
        <v>1012273.66</v>
      </c>
      <c r="Q29" s="78"/>
    </row>
    <row r="30" spans="1:18" ht="14.25" customHeight="1" x14ac:dyDescent="0.35">
      <c r="A30" s="34">
        <v>27</v>
      </c>
      <c r="B30" s="35" t="s">
        <v>605</v>
      </c>
      <c r="C30" s="37">
        <f>SUMIFS('KENDARAAN DINAS'!$O:$O,'KENDARAAN DINAS'!$U:$U,'REKAP KENDARAAN DINAS'!$C$3,'KENDARAAN DINAS'!$T:$T,'REKAP KENDARAAN DINAS'!A30)</f>
        <v>16</v>
      </c>
      <c r="D30" s="40">
        <f>SUMIFS('KENDARAAN DINAS'!$P:$P,'KENDARAAN DINAS'!$U:$U,'REKAP KENDARAAN DINAS'!$C$3,'KENDARAAN DINAS'!$T:$T,A30)</f>
        <v>248390.3</v>
      </c>
      <c r="E30" s="37">
        <f>SUMIFS('KENDARAAN DINAS'!$O:$O,'KENDARAAN DINAS'!$U:$U,$E$3,'KENDARAAN DINAS'!$T:$T,A30)</f>
        <v>2</v>
      </c>
      <c r="F30" s="40">
        <f>SUMIFS('KENDARAAN DINAS'!$P:$P,'KENDARAAN DINAS'!$U:$U,$E$3,'KENDARAAN DINAS'!$T:$T,A30)</f>
        <v>765100</v>
      </c>
      <c r="G30" s="37">
        <f>SUMIFS('KENDARAAN DINAS'!$O:$O,'KENDARAAN DINAS'!$U:$U,$G$3,'KENDARAAN DINAS'!$T:$T,A30)</f>
        <v>0</v>
      </c>
      <c r="H30" s="40">
        <f>SUMIFS('KENDARAAN DINAS'!$P:$P,'KENDARAAN DINAS'!$U:$U,$G$3,'KENDARAAN DINAS'!$T:$T,A30)</f>
        <v>0</v>
      </c>
      <c r="I30" s="37">
        <f>SUMIFS('KENDARAAN DINAS'!$O:$O,'KENDARAAN DINAS'!$U:$U,$I$3,'KENDARAAN DINAS'!$T:$T,A30)</f>
        <v>0</v>
      </c>
      <c r="J30" s="40">
        <f>SUMIFS('KENDARAAN DINAS'!$P:$P,'KENDARAAN DINAS'!$U:$U,$I$3,'KENDARAAN DINAS'!$T:$T,A30)</f>
        <v>0</v>
      </c>
      <c r="K30" s="37">
        <f>SUMIFS('KENDARAAN DINAS'!$O:$O,'KENDARAAN DINAS'!$U:$U,$K$3,'KENDARAAN DINAS'!$T:$T,A30)</f>
        <v>0</v>
      </c>
      <c r="L30" s="40">
        <f>SUMIFS('KENDARAAN DINAS'!$P:$P,'KENDARAAN DINAS'!$U:$U,$K$3,'KENDARAAN DINAS'!$T:$T,A31)</f>
        <v>0</v>
      </c>
      <c r="M30" s="37">
        <f>SUMIFS('KENDARAAN DINAS'!$O:$O,'KENDARAAN DINAS'!$U:$U,$M$3,'KENDARAAN DINAS'!$T:$T,A30)</f>
        <v>0</v>
      </c>
      <c r="N30" s="40">
        <f>SUMIFS('KENDARAAN DINAS'!$P:$P,'KENDARAAN DINAS'!$U:$U,$M$3,'KENDARAAN DINAS'!$T:$T,A30)</f>
        <v>0</v>
      </c>
      <c r="O30" s="37">
        <f t="shared" ref="O30:P30" si="26">C30+E30+G30+I30+K30+M30</f>
        <v>18</v>
      </c>
      <c r="P30" s="62">
        <f t="shared" si="26"/>
        <v>1013490.3</v>
      </c>
      <c r="Q30" s="16"/>
    </row>
    <row r="31" spans="1:18" ht="14.25" customHeight="1" x14ac:dyDescent="0.35">
      <c r="A31" s="34">
        <v>28</v>
      </c>
      <c r="B31" s="35" t="s">
        <v>621</v>
      </c>
      <c r="C31" s="37">
        <f>SUMIFS('KENDARAAN DINAS'!$O:$O,'KENDARAAN DINAS'!$U:$U,'REKAP KENDARAAN DINAS'!$C$3,'KENDARAAN DINAS'!$T:$T,'REKAP KENDARAAN DINAS'!A31)</f>
        <v>17</v>
      </c>
      <c r="D31" s="40">
        <f>SUMIFS('KENDARAAN DINAS'!$P:$P,'KENDARAAN DINAS'!$U:$U,'REKAP KENDARAAN DINAS'!$C$3,'KENDARAAN DINAS'!$T:$T,A31)</f>
        <v>269578</v>
      </c>
      <c r="E31" s="37">
        <f>SUMIFS('KENDARAAN DINAS'!$O:$O,'KENDARAAN DINAS'!$U:$U,$E$3,'KENDARAAN DINAS'!$T:$T,A31)</f>
        <v>10</v>
      </c>
      <c r="F31" s="40">
        <f>SUMIFS('KENDARAAN DINAS'!$P:$P,'KENDARAAN DINAS'!$U:$U,$E$3,'KENDARAAN DINAS'!$T:$T,A31)</f>
        <v>4083835</v>
      </c>
      <c r="G31" s="37">
        <f>SUMIFS('KENDARAAN DINAS'!$O:$O,'KENDARAAN DINAS'!$U:$U,$G$3,'KENDARAAN DINAS'!$T:$T,A31)</f>
        <v>0</v>
      </c>
      <c r="H31" s="40">
        <f>SUMIFS('KENDARAAN DINAS'!$P:$P,'KENDARAAN DINAS'!$U:$U,$G$3,'KENDARAAN DINAS'!$T:$T,A31)</f>
        <v>0</v>
      </c>
      <c r="I31" s="37">
        <f>SUMIFS('KENDARAAN DINAS'!$O:$O,'KENDARAAN DINAS'!$U:$U,$I$3,'KENDARAAN DINAS'!$T:$T,A31)</f>
        <v>0</v>
      </c>
      <c r="J31" s="40">
        <f>SUMIFS('KENDARAAN DINAS'!$P:$P,'KENDARAAN DINAS'!$U:$U,$I$3,'KENDARAAN DINAS'!$T:$T,A31)</f>
        <v>0</v>
      </c>
      <c r="K31" s="37">
        <f>SUMIFS('KENDARAAN DINAS'!$O:$O,'KENDARAAN DINAS'!$U:$U,$K$3,'KENDARAAN DINAS'!$T:$T,A31)</f>
        <v>0</v>
      </c>
      <c r="L31" s="40">
        <f>SUMIFS('KENDARAAN DINAS'!$P:$P,'KENDARAAN DINAS'!$U:$U,$K$3,'KENDARAAN DINAS'!$T:$T,A32)</f>
        <v>0</v>
      </c>
      <c r="M31" s="37">
        <f>SUMIFS('KENDARAAN DINAS'!$O:$O,'KENDARAAN DINAS'!$U:$U,$M$3,'KENDARAAN DINAS'!$T:$T,A31)</f>
        <v>0</v>
      </c>
      <c r="N31" s="40">
        <f>SUMIFS('KENDARAAN DINAS'!$P:$P,'KENDARAAN DINAS'!$U:$U,$M$3,'KENDARAAN DINAS'!$T:$T,A31)</f>
        <v>0</v>
      </c>
      <c r="O31" s="37">
        <f t="shared" ref="O31:P31" si="27">C31+E31+G31+I31+K31+M31</f>
        <v>27</v>
      </c>
      <c r="P31" s="62">
        <f t="shared" si="27"/>
        <v>4353413</v>
      </c>
      <c r="Q31" s="79"/>
    </row>
    <row r="32" spans="1:18" ht="14.25" customHeight="1" x14ac:dyDescent="0.35">
      <c r="A32" s="34">
        <v>29</v>
      </c>
      <c r="B32" s="35" t="s">
        <v>646</v>
      </c>
      <c r="C32" s="37">
        <f>SUMIFS('KENDARAAN DINAS'!$O:$O,'KENDARAAN DINAS'!$U:$U,'REKAP KENDARAAN DINAS'!$C$3,'KENDARAAN DINAS'!$T:$T,'REKAP KENDARAAN DINAS'!A32)</f>
        <v>118</v>
      </c>
      <c r="D32" s="40">
        <f>SUMIFS('KENDARAAN DINAS'!$P:$P,'KENDARAAN DINAS'!$U:$U,'REKAP KENDARAAN DINAS'!$C$3,'KENDARAAN DINAS'!$T:$T,A32)</f>
        <v>2502803.1349999998</v>
      </c>
      <c r="E32" s="37">
        <f>SUMIFS('KENDARAAN DINAS'!$O:$O,'KENDARAAN DINAS'!$U:$U,$E$3,'KENDARAAN DINAS'!$T:$T,A32)</f>
        <v>38</v>
      </c>
      <c r="F32" s="40">
        <f>SUMIFS('KENDARAAN DINAS'!$P:$P,'KENDARAAN DINAS'!$U:$U,$E$3,'KENDARAAN DINAS'!$T:$T,A32)</f>
        <v>15996395</v>
      </c>
      <c r="G32" s="37">
        <f>SUMIFS('KENDARAAN DINAS'!$O:$O,'KENDARAAN DINAS'!$U:$U,$G$3,'KENDARAAN DINAS'!$T:$T,A32)</f>
        <v>0</v>
      </c>
      <c r="H32" s="40">
        <f>SUMIFS('KENDARAAN DINAS'!$P:$P,'KENDARAAN DINAS'!$U:$U,$G$3,'KENDARAAN DINAS'!$T:$T,A32)</f>
        <v>0</v>
      </c>
      <c r="I32" s="37">
        <f>SUMIFS('KENDARAAN DINAS'!$O:$O,'KENDARAAN DINAS'!$U:$U,$I$3,'KENDARAAN DINAS'!$T:$T,A32)</f>
        <v>2</v>
      </c>
      <c r="J32" s="40">
        <f>SUMIFS('KENDARAAN DINAS'!$P:$P,'KENDARAAN DINAS'!$U:$U,$I$3,'KENDARAAN DINAS'!$T:$T,A32)</f>
        <v>545178</v>
      </c>
      <c r="K32" s="37">
        <f>SUMIFS('KENDARAAN DINAS'!$O:$O,'KENDARAAN DINAS'!$U:$U,$K$3,'KENDARAAN DINAS'!$T:$T,A32)</f>
        <v>0</v>
      </c>
      <c r="L32" s="40">
        <f>SUMIFS('KENDARAAN DINAS'!$P:$P,'KENDARAAN DINAS'!$U:$U,$K$3,'KENDARAAN DINAS'!$T:$T,A33)</f>
        <v>0</v>
      </c>
      <c r="M32" s="37">
        <f>SUMIFS('KENDARAAN DINAS'!$O:$O,'KENDARAAN DINAS'!$U:$U,$M$3,'KENDARAAN DINAS'!$T:$T,A32)</f>
        <v>0</v>
      </c>
      <c r="N32" s="40">
        <f>SUMIFS('KENDARAAN DINAS'!$P:$P,'KENDARAAN DINAS'!$U:$U,$M$3,'KENDARAAN DINAS'!$T:$T,A32)</f>
        <v>0</v>
      </c>
      <c r="O32" s="37">
        <f t="shared" ref="O32:P32" si="28">C32+E32+G32+I32+K32+M32</f>
        <v>158</v>
      </c>
      <c r="P32" s="62">
        <f t="shared" si="28"/>
        <v>19044376.134999998</v>
      </c>
      <c r="Q32" s="80"/>
      <c r="R32" s="81"/>
    </row>
    <row r="33" spans="1:26" ht="14.25" customHeight="1" x14ac:dyDescent="0.35">
      <c r="A33" s="34">
        <v>30</v>
      </c>
      <c r="B33" s="35" t="s">
        <v>665</v>
      </c>
      <c r="C33" s="37">
        <f>SUMIFS('KENDARAAN DINAS'!$O:$O,'KENDARAAN DINAS'!$U:$U,'REKAP KENDARAAN DINAS'!$C$3,'KENDARAAN DINAS'!$T:$T,'REKAP KENDARAAN DINAS'!A33)</f>
        <v>41</v>
      </c>
      <c r="D33" s="40">
        <f>SUMIFS('KENDARAAN DINAS'!$P:$P,'KENDARAAN DINAS'!$U:$U,'REKAP KENDARAAN DINAS'!$C$3,'KENDARAAN DINAS'!$T:$T,A33)</f>
        <v>983001.59600000002</v>
      </c>
      <c r="E33" s="37">
        <f>SUMIFS('KENDARAAN DINAS'!$O:$O,'KENDARAAN DINAS'!$U:$U,$E$3,'KENDARAAN DINAS'!$T:$T,A33)</f>
        <v>3</v>
      </c>
      <c r="F33" s="40">
        <f>SUMIFS('KENDARAAN DINAS'!$P:$P,'KENDARAAN DINAS'!$U:$U,$E$3,'KENDARAAN DINAS'!$T:$T,A33)</f>
        <v>1173585</v>
      </c>
      <c r="G33" s="37">
        <f>SUMIFS('KENDARAAN DINAS'!$O:$O,'KENDARAAN DINAS'!$U:$U,$G$3,'KENDARAAN DINAS'!$T:$T,A33)</f>
        <v>0</v>
      </c>
      <c r="H33" s="40">
        <f>SUMIFS('KENDARAAN DINAS'!$P:$P,'KENDARAAN DINAS'!$U:$U,$G$3,'KENDARAAN DINAS'!$T:$T,A33)</f>
        <v>0</v>
      </c>
      <c r="I33" s="37">
        <f>SUMIFS('KENDARAAN DINAS'!$O:$O,'KENDARAAN DINAS'!$U:$U,$I$3,'KENDARAAN DINAS'!$T:$T,A33)</f>
        <v>0</v>
      </c>
      <c r="J33" s="40">
        <f>SUMIFS('KENDARAAN DINAS'!$P:$P,'KENDARAAN DINAS'!$U:$U,$I$3,'KENDARAAN DINAS'!$T:$T,A33)</f>
        <v>0</v>
      </c>
      <c r="K33" s="37">
        <f>SUMIFS('KENDARAAN DINAS'!$O:$O,'KENDARAAN DINAS'!$U:$U,$K$3,'KENDARAAN DINAS'!$T:$T,A33)</f>
        <v>0</v>
      </c>
      <c r="L33" s="40">
        <f>SUMIFS('KENDARAAN DINAS'!$P:$P,'KENDARAAN DINAS'!$U:$U,$K$3,'KENDARAAN DINAS'!$T:$T,A34)</f>
        <v>0</v>
      </c>
      <c r="M33" s="37">
        <f>SUMIFS('KENDARAAN DINAS'!$O:$O,'KENDARAAN DINAS'!$U:$U,$M$3,'KENDARAAN DINAS'!$T:$T,A33)</f>
        <v>0</v>
      </c>
      <c r="N33" s="40">
        <f>SUMIFS('KENDARAAN DINAS'!$P:$P,'KENDARAAN DINAS'!$U:$U,$M$3,'KENDARAAN DINAS'!$T:$T,A33)</f>
        <v>0</v>
      </c>
      <c r="O33" s="37">
        <f t="shared" ref="O33:P33" si="29">C33+E33+G33+I33+K33+M33</f>
        <v>44</v>
      </c>
      <c r="P33" s="62">
        <f t="shared" si="29"/>
        <v>2156586.5959999999</v>
      </c>
      <c r="Q33" s="16"/>
    </row>
    <row r="34" spans="1:26" ht="14.25" customHeight="1" x14ac:dyDescent="0.35">
      <c r="A34" s="34">
        <v>31</v>
      </c>
      <c r="B34" s="35" t="s">
        <v>687</v>
      </c>
      <c r="C34" s="37">
        <f>SUMIFS('KENDARAAN DINAS'!$O:$O,'KENDARAAN DINAS'!$U:$U,'REKAP KENDARAAN DINAS'!$C$3,'KENDARAAN DINAS'!$T:$T,'REKAP KENDARAAN DINAS'!A34)</f>
        <v>10</v>
      </c>
      <c r="D34" s="40">
        <f>SUMIFS('KENDARAAN DINAS'!$P:$P,'KENDARAAN DINAS'!$U:$U,'REKAP KENDARAAN DINAS'!$C$3,'KENDARAAN DINAS'!$T:$T,A34)</f>
        <v>236194.61599999998</v>
      </c>
      <c r="E34" s="37">
        <f>SUMIFS('KENDARAAN DINAS'!$O:$O,'KENDARAAN DINAS'!$U:$U,$E$3,'KENDARAAN DINAS'!$T:$T,A34)</f>
        <v>2</v>
      </c>
      <c r="F34" s="40">
        <f>SUMIFS('KENDARAAN DINAS'!$P:$P,'KENDARAAN DINAS'!$U:$U,$E$3,'KENDARAAN DINAS'!$T:$T,A34)</f>
        <v>870150</v>
      </c>
      <c r="G34" s="37">
        <f>SUMIFS('KENDARAAN DINAS'!$O:$O,'KENDARAAN DINAS'!$U:$U,$G$3,'KENDARAAN DINAS'!$T:$T,A34)</f>
        <v>0</v>
      </c>
      <c r="H34" s="40">
        <f>SUMIFS('KENDARAAN DINAS'!$P:$P,'KENDARAAN DINAS'!$U:$U,$G$3,'KENDARAAN DINAS'!$T:$T,A34)</f>
        <v>0</v>
      </c>
      <c r="I34" s="37">
        <f>SUMIFS('KENDARAAN DINAS'!$O:$O,'KENDARAAN DINAS'!$U:$U,$I$3,'KENDARAAN DINAS'!$T:$T,A34)</f>
        <v>1</v>
      </c>
      <c r="J34" s="40">
        <f>SUMIFS('KENDARAAN DINAS'!$P:$P,'KENDARAAN DINAS'!$U:$U,$I$3,'KENDARAAN DINAS'!$T:$T,A34)</f>
        <v>310000</v>
      </c>
      <c r="K34" s="37">
        <f>SUMIFS('KENDARAAN DINAS'!$O:$O,'KENDARAAN DINAS'!$U:$U,$K$3,'KENDARAAN DINAS'!$T:$T,A34)</f>
        <v>0</v>
      </c>
      <c r="L34" s="40">
        <f>SUMIFS('KENDARAAN DINAS'!$P:$P,'KENDARAAN DINAS'!$U:$U,$K$3,'KENDARAAN DINAS'!$T:$T,A35)</f>
        <v>0</v>
      </c>
      <c r="M34" s="37">
        <f>SUMIFS('KENDARAAN DINAS'!$O:$O,'KENDARAAN DINAS'!$U:$U,$M$3,'KENDARAAN DINAS'!$T:$T,A34)</f>
        <v>0</v>
      </c>
      <c r="N34" s="40">
        <f>SUMIFS('KENDARAAN DINAS'!$P:$P,'KENDARAAN DINAS'!$U:$U,$M$3,'KENDARAAN DINAS'!$T:$T,A34)</f>
        <v>0</v>
      </c>
      <c r="O34" s="37">
        <f t="shared" ref="O34:P34" si="30">C34+E34+G34+I34+K34+M34</f>
        <v>13</v>
      </c>
      <c r="P34" s="62">
        <f t="shared" si="30"/>
        <v>1416344.6159999999</v>
      </c>
      <c r="Q34" s="16"/>
    </row>
    <row r="35" spans="1:26" ht="14.25" customHeight="1" x14ac:dyDescent="0.35">
      <c r="A35" s="34">
        <v>32</v>
      </c>
      <c r="B35" s="35" t="s">
        <v>712</v>
      </c>
      <c r="C35" s="37">
        <f>SUMIFS('KENDARAAN DINAS'!$O:$O,'KENDARAAN DINAS'!$U:$U,'REKAP KENDARAAN DINAS'!$C$3,'KENDARAAN DINAS'!$T:$T,'REKAP KENDARAAN DINAS'!A35)</f>
        <v>6</v>
      </c>
      <c r="D35" s="40">
        <f>SUMIFS('KENDARAAN DINAS'!$P:$P,'KENDARAAN DINAS'!$U:$U,'REKAP KENDARAAN DINAS'!$C$3,'KENDARAAN DINAS'!$T:$T,A35)</f>
        <v>94430.267000000007</v>
      </c>
      <c r="E35" s="37">
        <f>SUMIFS('KENDARAAN DINAS'!$O:$O,'KENDARAAN DINAS'!$U:$U,$E$3,'KENDARAAN DINAS'!$T:$T,A35)</f>
        <v>1</v>
      </c>
      <c r="F35" s="40">
        <f>SUMIFS('KENDARAAN DINAS'!$P:$P,'KENDARAAN DINAS'!$U:$U,$E$3,'KENDARAAN DINAS'!$T:$T,A35)</f>
        <v>470900</v>
      </c>
      <c r="G35" s="37">
        <f>SUMIFS('KENDARAAN DINAS'!$O:$O,'KENDARAAN DINAS'!$U:$U,$G$3,'KENDARAAN DINAS'!$T:$T,A35)</f>
        <v>0</v>
      </c>
      <c r="H35" s="40">
        <f>SUMIFS('KENDARAAN DINAS'!$P:$P,'KENDARAAN DINAS'!$U:$U,$G$3,'KENDARAAN DINAS'!$T:$T,A35)</f>
        <v>0</v>
      </c>
      <c r="I35" s="37">
        <f>SUMIFS('KENDARAAN DINAS'!$O:$O,'KENDARAAN DINAS'!$U:$U,$I$3,'KENDARAAN DINAS'!$T:$T,A35)</f>
        <v>0</v>
      </c>
      <c r="J35" s="40">
        <f>SUMIFS('KENDARAAN DINAS'!$P:$P,'KENDARAAN DINAS'!$U:$U,$I$3,'KENDARAAN DINAS'!$T:$T,A35)</f>
        <v>0</v>
      </c>
      <c r="K35" s="37">
        <f>SUMIFS('KENDARAAN DINAS'!$O:$O,'KENDARAAN DINAS'!$U:$U,$K$3,'KENDARAAN DINAS'!$T:$T,A35)</f>
        <v>0</v>
      </c>
      <c r="L35" s="40">
        <f>SUMIFS('KENDARAAN DINAS'!$P:$P,'KENDARAAN DINAS'!$U:$U,$K$3,'KENDARAAN DINAS'!$T:$T,A36)</f>
        <v>0</v>
      </c>
      <c r="M35" s="37">
        <f>SUMIFS('KENDARAAN DINAS'!$O:$O,'KENDARAAN DINAS'!$U:$U,$M$3,'KENDARAAN DINAS'!$T:$T,A35)</f>
        <v>0</v>
      </c>
      <c r="N35" s="40">
        <f>SUMIFS('KENDARAAN DINAS'!$P:$P,'KENDARAAN DINAS'!$U:$U,$M$3,'KENDARAAN DINAS'!$T:$T,A35)</f>
        <v>0</v>
      </c>
      <c r="O35" s="37">
        <f t="shared" ref="O35:P35" si="31">C35+E35+G35+I35+K35+M35</f>
        <v>7</v>
      </c>
      <c r="P35" s="62">
        <f t="shared" si="31"/>
        <v>565330.26699999999</v>
      </c>
      <c r="Q35" s="16"/>
    </row>
    <row r="36" spans="1:26" ht="14.25" customHeight="1" x14ac:dyDescent="0.35">
      <c r="A36" s="34">
        <v>33</v>
      </c>
      <c r="B36" s="35" t="s">
        <v>731</v>
      </c>
      <c r="C36" s="37">
        <f>SUMIFS('KENDARAAN DINAS'!$O:$O,'KENDARAAN DINAS'!$U:$U,'REKAP KENDARAAN DINAS'!$C$3,'KENDARAAN DINAS'!$T:$T,'REKAP KENDARAAN DINAS'!A36)</f>
        <v>9</v>
      </c>
      <c r="D36" s="40">
        <f>SUMIFS('KENDARAAN DINAS'!$P:$P,'KENDARAAN DINAS'!$U:$U,'REKAP KENDARAAN DINAS'!$C$3,'KENDARAAN DINAS'!$T:$T,A36)</f>
        <v>160667.12699999998</v>
      </c>
      <c r="E36" s="37">
        <f>SUMIFS('KENDARAAN DINAS'!$O:$O,'KENDARAAN DINAS'!$U:$U,$E$3,'KENDARAAN DINAS'!$T:$T,A36)</f>
        <v>1</v>
      </c>
      <c r="F36" s="40">
        <f>SUMIFS('KENDARAAN DINAS'!$P:$P,'KENDARAAN DINAS'!$U:$U,$E$3,'KENDARAAN DINAS'!$T:$T,A36)</f>
        <v>477500</v>
      </c>
      <c r="G36" s="37">
        <f>SUMIFS('KENDARAAN DINAS'!$O:$O,'KENDARAAN DINAS'!$U:$U,$G$3,'KENDARAAN DINAS'!$T:$T,A36)</f>
        <v>0</v>
      </c>
      <c r="H36" s="40" t="s">
        <v>63</v>
      </c>
      <c r="I36" s="37">
        <f>SUMIFS('KENDARAAN DINAS'!$O:$O,'KENDARAAN DINAS'!$U:$U,$I$3,'KENDARAAN DINAS'!$T:$T,A36)</f>
        <v>0</v>
      </c>
      <c r="J36" s="40">
        <f>SUMIFS('KENDARAAN DINAS'!$P:$P,'KENDARAAN DINAS'!$U:$U,$I$3,'KENDARAAN DINAS'!$T:$T,A36)</f>
        <v>0</v>
      </c>
      <c r="K36" s="37">
        <f>SUMIFS('KENDARAAN DINAS'!$O:$O,'KENDARAAN DINAS'!$U:$U,$K$3,'KENDARAAN DINAS'!$T:$T,A36)</f>
        <v>0</v>
      </c>
      <c r="L36" s="40">
        <f>SUMIFS('KENDARAAN DINAS'!$P:$P,'KENDARAAN DINAS'!$U:$U,$K$3,'KENDARAAN DINAS'!$T:$T,A37)</f>
        <v>0</v>
      </c>
      <c r="M36" s="37">
        <f>SUMIFS('KENDARAAN DINAS'!$O:$O,'KENDARAAN DINAS'!$U:$U,$M$3,'KENDARAAN DINAS'!$T:$T,A36)</f>
        <v>0</v>
      </c>
      <c r="N36" s="40">
        <f>SUMIFS('KENDARAAN DINAS'!$P:$P,'KENDARAAN DINAS'!$U:$U,$M$3,'KENDARAAN DINAS'!$T:$T,A36)</f>
        <v>0</v>
      </c>
      <c r="O36" s="37">
        <f t="shared" ref="O36:P36" si="32">C36+E36+G36+I36+K36+M36</f>
        <v>10</v>
      </c>
      <c r="P36" s="62" t="e">
        <f t="shared" si="32"/>
        <v>#VALUE!</v>
      </c>
      <c r="Q36" s="16"/>
    </row>
    <row r="37" spans="1:26" ht="14.25" customHeight="1" x14ac:dyDescent="0.35">
      <c r="A37" s="34">
        <v>34</v>
      </c>
      <c r="B37" s="35" t="s">
        <v>758</v>
      </c>
      <c r="C37" s="37">
        <f>SUMIFS('KENDARAAN DINAS'!$O:$O,'KENDARAAN DINAS'!$U:$U,'REKAP KENDARAAN DINAS'!$C$3,'KENDARAAN DINAS'!$T:$T,'REKAP KENDARAAN DINAS'!A37)</f>
        <v>23</v>
      </c>
      <c r="D37" s="40">
        <f>SUMIFS('KENDARAAN DINAS'!$P:$P,'KENDARAAN DINAS'!$U:$U,'REKAP KENDARAAN DINAS'!$C$3,'KENDARAAN DINAS'!$T:$T,A37)</f>
        <v>521298.81900000002</v>
      </c>
      <c r="E37" s="37">
        <f>SUMIFS('KENDARAAN DINAS'!$O:$O,'KENDARAAN DINAS'!$U:$U,$E$3,'KENDARAAN DINAS'!$T:$T,A37)</f>
        <v>3</v>
      </c>
      <c r="F37" s="40">
        <f>SUMIFS('KENDARAAN DINAS'!$P:$P,'KENDARAAN DINAS'!$U:$U,$E$3,'KENDARAAN DINAS'!$T:$T,A37)</f>
        <v>888600</v>
      </c>
      <c r="G37" s="37">
        <f>SUMIFS('KENDARAAN DINAS'!$O:$O,'KENDARAAN DINAS'!$U:$U,$G$3,'KENDARAAN DINAS'!$T:$T,A37)</f>
        <v>0</v>
      </c>
      <c r="H37" s="40">
        <f>SUMIFS('KENDARAAN DINAS'!$P:$P,'KENDARAAN DINAS'!$U:$U,$G$3,'KENDARAAN DINAS'!$T:$T,A37)</f>
        <v>0</v>
      </c>
      <c r="I37" s="37">
        <f>SUMIFS('KENDARAAN DINAS'!$O:$O,'KENDARAAN DINAS'!$U:$U,$I$3,'KENDARAAN DINAS'!$T:$T,A37)</f>
        <v>0</v>
      </c>
      <c r="J37" s="40">
        <f>SUMIFS('KENDARAAN DINAS'!$P:$P,'KENDARAAN DINAS'!$U:$U,$I$3,'KENDARAAN DINAS'!$T:$T,A37)</f>
        <v>0</v>
      </c>
      <c r="K37" s="37">
        <f>SUMIFS('KENDARAAN DINAS'!$O:$O,'KENDARAAN DINAS'!$U:$U,$K$3,'KENDARAAN DINAS'!$T:$T,A37)</f>
        <v>0</v>
      </c>
      <c r="L37" s="40">
        <f>SUMIFS('KENDARAAN DINAS'!$P:$P,'KENDARAAN DINAS'!$U:$U,$K$3,'KENDARAAN DINAS'!$T:$T,A38)</f>
        <v>0</v>
      </c>
      <c r="M37" s="37">
        <f>SUMIFS('KENDARAAN DINAS'!$O:$O,'KENDARAAN DINAS'!$U:$U,$M$3,'KENDARAAN DINAS'!$T:$T,A37)</f>
        <v>0</v>
      </c>
      <c r="N37" s="40">
        <f>SUMIFS('KENDARAAN DINAS'!$P:$P,'KENDARAAN DINAS'!$U:$U,$M$3,'KENDARAAN DINAS'!$T:$T,A37)</f>
        <v>0</v>
      </c>
      <c r="O37" s="37">
        <f t="shared" ref="O37:P37" si="33">C37+E37+G37+I37+K37+M37</f>
        <v>26</v>
      </c>
      <c r="P37" s="62">
        <f t="shared" si="33"/>
        <v>1409898.8190000001</v>
      </c>
      <c r="Q37" s="16"/>
    </row>
    <row r="38" spans="1:26" ht="14.25" customHeight="1" x14ac:dyDescent="0.35">
      <c r="A38" s="34">
        <v>35</v>
      </c>
      <c r="B38" s="35" t="s">
        <v>775</v>
      </c>
      <c r="C38" s="37">
        <f>SUMIFS('KENDARAAN DINAS'!$O:$O,'KENDARAAN DINAS'!$U:$U,'REKAP KENDARAAN DINAS'!$C$3,'KENDARAAN DINAS'!$T:$T,'REKAP KENDARAAN DINAS'!A38)</f>
        <v>8</v>
      </c>
      <c r="D38" s="40">
        <f>SUMIFS('KENDARAAN DINAS'!$P:$P,'KENDARAAN DINAS'!$U:$U,'REKAP KENDARAAN DINAS'!$C$3,'KENDARAAN DINAS'!$T:$T,A38)</f>
        <v>151584.133</v>
      </c>
      <c r="E38" s="37">
        <f>SUMIFS('KENDARAAN DINAS'!$O:$O,'KENDARAAN DINAS'!$U:$U,$E$3,'KENDARAAN DINAS'!$T:$T,A38)</f>
        <v>1</v>
      </c>
      <c r="F38" s="40">
        <f>SUMIFS('KENDARAAN DINAS'!$P:$P,'KENDARAAN DINAS'!$U:$U,$E$3,'KENDARAAN DINAS'!$T:$T,A38)</f>
        <v>425500</v>
      </c>
      <c r="G38" s="37">
        <f>SUMIFS('KENDARAAN DINAS'!$O:$O,'KENDARAAN DINAS'!$U:$U,$G$3,'KENDARAAN DINAS'!$T:$T,A38)</f>
        <v>0</v>
      </c>
      <c r="H38" s="40">
        <f>SUMIFS('KENDARAAN DINAS'!$P:$P,'KENDARAAN DINAS'!$U:$U,$G$3,'KENDARAAN DINAS'!$T:$T,A38)</f>
        <v>0</v>
      </c>
      <c r="I38" s="37">
        <f>SUMIFS('KENDARAAN DINAS'!$O:$O,'KENDARAAN DINAS'!$U:$U,$I$3,'KENDARAAN DINAS'!$T:$T,A38)</f>
        <v>1</v>
      </c>
      <c r="J38" s="40">
        <f>SUMIFS('KENDARAAN DINAS'!$P:$P,'KENDARAAN DINAS'!$U:$U,$I$3,'KENDARAAN DINAS'!$T:$T,A38)</f>
        <v>310000</v>
      </c>
      <c r="K38" s="37">
        <f>SUMIFS('KENDARAAN DINAS'!$O:$O,'KENDARAAN DINAS'!$U:$U,$K$3,'KENDARAAN DINAS'!$T:$T,A38)</f>
        <v>0</v>
      </c>
      <c r="L38" s="40">
        <f>SUMIFS('KENDARAAN DINAS'!$P:$P,'KENDARAAN DINAS'!$U:$U,$K$3,'KENDARAAN DINAS'!$T:$T,A39)</f>
        <v>0</v>
      </c>
      <c r="M38" s="37">
        <f>SUMIFS('KENDARAAN DINAS'!$O:$O,'KENDARAAN DINAS'!$U:$U,$M$3,'KENDARAAN DINAS'!$T:$T,A38)</f>
        <v>0</v>
      </c>
      <c r="N38" s="40">
        <f>SUMIFS('KENDARAAN DINAS'!$P:$P,'KENDARAAN DINAS'!$U:$U,$M$3,'KENDARAAN DINAS'!$T:$T,A38)</f>
        <v>0</v>
      </c>
      <c r="O38" s="37">
        <f t="shared" ref="O38:P38" si="34">C38+E38+G38+I38+K38+M38</f>
        <v>10</v>
      </c>
      <c r="P38" s="62">
        <f t="shared" si="34"/>
        <v>887084.13300000003</v>
      </c>
      <c r="Q38" s="16"/>
    </row>
    <row r="39" spans="1:26" ht="14.25" customHeight="1" x14ac:dyDescent="0.35">
      <c r="A39" s="34">
        <v>36</v>
      </c>
      <c r="B39" s="35" t="s">
        <v>797</v>
      </c>
      <c r="C39" s="37">
        <f>SUMIFS('KENDARAAN DINAS'!$O:$O,'KENDARAAN DINAS'!$U:$U,'REKAP KENDARAAN DINAS'!$C$3,'KENDARAAN DINAS'!$T:$T,'REKAP KENDARAAN DINAS'!A39)</f>
        <v>6</v>
      </c>
      <c r="D39" s="40">
        <f>SUMIFS('KENDARAAN DINAS'!$P:$P,'KENDARAAN DINAS'!$U:$U,'REKAP KENDARAAN DINAS'!$C$3,'KENDARAAN DINAS'!$T:$T,A39)</f>
        <v>119575.76</v>
      </c>
      <c r="E39" s="37">
        <f>SUMIFS('KENDARAAN DINAS'!$O:$O,'KENDARAAN DINAS'!$U:$U,$E$3,'KENDARAAN DINAS'!$T:$T,A39)</f>
        <v>2</v>
      </c>
      <c r="F39" s="40">
        <f>SUMIFS('KENDARAAN DINAS'!$P:$P,'KENDARAAN DINAS'!$U:$U,$E$3,'KENDARAAN DINAS'!$T:$T,A39)</f>
        <v>870150</v>
      </c>
      <c r="G39" s="37">
        <f>SUMIFS('KENDARAAN DINAS'!$O:$O,'KENDARAAN DINAS'!$U:$U,$G$3,'KENDARAAN DINAS'!$T:$T,A39)</f>
        <v>0</v>
      </c>
      <c r="H39" s="40">
        <f>SUMIFS('KENDARAAN DINAS'!$P:$P,'KENDARAAN DINAS'!$U:$U,$G$3,'KENDARAAN DINAS'!$T:$T,A39)</f>
        <v>0</v>
      </c>
      <c r="I39" s="37">
        <f>SUMIFS('KENDARAAN DINAS'!$O:$O,'KENDARAAN DINAS'!$U:$U,$I$3,'KENDARAAN DINAS'!$T:$T,A39)</f>
        <v>0</v>
      </c>
      <c r="J39" s="40">
        <f>SUMIFS('KENDARAAN DINAS'!$P:$P,'KENDARAAN DINAS'!$U:$U,$I$3,'KENDARAAN DINAS'!$T:$T,A39)</f>
        <v>0</v>
      </c>
      <c r="K39" s="37">
        <f>SUMIFS('KENDARAAN DINAS'!$O:$O,'KENDARAAN DINAS'!$U:$U,$K$3,'KENDARAAN DINAS'!$T:$T,A39)</f>
        <v>0</v>
      </c>
      <c r="L39" s="40">
        <f>SUMIFS('KENDARAAN DINAS'!$P:$P,'KENDARAAN DINAS'!$U:$U,$K$3,'KENDARAAN DINAS'!$T:$T,A40)</f>
        <v>0</v>
      </c>
      <c r="M39" s="37">
        <f>SUMIFS('KENDARAAN DINAS'!$O:$O,'KENDARAAN DINAS'!$U:$U,$M$3,'KENDARAAN DINAS'!$T:$T,A39)</f>
        <v>0</v>
      </c>
      <c r="N39" s="40">
        <f>SUMIFS('KENDARAAN DINAS'!$P:$P,'KENDARAAN DINAS'!$U:$U,$M$3,'KENDARAAN DINAS'!$T:$T,A39)</f>
        <v>0</v>
      </c>
      <c r="O39" s="37">
        <f t="shared" ref="O39:P39" si="35">C39+E39+G39+I39+K39+M39</f>
        <v>8</v>
      </c>
      <c r="P39" s="62">
        <f t="shared" si="35"/>
        <v>989725.76</v>
      </c>
      <c r="Q39" s="16"/>
    </row>
    <row r="40" spans="1:26" ht="14.25" customHeight="1" x14ac:dyDescent="0.35">
      <c r="A40" s="34">
        <v>37</v>
      </c>
      <c r="B40" s="35" t="s">
        <v>817</v>
      </c>
      <c r="C40" s="37">
        <f>SUMIFS('KENDARAAN DINAS'!$O:$O,'KENDARAAN DINAS'!$U:$U,'REKAP KENDARAAN DINAS'!$C$3,'KENDARAAN DINAS'!$T:$T,'REKAP KENDARAAN DINAS'!A40)</f>
        <v>4</v>
      </c>
      <c r="D40" s="40">
        <f>SUMIFS('KENDARAAN DINAS'!$P:$P,'KENDARAAN DINAS'!$U:$U,'REKAP KENDARAAN DINAS'!$C$3,'KENDARAAN DINAS'!$T:$T,A40)</f>
        <v>78577.55</v>
      </c>
      <c r="E40" s="37">
        <f>SUMIFS('KENDARAAN DINAS'!$O:$O,'KENDARAAN DINAS'!$U:$U,$E$3,'KENDARAAN DINAS'!$T:$T,A40)</f>
        <v>0</v>
      </c>
      <c r="F40" s="40">
        <f>SUMIFS('KENDARAAN DINAS'!$P:$P,'KENDARAAN DINAS'!$U:$U,$E$3,'KENDARAAN DINAS'!$T:$T,A40)</f>
        <v>0</v>
      </c>
      <c r="G40" s="37">
        <f>SUMIFS('KENDARAAN DINAS'!$O:$O,'KENDARAAN DINAS'!$U:$U,$G$3,'KENDARAAN DINAS'!$T:$T,A40)</f>
        <v>0</v>
      </c>
      <c r="H40" s="40">
        <f>SUMIFS('KENDARAAN DINAS'!$P:$P,'KENDARAAN DINAS'!$U:$U,$G$3,'KENDARAAN DINAS'!$T:$T,A40)</f>
        <v>0</v>
      </c>
      <c r="I40" s="37">
        <f>SUMIFS('KENDARAAN DINAS'!$O:$O,'KENDARAAN DINAS'!$U:$U,$I$3,'KENDARAAN DINAS'!$T:$T,A40)</f>
        <v>0</v>
      </c>
      <c r="J40" s="40">
        <f>SUMIFS('KENDARAAN DINAS'!$P:$P,'KENDARAAN DINAS'!$U:$U,$I$3,'KENDARAAN DINAS'!$T:$T,A40)</f>
        <v>0</v>
      </c>
      <c r="K40" s="37">
        <f>SUMIFS('KENDARAAN DINAS'!$O:$O,'KENDARAAN DINAS'!$U:$U,$K$3,'KENDARAAN DINAS'!$T:$T,A40)</f>
        <v>0</v>
      </c>
      <c r="L40" s="40">
        <f>SUMIFS('KENDARAAN DINAS'!$P:$P,'KENDARAAN DINAS'!$U:$U,$K$3,'KENDARAAN DINAS'!$T:$T,A41)</f>
        <v>0</v>
      </c>
      <c r="M40" s="37">
        <f>SUMIFS('KENDARAAN DINAS'!$O:$O,'KENDARAAN DINAS'!$U:$U,$M$3,'KENDARAAN DINAS'!$T:$T,A40)</f>
        <v>0</v>
      </c>
      <c r="N40" s="40">
        <f>SUMIFS('KENDARAAN DINAS'!$P:$P,'KENDARAAN DINAS'!$U:$U,$M$3,'KENDARAAN DINAS'!$T:$T,A40)</f>
        <v>0</v>
      </c>
      <c r="O40" s="37">
        <f t="shared" ref="O40:P40" si="36">C40+E40+G40+I40+K40+M40</f>
        <v>4</v>
      </c>
      <c r="P40" s="62">
        <f t="shared" si="36"/>
        <v>78577.55</v>
      </c>
      <c r="Q40" s="16"/>
    </row>
    <row r="41" spans="1:26" ht="14.25" customHeight="1" x14ac:dyDescent="0.35">
      <c r="A41" s="34">
        <v>38</v>
      </c>
      <c r="B41" s="35" t="s">
        <v>838</v>
      </c>
      <c r="C41" s="37">
        <f>SUMIFS('KENDARAAN DINAS'!$O:$O,'KENDARAAN DINAS'!$U:$U,'REKAP KENDARAAN DINAS'!$C$3,'KENDARAAN DINAS'!$T:$T,'REKAP KENDARAAN DINAS'!A41)</f>
        <v>4</v>
      </c>
      <c r="D41" s="40">
        <f>SUMIFS('KENDARAAN DINAS'!$P:$P,'KENDARAAN DINAS'!$U:$U,'REKAP KENDARAAN DINAS'!$C$3,'KENDARAAN DINAS'!$T:$T,A41)</f>
        <v>68091.68299999999</v>
      </c>
      <c r="E41" s="37">
        <f>SUMIFS('KENDARAAN DINAS'!$O:$O,'KENDARAAN DINAS'!$U:$U,$E$3,'KENDARAAN DINAS'!$T:$T,A41)</f>
        <v>1</v>
      </c>
      <c r="F41" s="40">
        <f>SUMIFS('KENDARAAN DINAS'!$P:$P,'KENDARAAN DINAS'!$U:$U,$E$3,'KENDARAAN DINAS'!$T:$T,A41)</f>
        <v>477500</v>
      </c>
      <c r="G41" s="37">
        <f>SUMIFS('KENDARAAN DINAS'!$O:$O,'KENDARAAN DINAS'!$U:$U,$G$3,'KENDARAAN DINAS'!$T:$T,A41)</f>
        <v>0</v>
      </c>
      <c r="H41" s="40">
        <f>SUMIFS('KENDARAAN DINAS'!$P:$P,'KENDARAAN DINAS'!$U:$U,$G$3,'KENDARAAN DINAS'!$T:$T,A41)</f>
        <v>0</v>
      </c>
      <c r="I41" s="37">
        <f>SUMIFS('KENDARAAN DINAS'!$O:$O,'KENDARAAN DINAS'!$U:$U,$I$3,'KENDARAAN DINAS'!$T:$T,A41)</f>
        <v>0</v>
      </c>
      <c r="J41" s="40">
        <f>SUMIFS('KENDARAAN DINAS'!$P:$P,'KENDARAAN DINAS'!$U:$U,$I$3,'KENDARAAN DINAS'!$T:$T,A41)</f>
        <v>0</v>
      </c>
      <c r="K41" s="37">
        <f>SUMIFS('KENDARAAN DINAS'!$O:$O,'KENDARAAN DINAS'!$U:$U,$K$3,'KENDARAAN DINAS'!$T:$T,A41)</f>
        <v>0</v>
      </c>
      <c r="L41" s="40">
        <f>SUMIFS('KENDARAAN DINAS'!$P:$P,'KENDARAAN DINAS'!$U:$U,$K$3,'KENDARAAN DINAS'!$T:$T,A42)</f>
        <v>0</v>
      </c>
      <c r="M41" s="37">
        <f>SUMIFS('KENDARAAN DINAS'!$O:$O,'KENDARAAN DINAS'!$U:$U,$M$3,'KENDARAAN DINAS'!$T:$T,A41)</f>
        <v>0</v>
      </c>
      <c r="N41" s="40">
        <f>SUMIFS('KENDARAAN DINAS'!$P:$P,'KENDARAAN DINAS'!$U:$U,$M$3,'KENDARAAN DINAS'!$T:$T,A41)</f>
        <v>0</v>
      </c>
      <c r="O41" s="37">
        <f t="shared" ref="O41:P41" si="37">C41+E41+G41+I41+K41+M41</f>
        <v>5</v>
      </c>
      <c r="P41" s="62">
        <f t="shared" si="37"/>
        <v>545591.68299999996</v>
      </c>
      <c r="Q41" s="16"/>
    </row>
    <row r="42" spans="1:26" ht="14.25" customHeight="1" x14ac:dyDescent="0.35">
      <c r="A42" s="34">
        <v>39</v>
      </c>
      <c r="B42" s="35" t="s">
        <v>859</v>
      </c>
      <c r="C42" s="37">
        <f>SUMIFS('KENDARAAN DINAS'!$O:$O,'KENDARAAN DINAS'!$U:$U,'REKAP KENDARAAN DINAS'!$C$3,'KENDARAAN DINAS'!$T:$T,'REKAP KENDARAAN DINAS'!A42)</f>
        <v>3</v>
      </c>
      <c r="D42" s="40">
        <f>SUMIFS('KENDARAAN DINAS'!$P:$P,'KENDARAAN DINAS'!$U:$U,'REKAP KENDARAAN DINAS'!$C$3,'KENDARAAN DINAS'!$T:$T,A42)</f>
        <v>45875.582999999999</v>
      </c>
      <c r="E42" s="37">
        <f>SUMIFS('KENDARAAN DINAS'!$O:$O,'KENDARAAN DINAS'!$U:$U,$E$3,'KENDARAAN DINAS'!$T:$T,A42)</f>
        <v>1</v>
      </c>
      <c r="F42" s="40">
        <f>SUMIFS('KENDARAAN DINAS'!$P:$P,'KENDARAAN DINAS'!$U:$U,$E$3,'KENDARAAN DINAS'!$T:$T,A42)</f>
        <v>477500</v>
      </c>
      <c r="G42" s="37">
        <f>SUMIFS('KENDARAAN DINAS'!$O:$O,'KENDARAAN DINAS'!$U:$U,$G$3,'KENDARAAN DINAS'!$T:$T,A42)</f>
        <v>0</v>
      </c>
      <c r="H42" s="40">
        <f>SUMIFS('KENDARAAN DINAS'!$P:$P,'KENDARAAN DINAS'!$U:$U,$G$3,'KENDARAAN DINAS'!$T:$T,A42)</f>
        <v>0</v>
      </c>
      <c r="I42" s="37">
        <f>SUMIFS('KENDARAAN DINAS'!$O:$O,'KENDARAAN DINAS'!$U:$U,$I$3,'KENDARAAN DINAS'!$T:$T,A42)</f>
        <v>0</v>
      </c>
      <c r="J42" s="40">
        <f>SUMIFS('KENDARAAN DINAS'!$P:$P,'KENDARAAN DINAS'!$U:$U,$I$3,'KENDARAAN DINAS'!$T:$T,A42)</f>
        <v>0</v>
      </c>
      <c r="K42" s="37">
        <f>SUMIFS('KENDARAAN DINAS'!$O:$O,'KENDARAAN DINAS'!$U:$U,$K$3,'KENDARAAN DINAS'!$T:$T,A42)</f>
        <v>0</v>
      </c>
      <c r="L42" s="40">
        <f>SUMIFS('KENDARAAN DINAS'!$P:$P,'KENDARAAN DINAS'!$U:$U,$K$3,'KENDARAAN DINAS'!$T:$T,A43)</f>
        <v>0</v>
      </c>
      <c r="M42" s="37">
        <f>SUMIFS('KENDARAAN DINAS'!$O:$O,'KENDARAAN DINAS'!$U:$U,$M$3,'KENDARAAN DINAS'!$T:$T,A42)</f>
        <v>0</v>
      </c>
      <c r="N42" s="40">
        <f>SUMIFS('KENDARAAN DINAS'!$P:$P,'KENDARAAN DINAS'!$U:$U,$M$3,'KENDARAAN DINAS'!$T:$T,A42)</f>
        <v>0</v>
      </c>
      <c r="O42" s="37">
        <f t="shared" ref="O42:P42" si="38">C42+E42+G42+I42+K42+M42</f>
        <v>4</v>
      </c>
      <c r="P42" s="62">
        <f t="shared" si="38"/>
        <v>523375.58299999998</v>
      </c>
      <c r="Q42" s="16"/>
    </row>
    <row r="43" spans="1:26" ht="14.25" customHeight="1" x14ac:dyDescent="0.35">
      <c r="A43" s="34">
        <v>40</v>
      </c>
      <c r="B43" s="35" t="s">
        <v>882</v>
      </c>
      <c r="C43" s="37">
        <f>SUMIFS('KENDARAAN DINAS'!$O:$O,'KENDARAAN DINAS'!$U:$U,'REKAP KENDARAAN DINAS'!$C$3,'KENDARAAN DINAS'!$T:$T,'REKAP KENDARAAN DINAS'!A43)</f>
        <v>6</v>
      </c>
      <c r="D43" s="40">
        <f>SUMIFS('KENDARAAN DINAS'!$P:$P,'KENDARAAN DINAS'!$U:$U,'REKAP KENDARAAN DINAS'!$C$3,'KENDARAAN DINAS'!$T:$T,A43)</f>
        <v>118176.527</v>
      </c>
      <c r="E43" s="37">
        <f>SUMIFS('KENDARAAN DINAS'!$O:$O,'KENDARAAN DINAS'!$U:$U,$E$3,'KENDARAAN DINAS'!$T:$T,A43)</f>
        <v>2</v>
      </c>
      <c r="F43" s="40">
        <f>SUMIFS('KENDARAAN DINAS'!$P:$P,'KENDARAAN DINAS'!$U:$U,$E$3,'KENDARAAN DINAS'!$T:$T,A43)</f>
        <v>625000</v>
      </c>
      <c r="G43" s="37">
        <f>SUMIFS('KENDARAAN DINAS'!$O:$O,'KENDARAAN DINAS'!$U:$U,$G$3,'KENDARAAN DINAS'!$T:$T,A43)</f>
        <v>0</v>
      </c>
      <c r="H43" s="40">
        <f>SUMIFS('KENDARAAN DINAS'!$P:$P,'KENDARAAN DINAS'!$U:$U,$G$3,'KENDARAAN DINAS'!$T:$T,A43)</f>
        <v>0</v>
      </c>
      <c r="I43" s="37">
        <f>SUMIFS('KENDARAAN DINAS'!$O:$O,'KENDARAAN DINAS'!$U:$U,$I$3,'KENDARAAN DINAS'!$T:$T,A43)</f>
        <v>1</v>
      </c>
      <c r="J43" s="40">
        <f>SUMIFS('KENDARAAN DINAS'!$P:$P,'KENDARAAN DINAS'!$U:$U,$I$3,'KENDARAAN DINAS'!$T:$T,A43)</f>
        <v>310000</v>
      </c>
      <c r="K43" s="37">
        <f>SUMIFS('KENDARAAN DINAS'!$O:$O,'KENDARAAN DINAS'!$U:$U,$K$3,'KENDARAAN DINAS'!$T:$T,A43)</f>
        <v>0</v>
      </c>
      <c r="L43" s="40">
        <f>SUMIFS('KENDARAAN DINAS'!$P:$P,'KENDARAAN DINAS'!$U:$U,$K$3,'KENDARAAN DINAS'!$T:$T,A44)</f>
        <v>0</v>
      </c>
      <c r="M43" s="37">
        <f>SUMIFS('KENDARAAN DINAS'!$O:$O,'KENDARAAN DINAS'!$U:$U,$M$3,'KENDARAAN DINAS'!$T:$T,A43)</f>
        <v>0</v>
      </c>
      <c r="N43" s="40">
        <f>SUMIFS('KENDARAAN DINAS'!$P:$P,'KENDARAAN DINAS'!$U:$U,$M$3,'KENDARAAN DINAS'!$T:$T,A43)</f>
        <v>0</v>
      </c>
      <c r="O43" s="37">
        <f t="shared" ref="O43:P43" si="39">C43+E43+G43+I43+K43+M43</f>
        <v>9</v>
      </c>
      <c r="P43" s="62">
        <f t="shared" si="39"/>
        <v>1053176.527</v>
      </c>
      <c r="Q43" s="16"/>
    </row>
    <row r="44" spans="1:26" ht="14.25" customHeight="1" x14ac:dyDescent="0.35">
      <c r="A44" s="34">
        <v>41</v>
      </c>
      <c r="B44" s="35" t="s">
        <v>903</v>
      </c>
      <c r="C44" s="37">
        <f>SUMIFS('KENDARAAN DINAS'!$O:$O,'KENDARAAN DINAS'!$U:$U,'REKAP KENDARAAN DINAS'!$C$3,'KENDARAAN DINAS'!$T:$T,'REKAP KENDARAAN DINAS'!A44)</f>
        <v>186</v>
      </c>
      <c r="D44" s="40">
        <f>SUMIFS('KENDARAAN DINAS'!$P:$P,'KENDARAAN DINAS'!$U:$U,'REKAP KENDARAAN DINAS'!$C$3,'KENDARAAN DINAS'!$T:$T,A44)</f>
        <v>6335314</v>
      </c>
      <c r="E44" s="37">
        <f>SUMIFS('KENDARAAN DINAS'!$O:$O,'KENDARAAN DINAS'!$U:$U,$E$3,'KENDARAAN DINAS'!$T:$T,A44)</f>
        <v>20</v>
      </c>
      <c r="F44" s="40">
        <f>SUMIFS('KENDARAAN DINAS'!$P:$P,'KENDARAAN DINAS'!$U:$U,$E$3,'KENDARAAN DINAS'!$T:$T,A44)</f>
        <v>14193619</v>
      </c>
      <c r="G44" s="37">
        <f>SUMIFS('KENDARAAN DINAS'!$O:$O,'KENDARAAN DINAS'!$U:$U,$G$3,'KENDARAAN DINAS'!$T:$T,A44)</f>
        <v>0</v>
      </c>
      <c r="H44" s="40">
        <f>SUMIFS('KENDARAAN DINAS'!$P:$P,'KENDARAAN DINAS'!$U:$U,$G$3,'KENDARAAN DINAS'!$T:$T,A44)</f>
        <v>0</v>
      </c>
      <c r="I44" s="37">
        <f>SUMIFS('KENDARAAN DINAS'!$O:$O,'KENDARAAN DINAS'!$U:$U,$I$3,'KENDARAAN DINAS'!$T:$T,A44)</f>
        <v>28</v>
      </c>
      <c r="J44" s="40">
        <f>SUMIFS('KENDARAAN DINAS'!$P:$P,'KENDARAAN DINAS'!$U:$U,$I$3,'KENDARAAN DINAS'!$T:$T,A44)</f>
        <v>31804526</v>
      </c>
      <c r="K44" s="37">
        <f>SUMIFS('KENDARAAN DINAS'!$O:$O,'KENDARAAN DINAS'!$U:$U,$K$3,'KENDARAAN DINAS'!$T:$T,A44)</f>
        <v>0</v>
      </c>
      <c r="L44" s="40">
        <f>SUMIFS('KENDARAAN DINAS'!$P:$P,'KENDARAAN DINAS'!$U:$U,$K$3,'KENDARAAN DINAS'!$T:$T,A45)</f>
        <v>0</v>
      </c>
      <c r="M44" s="37">
        <f>SUMIFS('KENDARAAN DINAS'!$O:$O,'KENDARAAN DINAS'!$U:$U,$M$3,'KENDARAAN DINAS'!$T:$T,A44)</f>
        <v>0</v>
      </c>
      <c r="N44" s="40">
        <f>SUMIFS('KENDARAAN DINAS'!$P:$P,'KENDARAAN DINAS'!$U:$U,$M$3,'KENDARAAN DINAS'!$T:$T,A44)</f>
        <v>0</v>
      </c>
      <c r="O44" s="37">
        <f t="shared" ref="O44:P44" si="40">C44+E44+G44+I44+K44+M44</f>
        <v>234</v>
      </c>
      <c r="P44" s="62">
        <f t="shared" si="40"/>
        <v>52333459</v>
      </c>
      <c r="Q44" s="16"/>
    </row>
    <row r="45" spans="1:26" ht="14.25" customHeight="1" x14ac:dyDescent="0.35">
      <c r="A45" s="82">
        <v>42</v>
      </c>
      <c r="B45" s="83" t="s">
        <v>925</v>
      </c>
      <c r="C45" s="84">
        <f>SUMIFS('KENDARAAN DINAS'!$O:$O,'KENDARAAN DINAS'!$U:$U,'REKAP KENDARAAN DINAS'!$C$3,'KENDARAAN DINAS'!$T:$T,'REKAP KENDARAAN DINAS'!A45)</f>
        <v>6</v>
      </c>
      <c r="D45" s="85">
        <f>SUMIFS('KENDARAAN DINAS'!$P:$P,'KENDARAAN DINAS'!$U:$U,'REKAP KENDARAAN DINAS'!$C$3,'KENDARAAN DINAS'!$T:$T,A45)</f>
        <v>110786</v>
      </c>
      <c r="E45" s="84">
        <f>SUMIFS('KENDARAAN DINAS'!$O:$O,'KENDARAAN DINAS'!$U:$U,$E$3,'KENDARAAN DINAS'!$T:$T,A45)</f>
        <v>2</v>
      </c>
      <c r="F45" s="85">
        <f>SUMIFS('KENDARAAN DINAS'!$P:$P,'KENDARAAN DINAS'!$U:$U,$E$3,'KENDARAAN DINAS'!$T:$T,A45)</f>
        <v>634150</v>
      </c>
      <c r="G45" s="84">
        <f>SUMIFS('KENDARAAN DINAS'!$O:$O,'KENDARAAN DINAS'!$U:$U,$G$3,'KENDARAAN DINAS'!$T:$T,A45)</f>
        <v>0</v>
      </c>
      <c r="H45" s="85">
        <f>SUMIFS('KENDARAAN DINAS'!$P:$P,'KENDARAAN DINAS'!$U:$U,$G$3,'KENDARAAN DINAS'!$T:$T,A45)</f>
        <v>0</v>
      </c>
      <c r="I45" s="84">
        <f>SUMIFS('KENDARAAN DINAS'!$O:$O,'KENDARAAN DINAS'!$U:$U,$I$3,'KENDARAAN DINAS'!$T:$T,A45)</f>
        <v>6</v>
      </c>
      <c r="J45" s="85">
        <f>SUMIFS('KENDARAAN DINAS'!$P:$P,'KENDARAAN DINAS'!$U:$U,$I$3,'KENDARAAN DINAS'!$T:$T,A45)</f>
        <v>3775776427.9259996</v>
      </c>
      <c r="K45" s="84">
        <f>SUMIFS('KENDARAAN DINAS'!$O:$O,'KENDARAAN DINAS'!$U:$U,$K$3,'KENDARAAN DINAS'!$T:$T,A45)</f>
        <v>0</v>
      </c>
      <c r="L45" s="85">
        <f>SUMIFS('KENDARAAN DINAS'!$P:$P,'KENDARAAN DINAS'!$U:$U,$K$3,'KENDARAAN DINAS'!$T:$T,A46)</f>
        <v>0</v>
      </c>
      <c r="M45" s="84">
        <f>SUMIFS('KENDARAAN DINAS'!$O:$O,'KENDARAAN DINAS'!$U:$U,$M$3,'KENDARAAN DINAS'!$T:$T,A45)</f>
        <v>0</v>
      </c>
      <c r="N45" s="85">
        <f>SUMIFS('KENDARAAN DINAS'!$P:$P,'KENDARAAN DINAS'!$U:$U,$M$3,'KENDARAAN DINAS'!$T:$T,A45)</f>
        <v>0</v>
      </c>
      <c r="O45" s="84">
        <f t="shared" ref="O45:P45" si="41">C45+E45+G45+I45+K45+M45</f>
        <v>14</v>
      </c>
      <c r="P45" s="86">
        <f t="shared" si="41"/>
        <v>3776521363.9259996</v>
      </c>
      <c r="Q45" s="16"/>
    </row>
    <row r="46" spans="1:26" ht="22.5" customHeight="1" x14ac:dyDescent="0.35">
      <c r="A46" s="87">
        <v>42</v>
      </c>
      <c r="B46" s="88" t="s">
        <v>951</v>
      </c>
      <c r="C46" s="89">
        <f t="shared" ref="C46:E46" si="42">SUBTOTAL(9,C4:C45)</f>
        <v>1252</v>
      </c>
      <c r="D46" s="90">
        <f t="shared" si="42"/>
        <v>27998853.896799996</v>
      </c>
      <c r="E46" s="89">
        <f t="shared" si="42"/>
        <v>260</v>
      </c>
      <c r="F46" s="90">
        <f>SUBTOTAL(9,F4:F44)</f>
        <v>103544813.816</v>
      </c>
      <c r="G46" s="89">
        <f t="shared" ref="G46:P46" si="43">SUBTOTAL(9,G4:G45)</f>
        <v>1</v>
      </c>
      <c r="H46" s="90">
        <f t="shared" si="43"/>
        <v>1289375</v>
      </c>
      <c r="I46" s="89">
        <f t="shared" si="43"/>
        <v>61</v>
      </c>
      <c r="J46" s="90">
        <f t="shared" si="43"/>
        <v>3824251949.1409998</v>
      </c>
      <c r="K46" s="89">
        <f t="shared" si="43"/>
        <v>0</v>
      </c>
      <c r="L46" s="90">
        <f t="shared" si="43"/>
        <v>0</v>
      </c>
      <c r="M46" s="89">
        <f t="shared" si="43"/>
        <v>0</v>
      </c>
      <c r="N46" s="90">
        <f t="shared" si="43"/>
        <v>0</v>
      </c>
      <c r="O46" s="89">
        <f t="shared" si="43"/>
        <v>1574</v>
      </c>
      <c r="P46" s="91" t="e">
        <f t="shared" si="43"/>
        <v>#VALUE!</v>
      </c>
      <c r="Q46" s="79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4.25" customHeight="1" x14ac:dyDescent="0.35">
      <c r="A47" s="32"/>
      <c r="B47" s="32"/>
      <c r="C47" s="92"/>
      <c r="D47" s="32"/>
      <c r="E47" s="9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16"/>
    </row>
    <row r="48" spans="1:26" ht="14.25" customHeight="1" x14ac:dyDescent="0.35">
      <c r="A48" s="32"/>
      <c r="B48" s="32"/>
      <c r="C48" s="92"/>
      <c r="D48" s="32"/>
      <c r="E48" s="9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16"/>
    </row>
    <row r="49" spans="1:17" ht="14.25" customHeight="1" x14ac:dyDescent="0.35">
      <c r="A49" s="32"/>
      <c r="B49" s="32"/>
      <c r="C49" s="92"/>
      <c r="D49" s="32"/>
      <c r="E49" s="9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16"/>
    </row>
    <row r="50" spans="1:17" ht="14.25" customHeight="1" x14ac:dyDescent="0.35">
      <c r="A50" s="32"/>
      <c r="B50" s="32"/>
      <c r="C50" s="92"/>
      <c r="D50" s="32"/>
      <c r="E50" s="9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16"/>
    </row>
    <row r="51" spans="1:17" ht="14.25" customHeight="1" x14ac:dyDescent="0.35">
      <c r="A51" s="32"/>
      <c r="B51" s="32"/>
      <c r="C51" s="92"/>
      <c r="D51" s="32"/>
      <c r="E51" s="9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16"/>
    </row>
    <row r="52" spans="1:17" ht="14.25" customHeight="1" x14ac:dyDescent="0.35">
      <c r="A52" s="32"/>
      <c r="B52" s="32"/>
      <c r="C52" s="92"/>
      <c r="D52" s="32"/>
      <c r="E52" s="9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16"/>
    </row>
    <row r="53" spans="1:17" ht="14.25" customHeight="1" x14ac:dyDescent="0.35">
      <c r="A53" s="32"/>
      <c r="B53" s="32"/>
      <c r="C53" s="92"/>
      <c r="D53" s="32"/>
      <c r="E53" s="9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16"/>
    </row>
    <row r="54" spans="1:17" ht="14.25" customHeight="1" x14ac:dyDescent="0.35">
      <c r="A54" s="32"/>
      <c r="B54" s="32"/>
      <c r="C54" s="92"/>
      <c r="D54" s="32"/>
      <c r="E54" s="9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16"/>
    </row>
    <row r="55" spans="1:17" ht="14.25" customHeight="1" x14ac:dyDescent="0.35">
      <c r="A55" s="32"/>
      <c r="B55" s="32"/>
      <c r="C55" s="92"/>
      <c r="D55" s="32"/>
      <c r="E55" s="9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16"/>
    </row>
    <row r="56" spans="1:17" ht="14.25" customHeight="1" x14ac:dyDescent="0.35">
      <c r="A56" s="32"/>
      <c r="B56" s="32"/>
      <c r="C56" s="92"/>
      <c r="D56" s="32"/>
      <c r="E56" s="9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16"/>
    </row>
    <row r="57" spans="1:17" ht="14.25" customHeight="1" x14ac:dyDescent="0.35">
      <c r="A57" s="32"/>
      <c r="B57" s="32"/>
      <c r="C57" s="92"/>
      <c r="D57" s="32"/>
      <c r="E57" s="9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16"/>
    </row>
    <row r="58" spans="1:17" ht="14.25" customHeight="1" x14ac:dyDescent="0.35">
      <c r="A58" s="32"/>
      <c r="B58" s="32"/>
      <c r="C58" s="92"/>
      <c r="D58" s="32"/>
      <c r="E58" s="9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16"/>
    </row>
    <row r="59" spans="1:17" ht="14.25" customHeight="1" x14ac:dyDescent="0.35">
      <c r="A59" s="32"/>
      <c r="B59" s="32"/>
      <c r="C59" s="92"/>
      <c r="D59" s="32"/>
      <c r="E59" s="9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16"/>
    </row>
    <row r="60" spans="1:17" ht="14.25" customHeight="1" x14ac:dyDescent="0.35">
      <c r="A60" s="32"/>
      <c r="B60" s="32"/>
      <c r="C60" s="92"/>
      <c r="D60" s="32"/>
      <c r="E60" s="9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16"/>
    </row>
    <row r="61" spans="1:17" ht="14.25" customHeight="1" x14ac:dyDescent="0.35">
      <c r="A61" s="32"/>
      <c r="B61" s="32"/>
      <c r="C61" s="92"/>
      <c r="D61" s="32"/>
      <c r="E61" s="9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16"/>
    </row>
    <row r="62" spans="1:17" ht="14.25" customHeight="1" x14ac:dyDescent="0.35">
      <c r="A62" s="32"/>
      <c r="B62" s="32"/>
      <c r="C62" s="92"/>
      <c r="D62" s="32"/>
      <c r="E62" s="9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16"/>
    </row>
    <row r="63" spans="1:17" ht="14.25" customHeight="1" x14ac:dyDescent="0.35">
      <c r="A63" s="32"/>
      <c r="B63" s="32"/>
      <c r="C63" s="92"/>
      <c r="D63" s="32"/>
      <c r="E63" s="9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16"/>
    </row>
    <row r="64" spans="1:17" ht="14.25" customHeight="1" x14ac:dyDescent="0.35">
      <c r="A64" s="32"/>
      <c r="B64" s="32"/>
      <c r="C64" s="92"/>
      <c r="D64" s="32"/>
      <c r="E64" s="9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16"/>
    </row>
    <row r="65" spans="1:17" ht="14.25" customHeight="1" x14ac:dyDescent="0.35">
      <c r="A65" s="32"/>
      <c r="B65" s="32"/>
      <c r="C65" s="92"/>
      <c r="D65" s="32"/>
      <c r="E65" s="9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16"/>
    </row>
    <row r="66" spans="1:17" ht="14.25" customHeight="1" x14ac:dyDescent="0.35">
      <c r="A66" s="32"/>
      <c r="B66" s="32"/>
      <c r="C66" s="92"/>
      <c r="D66" s="32"/>
      <c r="E66" s="9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16"/>
    </row>
    <row r="67" spans="1:17" ht="14.25" customHeight="1" x14ac:dyDescent="0.35">
      <c r="A67" s="32"/>
      <c r="B67" s="32"/>
      <c r="C67" s="92"/>
      <c r="D67" s="32"/>
      <c r="E67" s="9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16"/>
    </row>
    <row r="68" spans="1:17" ht="14.25" customHeight="1" x14ac:dyDescent="0.35">
      <c r="A68" s="32"/>
      <c r="B68" s="32"/>
      <c r="C68" s="92"/>
      <c r="D68" s="32"/>
      <c r="E68" s="9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16"/>
    </row>
    <row r="69" spans="1:17" ht="14.25" customHeight="1" x14ac:dyDescent="0.35">
      <c r="A69" s="32"/>
      <c r="B69" s="32"/>
      <c r="C69" s="92"/>
      <c r="D69" s="32"/>
      <c r="E69" s="9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16"/>
    </row>
    <row r="70" spans="1:17" ht="14.25" customHeight="1" x14ac:dyDescent="0.35">
      <c r="A70" s="32"/>
      <c r="B70" s="32"/>
      <c r="C70" s="92"/>
      <c r="D70" s="32"/>
      <c r="E70" s="9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16"/>
    </row>
    <row r="71" spans="1:17" ht="14.25" customHeight="1" x14ac:dyDescent="0.35">
      <c r="A71" s="32"/>
      <c r="B71" s="32"/>
      <c r="C71" s="92"/>
      <c r="D71" s="32"/>
      <c r="E71" s="9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16"/>
    </row>
    <row r="72" spans="1:17" ht="14.25" customHeight="1" x14ac:dyDescent="0.35">
      <c r="A72" s="32"/>
      <c r="B72" s="32"/>
      <c r="C72" s="92"/>
      <c r="D72" s="32"/>
      <c r="E72" s="9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16"/>
    </row>
    <row r="73" spans="1:17" ht="14.25" customHeight="1" x14ac:dyDescent="0.35">
      <c r="A73" s="32"/>
      <c r="B73" s="32"/>
      <c r="C73" s="92"/>
      <c r="D73" s="32"/>
      <c r="E73" s="9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16"/>
    </row>
    <row r="74" spans="1:17" ht="14.25" customHeight="1" x14ac:dyDescent="0.35">
      <c r="A74" s="32"/>
      <c r="B74" s="32"/>
      <c r="C74" s="92"/>
      <c r="D74" s="32"/>
      <c r="E74" s="9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16"/>
    </row>
    <row r="75" spans="1:17" ht="14.25" customHeight="1" x14ac:dyDescent="0.35">
      <c r="A75" s="32"/>
      <c r="B75" s="32"/>
      <c r="C75" s="92"/>
      <c r="D75" s="32"/>
      <c r="E75" s="9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16"/>
    </row>
    <row r="76" spans="1:17" ht="14.25" customHeight="1" x14ac:dyDescent="0.35">
      <c r="A76" s="32"/>
      <c r="B76" s="32"/>
      <c r="C76" s="92"/>
      <c r="D76" s="32"/>
      <c r="E76" s="9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16"/>
    </row>
    <row r="77" spans="1:17" ht="14.25" customHeight="1" x14ac:dyDescent="0.35">
      <c r="A77" s="32"/>
      <c r="B77" s="32"/>
      <c r="C77" s="92"/>
      <c r="D77" s="32"/>
      <c r="E77" s="9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16"/>
    </row>
    <row r="78" spans="1:17" ht="14.25" customHeight="1" x14ac:dyDescent="0.35">
      <c r="A78" s="32"/>
      <c r="B78" s="32"/>
      <c r="C78" s="92"/>
      <c r="D78" s="32"/>
      <c r="E78" s="9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16"/>
    </row>
    <row r="79" spans="1:17" ht="14.25" customHeight="1" x14ac:dyDescent="0.35">
      <c r="A79" s="32"/>
      <c r="B79" s="32"/>
      <c r="C79" s="92"/>
      <c r="D79" s="32"/>
      <c r="E79" s="9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16"/>
    </row>
    <row r="80" spans="1:17" ht="14.25" customHeight="1" x14ac:dyDescent="0.35">
      <c r="A80" s="32"/>
      <c r="B80" s="32"/>
      <c r="C80" s="92"/>
      <c r="D80" s="32"/>
      <c r="E80" s="9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16"/>
    </row>
    <row r="81" spans="1:17" ht="14.25" customHeight="1" x14ac:dyDescent="0.35">
      <c r="A81" s="32"/>
      <c r="B81" s="32"/>
      <c r="C81" s="92"/>
      <c r="D81" s="32"/>
      <c r="E81" s="9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16"/>
    </row>
    <row r="82" spans="1:17" ht="14.25" customHeight="1" x14ac:dyDescent="0.35">
      <c r="A82" s="32"/>
      <c r="B82" s="32"/>
      <c r="C82" s="92"/>
      <c r="D82" s="32"/>
      <c r="E82" s="9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16"/>
    </row>
    <row r="83" spans="1:17" ht="14.25" customHeight="1" x14ac:dyDescent="0.35">
      <c r="A83" s="32"/>
      <c r="B83" s="32"/>
      <c r="C83" s="92"/>
      <c r="D83" s="32"/>
      <c r="E83" s="9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16"/>
    </row>
    <row r="84" spans="1:17" ht="14.25" customHeight="1" x14ac:dyDescent="0.35">
      <c r="A84" s="32"/>
      <c r="B84" s="32"/>
      <c r="C84" s="92"/>
      <c r="D84" s="32"/>
      <c r="E84" s="9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16"/>
    </row>
    <row r="85" spans="1:17" ht="14.25" customHeight="1" x14ac:dyDescent="0.35">
      <c r="A85" s="32"/>
      <c r="B85" s="32"/>
      <c r="C85" s="92"/>
      <c r="D85" s="32"/>
      <c r="E85" s="9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16"/>
    </row>
    <row r="86" spans="1:17" ht="14.25" customHeight="1" x14ac:dyDescent="0.35">
      <c r="A86" s="32"/>
      <c r="B86" s="32"/>
      <c r="C86" s="92"/>
      <c r="D86" s="32"/>
      <c r="E86" s="9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16"/>
    </row>
    <row r="87" spans="1:17" ht="14.25" customHeight="1" x14ac:dyDescent="0.35">
      <c r="A87" s="32"/>
      <c r="B87" s="32"/>
      <c r="C87" s="92"/>
      <c r="D87" s="32"/>
      <c r="E87" s="9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16"/>
    </row>
    <row r="88" spans="1:17" ht="14.25" customHeight="1" x14ac:dyDescent="0.35">
      <c r="A88" s="32"/>
      <c r="B88" s="32"/>
      <c r="C88" s="92"/>
      <c r="D88" s="32"/>
      <c r="E88" s="9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16"/>
    </row>
    <row r="89" spans="1:17" ht="14.25" customHeight="1" x14ac:dyDescent="0.35">
      <c r="A89" s="32"/>
      <c r="B89" s="32"/>
      <c r="C89" s="92"/>
      <c r="D89" s="32"/>
      <c r="E89" s="9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16"/>
    </row>
    <row r="90" spans="1:17" ht="14.25" customHeight="1" x14ac:dyDescent="0.35">
      <c r="A90" s="32"/>
      <c r="B90" s="32"/>
      <c r="C90" s="92"/>
      <c r="D90" s="32"/>
      <c r="E90" s="9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16"/>
    </row>
    <row r="91" spans="1:17" ht="14.25" customHeight="1" x14ac:dyDescent="0.35">
      <c r="A91" s="32"/>
      <c r="B91" s="32"/>
      <c r="C91" s="92"/>
      <c r="D91" s="32"/>
      <c r="E91" s="9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16"/>
    </row>
    <row r="92" spans="1:17" ht="14.25" customHeight="1" x14ac:dyDescent="0.35">
      <c r="A92" s="32"/>
      <c r="B92" s="32"/>
      <c r="C92" s="92"/>
      <c r="D92" s="32"/>
      <c r="E92" s="9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16"/>
    </row>
    <row r="93" spans="1:17" ht="14.25" customHeight="1" x14ac:dyDescent="0.35">
      <c r="A93" s="32"/>
      <c r="B93" s="32"/>
      <c r="C93" s="92"/>
      <c r="D93" s="32"/>
      <c r="E93" s="9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16"/>
    </row>
    <row r="94" spans="1:17" ht="14.25" customHeight="1" x14ac:dyDescent="0.35">
      <c r="A94" s="32"/>
      <c r="B94" s="32"/>
      <c r="C94" s="92"/>
      <c r="D94" s="32"/>
      <c r="E94" s="9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16"/>
    </row>
    <row r="95" spans="1:17" ht="14.25" customHeight="1" x14ac:dyDescent="0.35">
      <c r="A95" s="32"/>
      <c r="B95" s="32"/>
      <c r="C95" s="92"/>
      <c r="D95" s="32"/>
      <c r="E95" s="9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16"/>
    </row>
    <row r="96" spans="1:17" ht="14.25" customHeight="1" x14ac:dyDescent="0.35">
      <c r="A96" s="32"/>
      <c r="B96" s="32"/>
      <c r="C96" s="92"/>
      <c r="D96" s="32"/>
      <c r="E96" s="9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16"/>
    </row>
    <row r="97" spans="1:17" ht="14.25" customHeight="1" x14ac:dyDescent="0.35">
      <c r="A97" s="32"/>
      <c r="B97" s="32"/>
      <c r="C97" s="92"/>
      <c r="D97" s="32"/>
      <c r="E97" s="9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16"/>
    </row>
    <row r="98" spans="1:17" ht="14.25" customHeight="1" x14ac:dyDescent="0.35">
      <c r="A98" s="32"/>
      <c r="B98" s="32"/>
      <c r="C98" s="92"/>
      <c r="D98" s="32"/>
      <c r="E98" s="9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16"/>
    </row>
    <row r="99" spans="1:17" ht="14.25" customHeight="1" x14ac:dyDescent="0.35">
      <c r="A99" s="32"/>
      <c r="B99" s="32"/>
      <c r="C99" s="92"/>
      <c r="D99" s="32"/>
      <c r="E99" s="9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16"/>
    </row>
    <row r="100" spans="1:17" ht="14.25" customHeight="1" x14ac:dyDescent="0.35">
      <c r="A100" s="32"/>
      <c r="B100" s="32"/>
      <c r="C100" s="92"/>
      <c r="D100" s="32"/>
      <c r="E100" s="9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16"/>
    </row>
    <row r="101" spans="1:17" ht="14.25" customHeight="1" x14ac:dyDescent="0.35">
      <c r="A101" s="32"/>
      <c r="B101" s="32"/>
      <c r="C101" s="92"/>
      <c r="D101" s="32"/>
      <c r="E101" s="9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16"/>
    </row>
    <row r="102" spans="1:17" ht="14.25" customHeight="1" x14ac:dyDescent="0.35">
      <c r="A102" s="32"/>
      <c r="B102" s="32"/>
      <c r="C102" s="92"/>
      <c r="D102" s="32"/>
      <c r="E102" s="9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16"/>
    </row>
    <row r="103" spans="1:17" ht="14.25" customHeight="1" x14ac:dyDescent="0.35">
      <c r="A103" s="32"/>
      <c r="B103" s="32"/>
      <c r="C103" s="92"/>
      <c r="D103" s="32"/>
      <c r="E103" s="9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16"/>
    </row>
    <row r="104" spans="1:17" ht="14.25" customHeight="1" x14ac:dyDescent="0.35">
      <c r="A104" s="32"/>
      <c r="B104" s="32"/>
      <c r="C104" s="92"/>
      <c r="D104" s="32"/>
      <c r="E104" s="9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16"/>
    </row>
    <row r="105" spans="1:17" ht="14.25" customHeight="1" x14ac:dyDescent="0.35">
      <c r="A105" s="32"/>
      <c r="B105" s="32"/>
      <c r="C105" s="92"/>
      <c r="D105" s="32"/>
      <c r="E105" s="9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16"/>
    </row>
    <row r="106" spans="1:17" ht="14.25" customHeight="1" x14ac:dyDescent="0.35">
      <c r="A106" s="32"/>
      <c r="B106" s="32"/>
      <c r="C106" s="92"/>
      <c r="D106" s="32"/>
      <c r="E106" s="9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16"/>
    </row>
    <row r="107" spans="1:17" ht="14.25" customHeight="1" x14ac:dyDescent="0.35">
      <c r="A107" s="32"/>
      <c r="B107" s="32"/>
      <c r="C107" s="92"/>
      <c r="D107" s="32"/>
      <c r="E107" s="9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16"/>
    </row>
    <row r="108" spans="1:17" ht="14.25" customHeight="1" x14ac:dyDescent="0.35">
      <c r="A108" s="32"/>
      <c r="B108" s="32"/>
      <c r="C108" s="92"/>
      <c r="D108" s="32"/>
      <c r="E108" s="9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16"/>
    </row>
    <row r="109" spans="1:17" ht="14.25" customHeight="1" x14ac:dyDescent="0.35">
      <c r="A109" s="32"/>
      <c r="B109" s="32"/>
      <c r="C109" s="92"/>
      <c r="D109" s="32"/>
      <c r="E109" s="9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16"/>
    </row>
    <row r="110" spans="1:17" ht="14.25" customHeight="1" x14ac:dyDescent="0.35">
      <c r="A110" s="32"/>
      <c r="B110" s="32"/>
      <c r="C110" s="92"/>
      <c r="D110" s="32"/>
      <c r="E110" s="9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16"/>
    </row>
    <row r="111" spans="1:17" ht="14.25" customHeight="1" x14ac:dyDescent="0.35">
      <c r="A111" s="32"/>
      <c r="B111" s="32"/>
      <c r="C111" s="92"/>
      <c r="D111" s="32"/>
      <c r="E111" s="9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16"/>
    </row>
    <row r="112" spans="1:17" ht="14.25" customHeight="1" x14ac:dyDescent="0.35">
      <c r="A112" s="32"/>
      <c r="B112" s="32"/>
      <c r="C112" s="92"/>
      <c r="D112" s="32"/>
      <c r="E112" s="9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16"/>
    </row>
    <row r="113" spans="1:17" ht="14.25" customHeight="1" x14ac:dyDescent="0.35">
      <c r="A113" s="32"/>
      <c r="B113" s="32"/>
      <c r="C113" s="92"/>
      <c r="D113" s="32"/>
      <c r="E113" s="9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16"/>
    </row>
    <row r="114" spans="1:17" ht="14.25" customHeight="1" x14ac:dyDescent="0.35">
      <c r="A114" s="32"/>
      <c r="B114" s="32"/>
      <c r="C114" s="92"/>
      <c r="D114" s="32"/>
      <c r="E114" s="9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16"/>
    </row>
    <row r="115" spans="1:17" ht="14.25" customHeight="1" x14ac:dyDescent="0.35">
      <c r="A115" s="32"/>
      <c r="B115" s="32"/>
      <c r="C115" s="92"/>
      <c r="D115" s="32"/>
      <c r="E115" s="9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16"/>
    </row>
    <row r="116" spans="1:17" ht="14.25" customHeight="1" x14ac:dyDescent="0.35">
      <c r="A116" s="32"/>
      <c r="B116" s="32"/>
      <c r="C116" s="92"/>
      <c r="D116" s="32"/>
      <c r="E116" s="9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16"/>
    </row>
    <row r="117" spans="1:17" ht="14.25" customHeight="1" x14ac:dyDescent="0.35">
      <c r="A117" s="32"/>
      <c r="B117" s="32"/>
      <c r="C117" s="92"/>
      <c r="D117" s="32"/>
      <c r="E117" s="9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16"/>
    </row>
    <row r="118" spans="1:17" ht="14.25" customHeight="1" x14ac:dyDescent="0.35">
      <c r="A118" s="32"/>
      <c r="B118" s="32"/>
      <c r="C118" s="92"/>
      <c r="D118" s="32"/>
      <c r="E118" s="9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16"/>
    </row>
    <row r="119" spans="1:17" ht="14.25" customHeight="1" x14ac:dyDescent="0.35">
      <c r="A119" s="32"/>
      <c r="B119" s="32"/>
      <c r="C119" s="92"/>
      <c r="D119" s="32"/>
      <c r="E119" s="9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16"/>
    </row>
    <row r="120" spans="1:17" ht="14.25" customHeight="1" x14ac:dyDescent="0.35">
      <c r="A120" s="32"/>
      <c r="B120" s="32"/>
      <c r="C120" s="92"/>
      <c r="D120" s="32"/>
      <c r="E120" s="9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16"/>
    </row>
    <row r="121" spans="1:17" ht="14.25" customHeight="1" x14ac:dyDescent="0.35">
      <c r="A121" s="32"/>
      <c r="B121" s="32"/>
      <c r="C121" s="92"/>
      <c r="D121" s="32"/>
      <c r="E121" s="9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16"/>
    </row>
    <row r="122" spans="1:17" ht="14.25" customHeight="1" x14ac:dyDescent="0.35">
      <c r="A122" s="32"/>
      <c r="B122" s="32"/>
      <c r="C122" s="92"/>
      <c r="D122" s="32"/>
      <c r="E122" s="9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16"/>
    </row>
    <row r="123" spans="1:17" ht="14.25" customHeight="1" x14ac:dyDescent="0.35">
      <c r="A123" s="32"/>
      <c r="B123" s="32"/>
      <c r="C123" s="92"/>
      <c r="D123" s="32"/>
      <c r="E123" s="9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16"/>
    </row>
    <row r="124" spans="1:17" ht="14.25" customHeight="1" x14ac:dyDescent="0.35">
      <c r="A124" s="32"/>
      <c r="B124" s="32"/>
      <c r="C124" s="92"/>
      <c r="D124" s="32"/>
      <c r="E124" s="9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16"/>
    </row>
    <row r="125" spans="1:17" ht="14.25" customHeight="1" x14ac:dyDescent="0.35">
      <c r="A125" s="32"/>
      <c r="B125" s="32"/>
      <c r="C125" s="92"/>
      <c r="D125" s="32"/>
      <c r="E125" s="9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16"/>
    </row>
    <row r="126" spans="1:17" ht="14.25" customHeight="1" x14ac:dyDescent="0.35">
      <c r="A126" s="32"/>
      <c r="B126" s="32"/>
      <c r="C126" s="92"/>
      <c r="D126" s="32"/>
      <c r="E126" s="9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16"/>
    </row>
    <row r="127" spans="1:17" ht="14.25" customHeight="1" x14ac:dyDescent="0.35">
      <c r="A127" s="32"/>
      <c r="B127" s="32"/>
      <c r="C127" s="92"/>
      <c r="D127" s="32"/>
      <c r="E127" s="9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16"/>
    </row>
    <row r="128" spans="1:17" ht="14.25" customHeight="1" x14ac:dyDescent="0.35">
      <c r="A128" s="32"/>
      <c r="B128" s="32"/>
      <c r="C128" s="92"/>
      <c r="D128" s="32"/>
      <c r="E128" s="9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16"/>
    </row>
    <row r="129" spans="1:17" ht="14.25" customHeight="1" x14ac:dyDescent="0.35">
      <c r="A129" s="32"/>
      <c r="B129" s="32"/>
      <c r="C129" s="92"/>
      <c r="D129" s="32"/>
      <c r="E129" s="9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16"/>
    </row>
    <row r="130" spans="1:17" ht="14.25" customHeight="1" x14ac:dyDescent="0.35">
      <c r="A130" s="32"/>
      <c r="B130" s="32"/>
      <c r="C130" s="92"/>
      <c r="D130" s="32"/>
      <c r="E130" s="9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16"/>
    </row>
    <row r="131" spans="1:17" ht="14.25" customHeight="1" x14ac:dyDescent="0.35">
      <c r="A131" s="32"/>
      <c r="B131" s="32"/>
      <c r="C131" s="92"/>
      <c r="D131" s="32"/>
      <c r="E131" s="9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16"/>
    </row>
    <row r="132" spans="1:17" ht="14.25" customHeight="1" x14ac:dyDescent="0.35">
      <c r="A132" s="32"/>
      <c r="B132" s="32"/>
      <c r="C132" s="92"/>
      <c r="D132" s="32"/>
      <c r="E132" s="9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16"/>
    </row>
    <row r="133" spans="1:17" ht="14.25" customHeight="1" x14ac:dyDescent="0.35">
      <c r="A133" s="32"/>
      <c r="B133" s="32"/>
      <c r="C133" s="92"/>
      <c r="D133" s="32"/>
      <c r="E133" s="9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16"/>
    </row>
    <row r="134" spans="1:17" ht="14.25" customHeight="1" x14ac:dyDescent="0.35">
      <c r="A134" s="32"/>
      <c r="B134" s="32"/>
      <c r="C134" s="92"/>
      <c r="D134" s="32"/>
      <c r="E134" s="9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16"/>
    </row>
    <row r="135" spans="1:17" ht="14.25" customHeight="1" x14ac:dyDescent="0.35">
      <c r="A135" s="32"/>
      <c r="B135" s="32"/>
      <c r="C135" s="92"/>
      <c r="D135" s="32"/>
      <c r="E135" s="9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16"/>
    </row>
    <row r="136" spans="1:17" ht="14.25" customHeight="1" x14ac:dyDescent="0.35">
      <c r="A136" s="32"/>
      <c r="B136" s="32"/>
      <c r="C136" s="92"/>
      <c r="D136" s="32"/>
      <c r="E136" s="9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16"/>
    </row>
    <row r="137" spans="1:17" ht="14.25" customHeight="1" x14ac:dyDescent="0.35">
      <c r="A137" s="32"/>
      <c r="B137" s="32"/>
      <c r="C137" s="92"/>
      <c r="D137" s="32"/>
      <c r="E137" s="9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16"/>
    </row>
    <row r="138" spans="1:17" ht="14.25" customHeight="1" x14ac:dyDescent="0.35">
      <c r="A138" s="32"/>
      <c r="B138" s="32"/>
      <c r="C138" s="92"/>
      <c r="D138" s="32"/>
      <c r="E138" s="9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16"/>
    </row>
    <row r="139" spans="1:17" ht="14.25" customHeight="1" x14ac:dyDescent="0.35">
      <c r="A139" s="32"/>
      <c r="B139" s="32"/>
      <c r="C139" s="92"/>
      <c r="D139" s="32"/>
      <c r="E139" s="9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16"/>
    </row>
    <row r="140" spans="1:17" ht="14.25" customHeight="1" x14ac:dyDescent="0.35">
      <c r="A140" s="32"/>
      <c r="B140" s="32"/>
      <c r="C140" s="92"/>
      <c r="D140" s="32"/>
      <c r="E140" s="9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16"/>
    </row>
    <row r="141" spans="1:17" ht="14.25" customHeight="1" x14ac:dyDescent="0.35">
      <c r="A141" s="32"/>
      <c r="B141" s="32"/>
      <c r="C141" s="92"/>
      <c r="D141" s="32"/>
      <c r="E141" s="9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16"/>
    </row>
    <row r="142" spans="1:17" ht="14.25" customHeight="1" x14ac:dyDescent="0.35">
      <c r="A142" s="32"/>
      <c r="B142" s="32"/>
      <c r="C142" s="92"/>
      <c r="D142" s="32"/>
      <c r="E142" s="9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16"/>
    </row>
    <row r="143" spans="1:17" ht="14.25" customHeight="1" x14ac:dyDescent="0.35">
      <c r="A143" s="32"/>
      <c r="B143" s="32"/>
      <c r="C143" s="92"/>
      <c r="D143" s="32"/>
      <c r="E143" s="9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16"/>
    </row>
    <row r="144" spans="1:17" ht="14.25" customHeight="1" x14ac:dyDescent="0.35">
      <c r="A144" s="32"/>
      <c r="B144" s="32"/>
      <c r="C144" s="92"/>
      <c r="D144" s="32"/>
      <c r="E144" s="9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16"/>
    </row>
    <row r="145" spans="1:17" ht="14.25" customHeight="1" x14ac:dyDescent="0.35">
      <c r="A145" s="32"/>
      <c r="B145" s="32"/>
      <c r="C145" s="92"/>
      <c r="D145" s="32"/>
      <c r="E145" s="9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16"/>
    </row>
    <row r="146" spans="1:17" ht="14.25" customHeight="1" x14ac:dyDescent="0.35">
      <c r="A146" s="32"/>
      <c r="B146" s="32"/>
      <c r="C146" s="92"/>
      <c r="D146" s="32"/>
      <c r="E146" s="9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16"/>
    </row>
    <row r="147" spans="1:17" ht="14.25" customHeight="1" x14ac:dyDescent="0.35">
      <c r="A147" s="32"/>
      <c r="B147" s="32"/>
      <c r="C147" s="92"/>
      <c r="D147" s="32"/>
      <c r="E147" s="9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16"/>
    </row>
    <row r="148" spans="1:17" ht="14.25" customHeight="1" x14ac:dyDescent="0.35">
      <c r="A148" s="32"/>
      <c r="B148" s="32"/>
      <c r="C148" s="92"/>
      <c r="D148" s="32"/>
      <c r="E148" s="9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16"/>
    </row>
    <row r="149" spans="1:17" ht="14.25" customHeight="1" x14ac:dyDescent="0.35">
      <c r="A149" s="32"/>
      <c r="B149" s="32"/>
      <c r="C149" s="92"/>
      <c r="D149" s="32"/>
      <c r="E149" s="9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16"/>
    </row>
    <row r="150" spans="1:17" ht="14.25" customHeight="1" x14ac:dyDescent="0.35">
      <c r="A150" s="32"/>
      <c r="B150" s="32"/>
      <c r="C150" s="92"/>
      <c r="D150" s="32"/>
      <c r="E150" s="9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16"/>
    </row>
    <row r="151" spans="1:17" ht="14.25" customHeight="1" x14ac:dyDescent="0.35">
      <c r="A151" s="32"/>
      <c r="B151" s="32"/>
      <c r="C151" s="92"/>
      <c r="D151" s="32"/>
      <c r="E151" s="9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16"/>
    </row>
    <row r="152" spans="1:17" ht="14.25" customHeight="1" x14ac:dyDescent="0.35">
      <c r="A152" s="32"/>
      <c r="B152" s="32"/>
      <c r="C152" s="92"/>
      <c r="D152" s="32"/>
      <c r="E152" s="9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16"/>
    </row>
    <row r="153" spans="1:17" ht="14.25" customHeight="1" x14ac:dyDescent="0.35">
      <c r="A153" s="32"/>
      <c r="B153" s="32"/>
      <c r="C153" s="92"/>
      <c r="D153" s="32"/>
      <c r="E153" s="9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16"/>
    </row>
    <row r="154" spans="1:17" ht="14.25" customHeight="1" x14ac:dyDescent="0.35">
      <c r="A154" s="32"/>
      <c r="B154" s="32"/>
      <c r="C154" s="92"/>
      <c r="D154" s="32"/>
      <c r="E154" s="9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16"/>
    </row>
    <row r="155" spans="1:17" ht="14.25" customHeight="1" x14ac:dyDescent="0.35">
      <c r="A155" s="32"/>
      <c r="B155" s="32"/>
      <c r="C155" s="92"/>
      <c r="D155" s="32"/>
      <c r="E155" s="9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16"/>
    </row>
    <row r="156" spans="1:17" ht="14.25" customHeight="1" x14ac:dyDescent="0.35">
      <c r="A156" s="32"/>
      <c r="B156" s="32"/>
      <c r="C156" s="92"/>
      <c r="D156" s="32"/>
      <c r="E156" s="9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16"/>
    </row>
    <row r="157" spans="1:17" ht="14.25" customHeight="1" x14ac:dyDescent="0.35">
      <c r="A157" s="32"/>
      <c r="B157" s="32"/>
      <c r="C157" s="92"/>
      <c r="D157" s="32"/>
      <c r="E157" s="9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16"/>
    </row>
    <row r="158" spans="1:17" ht="14.25" customHeight="1" x14ac:dyDescent="0.35">
      <c r="A158" s="32"/>
      <c r="B158" s="32"/>
      <c r="C158" s="92"/>
      <c r="D158" s="32"/>
      <c r="E158" s="9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16"/>
    </row>
    <row r="159" spans="1:17" ht="14.25" customHeight="1" x14ac:dyDescent="0.35">
      <c r="A159" s="32"/>
      <c r="B159" s="32"/>
      <c r="C159" s="92"/>
      <c r="D159" s="32"/>
      <c r="E159" s="9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16"/>
    </row>
    <row r="160" spans="1:17" ht="14.25" customHeight="1" x14ac:dyDescent="0.35">
      <c r="A160" s="32"/>
      <c r="B160" s="32"/>
      <c r="C160" s="92"/>
      <c r="D160" s="32"/>
      <c r="E160" s="9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16"/>
    </row>
    <row r="161" spans="1:17" ht="14.25" customHeight="1" x14ac:dyDescent="0.35">
      <c r="A161" s="32"/>
      <c r="B161" s="32"/>
      <c r="C161" s="92"/>
      <c r="D161" s="32"/>
      <c r="E161" s="9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16"/>
    </row>
    <row r="162" spans="1:17" ht="14.25" customHeight="1" x14ac:dyDescent="0.35">
      <c r="A162" s="32"/>
      <c r="B162" s="32"/>
      <c r="C162" s="92"/>
      <c r="D162" s="32"/>
      <c r="E162" s="9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16"/>
    </row>
    <row r="163" spans="1:17" ht="14.25" customHeight="1" x14ac:dyDescent="0.35">
      <c r="A163" s="32"/>
      <c r="B163" s="32"/>
      <c r="C163" s="92"/>
      <c r="D163" s="32"/>
      <c r="E163" s="9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16"/>
    </row>
    <row r="164" spans="1:17" ht="14.25" customHeight="1" x14ac:dyDescent="0.35">
      <c r="A164" s="32"/>
      <c r="B164" s="32"/>
      <c r="C164" s="92"/>
      <c r="D164" s="32"/>
      <c r="E164" s="9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16"/>
    </row>
    <row r="165" spans="1:17" ht="14.25" customHeight="1" x14ac:dyDescent="0.35">
      <c r="A165" s="32"/>
      <c r="B165" s="32"/>
      <c r="C165" s="92"/>
      <c r="D165" s="32"/>
      <c r="E165" s="9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16"/>
    </row>
    <row r="166" spans="1:17" ht="14.25" customHeight="1" x14ac:dyDescent="0.35">
      <c r="A166" s="32"/>
      <c r="B166" s="32"/>
      <c r="C166" s="92"/>
      <c r="D166" s="32"/>
      <c r="E166" s="9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16"/>
    </row>
    <row r="167" spans="1:17" ht="14.25" customHeight="1" x14ac:dyDescent="0.35">
      <c r="A167" s="32"/>
      <c r="B167" s="32"/>
      <c r="C167" s="92"/>
      <c r="D167" s="32"/>
      <c r="E167" s="9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16"/>
    </row>
    <row r="168" spans="1:17" ht="14.25" customHeight="1" x14ac:dyDescent="0.35">
      <c r="A168" s="32"/>
      <c r="B168" s="32"/>
      <c r="C168" s="92"/>
      <c r="D168" s="32"/>
      <c r="E168" s="9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16"/>
    </row>
    <row r="169" spans="1:17" ht="14.25" customHeight="1" x14ac:dyDescent="0.35">
      <c r="A169" s="32"/>
      <c r="B169" s="32"/>
      <c r="C169" s="92"/>
      <c r="D169" s="32"/>
      <c r="E169" s="9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16"/>
    </row>
    <row r="170" spans="1:17" ht="14.25" customHeight="1" x14ac:dyDescent="0.35">
      <c r="A170" s="32"/>
      <c r="B170" s="32"/>
      <c r="C170" s="92"/>
      <c r="D170" s="32"/>
      <c r="E170" s="9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16"/>
    </row>
    <row r="171" spans="1:17" ht="14.25" customHeight="1" x14ac:dyDescent="0.35">
      <c r="A171" s="32"/>
      <c r="B171" s="32"/>
      <c r="C171" s="92"/>
      <c r="D171" s="32"/>
      <c r="E171" s="9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16"/>
    </row>
    <row r="172" spans="1:17" ht="14.25" customHeight="1" x14ac:dyDescent="0.35">
      <c r="A172" s="32"/>
      <c r="B172" s="32"/>
      <c r="C172" s="92"/>
      <c r="D172" s="32"/>
      <c r="E172" s="9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16"/>
    </row>
    <row r="173" spans="1:17" ht="14.25" customHeight="1" x14ac:dyDescent="0.35">
      <c r="A173" s="32"/>
      <c r="B173" s="32"/>
      <c r="C173" s="92"/>
      <c r="D173" s="32"/>
      <c r="E173" s="9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16"/>
    </row>
    <row r="174" spans="1:17" ht="14.25" customHeight="1" x14ac:dyDescent="0.35">
      <c r="A174" s="32"/>
      <c r="B174" s="32"/>
      <c r="C174" s="92"/>
      <c r="D174" s="32"/>
      <c r="E174" s="9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16"/>
    </row>
    <row r="175" spans="1:17" ht="14.25" customHeight="1" x14ac:dyDescent="0.35">
      <c r="A175" s="32"/>
      <c r="B175" s="32"/>
      <c r="C175" s="92"/>
      <c r="D175" s="32"/>
      <c r="E175" s="9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16"/>
    </row>
    <row r="176" spans="1:17" ht="14.25" customHeight="1" x14ac:dyDescent="0.35">
      <c r="A176" s="32"/>
      <c r="B176" s="32"/>
      <c r="C176" s="92"/>
      <c r="D176" s="32"/>
      <c r="E176" s="9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16"/>
    </row>
    <row r="177" spans="1:17" ht="14.25" customHeight="1" x14ac:dyDescent="0.35">
      <c r="A177" s="32"/>
      <c r="B177" s="32"/>
      <c r="C177" s="92"/>
      <c r="D177" s="32"/>
      <c r="E177" s="9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16"/>
    </row>
    <row r="178" spans="1:17" ht="14.25" customHeight="1" x14ac:dyDescent="0.35">
      <c r="A178" s="32"/>
      <c r="B178" s="32"/>
      <c r="C178" s="92"/>
      <c r="D178" s="32"/>
      <c r="E178" s="9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16"/>
    </row>
    <row r="179" spans="1:17" ht="14.25" customHeight="1" x14ac:dyDescent="0.35">
      <c r="A179" s="32"/>
      <c r="B179" s="32"/>
      <c r="C179" s="92"/>
      <c r="D179" s="32"/>
      <c r="E179" s="9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16"/>
    </row>
    <row r="180" spans="1:17" ht="14.25" customHeight="1" x14ac:dyDescent="0.35">
      <c r="A180" s="32"/>
      <c r="B180" s="32"/>
      <c r="C180" s="92"/>
      <c r="D180" s="32"/>
      <c r="E180" s="9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16"/>
    </row>
    <row r="181" spans="1:17" ht="14.25" customHeight="1" x14ac:dyDescent="0.35">
      <c r="A181" s="32"/>
      <c r="B181" s="32"/>
      <c r="C181" s="92"/>
      <c r="D181" s="32"/>
      <c r="E181" s="9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16"/>
    </row>
    <row r="182" spans="1:17" ht="14.25" customHeight="1" x14ac:dyDescent="0.35">
      <c r="A182" s="32"/>
      <c r="B182" s="32"/>
      <c r="C182" s="92"/>
      <c r="D182" s="32"/>
      <c r="E182" s="9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16"/>
    </row>
    <row r="183" spans="1:17" ht="14.25" customHeight="1" x14ac:dyDescent="0.35">
      <c r="A183" s="32"/>
      <c r="B183" s="32"/>
      <c r="C183" s="92"/>
      <c r="D183" s="32"/>
      <c r="E183" s="9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16"/>
    </row>
    <row r="184" spans="1:17" ht="14.25" customHeight="1" x14ac:dyDescent="0.35">
      <c r="A184" s="32"/>
      <c r="B184" s="32"/>
      <c r="C184" s="92"/>
      <c r="D184" s="32"/>
      <c r="E184" s="9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16"/>
    </row>
    <row r="185" spans="1:17" ht="14.25" customHeight="1" x14ac:dyDescent="0.35">
      <c r="A185" s="32"/>
      <c r="B185" s="32"/>
      <c r="C185" s="92"/>
      <c r="D185" s="32"/>
      <c r="E185" s="9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16"/>
    </row>
    <row r="186" spans="1:17" ht="14.25" customHeight="1" x14ac:dyDescent="0.35">
      <c r="A186" s="32"/>
      <c r="B186" s="32"/>
      <c r="C186" s="92"/>
      <c r="D186" s="32"/>
      <c r="E186" s="9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16"/>
    </row>
    <row r="187" spans="1:17" ht="14.25" customHeight="1" x14ac:dyDescent="0.35">
      <c r="A187" s="32"/>
      <c r="B187" s="32"/>
      <c r="C187" s="92"/>
      <c r="D187" s="32"/>
      <c r="E187" s="9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16"/>
    </row>
    <row r="188" spans="1:17" ht="14.25" customHeight="1" x14ac:dyDescent="0.35">
      <c r="A188" s="32"/>
      <c r="B188" s="32"/>
      <c r="C188" s="92"/>
      <c r="D188" s="32"/>
      <c r="E188" s="9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16"/>
    </row>
    <row r="189" spans="1:17" ht="14.25" customHeight="1" x14ac:dyDescent="0.35">
      <c r="A189" s="32"/>
      <c r="B189" s="32"/>
      <c r="C189" s="92"/>
      <c r="D189" s="32"/>
      <c r="E189" s="9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16"/>
    </row>
    <row r="190" spans="1:17" ht="14.25" customHeight="1" x14ac:dyDescent="0.35">
      <c r="A190" s="32"/>
      <c r="B190" s="32"/>
      <c r="C190" s="92"/>
      <c r="D190" s="32"/>
      <c r="E190" s="9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16"/>
    </row>
    <row r="191" spans="1:17" ht="14.25" customHeight="1" x14ac:dyDescent="0.35">
      <c r="A191" s="32"/>
      <c r="B191" s="32"/>
      <c r="C191" s="92"/>
      <c r="D191" s="32"/>
      <c r="E191" s="9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16"/>
    </row>
    <row r="192" spans="1:17" ht="14.25" customHeight="1" x14ac:dyDescent="0.35">
      <c r="A192" s="32"/>
      <c r="B192" s="32"/>
      <c r="C192" s="92"/>
      <c r="D192" s="32"/>
      <c r="E192" s="9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16"/>
    </row>
    <row r="193" spans="1:17" ht="14.25" customHeight="1" x14ac:dyDescent="0.35">
      <c r="A193" s="32"/>
      <c r="B193" s="32"/>
      <c r="C193" s="92"/>
      <c r="D193" s="32"/>
      <c r="E193" s="9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16"/>
    </row>
    <row r="194" spans="1:17" ht="14.25" customHeight="1" x14ac:dyDescent="0.35">
      <c r="A194" s="32"/>
      <c r="B194" s="32"/>
      <c r="C194" s="92"/>
      <c r="D194" s="32"/>
      <c r="E194" s="9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16"/>
    </row>
    <row r="195" spans="1:17" ht="14.25" customHeight="1" x14ac:dyDescent="0.35">
      <c r="A195" s="32"/>
      <c r="B195" s="32"/>
      <c r="C195" s="92"/>
      <c r="D195" s="32"/>
      <c r="E195" s="9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16"/>
    </row>
    <row r="196" spans="1:17" ht="14.25" customHeight="1" x14ac:dyDescent="0.35">
      <c r="A196" s="32"/>
      <c r="B196" s="32"/>
      <c r="C196" s="92"/>
      <c r="D196" s="32"/>
      <c r="E196" s="9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16"/>
    </row>
    <row r="197" spans="1:17" ht="14.25" customHeight="1" x14ac:dyDescent="0.35">
      <c r="A197" s="32"/>
      <c r="B197" s="32"/>
      <c r="C197" s="92"/>
      <c r="D197" s="32"/>
      <c r="E197" s="9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16"/>
    </row>
    <row r="198" spans="1:17" ht="14.25" customHeight="1" x14ac:dyDescent="0.35">
      <c r="A198" s="32"/>
      <c r="B198" s="32"/>
      <c r="C198" s="92"/>
      <c r="D198" s="32"/>
      <c r="E198" s="9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16"/>
    </row>
    <row r="199" spans="1:17" ht="14.25" customHeight="1" x14ac:dyDescent="0.35">
      <c r="A199" s="32"/>
      <c r="B199" s="32"/>
      <c r="C199" s="92"/>
      <c r="D199" s="32"/>
      <c r="E199" s="9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16"/>
    </row>
    <row r="200" spans="1:17" ht="14.25" customHeight="1" x14ac:dyDescent="0.35">
      <c r="A200" s="32"/>
      <c r="B200" s="32"/>
      <c r="C200" s="92"/>
      <c r="D200" s="32"/>
      <c r="E200" s="9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16"/>
    </row>
    <row r="201" spans="1:17" ht="14.25" customHeight="1" x14ac:dyDescent="0.35">
      <c r="A201" s="32"/>
      <c r="B201" s="32"/>
      <c r="C201" s="92"/>
      <c r="D201" s="32"/>
      <c r="E201" s="9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16"/>
    </row>
    <row r="202" spans="1:17" ht="14.25" customHeight="1" x14ac:dyDescent="0.35">
      <c r="A202" s="32"/>
      <c r="B202" s="32"/>
      <c r="C202" s="92"/>
      <c r="D202" s="32"/>
      <c r="E202" s="9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16"/>
    </row>
    <row r="203" spans="1:17" ht="14.25" customHeight="1" x14ac:dyDescent="0.35">
      <c r="A203" s="32"/>
      <c r="B203" s="32"/>
      <c r="C203" s="92"/>
      <c r="D203" s="32"/>
      <c r="E203" s="9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16"/>
    </row>
    <row r="204" spans="1:17" ht="14.25" customHeight="1" x14ac:dyDescent="0.35">
      <c r="A204" s="32"/>
      <c r="B204" s="32"/>
      <c r="C204" s="92"/>
      <c r="D204" s="32"/>
      <c r="E204" s="9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16"/>
    </row>
    <row r="205" spans="1:17" ht="14.25" customHeight="1" x14ac:dyDescent="0.35">
      <c r="A205" s="32"/>
      <c r="B205" s="32"/>
      <c r="C205" s="92"/>
      <c r="D205" s="32"/>
      <c r="E205" s="9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16"/>
    </row>
    <row r="206" spans="1:17" ht="14.25" customHeight="1" x14ac:dyDescent="0.35">
      <c r="A206" s="32"/>
      <c r="B206" s="32"/>
      <c r="C206" s="92"/>
      <c r="D206" s="32"/>
      <c r="E206" s="9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16"/>
    </row>
    <row r="207" spans="1:17" ht="14.25" customHeight="1" x14ac:dyDescent="0.35">
      <c r="A207" s="32"/>
      <c r="B207" s="32"/>
      <c r="C207" s="92"/>
      <c r="D207" s="32"/>
      <c r="E207" s="9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16"/>
    </row>
    <row r="208" spans="1:17" ht="14.25" customHeight="1" x14ac:dyDescent="0.35">
      <c r="A208" s="32"/>
      <c r="B208" s="32"/>
      <c r="C208" s="92"/>
      <c r="D208" s="32"/>
      <c r="E208" s="9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16"/>
    </row>
    <row r="209" spans="1:17" ht="14.25" customHeight="1" x14ac:dyDescent="0.35">
      <c r="A209" s="32"/>
      <c r="B209" s="32"/>
      <c r="C209" s="92"/>
      <c r="D209" s="32"/>
      <c r="E209" s="9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16"/>
    </row>
    <row r="210" spans="1:17" ht="14.25" customHeight="1" x14ac:dyDescent="0.35">
      <c r="A210" s="32"/>
      <c r="B210" s="32"/>
      <c r="C210" s="92"/>
      <c r="D210" s="32"/>
      <c r="E210" s="9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16"/>
    </row>
    <row r="211" spans="1:17" ht="14.25" customHeight="1" x14ac:dyDescent="0.35">
      <c r="A211" s="32"/>
      <c r="B211" s="32"/>
      <c r="C211" s="92"/>
      <c r="D211" s="32"/>
      <c r="E211" s="9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16"/>
    </row>
    <row r="212" spans="1:17" ht="14.25" customHeight="1" x14ac:dyDescent="0.35">
      <c r="A212" s="32"/>
      <c r="B212" s="32"/>
      <c r="C212" s="92"/>
      <c r="D212" s="32"/>
      <c r="E212" s="9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16"/>
    </row>
    <row r="213" spans="1:17" ht="14.25" customHeight="1" x14ac:dyDescent="0.35">
      <c r="A213" s="32"/>
      <c r="B213" s="32"/>
      <c r="C213" s="92"/>
      <c r="D213" s="32"/>
      <c r="E213" s="9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16"/>
    </row>
    <row r="214" spans="1:17" ht="14.25" customHeight="1" x14ac:dyDescent="0.35">
      <c r="A214" s="32"/>
      <c r="B214" s="32"/>
      <c r="C214" s="92"/>
      <c r="D214" s="32"/>
      <c r="E214" s="9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16"/>
    </row>
    <row r="215" spans="1:17" ht="14.25" customHeight="1" x14ac:dyDescent="0.35">
      <c r="A215" s="32"/>
      <c r="B215" s="32"/>
      <c r="C215" s="92"/>
      <c r="D215" s="32"/>
      <c r="E215" s="9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16"/>
    </row>
    <row r="216" spans="1:17" ht="14.25" customHeight="1" x14ac:dyDescent="0.35">
      <c r="A216" s="32"/>
      <c r="B216" s="32"/>
      <c r="C216" s="92"/>
      <c r="D216" s="32"/>
      <c r="E216" s="9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16"/>
    </row>
    <row r="217" spans="1:17" ht="14.25" customHeight="1" x14ac:dyDescent="0.35">
      <c r="A217" s="32"/>
      <c r="B217" s="32"/>
      <c r="C217" s="92"/>
      <c r="D217" s="32"/>
      <c r="E217" s="9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16"/>
    </row>
    <row r="218" spans="1:17" ht="14.25" customHeight="1" x14ac:dyDescent="0.35">
      <c r="A218" s="32"/>
      <c r="B218" s="32"/>
      <c r="C218" s="92"/>
      <c r="D218" s="32"/>
      <c r="E218" s="9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16"/>
    </row>
    <row r="219" spans="1:17" ht="14.25" customHeight="1" x14ac:dyDescent="0.35">
      <c r="A219" s="32"/>
      <c r="B219" s="32"/>
      <c r="C219" s="92"/>
      <c r="D219" s="32"/>
      <c r="E219" s="9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16"/>
    </row>
    <row r="220" spans="1:17" ht="14.25" customHeight="1" x14ac:dyDescent="0.35">
      <c r="A220" s="32"/>
      <c r="B220" s="32"/>
      <c r="C220" s="92"/>
      <c r="D220" s="32"/>
      <c r="E220" s="9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16"/>
    </row>
    <row r="221" spans="1:17" ht="14.25" customHeight="1" x14ac:dyDescent="0.35">
      <c r="A221" s="32"/>
      <c r="B221" s="32"/>
      <c r="C221" s="92"/>
      <c r="D221" s="32"/>
      <c r="E221" s="9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16"/>
    </row>
    <row r="222" spans="1:17" ht="14.25" customHeight="1" x14ac:dyDescent="0.35">
      <c r="A222" s="32"/>
      <c r="B222" s="32"/>
      <c r="C222" s="92"/>
      <c r="D222" s="32"/>
      <c r="E222" s="9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16"/>
    </row>
    <row r="223" spans="1:17" ht="14.25" customHeight="1" x14ac:dyDescent="0.35">
      <c r="A223" s="32"/>
      <c r="B223" s="32"/>
      <c r="C223" s="92"/>
      <c r="D223" s="32"/>
      <c r="E223" s="9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16"/>
    </row>
    <row r="224" spans="1:17" ht="14.25" customHeight="1" x14ac:dyDescent="0.35">
      <c r="A224" s="32"/>
      <c r="B224" s="32"/>
      <c r="C224" s="92"/>
      <c r="D224" s="32"/>
      <c r="E224" s="9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16"/>
    </row>
    <row r="225" spans="1:17" ht="14.25" customHeight="1" x14ac:dyDescent="0.35">
      <c r="A225" s="32"/>
      <c r="B225" s="32"/>
      <c r="C225" s="92"/>
      <c r="D225" s="32"/>
      <c r="E225" s="9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16"/>
    </row>
    <row r="226" spans="1:17" ht="14.25" customHeight="1" x14ac:dyDescent="0.35">
      <c r="A226" s="32"/>
      <c r="B226" s="32"/>
      <c r="C226" s="92"/>
      <c r="D226" s="32"/>
      <c r="E226" s="9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16"/>
    </row>
    <row r="227" spans="1:17" ht="14.25" customHeight="1" x14ac:dyDescent="0.35">
      <c r="A227" s="32"/>
      <c r="B227" s="32"/>
      <c r="C227" s="92"/>
      <c r="D227" s="32"/>
      <c r="E227" s="9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16"/>
    </row>
    <row r="228" spans="1:17" ht="14.25" customHeight="1" x14ac:dyDescent="0.35">
      <c r="A228" s="32"/>
      <c r="B228" s="32"/>
      <c r="C228" s="92"/>
      <c r="D228" s="32"/>
      <c r="E228" s="9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16"/>
    </row>
    <row r="229" spans="1:17" ht="14.25" customHeight="1" x14ac:dyDescent="0.35">
      <c r="A229" s="32"/>
      <c r="B229" s="32"/>
      <c r="C229" s="92"/>
      <c r="D229" s="32"/>
      <c r="E229" s="9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16"/>
    </row>
    <row r="230" spans="1:17" ht="14.25" customHeight="1" x14ac:dyDescent="0.35">
      <c r="A230" s="32"/>
      <c r="B230" s="32"/>
      <c r="C230" s="92"/>
      <c r="D230" s="32"/>
      <c r="E230" s="9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16"/>
    </row>
    <row r="231" spans="1:17" ht="14.25" customHeight="1" x14ac:dyDescent="0.35">
      <c r="A231" s="32"/>
      <c r="B231" s="32"/>
      <c r="C231" s="92"/>
      <c r="D231" s="32"/>
      <c r="E231" s="9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16"/>
    </row>
    <row r="232" spans="1:17" ht="14.25" customHeight="1" x14ac:dyDescent="0.35">
      <c r="A232" s="32"/>
      <c r="B232" s="32"/>
      <c r="C232" s="92"/>
      <c r="D232" s="32"/>
      <c r="E232" s="9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16"/>
    </row>
    <row r="233" spans="1:17" ht="14.25" customHeight="1" x14ac:dyDescent="0.35">
      <c r="A233" s="32"/>
      <c r="B233" s="32"/>
      <c r="C233" s="92"/>
      <c r="D233" s="32"/>
      <c r="E233" s="9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16"/>
    </row>
    <row r="234" spans="1:17" ht="14.25" customHeight="1" x14ac:dyDescent="0.35">
      <c r="A234" s="32"/>
      <c r="B234" s="32"/>
      <c r="C234" s="92"/>
      <c r="D234" s="32"/>
      <c r="E234" s="9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16"/>
    </row>
    <row r="235" spans="1:17" ht="14.25" customHeight="1" x14ac:dyDescent="0.35">
      <c r="A235" s="32"/>
      <c r="B235" s="32"/>
      <c r="C235" s="92"/>
      <c r="D235" s="32"/>
      <c r="E235" s="9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16"/>
    </row>
    <row r="236" spans="1:17" ht="14.25" customHeight="1" x14ac:dyDescent="0.35">
      <c r="A236" s="32"/>
      <c r="B236" s="32"/>
      <c r="C236" s="92"/>
      <c r="D236" s="32"/>
      <c r="E236" s="9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16"/>
    </row>
    <row r="237" spans="1:17" ht="14.25" customHeight="1" x14ac:dyDescent="0.35">
      <c r="A237" s="32"/>
      <c r="B237" s="32"/>
      <c r="C237" s="92"/>
      <c r="D237" s="32"/>
      <c r="E237" s="9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16"/>
    </row>
    <row r="238" spans="1:17" ht="14.25" customHeight="1" x14ac:dyDescent="0.35">
      <c r="A238" s="32"/>
      <c r="B238" s="32"/>
      <c r="C238" s="92"/>
      <c r="D238" s="32"/>
      <c r="E238" s="9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16"/>
    </row>
    <row r="239" spans="1:17" ht="14.25" customHeight="1" x14ac:dyDescent="0.35">
      <c r="A239" s="32"/>
      <c r="B239" s="32"/>
      <c r="C239" s="92"/>
      <c r="D239" s="32"/>
      <c r="E239" s="9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16"/>
    </row>
    <row r="240" spans="1:17" ht="14.25" customHeight="1" x14ac:dyDescent="0.35">
      <c r="A240" s="32"/>
      <c r="B240" s="32"/>
      <c r="C240" s="92"/>
      <c r="D240" s="32"/>
      <c r="E240" s="9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16"/>
    </row>
    <row r="241" spans="1:17" ht="14.25" customHeight="1" x14ac:dyDescent="0.35">
      <c r="A241" s="32"/>
      <c r="B241" s="32"/>
      <c r="C241" s="92"/>
      <c r="D241" s="32"/>
      <c r="E241" s="9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16"/>
    </row>
    <row r="242" spans="1:17" ht="14.25" customHeight="1" x14ac:dyDescent="0.35">
      <c r="A242" s="32"/>
      <c r="B242" s="32"/>
      <c r="C242" s="92"/>
      <c r="D242" s="32"/>
      <c r="E242" s="9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16"/>
    </row>
    <row r="243" spans="1:17" ht="14.25" customHeight="1" x14ac:dyDescent="0.35">
      <c r="A243" s="32"/>
      <c r="B243" s="32"/>
      <c r="C243" s="92"/>
      <c r="D243" s="32"/>
      <c r="E243" s="9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16"/>
    </row>
    <row r="244" spans="1:17" ht="14.25" customHeight="1" x14ac:dyDescent="0.35">
      <c r="A244" s="32"/>
      <c r="B244" s="32"/>
      <c r="C244" s="92"/>
      <c r="D244" s="32"/>
      <c r="E244" s="9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16"/>
    </row>
    <row r="245" spans="1:17" ht="14.25" customHeight="1" x14ac:dyDescent="0.35">
      <c r="C245" s="3"/>
      <c r="E245" s="3"/>
      <c r="Q245" s="16"/>
    </row>
    <row r="246" spans="1:17" ht="14.25" customHeight="1" x14ac:dyDescent="0.35">
      <c r="C246" s="3"/>
      <c r="E246" s="3"/>
      <c r="Q246" s="16"/>
    </row>
    <row r="247" spans="1:17" ht="15.75" customHeight="1" x14ac:dyDescent="0.35">
      <c r="C247" s="3"/>
      <c r="E247" s="3"/>
      <c r="Q247" s="16"/>
    </row>
    <row r="248" spans="1:17" ht="15.75" customHeight="1" x14ac:dyDescent="0.35">
      <c r="C248" s="3"/>
      <c r="E248" s="3"/>
      <c r="Q248" s="16"/>
    </row>
    <row r="249" spans="1:17" ht="15.75" customHeight="1" x14ac:dyDescent="0.35">
      <c r="C249" s="3"/>
      <c r="E249" s="3"/>
      <c r="Q249" s="16"/>
    </row>
    <row r="250" spans="1:17" ht="15.75" customHeight="1" x14ac:dyDescent="0.35">
      <c r="C250" s="3"/>
      <c r="E250" s="3"/>
      <c r="Q250" s="16"/>
    </row>
    <row r="251" spans="1:17" ht="15.75" customHeight="1" x14ac:dyDescent="0.35">
      <c r="C251" s="3"/>
      <c r="E251" s="3"/>
      <c r="Q251" s="16"/>
    </row>
    <row r="252" spans="1:17" ht="15.75" customHeight="1" x14ac:dyDescent="0.35">
      <c r="C252" s="3"/>
      <c r="E252" s="3"/>
      <c r="Q252" s="16"/>
    </row>
    <row r="253" spans="1:17" ht="15.75" customHeight="1" x14ac:dyDescent="0.35">
      <c r="C253" s="3"/>
      <c r="E253" s="3"/>
      <c r="Q253" s="16"/>
    </row>
    <row r="254" spans="1:17" ht="15.75" customHeight="1" x14ac:dyDescent="0.35">
      <c r="C254" s="3"/>
      <c r="E254" s="3"/>
      <c r="Q254" s="16"/>
    </row>
    <row r="255" spans="1:17" ht="15.75" customHeight="1" x14ac:dyDescent="0.35">
      <c r="C255" s="3"/>
      <c r="E255" s="3"/>
      <c r="Q255" s="16"/>
    </row>
    <row r="256" spans="1:17" ht="15.75" customHeight="1" x14ac:dyDescent="0.35">
      <c r="C256" s="3"/>
      <c r="E256" s="3"/>
      <c r="Q256" s="16"/>
    </row>
    <row r="257" spans="3:17" ht="15.75" customHeight="1" x14ac:dyDescent="0.35">
      <c r="C257" s="3"/>
      <c r="E257" s="3"/>
      <c r="Q257" s="16"/>
    </row>
    <row r="258" spans="3:17" ht="15.75" customHeight="1" x14ac:dyDescent="0.35">
      <c r="C258" s="3"/>
      <c r="E258" s="3"/>
      <c r="Q258" s="16"/>
    </row>
    <row r="259" spans="3:17" ht="15.75" customHeight="1" x14ac:dyDescent="0.35">
      <c r="C259" s="3"/>
      <c r="E259" s="3"/>
      <c r="Q259" s="16"/>
    </row>
    <row r="260" spans="3:17" ht="15.75" customHeight="1" x14ac:dyDescent="0.35">
      <c r="C260" s="3"/>
      <c r="E260" s="3"/>
      <c r="Q260" s="16"/>
    </row>
    <row r="261" spans="3:17" ht="15.75" customHeight="1" x14ac:dyDescent="0.35">
      <c r="C261" s="3"/>
      <c r="E261" s="3"/>
      <c r="Q261" s="16"/>
    </row>
    <row r="262" spans="3:17" ht="15.75" customHeight="1" x14ac:dyDescent="0.35">
      <c r="C262" s="3"/>
      <c r="E262" s="3"/>
      <c r="Q262" s="16"/>
    </row>
    <row r="263" spans="3:17" ht="15.75" customHeight="1" x14ac:dyDescent="0.35">
      <c r="C263" s="3"/>
      <c r="E263" s="3"/>
      <c r="Q263" s="16"/>
    </row>
    <row r="264" spans="3:17" ht="15.75" customHeight="1" x14ac:dyDescent="0.35">
      <c r="C264" s="3"/>
      <c r="E264" s="3"/>
      <c r="Q264" s="16"/>
    </row>
    <row r="265" spans="3:17" ht="15.75" customHeight="1" x14ac:dyDescent="0.35">
      <c r="C265" s="3"/>
      <c r="E265" s="3"/>
      <c r="Q265" s="16"/>
    </row>
    <row r="266" spans="3:17" ht="15.75" customHeight="1" x14ac:dyDescent="0.35">
      <c r="C266" s="3"/>
      <c r="E266" s="3"/>
      <c r="Q266" s="16"/>
    </row>
    <row r="267" spans="3:17" ht="15.75" customHeight="1" x14ac:dyDescent="0.35">
      <c r="C267" s="3"/>
      <c r="E267" s="3"/>
      <c r="Q267" s="16"/>
    </row>
    <row r="268" spans="3:17" ht="15.75" customHeight="1" x14ac:dyDescent="0.35">
      <c r="C268" s="3"/>
      <c r="E268" s="3"/>
      <c r="Q268" s="16"/>
    </row>
    <row r="269" spans="3:17" ht="15.75" customHeight="1" x14ac:dyDescent="0.35">
      <c r="C269" s="3"/>
      <c r="E269" s="3"/>
      <c r="Q269" s="16"/>
    </row>
    <row r="270" spans="3:17" ht="15.75" customHeight="1" x14ac:dyDescent="0.35">
      <c r="C270" s="3"/>
      <c r="E270" s="3"/>
      <c r="Q270" s="16"/>
    </row>
    <row r="271" spans="3:17" ht="15.75" customHeight="1" x14ac:dyDescent="0.35">
      <c r="C271" s="3"/>
      <c r="E271" s="3"/>
      <c r="Q271" s="16"/>
    </row>
    <row r="272" spans="3:17" ht="15.75" customHeight="1" x14ac:dyDescent="0.35">
      <c r="C272" s="3"/>
      <c r="E272" s="3"/>
      <c r="Q272" s="16"/>
    </row>
    <row r="273" spans="3:17" ht="15.75" customHeight="1" x14ac:dyDescent="0.35">
      <c r="C273" s="3"/>
      <c r="E273" s="3"/>
      <c r="Q273" s="16"/>
    </row>
    <row r="274" spans="3:17" ht="15.75" customHeight="1" x14ac:dyDescent="0.35">
      <c r="C274" s="3"/>
      <c r="E274" s="3"/>
      <c r="Q274" s="16"/>
    </row>
    <row r="275" spans="3:17" ht="15.75" customHeight="1" x14ac:dyDescent="0.35">
      <c r="C275" s="3"/>
      <c r="E275" s="3"/>
      <c r="Q275" s="16"/>
    </row>
    <row r="276" spans="3:17" ht="15.75" customHeight="1" x14ac:dyDescent="0.35">
      <c r="C276" s="3"/>
      <c r="E276" s="3"/>
      <c r="Q276" s="16"/>
    </row>
    <row r="277" spans="3:17" ht="15.75" customHeight="1" x14ac:dyDescent="0.35">
      <c r="C277" s="3"/>
      <c r="E277" s="3"/>
      <c r="Q277" s="16"/>
    </row>
    <row r="278" spans="3:17" ht="15.75" customHeight="1" x14ac:dyDescent="0.35">
      <c r="C278" s="3"/>
      <c r="E278" s="3"/>
      <c r="Q278" s="16"/>
    </row>
    <row r="279" spans="3:17" ht="15.75" customHeight="1" x14ac:dyDescent="0.35">
      <c r="C279" s="3"/>
      <c r="E279" s="3"/>
      <c r="Q279" s="16"/>
    </row>
    <row r="280" spans="3:17" ht="15.75" customHeight="1" x14ac:dyDescent="0.35">
      <c r="C280" s="3"/>
      <c r="E280" s="3"/>
      <c r="Q280" s="16"/>
    </row>
    <row r="281" spans="3:17" ht="15.75" customHeight="1" x14ac:dyDescent="0.35">
      <c r="C281" s="3"/>
      <c r="E281" s="3"/>
      <c r="Q281" s="16"/>
    </row>
    <row r="282" spans="3:17" ht="15.75" customHeight="1" x14ac:dyDescent="0.35">
      <c r="C282" s="3"/>
      <c r="E282" s="3"/>
      <c r="Q282" s="16"/>
    </row>
    <row r="283" spans="3:17" ht="15.75" customHeight="1" x14ac:dyDescent="0.35">
      <c r="C283" s="3"/>
      <c r="E283" s="3"/>
      <c r="Q283" s="16"/>
    </row>
    <row r="284" spans="3:17" ht="15.75" customHeight="1" x14ac:dyDescent="0.35">
      <c r="C284" s="3"/>
      <c r="E284" s="3"/>
      <c r="Q284" s="16"/>
    </row>
    <row r="285" spans="3:17" ht="15.75" customHeight="1" x14ac:dyDescent="0.35">
      <c r="C285" s="3"/>
      <c r="E285" s="3"/>
      <c r="Q285" s="16"/>
    </row>
    <row r="286" spans="3:17" ht="15.75" customHeight="1" x14ac:dyDescent="0.35">
      <c r="C286" s="3"/>
      <c r="E286" s="3"/>
      <c r="Q286" s="16"/>
    </row>
    <row r="287" spans="3:17" ht="15.75" customHeight="1" x14ac:dyDescent="0.35">
      <c r="C287" s="3"/>
      <c r="E287" s="3"/>
      <c r="Q287" s="16"/>
    </row>
    <row r="288" spans="3:17" ht="15.75" customHeight="1" x14ac:dyDescent="0.35">
      <c r="C288" s="3"/>
      <c r="E288" s="3"/>
      <c r="Q288" s="16"/>
    </row>
    <row r="289" spans="3:17" ht="15.75" customHeight="1" x14ac:dyDescent="0.35">
      <c r="C289" s="3"/>
      <c r="E289" s="3"/>
      <c r="Q289" s="16"/>
    </row>
    <row r="290" spans="3:17" ht="15.75" customHeight="1" x14ac:dyDescent="0.35">
      <c r="C290" s="3"/>
      <c r="E290" s="3"/>
      <c r="Q290" s="16"/>
    </row>
    <row r="291" spans="3:17" ht="15.75" customHeight="1" x14ac:dyDescent="0.35">
      <c r="C291" s="3"/>
      <c r="E291" s="3"/>
      <c r="Q291" s="16"/>
    </row>
    <row r="292" spans="3:17" ht="15.75" customHeight="1" x14ac:dyDescent="0.35">
      <c r="C292" s="3"/>
      <c r="E292" s="3"/>
      <c r="Q292" s="16"/>
    </row>
    <row r="293" spans="3:17" ht="15.75" customHeight="1" x14ac:dyDescent="0.35">
      <c r="C293" s="3"/>
      <c r="E293" s="3"/>
      <c r="Q293" s="16"/>
    </row>
    <row r="294" spans="3:17" ht="15.75" customHeight="1" x14ac:dyDescent="0.35">
      <c r="C294" s="3"/>
      <c r="E294" s="3"/>
      <c r="Q294" s="16"/>
    </row>
    <row r="295" spans="3:17" ht="15.75" customHeight="1" x14ac:dyDescent="0.35">
      <c r="C295" s="3"/>
      <c r="E295" s="3"/>
      <c r="Q295" s="16"/>
    </row>
    <row r="296" spans="3:17" ht="15.75" customHeight="1" x14ac:dyDescent="0.35">
      <c r="C296" s="3"/>
      <c r="E296" s="3"/>
      <c r="Q296" s="16"/>
    </row>
    <row r="297" spans="3:17" ht="15.75" customHeight="1" x14ac:dyDescent="0.35">
      <c r="C297" s="3"/>
      <c r="E297" s="3"/>
      <c r="Q297" s="16"/>
    </row>
    <row r="298" spans="3:17" ht="15.75" customHeight="1" x14ac:dyDescent="0.35">
      <c r="C298" s="3"/>
      <c r="E298" s="3"/>
      <c r="Q298" s="16"/>
    </row>
    <row r="299" spans="3:17" ht="15.75" customHeight="1" x14ac:dyDescent="0.35">
      <c r="C299" s="3"/>
      <c r="E299" s="3"/>
      <c r="Q299" s="16"/>
    </row>
    <row r="300" spans="3:17" ht="15.75" customHeight="1" x14ac:dyDescent="0.35">
      <c r="C300" s="3"/>
      <c r="E300" s="3"/>
      <c r="Q300" s="16"/>
    </row>
    <row r="301" spans="3:17" ht="15.75" customHeight="1" x14ac:dyDescent="0.35">
      <c r="C301" s="3"/>
      <c r="E301" s="3"/>
      <c r="Q301" s="16"/>
    </row>
    <row r="302" spans="3:17" ht="15.75" customHeight="1" x14ac:dyDescent="0.35">
      <c r="C302" s="3"/>
      <c r="E302" s="3"/>
      <c r="Q302" s="16"/>
    </row>
    <row r="303" spans="3:17" ht="15.75" customHeight="1" x14ac:dyDescent="0.35">
      <c r="C303" s="3"/>
      <c r="E303" s="3"/>
      <c r="Q303" s="16"/>
    </row>
    <row r="304" spans="3:17" ht="15.75" customHeight="1" x14ac:dyDescent="0.35">
      <c r="C304" s="3"/>
      <c r="E304" s="3"/>
      <c r="Q304" s="16"/>
    </row>
    <row r="305" spans="3:17" ht="15.75" customHeight="1" x14ac:dyDescent="0.35">
      <c r="C305" s="3"/>
      <c r="E305" s="3"/>
      <c r="Q305" s="16"/>
    </row>
    <row r="306" spans="3:17" ht="15.75" customHeight="1" x14ac:dyDescent="0.35">
      <c r="C306" s="3"/>
      <c r="E306" s="3"/>
      <c r="Q306" s="16"/>
    </row>
    <row r="307" spans="3:17" ht="15.75" customHeight="1" x14ac:dyDescent="0.35">
      <c r="C307" s="3"/>
      <c r="E307" s="3"/>
      <c r="Q307" s="16"/>
    </row>
    <row r="308" spans="3:17" ht="15.75" customHeight="1" x14ac:dyDescent="0.35">
      <c r="C308" s="3"/>
      <c r="E308" s="3"/>
      <c r="Q308" s="16"/>
    </row>
    <row r="309" spans="3:17" ht="15.75" customHeight="1" x14ac:dyDescent="0.35">
      <c r="C309" s="3"/>
      <c r="E309" s="3"/>
      <c r="Q309" s="16"/>
    </row>
    <row r="310" spans="3:17" ht="15.75" customHeight="1" x14ac:dyDescent="0.35">
      <c r="C310" s="3"/>
      <c r="E310" s="3"/>
      <c r="Q310" s="16"/>
    </row>
    <row r="311" spans="3:17" ht="15.75" customHeight="1" x14ac:dyDescent="0.35">
      <c r="C311" s="3"/>
      <c r="E311" s="3"/>
      <c r="Q311" s="16"/>
    </row>
    <row r="312" spans="3:17" ht="15.75" customHeight="1" x14ac:dyDescent="0.35">
      <c r="C312" s="3"/>
      <c r="E312" s="3"/>
      <c r="Q312" s="16"/>
    </row>
    <row r="313" spans="3:17" ht="15.75" customHeight="1" x14ac:dyDescent="0.35">
      <c r="C313" s="3"/>
      <c r="E313" s="3"/>
      <c r="Q313" s="16"/>
    </row>
    <row r="314" spans="3:17" ht="15.75" customHeight="1" x14ac:dyDescent="0.35">
      <c r="C314" s="3"/>
      <c r="E314" s="3"/>
      <c r="Q314" s="16"/>
    </row>
    <row r="315" spans="3:17" ht="15.75" customHeight="1" x14ac:dyDescent="0.35">
      <c r="C315" s="3"/>
      <c r="E315" s="3"/>
      <c r="Q315" s="16"/>
    </row>
    <row r="316" spans="3:17" ht="15.75" customHeight="1" x14ac:dyDescent="0.35">
      <c r="C316" s="3"/>
      <c r="E316" s="3"/>
      <c r="Q316" s="16"/>
    </row>
    <row r="317" spans="3:17" ht="15.75" customHeight="1" x14ac:dyDescent="0.35">
      <c r="C317" s="3"/>
      <c r="E317" s="3"/>
      <c r="Q317" s="16"/>
    </row>
    <row r="318" spans="3:17" ht="15.75" customHeight="1" x14ac:dyDescent="0.35">
      <c r="C318" s="3"/>
      <c r="E318" s="3"/>
      <c r="Q318" s="16"/>
    </row>
    <row r="319" spans="3:17" ht="15.75" customHeight="1" x14ac:dyDescent="0.35">
      <c r="C319" s="3"/>
      <c r="E319" s="3"/>
      <c r="Q319" s="16"/>
    </row>
    <row r="320" spans="3:17" ht="15.75" customHeight="1" x14ac:dyDescent="0.35">
      <c r="C320" s="3"/>
      <c r="E320" s="3"/>
      <c r="Q320" s="16"/>
    </row>
    <row r="321" spans="3:17" ht="15.75" customHeight="1" x14ac:dyDescent="0.35">
      <c r="C321" s="3"/>
      <c r="E321" s="3"/>
      <c r="Q321" s="16"/>
    </row>
    <row r="322" spans="3:17" ht="15.75" customHeight="1" x14ac:dyDescent="0.35">
      <c r="C322" s="3"/>
      <c r="E322" s="3"/>
      <c r="Q322" s="16"/>
    </row>
    <row r="323" spans="3:17" ht="15.75" customHeight="1" x14ac:dyDescent="0.35">
      <c r="C323" s="3"/>
      <c r="E323" s="3"/>
      <c r="Q323" s="16"/>
    </row>
    <row r="324" spans="3:17" ht="15.75" customHeight="1" x14ac:dyDescent="0.35">
      <c r="C324" s="3"/>
      <c r="E324" s="3"/>
      <c r="Q324" s="16"/>
    </row>
    <row r="325" spans="3:17" ht="15.75" customHeight="1" x14ac:dyDescent="0.35">
      <c r="C325" s="3"/>
      <c r="E325" s="3"/>
      <c r="Q325" s="16"/>
    </row>
    <row r="326" spans="3:17" ht="15.75" customHeight="1" x14ac:dyDescent="0.35">
      <c r="C326" s="3"/>
      <c r="E326" s="3"/>
      <c r="Q326" s="16"/>
    </row>
    <row r="327" spans="3:17" ht="15.75" customHeight="1" x14ac:dyDescent="0.35">
      <c r="C327" s="3"/>
      <c r="E327" s="3"/>
      <c r="Q327" s="16"/>
    </row>
    <row r="328" spans="3:17" ht="15.75" customHeight="1" x14ac:dyDescent="0.35">
      <c r="C328" s="3"/>
      <c r="E328" s="3"/>
      <c r="Q328" s="16"/>
    </row>
    <row r="329" spans="3:17" ht="15.75" customHeight="1" x14ac:dyDescent="0.35">
      <c r="C329" s="3"/>
      <c r="E329" s="3"/>
      <c r="Q329" s="16"/>
    </row>
    <row r="330" spans="3:17" ht="15.75" customHeight="1" x14ac:dyDescent="0.35">
      <c r="C330" s="3"/>
      <c r="E330" s="3"/>
      <c r="Q330" s="16"/>
    </row>
    <row r="331" spans="3:17" ht="15.75" customHeight="1" x14ac:dyDescent="0.35">
      <c r="C331" s="3"/>
      <c r="E331" s="3"/>
      <c r="Q331" s="16"/>
    </row>
    <row r="332" spans="3:17" ht="15.75" customHeight="1" x14ac:dyDescent="0.35">
      <c r="C332" s="3"/>
      <c r="E332" s="3"/>
      <c r="Q332" s="16"/>
    </row>
    <row r="333" spans="3:17" ht="15.75" customHeight="1" x14ac:dyDescent="0.35">
      <c r="C333" s="3"/>
      <c r="E333" s="3"/>
      <c r="Q333" s="16"/>
    </row>
    <row r="334" spans="3:17" ht="15.75" customHeight="1" x14ac:dyDescent="0.35">
      <c r="C334" s="3"/>
      <c r="E334" s="3"/>
      <c r="Q334" s="16"/>
    </row>
    <row r="335" spans="3:17" ht="15.75" customHeight="1" x14ac:dyDescent="0.35">
      <c r="C335" s="3"/>
      <c r="E335" s="3"/>
      <c r="Q335" s="16"/>
    </row>
    <row r="336" spans="3:17" ht="15.75" customHeight="1" x14ac:dyDescent="0.35">
      <c r="C336" s="3"/>
      <c r="E336" s="3"/>
      <c r="Q336" s="16"/>
    </row>
    <row r="337" spans="3:17" ht="15.75" customHeight="1" x14ac:dyDescent="0.35">
      <c r="C337" s="3"/>
      <c r="E337" s="3"/>
      <c r="Q337" s="16"/>
    </row>
    <row r="338" spans="3:17" ht="15.75" customHeight="1" x14ac:dyDescent="0.35">
      <c r="C338" s="3"/>
      <c r="E338" s="3"/>
      <c r="Q338" s="16"/>
    </row>
    <row r="339" spans="3:17" ht="15.75" customHeight="1" x14ac:dyDescent="0.35">
      <c r="C339" s="3"/>
      <c r="E339" s="3"/>
      <c r="Q339" s="16"/>
    </row>
    <row r="340" spans="3:17" ht="15.75" customHeight="1" x14ac:dyDescent="0.35">
      <c r="C340" s="3"/>
      <c r="E340" s="3"/>
      <c r="Q340" s="16"/>
    </row>
    <row r="341" spans="3:17" ht="15.75" customHeight="1" x14ac:dyDescent="0.35">
      <c r="C341" s="3"/>
      <c r="E341" s="3"/>
      <c r="Q341" s="16"/>
    </row>
    <row r="342" spans="3:17" ht="15.75" customHeight="1" x14ac:dyDescent="0.35">
      <c r="C342" s="3"/>
      <c r="E342" s="3"/>
      <c r="Q342" s="16"/>
    </row>
    <row r="343" spans="3:17" ht="15.75" customHeight="1" x14ac:dyDescent="0.35">
      <c r="C343" s="3"/>
      <c r="E343" s="3"/>
      <c r="Q343" s="16"/>
    </row>
    <row r="344" spans="3:17" ht="15.75" customHeight="1" x14ac:dyDescent="0.35">
      <c r="C344" s="3"/>
      <c r="E344" s="3"/>
      <c r="Q344" s="16"/>
    </row>
    <row r="345" spans="3:17" ht="15.75" customHeight="1" x14ac:dyDescent="0.35">
      <c r="C345" s="3"/>
      <c r="E345" s="3"/>
      <c r="Q345" s="16"/>
    </row>
    <row r="346" spans="3:17" ht="15.75" customHeight="1" x14ac:dyDescent="0.35">
      <c r="C346" s="3"/>
      <c r="E346" s="3"/>
      <c r="Q346" s="16"/>
    </row>
    <row r="347" spans="3:17" ht="15.75" customHeight="1" x14ac:dyDescent="0.35">
      <c r="C347" s="3"/>
      <c r="E347" s="3"/>
      <c r="Q347" s="16"/>
    </row>
    <row r="348" spans="3:17" ht="15.75" customHeight="1" x14ac:dyDescent="0.35">
      <c r="C348" s="3"/>
      <c r="E348" s="3"/>
      <c r="Q348" s="16"/>
    </row>
    <row r="349" spans="3:17" ht="15.75" customHeight="1" x14ac:dyDescent="0.35">
      <c r="C349" s="3"/>
      <c r="E349" s="3"/>
      <c r="Q349" s="16"/>
    </row>
    <row r="350" spans="3:17" ht="15.75" customHeight="1" x14ac:dyDescent="0.35">
      <c r="C350" s="3"/>
      <c r="E350" s="3"/>
      <c r="Q350" s="16"/>
    </row>
    <row r="351" spans="3:17" ht="15.75" customHeight="1" x14ac:dyDescent="0.35">
      <c r="C351" s="3"/>
      <c r="E351" s="3"/>
      <c r="Q351" s="16"/>
    </row>
    <row r="352" spans="3:17" ht="15.75" customHeight="1" x14ac:dyDescent="0.35">
      <c r="C352" s="3"/>
      <c r="E352" s="3"/>
      <c r="Q352" s="16"/>
    </row>
    <row r="353" spans="3:17" ht="15.75" customHeight="1" x14ac:dyDescent="0.35">
      <c r="C353" s="3"/>
      <c r="E353" s="3"/>
      <c r="Q353" s="16"/>
    </row>
    <row r="354" spans="3:17" ht="15.75" customHeight="1" x14ac:dyDescent="0.35">
      <c r="C354" s="3"/>
      <c r="E354" s="3"/>
      <c r="Q354" s="16"/>
    </row>
    <row r="355" spans="3:17" ht="15.75" customHeight="1" x14ac:dyDescent="0.35">
      <c r="C355" s="3"/>
      <c r="E355" s="3"/>
      <c r="Q355" s="16"/>
    </row>
    <row r="356" spans="3:17" ht="15.75" customHeight="1" x14ac:dyDescent="0.35">
      <c r="C356" s="3"/>
      <c r="E356" s="3"/>
      <c r="Q356" s="16"/>
    </row>
    <row r="357" spans="3:17" ht="15.75" customHeight="1" x14ac:dyDescent="0.35">
      <c r="C357" s="3"/>
      <c r="E357" s="3"/>
      <c r="Q357" s="16"/>
    </row>
    <row r="358" spans="3:17" ht="15.75" customHeight="1" x14ac:dyDescent="0.35">
      <c r="C358" s="3"/>
      <c r="E358" s="3"/>
      <c r="Q358" s="16"/>
    </row>
    <row r="359" spans="3:17" ht="15.75" customHeight="1" x14ac:dyDescent="0.35">
      <c r="C359" s="3"/>
      <c r="E359" s="3"/>
      <c r="Q359" s="16"/>
    </row>
    <row r="360" spans="3:17" ht="15.75" customHeight="1" x14ac:dyDescent="0.35">
      <c r="C360" s="3"/>
      <c r="E360" s="3"/>
      <c r="Q360" s="16"/>
    </row>
    <row r="361" spans="3:17" ht="15.75" customHeight="1" x14ac:dyDescent="0.35">
      <c r="C361" s="3"/>
      <c r="E361" s="3"/>
      <c r="Q361" s="16"/>
    </row>
    <row r="362" spans="3:17" ht="15.75" customHeight="1" x14ac:dyDescent="0.35">
      <c r="C362" s="3"/>
      <c r="E362" s="3"/>
      <c r="Q362" s="16"/>
    </row>
    <row r="363" spans="3:17" ht="15.75" customHeight="1" x14ac:dyDescent="0.35">
      <c r="C363" s="3"/>
      <c r="E363" s="3"/>
      <c r="Q363" s="16"/>
    </row>
    <row r="364" spans="3:17" ht="15.75" customHeight="1" x14ac:dyDescent="0.35">
      <c r="C364" s="3"/>
      <c r="E364" s="3"/>
      <c r="Q364" s="16"/>
    </row>
    <row r="365" spans="3:17" ht="15.75" customHeight="1" x14ac:dyDescent="0.35">
      <c r="C365" s="3"/>
      <c r="E365" s="3"/>
      <c r="Q365" s="16"/>
    </row>
    <row r="366" spans="3:17" ht="15.75" customHeight="1" x14ac:dyDescent="0.35">
      <c r="C366" s="3"/>
      <c r="E366" s="3"/>
      <c r="Q366" s="16"/>
    </row>
    <row r="367" spans="3:17" ht="15.75" customHeight="1" x14ac:dyDescent="0.35">
      <c r="C367" s="3"/>
      <c r="E367" s="3"/>
      <c r="Q367" s="16"/>
    </row>
    <row r="368" spans="3:17" ht="15.75" customHeight="1" x14ac:dyDescent="0.35">
      <c r="C368" s="3"/>
      <c r="E368" s="3"/>
      <c r="Q368" s="16"/>
    </row>
    <row r="369" spans="3:17" ht="15.75" customHeight="1" x14ac:dyDescent="0.35">
      <c r="C369" s="3"/>
      <c r="E369" s="3"/>
      <c r="Q369" s="16"/>
    </row>
    <row r="370" spans="3:17" ht="15.75" customHeight="1" x14ac:dyDescent="0.35">
      <c r="C370" s="3"/>
      <c r="E370" s="3"/>
      <c r="Q370" s="16"/>
    </row>
    <row r="371" spans="3:17" ht="15.75" customHeight="1" x14ac:dyDescent="0.35">
      <c r="C371" s="3"/>
      <c r="E371" s="3"/>
      <c r="Q371" s="16"/>
    </row>
    <row r="372" spans="3:17" ht="15.75" customHeight="1" x14ac:dyDescent="0.35">
      <c r="C372" s="3"/>
      <c r="E372" s="3"/>
      <c r="Q372" s="16"/>
    </row>
    <row r="373" spans="3:17" ht="15.75" customHeight="1" x14ac:dyDescent="0.35">
      <c r="C373" s="3"/>
      <c r="E373" s="3"/>
      <c r="Q373" s="16"/>
    </row>
    <row r="374" spans="3:17" ht="15.75" customHeight="1" x14ac:dyDescent="0.35">
      <c r="C374" s="3"/>
      <c r="E374" s="3"/>
      <c r="Q374" s="16"/>
    </row>
    <row r="375" spans="3:17" ht="15.75" customHeight="1" x14ac:dyDescent="0.35">
      <c r="C375" s="3"/>
      <c r="E375" s="3"/>
      <c r="Q375" s="16"/>
    </row>
    <row r="376" spans="3:17" ht="15.75" customHeight="1" x14ac:dyDescent="0.35">
      <c r="C376" s="3"/>
      <c r="E376" s="3"/>
      <c r="Q376" s="16"/>
    </row>
    <row r="377" spans="3:17" ht="15.75" customHeight="1" x14ac:dyDescent="0.35">
      <c r="C377" s="3"/>
      <c r="E377" s="3"/>
      <c r="Q377" s="16"/>
    </row>
    <row r="378" spans="3:17" ht="15.75" customHeight="1" x14ac:dyDescent="0.35">
      <c r="C378" s="3"/>
      <c r="E378" s="3"/>
      <c r="Q378" s="16"/>
    </row>
    <row r="379" spans="3:17" ht="15.75" customHeight="1" x14ac:dyDescent="0.35">
      <c r="C379" s="3"/>
      <c r="E379" s="3"/>
      <c r="Q379" s="16"/>
    </row>
    <row r="380" spans="3:17" ht="15.75" customHeight="1" x14ac:dyDescent="0.35">
      <c r="C380" s="3"/>
      <c r="E380" s="3"/>
      <c r="Q380" s="16"/>
    </row>
    <row r="381" spans="3:17" ht="15.75" customHeight="1" x14ac:dyDescent="0.35">
      <c r="C381" s="3"/>
      <c r="E381" s="3"/>
      <c r="Q381" s="16"/>
    </row>
    <row r="382" spans="3:17" ht="15.75" customHeight="1" x14ac:dyDescent="0.35">
      <c r="C382" s="3"/>
      <c r="E382" s="3"/>
      <c r="Q382" s="16"/>
    </row>
    <row r="383" spans="3:17" ht="15.75" customHeight="1" x14ac:dyDescent="0.35">
      <c r="C383" s="3"/>
      <c r="E383" s="3"/>
      <c r="Q383" s="16"/>
    </row>
    <row r="384" spans="3:17" ht="15.75" customHeight="1" x14ac:dyDescent="0.35">
      <c r="C384" s="3"/>
      <c r="E384" s="3"/>
      <c r="Q384" s="16"/>
    </row>
    <row r="385" spans="3:17" ht="15.75" customHeight="1" x14ac:dyDescent="0.35">
      <c r="C385" s="3"/>
      <c r="E385" s="3"/>
      <c r="Q385" s="16"/>
    </row>
    <row r="386" spans="3:17" ht="15.75" customHeight="1" x14ac:dyDescent="0.35">
      <c r="C386" s="3"/>
      <c r="E386" s="3"/>
      <c r="Q386" s="16"/>
    </row>
    <row r="387" spans="3:17" ht="15.75" customHeight="1" x14ac:dyDescent="0.35">
      <c r="C387" s="3"/>
      <c r="E387" s="3"/>
      <c r="Q387" s="16"/>
    </row>
    <row r="388" spans="3:17" ht="15.75" customHeight="1" x14ac:dyDescent="0.35">
      <c r="C388" s="3"/>
      <c r="E388" s="3"/>
      <c r="Q388" s="16"/>
    </row>
    <row r="389" spans="3:17" ht="15.75" customHeight="1" x14ac:dyDescent="0.35">
      <c r="C389" s="3"/>
      <c r="E389" s="3"/>
      <c r="Q389" s="16"/>
    </row>
    <row r="390" spans="3:17" ht="15.75" customHeight="1" x14ac:dyDescent="0.35">
      <c r="C390" s="3"/>
      <c r="E390" s="3"/>
      <c r="Q390" s="16"/>
    </row>
    <row r="391" spans="3:17" ht="15.75" customHeight="1" x14ac:dyDescent="0.35">
      <c r="C391" s="3"/>
      <c r="E391" s="3"/>
      <c r="Q391" s="16"/>
    </row>
    <row r="392" spans="3:17" ht="15.75" customHeight="1" x14ac:dyDescent="0.35">
      <c r="C392" s="3"/>
      <c r="E392" s="3"/>
      <c r="Q392" s="16"/>
    </row>
    <row r="393" spans="3:17" ht="15.75" customHeight="1" x14ac:dyDescent="0.35">
      <c r="C393" s="3"/>
      <c r="E393" s="3"/>
      <c r="Q393" s="16"/>
    </row>
    <row r="394" spans="3:17" ht="15.75" customHeight="1" x14ac:dyDescent="0.35">
      <c r="C394" s="3"/>
      <c r="E394" s="3"/>
      <c r="Q394" s="16"/>
    </row>
    <row r="395" spans="3:17" ht="15.75" customHeight="1" x14ac:dyDescent="0.35">
      <c r="C395" s="3"/>
      <c r="E395" s="3"/>
      <c r="Q395" s="16"/>
    </row>
    <row r="396" spans="3:17" ht="15.75" customHeight="1" x14ac:dyDescent="0.35">
      <c r="C396" s="3"/>
      <c r="E396" s="3"/>
      <c r="Q396" s="16"/>
    </row>
    <row r="397" spans="3:17" ht="15.75" customHeight="1" x14ac:dyDescent="0.35">
      <c r="C397" s="3"/>
      <c r="E397" s="3"/>
      <c r="Q397" s="16"/>
    </row>
    <row r="398" spans="3:17" ht="15.75" customHeight="1" x14ac:dyDescent="0.35">
      <c r="C398" s="3"/>
      <c r="E398" s="3"/>
      <c r="Q398" s="16"/>
    </row>
    <row r="399" spans="3:17" ht="15.75" customHeight="1" x14ac:dyDescent="0.35">
      <c r="C399" s="3"/>
      <c r="E399" s="3"/>
      <c r="Q399" s="16"/>
    </row>
    <row r="400" spans="3:17" ht="15.75" customHeight="1" x14ac:dyDescent="0.35">
      <c r="C400" s="3"/>
      <c r="E400" s="3"/>
      <c r="Q400" s="16"/>
    </row>
    <row r="401" spans="3:17" ht="15.75" customHeight="1" x14ac:dyDescent="0.35">
      <c r="C401" s="3"/>
      <c r="E401" s="3"/>
      <c r="Q401" s="16"/>
    </row>
    <row r="402" spans="3:17" ht="15.75" customHeight="1" x14ac:dyDescent="0.35">
      <c r="C402" s="3"/>
      <c r="E402" s="3"/>
      <c r="Q402" s="16"/>
    </row>
    <row r="403" spans="3:17" ht="15.75" customHeight="1" x14ac:dyDescent="0.35">
      <c r="C403" s="3"/>
      <c r="E403" s="3"/>
      <c r="Q403" s="16"/>
    </row>
    <row r="404" spans="3:17" ht="15.75" customHeight="1" x14ac:dyDescent="0.35">
      <c r="C404" s="3"/>
      <c r="E404" s="3"/>
      <c r="Q404" s="16"/>
    </row>
    <row r="405" spans="3:17" ht="15.75" customHeight="1" x14ac:dyDescent="0.35">
      <c r="C405" s="3"/>
      <c r="E405" s="3"/>
      <c r="Q405" s="16"/>
    </row>
    <row r="406" spans="3:17" ht="15.75" customHeight="1" x14ac:dyDescent="0.35">
      <c r="C406" s="3"/>
      <c r="E406" s="3"/>
      <c r="Q406" s="16"/>
    </row>
    <row r="407" spans="3:17" ht="15.75" customHeight="1" x14ac:dyDescent="0.35">
      <c r="C407" s="3"/>
      <c r="E407" s="3"/>
      <c r="Q407" s="16"/>
    </row>
    <row r="408" spans="3:17" ht="15.75" customHeight="1" x14ac:dyDescent="0.35">
      <c r="C408" s="3"/>
      <c r="E408" s="3"/>
      <c r="Q408" s="16"/>
    </row>
    <row r="409" spans="3:17" ht="15.75" customHeight="1" x14ac:dyDescent="0.35">
      <c r="C409" s="3"/>
      <c r="E409" s="3"/>
      <c r="Q409" s="16"/>
    </row>
    <row r="410" spans="3:17" ht="15.75" customHeight="1" x14ac:dyDescent="0.35">
      <c r="C410" s="3"/>
      <c r="E410" s="3"/>
      <c r="Q410" s="16"/>
    </row>
    <row r="411" spans="3:17" ht="15.75" customHeight="1" x14ac:dyDescent="0.35">
      <c r="C411" s="3"/>
      <c r="E411" s="3"/>
      <c r="Q411" s="16"/>
    </row>
    <row r="412" spans="3:17" ht="15.75" customHeight="1" x14ac:dyDescent="0.35">
      <c r="C412" s="3"/>
      <c r="E412" s="3"/>
      <c r="Q412" s="16"/>
    </row>
    <row r="413" spans="3:17" ht="15.75" customHeight="1" x14ac:dyDescent="0.35">
      <c r="C413" s="3"/>
      <c r="E413" s="3"/>
      <c r="Q413" s="16"/>
    </row>
    <row r="414" spans="3:17" ht="15.75" customHeight="1" x14ac:dyDescent="0.35">
      <c r="C414" s="3"/>
      <c r="E414" s="3"/>
      <c r="Q414" s="16"/>
    </row>
    <row r="415" spans="3:17" ht="15.75" customHeight="1" x14ac:dyDescent="0.35">
      <c r="C415" s="3"/>
      <c r="E415" s="3"/>
      <c r="Q415" s="16"/>
    </row>
    <row r="416" spans="3:17" ht="15.75" customHeight="1" x14ac:dyDescent="0.35">
      <c r="C416" s="3"/>
      <c r="E416" s="3"/>
      <c r="Q416" s="16"/>
    </row>
    <row r="417" spans="3:17" ht="15.75" customHeight="1" x14ac:dyDescent="0.35">
      <c r="C417" s="3"/>
      <c r="E417" s="3"/>
      <c r="Q417" s="16"/>
    </row>
    <row r="418" spans="3:17" ht="15.75" customHeight="1" x14ac:dyDescent="0.35">
      <c r="C418" s="3"/>
      <c r="E418" s="3"/>
      <c r="Q418" s="16"/>
    </row>
    <row r="419" spans="3:17" ht="15.75" customHeight="1" x14ac:dyDescent="0.35">
      <c r="C419" s="3"/>
      <c r="E419" s="3"/>
      <c r="Q419" s="16"/>
    </row>
    <row r="420" spans="3:17" ht="15.75" customHeight="1" x14ac:dyDescent="0.35">
      <c r="C420" s="3"/>
      <c r="E420" s="3"/>
      <c r="Q420" s="16"/>
    </row>
    <row r="421" spans="3:17" ht="15.75" customHeight="1" x14ac:dyDescent="0.35">
      <c r="C421" s="3"/>
      <c r="E421" s="3"/>
      <c r="Q421" s="16"/>
    </row>
    <row r="422" spans="3:17" ht="15.75" customHeight="1" x14ac:dyDescent="0.35">
      <c r="C422" s="3"/>
      <c r="E422" s="3"/>
      <c r="Q422" s="16"/>
    </row>
    <row r="423" spans="3:17" ht="15.75" customHeight="1" x14ac:dyDescent="0.35">
      <c r="C423" s="3"/>
      <c r="E423" s="3"/>
      <c r="Q423" s="16"/>
    </row>
    <row r="424" spans="3:17" ht="15.75" customHeight="1" x14ac:dyDescent="0.35">
      <c r="C424" s="3"/>
      <c r="E424" s="3"/>
      <c r="Q424" s="16"/>
    </row>
    <row r="425" spans="3:17" ht="15.75" customHeight="1" x14ac:dyDescent="0.35">
      <c r="C425" s="3"/>
      <c r="E425" s="3"/>
      <c r="Q425" s="16"/>
    </row>
    <row r="426" spans="3:17" ht="15.75" customHeight="1" x14ac:dyDescent="0.35">
      <c r="C426" s="3"/>
      <c r="E426" s="3"/>
      <c r="Q426" s="16"/>
    </row>
    <row r="427" spans="3:17" ht="15.75" customHeight="1" x14ac:dyDescent="0.35">
      <c r="C427" s="3"/>
      <c r="E427" s="3"/>
      <c r="Q427" s="16"/>
    </row>
    <row r="428" spans="3:17" ht="15.75" customHeight="1" x14ac:dyDescent="0.35">
      <c r="C428" s="3"/>
      <c r="E428" s="3"/>
      <c r="Q428" s="16"/>
    </row>
    <row r="429" spans="3:17" ht="15.75" customHeight="1" x14ac:dyDescent="0.35">
      <c r="C429" s="3"/>
      <c r="E429" s="3"/>
      <c r="Q429" s="16"/>
    </row>
    <row r="430" spans="3:17" ht="15.75" customHeight="1" x14ac:dyDescent="0.35">
      <c r="C430" s="3"/>
      <c r="E430" s="3"/>
      <c r="Q430" s="16"/>
    </row>
    <row r="431" spans="3:17" ht="15.75" customHeight="1" x14ac:dyDescent="0.35">
      <c r="C431" s="3"/>
      <c r="E431" s="3"/>
      <c r="Q431" s="16"/>
    </row>
    <row r="432" spans="3:17" ht="15.75" customHeight="1" x14ac:dyDescent="0.35">
      <c r="C432" s="3"/>
      <c r="E432" s="3"/>
      <c r="Q432" s="16"/>
    </row>
    <row r="433" spans="3:17" ht="15.75" customHeight="1" x14ac:dyDescent="0.35">
      <c r="C433" s="3"/>
      <c r="E433" s="3"/>
      <c r="Q433" s="16"/>
    </row>
    <row r="434" spans="3:17" ht="15.75" customHeight="1" x14ac:dyDescent="0.35">
      <c r="C434" s="3"/>
      <c r="E434" s="3"/>
      <c r="Q434" s="16"/>
    </row>
    <row r="435" spans="3:17" ht="15.75" customHeight="1" x14ac:dyDescent="0.35">
      <c r="C435" s="3"/>
      <c r="E435" s="3"/>
      <c r="Q435" s="16"/>
    </row>
    <row r="436" spans="3:17" ht="15.75" customHeight="1" x14ac:dyDescent="0.35">
      <c r="C436" s="3"/>
      <c r="E436" s="3"/>
      <c r="Q436" s="16"/>
    </row>
    <row r="437" spans="3:17" ht="15.75" customHeight="1" x14ac:dyDescent="0.35">
      <c r="C437" s="3"/>
      <c r="E437" s="3"/>
      <c r="Q437" s="16"/>
    </row>
    <row r="438" spans="3:17" ht="15.75" customHeight="1" x14ac:dyDescent="0.35">
      <c r="C438" s="3"/>
      <c r="E438" s="3"/>
      <c r="Q438" s="16"/>
    </row>
    <row r="439" spans="3:17" ht="15.75" customHeight="1" x14ac:dyDescent="0.35">
      <c r="C439" s="3"/>
      <c r="E439" s="3"/>
      <c r="Q439" s="16"/>
    </row>
    <row r="440" spans="3:17" ht="15.75" customHeight="1" x14ac:dyDescent="0.35">
      <c r="C440" s="3"/>
      <c r="E440" s="3"/>
      <c r="Q440" s="16"/>
    </row>
    <row r="441" spans="3:17" ht="15.75" customHeight="1" x14ac:dyDescent="0.35">
      <c r="C441" s="3"/>
      <c r="E441" s="3"/>
      <c r="Q441" s="16"/>
    </row>
    <row r="442" spans="3:17" ht="15.75" customHeight="1" x14ac:dyDescent="0.35">
      <c r="C442" s="3"/>
      <c r="E442" s="3"/>
      <c r="Q442" s="16"/>
    </row>
    <row r="443" spans="3:17" ht="15.75" customHeight="1" x14ac:dyDescent="0.35">
      <c r="C443" s="3"/>
      <c r="E443" s="3"/>
      <c r="Q443" s="16"/>
    </row>
    <row r="444" spans="3:17" ht="15.75" customHeight="1" x14ac:dyDescent="0.35">
      <c r="C444" s="3"/>
      <c r="E444" s="3"/>
      <c r="Q444" s="16"/>
    </row>
    <row r="445" spans="3:17" ht="15.75" customHeight="1" x14ac:dyDescent="0.35">
      <c r="C445" s="3"/>
      <c r="E445" s="3"/>
      <c r="Q445" s="16"/>
    </row>
    <row r="446" spans="3:17" ht="15.75" customHeight="1" x14ac:dyDescent="0.35">
      <c r="C446" s="3"/>
      <c r="E446" s="3"/>
      <c r="Q446" s="16"/>
    </row>
    <row r="447" spans="3:17" ht="15.75" customHeight="1" x14ac:dyDescent="0.35">
      <c r="C447" s="3"/>
      <c r="E447" s="3"/>
      <c r="Q447" s="16"/>
    </row>
    <row r="448" spans="3:17" ht="15.75" customHeight="1" x14ac:dyDescent="0.35">
      <c r="C448" s="3"/>
      <c r="E448" s="3"/>
      <c r="Q448" s="16"/>
    </row>
    <row r="449" spans="3:17" ht="15.75" customHeight="1" x14ac:dyDescent="0.35">
      <c r="C449" s="3"/>
      <c r="E449" s="3"/>
      <c r="Q449" s="16"/>
    </row>
    <row r="450" spans="3:17" ht="15.75" customHeight="1" x14ac:dyDescent="0.35">
      <c r="C450" s="3"/>
      <c r="E450" s="3"/>
      <c r="Q450" s="16"/>
    </row>
    <row r="451" spans="3:17" ht="15.75" customHeight="1" x14ac:dyDescent="0.35">
      <c r="C451" s="3"/>
      <c r="E451" s="3"/>
      <c r="Q451" s="16"/>
    </row>
    <row r="452" spans="3:17" ht="15.75" customHeight="1" x14ac:dyDescent="0.35">
      <c r="C452" s="3"/>
      <c r="E452" s="3"/>
      <c r="Q452" s="16"/>
    </row>
    <row r="453" spans="3:17" ht="15.75" customHeight="1" x14ac:dyDescent="0.35">
      <c r="C453" s="3"/>
      <c r="E453" s="3"/>
      <c r="Q453" s="16"/>
    </row>
    <row r="454" spans="3:17" ht="15.75" customHeight="1" x14ac:dyDescent="0.35">
      <c r="C454" s="3"/>
      <c r="E454" s="3"/>
      <c r="Q454" s="16"/>
    </row>
    <row r="455" spans="3:17" ht="15.75" customHeight="1" x14ac:dyDescent="0.35">
      <c r="C455" s="3"/>
      <c r="E455" s="3"/>
      <c r="Q455" s="16"/>
    </row>
    <row r="456" spans="3:17" ht="15.75" customHeight="1" x14ac:dyDescent="0.35">
      <c r="C456" s="3"/>
      <c r="E456" s="3"/>
      <c r="Q456" s="16"/>
    </row>
    <row r="457" spans="3:17" ht="15.75" customHeight="1" x14ac:dyDescent="0.35">
      <c r="C457" s="3"/>
      <c r="E457" s="3"/>
      <c r="Q457" s="16"/>
    </row>
    <row r="458" spans="3:17" ht="15.75" customHeight="1" x14ac:dyDescent="0.35">
      <c r="C458" s="3"/>
      <c r="E458" s="3"/>
      <c r="Q458" s="16"/>
    </row>
    <row r="459" spans="3:17" ht="15.75" customHeight="1" x14ac:dyDescent="0.35">
      <c r="C459" s="3"/>
      <c r="E459" s="3"/>
      <c r="Q459" s="16"/>
    </row>
    <row r="460" spans="3:17" ht="15.75" customHeight="1" x14ac:dyDescent="0.35">
      <c r="C460" s="3"/>
      <c r="E460" s="3"/>
      <c r="Q460" s="16"/>
    </row>
    <row r="461" spans="3:17" ht="15.75" customHeight="1" x14ac:dyDescent="0.35">
      <c r="C461" s="3"/>
      <c r="E461" s="3"/>
      <c r="Q461" s="16"/>
    </row>
    <row r="462" spans="3:17" ht="15.75" customHeight="1" x14ac:dyDescent="0.35">
      <c r="C462" s="3"/>
      <c r="E462" s="3"/>
      <c r="Q462" s="16"/>
    </row>
    <row r="463" spans="3:17" ht="15.75" customHeight="1" x14ac:dyDescent="0.35">
      <c r="C463" s="3"/>
      <c r="E463" s="3"/>
      <c r="Q463" s="16"/>
    </row>
    <row r="464" spans="3:17" ht="15.75" customHeight="1" x14ac:dyDescent="0.35">
      <c r="C464" s="3"/>
      <c r="E464" s="3"/>
      <c r="Q464" s="16"/>
    </row>
    <row r="465" spans="3:17" ht="15.75" customHeight="1" x14ac:dyDescent="0.35">
      <c r="C465" s="3"/>
      <c r="E465" s="3"/>
      <c r="Q465" s="16"/>
    </row>
    <row r="466" spans="3:17" ht="15.75" customHeight="1" x14ac:dyDescent="0.35">
      <c r="C466" s="3"/>
      <c r="E466" s="3"/>
      <c r="Q466" s="16"/>
    </row>
    <row r="467" spans="3:17" ht="15.75" customHeight="1" x14ac:dyDescent="0.35">
      <c r="C467" s="3"/>
      <c r="E467" s="3"/>
      <c r="Q467" s="16"/>
    </row>
    <row r="468" spans="3:17" ht="15.75" customHeight="1" x14ac:dyDescent="0.35">
      <c r="C468" s="3"/>
      <c r="E468" s="3"/>
      <c r="Q468" s="16"/>
    </row>
    <row r="469" spans="3:17" ht="15.75" customHeight="1" x14ac:dyDescent="0.35">
      <c r="C469" s="3"/>
      <c r="E469" s="3"/>
      <c r="Q469" s="16"/>
    </row>
    <row r="470" spans="3:17" ht="15.75" customHeight="1" x14ac:dyDescent="0.35">
      <c r="C470" s="3"/>
      <c r="E470" s="3"/>
      <c r="Q470" s="16"/>
    </row>
    <row r="471" spans="3:17" ht="15.75" customHeight="1" x14ac:dyDescent="0.35">
      <c r="C471" s="3"/>
      <c r="E471" s="3"/>
      <c r="Q471" s="16"/>
    </row>
    <row r="472" spans="3:17" ht="15.75" customHeight="1" x14ac:dyDescent="0.35">
      <c r="C472" s="3"/>
      <c r="E472" s="3"/>
      <c r="Q472" s="16"/>
    </row>
    <row r="473" spans="3:17" ht="15.75" customHeight="1" x14ac:dyDescent="0.35">
      <c r="C473" s="3"/>
      <c r="E473" s="3"/>
      <c r="Q473" s="16"/>
    </row>
    <row r="474" spans="3:17" ht="15.75" customHeight="1" x14ac:dyDescent="0.35">
      <c r="C474" s="3"/>
      <c r="E474" s="3"/>
      <c r="Q474" s="16"/>
    </row>
    <row r="475" spans="3:17" ht="15.75" customHeight="1" x14ac:dyDescent="0.35">
      <c r="C475" s="3"/>
      <c r="E475" s="3"/>
      <c r="Q475" s="16"/>
    </row>
    <row r="476" spans="3:17" ht="15.75" customHeight="1" x14ac:dyDescent="0.35">
      <c r="C476" s="3"/>
      <c r="E476" s="3"/>
      <c r="Q476" s="16"/>
    </row>
    <row r="477" spans="3:17" ht="15.75" customHeight="1" x14ac:dyDescent="0.35">
      <c r="C477" s="3"/>
      <c r="E477" s="3"/>
      <c r="Q477" s="16"/>
    </row>
    <row r="478" spans="3:17" ht="15.75" customHeight="1" x14ac:dyDescent="0.35">
      <c r="C478" s="3"/>
      <c r="E478" s="3"/>
      <c r="Q478" s="16"/>
    </row>
    <row r="479" spans="3:17" ht="15.75" customHeight="1" x14ac:dyDescent="0.35">
      <c r="C479" s="3"/>
      <c r="E479" s="3"/>
      <c r="Q479" s="16"/>
    </row>
    <row r="480" spans="3:17" ht="15.75" customHeight="1" x14ac:dyDescent="0.35">
      <c r="C480" s="3"/>
      <c r="E480" s="3"/>
      <c r="Q480" s="16"/>
    </row>
    <row r="481" spans="3:17" ht="15.75" customHeight="1" x14ac:dyDescent="0.35">
      <c r="C481" s="3"/>
      <c r="E481" s="3"/>
      <c r="Q481" s="16"/>
    </row>
    <row r="482" spans="3:17" ht="15.75" customHeight="1" x14ac:dyDescent="0.35">
      <c r="C482" s="3"/>
      <c r="E482" s="3"/>
      <c r="Q482" s="16"/>
    </row>
    <row r="483" spans="3:17" ht="15.75" customHeight="1" x14ac:dyDescent="0.35">
      <c r="C483" s="3"/>
      <c r="E483" s="3"/>
      <c r="Q483" s="16"/>
    </row>
    <row r="484" spans="3:17" ht="15.75" customHeight="1" x14ac:dyDescent="0.35">
      <c r="C484" s="3"/>
      <c r="E484" s="3"/>
      <c r="Q484" s="16"/>
    </row>
    <row r="485" spans="3:17" ht="15.75" customHeight="1" x14ac:dyDescent="0.35">
      <c r="C485" s="3"/>
      <c r="E485" s="3"/>
      <c r="Q485" s="16"/>
    </row>
    <row r="486" spans="3:17" ht="15.75" customHeight="1" x14ac:dyDescent="0.35">
      <c r="C486" s="3"/>
      <c r="E486" s="3"/>
      <c r="Q486" s="16"/>
    </row>
    <row r="487" spans="3:17" ht="15.75" customHeight="1" x14ac:dyDescent="0.35">
      <c r="C487" s="3"/>
      <c r="E487" s="3"/>
      <c r="Q487" s="16"/>
    </row>
    <row r="488" spans="3:17" ht="15.75" customHeight="1" x14ac:dyDescent="0.35">
      <c r="C488" s="3"/>
      <c r="E488" s="3"/>
      <c r="Q488" s="16"/>
    </row>
    <row r="489" spans="3:17" ht="15.75" customHeight="1" x14ac:dyDescent="0.35">
      <c r="C489" s="3"/>
      <c r="E489" s="3"/>
      <c r="Q489" s="16"/>
    </row>
    <row r="490" spans="3:17" ht="15.75" customHeight="1" x14ac:dyDescent="0.35">
      <c r="C490" s="3"/>
      <c r="E490" s="3"/>
      <c r="Q490" s="16"/>
    </row>
    <row r="491" spans="3:17" ht="15.75" customHeight="1" x14ac:dyDescent="0.35">
      <c r="C491" s="3"/>
      <c r="E491" s="3"/>
      <c r="Q491" s="16"/>
    </row>
    <row r="492" spans="3:17" ht="15.75" customHeight="1" x14ac:dyDescent="0.35">
      <c r="C492" s="3"/>
      <c r="E492" s="3"/>
      <c r="Q492" s="16"/>
    </row>
    <row r="493" spans="3:17" ht="15.75" customHeight="1" x14ac:dyDescent="0.35">
      <c r="C493" s="3"/>
      <c r="E493" s="3"/>
      <c r="Q493" s="16"/>
    </row>
    <row r="494" spans="3:17" ht="15.75" customHeight="1" x14ac:dyDescent="0.35">
      <c r="C494" s="3"/>
      <c r="E494" s="3"/>
      <c r="Q494" s="16"/>
    </row>
    <row r="495" spans="3:17" ht="15.75" customHeight="1" x14ac:dyDescent="0.35">
      <c r="C495" s="3"/>
      <c r="E495" s="3"/>
      <c r="Q495" s="16"/>
    </row>
    <row r="496" spans="3:17" ht="15.75" customHeight="1" x14ac:dyDescent="0.35">
      <c r="C496" s="3"/>
      <c r="E496" s="3"/>
      <c r="Q496" s="16"/>
    </row>
    <row r="497" spans="3:17" ht="15.75" customHeight="1" x14ac:dyDescent="0.35">
      <c r="C497" s="3"/>
      <c r="E497" s="3"/>
      <c r="Q497" s="16"/>
    </row>
    <row r="498" spans="3:17" ht="15.75" customHeight="1" x14ac:dyDescent="0.35">
      <c r="C498" s="3"/>
      <c r="E498" s="3"/>
      <c r="Q498" s="16"/>
    </row>
    <row r="499" spans="3:17" ht="15.75" customHeight="1" x14ac:dyDescent="0.35">
      <c r="C499" s="3"/>
      <c r="E499" s="3"/>
      <c r="Q499" s="16"/>
    </row>
    <row r="500" spans="3:17" ht="15.75" customHeight="1" x14ac:dyDescent="0.35">
      <c r="C500" s="3"/>
      <c r="E500" s="3"/>
      <c r="Q500" s="16"/>
    </row>
    <row r="501" spans="3:17" ht="15.75" customHeight="1" x14ac:dyDescent="0.35">
      <c r="C501" s="3"/>
      <c r="E501" s="3"/>
      <c r="Q501" s="16"/>
    </row>
    <row r="502" spans="3:17" ht="15.75" customHeight="1" x14ac:dyDescent="0.35">
      <c r="C502" s="3"/>
      <c r="E502" s="3"/>
      <c r="Q502" s="16"/>
    </row>
    <row r="503" spans="3:17" ht="15.75" customHeight="1" x14ac:dyDescent="0.35">
      <c r="C503" s="3"/>
      <c r="E503" s="3"/>
      <c r="Q503" s="16"/>
    </row>
    <row r="504" spans="3:17" ht="15.75" customHeight="1" x14ac:dyDescent="0.35">
      <c r="C504" s="3"/>
      <c r="E504" s="3"/>
      <c r="Q504" s="16"/>
    </row>
    <row r="505" spans="3:17" ht="15.75" customHeight="1" x14ac:dyDescent="0.35">
      <c r="C505" s="3"/>
      <c r="E505" s="3"/>
      <c r="Q505" s="16"/>
    </row>
    <row r="506" spans="3:17" ht="15.75" customHeight="1" x14ac:dyDescent="0.35">
      <c r="C506" s="3"/>
      <c r="E506" s="3"/>
      <c r="Q506" s="16"/>
    </row>
    <row r="507" spans="3:17" ht="15.75" customHeight="1" x14ac:dyDescent="0.35">
      <c r="C507" s="3"/>
      <c r="E507" s="3"/>
      <c r="Q507" s="16"/>
    </row>
    <row r="508" spans="3:17" ht="15.75" customHeight="1" x14ac:dyDescent="0.35">
      <c r="C508" s="3"/>
      <c r="E508" s="3"/>
      <c r="Q508" s="16"/>
    </row>
    <row r="509" spans="3:17" ht="15.75" customHeight="1" x14ac:dyDescent="0.35">
      <c r="C509" s="3"/>
      <c r="E509" s="3"/>
      <c r="Q509" s="16"/>
    </row>
    <row r="510" spans="3:17" ht="15.75" customHeight="1" x14ac:dyDescent="0.35">
      <c r="C510" s="3"/>
      <c r="E510" s="3"/>
      <c r="Q510" s="16"/>
    </row>
    <row r="511" spans="3:17" ht="15.75" customHeight="1" x14ac:dyDescent="0.35">
      <c r="C511" s="3"/>
      <c r="E511" s="3"/>
      <c r="Q511" s="16"/>
    </row>
    <row r="512" spans="3:17" ht="15.75" customHeight="1" x14ac:dyDescent="0.35">
      <c r="C512" s="3"/>
      <c r="E512" s="3"/>
      <c r="Q512" s="16"/>
    </row>
    <row r="513" spans="3:17" ht="15.75" customHeight="1" x14ac:dyDescent="0.35">
      <c r="C513" s="3"/>
      <c r="E513" s="3"/>
      <c r="Q513" s="16"/>
    </row>
    <row r="514" spans="3:17" ht="15.75" customHeight="1" x14ac:dyDescent="0.35">
      <c r="C514" s="3"/>
      <c r="E514" s="3"/>
      <c r="Q514" s="16"/>
    </row>
    <row r="515" spans="3:17" ht="15.75" customHeight="1" x14ac:dyDescent="0.35">
      <c r="C515" s="3"/>
      <c r="E515" s="3"/>
      <c r="Q515" s="16"/>
    </row>
    <row r="516" spans="3:17" ht="15.75" customHeight="1" x14ac:dyDescent="0.35">
      <c r="C516" s="3"/>
      <c r="E516" s="3"/>
      <c r="Q516" s="16"/>
    </row>
    <row r="517" spans="3:17" ht="15.75" customHeight="1" x14ac:dyDescent="0.35">
      <c r="C517" s="3"/>
      <c r="E517" s="3"/>
      <c r="Q517" s="16"/>
    </row>
    <row r="518" spans="3:17" ht="15.75" customHeight="1" x14ac:dyDescent="0.35">
      <c r="C518" s="3"/>
      <c r="E518" s="3"/>
      <c r="Q518" s="16"/>
    </row>
    <row r="519" spans="3:17" ht="15.75" customHeight="1" x14ac:dyDescent="0.35">
      <c r="C519" s="3"/>
      <c r="E519" s="3"/>
      <c r="Q519" s="16"/>
    </row>
    <row r="520" spans="3:17" ht="15.75" customHeight="1" x14ac:dyDescent="0.35">
      <c r="C520" s="3"/>
      <c r="E520" s="3"/>
      <c r="Q520" s="16"/>
    </row>
    <row r="521" spans="3:17" ht="15.75" customHeight="1" x14ac:dyDescent="0.35">
      <c r="C521" s="3"/>
      <c r="E521" s="3"/>
      <c r="Q521" s="16"/>
    </row>
    <row r="522" spans="3:17" ht="15.75" customHeight="1" x14ac:dyDescent="0.35">
      <c r="C522" s="3"/>
      <c r="E522" s="3"/>
      <c r="Q522" s="16"/>
    </row>
    <row r="523" spans="3:17" ht="15.75" customHeight="1" x14ac:dyDescent="0.35">
      <c r="C523" s="3"/>
      <c r="E523" s="3"/>
      <c r="Q523" s="16"/>
    </row>
    <row r="524" spans="3:17" ht="15.75" customHeight="1" x14ac:dyDescent="0.35">
      <c r="C524" s="3"/>
      <c r="E524" s="3"/>
      <c r="Q524" s="16"/>
    </row>
    <row r="525" spans="3:17" ht="15.75" customHeight="1" x14ac:dyDescent="0.35">
      <c r="C525" s="3"/>
      <c r="E525" s="3"/>
      <c r="Q525" s="16"/>
    </row>
    <row r="526" spans="3:17" ht="15.75" customHeight="1" x14ac:dyDescent="0.35">
      <c r="C526" s="3"/>
      <c r="E526" s="3"/>
      <c r="Q526" s="16"/>
    </row>
    <row r="527" spans="3:17" ht="15.75" customHeight="1" x14ac:dyDescent="0.35">
      <c r="C527" s="3"/>
      <c r="E527" s="3"/>
      <c r="Q527" s="16"/>
    </row>
    <row r="528" spans="3:17" ht="15.75" customHeight="1" x14ac:dyDescent="0.35">
      <c r="C528" s="3"/>
      <c r="E528" s="3"/>
      <c r="Q528" s="16"/>
    </row>
    <row r="529" spans="3:17" ht="15.75" customHeight="1" x14ac:dyDescent="0.35">
      <c r="C529" s="3"/>
      <c r="E529" s="3"/>
      <c r="Q529" s="16"/>
    </row>
    <row r="530" spans="3:17" ht="15.75" customHeight="1" x14ac:dyDescent="0.35">
      <c r="C530" s="3"/>
      <c r="E530" s="3"/>
      <c r="Q530" s="16"/>
    </row>
    <row r="531" spans="3:17" ht="15.75" customHeight="1" x14ac:dyDescent="0.35">
      <c r="C531" s="3"/>
      <c r="E531" s="3"/>
      <c r="Q531" s="16"/>
    </row>
    <row r="532" spans="3:17" ht="15.75" customHeight="1" x14ac:dyDescent="0.35">
      <c r="C532" s="3"/>
      <c r="E532" s="3"/>
      <c r="Q532" s="16"/>
    </row>
    <row r="533" spans="3:17" ht="15.75" customHeight="1" x14ac:dyDescent="0.35">
      <c r="C533" s="3"/>
      <c r="E533" s="3"/>
      <c r="Q533" s="16"/>
    </row>
    <row r="534" spans="3:17" ht="15.75" customHeight="1" x14ac:dyDescent="0.35">
      <c r="C534" s="3"/>
      <c r="E534" s="3"/>
      <c r="Q534" s="16"/>
    </row>
    <row r="535" spans="3:17" ht="15.75" customHeight="1" x14ac:dyDescent="0.35">
      <c r="C535" s="3"/>
      <c r="E535" s="3"/>
      <c r="Q535" s="16"/>
    </row>
    <row r="536" spans="3:17" ht="15.75" customHeight="1" x14ac:dyDescent="0.35">
      <c r="C536" s="3"/>
      <c r="E536" s="3"/>
      <c r="Q536" s="16"/>
    </row>
    <row r="537" spans="3:17" ht="15.75" customHeight="1" x14ac:dyDescent="0.35">
      <c r="C537" s="3"/>
      <c r="E537" s="3"/>
      <c r="Q537" s="16"/>
    </row>
    <row r="538" spans="3:17" ht="15.75" customHeight="1" x14ac:dyDescent="0.35">
      <c r="C538" s="3"/>
      <c r="E538" s="3"/>
      <c r="Q538" s="16"/>
    </row>
    <row r="539" spans="3:17" ht="15.75" customHeight="1" x14ac:dyDescent="0.35">
      <c r="C539" s="3"/>
      <c r="E539" s="3"/>
      <c r="Q539" s="16"/>
    </row>
    <row r="540" spans="3:17" ht="15.75" customHeight="1" x14ac:dyDescent="0.35">
      <c r="C540" s="3"/>
      <c r="E540" s="3"/>
      <c r="Q540" s="16"/>
    </row>
    <row r="541" spans="3:17" ht="15.75" customHeight="1" x14ac:dyDescent="0.35">
      <c r="C541" s="3"/>
      <c r="E541" s="3"/>
      <c r="Q541" s="16"/>
    </row>
    <row r="542" spans="3:17" ht="15.75" customHeight="1" x14ac:dyDescent="0.35">
      <c r="C542" s="3"/>
      <c r="E542" s="3"/>
      <c r="Q542" s="16"/>
    </row>
    <row r="543" spans="3:17" ht="15.75" customHeight="1" x14ac:dyDescent="0.35">
      <c r="C543" s="3"/>
      <c r="E543" s="3"/>
      <c r="Q543" s="16"/>
    </row>
    <row r="544" spans="3:17" ht="15.75" customHeight="1" x14ac:dyDescent="0.35">
      <c r="C544" s="3"/>
      <c r="E544" s="3"/>
      <c r="Q544" s="16"/>
    </row>
    <row r="545" spans="3:17" ht="15.75" customHeight="1" x14ac:dyDescent="0.35">
      <c r="C545" s="3"/>
      <c r="E545" s="3"/>
      <c r="Q545" s="16"/>
    </row>
    <row r="546" spans="3:17" ht="15.75" customHeight="1" x14ac:dyDescent="0.35">
      <c r="C546" s="3"/>
      <c r="E546" s="3"/>
      <c r="Q546" s="16"/>
    </row>
    <row r="547" spans="3:17" ht="15.75" customHeight="1" x14ac:dyDescent="0.35">
      <c r="C547" s="3"/>
      <c r="E547" s="3"/>
      <c r="Q547" s="16"/>
    </row>
    <row r="548" spans="3:17" ht="15.75" customHeight="1" x14ac:dyDescent="0.35">
      <c r="C548" s="3"/>
      <c r="E548" s="3"/>
      <c r="Q548" s="16"/>
    </row>
    <row r="549" spans="3:17" ht="15.75" customHeight="1" x14ac:dyDescent="0.35">
      <c r="C549" s="3"/>
      <c r="E549" s="3"/>
      <c r="Q549" s="16"/>
    </row>
    <row r="550" spans="3:17" ht="15.75" customHeight="1" x14ac:dyDescent="0.35">
      <c r="C550" s="3"/>
      <c r="E550" s="3"/>
      <c r="Q550" s="16"/>
    </row>
    <row r="551" spans="3:17" ht="15.75" customHeight="1" x14ac:dyDescent="0.35">
      <c r="C551" s="3"/>
      <c r="E551" s="3"/>
      <c r="Q551" s="16"/>
    </row>
    <row r="552" spans="3:17" ht="15.75" customHeight="1" x14ac:dyDescent="0.35">
      <c r="C552" s="3"/>
      <c r="E552" s="3"/>
      <c r="Q552" s="16"/>
    </row>
    <row r="553" spans="3:17" ht="15.75" customHeight="1" x14ac:dyDescent="0.35">
      <c r="C553" s="3"/>
      <c r="E553" s="3"/>
      <c r="Q553" s="16"/>
    </row>
    <row r="554" spans="3:17" ht="15.75" customHeight="1" x14ac:dyDescent="0.35">
      <c r="C554" s="3"/>
      <c r="E554" s="3"/>
      <c r="Q554" s="16"/>
    </row>
    <row r="555" spans="3:17" ht="15.75" customHeight="1" x14ac:dyDescent="0.35">
      <c r="C555" s="3"/>
      <c r="E555" s="3"/>
      <c r="Q555" s="16"/>
    </row>
    <row r="556" spans="3:17" ht="15.75" customHeight="1" x14ac:dyDescent="0.35">
      <c r="C556" s="3"/>
      <c r="E556" s="3"/>
      <c r="Q556" s="16"/>
    </row>
    <row r="557" spans="3:17" ht="15.75" customHeight="1" x14ac:dyDescent="0.35">
      <c r="C557" s="3"/>
      <c r="E557" s="3"/>
      <c r="Q557" s="16"/>
    </row>
    <row r="558" spans="3:17" ht="15.75" customHeight="1" x14ac:dyDescent="0.35">
      <c r="C558" s="3"/>
      <c r="E558" s="3"/>
      <c r="Q558" s="16"/>
    </row>
    <row r="559" spans="3:17" ht="15.75" customHeight="1" x14ac:dyDescent="0.35">
      <c r="C559" s="3"/>
      <c r="E559" s="3"/>
      <c r="Q559" s="16"/>
    </row>
    <row r="560" spans="3:17" ht="15.75" customHeight="1" x14ac:dyDescent="0.35">
      <c r="C560" s="3"/>
      <c r="E560" s="3"/>
      <c r="Q560" s="16"/>
    </row>
    <row r="561" spans="3:17" ht="15.75" customHeight="1" x14ac:dyDescent="0.35">
      <c r="C561" s="3"/>
      <c r="E561" s="3"/>
      <c r="Q561" s="16"/>
    </row>
    <row r="562" spans="3:17" ht="15.75" customHeight="1" x14ac:dyDescent="0.35">
      <c r="C562" s="3"/>
      <c r="E562" s="3"/>
      <c r="Q562" s="16"/>
    </row>
    <row r="563" spans="3:17" ht="15.75" customHeight="1" x14ac:dyDescent="0.35">
      <c r="C563" s="3"/>
      <c r="E563" s="3"/>
      <c r="Q563" s="16"/>
    </row>
    <row r="564" spans="3:17" ht="15.75" customHeight="1" x14ac:dyDescent="0.35">
      <c r="C564" s="3"/>
      <c r="E564" s="3"/>
      <c r="Q564" s="16"/>
    </row>
    <row r="565" spans="3:17" ht="15.75" customHeight="1" x14ac:dyDescent="0.35">
      <c r="C565" s="3"/>
      <c r="E565" s="3"/>
      <c r="Q565" s="16"/>
    </row>
    <row r="566" spans="3:17" ht="15.75" customHeight="1" x14ac:dyDescent="0.35">
      <c r="C566" s="3"/>
      <c r="E566" s="3"/>
      <c r="Q566" s="16"/>
    </row>
    <row r="567" spans="3:17" ht="15.75" customHeight="1" x14ac:dyDescent="0.35">
      <c r="C567" s="3"/>
      <c r="E567" s="3"/>
      <c r="Q567" s="16"/>
    </row>
    <row r="568" spans="3:17" ht="15.75" customHeight="1" x14ac:dyDescent="0.35">
      <c r="C568" s="3"/>
      <c r="E568" s="3"/>
      <c r="Q568" s="16"/>
    </row>
    <row r="569" spans="3:17" ht="15.75" customHeight="1" x14ac:dyDescent="0.35">
      <c r="C569" s="3"/>
      <c r="E569" s="3"/>
      <c r="Q569" s="16"/>
    </row>
    <row r="570" spans="3:17" ht="15.75" customHeight="1" x14ac:dyDescent="0.35">
      <c r="C570" s="3"/>
      <c r="E570" s="3"/>
      <c r="Q570" s="16"/>
    </row>
    <row r="571" spans="3:17" ht="15.75" customHeight="1" x14ac:dyDescent="0.35">
      <c r="C571" s="3"/>
      <c r="E571" s="3"/>
      <c r="Q571" s="16"/>
    </row>
    <row r="572" spans="3:17" ht="15.75" customHeight="1" x14ac:dyDescent="0.35">
      <c r="C572" s="3"/>
      <c r="E572" s="3"/>
      <c r="Q572" s="16"/>
    </row>
    <row r="573" spans="3:17" ht="15.75" customHeight="1" x14ac:dyDescent="0.35">
      <c r="C573" s="3"/>
      <c r="E573" s="3"/>
      <c r="Q573" s="16"/>
    </row>
    <row r="574" spans="3:17" ht="15.75" customHeight="1" x14ac:dyDescent="0.35">
      <c r="C574" s="3"/>
      <c r="E574" s="3"/>
      <c r="Q574" s="16"/>
    </row>
    <row r="575" spans="3:17" ht="15.75" customHeight="1" x14ac:dyDescent="0.35">
      <c r="C575" s="3"/>
      <c r="E575" s="3"/>
      <c r="Q575" s="16"/>
    </row>
    <row r="576" spans="3:17" ht="15.75" customHeight="1" x14ac:dyDescent="0.35">
      <c r="C576" s="3"/>
      <c r="E576" s="3"/>
      <c r="Q576" s="16"/>
    </row>
    <row r="577" spans="3:17" ht="15.75" customHeight="1" x14ac:dyDescent="0.35">
      <c r="C577" s="3"/>
      <c r="E577" s="3"/>
      <c r="Q577" s="16"/>
    </row>
    <row r="578" spans="3:17" ht="15.75" customHeight="1" x14ac:dyDescent="0.35">
      <c r="C578" s="3"/>
      <c r="E578" s="3"/>
      <c r="Q578" s="16"/>
    </row>
    <row r="579" spans="3:17" ht="15.75" customHeight="1" x14ac:dyDescent="0.35">
      <c r="C579" s="3"/>
      <c r="E579" s="3"/>
      <c r="Q579" s="16"/>
    </row>
    <row r="580" spans="3:17" ht="15.75" customHeight="1" x14ac:dyDescent="0.35">
      <c r="C580" s="3"/>
      <c r="E580" s="3"/>
      <c r="Q580" s="16"/>
    </row>
    <row r="581" spans="3:17" ht="15.75" customHeight="1" x14ac:dyDescent="0.35">
      <c r="C581" s="3"/>
      <c r="E581" s="3"/>
      <c r="Q581" s="16"/>
    </row>
    <row r="582" spans="3:17" ht="15.75" customHeight="1" x14ac:dyDescent="0.35">
      <c r="C582" s="3"/>
      <c r="E582" s="3"/>
      <c r="Q582" s="16"/>
    </row>
    <row r="583" spans="3:17" ht="15.75" customHeight="1" x14ac:dyDescent="0.35">
      <c r="C583" s="3"/>
      <c r="E583" s="3"/>
      <c r="Q583" s="16"/>
    </row>
    <row r="584" spans="3:17" ht="15.75" customHeight="1" x14ac:dyDescent="0.35">
      <c r="C584" s="3"/>
      <c r="E584" s="3"/>
      <c r="Q584" s="16"/>
    </row>
    <row r="585" spans="3:17" ht="15.75" customHeight="1" x14ac:dyDescent="0.35">
      <c r="C585" s="3"/>
      <c r="E585" s="3"/>
      <c r="Q585" s="16"/>
    </row>
    <row r="586" spans="3:17" ht="15.75" customHeight="1" x14ac:dyDescent="0.35">
      <c r="C586" s="3"/>
      <c r="E586" s="3"/>
      <c r="Q586" s="16"/>
    </row>
    <row r="587" spans="3:17" ht="15.75" customHeight="1" x14ac:dyDescent="0.35">
      <c r="C587" s="3"/>
      <c r="E587" s="3"/>
      <c r="Q587" s="16"/>
    </row>
    <row r="588" spans="3:17" ht="15.75" customHeight="1" x14ac:dyDescent="0.35">
      <c r="C588" s="3"/>
      <c r="E588" s="3"/>
      <c r="Q588" s="16"/>
    </row>
    <row r="589" spans="3:17" ht="15.75" customHeight="1" x14ac:dyDescent="0.35">
      <c r="C589" s="3"/>
      <c r="E589" s="3"/>
      <c r="Q589" s="16"/>
    </row>
    <row r="590" spans="3:17" ht="15.75" customHeight="1" x14ac:dyDescent="0.35">
      <c r="C590" s="3"/>
      <c r="E590" s="3"/>
      <c r="Q590" s="16"/>
    </row>
    <row r="591" spans="3:17" ht="15.75" customHeight="1" x14ac:dyDescent="0.35">
      <c r="C591" s="3"/>
      <c r="E591" s="3"/>
      <c r="Q591" s="16"/>
    </row>
    <row r="592" spans="3:17" ht="15.75" customHeight="1" x14ac:dyDescent="0.35">
      <c r="C592" s="3"/>
      <c r="E592" s="3"/>
      <c r="Q592" s="16"/>
    </row>
    <row r="593" spans="3:17" ht="15.75" customHeight="1" x14ac:dyDescent="0.35">
      <c r="C593" s="3"/>
      <c r="E593" s="3"/>
      <c r="Q593" s="16"/>
    </row>
    <row r="594" spans="3:17" ht="15.75" customHeight="1" x14ac:dyDescent="0.35">
      <c r="C594" s="3"/>
      <c r="E594" s="3"/>
      <c r="Q594" s="16"/>
    </row>
    <row r="595" spans="3:17" ht="15.75" customHeight="1" x14ac:dyDescent="0.35">
      <c r="C595" s="3"/>
      <c r="E595" s="3"/>
      <c r="Q595" s="16"/>
    </row>
    <row r="596" spans="3:17" ht="15.75" customHeight="1" x14ac:dyDescent="0.35">
      <c r="C596" s="3"/>
      <c r="E596" s="3"/>
      <c r="Q596" s="16"/>
    </row>
    <row r="597" spans="3:17" ht="15.75" customHeight="1" x14ac:dyDescent="0.35">
      <c r="C597" s="3"/>
      <c r="E597" s="3"/>
      <c r="Q597" s="16"/>
    </row>
    <row r="598" spans="3:17" ht="15.75" customHeight="1" x14ac:dyDescent="0.35">
      <c r="C598" s="3"/>
      <c r="E598" s="3"/>
      <c r="Q598" s="16"/>
    </row>
    <row r="599" spans="3:17" ht="15.75" customHeight="1" x14ac:dyDescent="0.35">
      <c r="C599" s="3"/>
      <c r="E599" s="3"/>
      <c r="Q599" s="16"/>
    </row>
    <row r="600" spans="3:17" ht="15.75" customHeight="1" x14ac:dyDescent="0.35">
      <c r="C600" s="3"/>
      <c r="E600" s="3"/>
      <c r="Q600" s="16"/>
    </row>
    <row r="601" spans="3:17" ht="15.75" customHeight="1" x14ac:dyDescent="0.35">
      <c r="C601" s="3"/>
      <c r="E601" s="3"/>
      <c r="Q601" s="16"/>
    </row>
    <row r="602" spans="3:17" ht="15.75" customHeight="1" x14ac:dyDescent="0.35">
      <c r="C602" s="3"/>
      <c r="E602" s="3"/>
      <c r="Q602" s="16"/>
    </row>
    <row r="603" spans="3:17" ht="15.75" customHeight="1" x14ac:dyDescent="0.35">
      <c r="C603" s="3"/>
      <c r="E603" s="3"/>
      <c r="Q603" s="16"/>
    </row>
    <row r="604" spans="3:17" ht="15.75" customHeight="1" x14ac:dyDescent="0.35">
      <c r="C604" s="3"/>
      <c r="E604" s="3"/>
      <c r="Q604" s="16"/>
    </row>
    <row r="605" spans="3:17" ht="15.75" customHeight="1" x14ac:dyDescent="0.35">
      <c r="C605" s="3"/>
      <c r="E605" s="3"/>
      <c r="Q605" s="16"/>
    </row>
    <row r="606" spans="3:17" ht="15.75" customHeight="1" x14ac:dyDescent="0.35">
      <c r="C606" s="3"/>
      <c r="E606" s="3"/>
      <c r="Q606" s="16"/>
    </row>
    <row r="607" spans="3:17" ht="15.75" customHeight="1" x14ac:dyDescent="0.35">
      <c r="C607" s="3"/>
      <c r="E607" s="3"/>
      <c r="Q607" s="16"/>
    </row>
    <row r="608" spans="3:17" ht="15.75" customHeight="1" x14ac:dyDescent="0.35">
      <c r="C608" s="3"/>
      <c r="E608" s="3"/>
      <c r="Q608" s="16"/>
    </row>
    <row r="609" spans="3:17" ht="15.75" customHeight="1" x14ac:dyDescent="0.35">
      <c r="C609" s="3"/>
      <c r="E609" s="3"/>
      <c r="Q609" s="16"/>
    </row>
    <row r="610" spans="3:17" ht="15.75" customHeight="1" x14ac:dyDescent="0.35">
      <c r="C610" s="3"/>
      <c r="E610" s="3"/>
      <c r="Q610" s="16"/>
    </row>
    <row r="611" spans="3:17" ht="15.75" customHeight="1" x14ac:dyDescent="0.35">
      <c r="C611" s="3"/>
      <c r="E611" s="3"/>
      <c r="Q611" s="16"/>
    </row>
    <row r="612" spans="3:17" ht="15.75" customHeight="1" x14ac:dyDescent="0.35">
      <c r="C612" s="3"/>
      <c r="E612" s="3"/>
      <c r="Q612" s="16"/>
    </row>
    <row r="613" spans="3:17" ht="15.75" customHeight="1" x14ac:dyDescent="0.35">
      <c r="C613" s="3"/>
      <c r="E613" s="3"/>
      <c r="Q613" s="16"/>
    </row>
    <row r="614" spans="3:17" ht="15.75" customHeight="1" x14ac:dyDescent="0.35">
      <c r="C614" s="3"/>
      <c r="E614" s="3"/>
      <c r="Q614" s="16"/>
    </row>
    <row r="615" spans="3:17" ht="15.75" customHeight="1" x14ac:dyDescent="0.35">
      <c r="C615" s="3"/>
      <c r="E615" s="3"/>
      <c r="Q615" s="16"/>
    </row>
    <row r="616" spans="3:17" ht="15.75" customHeight="1" x14ac:dyDescent="0.35">
      <c r="C616" s="3"/>
      <c r="E616" s="3"/>
      <c r="Q616" s="16"/>
    </row>
    <row r="617" spans="3:17" ht="15.75" customHeight="1" x14ac:dyDescent="0.35">
      <c r="C617" s="3"/>
      <c r="E617" s="3"/>
      <c r="Q617" s="16"/>
    </row>
    <row r="618" spans="3:17" ht="15.75" customHeight="1" x14ac:dyDescent="0.35">
      <c r="C618" s="3"/>
      <c r="E618" s="3"/>
      <c r="Q618" s="16"/>
    </row>
    <row r="619" spans="3:17" ht="15.75" customHeight="1" x14ac:dyDescent="0.35">
      <c r="C619" s="3"/>
      <c r="E619" s="3"/>
      <c r="Q619" s="16"/>
    </row>
    <row r="620" spans="3:17" ht="15.75" customHeight="1" x14ac:dyDescent="0.35">
      <c r="C620" s="3"/>
      <c r="E620" s="3"/>
      <c r="Q620" s="16"/>
    </row>
    <row r="621" spans="3:17" ht="15.75" customHeight="1" x14ac:dyDescent="0.35">
      <c r="C621" s="3"/>
      <c r="E621" s="3"/>
      <c r="Q621" s="16"/>
    </row>
    <row r="622" spans="3:17" ht="15.75" customHeight="1" x14ac:dyDescent="0.35">
      <c r="C622" s="3"/>
      <c r="E622" s="3"/>
      <c r="Q622" s="16"/>
    </row>
    <row r="623" spans="3:17" ht="15.75" customHeight="1" x14ac:dyDescent="0.35">
      <c r="C623" s="3"/>
      <c r="E623" s="3"/>
      <c r="Q623" s="16"/>
    </row>
    <row r="624" spans="3:17" ht="15.75" customHeight="1" x14ac:dyDescent="0.35">
      <c r="C624" s="3"/>
      <c r="E624" s="3"/>
      <c r="Q624" s="16"/>
    </row>
    <row r="625" spans="3:17" ht="15.75" customHeight="1" x14ac:dyDescent="0.35">
      <c r="C625" s="3"/>
      <c r="E625" s="3"/>
      <c r="Q625" s="16"/>
    </row>
    <row r="626" spans="3:17" ht="15.75" customHeight="1" x14ac:dyDescent="0.35">
      <c r="C626" s="3"/>
      <c r="E626" s="3"/>
      <c r="Q626" s="16"/>
    </row>
    <row r="627" spans="3:17" ht="15.75" customHeight="1" x14ac:dyDescent="0.35">
      <c r="C627" s="3"/>
      <c r="E627" s="3"/>
      <c r="Q627" s="16"/>
    </row>
    <row r="628" spans="3:17" ht="15.75" customHeight="1" x14ac:dyDescent="0.35">
      <c r="C628" s="3"/>
      <c r="E628" s="3"/>
      <c r="Q628" s="16"/>
    </row>
    <row r="629" spans="3:17" ht="15.75" customHeight="1" x14ac:dyDescent="0.35">
      <c r="C629" s="3"/>
      <c r="E629" s="3"/>
      <c r="Q629" s="16"/>
    </row>
    <row r="630" spans="3:17" ht="15.75" customHeight="1" x14ac:dyDescent="0.35">
      <c r="C630" s="3"/>
      <c r="E630" s="3"/>
      <c r="Q630" s="16"/>
    </row>
    <row r="631" spans="3:17" ht="15.75" customHeight="1" x14ac:dyDescent="0.35">
      <c r="C631" s="3"/>
      <c r="E631" s="3"/>
      <c r="Q631" s="16"/>
    </row>
    <row r="632" spans="3:17" ht="15.75" customHeight="1" x14ac:dyDescent="0.35">
      <c r="C632" s="3"/>
      <c r="E632" s="3"/>
      <c r="Q632" s="16"/>
    </row>
    <row r="633" spans="3:17" ht="15.75" customHeight="1" x14ac:dyDescent="0.35">
      <c r="C633" s="3"/>
      <c r="E633" s="3"/>
      <c r="Q633" s="16"/>
    </row>
    <row r="634" spans="3:17" ht="15.75" customHeight="1" x14ac:dyDescent="0.35">
      <c r="C634" s="3"/>
      <c r="E634" s="3"/>
      <c r="Q634" s="16"/>
    </row>
    <row r="635" spans="3:17" ht="15.75" customHeight="1" x14ac:dyDescent="0.35">
      <c r="C635" s="3"/>
      <c r="E635" s="3"/>
      <c r="Q635" s="16"/>
    </row>
    <row r="636" spans="3:17" ht="15.75" customHeight="1" x14ac:dyDescent="0.35">
      <c r="C636" s="3"/>
      <c r="E636" s="3"/>
      <c r="Q636" s="16"/>
    </row>
    <row r="637" spans="3:17" ht="15.75" customHeight="1" x14ac:dyDescent="0.35">
      <c r="C637" s="3"/>
      <c r="E637" s="3"/>
      <c r="Q637" s="16"/>
    </row>
    <row r="638" spans="3:17" ht="15.75" customHeight="1" x14ac:dyDescent="0.35">
      <c r="C638" s="3"/>
      <c r="E638" s="3"/>
      <c r="Q638" s="16"/>
    </row>
    <row r="639" spans="3:17" ht="15.75" customHeight="1" x14ac:dyDescent="0.35">
      <c r="C639" s="3"/>
      <c r="E639" s="3"/>
      <c r="Q639" s="16"/>
    </row>
    <row r="640" spans="3:17" ht="15.75" customHeight="1" x14ac:dyDescent="0.35">
      <c r="C640" s="3"/>
      <c r="E640" s="3"/>
      <c r="Q640" s="16"/>
    </row>
    <row r="641" spans="3:17" ht="15.75" customHeight="1" x14ac:dyDescent="0.35">
      <c r="C641" s="3"/>
      <c r="E641" s="3"/>
      <c r="Q641" s="16"/>
    </row>
    <row r="642" spans="3:17" ht="15.75" customHeight="1" x14ac:dyDescent="0.35">
      <c r="C642" s="3"/>
      <c r="E642" s="3"/>
      <c r="Q642" s="16"/>
    </row>
    <row r="643" spans="3:17" ht="15.75" customHeight="1" x14ac:dyDescent="0.35">
      <c r="C643" s="3"/>
      <c r="E643" s="3"/>
      <c r="Q643" s="16"/>
    </row>
    <row r="644" spans="3:17" ht="15.75" customHeight="1" x14ac:dyDescent="0.35">
      <c r="C644" s="3"/>
      <c r="E644" s="3"/>
      <c r="Q644" s="16"/>
    </row>
    <row r="645" spans="3:17" ht="15.75" customHeight="1" x14ac:dyDescent="0.35">
      <c r="C645" s="3"/>
      <c r="E645" s="3"/>
      <c r="Q645" s="16"/>
    </row>
    <row r="646" spans="3:17" ht="15.75" customHeight="1" x14ac:dyDescent="0.35">
      <c r="C646" s="3"/>
      <c r="E646" s="3"/>
      <c r="Q646" s="16"/>
    </row>
    <row r="647" spans="3:17" ht="15.75" customHeight="1" x14ac:dyDescent="0.35">
      <c r="C647" s="3"/>
      <c r="E647" s="3"/>
      <c r="Q647" s="16"/>
    </row>
    <row r="648" spans="3:17" ht="15.75" customHeight="1" x14ac:dyDescent="0.35">
      <c r="C648" s="3"/>
      <c r="E648" s="3"/>
      <c r="Q648" s="16"/>
    </row>
    <row r="649" spans="3:17" ht="15.75" customHeight="1" x14ac:dyDescent="0.35">
      <c r="C649" s="3"/>
      <c r="E649" s="3"/>
      <c r="Q649" s="16"/>
    </row>
    <row r="650" spans="3:17" ht="15.75" customHeight="1" x14ac:dyDescent="0.35">
      <c r="C650" s="3"/>
      <c r="E650" s="3"/>
      <c r="Q650" s="16"/>
    </row>
    <row r="651" spans="3:17" ht="15.75" customHeight="1" x14ac:dyDescent="0.35">
      <c r="C651" s="3"/>
      <c r="E651" s="3"/>
      <c r="Q651" s="16"/>
    </row>
    <row r="652" spans="3:17" ht="15.75" customHeight="1" x14ac:dyDescent="0.35">
      <c r="C652" s="3"/>
      <c r="E652" s="3"/>
      <c r="Q652" s="16"/>
    </row>
    <row r="653" spans="3:17" ht="15.75" customHeight="1" x14ac:dyDescent="0.35">
      <c r="C653" s="3"/>
      <c r="E653" s="3"/>
      <c r="Q653" s="16"/>
    </row>
    <row r="654" spans="3:17" ht="15.75" customHeight="1" x14ac:dyDescent="0.35">
      <c r="C654" s="3"/>
      <c r="E654" s="3"/>
      <c r="Q654" s="16"/>
    </row>
    <row r="655" spans="3:17" ht="15.75" customHeight="1" x14ac:dyDescent="0.35">
      <c r="C655" s="3"/>
      <c r="E655" s="3"/>
      <c r="Q655" s="16"/>
    </row>
    <row r="656" spans="3:17" ht="15.75" customHeight="1" x14ac:dyDescent="0.35">
      <c r="C656" s="3"/>
      <c r="E656" s="3"/>
      <c r="Q656" s="16"/>
    </row>
    <row r="657" spans="3:17" ht="15.75" customHeight="1" x14ac:dyDescent="0.35">
      <c r="C657" s="3"/>
      <c r="E657" s="3"/>
      <c r="Q657" s="16"/>
    </row>
    <row r="658" spans="3:17" ht="15.75" customHeight="1" x14ac:dyDescent="0.35">
      <c r="C658" s="3"/>
      <c r="E658" s="3"/>
      <c r="Q658" s="16"/>
    </row>
    <row r="659" spans="3:17" ht="15.75" customHeight="1" x14ac:dyDescent="0.35">
      <c r="C659" s="3"/>
      <c r="E659" s="3"/>
      <c r="Q659" s="16"/>
    </row>
    <row r="660" spans="3:17" ht="15.75" customHeight="1" x14ac:dyDescent="0.35">
      <c r="C660" s="3"/>
      <c r="E660" s="3"/>
      <c r="Q660" s="16"/>
    </row>
    <row r="661" spans="3:17" ht="15.75" customHeight="1" x14ac:dyDescent="0.35">
      <c r="C661" s="3"/>
      <c r="E661" s="3"/>
      <c r="Q661" s="16"/>
    </row>
    <row r="662" spans="3:17" ht="15.75" customHeight="1" x14ac:dyDescent="0.35">
      <c r="C662" s="3"/>
      <c r="E662" s="3"/>
      <c r="Q662" s="16"/>
    </row>
    <row r="663" spans="3:17" ht="15.75" customHeight="1" x14ac:dyDescent="0.35">
      <c r="C663" s="3"/>
      <c r="E663" s="3"/>
      <c r="Q663" s="16"/>
    </row>
    <row r="664" spans="3:17" ht="15.75" customHeight="1" x14ac:dyDescent="0.35">
      <c r="C664" s="3"/>
      <c r="E664" s="3"/>
      <c r="Q664" s="16"/>
    </row>
    <row r="665" spans="3:17" ht="15.75" customHeight="1" x14ac:dyDescent="0.35">
      <c r="C665" s="3"/>
      <c r="E665" s="3"/>
      <c r="Q665" s="16"/>
    </row>
    <row r="666" spans="3:17" ht="15.75" customHeight="1" x14ac:dyDescent="0.35">
      <c r="C666" s="3"/>
      <c r="E666" s="3"/>
      <c r="Q666" s="16"/>
    </row>
    <row r="667" spans="3:17" ht="15.75" customHeight="1" x14ac:dyDescent="0.35">
      <c r="C667" s="3"/>
      <c r="E667" s="3"/>
      <c r="Q667" s="16"/>
    </row>
    <row r="668" spans="3:17" ht="15.75" customHeight="1" x14ac:dyDescent="0.35">
      <c r="C668" s="3"/>
      <c r="E668" s="3"/>
      <c r="Q668" s="16"/>
    </row>
    <row r="669" spans="3:17" ht="15.75" customHeight="1" x14ac:dyDescent="0.35">
      <c r="C669" s="3"/>
      <c r="E669" s="3"/>
      <c r="Q669" s="16"/>
    </row>
    <row r="670" spans="3:17" ht="15.75" customHeight="1" x14ac:dyDescent="0.35">
      <c r="C670" s="3"/>
      <c r="E670" s="3"/>
      <c r="Q670" s="16"/>
    </row>
    <row r="671" spans="3:17" ht="15.75" customHeight="1" x14ac:dyDescent="0.35">
      <c r="C671" s="3"/>
      <c r="E671" s="3"/>
      <c r="Q671" s="16"/>
    </row>
    <row r="672" spans="3:17" ht="15.75" customHeight="1" x14ac:dyDescent="0.35">
      <c r="C672" s="3"/>
      <c r="E672" s="3"/>
      <c r="Q672" s="16"/>
    </row>
    <row r="673" spans="3:17" ht="15.75" customHeight="1" x14ac:dyDescent="0.35">
      <c r="C673" s="3"/>
      <c r="E673" s="3"/>
      <c r="Q673" s="16"/>
    </row>
    <row r="674" spans="3:17" ht="15.75" customHeight="1" x14ac:dyDescent="0.35">
      <c r="C674" s="3"/>
      <c r="E674" s="3"/>
      <c r="Q674" s="16"/>
    </row>
    <row r="675" spans="3:17" ht="15.75" customHeight="1" x14ac:dyDescent="0.35">
      <c r="C675" s="3"/>
      <c r="E675" s="3"/>
      <c r="Q675" s="16"/>
    </row>
    <row r="676" spans="3:17" ht="15.75" customHeight="1" x14ac:dyDescent="0.35">
      <c r="C676" s="3"/>
      <c r="E676" s="3"/>
      <c r="Q676" s="16"/>
    </row>
    <row r="677" spans="3:17" ht="15.75" customHeight="1" x14ac:dyDescent="0.35">
      <c r="C677" s="3"/>
      <c r="E677" s="3"/>
      <c r="Q677" s="16"/>
    </row>
    <row r="678" spans="3:17" ht="15.75" customHeight="1" x14ac:dyDescent="0.35">
      <c r="C678" s="3"/>
      <c r="E678" s="3"/>
      <c r="Q678" s="16"/>
    </row>
    <row r="679" spans="3:17" ht="15.75" customHeight="1" x14ac:dyDescent="0.35">
      <c r="C679" s="3"/>
      <c r="E679" s="3"/>
      <c r="Q679" s="16"/>
    </row>
    <row r="680" spans="3:17" ht="15.75" customHeight="1" x14ac:dyDescent="0.35">
      <c r="C680" s="3"/>
      <c r="E680" s="3"/>
      <c r="Q680" s="16"/>
    </row>
    <row r="681" spans="3:17" ht="15.75" customHeight="1" x14ac:dyDescent="0.35">
      <c r="C681" s="3"/>
      <c r="E681" s="3"/>
      <c r="Q681" s="16"/>
    </row>
    <row r="682" spans="3:17" ht="15.75" customHeight="1" x14ac:dyDescent="0.35">
      <c r="C682" s="3"/>
      <c r="E682" s="3"/>
      <c r="Q682" s="16"/>
    </row>
    <row r="683" spans="3:17" ht="15.75" customHeight="1" x14ac:dyDescent="0.35">
      <c r="C683" s="3"/>
      <c r="E683" s="3"/>
      <c r="Q683" s="16"/>
    </row>
    <row r="684" spans="3:17" ht="15.75" customHeight="1" x14ac:dyDescent="0.35">
      <c r="C684" s="3"/>
      <c r="E684" s="3"/>
      <c r="Q684" s="16"/>
    </row>
    <row r="685" spans="3:17" ht="15.75" customHeight="1" x14ac:dyDescent="0.35">
      <c r="C685" s="3"/>
      <c r="E685" s="3"/>
      <c r="Q685" s="16"/>
    </row>
    <row r="686" spans="3:17" ht="15.75" customHeight="1" x14ac:dyDescent="0.35">
      <c r="C686" s="3"/>
      <c r="E686" s="3"/>
      <c r="Q686" s="16"/>
    </row>
    <row r="687" spans="3:17" ht="15.75" customHeight="1" x14ac:dyDescent="0.35">
      <c r="C687" s="3"/>
      <c r="E687" s="3"/>
      <c r="Q687" s="16"/>
    </row>
    <row r="688" spans="3:17" ht="15.75" customHeight="1" x14ac:dyDescent="0.35">
      <c r="C688" s="3"/>
      <c r="E688" s="3"/>
      <c r="Q688" s="16"/>
    </row>
    <row r="689" spans="3:17" ht="15.75" customHeight="1" x14ac:dyDescent="0.35">
      <c r="C689" s="3"/>
      <c r="E689" s="3"/>
      <c r="Q689" s="16"/>
    </row>
    <row r="690" spans="3:17" ht="15.75" customHeight="1" x14ac:dyDescent="0.35">
      <c r="C690" s="3"/>
      <c r="E690" s="3"/>
      <c r="Q690" s="16"/>
    </row>
    <row r="691" spans="3:17" ht="15.75" customHeight="1" x14ac:dyDescent="0.35">
      <c r="C691" s="3"/>
      <c r="E691" s="3"/>
      <c r="Q691" s="16"/>
    </row>
    <row r="692" spans="3:17" ht="15.75" customHeight="1" x14ac:dyDescent="0.35">
      <c r="C692" s="3"/>
      <c r="E692" s="3"/>
      <c r="Q692" s="16"/>
    </row>
    <row r="693" spans="3:17" ht="15.75" customHeight="1" x14ac:dyDescent="0.35">
      <c r="C693" s="3"/>
      <c r="E693" s="3"/>
      <c r="Q693" s="16"/>
    </row>
    <row r="694" spans="3:17" ht="15.75" customHeight="1" x14ac:dyDescent="0.35">
      <c r="C694" s="3"/>
      <c r="E694" s="3"/>
      <c r="Q694" s="16"/>
    </row>
    <row r="695" spans="3:17" ht="15.75" customHeight="1" x14ac:dyDescent="0.35">
      <c r="C695" s="3"/>
      <c r="E695" s="3"/>
      <c r="Q695" s="16"/>
    </row>
    <row r="696" spans="3:17" ht="15.75" customHeight="1" x14ac:dyDescent="0.35">
      <c r="C696" s="3"/>
      <c r="E696" s="3"/>
      <c r="Q696" s="16"/>
    </row>
    <row r="697" spans="3:17" ht="15.75" customHeight="1" x14ac:dyDescent="0.35">
      <c r="C697" s="3"/>
      <c r="E697" s="3"/>
      <c r="Q697" s="16"/>
    </row>
    <row r="698" spans="3:17" ht="15.75" customHeight="1" x14ac:dyDescent="0.35">
      <c r="C698" s="3"/>
      <c r="E698" s="3"/>
      <c r="Q698" s="16"/>
    </row>
    <row r="699" spans="3:17" ht="15.75" customHeight="1" x14ac:dyDescent="0.35">
      <c r="C699" s="3"/>
      <c r="E699" s="3"/>
      <c r="Q699" s="16"/>
    </row>
    <row r="700" spans="3:17" ht="15.75" customHeight="1" x14ac:dyDescent="0.35">
      <c r="C700" s="3"/>
      <c r="E700" s="3"/>
      <c r="Q700" s="16"/>
    </row>
    <row r="701" spans="3:17" ht="15.75" customHeight="1" x14ac:dyDescent="0.35">
      <c r="C701" s="3"/>
      <c r="E701" s="3"/>
      <c r="Q701" s="16"/>
    </row>
    <row r="702" spans="3:17" ht="15.75" customHeight="1" x14ac:dyDescent="0.35">
      <c r="C702" s="3"/>
      <c r="E702" s="3"/>
      <c r="Q702" s="16"/>
    </row>
    <row r="703" spans="3:17" ht="15.75" customHeight="1" x14ac:dyDescent="0.35">
      <c r="C703" s="3"/>
      <c r="E703" s="3"/>
      <c r="Q703" s="16"/>
    </row>
    <row r="704" spans="3:17" ht="15.75" customHeight="1" x14ac:dyDescent="0.35">
      <c r="C704" s="3"/>
      <c r="E704" s="3"/>
      <c r="Q704" s="16"/>
    </row>
    <row r="705" spans="3:17" ht="15.75" customHeight="1" x14ac:dyDescent="0.35">
      <c r="C705" s="3"/>
      <c r="E705" s="3"/>
      <c r="Q705" s="16"/>
    </row>
    <row r="706" spans="3:17" ht="15.75" customHeight="1" x14ac:dyDescent="0.35">
      <c r="C706" s="3"/>
      <c r="E706" s="3"/>
      <c r="Q706" s="16"/>
    </row>
    <row r="707" spans="3:17" ht="15.75" customHeight="1" x14ac:dyDescent="0.35">
      <c r="C707" s="3"/>
      <c r="E707" s="3"/>
      <c r="Q707" s="16"/>
    </row>
    <row r="708" spans="3:17" ht="15.75" customHeight="1" x14ac:dyDescent="0.35">
      <c r="C708" s="3"/>
      <c r="E708" s="3"/>
      <c r="Q708" s="16"/>
    </row>
    <row r="709" spans="3:17" ht="15.75" customHeight="1" x14ac:dyDescent="0.35">
      <c r="C709" s="3"/>
      <c r="E709" s="3"/>
      <c r="Q709" s="16"/>
    </row>
    <row r="710" spans="3:17" ht="15.75" customHeight="1" x14ac:dyDescent="0.35">
      <c r="C710" s="3"/>
      <c r="E710" s="3"/>
      <c r="Q710" s="16"/>
    </row>
    <row r="711" spans="3:17" ht="15.75" customHeight="1" x14ac:dyDescent="0.35">
      <c r="C711" s="3"/>
      <c r="E711" s="3"/>
      <c r="Q711" s="16"/>
    </row>
    <row r="712" spans="3:17" ht="15.75" customHeight="1" x14ac:dyDescent="0.35">
      <c r="C712" s="3"/>
      <c r="E712" s="3"/>
      <c r="Q712" s="16"/>
    </row>
    <row r="713" spans="3:17" ht="15.75" customHeight="1" x14ac:dyDescent="0.35">
      <c r="C713" s="3"/>
      <c r="E713" s="3"/>
      <c r="Q713" s="16"/>
    </row>
    <row r="714" spans="3:17" ht="15.75" customHeight="1" x14ac:dyDescent="0.35">
      <c r="C714" s="3"/>
      <c r="E714" s="3"/>
      <c r="Q714" s="16"/>
    </row>
    <row r="715" spans="3:17" ht="15.75" customHeight="1" x14ac:dyDescent="0.35">
      <c r="C715" s="3"/>
      <c r="E715" s="3"/>
      <c r="Q715" s="16"/>
    </row>
    <row r="716" spans="3:17" ht="15.75" customHeight="1" x14ac:dyDescent="0.35">
      <c r="C716" s="3"/>
      <c r="E716" s="3"/>
      <c r="Q716" s="16"/>
    </row>
    <row r="717" spans="3:17" ht="15.75" customHeight="1" x14ac:dyDescent="0.35">
      <c r="C717" s="3"/>
      <c r="E717" s="3"/>
      <c r="Q717" s="16"/>
    </row>
    <row r="718" spans="3:17" ht="15.75" customHeight="1" x14ac:dyDescent="0.35">
      <c r="C718" s="3"/>
      <c r="E718" s="3"/>
      <c r="Q718" s="16"/>
    </row>
    <row r="719" spans="3:17" ht="15.75" customHeight="1" x14ac:dyDescent="0.35">
      <c r="C719" s="3"/>
      <c r="E719" s="3"/>
      <c r="Q719" s="16"/>
    </row>
    <row r="720" spans="3:17" ht="15.75" customHeight="1" x14ac:dyDescent="0.35">
      <c r="C720" s="3"/>
      <c r="E720" s="3"/>
      <c r="Q720" s="16"/>
    </row>
    <row r="721" spans="3:17" ht="15.75" customHeight="1" x14ac:dyDescent="0.35">
      <c r="C721" s="3"/>
      <c r="E721" s="3"/>
      <c r="Q721" s="16"/>
    </row>
    <row r="722" spans="3:17" ht="15.75" customHeight="1" x14ac:dyDescent="0.35">
      <c r="C722" s="3"/>
      <c r="E722" s="3"/>
      <c r="Q722" s="16"/>
    </row>
    <row r="723" spans="3:17" ht="15.75" customHeight="1" x14ac:dyDescent="0.35">
      <c r="C723" s="3"/>
      <c r="E723" s="3"/>
      <c r="Q723" s="16"/>
    </row>
    <row r="724" spans="3:17" ht="15.75" customHeight="1" x14ac:dyDescent="0.35">
      <c r="C724" s="3"/>
      <c r="E724" s="3"/>
      <c r="Q724" s="16"/>
    </row>
    <row r="725" spans="3:17" ht="15.75" customHeight="1" x14ac:dyDescent="0.35">
      <c r="C725" s="3"/>
      <c r="E725" s="3"/>
      <c r="Q725" s="16"/>
    </row>
    <row r="726" spans="3:17" ht="15.75" customHeight="1" x14ac:dyDescent="0.35">
      <c r="C726" s="3"/>
      <c r="E726" s="3"/>
      <c r="Q726" s="16"/>
    </row>
    <row r="727" spans="3:17" ht="15.75" customHeight="1" x14ac:dyDescent="0.35">
      <c r="C727" s="3"/>
      <c r="E727" s="3"/>
      <c r="Q727" s="16"/>
    </row>
    <row r="728" spans="3:17" ht="15.75" customHeight="1" x14ac:dyDescent="0.35">
      <c r="C728" s="3"/>
      <c r="E728" s="3"/>
      <c r="Q728" s="16"/>
    </row>
    <row r="729" spans="3:17" ht="15.75" customHeight="1" x14ac:dyDescent="0.35">
      <c r="C729" s="3"/>
      <c r="E729" s="3"/>
      <c r="Q729" s="16"/>
    </row>
    <row r="730" spans="3:17" ht="15.75" customHeight="1" x14ac:dyDescent="0.35">
      <c r="C730" s="3"/>
      <c r="E730" s="3"/>
      <c r="Q730" s="16"/>
    </row>
    <row r="731" spans="3:17" ht="15.75" customHeight="1" x14ac:dyDescent="0.35">
      <c r="C731" s="3"/>
      <c r="E731" s="3"/>
      <c r="Q731" s="16"/>
    </row>
    <row r="732" spans="3:17" ht="15.75" customHeight="1" x14ac:dyDescent="0.35">
      <c r="C732" s="3"/>
      <c r="E732" s="3"/>
      <c r="Q732" s="16"/>
    </row>
    <row r="733" spans="3:17" ht="15.75" customHeight="1" x14ac:dyDescent="0.35">
      <c r="C733" s="3"/>
      <c r="E733" s="3"/>
      <c r="Q733" s="16"/>
    </row>
    <row r="734" spans="3:17" ht="15.75" customHeight="1" x14ac:dyDescent="0.35">
      <c r="C734" s="3"/>
      <c r="E734" s="3"/>
      <c r="Q734" s="16"/>
    </row>
    <row r="735" spans="3:17" ht="15.75" customHeight="1" x14ac:dyDescent="0.35">
      <c r="C735" s="3"/>
      <c r="E735" s="3"/>
      <c r="Q735" s="16"/>
    </row>
    <row r="736" spans="3:17" ht="15.75" customHeight="1" x14ac:dyDescent="0.35">
      <c r="C736" s="3"/>
      <c r="E736" s="3"/>
      <c r="Q736" s="16"/>
    </row>
    <row r="737" spans="3:17" ht="15.75" customHeight="1" x14ac:dyDescent="0.35">
      <c r="C737" s="3"/>
      <c r="E737" s="3"/>
      <c r="Q737" s="16"/>
    </row>
    <row r="738" spans="3:17" ht="15.75" customHeight="1" x14ac:dyDescent="0.35">
      <c r="C738" s="3"/>
      <c r="E738" s="3"/>
      <c r="Q738" s="16"/>
    </row>
    <row r="739" spans="3:17" ht="15.75" customHeight="1" x14ac:dyDescent="0.35">
      <c r="C739" s="3"/>
      <c r="E739" s="3"/>
      <c r="Q739" s="16"/>
    </row>
    <row r="740" spans="3:17" ht="15.75" customHeight="1" x14ac:dyDescent="0.35">
      <c r="C740" s="3"/>
      <c r="E740" s="3"/>
      <c r="Q740" s="16"/>
    </row>
    <row r="741" spans="3:17" ht="15.75" customHeight="1" x14ac:dyDescent="0.35">
      <c r="C741" s="3"/>
      <c r="E741" s="3"/>
      <c r="Q741" s="16"/>
    </row>
    <row r="742" spans="3:17" ht="15.75" customHeight="1" x14ac:dyDescent="0.35">
      <c r="C742" s="3"/>
      <c r="E742" s="3"/>
      <c r="Q742" s="16"/>
    </row>
    <row r="743" spans="3:17" ht="15.75" customHeight="1" x14ac:dyDescent="0.35">
      <c r="C743" s="3"/>
      <c r="E743" s="3"/>
      <c r="Q743" s="16"/>
    </row>
    <row r="744" spans="3:17" ht="15.75" customHeight="1" x14ac:dyDescent="0.35">
      <c r="C744" s="3"/>
      <c r="E744" s="3"/>
      <c r="Q744" s="16"/>
    </row>
    <row r="745" spans="3:17" ht="15.75" customHeight="1" x14ac:dyDescent="0.35">
      <c r="C745" s="3"/>
      <c r="E745" s="3"/>
      <c r="Q745" s="16"/>
    </row>
    <row r="746" spans="3:17" ht="15.75" customHeight="1" x14ac:dyDescent="0.35">
      <c r="C746" s="3"/>
      <c r="E746" s="3"/>
      <c r="Q746" s="16"/>
    </row>
    <row r="747" spans="3:17" ht="15.75" customHeight="1" x14ac:dyDescent="0.35">
      <c r="C747" s="3"/>
      <c r="E747" s="3"/>
      <c r="Q747" s="16"/>
    </row>
    <row r="748" spans="3:17" ht="15.75" customHeight="1" x14ac:dyDescent="0.35">
      <c r="C748" s="3"/>
      <c r="E748" s="3"/>
      <c r="Q748" s="16"/>
    </row>
    <row r="749" spans="3:17" ht="15.75" customHeight="1" x14ac:dyDescent="0.35">
      <c r="C749" s="3"/>
      <c r="E749" s="3"/>
      <c r="Q749" s="16"/>
    </row>
    <row r="750" spans="3:17" ht="15.75" customHeight="1" x14ac:dyDescent="0.35">
      <c r="C750" s="3"/>
      <c r="E750" s="3"/>
      <c r="Q750" s="16"/>
    </row>
    <row r="751" spans="3:17" ht="15.75" customHeight="1" x14ac:dyDescent="0.35">
      <c r="C751" s="3"/>
      <c r="E751" s="3"/>
      <c r="Q751" s="16"/>
    </row>
    <row r="752" spans="3:17" ht="15.75" customHeight="1" x14ac:dyDescent="0.35">
      <c r="C752" s="3"/>
      <c r="E752" s="3"/>
      <c r="Q752" s="16"/>
    </row>
    <row r="753" spans="3:17" ht="15.75" customHeight="1" x14ac:dyDescent="0.35">
      <c r="C753" s="3"/>
      <c r="E753" s="3"/>
      <c r="Q753" s="16"/>
    </row>
    <row r="754" spans="3:17" ht="15.75" customHeight="1" x14ac:dyDescent="0.35">
      <c r="C754" s="3"/>
      <c r="E754" s="3"/>
      <c r="Q754" s="16"/>
    </row>
    <row r="755" spans="3:17" ht="15.75" customHeight="1" x14ac:dyDescent="0.35">
      <c r="C755" s="3"/>
      <c r="E755" s="3"/>
      <c r="Q755" s="16"/>
    </row>
    <row r="756" spans="3:17" ht="15.75" customHeight="1" x14ac:dyDescent="0.35">
      <c r="C756" s="3"/>
      <c r="E756" s="3"/>
      <c r="Q756" s="16"/>
    </row>
    <row r="757" spans="3:17" ht="15.75" customHeight="1" x14ac:dyDescent="0.35">
      <c r="C757" s="3"/>
      <c r="E757" s="3"/>
      <c r="Q757" s="16"/>
    </row>
    <row r="758" spans="3:17" ht="15.75" customHeight="1" x14ac:dyDescent="0.35">
      <c r="C758" s="3"/>
      <c r="E758" s="3"/>
      <c r="Q758" s="16"/>
    </row>
    <row r="759" spans="3:17" ht="15.75" customHeight="1" x14ac:dyDescent="0.35">
      <c r="C759" s="3"/>
      <c r="E759" s="3"/>
      <c r="Q759" s="16"/>
    </row>
    <row r="760" spans="3:17" ht="15.75" customHeight="1" x14ac:dyDescent="0.35">
      <c r="C760" s="3"/>
      <c r="E760" s="3"/>
      <c r="Q760" s="16"/>
    </row>
    <row r="761" spans="3:17" ht="15.75" customHeight="1" x14ac:dyDescent="0.35">
      <c r="C761" s="3"/>
      <c r="E761" s="3"/>
      <c r="Q761" s="16"/>
    </row>
    <row r="762" spans="3:17" ht="15.75" customHeight="1" x14ac:dyDescent="0.35">
      <c r="C762" s="3"/>
      <c r="E762" s="3"/>
      <c r="Q762" s="16"/>
    </row>
    <row r="763" spans="3:17" ht="15.75" customHeight="1" x14ac:dyDescent="0.35">
      <c r="C763" s="3"/>
      <c r="E763" s="3"/>
      <c r="Q763" s="16"/>
    </row>
    <row r="764" spans="3:17" ht="15.75" customHeight="1" x14ac:dyDescent="0.35">
      <c r="C764" s="3"/>
      <c r="E764" s="3"/>
      <c r="Q764" s="16"/>
    </row>
    <row r="765" spans="3:17" ht="15.75" customHeight="1" x14ac:dyDescent="0.35">
      <c r="C765" s="3"/>
      <c r="E765" s="3"/>
      <c r="Q765" s="16"/>
    </row>
    <row r="766" spans="3:17" ht="15.75" customHeight="1" x14ac:dyDescent="0.35">
      <c r="C766" s="3"/>
      <c r="E766" s="3"/>
      <c r="Q766" s="16"/>
    </row>
    <row r="767" spans="3:17" ht="15.75" customHeight="1" x14ac:dyDescent="0.35">
      <c r="C767" s="3"/>
      <c r="E767" s="3"/>
      <c r="Q767" s="16"/>
    </row>
    <row r="768" spans="3:17" ht="15.75" customHeight="1" x14ac:dyDescent="0.35">
      <c r="C768" s="3"/>
      <c r="E768" s="3"/>
      <c r="Q768" s="16"/>
    </row>
    <row r="769" spans="3:17" ht="15.75" customHeight="1" x14ac:dyDescent="0.35">
      <c r="C769" s="3"/>
      <c r="E769" s="3"/>
      <c r="Q769" s="16"/>
    </row>
    <row r="770" spans="3:17" ht="15.75" customHeight="1" x14ac:dyDescent="0.35">
      <c r="C770" s="3"/>
      <c r="E770" s="3"/>
      <c r="Q770" s="16"/>
    </row>
    <row r="771" spans="3:17" ht="15.75" customHeight="1" x14ac:dyDescent="0.35">
      <c r="C771" s="3"/>
      <c r="E771" s="3"/>
      <c r="Q771" s="16"/>
    </row>
    <row r="772" spans="3:17" ht="15.75" customHeight="1" x14ac:dyDescent="0.35">
      <c r="C772" s="3"/>
      <c r="E772" s="3"/>
      <c r="Q772" s="16"/>
    </row>
    <row r="773" spans="3:17" ht="15.75" customHeight="1" x14ac:dyDescent="0.35">
      <c r="C773" s="3"/>
      <c r="E773" s="3"/>
      <c r="Q773" s="16"/>
    </row>
    <row r="774" spans="3:17" ht="15.75" customHeight="1" x14ac:dyDescent="0.35">
      <c r="C774" s="3"/>
      <c r="E774" s="3"/>
      <c r="Q774" s="16"/>
    </row>
    <row r="775" spans="3:17" ht="15.75" customHeight="1" x14ac:dyDescent="0.35">
      <c r="C775" s="3"/>
      <c r="E775" s="3"/>
      <c r="Q775" s="16"/>
    </row>
    <row r="776" spans="3:17" ht="15.75" customHeight="1" x14ac:dyDescent="0.35">
      <c r="C776" s="3"/>
      <c r="E776" s="3"/>
      <c r="Q776" s="16"/>
    </row>
    <row r="777" spans="3:17" ht="15.75" customHeight="1" x14ac:dyDescent="0.35">
      <c r="C777" s="3"/>
      <c r="E777" s="3"/>
      <c r="Q777" s="16"/>
    </row>
    <row r="778" spans="3:17" ht="15.75" customHeight="1" x14ac:dyDescent="0.35">
      <c r="C778" s="3"/>
      <c r="E778" s="3"/>
      <c r="Q778" s="16"/>
    </row>
    <row r="779" spans="3:17" ht="15.75" customHeight="1" x14ac:dyDescent="0.35">
      <c r="C779" s="3"/>
      <c r="E779" s="3"/>
      <c r="Q779" s="16"/>
    </row>
    <row r="780" spans="3:17" ht="15.75" customHeight="1" x14ac:dyDescent="0.35">
      <c r="C780" s="3"/>
      <c r="E780" s="3"/>
      <c r="Q780" s="16"/>
    </row>
    <row r="781" spans="3:17" ht="15.75" customHeight="1" x14ac:dyDescent="0.35">
      <c r="C781" s="3"/>
      <c r="E781" s="3"/>
      <c r="Q781" s="16"/>
    </row>
    <row r="782" spans="3:17" ht="15.75" customHeight="1" x14ac:dyDescent="0.35">
      <c r="C782" s="3"/>
      <c r="E782" s="3"/>
      <c r="Q782" s="16"/>
    </row>
    <row r="783" spans="3:17" ht="15.75" customHeight="1" x14ac:dyDescent="0.35">
      <c r="C783" s="3"/>
      <c r="E783" s="3"/>
      <c r="Q783" s="16"/>
    </row>
    <row r="784" spans="3:17" ht="15.75" customHeight="1" x14ac:dyDescent="0.35">
      <c r="C784" s="3"/>
      <c r="E784" s="3"/>
      <c r="Q784" s="16"/>
    </row>
    <row r="785" spans="3:17" ht="15.75" customHeight="1" x14ac:dyDescent="0.35">
      <c r="C785" s="3"/>
      <c r="E785" s="3"/>
      <c r="Q785" s="16"/>
    </row>
    <row r="786" spans="3:17" ht="15.75" customHeight="1" x14ac:dyDescent="0.35">
      <c r="C786" s="3"/>
      <c r="E786" s="3"/>
      <c r="Q786" s="16"/>
    </row>
    <row r="787" spans="3:17" ht="15.75" customHeight="1" x14ac:dyDescent="0.35">
      <c r="C787" s="3"/>
      <c r="E787" s="3"/>
      <c r="Q787" s="16"/>
    </row>
    <row r="788" spans="3:17" ht="15.75" customHeight="1" x14ac:dyDescent="0.35">
      <c r="C788" s="3"/>
      <c r="E788" s="3"/>
      <c r="Q788" s="16"/>
    </row>
    <row r="789" spans="3:17" ht="15.75" customHeight="1" x14ac:dyDescent="0.35">
      <c r="C789" s="3"/>
      <c r="E789" s="3"/>
      <c r="Q789" s="16"/>
    </row>
    <row r="790" spans="3:17" ht="15.75" customHeight="1" x14ac:dyDescent="0.35">
      <c r="C790" s="3"/>
      <c r="E790" s="3"/>
      <c r="Q790" s="16"/>
    </row>
    <row r="791" spans="3:17" ht="15.75" customHeight="1" x14ac:dyDescent="0.35">
      <c r="C791" s="3"/>
      <c r="E791" s="3"/>
      <c r="Q791" s="16"/>
    </row>
    <row r="792" spans="3:17" ht="15.75" customHeight="1" x14ac:dyDescent="0.35">
      <c r="C792" s="3"/>
      <c r="E792" s="3"/>
      <c r="Q792" s="16"/>
    </row>
    <row r="793" spans="3:17" ht="15.75" customHeight="1" x14ac:dyDescent="0.35">
      <c r="C793" s="3"/>
      <c r="E793" s="3"/>
      <c r="Q793" s="16"/>
    </row>
    <row r="794" spans="3:17" ht="15.75" customHeight="1" x14ac:dyDescent="0.35">
      <c r="C794" s="3"/>
      <c r="E794" s="3"/>
      <c r="Q794" s="16"/>
    </row>
    <row r="795" spans="3:17" ht="15.75" customHeight="1" x14ac:dyDescent="0.35">
      <c r="C795" s="3"/>
      <c r="E795" s="3"/>
      <c r="Q795" s="16"/>
    </row>
    <row r="796" spans="3:17" ht="15.75" customHeight="1" x14ac:dyDescent="0.35">
      <c r="C796" s="3"/>
      <c r="E796" s="3"/>
      <c r="Q796" s="16"/>
    </row>
    <row r="797" spans="3:17" ht="15.75" customHeight="1" x14ac:dyDescent="0.35">
      <c r="C797" s="3"/>
      <c r="E797" s="3"/>
      <c r="Q797" s="16"/>
    </row>
    <row r="798" spans="3:17" ht="15.75" customHeight="1" x14ac:dyDescent="0.35">
      <c r="C798" s="3"/>
      <c r="E798" s="3"/>
      <c r="Q798" s="16"/>
    </row>
    <row r="799" spans="3:17" ht="15.75" customHeight="1" x14ac:dyDescent="0.35">
      <c r="C799" s="3"/>
      <c r="E799" s="3"/>
      <c r="Q799" s="16"/>
    </row>
    <row r="800" spans="3:17" ht="15.75" customHeight="1" x14ac:dyDescent="0.35">
      <c r="C800" s="3"/>
      <c r="E800" s="3"/>
      <c r="Q800" s="16"/>
    </row>
    <row r="801" spans="3:17" ht="15.75" customHeight="1" x14ac:dyDescent="0.35">
      <c r="C801" s="3"/>
      <c r="E801" s="3"/>
      <c r="Q801" s="16"/>
    </row>
    <row r="802" spans="3:17" ht="15.75" customHeight="1" x14ac:dyDescent="0.35">
      <c r="C802" s="3"/>
      <c r="E802" s="3"/>
      <c r="Q802" s="16"/>
    </row>
    <row r="803" spans="3:17" ht="15.75" customHeight="1" x14ac:dyDescent="0.35">
      <c r="C803" s="3"/>
      <c r="E803" s="3"/>
      <c r="Q803" s="16"/>
    </row>
    <row r="804" spans="3:17" ht="15.75" customHeight="1" x14ac:dyDescent="0.35">
      <c r="C804" s="3"/>
      <c r="E804" s="3"/>
      <c r="Q804" s="16"/>
    </row>
    <row r="805" spans="3:17" ht="15.75" customHeight="1" x14ac:dyDescent="0.35">
      <c r="C805" s="3"/>
      <c r="E805" s="3"/>
      <c r="Q805" s="16"/>
    </row>
    <row r="806" spans="3:17" ht="15.75" customHeight="1" x14ac:dyDescent="0.35">
      <c r="C806" s="3"/>
      <c r="E806" s="3"/>
      <c r="Q806" s="16"/>
    </row>
    <row r="807" spans="3:17" ht="15.75" customHeight="1" x14ac:dyDescent="0.35">
      <c r="C807" s="3"/>
      <c r="E807" s="3"/>
      <c r="Q807" s="16"/>
    </row>
    <row r="808" spans="3:17" ht="15.75" customHeight="1" x14ac:dyDescent="0.35">
      <c r="C808" s="3"/>
      <c r="E808" s="3"/>
      <c r="Q808" s="16"/>
    </row>
    <row r="809" spans="3:17" ht="15.75" customHeight="1" x14ac:dyDescent="0.35">
      <c r="C809" s="3"/>
      <c r="E809" s="3"/>
      <c r="Q809" s="16"/>
    </row>
    <row r="810" spans="3:17" ht="15.75" customHeight="1" x14ac:dyDescent="0.35">
      <c r="C810" s="3"/>
      <c r="E810" s="3"/>
      <c r="Q810" s="16"/>
    </row>
    <row r="811" spans="3:17" ht="15.75" customHeight="1" x14ac:dyDescent="0.35">
      <c r="C811" s="3"/>
      <c r="E811" s="3"/>
      <c r="Q811" s="16"/>
    </row>
    <row r="812" spans="3:17" ht="15.75" customHeight="1" x14ac:dyDescent="0.35">
      <c r="C812" s="3"/>
      <c r="E812" s="3"/>
      <c r="Q812" s="16"/>
    </row>
    <row r="813" spans="3:17" ht="15.75" customHeight="1" x14ac:dyDescent="0.35">
      <c r="C813" s="3"/>
      <c r="E813" s="3"/>
      <c r="Q813" s="16"/>
    </row>
    <row r="814" spans="3:17" ht="15.75" customHeight="1" x14ac:dyDescent="0.35">
      <c r="C814" s="3"/>
      <c r="E814" s="3"/>
      <c r="Q814" s="16"/>
    </row>
    <row r="815" spans="3:17" ht="15.75" customHeight="1" x14ac:dyDescent="0.35">
      <c r="C815" s="3"/>
      <c r="E815" s="3"/>
      <c r="Q815" s="16"/>
    </row>
    <row r="816" spans="3:17" ht="15.75" customHeight="1" x14ac:dyDescent="0.35">
      <c r="C816" s="3"/>
      <c r="E816" s="3"/>
      <c r="Q816" s="16"/>
    </row>
    <row r="817" spans="3:17" ht="15.75" customHeight="1" x14ac:dyDescent="0.35">
      <c r="C817" s="3"/>
      <c r="E817" s="3"/>
      <c r="Q817" s="16"/>
    </row>
    <row r="818" spans="3:17" ht="15.75" customHeight="1" x14ac:dyDescent="0.35">
      <c r="C818" s="3"/>
      <c r="E818" s="3"/>
      <c r="Q818" s="16"/>
    </row>
    <row r="819" spans="3:17" ht="15.75" customHeight="1" x14ac:dyDescent="0.35">
      <c r="C819" s="3"/>
      <c r="E819" s="3"/>
      <c r="Q819" s="16"/>
    </row>
    <row r="820" spans="3:17" ht="15.75" customHeight="1" x14ac:dyDescent="0.35">
      <c r="C820" s="3"/>
      <c r="E820" s="3"/>
      <c r="Q820" s="16"/>
    </row>
    <row r="821" spans="3:17" ht="15.75" customHeight="1" x14ac:dyDescent="0.35">
      <c r="C821" s="3"/>
      <c r="E821" s="3"/>
      <c r="Q821" s="16"/>
    </row>
    <row r="822" spans="3:17" ht="15.75" customHeight="1" x14ac:dyDescent="0.35">
      <c r="C822" s="3"/>
      <c r="E822" s="3"/>
      <c r="Q822" s="16"/>
    </row>
    <row r="823" spans="3:17" ht="15.75" customHeight="1" x14ac:dyDescent="0.35">
      <c r="C823" s="3"/>
      <c r="E823" s="3"/>
      <c r="Q823" s="16"/>
    </row>
    <row r="824" spans="3:17" ht="15.75" customHeight="1" x14ac:dyDescent="0.35">
      <c r="C824" s="3"/>
      <c r="E824" s="3"/>
      <c r="Q824" s="16"/>
    </row>
    <row r="825" spans="3:17" ht="15.75" customHeight="1" x14ac:dyDescent="0.35">
      <c r="C825" s="3"/>
      <c r="E825" s="3"/>
      <c r="Q825" s="16"/>
    </row>
    <row r="826" spans="3:17" ht="15.75" customHeight="1" x14ac:dyDescent="0.35">
      <c r="C826" s="3"/>
      <c r="E826" s="3"/>
      <c r="Q826" s="16"/>
    </row>
    <row r="827" spans="3:17" ht="15.75" customHeight="1" x14ac:dyDescent="0.35">
      <c r="C827" s="3"/>
      <c r="E827" s="3"/>
      <c r="Q827" s="16"/>
    </row>
    <row r="828" spans="3:17" ht="15.75" customHeight="1" x14ac:dyDescent="0.35">
      <c r="C828" s="3"/>
      <c r="E828" s="3"/>
      <c r="Q828" s="16"/>
    </row>
    <row r="829" spans="3:17" ht="15.75" customHeight="1" x14ac:dyDescent="0.35">
      <c r="C829" s="3"/>
      <c r="E829" s="3"/>
      <c r="Q829" s="16"/>
    </row>
    <row r="830" spans="3:17" ht="15.75" customHeight="1" x14ac:dyDescent="0.35">
      <c r="C830" s="3"/>
      <c r="E830" s="3"/>
      <c r="Q830" s="16"/>
    </row>
    <row r="831" spans="3:17" ht="15.75" customHeight="1" x14ac:dyDescent="0.35">
      <c r="C831" s="3"/>
      <c r="E831" s="3"/>
      <c r="Q831" s="16"/>
    </row>
    <row r="832" spans="3:17" ht="15.75" customHeight="1" x14ac:dyDescent="0.35">
      <c r="C832" s="3"/>
      <c r="E832" s="3"/>
      <c r="Q832" s="16"/>
    </row>
    <row r="833" spans="3:17" ht="15.75" customHeight="1" x14ac:dyDescent="0.35">
      <c r="C833" s="3"/>
      <c r="E833" s="3"/>
      <c r="Q833" s="16"/>
    </row>
    <row r="834" spans="3:17" ht="15.75" customHeight="1" x14ac:dyDescent="0.35">
      <c r="C834" s="3"/>
      <c r="E834" s="3"/>
      <c r="Q834" s="16"/>
    </row>
    <row r="835" spans="3:17" ht="15.75" customHeight="1" x14ac:dyDescent="0.35">
      <c r="C835" s="3"/>
      <c r="E835" s="3"/>
      <c r="Q835" s="16"/>
    </row>
    <row r="836" spans="3:17" ht="15.75" customHeight="1" x14ac:dyDescent="0.35">
      <c r="C836" s="3"/>
      <c r="E836" s="3"/>
      <c r="Q836" s="16"/>
    </row>
    <row r="837" spans="3:17" ht="15.75" customHeight="1" x14ac:dyDescent="0.35">
      <c r="C837" s="3"/>
      <c r="E837" s="3"/>
      <c r="Q837" s="16"/>
    </row>
    <row r="838" spans="3:17" ht="15.75" customHeight="1" x14ac:dyDescent="0.35">
      <c r="C838" s="3"/>
      <c r="E838" s="3"/>
      <c r="Q838" s="16"/>
    </row>
    <row r="839" spans="3:17" ht="15.75" customHeight="1" x14ac:dyDescent="0.35">
      <c r="C839" s="3"/>
      <c r="E839" s="3"/>
      <c r="Q839" s="16"/>
    </row>
    <row r="840" spans="3:17" ht="15.75" customHeight="1" x14ac:dyDescent="0.35">
      <c r="C840" s="3"/>
      <c r="E840" s="3"/>
      <c r="Q840" s="16"/>
    </row>
    <row r="841" spans="3:17" ht="15.75" customHeight="1" x14ac:dyDescent="0.35">
      <c r="C841" s="3"/>
      <c r="E841" s="3"/>
      <c r="Q841" s="16"/>
    </row>
    <row r="842" spans="3:17" ht="15.75" customHeight="1" x14ac:dyDescent="0.35">
      <c r="C842" s="3"/>
      <c r="E842" s="3"/>
      <c r="Q842" s="16"/>
    </row>
    <row r="843" spans="3:17" ht="15.75" customHeight="1" x14ac:dyDescent="0.35">
      <c r="C843" s="3"/>
      <c r="E843" s="3"/>
      <c r="Q843" s="16"/>
    </row>
    <row r="844" spans="3:17" ht="15.75" customHeight="1" x14ac:dyDescent="0.35">
      <c r="C844" s="3"/>
      <c r="E844" s="3"/>
      <c r="Q844" s="16"/>
    </row>
    <row r="845" spans="3:17" ht="15.75" customHeight="1" x14ac:dyDescent="0.35">
      <c r="C845" s="3"/>
      <c r="E845" s="3"/>
      <c r="Q845" s="16"/>
    </row>
    <row r="846" spans="3:17" ht="15.75" customHeight="1" x14ac:dyDescent="0.35">
      <c r="C846" s="3"/>
      <c r="E846" s="3"/>
      <c r="Q846" s="16"/>
    </row>
    <row r="847" spans="3:17" ht="15.75" customHeight="1" x14ac:dyDescent="0.35">
      <c r="C847" s="3"/>
      <c r="E847" s="3"/>
      <c r="Q847" s="16"/>
    </row>
    <row r="848" spans="3:17" ht="15.75" customHeight="1" x14ac:dyDescent="0.35">
      <c r="C848" s="3"/>
      <c r="E848" s="3"/>
      <c r="Q848" s="16"/>
    </row>
    <row r="849" spans="3:17" ht="15.75" customHeight="1" x14ac:dyDescent="0.35">
      <c r="C849" s="3"/>
      <c r="E849" s="3"/>
      <c r="Q849" s="16"/>
    </row>
    <row r="850" spans="3:17" ht="15.75" customHeight="1" x14ac:dyDescent="0.35">
      <c r="C850" s="3"/>
      <c r="E850" s="3"/>
      <c r="Q850" s="16"/>
    </row>
    <row r="851" spans="3:17" ht="15.75" customHeight="1" x14ac:dyDescent="0.35">
      <c r="C851" s="3"/>
      <c r="E851" s="3"/>
      <c r="Q851" s="16"/>
    </row>
    <row r="852" spans="3:17" ht="15.75" customHeight="1" x14ac:dyDescent="0.35">
      <c r="C852" s="3"/>
      <c r="E852" s="3"/>
      <c r="Q852" s="16"/>
    </row>
    <row r="853" spans="3:17" ht="15.75" customHeight="1" x14ac:dyDescent="0.35">
      <c r="C853" s="3"/>
      <c r="E853" s="3"/>
      <c r="Q853" s="16"/>
    </row>
    <row r="854" spans="3:17" ht="15.75" customHeight="1" x14ac:dyDescent="0.35">
      <c r="C854" s="3"/>
      <c r="E854" s="3"/>
      <c r="Q854" s="16"/>
    </row>
    <row r="855" spans="3:17" ht="15.75" customHeight="1" x14ac:dyDescent="0.35">
      <c r="C855" s="3"/>
      <c r="E855" s="3"/>
      <c r="Q855" s="16"/>
    </row>
    <row r="856" spans="3:17" ht="15.75" customHeight="1" x14ac:dyDescent="0.35">
      <c r="C856" s="3"/>
      <c r="E856" s="3"/>
      <c r="Q856" s="16"/>
    </row>
    <row r="857" spans="3:17" ht="15.75" customHeight="1" x14ac:dyDescent="0.35">
      <c r="C857" s="3"/>
      <c r="E857" s="3"/>
      <c r="Q857" s="16"/>
    </row>
    <row r="858" spans="3:17" ht="15.75" customHeight="1" x14ac:dyDescent="0.35">
      <c r="C858" s="3"/>
      <c r="E858" s="3"/>
      <c r="Q858" s="16"/>
    </row>
    <row r="859" spans="3:17" ht="15.75" customHeight="1" x14ac:dyDescent="0.35">
      <c r="C859" s="3"/>
      <c r="E859" s="3"/>
      <c r="Q859" s="16"/>
    </row>
    <row r="860" spans="3:17" ht="15.75" customHeight="1" x14ac:dyDescent="0.35">
      <c r="C860" s="3"/>
      <c r="E860" s="3"/>
      <c r="Q860" s="16"/>
    </row>
    <row r="861" spans="3:17" ht="15.75" customHeight="1" x14ac:dyDescent="0.35">
      <c r="C861" s="3"/>
      <c r="E861" s="3"/>
      <c r="Q861" s="16"/>
    </row>
    <row r="862" spans="3:17" ht="15.75" customHeight="1" x14ac:dyDescent="0.35">
      <c r="C862" s="3"/>
      <c r="E862" s="3"/>
      <c r="Q862" s="16"/>
    </row>
    <row r="863" spans="3:17" ht="15.75" customHeight="1" x14ac:dyDescent="0.35">
      <c r="C863" s="3"/>
      <c r="E863" s="3"/>
      <c r="Q863" s="16"/>
    </row>
    <row r="864" spans="3:17" ht="15.75" customHeight="1" x14ac:dyDescent="0.35">
      <c r="C864" s="3"/>
      <c r="E864" s="3"/>
      <c r="Q864" s="16"/>
    </row>
    <row r="865" spans="3:17" ht="15.75" customHeight="1" x14ac:dyDescent="0.35">
      <c r="C865" s="3"/>
      <c r="E865" s="3"/>
      <c r="Q865" s="16"/>
    </row>
    <row r="866" spans="3:17" ht="15.75" customHeight="1" x14ac:dyDescent="0.35">
      <c r="C866" s="3"/>
      <c r="E866" s="3"/>
      <c r="Q866" s="16"/>
    </row>
    <row r="867" spans="3:17" ht="15.75" customHeight="1" x14ac:dyDescent="0.35">
      <c r="C867" s="3"/>
      <c r="E867" s="3"/>
      <c r="Q867" s="16"/>
    </row>
    <row r="868" spans="3:17" ht="15.75" customHeight="1" x14ac:dyDescent="0.35">
      <c r="C868" s="3"/>
      <c r="E868" s="3"/>
      <c r="Q868" s="16"/>
    </row>
    <row r="869" spans="3:17" ht="15.75" customHeight="1" x14ac:dyDescent="0.35">
      <c r="C869" s="3"/>
      <c r="E869" s="3"/>
      <c r="Q869" s="16"/>
    </row>
    <row r="870" spans="3:17" ht="15.75" customHeight="1" x14ac:dyDescent="0.35">
      <c r="C870" s="3"/>
      <c r="E870" s="3"/>
      <c r="Q870" s="16"/>
    </row>
    <row r="871" spans="3:17" ht="15.75" customHeight="1" x14ac:dyDescent="0.35">
      <c r="C871" s="3"/>
      <c r="E871" s="3"/>
      <c r="Q871" s="16"/>
    </row>
    <row r="872" spans="3:17" ht="15.75" customHeight="1" x14ac:dyDescent="0.35">
      <c r="C872" s="3"/>
      <c r="E872" s="3"/>
      <c r="Q872" s="16"/>
    </row>
    <row r="873" spans="3:17" ht="15.75" customHeight="1" x14ac:dyDescent="0.35">
      <c r="C873" s="3"/>
      <c r="E873" s="3"/>
      <c r="Q873" s="16"/>
    </row>
    <row r="874" spans="3:17" ht="15.75" customHeight="1" x14ac:dyDescent="0.35">
      <c r="C874" s="3"/>
      <c r="E874" s="3"/>
      <c r="Q874" s="16"/>
    </row>
    <row r="875" spans="3:17" ht="15.75" customHeight="1" x14ac:dyDescent="0.35">
      <c r="C875" s="3"/>
      <c r="E875" s="3"/>
      <c r="Q875" s="16"/>
    </row>
    <row r="876" spans="3:17" ht="15.75" customHeight="1" x14ac:dyDescent="0.35">
      <c r="C876" s="3"/>
      <c r="E876" s="3"/>
      <c r="Q876" s="16"/>
    </row>
    <row r="877" spans="3:17" ht="15.75" customHeight="1" x14ac:dyDescent="0.35">
      <c r="C877" s="3"/>
      <c r="E877" s="3"/>
      <c r="Q877" s="16"/>
    </row>
    <row r="878" spans="3:17" ht="15.75" customHeight="1" x14ac:dyDescent="0.35">
      <c r="C878" s="3"/>
      <c r="E878" s="3"/>
      <c r="Q878" s="16"/>
    </row>
    <row r="879" spans="3:17" ht="15.75" customHeight="1" x14ac:dyDescent="0.35">
      <c r="C879" s="3"/>
      <c r="E879" s="3"/>
      <c r="Q879" s="16"/>
    </row>
    <row r="880" spans="3:17" ht="15.75" customHeight="1" x14ac:dyDescent="0.35">
      <c r="C880" s="3"/>
      <c r="E880" s="3"/>
      <c r="Q880" s="16"/>
    </row>
    <row r="881" spans="3:17" ht="15.75" customHeight="1" x14ac:dyDescent="0.35">
      <c r="C881" s="3"/>
      <c r="E881" s="3"/>
      <c r="Q881" s="16"/>
    </row>
    <row r="882" spans="3:17" ht="15.75" customHeight="1" x14ac:dyDescent="0.35">
      <c r="C882" s="3"/>
      <c r="E882" s="3"/>
      <c r="Q882" s="16"/>
    </row>
    <row r="883" spans="3:17" ht="15.75" customHeight="1" x14ac:dyDescent="0.35">
      <c r="C883" s="3"/>
      <c r="E883" s="3"/>
      <c r="Q883" s="16"/>
    </row>
    <row r="884" spans="3:17" ht="15.75" customHeight="1" x14ac:dyDescent="0.35">
      <c r="C884" s="3"/>
      <c r="E884" s="3"/>
      <c r="Q884" s="16"/>
    </row>
    <row r="885" spans="3:17" ht="15.75" customHeight="1" x14ac:dyDescent="0.35">
      <c r="C885" s="3"/>
      <c r="E885" s="3"/>
      <c r="Q885" s="16"/>
    </row>
    <row r="886" spans="3:17" ht="15.75" customHeight="1" x14ac:dyDescent="0.35">
      <c r="C886" s="3"/>
      <c r="E886" s="3"/>
      <c r="Q886" s="16"/>
    </row>
    <row r="887" spans="3:17" ht="15.75" customHeight="1" x14ac:dyDescent="0.35">
      <c r="C887" s="3"/>
      <c r="E887" s="3"/>
      <c r="Q887" s="16"/>
    </row>
    <row r="888" spans="3:17" ht="15.75" customHeight="1" x14ac:dyDescent="0.35">
      <c r="C888" s="3"/>
      <c r="E888" s="3"/>
      <c r="Q888" s="16"/>
    </row>
    <row r="889" spans="3:17" ht="15.75" customHeight="1" x14ac:dyDescent="0.35">
      <c r="C889" s="3"/>
      <c r="E889" s="3"/>
      <c r="Q889" s="16"/>
    </row>
    <row r="890" spans="3:17" ht="15.75" customHeight="1" x14ac:dyDescent="0.35">
      <c r="C890" s="3"/>
      <c r="E890" s="3"/>
      <c r="Q890" s="16"/>
    </row>
    <row r="891" spans="3:17" ht="15.75" customHeight="1" x14ac:dyDescent="0.35">
      <c r="C891" s="3"/>
      <c r="E891" s="3"/>
      <c r="Q891" s="16"/>
    </row>
    <row r="892" spans="3:17" ht="15.75" customHeight="1" x14ac:dyDescent="0.35">
      <c r="C892" s="3"/>
      <c r="E892" s="3"/>
      <c r="Q892" s="16"/>
    </row>
    <row r="893" spans="3:17" ht="15.75" customHeight="1" x14ac:dyDescent="0.35">
      <c r="C893" s="3"/>
      <c r="E893" s="3"/>
      <c r="Q893" s="16"/>
    </row>
    <row r="894" spans="3:17" ht="15.75" customHeight="1" x14ac:dyDescent="0.35">
      <c r="C894" s="3"/>
      <c r="E894" s="3"/>
      <c r="Q894" s="16"/>
    </row>
    <row r="895" spans="3:17" ht="15.75" customHeight="1" x14ac:dyDescent="0.35">
      <c r="C895" s="3"/>
      <c r="E895" s="3"/>
      <c r="Q895" s="16"/>
    </row>
    <row r="896" spans="3:17" ht="15.75" customHeight="1" x14ac:dyDescent="0.35">
      <c r="C896" s="3"/>
      <c r="E896" s="3"/>
      <c r="Q896" s="16"/>
    </row>
    <row r="897" spans="3:17" ht="15.75" customHeight="1" x14ac:dyDescent="0.35">
      <c r="C897" s="3"/>
      <c r="E897" s="3"/>
      <c r="Q897" s="16"/>
    </row>
    <row r="898" spans="3:17" ht="15.75" customHeight="1" x14ac:dyDescent="0.35">
      <c r="C898" s="3"/>
      <c r="E898" s="3"/>
      <c r="Q898" s="16"/>
    </row>
    <row r="899" spans="3:17" ht="15.75" customHeight="1" x14ac:dyDescent="0.35">
      <c r="C899" s="3"/>
      <c r="E899" s="3"/>
      <c r="Q899" s="16"/>
    </row>
    <row r="900" spans="3:17" ht="15.75" customHeight="1" x14ac:dyDescent="0.35">
      <c r="C900" s="3"/>
      <c r="E900" s="3"/>
      <c r="Q900" s="16"/>
    </row>
    <row r="901" spans="3:17" ht="15.75" customHeight="1" x14ac:dyDescent="0.35">
      <c r="C901" s="3"/>
      <c r="E901" s="3"/>
      <c r="Q901" s="16"/>
    </row>
    <row r="902" spans="3:17" ht="15.75" customHeight="1" x14ac:dyDescent="0.35">
      <c r="C902" s="3"/>
      <c r="E902" s="3"/>
      <c r="Q902" s="16"/>
    </row>
    <row r="903" spans="3:17" ht="15.75" customHeight="1" x14ac:dyDescent="0.35">
      <c r="C903" s="3"/>
      <c r="E903" s="3"/>
      <c r="Q903" s="16"/>
    </row>
    <row r="904" spans="3:17" ht="15.75" customHeight="1" x14ac:dyDescent="0.35">
      <c r="C904" s="3"/>
      <c r="E904" s="3"/>
      <c r="Q904" s="16"/>
    </row>
    <row r="905" spans="3:17" ht="15.75" customHeight="1" x14ac:dyDescent="0.35">
      <c r="C905" s="3"/>
      <c r="E905" s="3"/>
      <c r="Q905" s="16"/>
    </row>
    <row r="906" spans="3:17" ht="15.75" customHeight="1" x14ac:dyDescent="0.35">
      <c r="C906" s="3"/>
      <c r="E906" s="3"/>
      <c r="Q906" s="16"/>
    </row>
    <row r="907" spans="3:17" ht="15.75" customHeight="1" x14ac:dyDescent="0.35">
      <c r="C907" s="3"/>
      <c r="E907" s="3"/>
      <c r="Q907" s="16"/>
    </row>
    <row r="908" spans="3:17" ht="15.75" customHeight="1" x14ac:dyDescent="0.35">
      <c r="C908" s="3"/>
      <c r="E908" s="3"/>
      <c r="Q908" s="16"/>
    </row>
    <row r="909" spans="3:17" ht="15.75" customHeight="1" x14ac:dyDescent="0.35">
      <c r="C909" s="3"/>
      <c r="E909" s="3"/>
      <c r="Q909" s="16"/>
    </row>
    <row r="910" spans="3:17" ht="15.75" customHeight="1" x14ac:dyDescent="0.35">
      <c r="C910" s="3"/>
      <c r="E910" s="3"/>
      <c r="Q910" s="16"/>
    </row>
    <row r="911" spans="3:17" ht="15.75" customHeight="1" x14ac:dyDescent="0.35">
      <c r="C911" s="3"/>
      <c r="E911" s="3"/>
      <c r="Q911" s="16"/>
    </row>
    <row r="912" spans="3:17" ht="15.75" customHeight="1" x14ac:dyDescent="0.35">
      <c r="C912" s="3"/>
      <c r="E912" s="3"/>
      <c r="Q912" s="16"/>
    </row>
    <row r="913" spans="3:17" ht="15.75" customHeight="1" x14ac:dyDescent="0.35">
      <c r="C913" s="3"/>
      <c r="E913" s="3"/>
      <c r="Q913" s="16"/>
    </row>
    <row r="914" spans="3:17" ht="15.75" customHeight="1" x14ac:dyDescent="0.35">
      <c r="C914" s="3"/>
      <c r="E914" s="3"/>
      <c r="Q914" s="16"/>
    </row>
    <row r="915" spans="3:17" ht="15.75" customHeight="1" x14ac:dyDescent="0.35">
      <c r="C915" s="3"/>
      <c r="E915" s="3"/>
      <c r="Q915" s="16"/>
    </row>
    <row r="916" spans="3:17" ht="15.75" customHeight="1" x14ac:dyDescent="0.35">
      <c r="C916" s="3"/>
      <c r="E916" s="3"/>
      <c r="Q916" s="16"/>
    </row>
    <row r="917" spans="3:17" ht="15.75" customHeight="1" x14ac:dyDescent="0.35">
      <c r="C917" s="3"/>
      <c r="E917" s="3"/>
      <c r="Q917" s="16"/>
    </row>
    <row r="918" spans="3:17" ht="15.75" customHeight="1" x14ac:dyDescent="0.35">
      <c r="C918" s="3"/>
      <c r="E918" s="3"/>
      <c r="Q918" s="16"/>
    </row>
    <row r="919" spans="3:17" ht="15.75" customHeight="1" x14ac:dyDescent="0.35">
      <c r="C919" s="3"/>
      <c r="E919" s="3"/>
      <c r="Q919" s="16"/>
    </row>
    <row r="920" spans="3:17" ht="15.75" customHeight="1" x14ac:dyDescent="0.35">
      <c r="C920" s="3"/>
      <c r="E920" s="3"/>
      <c r="Q920" s="16"/>
    </row>
    <row r="921" spans="3:17" ht="15.75" customHeight="1" x14ac:dyDescent="0.35">
      <c r="C921" s="3"/>
      <c r="E921" s="3"/>
      <c r="Q921" s="16"/>
    </row>
    <row r="922" spans="3:17" ht="15.75" customHeight="1" x14ac:dyDescent="0.35">
      <c r="C922" s="3"/>
      <c r="E922" s="3"/>
      <c r="Q922" s="16"/>
    </row>
    <row r="923" spans="3:17" ht="15.75" customHeight="1" x14ac:dyDescent="0.35">
      <c r="C923" s="3"/>
      <c r="E923" s="3"/>
      <c r="Q923" s="16"/>
    </row>
    <row r="924" spans="3:17" ht="15.75" customHeight="1" x14ac:dyDescent="0.35">
      <c r="C924" s="3"/>
      <c r="E924" s="3"/>
      <c r="Q924" s="16"/>
    </row>
    <row r="925" spans="3:17" ht="15.75" customHeight="1" x14ac:dyDescent="0.35">
      <c r="C925" s="3"/>
      <c r="E925" s="3"/>
      <c r="Q925" s="16"/>
    </row>
    <row r="926" spans="3:17" ht="15.75" customHeight="1" x14ac:dyDescent="0.35">
      <c r="C926" s="3"/>
      <c r="E926" s="3"/>
      <c r="Q926" s="16"/>
    </row>
    <row r="927" spans="3:17" ht="15.75" customHeight="1" x14ac:dyDescent="0.35">
      <c r="C927" s="3"/>
      <c r="E927" s="3"/>
      <c r="Q927" s="16"/>
    </row>
    <row r="928" spans="3:17" ht="15.75" customHeight="1" x14ac:dyDescent="0.35">
      <c r="C928" s="3"/>
      <c r="E928" s="3"/>
      <c r="Q928" s="16"/>
    </row>
    <row r="929" spans="3:17" ht="15.75" customHeight="1" x14ac:dyDescent="0.35">
      <c r="C929" s="3"/>
      <c r="E929" s="3"/>
      <c r="Q929" s="16"/>
    </row>
    <row r="930" spans="3:17" ht="15.75" customHeight="1" x14ac:dyDescent="0.35">
      <c r="C930" s="3"/>
      <c r="E930" s="3"/>
      <c r="Q930" s="16"/>
    </row>
    <row r="931" spans="3:17" ht="15.75" customHeight="1" x14ac:dyDescent="0.35">
      <c r="C931" s="3"/>
      <c r="E931" s="3"/>
      <c r="Q931" s="16"/>
    </row>
    <row r="932" spans="3:17" ht="15.75" customHeight="1" x14ac:dyDescent="0.35">
      <c r="C932" s="3"/>
      <c r="E932" s="3"/>
      <c r="Q932" s="16"/>
    </row>
    <row r="933" spans="3:17" ht="15.75" customHeight="1" x14ac:dyDescent="0.35">
      <c r="C933" s="3"/>
      <c r="E933" s="3"/>
      <c r="Q933" s="16"/>
    </row>
    <row r="934" spans="3:17" ht="15.75" customHeight="1" x14ac:dyDescent="0.35">
      <c r="C934" s="3"/>
      <c r="E934" s="3"/>
      <c r="Q934" s="16"/>
    </row>
    <row r="935" spans="3:17" ht="15.75" customHeight="1" x14ac:dyDescent="0.35">
      <c r="C935" s="3"/>
      <c r="E935" s="3"/>
      <c r="Q935" s="16"/>
    </row>
    <row r="936" spans="3:17" ht="15.75" customHeight="1" x14ac:dyDescent="0.35">
      <c r="C936" s="3"/>
      <c r="E936" s="3"/>
      <c r="Q936" s="16"/>
    </row>
    <row r="937" spans="3:17" ht="15.75" customHeight="1" x14ac:dyDescent="0.35">
      <c r="C937" s="3"/>
      <c r="E937" s="3"/>
      <c r="Q937" s="16"/>
    </row>
    <row r="938" spans="3:17" ht="15.75" customHeight="1" x14ac:dyDescent="0.35">
      <c r="C938" s="3"/>
      <c r="E938" s="3"/>
      <c r="Q938" s="16"/>
    </row>
    <row r="939" spans="3:17" ht="15.75" customHeight="1" x14ac:dyDescent="0.35">
      <c r="C939" s="3"/>
      <c r="E939" s="3"/>
      <c r="Q939" s="16"/>
    </row>
    <row r="940" spans="3:17" ht="15.75" customHeight="1" x14ac:dyDescent="0.35">
      <c r="C940" s="3"/>
      <c r="E940" s="3"/>
      <c r="Q940" s="16"/>
    </row>
    <row r="941" spans="3:17" ht="15.75" customHeight="1" x14ac:dyDescent="0.35">
      <c r="C941" s="3"/>
      <c r="E941" s="3"/>
      <c r="Q941" s="16"/>
    </row>
    <row r="942" spans="3:17" ht="15.75" customHeight="1" x14ac:dyDescent="0.35">
      <c r="C942" s="3"/>
      <c r="E942" s="3"/>
      <c r="Q942" s="16"/>
    </row>
    <row r="943" spans="3:17" ht="15.75" customHeight="1" x14ac:dyDescent="0.35">
      <c r="C943" s="3"/>
      <c r="E943" s="3"/>
      <c r="Q943" s="16"/>
    </row>
    <row r="944" spans="3:17" ht="15.75" customHeight="1" x14ac:dyDescent="0.35">
      <c r="C944" s="3"/>
      <c r="E944" s="3"/>
      <c r="Q944" s="16"/>
    </row>
    <row r="945" spans="3:17" ht="15.75" customHeight="1" x14ac:dyDescent="0.35">
      <c r="C945" s="3"/>
      <c r="E945" s="3"/>
      <c r="Q945" s="16"/>
    </row>
    <row r="946" spans="3:17" ht="15.75" customHeight="1" x14ac:dyDescent="0.35">
      <c r="C946" s="3"/>
      <c r="E946" s="3"/>
      <c r="Q946" s="16"/>
    </row>
    <row r="947" spans="3:17" ht="15.75" customHeight="1" x14ac:dyDescent="0.35">
      <c r="C947" s="3"/>
      <c r="E947" s="3"/>
      <c r="Q947" s="16"/>
    </row>
    <row r="948" spans="3:17" ht="15.75" customHeight="1" x14ac:dyDescent="0.35">
      <c r="C948" s="3"/>
      <c r="E948" s="3"/>
      <c r="Q948" s="16"/>
    </row>
    <row r="949" spans="3:17" ht="15.75" customHeight="1" x14ac:dyDescent="0.35">
      <c r="C949" s="3"/>
      <c r="E949" s="3"/>
      <c r="Q949" s="16"/>
    </row>
    <row r="950" spans="3:17" ht="15.75" customHeight="1" x14ac:dyDescent="0.35">
      <c r="C950" s="3"/>
      <c r="E950" s="3"/>
      <c r="Q950" s="16"/>
    </row>
    <row r="951" spans="3:17" ht="15.75" customHeight="1" x14ac:dyDescent="0.35">
      <c r="C951" s="3"/>
      <c r="E951" s="3"/>
      <c r="Q951" s="16"/>
    </row>
    <row r="952" spans="3:17" ht="15.75" customHeight="1" x14ac:dyDescent="0.35">
      <c r="C952" s="3"/>
      <c r="E952" s="3"/>
      <c r="Q952" s="16"/>
    </row>
    <row r="953" spans="3:17" ht="15.75" customHeight="1" x14ac:dyDescent="0.35">
      <c r="C953" s="3"/>
      <c r="E953" s="3"/>
      <c r="Q953" s="16"/>
    </row>
    <row r="954" spans="3:17" ht="15.75" customHeight="1" x14ac:dyDescent="0.35">
      <c r="C954" s="3"/>
      <c r="E954" s="3"/>
      <c r="Q954" s="16"/>
    </row>
    <row r="955" spans="3:17" ht="15.75" customHeight="1" x14ac:dyDescent="0.35">
      <c r="C955" s="3"/>
      <c r="E955" s="3"/>
      <c r="Q955" s="16"/>
    </row>
    <row r="956" spans="3:17" ht="15.75" customHeight="1" x14ac:dyDescent="0.35">
      <c r="C956" s="3"/>
      <c r="E956" s="3"/>
      <c r="Q956" s="16"/>
    </row>
    <row r="957" spans="3:17" ht="15.75" customHeight="1" x14ac:dyDescent="0.35">
      <c r="C957" s="3"/>
      <c r="E957" s="3"/>
      <c r="Q957" s="16"/>
    </row>
    <row r="958" spans="3:17" ht="15.75" customHeight="1" x14ac:dyDescent="0.35">
      <c r="C958" s="3"/>
      <c r="E958" s="3"/>
      <c r="Q958" s="16"/>
    </row>
    <row r="959" spans="3:17" ht="15.75" customHeight="1" x14ac:dyDescent="0.35">
      <c r="C959" s="3"/>
      <c r="E959" s="3"/>
      <c r="Q959" s="16"/>
    </row>
    <row r="960" spans="3:17" ht="15.75" customHeight="1" x14ac:dyDescent="0.35">
      <c r="C960" s="3"/>
      <c r="E960" s="3"/>
      <c r="Q960" s="16"/>
    </row>
    <row r="961" spans="3:17" ht="15.75" customHeight="1" x14ac:dyDescent="0.35">
      <c r="C961" s="3"/>
      <c r="E961" s="3"/>
      <c r="Q961" s="16"/>
    </row>
    <row r="962" spans="3:17" ht="15.75" customHeight="1" x14ac:dyDescent="0.35">
      <c r="C962" s="3"/>
      <c r="E962" s="3"/>
      <c r="Q962" s="16"/>
    </row>
    <row r="963" spans="3:17" ht="15.75" customHeight="1" x14ac:dyDescent="0.35">
      <c r="C963" s="3"/>
      <c r="E963" s="3"/>
      <c r="Q963" s="16"/>
    </row>
    <row r="964" spans="3:17" ht="15.75" customHeight="1" x14ac:dyDescent="0.35">
      <c r="C964" s="3"/>
      <c r="E964" s="3"/>
      <c r="Q964" s="16"/>
    </row>
    <row r="965" spans="3:17" ht="15.75" customHeight="1" x14ac:dyDescent="0.35">
      <c r="C965" s="3"/>
      <c r="E965" s="3"/>
      <c r="Q965" s="16"/>
    </row>
    <row r="966" spans="3:17" ht="15.75" customHeight="1" x14ac:dyDescent="0.35">
      <c r="C966" s="3"/>
      <c r="E966" s="3"/>
      <c r="Q966" s="16"/>
    </row>
    <row r="967" spans="3:17" ht="15.75" customHeight="1" x14ac:dyDescent="0.35">
      <c r="C967" s="3"/>
      <c r="E967" s="3"/>
      <c r="Q967" s="16"/>
    </row>
    <row r="968" spans="3:17" ht="15.75" customHeight="1" x14ac:dyDescent="0.35">
      <c r="C968" s="3"/>
      <c r="E968" s="3"/>
      <c r="Q968" s="16"/>
    </row>
    <row r="969" spans="3:17" ht="15.75" customHeight="1" x14ac:dyDescent="0.35">
      <c r="C969" s="3"/>
      <c r="E969" s="3"/>
      <c r="Q969" s="16"/>
    </row>
    <row r="970" spans="3:17" ht="15.75" customHeight="1" x14ac:dyDescent="0.35">
      <c r="C970" s="3"/>
      <c r="E970" s="3"/>
      <c r="Q970" s="16"/>
    </row>
    <row r="971" spans="3:17" ht="15.75" customHeight="1" x14ac:dyDescent="0.35">
      <c r="C971" s="3"/>
      <c r="E971" s="3"/>
      <c r="Q971" s="16"/>
    </row>
    <row r="972" spans="3:17" ht="15.75" customHeight="1" x14ac:dyDescent="0.35">
      <c r="C972" s="3"/>
      <c r="E972" s="3"/>
      <c r="Q972" s="16"/>
    </row>
    <row r="973" spans="3:17" ht="15.75" customHeight="1" x14ac:dyDescent="0.35">
      <c r="C973" s="3"/>
      <c r="E973" s="3"/>
      <c r="Q973" s="16"/>
    </row>
    <row r="974" spans="3:17" ht="15.75" customHeight="1" x14ac:dyDescent="0.35">
      <c r="C974" s="3"/>
      <c r="E974" s="3"/>
      <c r="Q974" s="16"/>
    </row>
    <row r="975" spans="3:17" ht="15.75" customHeight="1" x14ac:dyDescent="0.35">
      <c r="C975" s="3"/>
      <c r="E975" s="3"/>
      <c r="Q975" s="16"/>
    </row>
    <row r="976" spans="3:17" ht="15.75" customHeight="1" x14ac:dyDescent="0.35">
      <c r="C976" s="3"/>
      <c r="E976" s="3"/>
      <c r="Q976" s="16"/>
    </row>
    <row r="977" spans="3:17" ht="15.75" customHeight="1" x14ac:dyDescent="0.35">
      <c r="C977" s="3"/>
      <c r="E977" s="3"/>
      <c r="Q977" s="16"/>
    </row>
    <row r="978" spans="3:17" ht="15.75" customHeight="1" x14ac:dyDescent="0.35">
      <c r="C978" s="3"/>
      <c r="E978" s="3"/>
      <c r="Q978" s="16"/>
    </row>
    <row r="979" spans="3:17" ht="15.75" customHeight="1" x14ac:dyDescent="0.35">
      <c r="C979" s="3"/>
      <c r="E979" s="3"/>
      <c r="Q979" s="16"/>
    </row>
    <row r="980" spans="3:17" ht="15.75" customHeight="1" x14ac:dyDescent="0.35">
      <c r="C980" s="3"/>
      <c r="E980" s="3"/>
      <c r="Q980" s="16"/>
    </row>
    <row r="981" spans="3:17" ht="15.75" customHeight="1" x14ac:dyDescent="0.35">
      <c r="C981" s="3"/>
      <c r="E981" s="3"/>
      <c r="Q981" s="16"/>
    </row>
    <row r="982" spans="3:17" ht="15.75" customHeight="1" x14ac:dyDescent="0.35">
      <c r="C982" s="3"/>
      <c r="E982" s="3"/>
      <c r="Q982" s="16"/>
    </row>
    <row r="983" spans="3:17" ht="15.75" customHeight="1" x14ac:dyDescent="0.35">
      <c r="C983" s="3"/>
      <c r="E983" s="3"/>
      <c r="Q983" s="16"/>
    </row>
    <row r="984" spans="3:17" ht="15.75" customHeight="1" x14ac:dyDescent="0.35">
      <c r="C984" s="3"/>
      <c r="E984" s="3"/>
      <c r="Q984" s="16"/>
    </row>
    <row r="985" spans="3:17" ht="15.75" customHeight="1" x14ac:dyDescent="0.35">
      <c r="C985" s="3"/>
      <c r="E985" s="3"/>
      <c r="Q985" s="16"/>
    </row>
    <row r="986" spans="3:17" ht="15.75" customHeight="1" x14ac:dyDescent="0.35">
      <c r="C986" s="3"/>
      <c r="E986" s="3"/>
      <c r="Q986" s="16"/>
    </row>
    <row r="987" spans="3:17" ht="15.75" customHeight="1" x14ac:dyDescent="0.35">
      <c r="C987" s="3"/>
      <c r="E987" s="3"/>
      <c r="Q987" s="16"/>
    </row>
    <row r="988" spans="3:17" ht="15.75" customHeight="1" x14ac:dyDescent="0.35">
      <c r="C988" s="3"/>
      <c r="E988" s="3"/>
      <c r="Q988" s="16"/>
    </row>
    <row r="989" spans="3:17" ht="15.75" customHeight="1" x14ac:dyDescent="0.35">
      <c r="C989" s="3"/>
      <c r="E989" s="3"/>
      <c r="Q989" s="16"/>
    </row>
    <row r="990" spans="3:17" ht="15.75" customHeight="1" x14ac:dyDescent="0.35">
      <c r="C990" s="3"/>
      <c r="E990" s="3"/>
      <c r="Q990" s="16"/>
    </row>
    <row r="991" spans="3:17" ht="15.75" customHeight="1" x14ac:dyDescent="0.35">
      <c r="C991" s="3"/>
      <c r="E991" s="3"/>
      <c r="Q991" s="16"/>
    </row>
    <row r="992" spans="3:17" ht="15.75" customHeight="1" x14ac:dyDescent="0.35">
      <c r="C992" s="3"/>
      <c r="E992" s="3"/>
      <c r="Q992" s="16"/>
    </row>
    <row r="993" spans="3:17" ht="15.75" customHeight="1" x14ac:dyDescent="0.35">
      <c r="C993" s="3"/>
      <c r="E993" s="3"/>
      <c r="Q993" s="16"/>
    </row>
    <row r="994" spans="3:17" ht="15.75" customHeight="1" x14ac:dyDescent="0.35">
      <c r="C994" s="3"/>
      <c r="E994" s="3"/>
      <c r="Q994" s="16"/>
    </row>
    <row r="995" spans="3:17" ht="15.75" customHeight="1" x14ac:dyDescent="0.35">
      <c r="C995" s="3"/>
      <c r="E995" s="3"/>
      <c r="Q995" s="16"/>
    </row>
    <row r="996" spans="3:17" ht="15.75" customHeight="1" x14ac:dyDescent="0.35">
      <c r="C996" s="3"/>
      <c r="E996" s="3"/>
      <c r="Q996" s="16"/>
    </row>
    <row r="997" spans="3:17" ht="15.75" customHeight="1" x14ac:dyDescent="0.35">
      <c r="C997" s="3"/>
      <c r="E997" s="3"/>
      <c r="Q997" s="16"/>
    </row>
    <row r="998" spans="3:17" ht="15.75" customHeight="1" x14ac:dyDescent="0.35">
      <c r="C998" s="3"/>
      <c r="E998" s="3"/>
      <c r="Q998" s="16"/>
    </row>
    <row r="999" spans="3:17" ht="15.75" customHeight="1" x14ac:dyDescent="0.35">
      <c r="C999" s="3"/>
      <c r="E999" s="3"/>
      <c r="Q999" s="16"/>
    </row>
    <row r="1000" spans="3:17" ht="15.75" customHeight="1" x14ac:dyDescent="0.35">
      <c r="C1000" s="3"/>
      <c r="E1000" s="3"/>
      <c r="Q1000" s="16"/>
    </row>
  </sheetData>
  <mergeCells count="9">
    <mergeCell ref="M1:N1"/>
    <mergeCell ref="O1:P1"/>
    <mergeCell ref="A1:A2"/>
    <mergeCell ref="B1:B2"/>
    <mergeCell ref="C1:D1"/>
    <mergeCell ref="E1:F1"/>
    <mergeCell ref="G1:H1"/>
    <mergeCell ref="I1:J1"/>
    <mergeCell ref="K1:L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1E3E0-9EF4-4C64-A2EB-69CC97B3B84B}">
  <dimension ref="A1:Z1022"/>
  <sheetViews>
    <sheetView workbookViewId="0">
      <selection activeCell="I19" sqref="I19"/>
    </sheetView>
  </sheetViews>
  <sheetFormatPr defaultColWidth="14.453125" defaultRowHeight="15" customHeight="1" x14ac:dyDescent="0.35"/>
  <cols>
    <col min="1" max="1" width="8" customWidth="1"/>
    <col min="2" max="2" width="22.54296875" customWidth="1"/>
    <col min="3" max="3" width="20" customWidth="1"/>
    <col min="4" max="4" width="11.08984375" customWidth="1"/>
    <col min="5" max="5" width="14" customWidth="1"/>
    <col min="6" max="6" width="12.54296875" customWidth="1"/>
    <col min="7" max="7" width="28.453125" customWidth="1"/>
    <col min="8" max="9" width="17.54296875" customWidth="1"/>
    <col min="10" max="10" width="24.453125" customWidth="1"/>
    <col min="11" max="11" width="18.453125" customWidth="1"/>
    <col min="12" max="12" width="20.54296875" customWidth="1"/>
    <col min="13" max="13" width="29.81640625" customWidth="1"/>
    <col min="14" max="14" width="31.54296875" customWidth="1"/>
    <col min="15" max="15" width="32.453125" customWidth="1"/>
    <col min="16" max="24" width="8.81640625" customWidth="1"/>
    <col min="25" max="26" width="8.54296875" customWidth="1"/>
  </cols>
  <sheetData>
    <row r="1" spans="1:26" ht="15.5" x14ac:dyDescent="0.35">
      <c r="A1" s="8"/>
      <c r="B1" s="8"/>
      <c r="C1" s="8"/>
      <c r="D1" s="8"/>
      <c r="E1" s="8"/>
      <c r="F1" s="8"/>
      <c r="G1" s="8"/>
      <c r="H1" s="8"/>
      <c r="I1" s="230"/>
      <c r="J1" s="8"/>
      <c r="K1" s="8"/>
      <c r="L1" s="8"/>
      <c r="M1" s="287"/>
      <c r="N1" s="288"/>
      <c r="O1" s="231"/>
      <c r="P1" s="232"/>
      <c r="Q1" s="233"/>
      <c r="R1" s="233"/>
      <c r="S1" s="233"/>
      <c r="T1" s="233"/>
      <c r="U1" s="233"/>
      <c r="V1" s="233"/>
      <c r="W1" s="233"/>
      <c r="X1" s="233"/>
    </row>
    <row r="2" spans="1:26" ht="15.5" x14ac:dyDescent="0.35">
      <c r="A2" s="8"/>
      <c r="B2" s="8"/>
      <c r="C2" s="8"/>
      <c r="D2" s="8"/>
      <c r="E2" s="8"/>
      <c r="F2" s="8"/>
      <c r="G2" s="8"/>
      <c r="H2" s="287" t="s">
        <v>7919</v>
      </c>
      <c r="I2" s="288"/>
      <c r="J2" s="288"/>
      <c r="K2" s="288"/>
      <c r="L2" s="8"/>
      <c r="M2" s="234"/>
      <c r="N2" s="8"/>
      <c r="O2" s="231"/>
      <c r="P2" s="232"/>
      <c r="Q2" s="233"/>
      <c r="R2" s="233"/>
      <c r="S2" s="233"/>
      <c r="T2" s="233"/>
      <c r="U2" s="233"/>
      <c r="V2" s="233"/>
      <c r="W2" s="233"/>
      <c r="X2" s="233"/>
    </row>
    <row r="3" spans="1:26" ht="15.5" x14ac:dyDescent="0.35">
      <c r="A3" s="8"/>
      <c r="B3" s="8"/>
      <c r="C3" s="8"/>
      <c r="D3" s="8"/>
      <c r="E3" s="8"/>
      <c r="F3" s="8"/>
      <c r="G3" s="8"/>
      <c r="H3" s="8"/>
      <c r="I3" s="287" t="s">
        <v>7920</v>
      </c>
      <c r="J3" s="288"/>
      <c r="K3" s="8"/>
      <c r="L3" s="8"/>
      <c r="M3" s="234"/>
      <c r="N3" s="8"/>
      <c r="O3" s="231"/>
      <c r="P3" s="232"/>
      <c r="Q3" s="233"/>
      <c r="R3" s="233"/>
      <c r="S3" s="233"/>
      <c r="T3" s="233"/>
      <c r="U3" s="233"/>
      <c r="V3" s="233"/>
      <c r="W3" s="233"/>
      <c r="X3" s="233"/>
    </row>
    <row r="4" spans="1:26" ht="16" thickBot="1" x14ac:dyDescent="0.4">
      <c r="A4" s="24"/>
      <c r="B4" s="8"/>
      <c r="C4" s="24"/>
      <c r="D4" s="24"/>
      <c r="E4" s="24"/>
      <c r="F4" s="24"/>
      <c r="G4" s="24"/>
      <c r="H4" s="24"/>
      <c r="I4" s="235"/>
      <c r="J4" s="24"/>
      <c r="K4" s="24"/>
      <c r="L4" s="24"/>
      <c r="M4" s="236"/>
      <c r="N4" s="24"/>
      <c r="O4" s="231"/>
      <c r="P4" s="232"/>
      <c r="Q4" s="233"/>
      <c r="R4" s="233"/>
      <c r="S4" s="233"/>
      <c r="T4" s="233"/>
      <c r="U4" s="233"/>
      <c r="V4" s="233"/>
      <c r="W4" s="233"/>
      <c r="X4" s="233"/>
    </row>
    <row r="5" spans="1:26" ht="21.75" customHeight="1" thickBot="1" x14ac:dyDescent="0.4">
      <c r="A5" s="237" t="s">
        <v>7921</v>
      </c>
      <c r="B5" s="238" t="s">
        <v>7922</v>
      </c>
      <c r="C5" s="289"/>
      <c r="D5" s="290"/>
      <c r="E5" s="239" t="s">
        <v>7923</v>
      </c>
      <c r="F5" s="240" t="s">
        <v>32</v>
      </c>
      <c r="G5" s="241" t="s">
        <v>7924</v>
      </c>
      <c r="H5" s="289"/>
      <c r="I5" s="291"/>
      <c r="J5" s="290"/>
      <c r="K5" s="241"/>
      <c r="L5" s="240"/>
      <c r="M5" s="242"/>
      <c r="N5" s="239"/>
      <c r="O5" s="28"/>
      <c r="P5" s="232"/>
      <c r="Q5" s="39"/>
      <c r="R5" s="39"/>
      <c r="S5" s="39"/>
      <c r="T5" s="39"/>
      <c r="U5" s="39"/>
      <c r="V5" s="39"/>
      <c r="W5" s="39"/>
      <c r="X5" s="39"/>
      <c r="Y5" s="56"/>
      <c r="Z5" s="56"/>
    </row>
    <row r="6" spans="1:26" ht="16" thickBot="1" x14ac:dyDescent="0.4">
      <c r="A6" s="237"/>
      <c r="B6" s="241" t="s">
        <v>7925</v>
      </c>
      <c r="C6" s="240" t="s">
        <v>7926</v>
      </c>
      <c r="D6" s="241" t="s">
        <v>40</v>
      </c>
      <c r="E6" s="239" t="s">
        <v>7927</v>
      </c>
      <c r="F6" s="240" t="s">
        <v>7928</v>
      </c>
      <c r="G6" s="241" t="s">
        <v>7929</v>
      </c>
      <c r="H6" s="240" t="s">
        <v>7930</v>
      </c>
      <c r="I6" s="289" t="s">
        <v>7931</v>
      </c>
      <c r="J6" s="290"/>
      <c r="K6" s="241" t="s">
        <v>7932</v>
      </c>
      <c r="L6" s="240" t="s">
        <v>33</v>
      </c>
      <c r="M6" s="242" t="s">
        <v>34</v>
      </c>
      <c r="N6" s="239" t="s">
        <v>35</v>
      </c>
      <c r="O6" s="33" t="s">
        <v>36</v>
      </c>
      <c r="P6" s="232"/>
      <c r="Q6" s="39"/>
      <c r="R6" s="39"/>
      <c r="S6" s="39"/>
      <c r="T6" s="39"/>
      <c r="U6" s="39"/>
      <c r="V6" s="39"/>
      <c r="W6" s="39"/>
      <c r="X6" s="39"/>
      <c r="Y6" s="56"/>
      <c r="Z6" s="56"/>
    </row>
    <row r="7" spans="1:26" ht="15.5" x14ac:dyDescent="0.35">
      <c r="A7" s="237"/>
      <c r="B7" s="237"/>
      <c r="C7" s="241" t="s">
        <v>38</v>
      </c>
      <c r="D7" s="239"/>
      <c r="E7" s="239"/>
      <c r="F7" s="240" t="s">
        <v>7933</v>
      </c>
      <c r="G7" s="241"/>
      <c r="H7" s="240"/>
      <c r="I7" s="243" t="s">
        <v>7934</v>
      </c>
      <c r="J7" s="237" t="s">
        <v>28</v>
      </c>
      <c r="K7" s="241"/>
      <c r="L7" s="240"/>
      <c r="M7" s="242"/>
      <c r="N7" s="239"/>
      <c r="O7" s="33"/>
      <c r="P7" s="232"/>
      <c r="Q7" s="39"/>
      <c r="R7" s="39"/>
      <c r="S7" s="39"/>
      <c r="T7" s="39"/>
      <c r="U7" s="39"/>
      <c r="V7" s="39"/>
      <c r="W7" s="39"/>
      <c r="X7" s="39"/>
      <c r="Y7" s="56"/>
      <c r="Z7" s="56"/>
    </row>
    <row r="8" spans="1:26" ht="15.5" x14ac:dyDescent="0.35">
      <c r="A8" s="244"/>
      <c r="B8" s="244"/>
      <c r="C8" s="244"/>
      <c r="D8" s="244"/>
      <c r="E8" s="244"/>
      <c r="F8" s="244"/>
      <c r="G8" s="244"/>
      <c r="H8" s="244"/>
      <c r="I8" s="245"/>
      <c r="J8" s="244"/>
      <c r="K8" s="244"/>
      <c r="L8" s="244"/>
      <c r="M8" s="245"/>
      <c r="N8" s="244"/>
      <c r="O8" s="246"/>
      <c r="P8" s="247"/>
      <c r="Q8" s="248"/>
      <c r="R8" s="248"/>
      <c r="S8" s="248"/>
      <c r="T8" s="248"/>
      <c r="U8" s="248"/>
      <c r="V8" s="248"/>
      <c r="W8" s="248"/>
      <c r="X8" s="248"/>
      <c r="Y8" s="249"/>
      <c r="Z8" s="249"/>
    </row>
    <row r="9" spans="1:26" ht="31" x14ac:dyDescent="0.35">
      <c r="A9" s="250">
        <v>1</v>
      </c>
      <c r="B9" s="251" t="s">
        <v>7935</v>
      </c>
      <c r="C9" s="251" t="s">
        <v>7936</v>
      </c>
      <c r="D9" s="251" t="s">
        <v>51</v>
      </c>
      <c r="E9" s="251">
        <v>2000</v>
      </c>
      <c r="F9" s="251">
        <v>2003</v>
      </c>
      <c r="G9" s="251" t="s">
        <v>7937</v>
      </c>
      <c r="H9" s="252" t="s">
        <v>7938</v>
      </c>
      <c r="I9" s="253"/>
      <c r="J9" s="251"/>
      <c r="K9" s="251" t="s">
        <v>7939</v>
      </c>
      <c r="L9" s="251" t="s">
        <v>57</v>
      </c>
      <c r="M9" s="254">
        <v>7150</v>
      </c>
      <c r="N9" s="251" t="s">
        <v>7940</v>
      </c>
      <c r="O9" s="255" t="s">
        <v>7941</v>
      </c>
      <c r="P9" s="232">
        <v>1</v>
      </c>
      <c r="Q9" s="256"/>
      <c r="R9" s="256"/>
      <c r="S9" s="256"/>
      <c r="T9" s="256"/>
      <c r="U9" s="256"/>
      <c r="V9" s="256"/>
      <c r="W9" s="256"/>
      <c r="X9" s="256"/>
      <c r="Y9" s="257"/>
      <c r="Z9" s="257"/>
    </row>
    <row r="10" spans="1:26" ht="31" x14ac:dyDescent="0.35">
      <c r="A10" s="258">
        <v>2</v>
      </c>
      <c r="B10" s="259" t="s">
        <v>7935</v>
      </c>
      <c r="C10" s="259" t="s">
        <v>7936</v>
      </c>
      <c r="D10" s="259" t="s">
        <v>59</v>
      </c>
      <c r="E10" s="259">
        <v>1386</v>
      </c>
      <c r="F10" s="259">
        <v>2014</v>
      </c>
      <c r="G10" s="259" t="s">
        <v>7937</v>
      </c>
      <c r="H10" s="260" t="s">
        <v>7938</v>
      </c>
      <c r="I10" s="261"/>
      <c r="J10" s="259"/>
      <c r="K10" s="259" t="s">
        <v>7942</v>
      </c>
      <c r="L10" s="259" t="s">
        <v>422</v>
      </c>
      <c r="M10" s="262">
        <v>10000</v>
      </c>
      <c r="N10" s="259" t="s">
        <v>3059</v>
      </c>
      <c r="O10" s="263" t="s">
        <v>7941</v>
      </c>
      <c r="P10" s="232">
        <v>1</v>
      </c>
      <c r="Q10" s="256"/>
      <c r="R10" s="256"/>
      <c r="S10" s="256"/>
      <c r="T10" s="256"/>
      <c r="U10" s="256"/>
      <c r="V10" s="256"/>
      <c r="W10" s="256"/>
      <c r="X10" s="256"/>
      <c r="Y10" s="257"/>
      <c r="Z10" s="257"/>
    </row>
    <row r="11" spans="1:26" ht="31" x14ac:dyDescent="0.35">
      <c r="A11" s="264">
        <v>3</v>
      </c>
      <c r="B11" s="259" t="s">
        <v>7935</v>
      </c>
      <c r="C11" s="259" t="s">
        <v>7936</v>
      </c>
      <c r="D11" s="259" t="s">
        <v>51</v>
      </c>
      <c r="E11" s="259">
        <v>10554</v>
      </c>
      <c r="F11" s="259">
        <v>2003</v>
      </c>
      <c r="G11" s="259" t="s">
        <v>7943</v>
      </c>
      <c r="H11" s="260" t="s">
        <v>7938</v>
      </c>
      <c r="I11" s="261">
        <v>44481</v>
      </c>
      <c r="J11" s="259" t="s">
        <v>7944</v>
      </c>
      <c r="K11" s="259" t="s">
        <v>7939</v>
      </c>
      <c r="L11" s="259" t="s">
        <v>57</v>
      </c>
      <c r="M11" s="262">
        <v>80850</v>
      </c>
      <c r="N11" s="259" t="s">
        <v>7940</v>
      </c>
      <c r="O11" s="263" t="s">
        <v>7945</v>
      </c>
      <c r="P11" s="232">
        <v>1</v>
      </c>
      <c r="Q11" s="256"/>
      <c r="R11" s="256"/>
      <c r="S11" s="256"/>
      <c r="T11" s="256"/>
      <c r="U11" s="256"/>
      <c r="V11" s="256"/>
      <c r="W11" s="256"/>
      <c r="X11" s="256"/>
      <c r="Y11" s="257"/>
      <c r="Z11" s="257"/>
    </row>
    <row r="12" spans="1:26" ht="31" x14ac:dyDescent="0.35">
      <c r="A12" s="258">
        <v>4</v>
      </c>
      <c r="B12" s="263" t="s">
        <v>7935</v>
      </c>
      <c r="C12" s="263" t="s">
        <v>7936</v>
      </c>
      <c r="D12" s="263" t="s">
        <v>59</v>
      </c>
      <c r="E12" s="263">
        <v>2500</v>
      </c>
      <c r="F12" s="263">
        <v>2014</v>
      </c>
      <c r="G12" s="263" t="s">
        <v>7943</v>
      </c>
      <c r="H12" s="263" t="s">
        <v>7938</v>
      </c>
      <c r="I12" s="265"/>
      <c r="J12" s="263"/>
      <c r="K12" s="263" t="s">
        <v>7942</v>
      </c>
      <c r="L12" s="263" t="s">
        <v>422</v>
      </c>
      <c r="M12" s="266">
        <v>36000</v>
      </c>
      <c r="N12" s="263" t="s">
        <v>3059</v>
      </c>
      <c r="O12" s="263" t="s">
        <v>7945</v>
      </c>
      <c r="P12" s="232">
        <v>1</v>
      </c>
      <c r="Q12" s="256"/>
      <c r="R12" s="256"/>
      <c r="S12" s="256"/>
      <c r="T12" s="256"/>
      <c r="U12" s="256"/>
      <c r="V12" s="256"/>
      <c r="W12" s="256"/>
      <c r="X12" s="256"/>
      <c r="Y12" s="257"/>
      <c r="Z12" s="257"/>
    </row>
    <row r="13" spans="1:26" ht="31" x14ac:dyDescent="0.35">
      <c r="A13" s="258">
        <v>5</v>
      </c>
      <c r="B13" s="263" t="s">
        <v>7935</v>
      </c>
      <c r="C13" s="263" t="s">
        <v>7936</v>
      </c>
      <c r="D13" s="263" t="s">
        <v>51</v>
      </c>
      <c r="E13" s="263">
        <v>2000</v>
      </c>
      <c r="F13" s="263">
        <v>2003</v>
      </c>
      <c r="G13" s="263" t="s">
        <v>7946</v>
      </c>
      <c r="H13" s="263" t="s">
        <v>7938</v>
      </c>
      <c r="I13" s="265"/>
      <c r="J13" s="263"/>
      <c r="K13" s="263" t="s">
        <v>7939</v>
      </c>
      <c r="L13" s="263" t="s">
        <v>57</v>
      </c>
      <c r="M13" s="266">
        <v>7450</v>
      </c>
      <c r="N13" s="263" t="s">
        <v>7940</v>
      </c>
      <c r="O13" s="263" t="s">
        <v>7947</v>
      </c>
      <c r="P13" s="232">
        <v>1</v>
      </c>
      <c r="Q13" s="256"/>
      <c r="R13" s="256"/>
      <c r="S13" s="256"/>
      <c r="T13" s="256"/>
      <c r="U13" s="256"/>
      <c r="V13" s="256"/>
      <c r="W13" s="256"/>
      <c r="X13" s="256"/>
      <c r="Y13" s="257"/>
      <c r="Z13" s="257"/>
    </row>
    <row r="14" spans="1:26" ht="31" x14ac:dyDescent="0.35">
      <c r="A14" s="264">
        <v>6</v>
      </c>
      <c r="B14" s="263" t="s">
        <v>7935</v>
      </c>
      <c r="C14" s="263" t="s">
        <v>7936</v>
      </c>
      <c r="D14" s="263" t="s">
        <v>59</v>
      </c>
      <c r="E14" s="263">
        <v>2000</v>
      </c>
      <c r="F14" s="263">
        <v>2014</v>
      </c>
      <c r="G14" s="263" t="s">
        <v>7946</v>
      </c>
      <c r="H14" s="263" t="s">
        <v>7938</v>
      </c>
      <c r="I14" s="265"/>
      <c r="J14" s="263"/>
      <c r="K14" s="263" t="s">
        <v>7942</v>
      </c>
      <c r="L14" s="263" t="s">
        <v>422</v>
      </c>
      <c r="M14" s="266">
        <v>10000</v>
      </c>
      <c r="N14" s="263" t="s">
        <v>3059</v>
      </c>
      <c r="O14" s="263" t="s">
        <v>7947</v>
      </c>
      <c r="P14" s="232">
        <v>1</v>
      </c>
      <c r="Q14" s="256"/>
      <c r="R14" s="256"/>
      <c r="S14" s="256"/>
      <c r="T14" s="256"/>
      <c r="U14" s="256"/>
      <c r="V14" s="256"/>
      <c r="W14" s="256"/>
      <c r="X14" s="256"/>
      <c r="Y14" s="257"/>
      <c r="Z14" s="257"/>
    </row>
    <row r="15" spans="1:26" ht="31" x14ac:dyDescent="0.35">
      <c r="A15" s="258">
        <v>7</v>
      </c>
      <c r="B15" s="263" t="s">
        <v>7935</v>
      </c>
      <c r="C15" s="263" t="s">
        <v>7936</v>
      </c>
      <c r="D15" s="263" t="s">
        <v>51</v>
      </c>
      <c r="E15" s="263">
        <v>20000</v>
      </c>
      <c r="F15" s="263">
        <v>2003</v>
      </c>
      <c r="G15" s="263" t="s">
        <v>7948</v>
      </c>
      <c r="H15" s="263" t="s">
        <v>7938</v>
      </c>
      <c r="I15" s="265"/>
      <c r="J15" s="263"/>
      <c r="K15" s="263" t="s">
        <v>7939</v>
      </c>
      <c r="L15" s="263" t="s">
        <v>57</v>
      </c>
      <c r="M15" s="266">
        <v>72000</v>
      </c>
      <c r="N15" s="263" t="s">
        <v>7940</v>
      </c>
      <c r="O15" s="263" t="s">
        <v>7949</v>
      </c>
      <c r="P15" s="232">
        <v>1</v>
      </c>
      <c r="Q15" s="256"/>
      <c r="R15" s="256"/>
      <c r="S15" s="256"/>
      <c r="T15" s="256"/>
      <c r="U15" s="256"/>
      <c r="V15" s="256"/>
      <c r="W15" s="256"/>
      <c r="X15" s="256"/>
      <c r="Y15" s="257"/>
      <c r="Z15" s="257"/>
    </row>
    <row r="16" spans="1:26" ht="31" x14ac:dyDescent="0.35">
      <c r="A16" s="258">
        <v>8</v>
      </c>
      <c r="B16" s="263" t="s">
        <v>7935</v>
      </c>
      <c r="C16" s="263" t="s">
        <v>7936</v>
      </c>
      <c r="D16" s="263" t="s">
        <v>59</v>
      </c>
      <c r="E16" s="263">
        <v>2000</v>
      </c>
      <c r="F16" s="263">
        <v>2014</v>
      </c>
      <c r="G16" s="263" t="s">
        <v>7948</v>
      </c>
      <c r="H16" s="263" t="s">
        <v>7938</v>
      </c>
      <c r="I16" s="265"/>
      <c r="J16" s="263"/>
      <c r="K16" s="263" t="s">
        <v>7942</v>
      </c>
      <c r="L16" s="263" t="s">
        <v>422</v>
      </c>
      <c r="M16" s="266">
        <v>10000</v>
      </c>
      <c r="N16" s="263" t="s">
        <v>3059</v>
      </c>
      <c r="O16" s="263" t="s">
        <v>7949</v>
      </c>
      <c r="P16" s="232">
        <v>1</v>
      </c>
      <c r="Q16" s="256"/>
      <c r="R16" s="256"/>
      <c r="S16" s="256"/>
      <c r="T16" s="256"/>
      <c r="U16" s="256"/>
      <c r="V16" s="256"/>
      <c r="W16" s="256"/>
      <c r="X16" s="256"/>
      <c r="Y16" s="257"/>
      <c r="Z16" s="257"/>
    </row>
    <row r="17" spans="1:26" ht="31" x14ac:dyDescent="0.35">
      <c r="A17" s="264">
        <v>9</v>
      </c>
      <c r="B17" s="263" t="s">
        <v>7935</v>
      </c>
      <c r="C17" s="263" t="s">
        <v>7936</v>
      </c>
      <c r="D17" s="263" t="s">
        <v>51</v>
      </c>
      <c r="E17" s="263">
        <v>2700</v>
      </c>
      <c r="F17" s="263">
        <v>2003</v>
      </c>
      <c r="G17" s="263" t="s">
        <v>7950</v>
      </c>
      <c r="H17" s="263" t="s">
        <v>7938</v>
      </c>
      <c r="I17" s="265"/>
      <c r="J17" s="263"/>
      <c r="K17" s="263" t="s">
        <v>7939</v>
      </c>
      <c r="L17" s="263" t="s">
        <v>57</v>
      </c>
      <c r="M17" s="266">
        <v>9923</v>
      </c>
      <c r="N17" s="263" t="s">
        <v>7940</v>
      </c>
      <c r="O17" s="263" t="s">
        <v>7951</v>
      </c>
      <c r="P17" s="232">
        <v>1</v>
      </c>
      <c r="Q17" s="256"/>
      <c r="R17" s="256"/>
      <c r="S17" s="256"/>
      <c r="T17" s="256"/>
      <c r="U17" s="256"/>
      <c r="V17" s="256"/>
      <c r="W17" s="256"/>
      <c r="X17" s="256"/>
      <c r="Y17" s="257"/>
      <c r="Z17" s="257"/>
    </row>
    <row r="18" spans="1:26" ht="31" x14ac:dyDescent="0.35">
      <c r="A18" s="258">
        <v>10</v>
      </c>
      <c r="B18" s="263" t="s">
        <v>7935</v>
      </c>
      <c r="C18" s="263" t="s">
        <v>7936</v>
      </c>
      <c r="D18" s="263" t="s">
        <v>59</v>
      </c>
      <c r="E18" s="263">
        <v>17586</v>
      </c>
      <c r="F18" s="263">
        <v>2014</v>
      </c>
      <c r="G18" s="263" t="s">
        <v>7950</v>
      </c>
      <c r="H18" s="263" t="s">
        <v>7938</v>
      </c>
      <c r="I18" s="265"/>
      <c r="J18" s="263"/>
      <c r="K18" s="263" t="s">
        <v>7942</v>
      </c>
      <c r="L18" s="263" t="s">
        <v>422</v>
      </c>
      <c r="M18" s="266">
        <v>9000</v>
      </c>
      <c r="N18" s="263" t="s">
        <v>3059</v>
      </c>
      <c r="O18" s="263" t="s">
        <v>7951</v>
      </c>
      <c r="P18" s="232">
        <v>1</v>
      </c>
      <c r="Q18" s="256"/>
      <c r="R18" s="256"/>
      <c r="S18" s="256"/>
      <c r="T18" s="256"/>
      <c r="U18" s="256"/>
      <c r="V18" s="256"/>
      <c r="W18" s="256"/>
      <c r="X18" s="256"/>
      <c r="Y18" s="257"/>
      <c r="Z18" s="257"/>
    </row>
    <row r="19" spans="1:26" ht="31" x14ac:dyDescent="0.35">
      <c r="A19" s="258">
        <v>11</v>
      </c>
      <c r="B19" s="263" t="s">
        <v>7935</v>
      </c>
      <c r="C19" s="263" t="s">
        <v>7936</v>
      </c>
      <c r="D19" s="263" t="s">
        <v>51</v>
      </c>
      <c r="E19" s="263">
        <v>10731</v>
      </c>
      <c r="F19" s="263">
        <v>2003</v>
      </c>
      <c r="G19" s="263" t="s">
        <v>7952</v>
      </c>
      <c r="H19" s="263" t="s">
        <v>7938</v>
      </c>
      <c r="I19" s="265"/>
      <c r="J19" s="263"/>
      <c r="K19" s="263" t="s">
        <v>7939</v>
      </c>
      <c r="L19" s="263" t="s">
        <v>57</v>
      </c>
      <c r="M19" s="266">
        <v>39168</v>
      </c>
      <c r="N19" s="263" t="s">
        <v>7940</v>
      </c>
      <c r="O19" s="263" t="s">
        <v>7953</v>
      </c>
      <c r="P19" s="232">
        <v>1</v>
      </c>
      <c r="Q19" s="256"/>
      <c r="R19" s="256"/>
      <c r="S19" s="256"/>
      <c r="T19" s="256"/>
      <c r="U19" s="256"/>
      <c r="V19" s="256"/>
      <c r="W19" s="256"/>
      <c r="X19" s="256"/>
      <c r="Y19" s="257"/>
      <c r="Z19" s="257"/>
    </row>
    <row r="20" spans="1:26" ht="31" x14ac:dyDescent="0.35">
      <c r="A20" s="264">
        <v>12</v>
      </c>
      <c r="B20" s="263" t="s">
        <v>7935</v>
      </c>
      <c r="C20" s="263" t="s">
        <v>7936</v>
      </c>
      <c r="D20" s="263" t="s">
        <v>59</v>
      </c>
      <c r="E20" s="263">
        <v>2000</v>
      </c>
      <c r="F20" s="263">
        <v>2014</v>
      </c>
      <c r="G20" s="263" t="s">
        <v>7952</v>
      </c>
      <c r="H20" s="263" t="s">
        <v>7938</v>
      </c>
      <c r="I20" s="265"/>
      <c r="J20" s="263"/>
      <c r="K20" s="263" t="s">
        <v>7942</v>
      </c>
      <c r="L20" s="263" t="s">
        <v>422</v>
      </c>
      <c r="M20" s="266">
        <v>10000</v>
      </c>
      <c r="N20" s="263" t="s">
        <v>3059</v>
      </c>
      <c r="O20" s="263" t="s">
        <v>7953</v>
      </c>
      <c r="P20" s="232">
        <v>1</v>
      </c>
      <c r="Q20" s="256"/>
      <c r="R20" s="256"/>
      <c r="S20" s="256"/>
      <c r="T20" s="256"/>
      <c r="U20" s="256"/>
      <c r="V20" s="256"/>
      <c r="W20" s="256"/>
      <c r="X20" s="256"/>
      <c r="Y20" s="257"/>
      <c r="Z20" s="257"/>
    </row>
    <row r="21" spans="1:26" ht="15.75" customHeight="1" x14ac:dyDescent="0.35">
      <c r="A21" s="258">
        <v>13</v>
      </c>
      <c r="B21" s="263" t="s">
        <v>7935</v>
      </c>
      <c r="C21" s="263" t="s">
        <v>7936</v>
      </c>
      <c r="D21" s="263" t="s">
        <v>51</v>
      </c>
      <c r="E21" s="263">
        <v>1386</v>
      </c>
      <c r="F21" s="263">
        <v>2014</v>
      </c>
      <c r="G21" s="263" t="s">
        <v>7954</v>
      </c>
      <c r="H21" s="263" t="s">
        <v>7938</v>
      </c>
      <c r="I21" s="265"/>
      <c r="J21" s="263"/>
      <c r="K21" s="263" t="s">
        <v>7942</v>
      </c>
      <c r="L21" s="263" t="s">
        <v>422</v>
      </c>
      <c r="M21" s="266">
        <v>10000</v>
      </c>
      <c r="N21" s="263" t="s">
        <v>3059</v>
      </c>
      <c r="O21" s="263" t="s">
        <v>7955</v>
      </c>
      <c r="P21" s="232">
        <v>1</v>
      </c>
      <c r="Q21" s="256"/>
      <c r="R21" s="256"/>
      <c r="S21" s="256"/>
      <c r="T21" s="256"/>
      <c r="U21" s="256"/>
      <c r="V21" s="256"/>
      <c r="W21" s="256"/>
      <c r="X21" s="256"/>
      <c r="Y21" s="257"/>
      <c r="Z21" s="257"/>
    </row>
    <row r="22" spans="1:26" ht="15.75" customHeight="1" x14ac:dyDescent="0.35">
      <c r="A22" s="258">
        <v>14</v>
      </c>
      <c r="B22" s="263" t="s">
        <v>7935</v>
      </c>
      <c r="C22" s="263" t="s">
        <v>7936</v>
      </c>
      <c r="D22" s="263" t="s">
        <v>51</v>
      </c>
      <c r="E22" s="263">
        <v>2500</v>
      </c>
      <c r="F22" s="263">
        <v>2014</v>
      </c>
      <c r="G22" s="263" t="s">
        <v>7956</v>
      </c>
      <c r="H22" s="263" t="s">
        <v>7938</v>
      </c>
      <c r="I22" s="265"/>
      <c r="J22" s="263"/>
      <c r="K22" s="263" t="s">
        <v>7942</v>
      </c>
      <c r="L22" s="263" t="s">
        <v>422</v>
      </c>
      <c r="M22" s="266">
        <v>37500</v>
      </c>
      <c r="N22" s="263" t="s">
        <v>3059</v>
      </c>
      <c r="O22" s="263" t="s">
        <v>7957</v>
      </c>
      <c r="P22" s="232">
        <v>1</v>
      </c>
      <c r="Q22" s="256"/>
      <c r="R22" s="256"/>
      <c r="S22" s="256"/>
      <c r="T22" s="256"/>
      <c r="U22" s="256"/>
      <c r="V22" s="256"/>
      <c r="W22" s="256"/>
      <c r="X22" s="256"/>
      <c r="Y22" s="257"/>
      <c r="Z22" s="257"/>
    </row>
    <row r="23" spans="1:26" ht="15.75" customHeight="1" x14ac:dyDescent="0.35">
      <c r="A23" s="264">
        <v>15</v>
      </c>
      <c r="B23" s="263" t="s">
        <v>7935</v>
      </c>
      <c r="C23" s="263" t="s">
        <v>7936</v>
      </c>
      <c r="D23" s="263" t="s">
        <v>51</v>
      </c>
      <c r="E23" s="263">
        <v>1400</v>
      </c>
      <c r="F23" s="263">
        <v>2003</v>
      </c>
      <c r="G23" s="263" t="s">
        <v>7958</v>
      </c>
      <c r="H23" s="263" t="s">
        <v>7938</v>
      </c>
      <c r="I23" s="265"/>
      <c r="J23" s="263"/>
      <c r="K23" s="263" t="s">
        <v>7939</v>
      </c>
      <c r="L23" s="263" t="s">
        <v>57</v>
      </c>
      <c r="M23" s="266">
        <v>5215</v>
      </c>
      <c r="N23" s="263" t="s">
        <v>7940</v>
      </c>
      <c r="O23" s="263" t="s">
        <v>7959</v>
      </c>
      <c r="P23" s="232">
        <v>1</v>
      </c>
      <c r="Q23" s="256"/>
      <c r="R23" s="256"/>
      <c r="S23" s="256"/>
      <c r="T23" s="256"/>
      <c r="U23" s="256"/>
      <c r="V23" s="256"/>
      <c r="W23" s="256"/>
      <c r="X23" s="256"/>
      <c r="Y23" s="257"/>
      <c r="Z23" s="257"/>
    </row>
    <row r="24" spans="1:26" ht="15.75" customHeight="1" x14ac:dyDescent="0.35">
      <c r="A24" s="258">
        <v>16</v>
      </c>
      <c r="B24" s="263" t="s">
        <v>7935</v>
      </c>
      <c r="C24" s="263" t="s">
        <v>7936</v>
      </c>
      <c r="D24" s="263" t="s">
        <v>59</v>
      </c>
      <c r="E24" s="263">
        <v>600</v>
      </c>
      <c r="F24" s="263">
        <v>2014</v>
      </c>
      <c r="G24" s="263" t="s">
        <v>7958</v>
      </c>
      <c r="H24" s="263" t="s">
        <v>7938</v>
      </c>
      <c r="I24" s="265"/>
      <c r="J24" s="263"/>
      <c r="K24" s="263" t="s">
        <v>7942</v>
      </c>
      <c r="L24" s="263" t="s">
        <v>422</v>
      </c>
      <c r="M24" s="266">
        <v>25000</v>
      </c>
      <c r="N24" s="263" t="s">
        <v>3059</v>
      </c>
      <c r="O24" s="263" t="s">
        <v>7959</v>
      </c>
      <c r="P24" s="232">
        <v>1</v>
      </c>
      <c r="Q24" s="256"/>
      <c r="R24" s="256"/>
      <c r="S24" s="256"/>
      <c r="T24" s="256"/>
      <c r="U24" s="256"/>
      <c r="V24" s="256"/>
      <c r="W24" s="256"/>
      <c r="X24" s="256"/>
      <c r="Y24" s="257"/>
      <c r="Z24" s="257"/>
    </row>
    <row r="25" spans="1:26" ht="15.75" customHeight="1" x14ac:dyDescent="0.35">
      <c r="A25" s="258">
        <v>17</v>
      </c>
      <c r="B25" s="263" t="s">
        <v>7935</v>
      </c>
      <c r="C25" s="263" t="s">
        <v>7936</v>
      </c>
      <c r="D25" s="263" t="s">
        <v>51</v>
      </c>
      <c r="E25" s="263">
        <v>613</v>
      </c>
      <c r="F25" s="263">
        <v>2014</v>
      </c>
      <c r="G25" s="263" t="s">
        <v>7960</v>
      </c>
      <c r="H25" s="263" t="s">
        <v>7938</v>
      </c>
      <c r="I25" s="265">
        <v>44523</v>
      </c>
      <c r="J25" s="263" t="s">
        <v>7961</v>
      </c>
      <c r="K25" s="263" t="s">
        <v>7942</v>
      </c>
      <c r="L25" s="263" t="s">
        <v>422</v>
      </c>
      <c r="M25" s="266">
        <v>14000</v>
      </c>
      <c r="N25" s="263" t="s">
        <v>3059</v>
      </c>
      <c r="O25" s="263" t="s">
        <v>7962</v>
      </c>
      <c r="P25" s="232">
        <v>1</v>
      </c>
      <c r="Q25" s="256"/>
      <c r="R25" s="256"/>
      <c r="S25" s="256"/>
      <c r="T25" s="256"/>
      <c r="U25" s="256"/>
      <c r="V25" s="256"/>
      <c r="W25" s="256"/>
      <c r="X25" s="256"/>
      <c r="Y25" s="257"/>
      <c r="Z25" s="257"/>
    </row>
    <row r="26" spans="1:26" ht="15.75" customHeight="1" x14ac:dyDescent="0.35">
      <c r="A26" s="264">
        <v>18</v>
      </c>
      <c r="B26" s="263" t="s">
        <v>7935</v>
      </c>
      <c r="C26" s="263" t="s">
        <v>7936</v>
      </c>
      <c r="D26" s="263" t="s">
        <v>59</v>
      </c>
      <c r="E26" s="263">
        <v>5746</v>
      </c>
      <c r="F26" s="263">
        <v>2003</v>
      </c>
      <c r="G26" s="263" t="s">
        <v>7960</v>
      </c>
      <c r="H26" s="263" t="s">
        <v>7938</v>
      </c>
      <c r="I26" s="265">
        <v>44523</v>
      </c>
      <c r="J26" s="263" t="s">
        <v>7963</v>
      </c>
      <c r="K26" s="263" t="s">
        <v>7939</v>
      </c>
      <c r="L26" s="263" t="s">
        <v>57</v>
      </c>
      <c r="M26" s="266">
        <v>9250</v>
      </c>
      <c r="N26" s="263" t="s">
        <v>7940</v>
      </c>
      <c r="O26" s="263" t="s">
        <v>7962</v>
      </c>
      <c r="P26" s="232">
        <v>1</v>
      </c>
      <c r="Q26" s="256"/>
      <c r="R26" s="256"/>
      <c r="S26" s="256"/>
      <c r="T26" s="256"/>
      <c r="U26" s="256"/>
      <c r="V26" s="256"/>
      <c r="W26" s="256"/>
      <c r="X26" s="256"/>
      <c r="Y26" s="257"/>
      <c r="Z26" s="257"/>
    </row>
    <row r="27" spans="1:26" ht="15.75" customHeight="1" x14ac:dyDescent="0.35">
      <c r="A27" s="258">
        <v>19</v>
      </c>
      <c r="B27" s="263" t="s">
        <v>7964</v>
      </c>
      <c r="C27" s="263" t="s">
        <v>7965</v>
      </c>
      <c r="D27" s="263" t="s">
        <v>51</v>
      </c>
      <c r="E27" s="263">
        <v>358</v>
      </c>
      <c r="F27" s="263">
        <v>2024</v>
      </c>
      <c r="G27" s="263" t="s">
        <v>7966</v>
      </c>
      <c r="H27" s="263" t="s">
        <v>7938</v>
      </c>
      <c r="I27" s="265">
        <v>39237</v>
      </c>
      <c r="J27" s="263" t="s">
        <v>7967</v>
      </c>
      <c r="K27" s="263" t="s">
        <v>7968</v>
      </c>
      <c r="L27" s="263" t="s">
        <v>422</v>
      </c>
      <c r="M27" s="266">
        <v>17184</v>
      </c>
      <c r="N27" s="263" t="s">
        <v>7969</v>
      </c>
      <c r="O27" s="263" t="s">
        <v>7970</v>
      </c>
      <c r="P27" s="232">
        <v>1</v>
      </c>
      <c r="Q27" s="256"/>
      <c r="R27" s="256"/>
      <c r="S27" s="256"/>
      <c r="T27" s="256"/>
      <c r="U27" s="256"/>
      <c r="V27" s="256"/>
      <c r="W27" s="256"/>
      <c r="X27" s="256"/>
      <c r="Y27" s="257"/>
      <c r="Z27" s="257"/>
    </row>
    <row r="28" spans="1:26" ht="15.75" customHeight="1" x14ac:dyDescent="0.35">
      <c r="A28" s="258">
        <v>20</v>
      </c>
      <c r="B28" s="263" t="s">
        <v>7935</v>
      </c>
      <c r="C28" s="263" t="s">
        <v>7936</v>
      </c>
      <c r="D28" s="263" t="s">
        <v>51</v>
      </c>
      <c r="E28" s="263">
        <v>107</v>
      </c>
      <c r="F28" s="263">
        <v>2014</v>
      </c>
      <c r="G28" s="263" t="s">
        <v>7971</v>
      </c>
      <c r="H28" s="263" t="s">
        <v>7938</v>
      </c>
      <c r="I28" s="265">
        <v>39237</v>
      </c>
      <c r="J28" s="263" t="s">
        <v>7972</v>
      </c>
      <c r="K28" s="263" t="s">
        <v>7942</v>
      </c>
      <c r="L28" s="263" t="s">
        <v>422</v>
      </c>
      <c r="M28" s="266">
        <v>37800</v>
      </c>
      <c r="N28" s="263" t="s">
        <v>3059</v>
      </c>
      <c r="O28" s="263" t="s">
        <v>7970</v>
      </c>
      <c r="P28" s="232">
        <v>1</v>
      </c>
      <c r="Q28" s="256"/>
      <c r="R28" s="256"/>
      <c r="S28" s="256"/>
      <c r="T28" s="256"/>
      <c r="U28" s="256"/>
      <c r="V28" s="256"/>
      <c r="W28" s="256"/>
      <c r="X28" s="256"/>
      <c r="Y28" s="257"/>
      <c r="Z28" s="257"/>
    </row>
    <row r="29" spans="1:26" ht="15.75" customHeight="1" x14ac:dyDescent="0.35">
      <c r="A29" s="264">
        <v>21</v>
      </c>
      <c r="B29" s="263" t="s">
        <v>7935</v>
      </c>
      <c r="C29" s="263" t="s">
        <v>7936</v>
      </c>
      <c r="D29" s="263" t="s">
        <v>59</v>
      </c>
      <c r="E29" s="263">
        <v>3748</v>
      </c>
      <c r="F29" s="263">
        <v>2008</v>
      </c>
      <c r="G29" s="263" t="s">
        <v>7971</v>
      </c>
      <c r="H29" s="263" t="s">
        <v>7938</v>
      </c>
      <c r="I29" s="265">
        <v>39567</v>
      </c>
      <c r="J29" s="263" t="s">
        <v>7973</v>
      </c>
      <c r="K29" s="263" t="s">
        <v>7939</v>
      </c>
      <c r="L29" s="263" t="s">
        <v>57</v>
      </c>
      <c r="M29" s="266">
        <v>17053</v>
      </c>
      <c r="N29" s="263" t="s">
        <v>7940</v>
      </c>
      <c r="O29" s="263" t="s">
        <v>7970</v>
      </c>
      <c r="P29" s="232">
        <v>1</v>
      </c>
      <c r="Q29" s="256"/>
      <c r="R29" s="256"/>
      <c r="S29" s="256"/>
      <c r="T29" s="256"/>
      <c r="U29" s="256"/>
      <c r="V29" s="256"/>
      <c r="W29" s="256"/>
      <c r="X29" s="256"/>
      <c r="Y29" s="257"/>
      <c r="Z29" s="257"/>
    </row>
    <row r="30" spans="1:26" ht="15.75" customHeight="1" x14ac:dyDescent="0.35">
      <c r="A30" s="258">
        <v>22</v>
      </c>
      <c r="B30" s="263" t="s">
        <v>7935</v>
      </c>
      <c r="C30" s="263" t="s">
        <v>7936</v>
      </c>
      <c r="D30" s="263" t="s">
        <v>51</v>
      </c>
      <c r="E30" s="263">
        <v>12830</v>
      </c>
      <c r="F30" s="263">
        <v>2014</v>
      </c>
      <c r="G30" s="263" t="s">
        <v>7974</v>
      </c>
      <c r="H30" s="263" t="s">
        <v>7938</v>
      </c>
      <c r="I30" s="265">
        <v>44434</v>
      </c>
      <c r="J30" s="263" t="s">
        <v>7975</v>
      </c>
      <c r="K30" s="263" t="s">
        <v>7942</v>
      </c>
      <c r="L30" s="263" t="s">
        <v>422</v>
      </c>
      <c r="M30" s="266">
        <v>11250</v>
      </c>
      <c r="N30" s="263" t="s">
        <v>3059</v>
      </c>
      <c r="O30" s="263" t="s">
        <v>7976</v>
      </c>
      <c r="P30" s="232">
        <v>1</v>
      </c>
      <c r="Q30" s="256"/>
      <c r="R30" s="256"/>
      <c r="S30" s="256"/>
      <c r="T30" s="256"/>
      <c r="U30" s="256"/>
      <c r="V30" s="256"/>
      <c r="W30" s="256"/>
      <c r="X30" s="256"/>
      <c r="Y30" s="257"/>
      <c r="Z30" s="257"/>
    </row>
    <row r="31" spans="1:26" ht="15.75" customHeight="1" x14ac:dyDescent="0.35">
      <c r="A31" s="258">
        <v>23</v>
      </c>
      <c r="B31" s="263" t="s">
        <v>7935</v>
      </c>
      <c r="C31" s="263" t="s">
        <v>7936</v>
      </c>
      <c r="D31" s="263" t="s">
        <v>51</v>
      </c>
      <c r="E31" s="263">
        <v>500000</v>
      </c>
      <c r="F31" s="263">
        <v>2003</v>
      </c>
      <c r="G31" s="263" t="s">
        <v>7977</v>
      </c>
      <c r="H31" s="263" t="s">
        <v>7938</v>
      </c>
      <c r="I31" s="265"/>
      <c r="J31" s="263"/>
      <c r="K31" s="263" t="s">
        <v>7939</v>
      </c>
      <c r="L31" s="263" t="s">
        <v>57</v>
      </c>
      <c r="M31" s="266">
        <v>1837500</v>
      </c>
      <c r="N31" s="263" t="s">
        <v>7940</v>
      </c>
      <c r="O31" s="263" t="s">
        <v>7978</v>
      </c>
      <c r="P31" s="232">
        <v>1</v>
      </c>
      <c r="Q31" s="256"/>
      <c r="R31" s="256"/>
      <c r="S31" s="256"/>
      <c r="T31" s="256"/>
      <c r="U31" s="256"/>
      <c r="V31" s="256"/>
      <c r="W31" s="256"/>
      <c r="X31" s="256"/>
      <c r="Y31" s="257"/>
      <c r="Z31" s="257"/>
    </row>
    <row r="32" spans="1:26" ht="15.75" customHeight="1" x14ac:dyDescent="0.35">
      <c r="A32" s="264">
        <v>24</v>
      </c>
      <c r="B32" s="263" t="s">
        <v>7935</v>
      </c>
      <c r="C32" s="263" t="s">
        <v>7936</v>
      </c>
      <c r="D32" s="263" t="s">
        <v>59</v>
      </c>
      <c r="E32" s="263">
        <v>40000</v>
      </c>
      <c r="F32" s="263">
        <v>2014</v>
      </c>
      <c r="G32" s="263" t="s">
        <v>7977</v>
      </c>
      <c r="H32" s="263" t="s">
        <v>7938</v>
      </c>
      <c r="I32" s="265"/>
      <c r="J32" s="263"/>
      <c r="K32" s="263" t="s">
        <v>7942</v>
      </c>
      <c r="L32" s="263" t="s">
        <v>422</v>
      </c>
      <c r="M32" s="266">
        <v>45000</v>
      </c>
      <c r="N32" s="263" t="s">
        <v>3059</v>
      </c>
      <c r="O32" s="263" t="s">
        <v>7978</v>
      </c>
      <c r="P32" s="232">
        <v>1</v>
      </c>
      <c r="Q32" s="256"/>
      <c r="R32" s="256"/>
      <c r="S32" s="256"/>
      <c r="T32" s="256"/>
      <c r="U32" s="256"/>
      <c r="V32" s="256"/>
      <c r="W32" s="256"/>
      <c r="X32" s="256"/>
      <c r="Y32" s="257"/>
      <c r="Z32" s="257"/>
    </row>
    <row r="33" spans="1:26" ht="15.75" customHeight="1" x14ac:dyDescent="0.35">
      <c r="A33" s="258">
        <v>25</v>
      </c>
      <c r="B33" s="263" t="s">
        <v>7935</v>
      </c>
      <c r="C33" s="263" t="s">
        <v>7936</v>
      </c>
      <c r="D33" s="263" t="s">
        <v>51</v>
      </c>
      <c r="E33" s="263">
        <v>12864</v>
      </c>
      <c r="F33" s="263">
        <v>2014</v>
      </c>
      <c r="G33" s="263" t="s">
        <v>7979</v>
      </c>
      <c r="H33" s="263" t="s">
        <v>7938</v>
      </c>
      <c r="I33" s="265"/>
      <c r="J33" s="263"/>
      <c r="K33" s="263" t="s">
        <v>7942</v>
      </c>
      <c r="L33" s="263" t="s">
        <v>422</v>
      </c>
      <c r="M33" s="266">
        <v>25430</v>
      </c>
      <c r="N33" s="263" t="s">
        <v>3059</v>
      </c>
      <c r="O33" s="263" t="s">
        <v>7980</v>
      </c>
      <c r="P33" s="232">
        <v>1</v>
      </c>
      <c r="Q33" s="256"/>
      <c r="R33" s="256"/>
      <c r="S33" s="256"/>
      <c r="T33" s="256"/>
      <c r="U33" s="256"/>
      <c r="V33" s="256"/>
      <c r="W33" s="256"/>
      <c r="X33" s="256"/>
      <c r="Y33" s="257"/>
      <c r="Z33" s="257"/>
    </row>
    <row r="34" spans="1:26" ht="15.75" customHeight="1" x14ac:dyDescent="0.35">
      <c r="A34" s="258">
        <v>26</v>
      </c>
      <c r="B34" s="263" t="s">
        <v>7935</v>
      </c>
      <c r="C34" s="263" t="s">
        <v>7936</v>
      </c>
      <c r="D34" s="263" t="s">
        <v>59</v>
      </c>
      <c r="E34" s="263">
        <v>22000</v>
      </c>
      <c r="F34" s="263">
        <v>2003</v>
      </c>
      <c r="G34" s="263" t="s">
        <v>7979</v>
      </c>
      <c r="H34" s="263" t="s">
        <v>7938</v>
      </c>
      <c r="I34" s="265"/>
      <c r="J34" s="263"/>
      <c r="K34" s="263" t="s">
        <v>7939</v>
      </c>
      <c r="L34" s="263" t="s">
        <v>57</v>
      </c>
      <c r="M34" s="266">
        <v>80850</v>
      </c>
      <c r="N34" s="263" t="s">
        <v>7940</v>
      </c>
      <c r="O34" s="263" t="s">
        <v>7980</v>
      </c>
      <c r="P34" s="232">
        <v>1</v>
      </c>
      <c r="Q34" s="256"/>
      <c r="R34" s="256"/>
      <c r="S34" s="256"/>
      <c r="T34" s="256"/>
      <c r="U34" s="256"/>
      <c r="V34" s="256"/>
      <c r="W34" s="256"/>
      <c r="X34" s="256"/>
      <c r="Y34" s="257"/>
      <c r="Z34" s="257"/>
    </row>
    <row r="35" spans="1:26" ht="15.75" customHeight="1" x14ac:dyDescent="0.35">
      <c r="A35" s="264">
        <v>27</v>
      </c>
      <c r="B35" s="263" t="s">
        <v>7935</v>
      </c>
      <c r="C35" s="263" t="s">
        <v>7936</v>
      </c>
      <c r="D35" s="263" t="s">
        <v>51</v>
      </c>
      <c r="E35" s="263">
        <v>9912</v>
      </c>
      <c r="F35" s="263">
        <v>2014</v>
      </c>
      <c r="G35" s="263" t="s">
        <v>7981</v>
      </c>
      <c r="H35" s="263" t="s">
        <v>7938</v>
      </c>
      <c r="I35" s="265"/>
      <c r="J35" s="263"/>
      <c r="K35" s="263" t="s">
        <v>7942</v>
      </c>
      <c r="L35" s="263" t="s">
        <v>422</v>
      </c>
      <c r="M35" s="266">
        <v>25410</v>
      </c>
      <c r="N35" s="263" t="s">
        <v>3059</v>
      </c>
      <c r="O35" s="263" t="s">
        <v>7982</v>
      </c>
      <c r="P35" s="232">
        <v>1</v>
      </c>
      <c r="Q35" s="256"/>
      <c r="R35" s="256"/>
      <c r="S35" s="256"/>
      <c r="T35" s="256"/>
      <c r="U35" s="256"/>
      <c r="V35" s="256"/>
      <c r="W35" s="256"/>
      <c r="X35" s="256"/>
      <c r="Y35" s="257"/>
      <c r="Z35" s="257"/>
    </row>
    <row r="36" spans="1:26" ht="15.75" customHeight="1" x14ac:dyDescent="0.35">
      <c r="A36" s="258">
        <v>28</v>
      </c>
      <c r="B36" s="263" t="s">
        <v>7935</v>
      </c>
      <c r="C36" s="263" t="s">
        <v>7936</v>
      </c>
      <c r="D36" s="263" t="s">
        <v>51</v>
      </c>
      <c r="E36" s="263">
        <v>10000</v>
      </c>
      <c r="F36" s="263">
        <v>2014</v>
      </c>
      <c r="G36" s="263" t="s">
        <v>7983</v>
      </c>
      <c r="H36" s="263" t="s">
        <v>7938</v>
      </c>
      <c r="I36" s="265"/>
      <c r="J36" s="263"/>
      <c r="K36" s="263" t="s">
        <v>7942</v>
      </c>
      <c r="L36" s="263" t="s">
        <v>422</v>
      </c>
      <c r="M36" s="266">
        <v>2000</v>
      </c>
      <c r="N36" s="263" t="s">
        <v>3059</v>
      </c>
      <c r="O36" s="263" t="s">
        <v>7984</v>
      </c>
      <c r="P36" s="232">
        <v>1</v>
      </c>
      <c r="Q36" s="256"/>
      <c r="R36" s="256"/>
      <c r="S36" s="256"/>
      <c r="T36" s="256"/>
      <c r="U36" s="256"/>
      <c r="V36" s="256"/>
      <c r="W36" s="256"/>
      <c r="X36" s="256"/>
      <c r="Y36" s="257"/>
      <c r="Z36" s="257"/>
    </row>
    <row r="37" spans="1:26" ht="15.75" customHeight="1" x14ac:dyDescent="0.35">
      <c r="A37" s="258">
        <v>29</v>
      </c>
      <c r="B37" s="263" t="s">
        <v>7935</v>
      </c>
      <c r="C37" s="263" t="s">
        <v>7936</v>
      </c>
      <c r="D37" s="263" t="s">
        <v>59</v>
      </c>
      <c r="E37" s="263">
        <v>3000</v>
      </c>
      <c r="F37" s="263">
        <v>2003</v>
      </c>
      <c r="G37" s="263" t="s">
        <v>7983</v>
      </c>
      <c r="H37" s="263" t="s">
        <v>7938</v>
      </c>
      <c r="I37" s="265"/>
      <c r="J37" s="263"/>
      <c r="K37" s="263" t="s">
        <v>7939</v>
      </c>
      <c r="L37" s="263" t="s">
        <v>57</v>
      </c>
      <c r="M37" s="266">
        <v>11175</v>
      </c>
      <c r="N37" s="263" t="s">
        <v>7940</v>
      </c>
      <c r="O37" s="263" t="s">
        <v>7984</v>
      </c>
      <c r="P37" s="232">
        <v>1</v>
      </c>
      <c r="Q37" s="256"/>
      <c r="R37" s="256"/>
      <c r="S37" s="256"/>
      <c r="T37" s="256"/>
      <c r="U37" s="256"/>
      <c r="V37" s="256"/>
      <c r="W37" s="256"/>
      <c r="X37" s="256"/>
      <c r="Y37" s="257"/>
      <c r="Z37" s="257"/>
    </row>
    <row r="38" spans="1:26" ht="15.75" customHeight="1" x14ac:dyDescent="0.35">
      <c r="A38" s="264">
        <v>30</v>
      </c>
      <c r="B38" s="263" t="s">
        <v>7935</v>
      </c>
      <c r="C38" s="263" t="s">
        <v>7936</v>
      </c>
      <c r="D38" s="263" t="s">
        <v>51</v>
      </c>
      <c r="E38" s="263">
        <v>2000</v>
      </c>
      <c r="F38" s="263">
        <v>2014</v>
      </c>
      <c r="G38" s="263" t="s">
        <v>7985</v>
      </c>
      <c r="H38" s="263" t="s">
        <v>7938</v>
      </c>
      <c r="I38" s="265"/>
      <c r="J38" s="263"/>
      <c r="K38" s="263" t="s">
        <v>7942</v>
      </c>
      <c r="L38" s="263" t="s">
        <v>422</v>
      </c>
      <c r="M38" s="266">
        <v>10000</v>
      </c>
      <c r="N38" s="263" t="s">
        <v>3059</v>
      </c>
      <c r="O38" s="263" t="s">
        <v>7986</v>
      </c>
      <c r="P38" s="232">
        <v>1</v>
      </c>
      <c r="Q38" s="256"/>
      <c r="R38" s="256"/>
      <c r="S38" s="256"/>
      <c r="T38" s="256"/>
      <c r="U38" s="256"/>
      <c r="V38" s="256"/>
      <c r="W38" s="256"/>
      <c r="X38" s="256"/>
      <c r="Y38" s="257"/>
      <c r="Z38" s="257"/>
    </row>
    <row r="39" spans="1:26" ht="15.75" customHeight="1" x14ac:dyDescent="0.35">
      <c r="A39" s="258">
        <v>31</v>
      </c>
      <c r="B39" s="263" t="s">
        <v>7935</v>
      </c>
      <c r="C39" s="263" t="s">
        <v>7936</v>
      </c>
      <c r="D39" s="263" t="s">
        <v>59</v>
      </c>
      <c r="E39" s="263">
        <v>3000</v>
      </c>
      <c r="F39" s="263">
        <v>2003</v>
      </c>
      <c r="G39" s="263" t="s">
        <v>7985</v>
      </c>
      <c r="H39" s="263" t="s">
        <v>7938</v>
      </c>
      <c r="I39" s="265"/>
      <c r="J39" s="263"/>
      <c r="K39" s="263" t="s">
        <v>7939</v>
      </c>
      <c r="L39" s="263" t="s">
        <v>57</v>
      </c>
      <c r="M39" s="266">
        <v>10800</v>
      </c>
      <c r="N39" s="263" t="s">
        <v>7940</v>
      </c>
      <c r="O39" s="263" t="s">
        <v>7986</v>
      </c>
      <c r="P39" s="232">
        <v>1</v>
      </c>
      <c r="Q39" s="256"/>
      <c r="R39" s="256"/>
      <c r="S39" s="256"/>
      <c r="T39" s="256"/>
      <c r="U39" s="256"/>
      <c r="V39" s="256"/>
      <c r="W39" s="256"/>
      <c r="X39" s="256"/>
      <c r="Y39" s="257"/>
      <c r="Z39" s="257"/>
    </row>
    <row r="40" spans="1:26" ht="15.75" customHeight="1" x14ac:dyDescent="0.35">
      <c r="A40" s="258">
        <v>32</v>
      </c>
      <c r="B40" s="263" t="s">
        <v>7935</v>
      </c>
      <c r="C40" s="263" t="s">
        <v>7936</v>
      </c>
      <c r="D40" s="263" t="s">
        <v>51</v>
      </c>
      <c r="E40" s="263">
        <v>8585</v>
      </c>
      <c r="F40" s="263">
        <v>2014</v>
      </c>
      <c r="G40" s="263" t="s">
        <v>7987</v>
      </c>
      <c r="H40" s="263" t="s">
        <v>7938</v>
      </c>
      <c r="I40" s="265">
        <v>44483</v>
      </c>
      <c r="J40" s="263" t="s">
        <v>7988</v>
      </c>
      <c r="K40" s="263" t="s">
        <v>7942</v>
      </c>
      <c r="L40" s="263" t="s">
        <v>422</v>
      </c>
      <c r="M40" s="266">
        <v>10000</v>
      </c>
      <c r="N40" s="263" t="s">
        <v>3059</v>
      </c>
      <c r="O40" s="263" t="s">
        <v>7989</v>
      </c>
      <c r="P40" s="232">
        <v>1</v>
      </c>
      <c r="Q40" s="256"/>
      <c r="R40" s="256"/>
      <c r="S40" s="256"/>
      <c r="T40" s="256"/>
      <c r="U40" s="256"/>
      <c r="V40" s="256"/>
      <c r="W40" s="256"/>
      <c r="X40" s="256"/>
      <c r="Y40" s="257"/>
      <c r="Z40" s="257"/>
    </row>
    <row r="41" spans="1:26" ht="15.75" customHeight="1" x14ac:dyDescent="0.35">
      <c r="A41" s="264">
        <v>33</v>
      </c>
      <c r="B41" s="263" t="s">
        <v>7935</v>
      </c>
      <c r="C41" s="263" t="s">
        <v>7936</v>
      </c>
      <c r="D41" s="263" t="s">
        <v>51</v>
      </c>
      <c r="E41" s="263">
        <v>2000</v>
      </c>
      <c r="F41" s="263">
        <v>2014</v>
      </c>
      <c r="G41" s="263" t="s">
        <v>7990</v>
      </c>
      <c r="H41" s="263" t="s">
        <v>7938</v>
      </c>
      <c r="I41" s="265"/>
      <c r="J41" s="263"/>
      <c r="K41" s="263" t="s">
        <v>7942</v>
      </c>
      <c r="L41" s="263" t="s">
        <v>422</v>
      </c>
      <c r="M41" s="266">
        <v>10000</v>
      </c>
      <c r="N41" s="263" t="s">
        <v>3059</v>
      </c>
      <c r="O41" s="263" t="s">
        <v>7991</v>
      </c>
      <c r="P41" s="232">
        <v>1</v>
      </c>
      <c r="Q41" s="256"/>
      <c r="R41" s="256"/>
      <c r="S41" s="256"/>
      <c r="T41" s="256"/>
      <c r="U41" s="256"/>
      <c r="V41" s="256"/>
      <c r="W41" s="256"/>
      <c r="X41" s="256"/>
      <c r="Y41" s="257"/>
      <c r="Z41" s="257"/>
    </row>
    <row r="42" spans="1:26" ht="15.75" customHeight="1" x14ac:dyDescent="0.35">
      <c r="A42" s="258">
        <v>34</v>
      </c>
      <c r="B42" s="263" t="s">
        <v>7935</v>
      </c>
      <c r="C42" s="263" t="s">
        <v>7936</v>
      </c>
      <c r="D42" s="263" t="s">
        <v>59</v>
      </c>
      <c r="E42" s="263">
        <v>1320</v>
      </c>
      <c r="F42" s="263">
        <v>2003</v>
      </c>
      <c r="G42" s="263" t="s">
        <v>7990</v>
      </c>
      <c r="H42" s="263" t="s">
        <v>7938</v>
      </c>
      <c r="I42" s="265"/>
      <c r="J42" s="263"/>
      <c r="K42" s="263" t="s">
        <v>7939</v>
      </c>
      <c r="L42" s="263" t="s">
        <v>57</v>
      </c>
      <c r="M42" s="266">
        <v>4884</v>
      </c>
      <c r="N42" s="263" t="s">
        <v>7940</v>
      </c>
      <c r="O42" s="263" t="s">
        <v>7991</v>
      </c>
      <c r="P42" s="232">
        <v>1</v>
      </c>
      <c r="Q42" s="256"/>
      <c r="R42" s="256"/>
      <c r="S42" s="256"/>
      <c r="T42" s="256"/>
      <c r="U42" s="256"/>
      <c r="V42" s="256"/>
      <c r="W42" s="256"/>
      <c r="X42" s="256"/>
      <c r="Y42" s="257"/>
      <c r="Z42" s="257"/>
    </row>
    <row r="43" spans="1:26" ht="15.75" customHeight="1" x14ac:dyDescent="0.35">
      <c r="A43" s="258">
        <v>35</v>
      </c>
      <c r="B43" s="263" t="s">
        <v>7935</v>
      </c>
      <c r="C43" s="263" t="s">
        <v>7936</v>
      </c>
      <c r="D43" s="263" t="s">
        <v>51</v>
      </c>
      <c r="E43" s="263">
        <v>17586</v>
      </c>
      <c r="F43" s="263">
        <v>2014</v>
      </c>
      <c r="G43" s="263" t="s">
        <v>7992</v>
      </c>
      <c r="H43" s="263" t="s">
        <v>7938</v>
      </c>
      <c r="I43" s="265"/>
      <c r="J43" s="263"/>
      <c r="K43" s="263" t="s">
        <v>7942</v>
      </c>
      <c r="L43" s="263" t="s">
        <v>422</v>
      </c>
      <c r="M43" s="266">
        <v>15000</v>
      </c>
      <c r="N43" s="263" t="s">
        <v>3059</v>
      </c>
      <c r="O43" s="263" t="s">
        <v>7993</v>
      </c>
      <c r="P43" s="232">
        <v>1</v>
      </c>
      <c r="Q43" s="256"/>
      <c r="R43" s="256"/>
      <c r="S43" s="256"/>
      <c r="T43" s="256"/>
      <c r="U43" s="256"/>
      <c r="V43" s="256"/>
      <c r="W43" s="256"/>
      <c r="X43" s="256"/>
      <c r="Y43" s="257"/>
      <c r="Z43" s="257"/>
    </row>
    <row r="44" spans="1:26" ht="15.75" customHeight="1" x14ac:dyDescent="0.35">
      <c r="A44" s="264">
        <v>36</v>
      </c>
      <c r="B44" s="263" t="s">
        <v>7935</v>
      </c>
      <c r="C44" s="263" t="s">
        <v>7936</v>
      </c>
      <c r="D44" s="263" t="s">
        <v>59</v>
      </c>
      <c r="E44" s="263">
        <v>15189</v>
      </c>
      <c r="F44" s="263">
        <v>2003</v>
      </c>
      <c r="G44" s="263" t="s">
        <v>7992</v>
      </c>
      <c r="H44" s="263" t="s">
        <v>7938</v>
      </c>
      <c r="I44" s="265"/>
      <c r="J44" s="263"/>
      <c r="K44" s="263" t="s">
        <v>7939</v>
      </c>
      <c r="L44" s="263" t="s">
        <v>57</v>
      </c>
      <c r="M44" s="266">
        <v>55060</v>
      </c>
      <c r="N44" s="263" t="s">
        <v>7940</v>
      </c>
      <c r="O44" s="263" t="s">
        <v>7993</v>
      </c>
      <c r="P44" s="232">
        <v>1</v>
      </c>
      <c r="Q44" s="256"/>
      <c r="R44" s="256"/>
      <c r="S44" s="256"/>
      <c r="T44" s="256"/>
      <c r="U44" s="256"/>
      <c r="V44" s="256"/>
      <c r="W44" s="256"/>
      <c r="X44" s="256"/>
      <c r="Y44" s="257"/>
      <c r="Z44" s="257"/>
    </row>
    <row r="45" spans="1:26" ht="15.75" customHeight="1" x14ac:dyDescent="0.35">
      <c r="A45" s="258">
        <v>37</v>
      </c>
      <c r="B45" s="263" t="s">
        <v>7935</v>
      </c>
      <c r="C45" s="263" t="s">
        <v>7936</v>
      </c>
      <c r="D45" s="263" t="s">
        <v>51</v>
      </c>
      <c r="E45" s="263">
        <v>10000</v>
      </c>
      <c r="F45" s="263">
        <v>2014</v>
      </c>
      <c r="G45" s="263" t="s">
        <v>7937</v>
      </c>
      <c r="H45" s="263" t="s">
        <v>7938</v>
      </c>
      <c r="I45" s="265"/>
      <c r="J45" s="263"/>
      <c r="K45" s="263" t="s">
        <v>7942</v>
      </c>
      <c r="L45" s="263" t="s">
        <v>422</v>
      </c>
      <c r="M45" s="266">
        <v>2000</v>
      </c>
      <c r="N45" s="263" t="s">
        <v>3059</v>
      </c>
      <c r="O45" s="263" t="s">
        <v>7994</v>
      </c>
      <c r="P45" s="232">
        <v>1</v>
      </c>
      <c r="Q45" s="256"/>
      <c r="R45" s="256"/>
      <c r="S45" s="256"/>
      <c r="T45" s="256"/>
      <c r="U45" s="256"/>
      <c r="V45" s="256"/>
      <c r="W45" s="256"/>
      <c r="X45" s="256"/>
      <c r="Y45" s="257"/>
      <c r="Z45" s="257"/>
    </row>
    <row r="46" spans="1:26" ht="15.75" customHeight="1" x14ac:dyDescent="0.35">
      <c r="A46" s="258">
        <v>38</v>
      </c>
      <c r="B46" s="263" t="s">
        <v>7935</v>
      </c>
      <c r="C46" s="263" t="s">
        <v>7936</v>
      </c>
      <c r="D46" s="263" t="s">
        <v>51</v>
      </c>
      <c r="E46" s="263">
        <v>378</v>
      </c>
      <c r="F46" s="263">
        <v>2014</v>
      </c>
      <c r="G46" s="263" t="s">
        <v>7995</v>
      </c>
      <c r="H46" s="263" t="s">
        <v>7938</v>
      </c>
      <c r="I46" s="265">
        <v>39179</v>
      </c>
      <c r="J46" s="263" t="s">
        <v>7996</v>
      </c>
      <c r="K46" s="263" t="s">
        <v>7942</v>
      </c>
      <c r="L46" s="263" t="s">
        <v>422</v>
      </c>
      <c r="M46" s="266">
        <v>10000</v>
      </c>
      <c r="N46" s="263" t="s">
        <v>3059</v>
      </c>
      <c r="O46" s="263" t="s">
        <v>7997</v>
      </c>
      <c r="P46" s="232">
        <v>1</v>
      </c>
      <c r="Q46" s="256"/>
      <c r="R46" s="256"/>
      <c r="S46" s="256"/>
      <c r="T46" s="256"/>
      <c r="U46" s="256"/>
      <c r="V46" s="256"/>
      <c r="W46" s="256"/>
      <c r="X46" s="256"/>
      <c r="Y46" s="257"/>
      <c r="Z46" s="257"/>
    </row>
    <row r="47" spans="1:26" ht="15.75" customHeight="1" x14ac:dyDescent="0.35">
      <c r="A47" s="264">
        <v>39</v>
      </c>
      <c r="B47" s="263" t="s">
        <v>7935</v>
      </c>
      <c r="C47" s="263" t="s">
        <v>7936</v>
      </c>
      <c r="D47" s="263" t="s">
        <v>59</v>
      </c>
      <c r="E47" s="263">
        <v>985</v>
      </c>
      <c r="F47" s="263">
        <v>2003</v>
      </c>
      <c r="G47" s="263" t="s">
        <v>7995</v>
      </c>
      <c r="H47" s="263" t="s">
        <v>7938</v>
      </c>
      <c r="I47" s="265">
        <v>39179</v>
      </c>
      <c r="J47" s="263" t="s">
        <v>7998</v>
      </c>
      <c r="K47" s="263" t="s">
        <v>7939</v>
      </c>
      <c r="L47" s="263" t="s">
        <v>57</v>
      </c>
      <c r="M47" s="266">
        <v>53885</v>
      </c>
      <c r="N47" s="263" t="s">
        <v>7940</v>
      </c>
      <c r="O47" s="263" t="s">
        <v>7997</v>
      </c>
      <c r="P47" s="232">
        <v>1</v>
      </c>
      <c r="Q47" s="256"/>
      <c r="R47" s="256"/>
      <c r="S47" s="256"/>
      <c r="T47" s="256"/>
      <c r="U47" s="256"/>
      <c r="V47" s="256"/>
      <c r="W47" s="256"/>
      <c r="X47" s="256"/>
      <c r="Y47" s="257"/>
      <c r="Z47" s="257"/>
    </row>
    <row r="48" spans="1:26" ht="15.75" customHeight="1" x14ac:dyDescent="0.35">
      <c r="A48" s="258">
        <v>40</v>
      </c>
      <c r="B48" s="263" t="s">
        <v>7935</v>
      </c>
      <c r="C48" s="263" t="s">
        <v>7936</v>
      </c>
      <c r="D48" s="263" t="s">
        <v>97</v>
      </c>
      <c r="E48" s="263">
        <v>2415</v>
      </c>
      <c r="F48" s="263">
        <v>2008</v>
      </c>
      <c r="G48" s="263" t="s">
        <v>7999</v>
      </c>
      <c r="H48" s="263" t="s">
        <v>7938</v>
      </c>
      <c r="I48" s="265">
        <v>39476</v>
      </c>
      <c r="J48" s="263" t="s">
        <v>8000</v>
      </c>
      <c r="K48" s="263" t="s">
        <v>7939</v>
      </c>
      <c r="L48" s="263" t="s">
        <v>57</v>
      </c>
      <c r="M48" s="266">
        <v>10022</v>
      </c>
      <c r="N48" s="263" t="s">
        <v>7940</v>
      </c>
      <c r="O48" s="263" t="s">
        <v>7997</v>
      </c>
      <c r="P48" s="232">
        <v>1</v>
      </c>
      <c r="Q48" s="256"/>
      <c r="R48" s="256"/>
      <c r="S48" s="256"/>
      <c r="T48" s="256"/>
      <c r="U48" s="256"/>
      <c r="V48" s="256"/>
      <c r="W48" s="256"/>
      <c r="X48" s="256"/>
      <c r="Y48" s="257"/>
      <c r="Z48" s="257"/>
    </row>
    <row r="49" spans="1:26" ht="15.75" customHeight="1" x14ac:dyDescent="0.35">
      <c r="A49" s="258">
        <v>41</v>
      </c>
      <c r="B49" s="263" t="s">
        <v>7935</v>
      </c>
      <c r="C49" s="263" t="s">
        <v>7936</v>
      </c>
      <c r="D49" s="263" t="s">
        <v>51</v>
      </c>
      <c r="E49" s="263">
        <v>3750</v>
      </c>
      <c r="F49" s="263">
        <v>2003</v>
      </c>
      <c r="G49" s="263" t="s">
        <v>7983</v>
      </c>
      <c r="H49" s="263" t="s">
        <v>7938</v>
      </c>
      <c r="I49" s="265"/>
      <c r="J49" s="263"/>
      <c r="K49" s="263" t="s">
        <v>7939</v>
      </c>
      <c r="L49" s="263" t="s">
        <v>57</v>
      </c>
      <c r="M49" s="266">
        <v>14250</v>
      </c>
      <c r="N49" s="263" t="s">
        <v>7940</v>
      </c>
      <c r="O49" s="263" t="s">
        <v>8001</v>
      </c>
      <c r="P49" s="232">
        <v>1</v>
      </c>
      <c r="Q49" s="256"/>
      <c r="R49" s="256"/>
      <c r="S49" s="256"/>
      <c r="T49" s="256"/>
      <c r="U49" s="256"/>
      <c r="V49" s="256"/>
      <c r="W49" s="256"/>
      <c r="X49" s="256"/>
      <c r="Y49" s="257"/>
      <c r="Z49" s="257"/>
    </row>
    <row r="50" spans="1:26" ht="15.75" customHeight="1" x14ac:dyDescent="0.35">
      <c r="A50" s="264">
        <v>42</v>
      </c>
      <c r="B50" s="263" t="s">
        <v>7935</v>
      </c>
      <c r="C50" s="263" t="s">
        <v>7936</v>
      </c>
      <c r="D50" s="263" t="s">
        <v>59</v>
      </c>
      <c r="E50" s="263">
        <v>10000</v>
      </c>
      <c r="F50" s="263">
        <v>2014</v>
      </c>
      <c r="G50" s="263" t="s">
        <v>7983</v>
      </c>
      <c r="H50" s="263" t="s">
        <v>7938</v>
      </c>
      <c r="I50" s="265"/>
      <c r="J50" s="263"/>
      <c r="K50" s="263" t="s">
        <v>7942</v>
      </c>
      <c r="L50" s="263" t="s">
        <v>422</v>
      </c>
      <c r="M50" s="266">
        <v>10000</v>
      </c>
      <c r="N50" s="263" t="s">
        <v>3059</v>
      </c>
      <c r="O50" s="263" t="s">
        <v>8001</v>
      </c>
      <c r="P50" s="232">
        <v>1</v>
      </c>
      <c r="Q50" s="256"/>
      <c r="R50" s="256"/>
      <c r="S50" s="256"/>
      <c r="T50" s="256"/>
      <c r="U50" s="256"/>
      <c r="V50" s="256"/>
      <c r="W50" s="256"/>
      <c r="X50" s="256"/>
      <c r="Y50" s="257"/>
      <c r="Z50" s="257"/>
    </row>
    <row r="51" spans="1:26" ht="15.75" customHeight="1" x14ac:dyDescent="0.35">
      <c r="A51" s="258">
        <v>43</v>
      </c>
      <c r="B51" s="263" t="s">
        <v>8002</v>
      </c>
      <c r="C51" s="263" t="s">
        <v>8003</v>
      </c>
      <c r="D51" s="263" t="s">
        <v>51</v>
      </c>
      <c r="E51" s="263">
        <v>1825</v>
      </c>
      <c r="F51" s="263">
        <v>2014</v>
      </c>
      <c r="G51" s="263" t="s">
        <v>8004</v>
      </c>
      <c r="H51" s="263" t="s">
        <v>7938</v>
      </c>
      <c r="I51" s="265"/>
      <c r="J51" s="263"/>
      <c r="K51" s="263" t="s">
        <v>8005</v>
      </c>
      <c r="L51" s="263" t="s">
        <v>422</v>
      </c>
      <c r="M51" s="266">
        <v>9000</v>
      </c>
      <c r="N51" s="263" t="s">
        <v>3059</v>
      </c>
      <c r="O51" s="263" t="s">
        <v>8006</v>
      </c>
      <c r="P51" s="232">
        <v>1</v>
      </c>
      <c r="Q51" s="256"/>
      <c r="R51" s="256"/>
      <c r="S51" s="256"/>
      <c r="T51" s="256"/>
      <c r="U51" s="256"/>
      <c r="V51" s="256"/>
      <c r="W51" s="256"/>
      <c r="X51" s="256"/>
      <c r="Y51" s="257"/>
      <c r="Z51" s="257"/>
    </row>
    <row r="52" spans="1:26" ht="15.75" customHeight="1" x14ac:dyDescent="0.35">
      <c r="A52" s="258">
        <v>44</v>
      </c>
      <c r="B52" s="263" t="s">
        <v>7935</v>
      </c>
      <c r="C52" s="263" t="s">
        <v>7936</v>
      </c>
      <c r="D52" s="263" t="s">
        <v>51</v>
      </c>
      <c r="E52" s="263">
        <v>1250</v>
      </c>
      <c r="F52" s="263">
        <v>2003</v>
      </c>
      <c r="G52" s="263" t="s">
        <v>6629</v>
      </c>
      <c r="H52" s="263" t="s">
        <v>7938</v>
      </c>
      <c r="I52" s="265"/>
      <c r="J52" s="263"/>
      <c r="K52" s="263" t="s">
        <v>8007</v>
      </c>
      <c r="L52" s="263" t="s">
        <v>57</v>
      </c>
      <c r="M52" s="266">
        <v>25000</v>
      </c>
      <c r="N52" s="263" t="s">
        <v>7940</v>
      </c>
      <c r="O52" s="263" t="s">
        <v>8006</v>
      </c>
      <c r="P52" s="232">
        <v>1</v>
      </c>
      <c r="Q52" s="256"/>
      <c r="R52" s="256"/>
      <c r="S52" s="256"/>
      <c r="T52" s="256"/>
      <c r="U52" s="256"/>
      <c r="V52" s="256"/>
      <c r="W52" s="256"/>
      <c r="X52" s="256"/>
      <c r="Y52" s="257"/>
      <c r="Z52" s="257"/>
    </row>
    <row r="53" spans="1:26" ht="15.75" customHeight="1" x14ac:dyDescent="0.35">
      <c r="A53" s="264">
        <v>45</v>
      </c>
      <c r="B53" s="263" t="s">
        <v>7964</v>
      </c>
      <c r="C53" s="263" t="s">
        <v>7965</v>
      </c>
      <c r="D53" s="263" t="s">
        <v>51</v>
      </c>
      <c r="E53" s="263">
        <v>106</v>
      </c>
      <c r="F53" s="263">
        <v>2025</v>
      </c>
      <c r="G53" s="263" t="s">
        <v>8008</v>
      </c>
      <c r="H53" s="263" t="s">
        <v>7938</v>
      </c>
      <c r="I53" s="265">
        <v>45827</v>
      </c>
      <c r="J53" s="263" t="s">
        <v>8009</v>
      </c>
      <c r="K53" s="263" t="s">
        <v>8010</v>
      </c>
      <c r="L53" s="263" t="s">
        <v>422</v>
      </c>
      <c r="M53" s="266">
        <v>127.2</v>
      </c>
      <c r="N53" s="263" t="s">
        <v>8010</v>
      </c>
      <c r="O53" s="263" t="s">
        <v>8011</v>
      </c>
      <c r="P53" s="232">
        <v>1</v>
      </c>
      <c r="Q53" s="256"/>
      <c r="R53" s="256"/>
      <c r="S53" s="256"/>
      <c r="T53" s="256"/>
      <c r="U53" s="256"/>
      <c r="V53" s="256"/>
      <c r="W53" s="256"/>
      <c r="X53" s="256"/>
      <c r="Y53" s="257"/>
      <c r="Z53" s="257"/>
    </row>
    <row r="54" spans="1:26" ht="15.75" customHeight="1" x14ac:dyDescent="0.35">
      <c r="A54" s="258">
        <v>46</v>
      </c>
      <c r="B54" s="263" t="s">
        <v>7935</v>
      </c>
      <c r="C54" s="263" t="s">
        <v>7936</v>
      </c>
      <c r="D54" s="263" t="s">
        <v>51</v>
      </c>
      <c r="E54" s="263">
        <v>2307</v>
      </c>
      <c r="F54" s="263">
        <v>2014</v>
      </c>
      <c r="G54" s="263" t="s">
        <v>8012</v>
      </c>
      <c r="H54" s="263" t="s">
        <v>7938</v>
      </c>
      <c r="I54" s="265">
        <v>45608</v>
      </c>
      <c r="J54" s="263" t="s">
        <v>8013</v>
      </c>
      <c r="K54" s="263" t="s">
        <v>7942</v>
      </c>
      <c r="L54" s="263" t="s">
        <v>422</v>
      </c>
      <c r="M54" s="266">
        <v>15000</v>
      </c>
      <c r="N54" s="263" t="s">
        <v>3059</v>
      </c>
      <c r="O54" s="263" t="s">
        <v>8011</v>
      </c>
      <c r="P54" s="232">
        <v>1</v>
      </c>
      <c r="Q54" s="256"/>
      <c r="R54" s="256"/>
      <c r="S54" s="256"/>
      <c r="T54" s="256"/>
      <c r="U54" s="256"/>
      <c r="V54" s="256"/>
      <c r="W54" s="256"/>
      <c r="X54" s="256"/>
      <c r="Y54" s="257"/>
      <c r="Z54" s="257"/>
    </row>
    <row r="55" spans="1:26" ht="15.75" customHeight="1" x14ac:dyDescent="0.35">
      <c r="A55" s="258">
        <v>47</v>
      </c>
      <c r="B55" s="263" t="s">
        <v>7935</v>
      </c>
      <c r="C55" s="263" t="s">
        <v>7936</v>
      </c>
      <c r="D55" s="263" t="s">
        <v>59</v>
      </c>
      <c r="E55" s="263">
        <v>2307</v>
      </c>
      <c r="F55" s="263">
        <v>2024</v>
      </c>
      <c r="G55" s="263" t="s">
        <v>8014</v>
      </c>
      <c r="H55" s="263" t="s">
        <v>7938</v>
      </c>
      <c r="I55" s="265">
        <v>45608</v>
      </c>
      <c r="J55" s="263" t="s">
        <v>8013</v>
      </c>
      <c r="K55" s="263" t="s">
        <v>8015</v>
      </c>
      <c r="L55" s="263" t="s">
        <v>422</v>
      </c>
      <c r="M55" s="266">
        <v>2768.4</v>
      </c>
      <c r="N55" s="263" t="s">
        <v>7969</v>
      </c>
      <c r="O55" s="263" t="s">
        <v>8011</v>
      </c>
      <c r="P55" s="232">
        <v>1</v>
      </c>
      <c r="Q55" s="256"/>
      <c r="R55" s="256"/>
      <c r="S55" s="256"/>
      <c r="T55" s="256"/>
      <c r="U55" s="256"/>
      <c r="V55" s="256"/>
      <c r="W55" s="256"/>
      <c r="X55" s="256"/>
      <c r="Y55" s="257"/>
      <c r="Z55" s="257"/>
    </row>
    <row r="56" spans="1:26" ht="15.75" customHeight="1" x14ac:dyDescent="0.35">
      <c r="A56" s="264">
        <v>48</v>
      </c>
      <c r="B56" s="263" t="s">
        <v>7935</v>
      </c>
      <c r="C56" s="263" t="s">
        <v>7936</v>
      </c>
      <c r="D56" s="263" t="s">
        <v>51</v>
      </c>
      <c r="E56" s="263">
        <v>2000</v>
      </c>
      <c r="F56" s="263">
        <v>2014</v>
      </c>
      <c r="G56" s="263" t="s">
        <v>8016</v>
      </c>
      <c r="H56" s="263" t="s">
        <v>7938</v>
      </c>
      <c r="I56" s="265"/>
      <c r="J56" s="263"/>
      <c r="K56" s="263" t="s">
        <v>7942</v>
      </c>
      <c r="L56" s="263" t="s">
        <v>422</v>
      </c>
      <c r="M56" s="266">
        <v>5500</v>
      </c>
      <c r="N56" s="263" t="s">
        <v>3059</v>
      </c>
      <c r="O56" s="263" t="s">
        <v>8017</v>
      </c>
      <c r="P56" s="232">
        <v>1</v>
      </c>
      <c r="Q56" s="256"/>
      <c r="R56" s="256"/>
      <c r="S56" s="256"/>
      <c r="T56" s="256"/>
      <c r="U56" s="256"/>
      <c r="V56" s="256"/>
      <c r="W56" s="256"/>
      <c r="X56" s="256"/>
      <c r="Y56" s="257"/>
      <c r="Z56" s="257"/>
    </row>
    <row r="57" spans="1:26" ht="15.75" customHeight="1" x14ac:dyDescent="0.35">
      <c r="A57" s="258">
        <v>49</v>
      </c>
      <c r="B57" s="263" t="s">
        <v>7935</v>
      </c>
      <c r="C57" s="263" t="s">
        <v>7936</v>
      </c>
      <c r="D57" s="263" t="s">
        <v>51</v>
      </c>
      <c r="E57" s="263">
        <v>26325</v>
      </c>
      <c r="F57" s="263">
        <v>2014</v>
      </c>
      <c r="G57" s="263" t="s">
        <v>8018</v>
      </c>
      <c r="H57" s="263" t="s">
        <v>7938</v>
      </c>
      <c r="I57" s="265"/>
      <c r="J57" s="263"/>
      <c r="K57" s="263" t="s">
        <v>7942</v>
      </c>
      <c r="L57" s="263" t="s">
        <v>422</v>
      </c>
      <c r="M57" s="266">
        <v>23000</v>
      </c>
      <c r="N57" s="263" t="s">
        <v>3059</v>
      </c>
      <c r="O57" s="263" t="s">
        <v>8019</v>
      </c>
      <c r="P57" s="232">
        <v>1</v>
      </c>
      <c r="Q57" s="256"/>
      <c r="R57" s="256"/>
      <c r="S57" s="256"/>
      <c r="T57" s="256"/>
      <c r="U57" s="256"/>
      <c r="V57" s="256"/>
      <c r="W57" s="256"/>
      <c r="X57" s="256"/>
      <c r="Y57" s="257"/>
      <c r="Z57" s="257"/>
    </row>
    <row r="58" spans="1:26" ht="15.75" customHeight="1" x14ac:dyDescent="0.35">
      <c r="A58" s="258">
        <v>50</v>
      </c>
      <c r="B58" s="263" t="s">
        <v>7964</v>
      </c>
      <c r="C58" s="263" t="s">
        <v>7965</v>
      </c>
      <c r="D58" s="263" t="s">
        <v>51</v>
      </c>
      <c r="E58" s="263">
        <v>248</v>
      </c>
      <c r="F58" s="263">
        <v>2025</v>
      </c>
      <c r="G58" s="263" t="s">
        <v>63</v>
      </c>
      <c r="H58" s="263"/>
      <c r="I58" s="265"/>
      <c r="J58" s="263"/>
      <c r="K58" s="263"/>
      <c r="L58" s="263" t="s">
        <v>44</v>
      </c>
      <c r="M58" s="266">
        <v>3472</v>
      </c>
      <c r="N58" s="263" t="s">
        <v>8020</v>
      </c>
      <c r="O58" s="263" t="s">
        <v>8021</v>
      </c>
      <c r="P58" s="232">
        <v>1</v>
      </c>
      <c r="Q58" s="256"/>
      <c r="R58" s="256"/>
      <c r="S58" s="256"/>
      <c r="T58" s="256"/>
      <c r="U58" s="256"/>
      <c r="V58" s="256"/>
      <c r="W58" s="256"/>
      <c r="X58" s="256"/>
      <c r="Y58" s="257"/>
      <c r="Z58" s="257"/>
    </row>
    <row r="59" spans="1:26" ht="15.75" customHeight="1" x14ac:dyDescent="0.35">
      <c r="A59" s="264">
        <v>51</v>
      </c>
      <c r="B59" s="263" t="s">
        <v>7935</v>
      </c>
      <c r="C59" s="263" t="s">
        <v>7936</v>
      </c>
      <c r="D59" s="263" t="s">
        <v>51</v>
      </c>
      <c r="E59" s="263">
        <v>2493</v>
      </c>
      <c r="F59" s="263">
        <v>2014</v>
      </c>
      <c r="G59" s="263" t="s">
        <v>8012</v>
      </c>
      <c r="H59" s="263" t="s">
        <v>7938</v>
      </c>
      <c r="I59" s="265"/>
      <c r="J59" s="263"/>
      <c r="K59" s="263" t="s">
        <v>7942</v>
      </c>
      <c r="L59" s="263" t="s">
        <v>422</v>
      </c>
      <c r="M59" s="266">
        <v>15000</v>
      </c>
      <c r="N59" s="263" t="s">
        <v>3059</v>
      </c>
      <c r="O59" s="263" t="s">
        <v>8021</v>
      </c>
      <c r="P59" s="232">
        <v>1</v>
      </c>
      <c r="Q59" s="256"/>
      <c r="R59" s="256"/>
      <c r="S59" s="256"/>
      <c r="T59" s="256"/>
      <c r="U59" s="256"/>
      <c r="V59" s="256"/>
      <c r="W59" s="256"/>
      <c r="X59" s="256"/>
      <c r="Y59" s="257"/>
      <c r="Z59" s="257"/>
    </row>
    <row r="60" spans="1:26" ht="15.75" customHeight="1" x14ac:dyDescent="0.35">
      <c r="A60" s="258">
        <v>52</v>
      </c>
      <c r="B60" s="263" t="s">
        <v>7935</v>
      </c>
      <c r="C60" s="263" t="s">
        <v>7936</v>
      </c>
      <c r="D60" s="263" t="s">
        <v>51</v>
      </c>
      <c r="E60" s="263">
        <v>1825</v>
      </c>
      <c r="F60" s="263">
        <v>2014</v>
      </c>
      <c r="G60" s="263" t="s">
        <v>8022</v>
      </c>
      <c r="H60" s="263" t="s">
        <v>7938</v>
      </c>
      <c r="I60" s="265"/>
      <c r="J60" s="263"/>
      <c r="K60" s="263" t="s">
        <v>7942</v>
      </c>
      <c r="L60" s="263" t="s">
        <v>422</v>
      </c>
      <c r="M60" s="266">
        <v>9000</v>
      </c>
      <c r="N60" s="263" t="s">
        <v>3059</v>
      </c>
      <c r="O60" s="263" t="s">
        <v>8023</v>
      </c>
      <c r="P60" s="232">
        <v>1</v>
      </c>
      <c r="Q60" s="256"/>
      <c r="R60" s="256"/>
      <c r="S60" s="256"/>
      <c r="T60" s="256"/>
      <c r="U60" s="256"/>
      <c r="V60" s="256"/>
      <c r="W60" s="256"/>
      <c r="X60" s="256"/>
      <c r="Y60" s="257"/>
      <c r="Z60" s="257"/>
    </row>
    <row r="61" spans="1:26" ht="15.75" customHeight="1" x14ac:dyDescent="0.35">
      <c r="A61" s="258">
        <v>53</v>
      </c>
      <c r="B61" s="263" t="s">
        <v>7935</v>
      </c>
      <c r="C61" s="263" t="s">
        <v>7936</v>
      </c>
      <c r="D61" s="263" t="s">
        <v>59</v>
      </c>
      <c r="E61" s="263">
        <v>2616</v>
      </c>
      <c r="F61" s="263">
        <v>2003</v>
      </c>
      <c r="G61" s="263" t="s">
        <v>8022</v>
      </c>
      <c r="H61" s="263" t="s">
        <v>7938</v>
      </c>
      <c r="I61" s="265">
        <v>45603</v>
      </c>
      <c r="J61" s="263" t="s">
        <v>8024</v>
      </c>
      <c r="K61" s="263" t="s">
        <v>7939</v>
      </c>
      <c r="L61" s="263" t="s">
        <v>57</v>
      </c>
      <c r="M61" s="266">
        <v>9000</v>
      </c>
      <c r="N61" s="263" t="s">
        <v>7940</v>
      </c>
      <c r="O61" s="263" t="s">
        <v>8023</v>
      </c>
      <c r="P61" s="232">
        <v>1</v>
      </c>
      <c r="Q61" s="256"/>
      <c r="R61" s="256"/>
      <c r="S61" s="256"/>
      <c r="T61" s="256"/>
      <c r="U61" s="256"/>
      <c r="V61" s="256"/>
      <c r="W61" s="256"/>
      <c r="X61" s="256"/>
      <c r="Y61" s="257"/>
      <c r="Z61" s="257"/>
    </row>
    <row r="62" spans="1:26" ht="15.75" customHeight="1" x14ac:dyDescent="0.35">
      <c r="A62" s="264">
        <v>54</v>
      </c>
      <c r="B62" s="263" t="s">
        <v>7935</v>
      </c>
      <c r="C62" s="263" t="s">
        <v>7936</v>
      </c>
      <c r="D62" s="263" t="s">
        <v>97</v>
      </c>
      <c r="E62" s="263">
        <v>1825</v>
      </c>
      <c r="F62" s="263">
        <v>2014</v>
      </c>
      <c r="G62" s="263" t="s">
        <v>8025</v>
      </c>
      <c r="H62" s="263" t="s">
        <v>7938</v>
      </c>
      <c r="I62" s="265"/>
      <c r="J62" s="263"/>
      <c r="K62" s="263" t="s">
        <v>7942</v>
      </c>
      <c r="L62" s="263" t="s">
        <v>422</v>
      </c>
      <c r="M62" s="266">
        <v>9000</v>
      </c>
      <c r="N62" s="263" t="s">
        <v>3059</v>
      </c>
      <c r="O62" s="263" t="s">
        <v>8023</v>
      </c>
      <c r="P62" s="232">
        <v>1</v>
      </c>
      <c r="Q62" s="256"/>
      <c r="R62" s="256"/>
      <c r="S62" s="256"/>
      <c r="T62" s="256"/>
      <c r="U62" s="256"/>
      <c r="V62" s="256"/>
      <c r="W62" s="256"/>
      <c r="X62" s="256"/>
      <c r="Y62" s="257"/>
      <c r="Z62" s="257"/>
    </row>
    <row r="63" spans="1:26" ht="15.75" customHeight="1" x14ac:dyDescent="0.35">
      <c r="A63" s="258">
        <v>55</v>
      </c>
      <c r="B63" s="263" t="s">
        <v>7935</v>
      </c>
      <c r="C63" s="263" t="s">
        <v>7936</v>
      </c>
      <c r="D63" s="263" t="s">
        <v>101</v>
      </c>
      <c r="E63" s="263">
        <v>600</v>
      </c>
      <c r="F63" s="263">
        <v>2014</v>
      </c>
      <c r="G63" s="263" t="s">
        <v>8022</v>
      </c>
      <c r="H63" s="263" t="s">
        <v>7938</v>
      </c>
      <c r="I63" s="265"/>
      <c r="J63" s="263"/>
      <c r="K63" s="263" t="s">
        <v>7942</v>
      </c>
      <c r="L63" s="263" t="s">
        <v>422</v>
      </c>
      <c r="M63" s="266">
        <v>15000</v>
      </c>
      <c r="N63" s="263" t="s">
        <v>3059</v>
      </c>
      <c r="O63" s="263" t="s">
        <v>8023</v>
      </c>
      <c r="P63" s="232">
        <v>1</v>
      </c>
      <c r="Q63" s="256"/>
      <c r="R63" s="256"/>
      <c r="S63" s="256"/>
      <c r="T63" s="256"/>
      <c r="U63" s="256"/>
      <c r="V63" s="256"/>
      <c r="W63" s="256"/>
      <c r="X63" s="256"/>
      <c r="Y63" s="257"/>
      <c r="Z63" s="257"/>
    </row>
    <row r="64" spans="1:26" ht="15.75" customHeight="1" x14ac:dyDescent="0.35">
      <c r="A64" s="258">
        <v>56</v>
      </c>
      <c r="B64" s="263" t="s">
        <v>7935</v>
      </c>
      <c r="C64" s="263" t="s">
        <v>7936</v>
      </c>
      <c r="D64" s="263" t="s">
        <v>51</v>
      </c>
      <c r="E64" s="263">
        <v>2414</v>
      </c>
      <c r="F64" s="263">
        <v>2014</v>
      </c>
      <c r="G64" s="263" t="s">
        <v>8026</v>
      </c>
      <c r="H64" s="263" t="s">
        <v>7938</v>
      </c>
      <c r="I64" s="265"/>
      <c r="J64" s="263"/>
      <c r="K64" s="263" t="s">
        <v>7942</v>
      </c>
      <c r="L64" s="263" t="s">
        <v>422</v>
      </c>
      <c r="M64" s="266">
        <v>25210</v>
      </c>
      <c r="N64" s="263" t="s">
        <v>3059</v>
      </c>
      <c r="O64" s="263" t="s">
        <v>8027</v>
      </c>
      <c r="P64" s="232">
        <v>1</v>
      </c>
      <c r="Q64" s="256"/>
      <c r="R64" s="256"/>
      <c r="S64" s="256"/>
      <c r="T64" s="256"/>
      <c r="U64" s="256"/>
      <c r="V64" s="256"/>
      <c r="W64" s="256"/>
      <c r="X64" s="256"/>
      <c r="Y64" s="257"/>
      <c r="Z64" s="257"/>
    </row>
    <row r="65" spans="1:26" ht="15.75" customHeight="1" x14ac:dyDescent="0.35">
      <c r="A65" s="264">
        <v>57</v>
      </c>
      <c r="B65" s="263" t="s">
        <v>7935</v>
      </c>
      <c r="C65" s="263" t="s">
        <v>7936</v>
      </c>
      <c r="D65" s="263" t="s">
        <v>51</v>
      </c>
      <c r="E65" s="263">
        <v>27540</v>
      </c>
      <c r="F65" s="263">
        <v>2014</v>
      </c>
      <c r="G65" s="263" t="s">
        <v>8028</v>
      </c>
      <c r="H65" s="263" t="s">
        <v>7938</v>
      </c>
      <c r="I65" s="265"/>
      <c r="J65" s="263"/>
      <c r="K65" s="263" t="s">
        <v>7942</v>
      </c>
      <c r="L65" s="263" t="s">
        <v>422</v>
      </c>
      <c r="M65" s="266">
        <v>15000</v>
      </c>
      <c r="N65" s="263" t="s">
        <v>3059</v>
      </c>
      <c r="O65" s="263" t="s">
        <v>8029</v>
      </c>
      <c r="P65" s="232">
        <v>1</v>
      </c>
      <c r="Q65" s="256"/>
      <c r="R65" s="256"/>
      <c r="S65" s="256"/>
      <c r="T65" s="256"/>
      <c r="U65" s="256"/>
      <c r="V65" s="256"/>
      <c r="W65" s="256"/>
      <c r="X65" s="256"/>
      <c r="Y65" s="257"/>
      <c r="Z65" s="257"/>
    </row>
    <row r="66" spans="1:26" ht="15.75" customHeight="1" x14ac:dyDescent="0.35">
      <c r="A66" s="258">
        <v>58</v>
      </c>
      <c r="B66" s="263" t="s">
        <v>7935</v>
      </c>
      <c r="C66" s="263" t="s">
        <v>7936</v>
      </c>
      <c r="D66" s="263" t="s">
        <v>59</v>
      </c>
      <c r="E66" s="263">
        <v>2400</v>
      </c>
      <c r="F66" s="263">
        <v>2003</v>
      </c>
      <c r="G66" s="263" t="s">
        <v>8028</v>
      </c>
      <c r="H66" s="263" t="s">
        <v>7938</v>
      </c>
      <c r="I66" s="265"/>
      <c r="J66" s="263"/>
      <c r="K66" s="263" t="s">
        <v>7939</v>
      </c>
      <c r="L66" s="263" t="s">
        <v>57</v>
      </c>
      <c r="M66" s="266">
        <v>9000</v>
      </c>
      <c r="N66" s="263" t="s">
        <v>7940</v>
      </c>
      <c r="O66" s="263" t="s">
        <v>8029</v>
      </c>
      <c r="P66" s="232">
        <v>1</v>
      </c>
      <c r="Q66" s="256"/>
      <c r="R66" s="256"/>
      <c r="S66" s="256"/>
      <c r="T66" s="256"/>
      <c r="U66" s="256"/>
      <c r="V66" s="256"/>
      <c r="W66" s="256"/>
      <c r="X66" s="256"/>
      <c r="Y66" s="257"/>
      <c r="Z66" s="257"/>
    </row>
    <row r="67" spans="1:26" ht="15.75" customHeight="1" x14ac:dyDescent="0.35">
      <c r="A67" s="258">
        <v>59</v>
      </c>
      <c r="B67" s="263" t="s">
        <v>7935</v>
      </c>
      <c r="C67" s="263" t="s">
        <v>7936</v>
      </c>
      <c r="D67" s="263" t="s">
        <v>51</v>
      </c>
      <c r="E67" s="263">
        <v>1736</v>
      </c>
      <c r="F67" s="263">
        <v>2014</v>
      </c>
      <c r="G67" s="263" t="s">
        <v>8012</v>
      </c>
      <c r="H67" s="263" t="s">
        <v>7938</v>
      </c>
      <c r="I67" s="265">
        <v>45608</v>
      </c>
      <c r="J67" s="263" t="s">
        <v>8030</v>
      </c>
      <c r="K67" s="263" t="s">
        <v>7942</v>
      </c>
      <c r="L67" s="263" t="s">
        <v>422</v>
      </c>
      <c r="M67" s="266">
        <v>23000</v>
      </c>
      <c r="N67" s="263" t="s">
        <v>3059</v>
      </c>
      <c r="O67" s="263" t="s">
        <v>8031</v>
      </c>
      <c r="P67" s="232">
        <v>1</v>
      </c>
      <c r="Q67" s="256"/>
      <c r="R67" s="256"/>
      <c r="S67" s="256"/>
      <c r="T67" s="256"/>
      <c r="U67" s="256"/>
      <c r="V67" s="256"/>
      <c r="W67" s="256"/>
      <c r="X67" s="256"/>
      <c r="Y67" s="257"/>
      <c r="Z67" s="257"/>
    </row>
    <row r="68" spans="1:26" ht="15.75" customHeight="1" x14ac:dyDescent="0.35">
      <c r="A68" s="264">
        <v>60</v>
      </c>
      <c r="B68" s="263" t="s">
        <v>7935</v>
      </c>
      <c r="C68" s="263" t="s">
        <v>7936</v>
      </c>
      <c r="D68" s="263" t="s">
        <v>59</v>
      </c>
      <c r="E68" s="263">
        <v>1736</v>
      </c>
      <c r="F68" s="263">
        <v>2024</v>
      </c>
      <c r="G68" s="263" t="s">
        <v>8014</v>
      </c>
      <c r="H68" s="263" t="s">
        <v>7938</v>
      </c>
      <c r="I68" s="265">
        <v>45608</v>
      </c>
      <c r="J68" s="263" t="s">
        <v>8030</v>
      </c>
      <c r="K68" s="263" t="s">
        <v>8032</v>
      </c>
      <c r="L68" s="263" t="s">
        <v>422</v>
      </c>
      <c r="M68" s="266">
        <v>2083.1999999999998</v>
      </c>
      <c r="N68" s="263" t="s">
        <v>7969</v>
      </c>
      <c r="O68" s="263" t="s">
        <v>8031</v>
      </c>
      <c r="P68" s="232">
        <v>1</v>
      </c>
      <c r="Q68" s="256"/>
      <c r="R68" s="256"/>
      <c r="S68" s="256"/>
      <c r="T68" s="256"/>
      <c r="U68" s="256"/>
      <c r="V68" s="256"/>
      <c r="W68" s="256"/>
      <c r="X68" s="256"/>
      <c r="Y68" s="257"/>
      <c r="Z68" s="257"/>
    </row>
    <row r="69" spans="1:26" ht="15.75" customHeight="1" x14ac:dyDescent="0.35">
      <c r="A69" s="258">
        <v>61</v>
      </c>
      <c r="B69" s="263" t="s">
        <v>7935</v>
      </c>
      <c r="C69" s="263" t="s">
        <v>7936</v>
      </c>
      <c r="D69" s="263" t="s">
        <v>51</v>
      </c>
      <c r="E69" s="263">
        <v>1825</v>
      </c>
      <c r="F69" s="263">
        <v>2014</v>
      </c>
      <c r="G69" s="263" t="s">
        <v>8016</v>
      </c>
      <c r="H69" s="263" t="s">
        <v>7938</v>
      </c>
      <c r="I69" s="265"/>
      <c r="J69" s="263"/>
      <c r="K69" s="263" t="s">
        <v>7942</v>
      </c>
      <c r="L69" s="263" t="s">
        <v>422</v>
      </c>
      <c r="M69" s="266">
        <v>6000</v>
      </c>
      <c r="N69" s="263" t="s">
        <v>3059</v>
      </c>
      <c r="O69" s="263" t="s">
        <v>8033</v>
      </c>
      <c r="P69" s="232">
        <v>1</v>
      </c>
      <c r="Q69" s="256"/>
      <c r="R69" s="256"/>
      <c r="S69" s="256"/>
      <c r="T69" s="256"/>
      <c r="U69" s="256"/>
      <c r="V69" s="256"/>
      <c r="W69" s="256"/>
      <c r="X69" s="256"/>
      <c r="Y69" s="257"/>
      <c r="Z69" s="257"/>
    </row>
    <row r="70" spans="1:26" ht="15.75" customHeight="1" x14ac:dyDescent="0.35">
      <c r="A70" s="258">
        <v>62</v>
      </c>
      <c r="B70" s="263" t="s">
        <v>7935</v>
      </c>
      <c r="C70" s="263" t="s">
        <v>7936</v>
      </c>
      <c r="D70" s="263" t="s">
        <v>59</v>
      </c>
      <c r="E70" s="263">
        <v>6600</v>
      </c>
      <c r="F70" s="263">
        <v>2003</v>
      </c>
      <c r="G70" s="263" t="s">
        <v>8016</v>
      </c>
      <c r="H70" s="263" t="s">
        <v>7938</v>
      </c>
      <c r="I70" s="265"/>
      <c r="J70" s="263"/>
      <c r="K70" s="263" t="s">
        <v>7939</v>
      </c>
      <c r="L70" s="263" t="s">
        <v>57</v>
      </c>
      <c r="M70" s="266">
        <v>23925</v>
      </c>
      <c r="N70" s="263" t="s">
        <v>7940</v>
      </c>
      <c r="O70" s="263" t="s">
        <v>8033</v>
      </c>
      <c r="P70" s="232">
        <v>1</v>
      </c>
      <c r="Q70" s="256"/>
      <c r="R70" s="256"/>
      <c r="S70" s="256"/>
      <c r="T70" s="256"/>
      <c r="U70" s="256"/>
      <c r="V70" s="256"/>
      <c r="W70" s="256"/>
      <c r="X70" s="256"/>
      <c r="Y70" s="257"/>
      <c r="Z70" s="257"/>
    </row>
    <row r="71" spans="1:26" ht="15.75" customHeight="1" x14ac:dyDescent="0.35">
      <c r="A71" s="264">
        <v>63</v>
      </c>
      <c r="B71" s="263" t="s">
        <v>7935</v>
      </c>
      <c r="C71" s="263" t="s">
        <v>7936</v>
      </c>
      <c r="D71" s="263" t="s">
        <v>51</v>
      </c>
      <c r="E71" s="263">
        <v>26325</v>
      </c>
      <c r="F71" s="263">
        <v>2014</v>
      </c>
      <c r="G71" s="263" t="s">
        <v>8018</v>
      </c>
      <c r="H71" s="263" t="s">
        <v>7938</v>
      </c>
      <c r="I71" s="265"/>
      <c r="J71" s="263"/>
      <c r="K71" s="263" t="s">
        <v>7942</v>
      </c>
      <c r="L71" s="263" t="s">
        <v>422</v>
      </c>
      <c r="M71" s="266">
        <v>23000</v>
      </c>
      <c r="N71" s="263" t="s">
        <v>3059</v>
      </c>
      <c r="O71" s="263" t="s">
        <v>8034</v>
      </c>
      <c r="P71" s="232">
        <v>1</v>
      </c>
      <c r="Q71" s="256"/>
      <c r="R71" s="256"/>
      <c r="S71" s="256"/>
      <c r="T71" s="256"/>
      <c r="U71" s="256"/>
      <c r="V71" s="256"/>
      <c r="W71" s="256"/>
      <c r="X71" s="256"/>
      <c r="Y71" s="257"/>
      <c r="Z71" s="257"/>
    </row>
    <row r="72" spans="1:26" ht="15.75" customHeight="1" x14ac:dyDescent="0.35">
      <c r="A72" s="258">
        <v>64</v>
      </c>
      <c r="B72" s="263" t="s">
        <v>7935</v>
      </c>
      <c r="C72" s="263" t="s">
        <v>7936</v>
      </c>
      <c r="D72" s="263" t="s">
        <v>51</v>
      </c>
      <c r="E72" s="263">
        <v>3713</v>
      </c>
      <c r="F72" s="263">
        <v>2003</v>
      </c>
      <c r="G72" s="263" t="s">
        <v>8022</v>
      </c>
      <c r="H72" s="263" t="s">
        <v>7938</v>
      </c>
      <c r="I72" s="265">
        <v>45603</v>
      </c>
      <c r="J72" s="263" t="s">
        <v>8035</v>
      </c>
      <c r="K72" s="263" t="s">
        <v>7939</v>
      </c>
      <c r="L72" s="263" t="s">
        <v>57</v>
      </c>
      <c r="M72" s="266">
        <v>13300</v>
      </c>
      <c r="N72" s="263" t="s">
        <v>7940</v>
      </c>
      <c r="O72" s="263" t="s">
        <v>8036</v>
      </c>
      <c r="P72" s="232">
        <v>1</v>
      </c>
      <c r="Q72" s="256"/>
      <c r="R72" s="256"/>
      <c r="S72" s="256"/>
      <c r="T72" s="256"/>
      <c r="U72" s="256"/>
      <c r="V72" s="256"/>
      <c r="W72" s="256"/>
      <c r="X72" s="256"/>
      <c r="Y72" s="257"/>
      <c r="Z72" s="257"/>
    </row>
    <row r="73" spans="1:26" ht="15.75" customHeight="1" x14ac:dyDescent="0.35">
      <c r="A73" s="258">
        <v>65</v>
      </c>
      <c r="B73" s="263" t="s">
        <v>7935</v>
      </c>
      <c r="C73" s="263" t="s">
        <v>7936</v>
      </c>
      <c r="D73" s="263" t="s">
        <v>59</v>
      </c>
      <c r="E73" s="263">
        <v>500</v>
      </c>
      <c r="F73" s="263">
        <v>2014</v>
      </c>
      <c r="G73" s="263" t="s">
        <v>8022</v>
      </c>
      <c r="H73" s="263" t="s">
        <v>7938</v>
      </c>
      <c r="I73" s="265"/>
      <c r="J73" s="263"/>
      <c r="K73" s="263" t="s">
        <v>7942</v>
      </c>
      <c r="L73" s="263" t="s">
        <v>422</v>
      </c>
      <c r="M73" s="266">
        <v>10000</v>
      </c>
      <c r="N73" s="263" t="s">
        <v>3059</v>
      </c>
      <c r="O73" s="263" t="s">
        <v>8036</v>
      </c>
      <c r="P73" s="232">
        <v>1</v>
      </c>
      <c r="Q73" s="256"/>
      <c r="R73" s="256"/>
      <c r="S73" s="256"/>
      <c r="T73" s="256"/>
      <c r="U73" s="256"/>
      <c r="V73" s="256"/>
      <c r="W73" s="256"/>
      <c r="X73" s="256"/>
      <c r="Y73" s="257"/>
      <c r="Z73" s="257"/>
    </row>
    <row r="74" spans="1:26" ht="15.75" customHeight="1" x14ac:dyDescent="0.35">
      <c r="A74" s="264">
        <v>66</v>
      </c>
      <c r="B74" s="263" t="s">
        <v>7935</v>
      </c>
      <c r="C74" s="263" t="s">
        <v>7936</v>
      </c>
      <c r="D74" s="263" t="s">
        <v>51</v>
      </c>
      <c r="E74" s="263">
        <v>1510</v>
      </c>
      <c r="F74" s="263">
        <v>2014</v>
      </c>
      <c r="G74" s="263" t="s">
        <v>8026</v>
      </c>
      <c r="H74" s="263" t="s">
        <v>7938</v>
      </c>
      <c r="I74" s="265">
        <v>45603</v>
      </c>
      <c r="J74" s="263" t="s">
        <v>8037</v>
      </c>
      <c r="K74" s="263" t="s">
        <v>7942</v>
      </c>
      <c r="L74" s="263" t="s">
        <v>422</v>
      </c>
      <c r="M74" s="266">
        <v>8000</v>
      </c>
      <c r="N74" s="263" t="s">
        <v>3059</v>
      </c>
      <c r="O74" s="263" t="s">
        <v>8038</v>
      </c>
      <c r="P74" s="232">
        <v>1</v>
      </c>
      <c r="Q74" s="256"/>
      <c r="R74" s="256"/>
      <c r="S74" s="256"/>
      <c r="T74" s="256"/>
      <c r="U74" s="256"/>
      <c r="V74" s="256"/>
      <c r="W74" s="256"/>
      <c r="X74" s="256"/>
      <c r="Y74" s="257"/>
      <c r="Z74" s="257"/>
    </row>
    <row r="75" spans="1:26" ht="15.75" customHeight="1" x14ac:dyDescent="0.35">
      <c r="A75" s="258">
        <v>67</v>
      </c>
      <c r="B75" s="263" t="s">
        <v>7935</v>
      </c>
      <c r="C75" s="263" t="s">
        <v>7936</v>
      </c>
      <c r="D75" s="263" t="s">
        <v>59</v>
      </c>
      <c r="E75" s="263">
        <v>2317</v>
      </c>
      <c r="F75" s="263">
        <v>2002</v>
      </c>
      <c r="G75" s="263" t="s">
        <v>8026</v>
      </c>
      <c r="H75" s="263" t="s">
        <v>7938</v>
      </c>
      <c r="I75" s="265">
        <v>45603</v>
      </c>
      <c r="J75" s="263" t="s">
        <v>8039</v>
      </c>
      <c r="K75" s="263" t="s">
        <v>7939</v>
      </c>
      <c r="L75" s="263" t="s">
        <v>57</v>
      </c>
      <c r="M75" s="266">
        <v>8783</v>
      </c>
      <c r="N75" s="263" t="s">
        <v>7940</v>
      </c>
      <c r="O75" s="263" t="s">
        <v>8038</v>
      </c>
      <c r="P75" s="232">
        <v>1</v>
      </c>
      <c r="Q75" s="256"/>
      <c r="R75" s="256"/>
      <c r="S75" s="256"/>
      <c r="T75" s="256"/>
      <c r="U75" s="256"/>
      <c r="V75" s="256"/>
      <c r="W75" s="256"/>
      <c r="X75" s="256"/>
      <c r="Y75" s="257"/>
      <c r="Z75" s="257"/>
    </row>
    <row r="76" spans="1:26" ht="15.75" customHeight="1" x14ac:dyDescent="0.35">
      <c r="A76" s="258">
        <v>68</v>
      </c>
      <c r="B76" s="263" t="s">
        <v>7964</v>
      </c>
      <c r="C76" s="263" t="s">
        <v>7965</v>
      </c>
      <c r="D76" s="263" t="s">
        <v>51</v>
      </c>
      <c r="E76" s="263">
        <v>249</v>
      </c>
      <c r="F76" s="263">
        <v>2025</v>
      </c>
      <c r="G76" s="263" t="s">
        <v>8040</v>
      </c>
      <c r="H76" s="263" t="s">
        <v>7938</v>
      </c>
      <c r="I76" s="265">
        <v>45827</v>
      </c>
      <c r="J76" s="263" t="s">
        <v>8009</v>
      </c>
      <c r="K76" s="263" t="s">
        <v>8041</v>
      </c>
      <c r="L76" s="263" t="s">
        <v>422</v>
      </c>
      <c r="M76" s="266">
        <v>298.8</v>
      </c>
      <c r="N76" s="263" t="s">
        <v>8042</v>
      </c>
      <c r="O76" s="263" t="s">
        <v>8043</v>
      </c>
      <c r="P76" s="232">
        <v>1</v>
      </c>
      <c r="Q76" s="256"/>
      <c r="R76" s="256"/>
      <c r="S76" s="256"/>
      <c r="T76" s="256"/>
      <c r="U76" s="256"/>
      <c r="V76" s="256"/>
      <c r="W76" s="256"/>
      <c r="X76" s="256"/>
      <c r="Y76" s="257"/>
      <c r="Z76" s="257"/>
    </row>
    <row r="77" spans="1:26" ht="15.75" customHeight="1" x14ac:dyDescent="0.35">
      <c r="A77" s="264">
        <v>69</v>
      </c>
      <c r="B77" s="263" t="s">
        <v>7964</v>
      </c>
      <c r="C77" s="263" t="s">
        <v>7965</v>
      </c>
      <c r="D77" s="263" t="s">
        <v>59</v>
      </c>
      <c r="E77" s="263">
        <v>98</v>
      </c>
      <c r="F77" s="263">
        <v>2025</v>
      </c>
      <c r="G77" s="263" t="s">
        <v>8040</v>
      </c>
      <c r="H77" s="263" t="s">
        <v>7938</v>
      </c>
      <c r="I77" s="265">
        <v>45827</v>
      </c>
      <c r="J77" s="263" t="s">
        <v>8009</v>
      </c>
      <c r="K77" s="263" t="s">
        <v>8041</v>
      </c>
      <c r="L77" s="263" t="s">
        <v>422</v>
      </c>
      <c r="M77" s="266">
        <v>117.6</v>
      </c>
      <c r="N77" s="263" t="s">
        <v>8042</v>
      </c>
      <c r="O77" s="263" t="s">
        <v>8043</v>
      </c>
      <c r="P77" s="232">
        <v>1</v>
      </c>
      <c r="Q77" s="256"/>
      <c r="R77" s="256"/>
      <c r="S77" s="256"/>
      <c r="T77" s="256"/>
      <c r="U77" s="256"/>
      <c r="V77" s="256"/>
      <c r="W77" s="256"/>
      <c r="X77" s="256"/>
      <c r="Y77" s="257"/>
      <c r="Z77" s="257"/>
    </row>
    <row r="78" spans="1:26" ht="15.75" customHeight="1" x14ac:dyDescent="0.35">
      <c r="A78" s="258">
        <v>70</v>
      </c>
      <c r="B78" s="263" t="s">
        <v>7935</v>
      </c>
      <c r="C78" s="263" t="s">
        <v>7936</v>
      </c>
      <c r="D78" s="263" t="s">
        <v>51</v>
      </c>
      <c r="E78" s="263">
        <v>3450</v>
      </c>
      <c r="F78" s="263">
        <v>2014</v>
      </c>
      <c r="G78" s="263" t="s">
        <v>8044</v>
      </c>
      <c r="H78" s="263" t="s">
        <v>7938</v>
      </c>
      <c r="I78" s="265"/>
      <c r="J78" s="263" t="s">
        <v>7942</v>
      </c>
      <c r="K78" s="263"/>
      <c r="L78" s="263" t="s">
        <v>422</v>
      </c>
      <c r="M78" s="266">
        <v>75000</v>
      </c>
      <c r="N78" s="263" t="s">
        <v>3059</v>
      </c>
      <c r="O78" s="263" t="s">
        <v>8043</v>
      </c>
      <c r="P78" s="232">
        <v>1</v>
      </c>
      <c r="Q78" s="256"/>
      <c r="R78" s="256"/>
      <c r="S78" s="256"/>
      <c r="T78" s="256"/>
      <c r="U78" s="256"/>
      <c r="V78" s="256"/>
      <c r="W78" s="256"/>
      <c r="X78" s="256"/>
      <c r="Y78" s="257"/>
      <c r="Z78" s="257"/>
    </row>
    <row r="79" spans="1:26" ht="15.75" customHeight="1" x14ac:dyDescent="0.35">
      <c r="A79" s="258">
        <v>71</v>
      </c>
      <c r="B79" s="263" t="s">
        <v>7935</v>
      </c>
      <c r="C79" s="263" t="s">
        <v>7936</v>
      </c>
      <c r="D79" s="263" t="s">
        <v>51</v>
      </c>
      <c r="E79" s="263">
        <v>2000</v>
      </c>
      <c r="F79" s="263">
        <v>2014</v>
      </c>
      <c r="G79" s="263" t="s">
        <v>8026</v>
      </c>
      <c r="H79" s="263" t="s">
        <v>7938</v>
      </c>
      <c r="I79" s="265"/>
      <c r="J79" s="263"/>
      <c r="K79" s="263" t="s">
        <v>7942</v>
      </c>
      <c r="L79" s="263" t="s">
        <v>422</v>
      </c>
      <c r="M79" s="266">
        <v>6500</v>
      </c>
      <c r="N79" s="263" t="s">
        <v>3059</v>
      </c>
      <c r="O79" s="263" t="s">
        <v>8045</v>
      </c>
      <c r="P79" s="232">
        <v>1</v>
      </c>
      <c r="Q79" s="256"/>
      <c r="R79" s="256"/>
      <c r="S79" s="256"/>
      <c r="T79" s="256"/>
      <c r="U79" s="256"/>
      <c r="V79" s="256"/>
      <c r="W79" s="256"/>
      <c r="X79" s="256"/>
      <c r="Y79" s="257"/>
      <c r="Z79" s="257"/>
    </row>
    <row r="80" spans="1:26" ht="15.75" customHeight="1" x14ac:dyDescent="0.35">
      <c r="A80" s="264">
        <v>72</v>
      </c>
      <c r="B80" s="263" t="s">
        <v>7935</v>
      </c>
      <c r="C80" s="263" t="s">
        <v>7936</v>
      </c>
      <c r="D80" s="263" t="s">
        <v>51</v>
      </c>
      <c r="E80" s="263">
        <v>4141</v>
      </c>
      <c r="F80" s="263">
        <v>2024</v>
      </c>
      <c r="G80" s="263" t="s">
        <v>8046</v>
      </c>
      <c r="H80" s="263" t="s">
        <v>7938</v>
      </c>
      <c r="I80" s="265">
        <v>45603</v>
      </c>
      <c r="J80" s="263" t="s">
        <v>8047</v>
      </c>
      <c r="K80" s="263" t="s">
        <v>8048</v>
      </c>
      <c r="L80" s="263" t="s">
        <v>422</v>
      </c>
      <c r="M80" s="266">
        <v>426523</v>
      </c>
      <c r="N80" s="263" t="s">
        <v>8049</v>
      </c>
      <c r="O80" s="263" t="s">
        <v>8050</v>
      </c>
      <c r="P80" s="232">
        <v>1</v>
      </c>
      <c r="Q80" s="256"/>
      <c r="R80" s="256"/>
      <c r="S80" s="256"/>
      <c r="T80" s="256"/>
      <c r="U80" s="256"/>
      <c r="V80" s="256"/>
      <c r="W80" s="256"/>
      <c r="X80" s="256"/>
      <c r="Y80" s="257"/>
      <c r="Z80" s="257"/>
    </row>
    <row r="81" spans="1:26" ht="15.75" customHeight="1" x14ac:dyDescent="0.35">
      <c r="A81" s="258">
        <v>73</v>
      </c>
      <c r="B81" s="263" t="s">
        <v>8002</v>
      </c>
      <c r="C81" s="263" t="s">
        <v>8003</v>
      </c>
      <c r="D81" s="263" t="s">
        <v>51</v>
      </c>
      <c r="E81" s="263">
        <v>27393</v>
      </c>
      <c r="F81" s="263">
        <v>2014</v>
      </c>
      <c r="G81" s="263" t="s">
        <v>8051</v>
      </c>
      <c r="H81" s="263" t="s">
        <v>7938</v>
      </c>
      <c r="I81" s="265"/>
      <c r="J81" s="263"/>
      <c r="K81" s="263" t="s">
        <v>7942</v>
      </c>
      <c r="L81" s="263" t="s">
        <v>422</v>
      </c>
      <c r="M81" s="266">
        <v>23000</v>
      </c>
      <c r="N81" s="263" t="s">
        <v>3059</v>
      </c>
      <c r="O81" s="263" t="s">
        <v>8052</v>
      </c>
      <c r="P81" s="232">
        <v>1</v>
      </c>
      <c r="Q81" s="256"/>
      <c r="R81" s="256"/>
      <c r="S81" s="256"/>
      <c r="T81" s="256"/>
      <c r="U81" s="256"/>
      <c r="V81" s="256"/>
      <c r="W81" s="256"/>
      <c r="X81" s="256"/>
      <c r="Y81" s="257"/>
      <c r="Z81" s="257"/>
    </row>
    <row r="82" spans="1:26" ht="15.75" customHeight="1" x14ac:dyDescent="0.35">
      <c r="A82" s="258">
        <v>74</v>
      </c>
      <c r="B82" s="263" t="s">
        <v>7935</v>
      </c>
      <c r="C82" s="263" t="s">
        <v>7936</v>
      </c>
      <c r="D82" s="263" t="s">
        <v>51</v>
      </c>
      <c r="E82" s="263">
        <v>9953</v>
      </c>
      <c r="F82" s="263">
        <v>2003</v>
      </c>
      <c r="G82" s="263" t="s">
        <v>8051</v>
      </c>
      <c r="H82" s="263" t="s">
        <v>7938</v>
      </c>
      <c r="I82" s="265">
        <v>39476</v>
      </c>
      <c r="J82" s="263" t="s">
        <v>8053</v>
      </c>
      <c r="K82" s="263" t="s">
        <v>8007</v>
      </c>
      <c r="L82" s="263" t="s">
        <v>57</v>
      </c>
      <c r="M82" s="266">
        <v>350000</v>
      </c>
      <c r="N82" s="263" t="s">
        <v>7940</v>
      </c>
      <c r="O82" s="263" t="s">
        <v>8052</v>
      </c>
      <c r="P82" s="232">
        <v>1</v>
      </c>
      <c r="Q82" s="256"/>
      <c r="R82" s="256"/>
      <c r="S82" s="256"/>
      <c r="T82" s="256"/>
      <c r="U82" s="256"/>
      <c r="V82" s="256"/>
      <c r="W82" s="256"/>
      <c r="X82" s="256"/>
      <c r="Y82" s="257"/>
      <c r="Z82" s="257"/>
    </row>
    <row r="83" spans="1:26" ht="15.75" customHeight="1" x14ac:dyDescent="0.35">
      <c r="A83" s="258">
        <v>75</v>
      </c>
      <c r="B83" s="263" t="s">
        <v>8002</v>
      </c>
      <c r="C83" s="263" t="s">
        <v>8003</v>
      </c>
      <c r="D83" s="263" t="s">
        <v>51</v>
      </c>
      <c r="E83" s="263">
        <v>1936</v>
      </c>
      <c r="F83" s="263">
        <v>2014</v>
      </c>
      <c r="G83" s="263" t="s">
        <v>8054</v>
      </c>
      <c r="H83" s="263" t="s">
        <v>7938</v>
      </c>
      <c r="I83" s="265">
        <v>44046</v>
      </c>
      <c r="J83" s="263" t="s">
        <v>8055</v>
      </c>
      <c r="K83" s="263" t="s">
        <v>8056</v>
      </c>
      <c r="L83" s="263" t="s">
        <v>422</v>
      </c>
      <c r="M83" s="266">
        <v>223495</v>
      </c>
      <c r="N83" s="263" t="s">
        <v>8057</v>
      </c>
      <c r="O83" s="263" t="s">
        <v>8058</v>
      </c>
      <c r="P83" s="232">
        <v>1</v>
      </c>
      <c r="Q83" s="256"/>
      <c r="R83" s="256"/>
      <c r="S83" s="256"/>
      <c r="T83" s="256"/>
      <c r="U83" s="256"/>
      <c r="V83" s="256"/>
      <c r="W83" s="256"/>
      <c r="X83" s="256"/>
      <c r="Y83" s="257"/>
      <c r="Z83" s="257"/>
    </row>
    <row r="84" spans="1:26" ht="15.75" customHeight="1" x14ac:dyDescent="0.35">
      <c r="A84" s="258">
        <v>76</v>
      </c>
      <c r="B84" s="263" t="s">
        <v>7935</v>
      </c>
      <c r="C84" s="263" t="s">
        <v>7936</v>
      </c>
      <c r="D84" s="263" t="s">
        <v>51</v>
      </c>
      <c r="E84" s="263">
        <v>1280</v>
      </c>
      <c r="F84" s="263">
        <v>2014</v>
      </c>
      <c r="G84" s="263" t="s">
        <v>8059</v>
      </c>
      <c r="H84" s="263" t="s">
        <v>7938</v>
      </c>
      <c r="I84" s="265"/>
      <c r="J84" s="263"/>
      <c r="K84" s="263" t="s">
        <v>7942</v>
      </c>
      <c r="L84" s="263" t="s">
        <v>422</v>
      </c>
      <c r="M84" s="266">
        <v>15000</v>
      </c>
      <c r="N84" s="263" t="s">
        <v>3059</v>
      </c>
      <c r="O84" s="263" t="s">
        <v>8060</v>
      </c>
      <c r="P84" s="232">
        <v>1</v>
      </c>
      <c r="Q84" s="256"/>
      <c r="R84" s="256"/>
      <c r="S84" s="256"/>
      <c r="T84" s="256"/>
      <c r="U84" s="256"/>
      <c r="V84" s="256"/>
      <c r="W84" s="256"/>
      <c r="X84" s="256"/>
      <c r="Y84" s="257"/>
      <c r="Z84" s="257"/>
    </row>
    <row r="85" spans="1:26" ht="15.75" customHeight="1" x14ac:dyDescent="0.35">
      <c r="A85" s="264">
        <v>77</v>
      </c>
      <c r="B85" s="263" t="s">
        <v>7935</v>
      </c>
      <c r="C85" s="263" t="s">
        <v>7936</v>
      </c>
      <c r="D85" s="263" t="s">
        <v>59</v>
      </c>
      <c r="E85" s="263">
        <v>16800</v>
      </c>
      <c r="F85" s="263">
        <v>2003</v>
      </c>
      <c r="G85" s="263" t="s">
        <v>8059</v>
      </c>
      <c r="H85" s="263" t="s">
        <v>7938</v>
      </c>
      <c r="I85" s="265">
        <v>44046</v>
      </c>
      <c r="J85" s="263" t="s">
        <v>8061</v>
      </c>
      <c r="K85" s="263" t="s">
        <v>7939</v>
      </c>
      <c r="L85" s="263" t="s">
        <v>57</v>
      </c>
      <c r="M85" s="266">
        <v>148045</v>
      </c>
      <c r="N85" s="263" t="s">
        <v>7940</v>
      </c>
      <c r="O85" s="263" t="s">
        <v>8060</v>
      </c>
      <c r="P85" s="232">
        <v>1</v>
      </c>
      <c r="Q85" s="256"/>
      <c r="R85" s="256"/>
      <c r="S85" s="256"/>
      <c r="T85" s="256"/>
      <c r="U85" s="256"/>
      <c r="V85" s="256"/>
      <c r="W85" s="256"/>
      <c r="X85" s="256"/>
      <c r="Y85" s="257"/>
      <c r="Z85" s="257"/>
    </row>
    <row r="86" spans="1:26" ht="15.75" customHeight="1" x14ac:dyDescent="0.35">
      <c r="A86" s="258">
        <v>78</v>
      </c>
      <c r="B86" s="263" t="s">
        <v>7935</v>
      </c>
      <c r="C86" s="263" t="s">
        <v>7936</v>
      </c>
      <c r="D86" s="263" t="s">
        <v>51</v>
      </c>
      <c r="E86" s="263">
        <v>14270</v>
      </c>
      <c r="F86" s="263">
        <v>2003</v>
      </c>
      <c r="G86" s="263" t="s">
        <v>8059</v>
      </c>
      <c r="H86" s="263" t="s">
        <v>7938</v>
      </c>
      <c r="I86" s="265">
        <v>44046</v>
      </c>
      <c r="J86" s="263" t="s">
        <v>8062</v>
      </c>
      <c r="K86" s="263" t="s">
        <v>7939</v>
      </c>
      <c r="L86" s="263" t="s">
        <v>57</v>
      </c>
      <c r="M86" s="266">
        <v>261107</v>
      </c>
      <c r="N86" s="263" t="s">
        <v>7940</v>
      </c>
      <c r="O86" s="263" t="s">
        <v>8063</v>
      </c>
      <c r="P86" s="232">
        <v>1</v>
      </c>
      <c r="Q86" s="256"/>
      <c r="R86" s="256"/>
      <c r="S86" s="256"/>
      <c r="T86" s="256"/>
      <c r="U86" s="256"/>
      <c r="V86" s="256"/>
      <c r="W86" s="256"/>
      <c r="X86" s="256"/>
      <c r="Y86" s="257"/>
      <c r="Z86" s="257"/>
    </row>
    <row r="87" spans="1:26" ht="15.75" customHeight="1" x14ac:dyDescent="0.35">
      <c r="A87" s="258">
        <v>79</v>
      </c>
      <c r="B87" s="263" t="s">
        <v>7935</v>
      </c>
      <c r="C87" s="263" t="s">
        <v>7936</v>
      </c>
      <c r="D87" s="263" t="s">
        <v>59</v>
      </c>
      <c r="E87" s="263">
        <v>1280</v>
      </c>
      <c r="F87" s="263">
        <v>2014</v>
      </c>
      <c r="G87" s="263" t="s">
        <v>8059</v>
      </c>
      <c r="H87" s="263" t="s">
        <v>7938</v>
      </c>
      <c r="I87" s="265"/>
      <c r="J87" s="263"/>
      <c r="K87" s="263" t="s">
        <v>7942</v>
      </c>
      <c r="L87" s="263" t="s">
        <v>422</v>
      </c>
      <c r="M87" s="266">
        <v>23000</v>
      </c>
      <c r="N87" s="263" t="s">
        <v>3059</v>
      </c>
      <c r="O87" s="263" t="s">
        <v>8063</v>
      </c>
      <c r="P87" s="232">
        <v>1</v>
      </c>
      <c r="Q87" s="256"/>
      <c r="R87" s="256"/>
      <c r="S87" s="256"/>
      <c r="T87" s="256"/>
      <c r="U87" s="256"/>
      <c r="V87" s="256"/>
      <c r="W87" s="256"/>
      <c r="X87" s="256"/>
      <c r="Y87" s="257"/>
      <c r="Z87" s="257"/>
    </row>
    <row r="88" spans="1:26" ht="15.75" customHeight="1" x14ac:dyDescent="0.35">
      <c r="A88" s="264">
        <v>80</v>
      </c>
      <c r="B88" s="263" t="s">
        <v>7935</v>
      </c>
      <c r="C88" s="263" t="s">
        <v>7936</v>
      </c>
      <c r="D88" s="263" t="s">
        <v>51</v>
      </c>
      <c r="E88" s="263">
        <v>8078</v>
      </c>
      <c r="F88" s="263">
        <v>2014</v>
      </c>
      <c r="G88" s="263" t="s">
        <v>8064</v>
      </c>
      <c r="H88" s="263" t="s">
        <v>7938</v>
      </c>
      <c r="I88" s="265">
        <v>44062</v>
      </c>
      <c r="J88" s="263" t="s">
        <v>8065</v>
      </c>
      <c r="K88" s="263" t="s">
        <v>7942</v>
      </c>
      <c r="L88" s="263" t="s">
        <v>422</v>
      </c>
      <c r="M88" s="266">
        <v>15000</v>
      </c>
      <c r="N88" s="263" t="s">
        <v>3059</v>
      </c>
      <c r="O88" s="263" t="s">
        <v>8066</v>
      </c>
      <c r="P88" s="232">
        <v>1</v>
      </c>
      <c r="Q88" s="256"/>
      <c r="R88" s="256"/>
      <c r="S88" s="256"/>
      <c r="T88" s="256"/>
      <c r="U88" s="256"/>
      <c r="V88" s="256"/>
      <c r="W88" s="256"/>
      <c r="X88" s="256"/>
      <c r="Y88" s="257"/>
      <c r="Z88" s="257"/>
    </row>
    <row r="89" spans="1:26" ht="15.75" customHeight="1" x14ac:dyDescent="0.35">
      <c r="A89" s="258">
        <v>81</v>
      </c>
      <c r="B89" s="263" t="s">
        <v>7935</v>
      </c>
      <c r="C89" s="263" t="s">
        <v>7936</v>
      </c>
      <c r="D89" s="263" t="s">
        <v>59</v>
      </c>
      <c r="E89" s="263">
        <v>7207</v>
      </c>
      <c r="F89" s="263">
        <v>2003</v>
      </c>
      <c r="G89" s="263" t="s">
        <v>8064</v>
      </c>
      <c r="H89" s="263" t="s">
        <v>7938</v>
      </c>
      <c r="I89" s="265">
        <v>44061</v>
      </c>
      <c r="J89" s="263" t="s">
        <v>8067</v>
      </c>
      <c r="K89" s="263" t="s">
        <v>7939</v>
      </c>
      <c r="L89" s="263" t="s">
        <v>57</v>
      </c>
      <c r="M89" s="266">
        <v>207600</v>
      </c>
      <c r="N89" s="263" t="s">
        <v>7940</v>
      </c>
      <c r="O89" s="263" t="s">
        <v>8066</v>
      </c>
      <c r="P89" s="232">
        <v>1</v>
      </c>
      <c r="Q89" s="256"/>
      <c r="R89" s="256"/>
      <c r="S89" s="256"/>
      <c r="T89" s="256"/>
      <c r="U89" s="256"/>
      <c r="V89" s="256"/>
      <c r="W89" s="256"/>
      <c r="X89" s="256"/>
      <c r="Y89" s="257"/>
      <c r="Z89" s="257"/>
    </row>
    <row r="90" spans="1:26" ht="15.75" customHeight="1" x14ac:dyDescent="0.35">
      <c r="A90" s="258">
        <v>82</v>
      </c>
      <c r="B90" s="263" t="s">
        <v>7935</v>
      </c>
      <c r="C90" s="263" t="s">
        <v>7936</v>
      </c>
      <c r="D90" s="263" t="s">
        <v>51</v>
      </c>
      <c r="E90" s="263">
        <v>2500</v>
      </c>
      <c r="F90" s="263">
        <v>2003</v>
      </c>
      <c r="G90" s="263" t="s">
        <v>8068</v>
      </c>
      <c r="H90" s="263" t="s">
        <v>7938</v>
      </c>
      <c r="I90" s="265">
        <v>44035</v>
      </c>
      <c r="J90" s="263" t="s">
        <v>8069</v>
      </c>
      <c r="K90" s="263" t="s">
        <v>7939</v>
      </c>
      <c r="L90" s="263" t="s">
        <v>57</v>
      </c>
      <c r="M90" s="266">
        <v>9250</v>
      </c>
      <c r="N90" s="263" t="s">
        <v>7940</v>
      </c>
      <c r="O90" s="263" t="s">
        <v>8070</v>
      </c>
      <c r="P90" s="232">
        <v>1</v>
      </c>
      <c r="Q90" s="256"/>
      <c r="R90" s="256"/>
      <c r="S90" s="256"/>
      <c r="T90" s="256"/>
      <c r="U90" s="256"/>
      <c r="V90" s="256"/>
      <c r="W90" s="256"/>
      <c r="X90" s="256"/>
      <c r="Y90" s="257"/>
      <c r="Z90" s="257"/>
    </row>
    <row r="91" spans="1:26" ht="15.75" customHeight="1" x14ac:dyDescent="0.35">
      <c r="A91" s="264">
        <v>83</v>
      </c>
      <c r="B91" s="263" t="s">
        <v>7935</v>
      </c>
      <c r="C91" s="263" t="s">
        <v>7936</v>
      </c>
      <c r="D91" s="263" t="s">
        <v>59</v>
      </c>
      <c r="E91" s="263">
        <v>1320</v>
      </c>
      <c r="F91" s="263">
        <v>2014</v>
      </c>
      <c r="G91" s="263" t="s">
        <v>8068</v>
      </c>
      <c r="H91" s="263" t="s">
        <v>7938</v>
      </c>
      <c r="I91" s="265"/>
      <c r="J91" s="263"/>
      <c r="K91" s="263" t="s">
        <v>7942</v>
      </c>
      <c r="L91" s="263" t="s">
        <v>422</v>
      </c>
      <c r="M91" s="266">
        <v>15000</v>
      </c>
      <c r="N91" s="263" t="s">
        <v>3059</v>
      </c>
      <c r="O91" s="263" t="s">
        <v>8070</v>
      </c>
      <c r="P91" s="232">
        <v>1</v>
      </c>
      <c r="Q91" s="256"/>
      <c r="R91" s="256"/>
      <c r="S91" s="256"/>
      <c r="T91" s="256"/>
      <c r="U91" s="256"/>
      <c r="V91" s="256"/>
      <c r="W91" s="256"/>
      <c r="X91" s="256"/>
      <c r="Y91" s="257"/>
      <c r="Z91" s="257"/>
    </row>
    <row r="92" spans="1:26" ht="15.75" customHeight="1" x14ac:dyDescent="0.35">
      <c r="A92" s="258">
        <v>84</v>
      </c>
      <c r="B92" s="263" t="s">
        <v>7935</v>
      </c>
      <c r="C92" s="263" t="s">
        <v>7936</v>
      </c>
      <c r="D92" s="263" t="s">
        <v>51</v>
      </c>
      <c r="E92" s="263">
        <v>1320</v>
      </c>
      <c r="F92" s="263">
        <v>2014</v>
      </c>
      <c r="G92" s="263" t="s">
        <v>8071</v>
      </c>
      <c r="H92" s="263" t="s">
        <v>7938</v>
      </c>
      <c r="I92" s="265"/>
      <c r="J92" s="263"/>
      <c r="K92" s="263" t="s">
        <v>7942</v>
      </c>
      <c r="L92" s="263" t="s">
        <v>422</v>
      </c>
      <c r="M92" s="266">
        <v>23000</v>
      </c>
      <c r="N92" s="263" t="s">
        <v>3059</v>
      </c>
      <c r="O92" s="263" t="s">
        <v>8072</v>
      </c>
      <c r="P92" s="232">
        <v>1</v>
      </c>
      <c r="Q92" s="256"/>
      <c r="R92" s="256"/>
      <c r="S92" s="256"/>
      <c r="T92" s="256"/>
      <c r="U92" s="256"/>
      <c r="V92" s="256"/>
      <c r="W92" s="256"/>
      <c r="X92" s="256"/>
      <c r="Y92" s="257"/>
      <c r="Z92" s="257"/>
    </row>
    <row r="93" spans="1:26" ht="15.75" customHeight="1" x14ac:dyDescent="0.35">
      <c r="A93" s="258">
        <v>85</v>
      </c>
      <c r="B93" s="263" t="s">
        <v>7935</v>
      </c>
      <c r="C93" s="263" t="s">
        <v>7936</v>
      </c>
      <c r="D93" s="263" t="s">
        <v>59</v>
      </c>
      <c r="E93" s="263">
        <v>16250</v>
      </c>
      <c r="F93" s="263">
        <v>2003</v>
      </c>
      <c r="G93" s="263" t="s">
        <v>8071</v>
      </c>
      <c r="H93" s="263" t="s">
        <v>7938</v>
      </c>
      <c r="I93" s="265">
        <v>44049</v>
      </c>
      <c r="J93" s="263" t="s">
        <v>8073</v>
      </c>
      <c r="K93" s="263" t="s">
        <v>7939</v>
      </c>
      <c r="L93" s="263" t="s">
        <v>57</v>
      </c>
      <c r="M93" s="266">
        <v>50700</v>
      </c>
      <c r="N93" s="263" t="s">
        <v>7940</v>
      </c>
      <c r="O93" s="263" t="s">
        <v>8072</v>
      </c>
      <c r="P93" s="232">
        <v>1</v>
      </c>
      <c r="Q93" s="256"/>
      <c r="R93" s="256"/>
      <c r="S93" s="256"/>
      <c r="T93" s="256"/>
      <c r="U93" s="256"/>
      <c r="V93" s="256"/>
      <c r="W93" s="256"/>
      <c r="X93" s="256"/>
      <c r="Y93" s="257"/>
      <c r="Z93" s="257"/>
    </row>
    <row r="94" spans="1:26" ht="15.75" customHeight="1" x14ac:dyDescent="0.35">
      <c r="A94" s="264">
        <v>86</v>
      </c>
      <c r="B94" s="263" t="s">
        <v>7935</v>
      </c>
      <c r="C94" s="263" t="s">
        <v>7936</v>
      </c>
      <c r="D94" s="263" t="s">
        <v>51</v>
      </c>
      <c r="E94" s="263">
        <v>9654</v>
      </c>
      <c r="F94" s="263">
        <v>2003</v>
      </c>
      <c r="G94" s="263" t="s">
        <v>8071</v>
      </c>
      <c r="H94" s="263" t="s">
        <v>7938</v>
      </c>
      <c r="I94" s="265">
        <v>44049</v>
      </c>
      <c r="J94" s="263" t="s">
        <v>8074</v>
      </c>
      <c r="K94" s="263" t="s">
        <v>7939</v>
      </c>
      <c r="L94" s="263" t="s">
        <v>57</v>
      </c>
      <c r="M94" s="266">
        <v>40299</v>
      </c>
      <c r="N94" s="263" t="s">
        <v>7940</v>
      </c>
      <c r="O94" s="263" t="s">
        <v>8075</v>
      </c>
      <c r="P94" s="232">
        <v>1</v>
      </c>
      <c r="Q94" s="256"/>
      <c r="R94" s="256"/>
      <c r="S94" s="256"/>
      <c r="T94" s="256"/>
      <c r="U94" s="256"/>
      <c r="V94" s="256"/>
      <c r="W94" s="256"/>
      <c r="X94" s="256"/>
      <c r="Y94" s="257"/>
      <c r="Z94" s="257"/>
    </row>
    <row r="95" spans="1:26" ht="15.75" customHeight="1" x14ac:dyDescent="0.35">
      <c r="A95" s="258">
        <v>87</v>
      </c>
      <c r="B95" s="263" t="s">
        <v>7935</v>
      </c>
      <c r="C95" s="263" t="s">
        <v>7936</v>
      </c>
      <c r="D95" s="263" t="s">
        <v>59</v>
      </c>
      <c r="E95" s="263">
        <v>1320</v>
      </c>
      <c r="F95" s="263">
        <v>2014</v>
      </c>
      <c r="G95" s="263" t="s">
        <v>8071</v>
      </c>
      <c r="H95" s="263" t="s">
        <v>7938</v>
      </c>
      <c r="I95" s="265"/>
      <c r="J95" s="263"/>
      <c r="K95" s="263" t="s">
        <v>7942</v>
      </c>
      <c r="L95" s="263" t="s">
        <v>422</v>
      </c>
      <c r="M95" s="266">
        <v>6000</v>
      </c>
      <c r="N95" s="263" t="s">
        <v>3059</v>
      </c>
      <c r="O95" s="263" t="s">
        <v>8075</v>
      </c>
      <c r="P95" s="232">
        <v>1</v>
      </c>
      <c r="Q95" s="256"/>
      <c r="R95" s="256"/>
      <c r="S95" s="256"/>
      <c r="T95" s="256"/>
      <c r="U95" s="256"/>
      <c r="V95" s="256"/>
      <c r="W95" s="256"/>
      <c r="X95" s="256"/>
      <c r="Y95" s="257"/>
      <c r="Z95" s="257"/>
    </row>
    <row r="96" spans="1:26" ht="15.75" customHeight="1" x14ac:dyDescent="0.35">
      <c r="A96" s="258">
        <v>88</v>
      </c>
      <c r="B96" s="263" t="s">
        <v>7935</v>
      </c>
      <c r="C96" s="263" t="s">
        <v>7936</v>
      </c>
      <c r="D96" s="263" t="s">
        <v>51</v>
      </c>
      <c r="E96" s="263">
        <v>4705</v>
      </c>
      <c r="F96" s="263">
        <v>2014</v>
      </c>
      <c r="G96" s="263" t="s">
        <v>8076</v>
      </c>
      <c r="H96" s="263" t="s">
        <v>7938</v>
      </c>
      <c r="I96" s="265">
        <v>43421</v>
      </c>
      <c r="J96" s="263" t="s">
        <v>8077</v>
      </c>
      <c r="K96" s="263" t="s">
        <v>7942</v>
      </c>
      <c r="L96" s="263" t="s">
        <v>422</v>
      </c>
      <c r="M96" s="266">
        <v>15000</v>
      </c>
      <c r="N96" s="263" t="s">
        <v>3059</v>
      </c>
      <c r="O96" s="263" t="s">
        <v>8078</v>
      </c>
      <c r="P96" s="232">
        <v>1</v>
      </c>
      <c r="Q96" s="256"/>
      <c r="R96" s="256"/>
      <c r="S96" s="256"/>
      <c r="T96" s="256"/>
      <c r="U96" s="256"/>
      <c r="V96" s="256"/>
      <c r="W96" s="256"/>
      <c r="X96" s="256"/>
      <c r="Y96" s="257"/>
      <c r="Z96" s="257"/>
    </row>
    <row r="97" spans="1:26" ht="15.75" customHeight="1" x14ac:dyDescent="0.35">
      <c r="A97" s="264">
        <v>89</v>
      </c>
      <c r="B97" s="263" t="s">
        <v>7935</v>
      </c>
      <c r="C97" s="263" t="s">
        <v>7936</v>
      </c>
      <c r="D97" s="263" t="s">
        <v>51</v>
      </c>
      <c r="E97" s="263">
        <v>4103</v>
      </c>
      <c r="F97" s="263">
        <v>2014</v>
      </c>
      <c r="G97" s="263" t="s">
        <v>8076</v>
      </c>
      <c r="H97" s="263" t="s">
        <v>7938</v>
      </c>
      <c r="I97" s="265"/>
      <c r="J97" s="263"/>
      <c r="K97" s="263" t="s">
        <v>7942</v>
      </c>
      <c r="L97" s="263" t="s">
        <v>422</v>
      </c>
      <c r="M97" s="266">
        <v>15000</v>
      </c>
      <c r="N97" s="263" t="s">
        <v>3059</v>
      </c>
      <c r="O97" s="263" t="s">
        <v>8079</v>
      </c>
      <c r="P97" s="232">
        <v>1</v>
      </c>
      <c r="Q97" s="256"/>
      <c r="R97" s="256"/>
      <c r="S97" s="256"/>
      <c r="T97" s="256"/>
      <c r="U97" s="256"/>
      <c r="V97" s="256"/>
      <c r="W97" s="256"/>
      <c r="X97" s="256"/>
      <c r="Y97" s="257"/>
      <c r="Z97" s="257"/>
    </row>
    <row r="98" spans="1:26" ht="15.75" customHeight="1" x14ac:dyDescent="0.35">
      <c r="A98" s="258">
        <v>90</v>
      </c>
      <c r="B98" s="263" t="s">
        <v>7935</v>
      </c>
      <c r="C98" s="263" t="s">
        <v>7936</v>
      </c>
      <c r="D98" s="263" t="s">
        <v>59</v>
      </c>
      <c r="E98" s="263">
        <v>4500</v>
      </c>
      <c r="F98" s="263">
        <v>2003</v>
      </c>
      <c r="G98" s="263" t="s">
        <v>8076</v>
      </c>
      <c r="H98" s="263" t="s">
        <v>7938</v>
      </c>
      <c r="I98" s="265"/>
      <c r="J98" s="263"/>
      <c r="K98" s="263" t="s">
        <v>7939</v>
      </c>
      <c r="L98" s="263" t="s">
        <v>57</v>
      </c>
      <c r="M98" s="266">
        <v>18900</v>
      </c>
      <c r="N98" s="263" t="s">
        <v>7940</v>
      </c>
      <c r="O98" s="263" t="s">
        <v>8079</v>
      </c>
      <c r="P98" s="232">
        <v>1</v>
      </c>
      <c r="Q98" s="256"/>
      <c r="R98" s="256"/>
      <c r="S98" s="256"/>
      <c r="T98" s="256"/>
      <c r="U98" s="256"/>
      <c r="V98" s="256"/>
      <c r="W98" s="256"/>
      <c r="X98" s="256"/>
      <c r="Y98" s="257"/>
      <c r="Z98" s="257"/>
    </row>
    <row r="99" spans="1:26" ht="15.75" customHeight="1" x14ac:dyDescent="0.35">
      <c r="A99" s="258">
        <v>91</v>
      </c>
      <c r="B99" s="263" t="s">
        <v>7935</v>
      </c>
      <c r="C99" s="263" t="s">
        <v>7936</v>
      </c>
      <c r="D99" s="263" t="s">
        <v>51</v>
      </c>
      <c r="E99" s="263">
        <v>969</v>
      </c>
      <c r="F99" s="263">
        <v>2014</v>
      </c>
      <c r="G99" s="263" t="s">
        <v>8076</v>
      </c>
      <c r="H99" s="263" t="s">
        <v>7938</v>
      </c>
      <c r="I99" s="265"/>
      <c r="J99" s="263"/>
      <c r="K99" s="263" t="s">
        <v>7942</v>
      </c>
      <c r="L99" s="263" t="s">
        <v>422</v>
      </c>
      <c r="M99" s="266">
        <v>15000</v>
      </c>
      <c r="N99" s="263" t="s">
        <v>3059</v>
      </c>
      <c r="O99" s="263" t="s">
        <v>8080</v>
      </c>
      <c r="P99" s="232">
        <v>1</v>
      </c>
      <c r="Q99" s="256"/>
      <c r="R99" s="256"/>
      <c r="S99" s="256"/>
      <c r="T99" s="256"/>
      <c r="U99" s="256"/>
      <c r="V99" s="256"/>
      <c r="W99" s="256"/>
      <c r="X99" s="256"/>
      <c r="Y99" s="257"/>
      <c r="Z99" s="257"/>
    </row>
    <row r="100" spans="1:26" ht="15.75" customHeight="1" x14ac:dyDescent="0.35">
      <c r="A100" s="264">
        <v>92</v>
      </c>
      <c r="B100" s="263" t="s">
        <v>7935</v>
      </c>
      <c r="C100" s="263" t="s">
        <v>7936</v>
      </c>
      <c r="D100" s="263" t="s">
        <v>51</v>
      </c>
      <c r="E100" s="263">
        <v>1400</v>
      </c>
      <c r="F100" s="263">
        <v>2014</v>
      </c>
      <c r="G100" s="263" t="s">
        <v>8081</v>
      </c>
      <c r="H100" s="263" t="s">
        <v>7938</v>
      </c>
      <c r="I100" s="265"/>
      <c r="J100" s="263"/>
      <c r="K100" s="263" t="s">
        <v>7942</v>
      </c>
      <c r="L100" s="263" t="s">
        <v>422</v>
      </c>
      <c r="M100" s="266">
        <v>30000</v>
      </c>
      <c r="N100" s="263" t="s">
        <v>3059</v>
      </c>
      <c r="O100" s="263" t="s">
        <v>8080</v>
      </c>
      <c r="P100" s="232">
        <v>1</v>
      </c>
      <c r="Q100" s="256"/>
      <c r="R100" s="256"/>
      <c r="S100" s="256"/>
      <c r="T100" s="256"/>
      <c r="U100" s="256"/>
      <c r="V100" s="256"/>
      <c r="W100" s="256"/>
      <c r="X100" s="256"/>
      <c r="Y100" s="257"/>
      <c r="Z100" s="257"/>
    </row>
    <row r="101" spans="1:26" ht="15.75" customHeight="1" x14ac:dyDescent="0.35">
      <c r="A101" s="258">
        <v>93</v>
      </c>
      <c r="B101" s="263" t="s">
        <v>8002</v>
      </c>
      <c r="C101" s="263" t="s">
        <v>8003</v>
      </c>
      <c r="D101" s="263" t="s">
        <v>51</v>
      </c>
      <c r="E101" s="263">
        <v>5600</v>
      </c>
      <c r="F101" s="263">
        <v>2014</v>
      </c>
      <c r="G101" s="263" t="s">
        <v>6871</v>
      </c>
      <c r="H101" s="263" t="s">
        <v>7938</v>
      </c>
      <c r="I101" s="265"/>
      <c r="J101" s="263"/>
      <c r="K101" s="263" t="s">
        <v>7942</v>
      </c>
      <c r="L101" s="263" t="s">
        <v>422</v>
      </c>
      <c r="M101" s="266">
        <v>10000</v>
      </c>
      <c r="N101" s="263" t="s">
        <v>3059</v>
      </c>
      <c r="O101" s="263" t="s">
        <v>8082</v>
      </c>
      <c r="P101" s="232">
        <v>1</v>
      </c>
      <c r="Q101" s="256"/>
      <c r="R101" s="256"/>
      <c r="S101" s="256"/>
      <c r="T101" s="256"/>
      <c r="U101" s="256"/>
      <c r="V101" s="256"/>
      <c r="W101" s="256"/>
      <c r="X101" s="256"/>
      <c r="Y101" s="257"/>
      <c r="Z101" s="257"/>
    </row>
    <row r="102" spans="1:26" ht="15.75" customHeight="1" x14ac:dyDescent="0.35">
      <c r="A102" s="258">
        <v>94</v>
      </c>
      <c r="B102" s="263" t="s">
        <v>7935</v>
      </c>
      <c r="C102" s="263" t="s">
        <v>7936</v>
      </c>
      <c r="D102" s="263" t="s">
        <v>51</v>
      </c>
      <c r="E102" s="263">
        <v>7950</v>
      </c>
      <c r="F102" s="263">
        <v>2014</v>
      </c>
      <c r="G102" s="263" t="s">
        <v>8083</v>
      </c>
      <c r="H102" s="263" t="s">
        <v>7938</v>
      </c>
      <c r="I102" s="265"/>
      <c r="J102" s="263"/>
      <c r="K102" s="263" t="s">
        <v>7942</v>
      </c>
      <c r="L102" s="263" t="s">
        <v>422</v>
      </c>
      <c r="M102" s="266">
        <v>15000</v>
      </c>
      <c r="N102" s="263" t="s">
        <v>3059</v>
      </c>
      <c r="O102" s="263" t="s">
        <v>8084</v>
      </c>
      <c r="P102" s="232">
        <v>1</v>
      </c>
      <c r="Q102" s="256"/>
      <c r="R102" s="256"/>
      <c r="S102" s="256"/>
      <c r="T102" s="256"/>
      <c r="U102" s="256"/>
      <c r="V102" s="256"/>
      <c r="W102" s="256"/>
      <c r="X102" s="256"/>
      <c r="Y102" s="257"/>
      <c r="Z102" s="257"/>
    </row>
    <row r="103" spans="1:26" ht="15.75" customHeight="1" x14ac:dyDescent="0.35">
      <c r="A103" s="264">
        <v>95</v>
      </c>
      <c r="B103" s="263" t="s">
        <v>7935</v>
      </c>
      <c r="C103" s="263" t="s">
        <v>7936</v>
      </c>
      <c r="D103" s="263" t="s">
        <v>51</v>
      </c>
      <c r="E103" s="263">
        <v>7950</v>
      </c>
      <c r="F103" s="263">
        <v>2014</v>
      </c>
      <c r="G103" s="263" t="s">
        <v>8085</v>
      </c>
      <c r="H103" s="263" t="s">
        <v>7938</v>
      </c>
      <c r="I103" s="265"/>
      <c r="J103" s="263"/>
      <c r="K103" s="263" t="s">
        <v>7942</v>
      </c>
      <c r="L103" s="263" t="s">
        <v>422</v>
      </c>
      <c r="M103" s="266">
        <v>15000</v>
      </c>
      <c r="N103" s="263" t="s">
        <v>3059</v>
      </c>
      <c r="O103" s="263" t="s">
        <v>8086</v>
      </c>
      <c r="P103" s="232">
        <v>1</v>
      </c>
      <c r="Q103" s="256"/>
      <c r="R103" s="256"/>
      <c r="S103" s="256"/>
      <c r="T103" s="256"/>
      <c r="U103" s="256"/>
      <c r="V103" s="256"/>
      <c r="W103" s="256"/>
      <c r="X103" s="256"/>
      <c r="Y103" s="257"/>
      <c r="Z103" s="257"/>
    </row>
    <row r="104" spans="1:26" ht="15.75" customHeight="1" x14ac:dyDescent="0.35">
      <c r="A104" s="258">
        <v>96</v>
      </c>
      <c r="B104" s="263" t="s">
        <v>7935</v>
      </c>
      <c r="C104" s="263" t="s">
        <v>7936</v>
      </c>
      <c r="D104" s="263" t="s">
        <v>59</v>
      </c>
      <c r="E104" s="263">
        <v>3380</v>
      </c>
      <c r="F104" s="263">
        <v>2003</v>
      </c>
      <c r="G104" s="263" t="s">
        <v>8085</v>
      </c>
      <c r="H104" s="263" t="s">
        <v>7938</v>
      </c>
      <c r="I104" s="265"/>
      <c r="J104" s="263"/>
      <c r="K104" s="263" t="s">
        <v>7939</v>
      </c>
      <c r="L104" s="263" t="s">
        <v>57</v>
      </c>
      <c r="M104" s="266">
        <v>12422</v>
      </c>
      <c r="N104" s="263" t="s">
        <v>7940</v>
      </c>
      <c r="O104" s="263" t="s">
        <v>8086</v>
      </c>
      <c r="P104" s="232">
        <v>1</v>
      </c>
      <c r="Q104" s="256"/>
      <c r="R104" s="256"/>
      <c r="S104" s="256"/>
      <c r="T104" s="256"/>
      <c r="U104" s="256"/>
      <c r="V104" s="256"/>
      <c r="W104" s="256"/>
      <c r="X104" s="256"/>
      <c r="Y104" s="257"/>
      <c r="Z104" s="257"/>
    </row>
    <row r="105" spans="1:26" ht="15.75" customHeight="1" x14ac:dyDescent="0.35">
      <c r="A105" s="258">
        <v>97</v>
      </c>
      <c r="B105" s="263" t="s">
        <v>7935</v>
      </c>
      <c r="C105" s="263" t="s">
        <v>7936</v>
      </c>
      <c r="D105" s="263" t="s">
        <v>51</v>
      </c>
      <c r="E105" s="263">
        <v>3450</v>
      </c>
      <c r="F105" s="263">
        <v>2003</v>
      </c>
      <c r="G105" s="263" t="s">
        <v>8087</v>
      </c>
      <c r="H105" s="263" t="s">
        <v>7938</v>
      </c>
      <c r="I105" s="265"/>
      <c r="J105" s="263"/>
      <c r="K105" s="263" t="s">
        <v>7939</v>
      </c>
      <c r="L105" s="263" t="s">
        <v>57</v>
      </c>
      <c r="M105" s="266">
        <v>12593</v>
      </c>
      <c r="N105" s="263" t="s">
        <v>7940</v>
      </c>
      <c r="O105" s="263" t="s">
        <v>8088</v>
      </c>
      <c r="P105" s="232">
        <v>1</v>
      </c>
      <c r="Q105" s="256"/>
      <c r="R105" s="256"/>
      <c r="S105" s="256"/>
      <c r="T105" s="256"/>
      <c r="U105" s="256"/>
      <c r="V105" s="256"/>
      <c r="W105" s="256"/>
      <c r="X105" s="256"/>
      <c r="Y105" s="257"/>
      <c r="Z105" s="257"/>
    </row>
    <row r="106" spans="1:26" ht="15.75" customHeight="1" x14ac:dyDescent="0.35">
      <c r="A106" s="264">
        <v>98</v>
      </c>
      <c r="B106" s="263" t="s">
        <v>7935</v>
      </c>
      <c r="C106" s="263" t="s">
        <v>7936</v>
      </c>
      <c r="D106" s="263" t="s">
        <v>59</v>
      </c>
      <c r="E106" s="263">
        <v>575</v>
      </c>
      <c r="F106" s="263">
        <v>2014</v>
      </c>
      <c r="G106" s="263" t="s">
        <v>8087</v>
      </c>
      <c r="H106" s="263" t="s">
        <v>7938</v>
      </c>
      <c r="I106" s="265"/>
      <c r="J106" s="263"/>
      <c r="K106" s="263" t="s">
        <v>7942</v>
      </c>
      <c r="L106" s="263" t="s">
        <v>422</v>
      </c>
      <c r="M106" s="266">
        <v>10000</v>
      </c>
      <c r="N106" s="263" t="s">
        <v>3059</v>
      </c>
      <c r="O106" s="263" t="s">
        <v>8088</v>
      </c>
      <c r="P106" s="232">
        <v>1</v>
      </c>
      <c r="Q106" s="256"/>
      <c r="R106" s="256"/>
      <c r="S106" s="256"/>
      <c r="T106" s="256"/>
      <c r="U106" s="256"/>
      <c r="V106" s="256"/>
      <c r="W106" s="256"/>
      <c r="X106" s="256"/>
      <c r="Y106" s="257"/>
      <c r="Z106" s="257"/>
    </row>
    <row r="107" spans="1:26" ht="15.75" customHeight="1" x14ac:dyDescent="0.35">
      <c r="A107" s="258">
        <v>99</v>
      </c>
      <c r="B107" s="263" t="s">
        <v>7935</v>
      </c>
      <c r="C107" s="263" t="s">
        <v>7936</v>
      </c>
      <c r="D107" s="263" t="s">
        <v>51</v>
      </c>
      <c r="E107" s="263">
        <v>1920</v>
      </c>
      <c r="F107" s="263">
        <v>2014</v>
      </c>
      <c r="G107" s="263" t="s">
        <v>8089</v>
      </c>
      <c r="H107" s="263" t="s">
        <v>7938</v>
      </c>
      <c r="I107" s="265"/>
      <c r="J107" s="263"/>
      <c r="K107" s="263" t="s">
        <v>7942</v>
      </c>
      <c r="L107" s="263" t="s">
        <v>422</v>
      </c>
      <c r="M107" s="266">
        <v>23000</v>
      </c>
      <c r="N107" s="263" t="s">
        <v>3059</v>
      </c>
      <c r="O107" s="263" t="s">
        <v>8090</v>
      </c>
      <c r="P107" s="232">
        <v>1</v>
      </c>
      <c r="Q107" s="256"/>
      <c r="R107" s="256"/>
      <c r="S107" s="256"/>
      <c r="T107" s="256"/>
      <c r="U107" s="256"/>
      <c r="V107" s="256"/>
      <c r="W107" s="256"/>
      <c r="X107" s="256"/>
      <c r="Y107" s="257"/>
      <c r="Z107" s="257"/>
    </row>
    <row r="108" spans="1:26" ht="15.75" customHeight="1" x14ac:dyDescent="0.35">
      <c r="A108" s="258">
        <v>100</v>
      </c>
      <c r="B108" s="263" t="s">
        <v>7935</v>
      </c>
      <c r="C108" s="263" t="s">
        <v>7936</v>
      </c>
      <c r="D108" s="263" t="s">
        <v>51</v>
      </c>
      <c r="E108" s="263">
        <v>4044</v>
      </c>
      <c r="F108" s="263">
        <v>2014</v>
      </c>
      <c r="G108" s="263" t="s">
        <v>8091</v>
      </c>
      <c r="H108" s="263" t="s">
        <v>7938</v>
      </c>
      <c r="I108" s="265"/>
      <c r="J108" s="263"/>
      <c r="K108" s="263" t="s">
        <v>7942</v>
      </c>
      <c r="L108" s="263" t="s">
        <v>422</v>
      </c>
      <c r="M108" s="266">
        <v>10000</v>
      </c>
      <c r="N108" s="263" t="s">
        <v>3059</v>
      </c>
      <c r="O108" s="263" t="s">
        <v>8092</v>
      </c>
      <c r="P108" s="232">
        <v>1</v>
      </c>
      <c r="Q108" s="256"/>
      <c r="R108" s="256"/>
      <c r="S108" s="256"/>
      <c r="T108" s="256"/>
      <c r="U108" s="256"/>
      <c r="V108" s="256"/>
      <c r="W108" s="256"/>
      <c r="X108" s="256"/>
      <c r="Y108" s="257"/>
      <c r="Z108" s="257"/>
    </row>
    <row r="109" spans="1:26" ht="15.75" customHeight="1" x14ac:dyDescent="0.35">
      <c r="A109" s="264">
        <v>101</v>
      </c>
      <c r="B109" s="263" t="s">
        <v>7935</v>
      </c>
      <c r="C109" s="263" t="s">
        <v>7936</v>
      </c>
      <c r="D109" s="263" t="s">
        <v>51</v>
      </c>
      <c r="E109" s="263">
        <v>575</v>
      </c>
      <c r="F109" s="263">
        <v>2014</v>
      </c>
      <c r="G109" s="263" t="s">
        <v>8093</v>
      </c>
      <c r="H109" s="263" t="s">
        <v>7938</v>
      </c>
      <c r="I109" s="265"/>
      <c r="J109" s="263"/>
      <c r="K109" s="263" t="s">
        <v>7942</v>
      </c>
      <c r="L109" s="263" t="s">
        <v>422</v>
      </c>
      <c r="M109" s="266">
        <v>23000</v>
      </c>
      <c r="N109" s="263" t="s">
        <v>3059</v>
      </c>
      <c r="O109" s="263" t="s">
        <v>8094</v>
      </c>
      <c r="P109" s="232">
        <v>1</v>
      </c>
      <c r="Q109" s="256"/>
      <c r="R109" s="256"/>
      <c r="S109" s="256"/>
      <c r="T109" s="256"/>
      <c r="U109" s="256"/>
      <c r="V109" s="256"/>
      <c r="W109" s="256"/>
      <c r="X109" s="256"/>
      <c r="Y109" s="257"/>
      <c r="Z109" s="257"/>
    </row>
    <row r="110" spans="1:26" ht="15.75" customHeight="1" x14ac:dyDescent="0.35">
      <c r="A110" s="258">
        <v>102</v>
      </c>
      <c r="B110" s="263" t="s">
        <v>7935</v>
      </c>
      <c r="C110" s="263" t="s">
        <v>7936</v>
      </c>
      <c r="D110" s="263" t="s">
        <v>51</v>
      </c>
      <c r="E110" s="263">
        <v>4044</v>
      </c>
      <c r="F110" s="263">
        <v>2014</v>
      </c>
      <c r="G110" s="263" t="s">
        <v>8095</v>
      </c>
      <c r="H110" s="263" t="s">
        <v>7938</v>
      </c>
      <c r="I110" s="265"/>
      <c r="J110" s="263"/>
      <c r="K110" s="263" t="s">
        <v>7942</v>
      </c>
      <c r="L110" s="263" t="s">
        <v>422</v>
      </c>
      <c r="M110" s="266">
        <v>25000</v>
      </c>
      <c r="N110" s="263" t="s">
        <v>3059</v>
      </c>
      <c r="O110" s="263" t="s">
        <v>8096</v>
      </c>
      <c r="P110" s="232">
        <v>1</v>
      </c>
      <c r="Q110" s="256"/>
      <c r="R110" s="256"/>
      <c r="S110" s="256"/>
      <c r="T110" s="256"/>
      <c r="U110" s="256"/>
      <c r="V110" s="256"/>
      <c r="W110" s="256"/>
      <c r="X110" s="256"/>
      <c r="Y110" s="257"/>
      <c r="Z110" s="257"/>
    </row>
    <row r="111" spans="1:26" ht="15.75" customHeight="1" x14ac:dyDescent="0.35">
      <c r="A111" s="258">
        <v>103</v>
      </c>
      <c r="B111" s="263" t="s">
        <v>7935</v>
      </c>
      <c r="C111" s="263" t="s">
        <v>7936</v>
      </c>
      <c r="D111" s="263" t="s">
        <v>51</v>
      </c>
      <c r="E111" s="263">
        <v>4416</v>
      </c>
      <c r="F111" s="263">
        <v>2003</v>
      </c>
      <c r="G111" s="263" t="s">
        <v>8097</v>
      </c>
      <c r="H111" s="263" t="s">
        <v>7938</v>
      </c>
      <c r="I111" s="265"/>
      <c r="J111" s="263"/>
      <c r="K111" s="263" t="s">
        <v>7939</v>
      </c>
      <c r="L111" s="263" t="s">
        <v>57</v>
      </c>
      <c r="M111" s="266">
        <v>16670</v>
      </c>
      <c r="N111" s="263" t="s">
        <v>7940</v>
      </c>
      <c r="O111" s="263" t="s">
        <v>8098</v>
      </c>
      <c r="P111" s="232">
        <v>1</v>
      </c>
      <c r="Q111" s="256"/>
      <c r="R111" s="256"/>
      <c r="S111" s="256"/>
      <c r="T111" s="256"/>
      <c r="U111" s="256"/>
      <c r="V111" s="256"/>
      <c r="W111" s="256"/>
      <c r="X111" s="256"/>
      <c r="Y111" s="257"/>
      <c r="Z111" s="257"/>
    </row>
    <row r="112" spans="1:26" ht="15.75" customHeight="1" x14ac:dyDescent="0.35">
      <c r="A112" s="264">
        <v>104</v>
      </c>
      <c r="B112" s="263" t="s">
        <v>7935</v>
      </c>
      <c r="C112" s="263" t="s">
        <v>7936</v>
      </c>
      <c r="D112" s="263" t="s">
        <v>59</v>
      </c>
      <c r="E112" s="263">
        <v>2090</v>
      </c>
      <c r="F112" s="263">
        <v>2014</v>
      </c>
      <c r="G112" s="263" t="s">
        <v>8097</v>
      </c>
      <c r="H112" s="263" t="s">
        <v>7938</v>
      </c>
      <c r="I112" s="265"/>
      <c r="J112" s="263"/>
      <c r="K112" s="263" t="s">
        <v>7942</v>
      </c>
      <c r="L112" s="263" t="s">
        <v>422</v>
      </c>
      <c r="M112" s="266">
        <v>52250</v>
      </c>
      <c r="N112" s="263" t="s">
        <v>3059</v>
      </c>
      <c r="O112" s="263" t="s">
        <v>8098</v>
      </c>
      <c r="P112" s="232">
        <v>1</v>
      </c>
      <c r="Q112" s="256"/>
      <c r="R112" s="256"/>
      <c r="S112" s="256"/>
      <c r="T112" s="256"/>
      <c r="U112" s="256"/>
      <c r="V112" s="256"/>
      <c r="W112" s="256"/>
      <c r="X112" s="256"/>
      <c r="Y112" s="257"/>
      <c r="Z112" s="257"/>
    </row>
    <row r="113" spans="1:26" ht="15.75" customHeight="1" x14ac:dyDescent="0.35">
      <c r="A113" s="258">
        <v>105</v>
      </c>
      <c r="B113" s="263" t="s">
        <v>7935</v>
      </c>
      <c r="C113" s="263" t="s">
        <v>7936</v>
      </c>
      <c r="D113" s="263" t="s">
        <v>51</v>
      </c>
      <c r="E113" s="263">
        <v>900</v>
      </c>
      <c r="F113" s="263">
        <v>2014</v>
      </c>
      <c r="G113" s="263" t="s">
        <v>8099</v>
      </c>
      <c r="H113" s="263" t="s">
        <v>7938</v>
      </c>
      <c r="I113" s="265"/>
      <c r="J113" s="263"/>
      <c r="K113" s="263" t="s">
        <v>7942</v>
      </c>
      <c r="L113" s="263" t="s">
        <v>422</v>
      </c>
      <c r="M113" s="266">
        <v>18000</v>
      </c>
      <c r="N113" s="263" t="s">
        <v>3059</v>
      </c>
      <c r="O113" s="263" t="s">
        <v>8100</v>
      </c>
      <c r="P113" s="232">
        <v>1</v>
      </c>
      <c r="Q113" s="256"/>
      <c r="R113" s="256"/>
      <c r="S113" s="256"/>
      <c r="T113" s="256"/>
      <c r="U113" s="256"/>
      <c r="V113" s="256"/>
      <c r="W113" s="256"/>
      <c r="X113" s="256"/>
      <c r="Y113" s="257"/>
      <c r="Z113" s="257"/>
    </row>
    <row r="114" spans="1:26" ht="15.75" customHeight="1" x14ac:dyDescent="0.35">
      <c r="A114" s="258">
        <v>106</v>
      </c>
      <c r="B114" s="263" t="s">
        <v>7935</v>
      </c>
      <c r="C114" s="263" t="s">
        <v>7936</v>
      </c>
      <c r="D114" s="263" t="s">
        <v>51</v>
      </c>
      <c r="E114" s="263">
        <v>1368</v>
      </c>
      <c r="F114" s="263">
        <v>2014</v>
      </c>
      <c r="G114" s="263" t="s">
        <v>8101</v>
      </c>
      <c r="H114" s="263" t="s">
        <v>7938</v>
      </c>
      <c r="I114" s="265"/>
      <c r="J114" s="263"/>
      <c r="K114" s="263" t="s">
        <v>7942</v>
      </c>
      <c r="L114" s="263" t="s">
        <v>422</v>
      </c>
      <c r="M114" s="266">
        <v>11000</v>
      </c>
      <c r="N114" s="263" t="s">
        <v>3059</v>
      </c>
      <c r="O114" s="263" t="s">
        <v>8102</v>
      </c>
      <c r="P114" s="232">
        <v>1</v>
      </c>
      <c r="Q114" s="256"/>
      <c r="R114" s="256"/>
      <c r="S114" s="256"/>
      <c r="T114" s="256"/>
      <c r="U114" s="256"/>
      <c r="V114" s="256"/>
      <c r="W114" s="256"/>
      <c r="X114" s="256"/>
      <c r="Y114" s="257"/>
      <c r="Z114" s="257"/>
    </row>
    <row r="115" spans="1:26" ht="15.75" customHeight="1" x14ac:dyDescent="0.35">
      <c r="A115" s="264">
        <v>107</v>
      </c>
      <c r="B115" s="263" t="s">
        <v>7935</v>
      </c>
      <c r="C115" s="263" t="s">
        <v>7936</v>
      </c>
      <c r="D115" s="263" t="s">
        <v>51</v>
      </c>
      <c r="E115" s="263">
        <v>1000</v>
      </c>
      <c r="F115" s="263">
        <v>2014</v>
      </c>
      <c r="G115" s="263" t="s">
        <v>8103</v>
      </c>
      <c r="H115" s="263" t="s">
        <v>7938</v>
      </c>
      <c r="I115" s="265"/>
      <c r="J115" s="263"/>
      <c r="K115" s="263" t="s">
        <v>7942</v>
      </c>
      <c r="L115" s="263" t="s">
        <v>422</v>
      </c>
      <c r="M115" s="266">
        <v>10000</v>
      </c>
      <c r="N115" s="263" t="s">
        <v>3059</v>
      </c>
      <c r="O115" s="263" t="s">
        <v>8104</v>
      </c>
      <c r="P115" s="232">
        <v>1</v>
      </c>
      <c r="Q115" s="256"/>
      <c r="R115" s="256"/>
      <c r="S115" s="256"/>
      <c r="T115" s="256"/>
      <c r="U115" s="256"/>
      <c r="V115" s="256"/>
      <c r="W115" s="256"/>
      <c r="X115" s="256"/>
      <c r="Y115" s="257"/>
      <c r="Z115" s="257"/>
    </row>
    <row r="116" spans="1:26" ht="15.75" customHeight="1" x14ac:dyDescent="0.35">
      <c r="A116" s="258">
        <v>108</v>
      </c>
      <c r="B116" s="263" t="s">
        <v>7935</v>
      </c>
      <c r="C116" s="263" t="s">
        <v>7936</v>
      </c>
      <c r="D116" s="263" t="s">
        <v>51</v>
      </c>
      <c r="E116" s="263">
        <v>1000</v>
      </c>
      <c r="F116" s="263">
        <v>2014</v>
      </c>
      <c r="G116" s="263" t="s">
        <v>8105</v>
      </c>
      <c r="H116" s="263" t="s">
        <v>7938</v>
      </c>
      <c r="I116" s="265"/>
      <c r="J116" s="263"/>
      <c r="K116" s="263" t="s">
        <v>7942</v>
      </c>
      <c r="L116" s="263" t="s">
        <v>422</v>
      </c>
      <c r="M116" s="266">
        <v>10000</v>
      </c>
      <c r="N116" s="263" t="s">
        <v>3059</v>
      </c>
      <c r="O116" s="263" t="s">
        <v>8106</v>
      </c>
      <c r="P116" s="232">
        <v>1</v>
      </c>
      <c r="Q116" s="256"/>
      <c r="R116" s="256"/>
      <c r="S116" s="256"/>
      <c r="T116" s="256"/>
      <c r="U116" s="256"/>
      <c r="V116" s="256"/>
      <c r="W116" s="256"/>
      <c r="X116" s="256"/>
      <c r="Y116" s="257"/>
      <c r="Z116" s="257"/>
    </row>
    <row r="117" spans="1:26" ht="15.75" customHeight="1" x14ac:dyDescent="0.35">
      <c r="A117" s="258">
        <v>109</v>
      </c>
      <c r="B117" s="263" t="s">
        <v>7935</v>
      </c>
      <c r="C117" s="263" t="s">
        <v>7936</v>
      </c>
      <c r="D117" s="263" t="s">
        <v>51</v>
      </c>
      <c r="E117" s="263">
        <v>1000</v>
      </c>
      <c r="F117" s="263">
        <v>2014</v>
      </c>
      <c r="G117" s="263" t="s">
        <v>8107</v>
      </c>
      <c r="H117" s="263" t="s">
        <v>7938</v>
      </c>
      <c r="I117" s="265"/>
      <c r="J117" s="263"/>
      <c r="K117" s="263" t="s">
        <v>7942</v>
      </c>
      <c r="L117" s="263" t="s">
        <v>422</v>
      </c>
      <c r="M117" s="266">
        <v>10000</v>
      </c>
      <c r="N117" s="263" t="s">
        <v>3059</v>
      </c>
      <c r="O117" s="263" t="s">
        <v>8108</v>
      </c>
      <c r="P117" s="232">
        <v>1</v>
      </c>
      <c r="Q117" s="256"/>
      <c r="R117" s="256"/>
      <c r="S117" s="256"/>
      <c r="T117" s="256"/>
      <c r="U117" s="256"/>
      <c r="V117" s="256"/>
      <c r="W117" s="256"/>
      <c r="X117" s="256"/>
      <c r="Y117" s="257"/>
      <c r="Z117" s="257"/>
    </row>
    <row r="118" spans="1:26" ht="15.75" customHeight="1" x14ac:dyDescent="0.35">
      <c r="A118" s="264">
        <v>110</v>
      </c>
      <c r="B118" s="263" t="s">
        <v>7935</v>
      </c>
      <c r="C118" s="263" t="s">
        <v>7936</v>
      </c>
      <c r="D118" s="263" t="s">
        <v>59</v>
      </c>
      <c r="E118" s="263">
        <v>8000</v>
      </c>
      <c r="F118" s="263">
        <v>2003</v>
      </c>
      <c r="G118" s="263" t="s">
        <v>8107</v>
      </c>
      <c r="H118" s="263" t="s">
        <v>7938</v>
      </c>
      <c r="I118" s="265"/>
      <c r="J118" s="263"/>
      <c r="K118" s="263" t="s">
        <v>7939</v>
      </c>
      <c r="L118" s="263" t="s">
        <v>57</v>
      </c>
      <c r="M118" s="266">
        <v>29200</v>
      </c>
      <c r="N118" s="263" t="s">
        <v>7940</v>
      </c>
      <c r="O118" s="263" t="s">
        <v>8108</v>
      </c>
      <c r="P118" s="232">
        <v>1</v>
      </c>
      <c r="Q118" s="256"/>
      <c r="R118" s="256"/>
      <c r="S118" s="256"/>
      <c r="T118" s="256"/>
      <c r="U118" s="256"/>
      <c r="V118" s="256"/>
      <c r="W118" s="256"/>
      <c r="X118" s="256"/>
      <c r="Y118" s="257"/>
      <c r="Z118" s="257"/>
    </row>
    <row r="119" spans="1:26" ht="15.75" customHeight="1" x14ac:dyDescent="0.35">
      <c r="A119" s="258">
        <v>111</v>
      </c>
      <c r="B119" s="263" t="s">
        <v>7935</v>
      </c>
      <c r="C119" s="263" t="s">
        <v>7936</v>
      </c>
      <c r="D119" s="263" t="s">
        <v>51</v>
      </c>
      <c r="E119" s="263">
        <v>1368</v>
      </c>
      <c r="F119" s="263">
        <v>2014</v>
      </c>
      <c r="G119" s="263" t="s">
        <v>8109</v>
      </c>
      <c r="H119" s="263" t="s">
        <v>7938</v>
      </c>
      <c r="I119" s="265"/>
      <c r="J119" s="263"/>
      <c r="K119" s="263" t="s">
        <v>7942</v>
      </c>
      <c r="L119" s="263" t="s">
        <v>422</v>
      </c>
      <c r="M119" s="266">
        <v>11000</v>
      </c>
      <c r="N119" s="263" t="s">
        <v>3059</v>
      </c>
      <c r="O119" s="263" t="s">
        <v>8110</v>
      </c>
      <c r="P119" s="232">
        <v>1</v>
      </c>
      <c r="Q119" s="256"/>
      <c r="R119" s="256"/>
      <c r="S119" s="256"/>
      <c r="T119" s="256"/>
      <c r="U119" s="256"/>
      <c r="V119" s="256"/>
      <c r="W119" s="256"/>
      <c r="X119" s="256"/>
      <c r="Y119" s="257"/>
      <c r="Z119" s="257"/>
    </row>
    <row r="120" spans="1:26" ht="15.75" customHeight="1" x14ac:dyDescent="0.35">
      <c r="A120" s="258">
        <v>112</v>
      </c>
      <c r="B120" s="263" t="s">
        <v>7935</v>
      </c>
      <c r="C120" s="263" t="s">
        <v>7936</v>
      </c>
      <c r="D120" s="263" t="s">
        <v>51</v>
      </c>
      <c r="E120" s="263">
        <v>1368</v>
      </c>
      <c r="F120" s="263">
        <v>2014</v>
      </c>
      <c r="G120" s="263" t="s">
        <v>8111</v>
      </c>
      <c r="H120" s="263" t="s">
        <v>7938</v>
      </c>
      <c r="I120" s="265"/>
      <c r="J120" s="263"/>
      <c r="K120" s="263" t="s">
        <v>7942</v>
      </c>
      <c r="L120" s="263" t="s">
        <v>422</v>
      </c>
      <c r="M120" s="266">
        <v>15000</v>
      </c>
      <c r="N120" s="263" t="s">
        <v>3059</v>
      </c>
      <c r="O120" s="263" t="s">
        <v>8112</v>
      </c>
      <c r="P120" s="232">
        <v>1</v>
      </c>
      <c r="Q120" s="256"/>
      <c r="R120" s="256"/>
      <c r="S120" s="256"/>
      <c r="T120" s="256"/>
      <c r="U120" s="256"/>
      <c r="V120" s="256"/>
      <c r="W120" s="256"/>
      <c r="X120" s="256"/>
      <c r="Y120" s="257"/>
      <c r="Z120" s="257"/>
    </row>
    <row r="121" spans="1:26" ht="15.75" customHeight="1" x14ac:dyDescent="0.35">
      <c r="A121" s="264">
        <v>113</v>
      </c>
      <c r="B121" s="263" t="s">
        <v>7935</v>
      </c>
      <c r="C121" s="263" t="s">
        <v>7936</v>
      </c>
      <c r="D121" s="263" t="s">
        <v>59</v>
      </c>
      <c r="E121" s="263">
        <v>4760</v>
      </c>
      <c r="F121" s="263">
        <v>2003</v>
      </c>
      <c r="G121" s="263" t="s">
        <v>8111</v>
      </c>
      <c r="H121" s="263" t="s">
        <v>7938</v>
      </c>
      <c r="I121" s="265"/>
      <c r="J121" s="263"/>
      <c r="K121" s="263" t="s">
        <v>7939</v>
      </c>
      <c r="L121" s="263" t="s">
        <v>57</v>
      </c>
      <c r="M121" s="266">
        <v>17731</v>
      </c>
      <c r="N121" s="263" t="s">
        <v>7940</v>
      </c>
      <c r="O121" s="263" t="s">
        <v>8112</v>
      </c>
      <c r="P121" s="232">
        <v>1</v>
      </c>
      <c r="Q121" s="256"/>
      <c r="R121" s="256"/>
      <c r="S121" s="256"/>
      <c r="T121" s="256"/>
      <c r="U121" s="256"/>
      <c r="V121" s="256"/>
      <c r="W121" s="256"/>
      <c r="X121" s="256"/>
      <c r="Y121" s="257"/>
      <c r="Z121" s="257"/>
    </row>
    <row r="122" spans="1:26" ht="15.75" customHeight="1" x14ac:dyDescent="0.35">
      <c r="A122" s="258">
        <v>114</v>
      </c>
      <c r="B122" s="263" t="s">
        <v>7935</v>
      </c>
      <c r="C122" s="263" t="s">
        <v>7936</v>
      </c>
      <c r="D122" s="263" t="s">
        <v>51</v>
      </c>
      <c r="E122" s="263">
        <v>2400</v>
      </c>
      <c r="F122" s="263">
        <v>2003</v>
      </c>
      <c r="G122" s="263" t="s">
        <v>8113</v>
      </c>
      <c r="H122" s="263" t="s">
        <v>7938</v>
      </c>
      <c r="I122" s="265"/>
      <c r="J122" s="263"/>
      <c r="K122" s="263" t="s">
        <v>7939</v>
      </c>
      <c r="L122" s="263" t="s">
        <v>57</v>
      </c>
      <c r="M122" s="266">
        <v>8880</v>
      </c>
      <c r="N122" s="263" t="s">
        <v>7940</v>
      </c>
      <c r="O122" s="263" t="s">
        <v>8114</v>
      </c>
      <c r="P122" s="232">
        <v>1</v>
      </c>
      <c r="Q122" s="256"/>
      <c r="R122" s="256"/>
      <c r="S122" s="256"/>
      <c r="T122" s="256"/>
      <c r="U122" s="256"/>
      <c r="V122" s="256"/>
      <c r="W122" s="256"/>
      <c r="X122" s="256"/>
      <c r="Y122" s="257"/>
      <c r="Z122" s="257"/>
    </row>
    <row r="123" spans="1:26" ht="15.75" customHeight="1" x14ac:dyDescent="0.35">
      <c r="A123" s="258">
        <v>115</v>
      </c>
      <c r="B123" s="263" t="s">
        <v>7935</v>
      </c>
      <c r="C123" s="263" t="s">
        <v>7936</v>
      </c>
      <c r="D123" s="263" t="s">
        <v>59</v>
      </c>
      <c r="E123" s="263">
        <v>1368</v>
      </c>
      <c r="F123" s="263">
        <v>2014</v>
      </c>
      <c r="G123" s="263" t="s">
        <v>8113</v>
      </c>
      <c r="H123" s="263" t="s">
        <v>7938</v>
      </c>
      <c r="I123" s="265"/>
      <c r="J123" s="263"/>
      <c r="K123" s="263" t="s">
        <v>7942</v>
      </c>
      <c r="L123" s="263" t="s">
        <v>422</v>
      </c>
      <c r="M123" s="266">
        <v>15807</v>
      </c>
      <c r="N123" s="263" t="s">
        <v>3059</v>
      </c>
      <c r="O123" s="263" t="s">
        <v>8114</v>
      </c>
      <c r="P123" s="232">
        <v>1</v>
      </c>
      <c r="Q123" s="256"/>
      <c r="R123" s="256"/>
      <c r="S123" s="256"/>
      <c r="T123" s="256"/>
      <c r="U123" s="256"/>
      <c r="V123" s="256"/>
      <c r="W123" s="256"/>
      <c r="X123" s="256"/>
      <c r="Y123" s="257"/>
      <c r="Z123" s="257"/>
    </row>
    <row r="124" spans="1:26" ht="15.75" customHeight="1" x14ac:dyDescent="0.35">
      <c r="A124" s="264">
        <v>116</v>
      </c>
      <c r="B124" s="263" t="s">
        <v>7935</v>
      </c>
      <c r="C124" s="263" t="s">
        <v>7936</v>
      </c>
      <c r="D124" s="263" t="s">
        <v>51</v>
      </c>
      <c r="E124" s="263">
        <v>1000</v>
      </c>
      <c r="F124" s="263">
        <v>2014</v>
      </c>
      <c r="G124" s="263" t="s">
        <v>8115</v>
      </c>
      <c r="H124" s="263" t="s">
        <v>7938</v>
      </c>
      <c r="I124" s="265"/>
      <c r="J124" s="263"/>
      <c r="K124" s="263" t="s">
        <v>7942</v>
      </c>
      <c r="L124" s="263" t="s">
        <v>422</v>
      </c>
      <c r="M124" s="266">
        <v>10000</v>
      </c>
      <c r="N124" s="263" t="s">
        <v>3059</v>
      </c>
      <c r="O124" s="263" t="s">
        <v>8116</v>
      </c>
      <c r="P124" s="232">
        <v>1</v>
      </c>
      <c r="Q124" s="256"/>
      <c r="R124" s="256"/>
      <c r="S124" s="256"/>
      <c r="T124" s="256"/>
      <c r="U124" s="256"/>
      <c r="V124" s="256"/>
      <c r="W124" s="256"/>
      <c r="X124" s="256"/>
      <c r="Y124" s="257"/>
      <c r="Z124" s="257"/>
    </row>
    <row r="125" spans="1:26" ht="15.75" customHeight="1" x14ac:dyDescent="0.35">
      <c r="A125" s="258">
        <v>117</v>
      </c>
      <c r="B125" s="263" t="s">
        <v>7935</v>
      </c>
      <c r="C125" s="263" t="s">
        <v>7936</v>
      </c>
      <c r="D125" s="263" t="s">
        <v>51</v>
      </c>
      <c r="E125" s="263">
        <v>1000</v>
      </c>
      <c r="F125" s="263">
        <v>2014</v>
      </c>
      <c r="G125" s="263" t="s">
        <v>8117</v>
      </c>
      <c r="H125" s="263" t="s">
        <v>7938</v>
      </c>
      <c r="I125" s="265"/>
      <c r="J125" s="263"/>
      <c r="K125" s="263" t="s">
        <v>3059</v>
      </c>
      <c r="L125" s="263" t="s">
        <v>422</v>
      </c>
      <c r="M125" s="266">
        <v>13000</v>
      </c>
      <c r="N125" s="263" t="s">
        <v>3059</v>
      </c>
      <c r="O125" s="263" t="s">
        <v>8118</v>
      </c>
      <c r="P125" s="232">
        <v>1</v>
      </c>
      <c r="Q125" s="256"/>
      <c r="R125" s="256"/>
      <c r="S125" s="256"/>
      <c r="T125" s="256"/>
      <c r="U125" s="256"/>
      <c r="V125" s="256"/>
      <c r="W125" s="256"/>
      <c r="X125" s="256"/>
      <c r="Y125" s="257"/>
      <c r="Z125" s="257"/>
    </row>
    <row r="126" spans="1:26" ht="15.75" customHeight="1" x14ac:dyDescent="0.35">
      <c r="A126" s="258">
        <v>118</v>
      </c>
      <c r="B126" s="263" t="s">
        <v>7935</v>
      </c>
      <c r="C126" s="263" t="s">
        <v>7936</v>
      </c>
      <c r="D126" s="263" t="s">
        <v>51</v>
      </c>
      <c r="E126" s="263">
        <v>1000</v>
      </c>
      <c r="F126" s="263">
        <v>2014</v>
      </c>
      <c r="G126" s="263" t="s">
        <v>8119</v>
      </c>
      <c r="H126" s="263" t="s">
        <v>7938</v>
      </c>
      <c r="I126" s="265"/>
      <c r="J126" s="263"/>
      <c r="K126" s="263" t="s">
        <v>3059</v>
      </c>
      <c r="L126" s="263" t="s">
        <v>422</v>
      </c>
      <c r="M126" s="266">
        <v>13000</v>
      </c>
      <c r="N126" s="263" t="s">
        <v>3059</v>
      </c>
      <c r="O126" s="263" t="s">
        <v>8120</v>
      </c>
      <c r="P126" s="232">
        <v>1</v>
      </c>
      <c r="Q126" s="256"/>
      <c r="R126" s="256"/>
      <c r="S126" s="256"/>
      <c r="T126" s="256"/>
      <c r="U126" s="256"/>
      <c r="V126" s="256"/>
      <c r="W126" s="256"/>
      <c r="X126" s="256"/>
      <c r="Y126" s="257"/>
      <c r="Z126" s="257"/>
    </row>
    <row r="127" spans="1:26" ht="15.75" customHeight="1" x14ac:dyDescent="0.35">
      <c r="A127" s="264">
        <v>119</v>
      </c>
      <c r="B127" s="263" t="s">
        <v>7935</v>
      </c>
      <c r="C127" s="263" t="s">
        <v>7936</v>
      </c>
      <c r="D127" s="263" t="s">
        <v>51</v>
      </c>
      <c r="E127" s="263">
        <v>1000</v>
      </c>
      <c r="F127" s="263">
        <v>2014</v>
      </c>
      <c r="G127" s="263" t="s">
        <v>8121</v>
      </c>
      <c r="H127" s="263" t="s">
        <v>7938</v>
      </c>
      <c r="I127" s="265"/>
      <c r="J127" s="263"/>
      <c r="K127" s="263" t="s">
        <v>7942</v>
      </c>
      <c r="L127" s="263" t="s">
        <v>422</v>
      </c>
      <c r="M127" s="266">
        <v>13000</v>
      </c>
      <c r="N127" s="263" t="s">
        <v>3059</v>
      </c>
      <c r="O127" s="263" t="s">
        <v>8122</v>
      </c>
      <c r="P127" s="232">
        <v>1</v>
      </c>
      <c r="Q127" s="256"/>
      <c r="R127" s="256"/>
      <c r="S127" s="256"/>
      <c r="T127" s="256"/>
      <c r="U127" s="256"/>
      <c r="V127" s="256"/>
      <c r="W127" s="256"/>
      <c r="X127" s="256"/>
      <c r="Y127" s="257"/>
      <c r="Z127" s="257"/>
    </row>
    <row r="128" spans="1:26" ht="15.75" customHeight="1" x14ac:dyDescent="0.35">
      <c r="A128" s="258">
        <v>120</v>
      </c>
      <c r="B128" s="263" t="s">
        <v>8002</v>
      </c>
      <c r="C128" s="263" t="s">
        <v>8003</v>
      </c>
      <c r="D128" s="263" t="s">
        <v>51</v>
      </c>
      <c r="E128" s="263">
        <v>1125</v>
      </c>
      <c r="F128" s="263">
        <v>2013</v>
      </c>
      <c r="G128" s="263" t="s">
        <v>8123</v>
      </c>
      <c r="H128" s="263" t="s">
        <v>7938</v>
      </c>
      <c r="I128" s="265"/>
      <c r="J128" s="263"/>
      <c r="K128" s="263" t="s">
        <v>8124</v>
      </c>
      <c r="L128" s="263" t="s">
        <v>422</v>
      </c>
      <c r="M128" s="266">
        <v>11250</v>
      </c>
      <c r="N128" s="263" t="s">
        <v>8057</v>
      </c>
      <c r="O128" s="263" t="s">
        <v>8125</v>
      </c>
      <c r="P128" s="232">
        <v>1</v>
      </c>
      <c r="Q128" s="256"/>
      <c r="R128" s="256"/>
      <c r="S128" s="256"/>
      <c r="T128" s="256"/>
      <c r="U128" s="256"/>
      <c r="V128" s="256"/>
      <c r="W128" s="256"/>
      <c r="X128" s="256"/>
      <c r="Y128" s="257"/>
      <c r="Z128" s="257"/>
    </row>
    <row r="129" spans="1:26" ht="15.75" customHeight="1" x14ac:dyDescent="0.35">
      <c r="A129" s="258">
        <v>121</v>
      </c>
      <c r="B129" s="263" t="s">
        <v>7935</v>
      </c>
      <c r="C129" s="263" t="s">
        <v>7936</v>
      </c>
      <c r="D129" s="263" t="s">
        <v>51</v>
      </c>
      <c r="E129" s="263">
        <v>3845</v>
      </c>
      <c r="F129" s="263">
        <v>2003</v>
      </c>
      <c r="G129" s="263" t="s">
        <v>8126</v>
      </c>
      <c r="H129" s="263" t="s">
        <v>7938</v>
      </c>
      <c r="I129" s="265"/>
      <c r="J129" s="263"/>
      <c r="K129" s="263" t="s">
        <v>7939</v>
      </c>
      <c r="L129" s="263" t="s">
        <v>57</v>
      </c>
      <c r="M129" s="266">
        <v>13650</v>
      </c>
      <c r="N129" s="263" t="s">
        <v>7940</v>
      </c>
      <c r="O129" s="263" t="s">
        <v>8127</v>
      </c>
      <c r="P129" s="232">
        <v>1</v>
      </c>
      <c r="Q129" s="256"/>
      <c r="R129" s="256"/>
      <c r="S129" s="256"/>
      <c r="T129" s="256"/>
      <c r="U129" s="256"/>
      <c r="V129" s="256"/>
      <c r="W129" s="256"/>
      <c r="X129" s="256"/>
      <c r="Y129" s="257"/>
      <c r="Z129" s="257"/>
    </row>
    <row r="130" spans="1:26" ht="15.75" customHeight="1" x14ac:dyDescent="0.35">
      <c r="A130" s="264">
        <v>122</v>
      </c>
      <c r="B130" s="263" t="s">
        <v>7935</v>
      </c>
      <c r="C130" s="263" t="s">
        <v>7936</v>
      </c>
      <c r="D130" s="263" t="s">
        <v>59</v>
      </c>
      <c r="E130" s="263">
        <v>6242</v>
      </c>
      <c r="F130" s="263">
        <v>2014</v>
      </c>
      <c r="G130" s="263" t="s">
        <v>8128</v>
      </c>
      <c r="H130" s="263" t="s">
        <v>7938</v>
      </c>
      <c r="I130" s="265">
        <v>43437</v>
      </c>
      <c r="J130" s="263" t="s">
        <v>8129</v>
      </c>
      <c r="K130" s="263" t="s">
        <v>7942</v>
      </c>
      <c r="L130" s="263" t="s">
        <v>422</v>
      </c>
      <c r="M130" s="266">
        <v>5000</v>
      </c>
      <c r="N130" s="263" t="s">
        <v>3059</v>
      </c>
      <c r="O130" s="263" t="s">
        <v>8127</v>
      </c>
      <c r="P130" s="232">
        <v>1</v>
      </c>
      <c r="Q130" s="256"/>
      <c r="R130" s="256"/>
      <c r="S130" s="256"/>
      <c r="T130" s="256"/>
      <c r="U130" s="256"/>
      <c r="V130" s="256"/>
      <c r="W130" s="256"/>
      <c r="X130" s="256"/>
      <c r="Y130" s="257"/>
      <c r="Z130" s="257"/>
    </row>
    <row r="131" spans="1:26" ht="15.75" customHeight="1" x14ac:dyDescent="0.35">
      <c r="A131" s="258">
        <v>123</v>
      </c>
      <c r="B131" s="263" t="s">
        <v>7935</v>
      </c>
      <c r="C131" s="263" t="s">
        <v>7936</v>
      </c>
      <c r="D131" s="263" t="s">
        <v>51</v>
      </c>
      <c r="E131" s="263">
        <v>2000</v>
      </c>
      <c r="F131" s="263">
        <v>2014</v>
      </c>
      <c r="G131" s="263" t="s">
        <v>8130</v>
      </c>
      <c r="H131" s="263" t="s">
        <v>7938</v>
      </c>
      <c r="I131" s="265"/>
      <c r="J131" s="263"/>
      <c r="K131" s="263" t="s">
        <v>7942</v>
      </c>
      <c r="L131" s="263" t="s">
        <v>422</v>
      </c>
      <c r="M131" s="266">
        <v>10000</v>
      </c>
      <c r="N131" s="263" t="s">
        <v>3059</v>
      </c>
      <c r="O131" s="263" t="s">
        <v>8131</v>
      </c>
      <c r="P131" s="232">
        <v>1</v>
      </c>
      <c r="Q131" s="256"/>
      <c r="R131" s="256"/>
      <c r="S131" s="256"/>
      <c r="T131" s="256"/>
      <c r="U131" s="256"/>
      <c r="V131" s="256"/>
      <c r="W131" s="256"/>
      <c r="X131" s="256"/>
      <c r="Y131" s="257"/>
      <c r="Z131" s="257"/>
    </row>
    <row r="132" spans="1:26" ht="15.75" customHeight="1" x14ac:dyDescent="0.35">
      <c r="A132" s="258">
        <v>124</v>
      </c>
      <c r="B132" s="263" t="s">
        <v>7935</v>
      </c>
      <c r="C132" s="263" t="s">
        <v>7936</v>
      </c>
      <c r="D132" s="263" t="s">
        <v>59</v>
      </c>
      <c r="E132" s="263">
        <v>2975</v>
      </c>
      <c r="F132" s="263">
        <v>2003</v>
      </c>
      <c r="G132" s="263" t="s">
        <v>8130</v>
      </c>
      <c r="H132" s="263" t="s">
        <v>7938</v>
      </c>
      <c r="I132" s="265"/>
      <c r="J132" s="263"/>
      <c r="K132" s="263" t="s">
        <v>7939</v>
      </c>
      <c r="L132" s="263" t="s">
        <v>57</v>
      </c>
      <c r="M132" s="266">
        <v>11231</v>
      </c>
      <c r="N132" s="263" t="s">
        <v>7940</v>
      </c>
      <c r="O132" s="263" t="s">
        <v>8131</v>
      </c>
      <c r="P132" s="232">
        <v>1</v>
      </c>
      <c r="Q132" s="256"/>
      <c r="R132" s="256"/>
      <c r="S132" s="256"/>
      <c r="T132" s="256"/>
      <c r="U132" s="256"/>
      <c r="V132" s="256"/>
      <c r="W132" s="256"/>
      <c r="X132" s="256"/>
      <c r="Y132" s="257"/>
      <c r="Z132" s="257"/>
    </row>
    <row r="133" spans="1:26" ht="15.75" customHeight="1" x14ac:dyDescent="0.35">
      <c r="A133" s="264">
        <v>125</v>
      </c>
      <c r="B133" s="263" t="s">
        <v>7935</v>
      </c>
      <c r="C133" s="263" t="s">
        <v>7936</v>
      </c>
      <c r="D133" s="263" t="s">
        <v>51</v>
      </c>
      <c r="E133" s="263">
        <v>6889</v>
      </c>
      <c r="F133" s="263">
        <v>2024</v>
      </c>
      <c r="G133" s="263" t="s">
        <v>8132</v>
      </c>
      <c r="H133" s="263" t="s">
        <v>7938</v>
      </c>
      <c r="I133" s="265">
        <v>45611</v>
      </c>
      <c r="J133" s="263" t="s">
        <v>8133</v>
      </c>
      <c r="K133" s="263" t="s">
        <v>8134</v>
      </c>
      <c r="L133" s="263" t="s">
        <v>422</v>
      </c>
      <c r="M133" s="266">
        <v>96446</v>
      </c>
      <c r="N133" s="263" t="s">
        <v>7969</v>
      </c>
      <c r="O133" s="263" t="s">
        <v>8135</v>
      </c>
      <c r="P133" s="232">
        <v>1</v>
      </c>
      <c r="Q133" s="256"/>
      <c r="R133" s="256"/>
      <c r="S133" s="256"/>
      <c r="T133" s="256"/>
      <c r="U133" s="256"/>
      <c r="V133" s="256"/>
      <c r="W133" s="256"/>
      <c r="X133" s="256"/>
      <c r="Y133" s="257"/>
      <c r="Z133" s="257"/>
    </row>
    <row r="134" spans="1:26" ht="15.75" customHeight="1" x14ac:dyDescent="0.35">
      <c r="A134" s="258">
        <v>126</v>
      </c>
      <c r="B134" s="263" t="s">
        <v>7935</v>
      </c>
      <c r="C134" s="263" t="s">
        <v>7936</v>
      </c>
      <c r="D134" s="263" t="s">
        <v>51</v>
      </c>
      <c r="E134" s="263">
        <v>1000</v>
      </c>
      <c r="F134" s="263">
        <v>2003</v>
      </c>
      <c r="G134" s="263" t="s">
        <v>8130</v>
      </c>
      <c r="H134" s="263" t="s">
        <v>7938</v>
      </c>
      <c r="I134" s="265"/>
      <c r="J134" s="263"/>
      <c r="K134" s="263" t="s">
        <v>7939</v>
      </c>
      <c r="L134" s="263" t="s">
        <v>57</v>
      </c>
      <c r="M134" s="266">
        <v>3800</v>
      </c>
      <c r="N134" s="263" t="s">
        <v>7940</v>
      </c>
      <c r="O134" s="263" t="s">
        <v>8136</v>
      </c>
      <c r="P134" s="232">
        <v>1</v>
      </c>
      <c r="Q134" s="256"/>
      <c r="R134" s="256"/>
      <c r="S134" s="256"/>
      <c r="T134" s="256"/>
      <c r="U134" s="256"/>
      <c r="V134" s="256"/>
      <c r="W134" s="256"/>
      <c r="X134" s="256"/>
      <c r="Y134" s="257"/>
      <c r="Z134" s="257"/>
    </row>
    <row r="135" spans="1:26" ht="15.75" customHeight="1" x14ac:dyDescent="0.35">
      <c r="A135" s="258">
        <v>127</v>
      </c>
      <c r="B135" s="263" t="s">
        <v>7935</v>
      </c>
      <c r="C135" s="263" t="s">
        <v>7936</v>
      </c>
      <c r="D135" s="263" t="s">
        <v>59</v>
      </c>
      <c r="E135" s="263">
        <v>17500</v>
      </c>
      <c r="F135" s="263">
        <v>2014</v>
      </c>
      <c r="G135" s="263" t="s">
        <v>8130</v>
      </c>
      <c r="H135" s="263" t="s">
        <v>7938</v>
      </c>
      <c r="I135" s="265"/>
      <c r="J135" s="263"/>
      <c r="K135" s="263" t="s">
        <v>3059</v>
      </c>
      <c r="L135" s="263" t="s">
        <v>422</v>
      </c>
      <c r="M135" s="266">
        <v>17500</v>
      </c>
      <c r="N135" s="263" t="s">
        <v>3059</v>
      </c>
      <c r="O135" s="263" t="s">
        <v>8136</v>
      </c>
      <c r="P135" s="232">
        <v>1</v>
      </c>
      <c r="Q135" s="256"/>
      <c r="R135" s="256"/>
      <c r="S135" s="256"/>
      <c r="T135" s="256"/>
      <c r="U135" s="256"/>
      <c r="V135" s="256"/>
      <c r="W135" s="256"/>
      <c r="X135" s="256"/>
      <c r="Y135" s="257"/>
      <c r="Z135" s="257"/>
    </row>
    <row r="136" spans="1:26" ht="15.75" customHeight="1" x14ac:dyDescent="0.35">
      <c r="A136" s="264">
        <v>128</v>
      </c>
      <c r="B136" s="263" t="s">
        <v>7935</v>
      </c>
      <c r="C136" s="263" t="s">
        <v>7936</v>
      </c>
      <c r="D136" s="263" t="s">
        <v>51</v>
      </c>
      <c r="E136" s="263">
        <v>4532</v>
      </c>
      <c r="F136" s="263">
        <v>2003</v>
      </c>
      <c r="G136" s="263" t="s">
        <v>8137</v>
      </c>
      <c r="H136" s="263" t="s">
        <v>7938</v>
      </c>
      <c r="I136" s="265"/>
      <c r="J136" s="263"/>
      <c r="K136" s="263" t="s">
        <v>7939</v>
      </c>
      <c r="L136" s="263" t="s">
        <v>57</v>
      </c>
      <c r="M136" s="266">
        <v>16542</v>
      </c>
      <c r="N136" s="263" t="s">
        <v>7940</v>
      </c>
      <c r="O136" s="263" t="s">
        <v>8138</v>
      </c>
      <c r="P136" s="232">
        <v>1</v>
      </c>
      <c r="Q136" s="256"/>
      <c r="R136" s="256"/>
      <c r="S136" s="256"/>
      <c r="T136" s="256"/>
      <c r="U136" s="256"/>
      <c r="V136" s="256"/>
      <c r="W136" s="256"/>
      <c r="X136" s="256"/>
      <c r="Y136" s="257"/>
      <c r="Z136" s="257"/>
    </row>
    <row r="137" spans="1:26" ht="15.75" customHeight="1" x14ac:dyDescent="0.35">
      <c r="A137" s="258">
        <v>129</v>
      </c>
      <c r="B137" s="263" t="s">
        <v>7935</v>
      </c>
      <c r="C137" s="263" t="s">
        <v>7936</v>
      </c>
      <c r="D137" s="263" t="s">
        <v>59</v>
      </c>
      <c r="E137" s="263">
        <v>5800</v>
      </c>
      <c r="F137" s="263">
        <v>2014</v>
      </c>
      <c r="G137" s="263" t="s">
        <v>8139</v>
      </c>
      <c r="H137" s="263" t="s">
        <v>7938</v>
      </c>
      <c r="I137" s="265"/>
      <c r="J137" s="263"/>
      <c r="K137" s="263" t="s">
        <v>7942</v>
      </c>
      <c r="L137" s="263" t="s">
        <v>422</v>
      </c>
      <c r="M137" s="266">
        <v>5000</v>
      </c>
      <c r="N137" s="263" t="s">
        <v>3059</v>
      </c>
      <c r="O137" s="263" t="s">
        <v>8138</v>
      </c>
      <c r="P137" s="232">
        <v>1</v>
      </c>
      <c r="Q137" s="256"/>
      <c r="R137" s="256"/>
      <c r="S137" s="256"/>
      <c r="T137" s="256"/>
      <c r="U137" s="256"/>
      <c r="V137" s="256"/>
      <c r="W137" s="256"/>
      <c r="X137" s="256"/>
      <c r="Y137" s="257"/>
      <c r="Z137" s="257"/>
    </row>
    <row r="138" spans="1:26" ht="15.75" customHeight="1" x14ac:dyDescent="0.35">
      <c r="A138" s="258">
        <v>130</v>
      </c>
      <c r="B138" s="263" t="s">
        <v>7935</v>
      </c>
      <c r="C138" s="263" t="s">
        <v>7936</v>
      </c>
      <c r="D138" s="263" t="s">
        <v>51</v>
      </c>
      <c r="E138" s="263">
        <v>304</v>
      </c>
      <c r="F138" s="263">
        <v>2014</v>
      </c>
      <c r="G138" s="263" t="s">
        <v>8128</v>
      </c>
      <c r="H138" s="263" t="s">
        <v>7938</v>
      </c>
      <c r="I138" s="265"/>
      <c r="J138" s="263"/>
      <c r="K138" s="263" t="s">
        <v>7942</v>
      </c>
      <c r="L138" s="263" t="s">
        <v>422</v>
      </c>
      <c r="M138" s="266">
        <v>5000</v>
      </c>
      <c r="N138" s="263" t="s">
        <v>3059</v>
      </c>
      <c r="O138" s="263" t="s">
        <v>8140</v>
      </c>
      <c r="P138" s="232">
        <v>1</v>
      </c>
      <c r="Q138" s="256"/>
      <c r="R138" s="256"/>
      <c r="S138" s="256"/>
      <c r="T138" s="256"/>
      <c r="U138" s="256"/>
      <c r="V138" s="256"/>
      <c r="W138" s="256"/>
      <c r="X138" s="256"/>
      <c r="Y138" s="257"/>
      <c r="Z138" s="257"/>
    </row>
    <row r="139" spans="1:26" ht="15.75" customHeight="1" x14ac:dyDescent="0.35">
      <c r="A139" s="264">
        <v>131</v>
      </c>
      <c r="B139" s="263" t="s">
        <v>7935</v>
      </c>
      <c r="C139" s="263" t="s">
        <v>7936</v>
      </c>
      <c r="D139" s="263" t="s">
        <v>59</v>
      </c>
      <c r="E139" s="263">
        <v>24750</v>
      </c>
      <c r="F139" s="263">
        <v>2003</v>
      </c>
      <c r="G139" s="263" t="s">
        <v>8126</v>
      </c>
      <c r="H139" s="263" t="s">
        <v>7938</v>
      </c>
      <c r="I139" s="265"/>
      <c r="J139" s="263"/>
      <c r="K139" s="263" t="s">
        <v>7939</v>
      </c>
      <c r="L139" s="263" t="s">
        <v>57</v>
      </c>
      <c r="M139" s="266">
        <v>97763</v>
      </c>
      <c r="N139" s="263" t="s">
        <v>7940</v>
      </c>
      <c r="O139" s="263" t="s">
        <v>8140</v>
      </c>
      <c r="P139" s="232">
        <v>1</v>
      </c>
      <c r="Q139" s="256"/>
      <c r="R139" s="256"/>
      <c r="S139" s="256"/>
      <c r="T139" s="256"/>
      <c r="U139" s="256"/>
      <c r="V139" s="256"/>
      <c r="W139" s="256"/>
      <c r="X139" s="256"/>
      <c r="Y139" s="257"/>
      <c r="Z139" s="257"/>
    </row>
    <row r="140" spans="1:26" ht="15.75" customHeight="1" x14ac:dyDescent="0.35">
      <c r="A140" s="258">
        <v>132</v>
      </c>
      <c r="B140" s="263" t="s">
        <v>7935</v>
      </c>
      <c r="C140" s="263" t="s">
        <v>7936</v>
      </c>
      <c r="D140" s="263" t="s">
        <v>51</v>
      </c>
      <c r="E140" s="263">
        <v>2000</v>
      </c>
      <c r="F140" s="263">
        <v>2014</v>
      </c>
      <c r="G140" s="263" t="s">
        <v>8130</v>
      </c>
      <c r="H140" s="263" t="s">
        <v>7938</v>
      </c>
      <c r="I140" s="265"/>
      <c r="J140" s="263"/>
      <c r="K140" s="263" t="s">
        <v>7942</v>
      </c>
      <c r="L140" s="263" t="s">
        <v>422</v>
      </c>
      <c r="M140" s="266">
        <v>10000</v>
      </c>
      <c r="N140" s="263" t="s">
        <v>3059</v>
      </c>
      <c r="O140" s="263" t="s">
        <v>8141</v>
      </c>
      <c r="P140" s="232">
        <v>1</v>
      </c>
      <c r="Q140" s="256"/>
      <c r="R140" s="256"/>
      <c r="S140" s="256"/>
      <c r="T140" s="256"/>
      <c r="U140" s="256"/>
      <c r="V140" s="256"/>
      <c r="W140" s="256"/>
      <c r="X140" s="256"/>
      <c r="Y140" s="257"/>
      <c r="Z140" s="257"/>
    </row>
    <row r="141" spans="1:26" ht="15.75" customHeight="1" x14ac:dyDescent="0.35">
      <c r="A141" s="258">
        <v>133</v>
      </c>
      <c r="B141" s="263" t="s">
        <v>7935</v>
      </c>
      <c r="C141" s="263" t="s">
        <v>7936</v>
      </c>
      <c r="D141" s="263" t="s">
        <v>51</v>
      </c>
      <c r="E141" s="263">
        <v>6242</v>
      </c>
      <c r="F141" s="263">
        <v>2024</v>
      </c>
      <c r="G141" s="263" t="s">
        <v>8142</v>
      </c>
      <c r="H141" s="263" t="s">
        <v>7938</v>
      </c>
      <c r="I141" s="265">
        <v>43447</v>
      </c>
      <c r="J141" s="263" t="s">
        <v>8129</v>
      </c>
      <c r="K141" s="263" t="s">
        <v>8143</v>
      </c>
      <c r="L141" s="263" t="s">
        <v>422</v>
      </c>
      <c r="M141" s="266">
        <v>224712</v>
      </c>
      <c r="N141" s="263" t="s">
        <v>7969</v>
      </c>
      <c r="O141" s="263" t="s">
        <v>8144</v>
      </c>
      <c r="P141" s="232">
        <v>1</v>
      </c>
      <c r="Q141" s="256"/>
      <c r="R141" s="256"/>
      <c r="S141" s="256"/>
      <c r="T141" s="256"/>
      <c r="U141" s="256"/>
      <c r="V141" s="256"/>
      <c r="W141" s="256"/>
      <c r="X141" s="256"/>
      <c r="Y141" s="257"/>
      <c r="Z141" s="257"/>
    </row>
    <row r="142" spans="1:26" ht="15.75" customHeight="1" x14ac:dyDescent="0.35">
      <c r="A142" s="264">
        <v>134</v>
      </c>
      <c r="B142" s="263" t="s">
        <v>8002</v>
      </c>
      <c r="C142" s="263" t="s">
        <v>8003</v>
      </c>
      <c r="D142" s="263" t="s">
        <v>51</v>
      </c>
      <c r="E142" s="263">
        <v>1600</v>
      </c>
      <c r="F142" s="263">
        <v>2013</v>
      </c>
      <c r="G142" s="263" t="s">
        <v>8145</v>
      </c>
      <c r="H142" s="263" t="s">
        <v>7938</v>
      </c>
      <c r="I142" s="265"/>
      <c r="J142" s="263"/>
      <c r="K142" s="263" t="s">
        <v>8146</v>
      </c>
      <c r="L142" s="263" t="s">
        <v>422</v>
      </c>
      <c r="M142" s="266">
        <v>135906.87</v>
      </c>
      <c r="N142" s="263" t="s">
        <v>8147</v>
      </c>
      <c r="O142" s="263" t="s">
        <v>8148</v>
      </c>
      <c r="P142" s="232">
        <v>1</v>
      </c>
      <c r="Q142" s="256"/>
      <c r="R142" s="256"/>
      <c r="S142" s="256"/>
      <c r="T142" s="256"/>
      <c r="U142" s="256"/>
      <c r="V142" s="256"/>
      <c r="W142" s="256"/>
      <c r="X142" s="256"/>
      <c r="Y142" s="257"/>
      <c r="Z142" s="257"/>
    </row>
    <row r="143" spans="1:26" ht="15.75" customHeight="1" x14ac:dyDescent="0.35">
      <c r="A143" s="258">
        <v>135</v>
      </c>
      <c r="B143" s="263" t="s">
        <v>7935</v>
      </c>
      <c r="C143" s="263" t="s">
        <v>7936</v>
      </c>
      <c r="D143" s="263" t="s">
        <v>51</v>
      </c>
      <c r="E143" s="263">
        <v>1825</v>
      </c>
      <c r="F143" s="263">
        <v>2014</v>
      </c>
      <c r="G143" s="263" t="s">
        <v>8149</v>
      </c>
      <c r="H143" s="263" t="s">
        <v>7938</v>
      </c>
      <c r="I143" s="265"/>
      <c r="J143" s="263"/>
      <c r="K143" s="263" t="s">
        <v>7942</v>
      </c>
      <c r="L143" s="263" t="s">
        <v>422</v>
      </c>
      <c r="M143" s="266">
        <v>10000</v>
      </c>
      <c r="N143" s="263" t="s">
        <v>3059</v>
      </c>
      <c r="O143" s="263" t="s">
        <v>8150</v>
      </c>
      <c r="P143" s="232">
        <v>1</v>
      </c>
      <c r="Q143" s="256"/>
      <c r="R143" s="256"/>
      <c r="S143" s="256"/>
      <c r="T143" s="256"/>
      <c r="U143" s="256"/>
      <c r="V143" s="256"/>
      <c r="W143" s="256"/>
      <c r="X143" s="256"/>
      <c r="Y143" s="257"/>
      <c r="Z143" s="257"/>
    </row>
    <row r="144" spans="1:26" ht="15.75" customHeight="1" x14ac:dyDescent="0.35">
      <c r="A144" s="258">
        <v>136</v>
      </c>
      <c r="B144" s="263" t="s">
        <v>7964</v>
      </c>
      <c r="C144" s="263" t="s">
        <v>7965</v>
      </c>
      <c r="D144" s="263" t="s">
        <v>51</v>
      </c>
      <c r="E144" s="263">
        <v>239</v>
      </c>
      <c r="F144" s="263">
        <v>2024</v>
      </c>
      <c r="G144" s="263" t="s">
        <v>8151</v>
      </c>
      <c r="H144" s="263" t="s">
        <v>7938</v>
      </c>
      <c r="I144" s="265">
        <v>44791</v>
      </c>
      <c r="J144" s="263" t="s">
        <v>8152</v>
      </c>
      <c r="K144" s="263" t="s">
        <v>8153</v>
      </c>
      <c r="L144" s="263" t="s">
        <v>422</v>
      </c>
      <c r="M144" s="266">
        <v>6453</v>
      </c>
      <c r="N144" s="263" t="s">
        <v>7969</v>
      </c>
      <c r="O144" s="263" t="s">
        <v>8154</v>
      </c>
      <c r="P144" s="232">
        <v>1</v>
      </c>
      <c r="Q144" s="256"/>
      <c r="R144" s="256"/>
      <c r="S144" s="256"/>
      <c r="T144" s="256"/>
      <c r="U144" s="256"/>
      <c r="V144" s="256"/>
      <c r="W144" s="256"/>
      <c r="X144" s="256"/>
      <c r="Y144" s="257"/>
      <c r="Z144" s="257"/>
    </row>
    <row r="145" spans="1:26" ht="15.75" customHeight="1" x14ac:dyDescent="0.35">
      <c r="A145" s="264">
        <v>137</v>
      </c>
      <c r="B145" s="263" t="s">
        <v>7935</v>
      </c>
      <c r="C145" s="263" t="s">
        <v>7936</v>
      </c>
      <c r="D145" s="263" t="s">
        <v>51</v>
      </c>
      <c r="E145" s="263">
        <v>239</v>
      </c>
      <c r="F145" s="263">
        <v>2014</v>
      </c>
      <c r="G145" s="263" t="s">
        <v>8155</v>
      </c>
      <c r="H145" s="263" t="s">
        <v>7938</v>
      </c>
      <c r="I145" s="265">
        <v>44791</v>
      </c>
      <c r="J145" s="263" t="s">
        <v>8152</v>
      </c>
      <c r="K145" s="263" t="s">
        <v>7942</v>
      </c>
      <c r="L145" s="263" t="s">
        <v>422</v>
      </c>
      <c r="M145" s="266">
        <v>12640</v>
      </c>
      <c r="N145" s="263" t="s">
        <v>3059</v>
      </c>
      <c r="O145" s="263" t="s">
        <v>8154</v>
      </c>
      <c r="P145" s="232">
        <v>1</v>
      </c>
      <c r="Q145" s="256"/>
      <c r="R145" s="256"/>
      <c r="S145" s="256"/>
      <c r="T145" s="256"/>
      <c r="U145" s="256"/>
      <c r="V145" s="256"/>
      <c r="W145" s="256"/>
      <c r="X145" s="256"/>
      <c r="Y145" s="257"/>
      <c r="Z145" s="257"/>
    </row>
    <row r="146" spans="1:26" ht="15.75" customHeight="1" x14ac:dyDescent="0.35">
      <c r="A146" s="258">
        <v>138</v>
      </c>
      <c r="B146" s="263" t="s">
        <v>7935</v>
      </c>
      <c r="C146" s="263" t="s">
        <v>7936</v>
      </c>
      <c r="D146" s="263" t="s">
        <v>51</v>
      </c>
      <c r="E146" s="263">
        <v>6144</v>
      </c>
      <c r="F146" s="263">
        <v>2014</v>
      </c>
      <c r="G146" s="263" t="s">
        <v>8156</v>
      </c>
      <c r="H146" s="263" t="s">
        <v>7938</v>
      </c>
      <c r="I146" s="265"/>
      <c r="J146" s="263"/>
      <c r="K146" s="263" t="s">
        <v>7942</v>
      </c>
      <c r="L146" s="263" t="s">
        <v>422</v>
      </c>
      <c r="M146" s="266">
        <v>23000</v>
      </c>
      <c r="N146" s="263"/>
      <c r="O146" s="263" t="s">
        <v>8157</v>
      </c>
      <c r="P146" s="232">
        <v>1</v>
      </c>
      <c r="Q146" s="256"/>
      <c r="R146" s="256"/>
      <c r="S146" s="256"/>
      <c r="T146" s="256"/>
      <c r="U146" s="256"/>
      <c r="V146" s="256"/>
      <c r="W146" s="256"/>
      <c r="X146" s="256"/>
      <c r="Y146" s="257"/>
      <c r="Z146" s="257"/>
    </row>
    <row r="147" spans="1:26" ht="15.75" customHeight="1" x14ac:dyDescent="0.35">
      <c r="A147" s="258">
        <v>139</v>
      </c>
      <c r="B147" s="263" t="s">
        <v>7935</v>
      </c>
      <c r="C147" s="263" t="s">
        <v>7936</v>
      </c>
      <c r="D147" s="263" t="s">
        <v>59</v>
      </c>
      <c r="E147" s="263">
        <v>2600</v>
      </c>
      <c r="F147" s="263">
        <v>2003</v>
      </c>
      <c r="G147" s="263" t="s">
        <v>8156</v>
      </c>
      <c r="H147" s="263" t="s">
        <v>7938</v>
      </c>
      <c r="I147" s="265"/>
      <c r="J147" s="263"/>
      <c r="K147" s="263" t="s">
        <v>7939</v>
      </c>
      <c r="L147" s="263" t="s">
        <v>57</v>
      </c>
      <c r="M147" s="266">
        <v>10270</v>
      </c>
      <c r="N147" s="263"/>
      <c r="O147" s="263" t="s">
        <v>8157</v>
      </c>
      <c r="P147" s="232">
        <v>1</v>
      </c>
      <c r="Q147" s="256"/>
      <c r="R147" s="256"/>
      <c r="S147" s="256"/>
      <c r="T147" s="256"/>
      <c r="U147" s="256"/>
      <c r="V147" s="256"/>
      <c r="W147" s="256"/>
      <c r="X147" s="256"/>
      <c r="Y147" s="257"/>
      <c r="Z147" s="257"/>
    </row>
    <row r="148" spans="1:26" ht="15.75" customHeight="1" x14ac:dyDescent="0.35">
      <c r="A148" s="264">
        <v>140</v>
      </c>
      <c r="B148" s="263" t="s">
        <v>7935</v>
      </c>
      <c r="C148" s="263" t="s">
        <v>7936</v>
      </c>
      <c r="D148" s="263" t="s">
        <v>51</v>
      </c>
      <c r="E148" s="263">
        <v>28125</v>
      </c>
      <c r="F148" s="263">
        <v>2003</v>
      </c>
      <c r="G148" s="263" t="s">
        <v>8155</v>
      </c>
      <c r="H148" s="263" t="s">
        <v>7938</v>
      </c>
      <c r="I148" s="265"/>
      <c r="J148" s="263"/>
      <c r="K148" s="263" t="s">
        <v>7939</v>
      </c>
      <c r="L148" s="263" t="s">
        <v>57</v>
      </c>
      <c r="M148" s="266">
        <v>101250</v>
      </c>
      <c r="N148" s="263" t="s">
        <v>7940</v>
      </c>
      <c r="O148" s="263" t="s">
        <v>8158</v>
      </c>
      <c r="P148" s="232">
        <v>1</v>
      </c>
      <c r="Q148" s="256"/>
      <c r="R148" s="256"/>
      <c r="S148" s="256"/>
      <c r="T148" s="256"/>
      <c r="U148" s="256"/>
      <c r="V148" s="256"/>
      <c r="W148" s="256"/>
      <c r="X148" s="256"/>
      <c r="Y148" s="257"/>
      <c r="Z148" s="257"/>
    </row>
    <row r="149" spans="1:26" ht="15.75" customHeight="1" x14ac:dyDescent="0.35">
      <c r="A149" s="258">
        <v>141</v>
      </c>
      <c r="B149" s="263" t="s">
        <v>7935</v>
      </c>
      <c r="C149" s="263" t="s">
        <v>7936</v>
      </c>
      <c r="D149" s="263" t="s">
        <v>59</v>
      </c>
      <c r="E149" s="263">
        <v>1825</v>
      </c>
      <c r="F149" s="263">
        <v>2014</v>
      </c>
      <c r="G149" s="263" t="s">
        <v>8155</v>
      </c>
      <c r="H149" s="263" t="s">
        <v>7938</v>
      </c>
      <c r="I149" s="265"/>
      <c r="J149" s="263"/>
      <c r="K149" s="263" t="s">
        <v>7942</v>
      </c>
      <c r="L149" s="263" t="s">
        <v>422</v>
      </c>
      <c r="M149" s="266">
        <v>4471.25</v>
      </c>
      <c r="N149" s="263" t="s">
        <v>3059</v>
      </c>
      <c r="O149" s="263" t="s">
        <v>8158</v>
      </c>
      <c r="P149" s="232">
        <v>1</v>
      </c>
      <c r="Q149" s="256"/>
      <c r="R149" s="256"/>
      <c r="S149" s="256"/>
      <c r="T149" s="256"/>
      <c r="U149" s="256"/>
      <c r="V149" s="256"/>
      <c r="W149" s="256"/>
      <c r="X149" s="256"/>
      <c r="Y149" s="257"/>
      <c r="Z149" s="257"/>
    </row>
    <row r="150" spans="1:26" ht="15.75" customHeight="1" x14ac:dyDescent="0.35">
      <c r="A150" s="258">
        <v>142</v>
      </c>
      <c r="B150" s="263" t="s">
        <v>7935</v>
      </c>
      <c r="C150" s="263" t="s">
        <v>7936</v>
      </c>
      <c r="D150" s="263" t="s">
        <v>51</v>
      </c>
      <c r="E150" s="263">
        <v>1825</v>
      </c>
      <c r="F150" s="263">
        <v>2014</v>
      </c>
      <c r="G150" s="263" t="s">
        <v>8159</v>
      </c>
      <c r="H150" s="263" t="s">
        <v>7938</v>
      </c>
      <c r="I150" s="265"/>
      <c r="J150" s="263"/>
      <c r="K150" s="263" t="s">
        <v>7942</v>
      </c>
      <c r="L150" s="263" t="s">
        <v>422</v>
      </c>
      <c r="M150" s="266">
        <v>9000</v>
      </c>
      <c r="N150" s="263" t="s">
        <v>3059</v>
      </c>
      <c r="O150" s="263" t="s">
        <v>8160</v>
      </c>
      <c r="P150" s="232">
        <v>1</v>
      </c>
      <c r="Q150" s="256"/>
      <c r="R150" s="256"/>
      <c r="S150" s="256"/>
      <c r="T150" s="256"/>
      <c r="U150" s="256"/>
      <c r="V150" s="256"/>
      <c r="W150" s="256"/>
      <c r="X150" s="256"/>
      <c r="Y150" s="257"/>
      <c r="Z150" s="257"/>
    </row>
    <row r="151" spans="1:26" ht="15.75" customHeight="1" x14ac:dyDescent="0.35">
      <c r="A151" s="264">
        <v>143</v>
      </c>
      <c r="B151" s="263" t="s">
        <v>7935</v>
      </c>
      <c r="C151" s="263" t="s">
        <v>7936</v>
      </c>
      <c r="D151" s="263" t="s">
        <v>59</v>
      </c>
      <c r="E151" s="263">
        <v>1875</v>
      </c>
      <c r="F151" s="263">
        <v>2003</v>
      </c>
      <c r="G151" s="263" t="s">
        <v>8159</v>
      </c>
      <c r="H151" s="263" t="s">
        <v>7938</v>
      </c>
      <c r="I151" s="265"/>
      <c r="J151" s="263"/>
      <c r="K151" s="263" t="s">
        <v>7939</v>
      </c>
      <c r="L151" s="263" t="s">
        <v>57</v>
      </c>
      <c r="M151" s="266">
        <v>7125</v>
      </c>
      <c r="N151" s="263" t="s">
        <v>7940</v>
      </c>
      <c r="O151" s="263" t="s">
        <v>8160</v>
      </c>
      <c r="P151" s="232">
        <v>1</v>
      </c>
      <c r="Q151" s="256"/>
      <c r="R151" s="256"/>
      <c r="S151" s="256"/>
      <c r="T151" s="256"/>
      <c r="U151" s="256"/>
      <c r="V151" s="256"/>
      <c r="W151" s="256"/>
      <c r="X151" s="256"/>
      <c r="Y151" s="257"/>
      <c r="Z151" s="257"/>
    </row>
    <row r="152" spans="1:26" ht="15.75" customHeight="1" x14ac:dyDescent="0.35">
      <c r="A152" s="258">
        <v>144</v>
      </c>
      <c r="B152" s="263" t="s">
        <v>7935</v>
      </c>
      <c r="C152" s="263" t="s">
        <v>7936</v>
      </c>
      <c r="D152" s="263" t="s">
        <v>51</v>
      </c>
      <c r="E152" s="263">
        <v>1825</v>
      </c>
      <c r="F152" s="263">
        <v>2014</v>
      </c>
      <c r="G152" s="263" t="s">
        <v>8149</v>
      </c>
      <c r="H152" s="263" t="s">
        <v>7938</v>
      </c>
      <c r="I152" s="265"/>
      <c r="J152" s="263"/>
      <c r="K152" s="263" t="s">
        <v>7942</v>
      </c>
      <c r="L152" s="263" t="s">
        <v>422</v>
      </c>
      <c r="M152" s="266">
        <v>10000</v>
      </c>
      <c r="N152" s="263" t="s">
        <v>3059</v>
      </c>
      <c r="O152" s="263" t="s">
        <v>8161</v>
      </c>
      <c r="P152" s="232">
        <v>1</v>
      </c>
      <c r="Q152" s="256"/>
      <c r="R152" s="256"/>
      <c r="S152" s="256"/>
      <c r="T152" s="256"/>
      <c r="U152" s="256"/>
      <c r="V152" s="256"/>
      <c r="W152" s="256"/>
      <c r="X152" s="256"/>
      <c r="Y152" s="257"/>
      <c r="Z152" s="257"/>
    </row>
    <row r="153" spans="1:26" ht="15.75" customHeight="1" x14ac:dyDescent="0.35">
      <c r="A153" s="258">
        <v>145</v>
      </c>
      <c r="B153" s="263" t="s">
        <v>8002</v>
      </c>
      <c r="C153" s="263" t="s">
        <v>8003</v>
      </c>
      <c r="D153" s="263" t="s">
        <v>51</v>
      </c>
      <c r="E153" s="263">
        <v>985</v>
      </c>
      <c r="F153" s="263">
        <v>2013</v>
      </c>
      <c r="G153" s="263" t="s">
        <v>8162</v>
      </c>
      <c r="H153" s="263" t="s">
        <v>7938</v>
      </c>
      <c r="I153" s="265">
        <v>44323</v>
      </c>
      <c r="J153" s="263" t="s">
        <v>8163</v>
      </c>
      <c r="K153" s="263" t="s">
        <v>8164</v>
      </c>
      <c r="L153" s="263" t="s">
        <v>422</v>
      </c>
      <c r="M153" s="266">
        <v>242.5</v>
      </c>
      <c r="N153" s="263" t="s">
        <v>8057</v>
      </c>
      <c r="O153" s="263" t="s">
        <v>8165</v>
      </c>
      <c r="P153" s="232">
        <v>1</v>
      </c>
      <c r="Q153" s="256"/>
      <c r="R153" s="256"/>
      <c r="S153" s="256"/>
      <c r="T153" s="256"/>
      <c r="U153" s="256"/>
      <c r="V153" s="256"/>
      <c r="W153" s="256"/>
      <c r="X153" s="256"/>
      <c r="Y153" s="257"/>
      <c r="Z153" s="257"/>
    </row>
    <row r="154" spans="1:26" ht="15.75" customHeight="1" x14ac:dyDescent="0.35">
      <c r="A154" s="264">
        <v>146</v>
      </c>
      <c r="B154" s="263" t="s">
        <v>7935</v>
      </c>
      <c r="C154" s="263" t="s">
        <v>7936</v>
      </c>
      <c r="D154" s="263" t="s">
        <v>51</v>
      </c>
      <c r="E154" s="263">
        <v>7360</v>
      </c>
      <c r="F154" s="263">
        <v>2014</v>
      </c>
      <c r="G154" s="263" t="s">
        <v>8166</v>
      </c>
      <c r="H154" s="263" t="s">
        <v>7938</v>
      </c>
      <c r="I154" s="265"/>
      <c r="J154" s="263"/>
      <c r="K154" s="263" t="s">
        <v>7942</v>
      </c>
      <c r="L154" s="263" t="s">
        <v>422</v>
      </c>
      <c r="M154" s="266">
        <v>36800</v>
      </c>
      <c r="N154" s="263" t="s">
        <v>3059</v>
      </c>
      <c r="O154" s="263" t="s">
        <v>8167</v>
      </c>
      <c r="P154" s="232">
        <v>1</v>
      </c>
      <c r="Q154" s="256"/>
      <c r="R154" s="256"/>
      <c r="S154" s="256"/>
      <c r="T154" s="256"/>
      <c r="U154" s="256"/>
      <c r="V154" s="256"/>
      <c r="W154" s="256"/>
      <c r="X154" s="256"/>
      <c r="Y154" s="257"/>
      <c r="Z154" s="257"/>
    </row>
    <row r="155" spans="1:26" ht="15.75" customHeight="1" x14ac:dyDescent="0.35">
      <c r="A155" s="258">
        <v>147</v>
      </c>
      <c r="B155" s="263" t="s">
        <v>7935</v>
      </c>
      <c r="C155" s="263" t="s">
        <v>7936</v>
      </c>
      <c r="D155" s="263" t="s">
        <v>51</v>
      </c>
      <c r="E155" s="263">
        <v>8760</v>
      </c>
      <c r="F155" s="263">
        <v>2014</v>
      </c>
      <c r="G155" s="263" t="s">
        <v>8168</v>
      </c>
      <c r="H155" s="263" t="s">
        <v>7938</v>
      </c>
      <c r="I155" s="265"/>
      <c r="J155" s="263"/>
      <c r="K155" s="263" t="s">
        <v>7942</v>
      </c>
      <c r="L155" s="263" t="s">
        <v>422</v>
      </c>
      <c r="M155" s="266">
        <v>43800</v>
      </c>
      <c r="N155" s="263" t="s">
        <v>3059</v>
      </c>
      <c r="O155" s="263" t="s">
        <v>8169</v>
      </c>
      <c r="P155" s="232">
        <v>1</v>
      </c>
      <c r="Q155" s="256"/>
      <c r="R155" s="256"/>
      <c r="S155" s="256"/>
      <c r="T155" s="256"/>
      <c r="U155" s="256"/>
      <c r="V155" s="256"/>
      <c r="W155" s="256"/>
      <c r="X155" s="256"/>
      <c r="Y155" s="257"/>
      <c r="Z155" s="257"/>
    </row>
    <row r="156" spans="1:26" ht="15.75" customHeight="1" x14ac:dyDescent="0.35">
      <c r="A156" s="258">
        <v>148</v>
      </c>
      <c r="B156" s="263" t="s">
        <v>7935</v>
      </c>
      <c r="C156" s="263" t="s">
        <v>7936</v>
      </c>
      <c r="D156" s="263" t="s">
        <v>59</v>
      </c>
      <c r="E156" s="263">
        <v>5000</v>
      </c>
      <c r="F156" s="263">
        <v>2003</v>
      </c>
      <c r="G156" s="263" t="s">
        <v>8168</v>
      </c>
      <c r="H156" s="263" t="s">
        <v>7938</v>
      </c>
      <c r="I156" s="265"/>
      <c r="J156" s="263"/>
      <c r="K156" s="263" t="s">
        <v>7939</v>
      </c>
      <c r="L156" s="263" t="s">
        <v>57</v>
      </c>
      <c r="M156" s="266">
        <v>18625</v>
      </c>
      <c r="N156" s="263" t="s">
        <v>7940</v>
      </c>
      <c r="O156" s="263" t="s">
        <v>8169</v>
      </c>
      <c r="P156" s="232">
        <v>1</v>
      </c>
      <c r="Q156" s="256"/>
      <c r="R156" s="256"/>
      <c r="S156" s="256"/>
      <c r="T156" s="256"/>
      <c r="U156" s="256"/>
      <c r="V156" s="256"/>
      <c r="W156" s="256"/>
      <c r="X156" s="256"/>
      <c r="Y156" s="257"/>
      <c r="Z156" s="257"/>
    </row>
    <row r="157" spans="1:26" ht="15.75" customHeight="1" x14ac:dyDescent="0.35">
      <c r="A157" s="258">
        <v>149</v>
      </c>
      <c r="B157" s="263" t="s">
        <v>7935</v>
      </c>
      <c r="C157" s="263" t="s">
        <v>7936</v>
      </c>
      <c r="D157" s="263" t="s">
        <v>51</v>
      </c>
      <c r="E157" s="263">
        <v>4500</v>
      </c>
      <c r="F157" s="263">
        <v>2003</v>
      </c>
      <c r="G157" s="263" t="s">
        <v>8170</v>
      </c>
      <c r="H157" s="263" t="s">
        <v>7938</v>
      </c>
      <c r="I157" s="265"/>
      <c r="J157" s="263"/>
      <c r="K157" s="263" t="s">
        <v>7939</v>
      </c>
      <c r="L157" s="263" t="s">
        <v>57</v>
      </c>
      <c r="M157" s="266">
        <v>16650</v>
      </c>
      <c r="N157" s="263" t="s">
        <v>7940</v>
      </c>
      <c r="O157" s="263" t="s">
        <v>8171</v>
      </c>
      <c r="P157" s="232">
        <v>1</v>
      </c>
      <c r="Q157" s="256"/>
      <c r="R157" s="256"/>
      <c r="S157" s="256"/>
      <c r="T157" s="256"/>
      <c r="U157" s="256"/>
      <c r="V157" s="256"/>
      <c r="W157" s="256"/>
      <c r="X157" s="256"/>
      <c r="Y157" s="257"/>
      <c r="Z157" s="257"/>
    </row>
    <row r="158" spans="1:26" ht="15.75" customHeight="1" x14ac:dyDescent="0.35">
      <c r="A158" s="258">
        <v>150</v>
      </c>
      <c r="B158" s="263" t="s">
        <v>7935</v>
      </c>
      <c r="C158" s="263" t="s">
        <v>7936</v>
      </c>
      <c r="D158" s="263" t="s">
        <v>59</v>
      </c>
      <c r="E158" s="263">
        <v>1900</v>
      </c>
      <c r="F158" s="263">
        <v>2014</v>
      </c>
      <c r="G158" s="263" t="s">
        <v>8170</v>
      </c>
      <c r="H158" s="263" t="s">
        <v>7938</v>
      </c>
      <c r="I158" s="265"/>
      <c r="J158" s="263"/>
      <c r="K158" s="263" t="s">
        <v>7942</v>
      </c>
      <c r="L158" s="263" t="s">
        <v>422</v>
      </c>
      <c r="M158" s="266">
        <v>6000</v>
      </c>
      <c r="N158" s="263" t="s">
        <v>3059</v>
      </c>
      <c r="O158" s="263" t="s">
        <v>8171</v>
      </c>
      <c r="P158" s="232">
        <v>1</v>
      </c>
      <c r="Q158" s="256"/>
      <c r="R158" s="256"/>
      <c r="S158" s="256"/>
      <c r="T158" s="256"/>
      <c r="U158" s="256"/>
      <c r="V158" s="256"/>
      <c r="W158" s="256"/>
      <c r="X158" s="256"/>
      <c r="Y158" s="257"/>
      <c r="Z158" s="257"/>
    </row>
    <row r="159" spans="1:26" ht="15.75" customHeight="1" x14ac:dyDescent="0.35">
      <c r="A159" s="264">
        <v>151</v>
      </c>
      <c r="B159" s="263" t="s">
        <v>7935</v>
      </c>
      <c r="C159" s="263" t="s">
        <v>7936</v>
      </c>
      <c r="D159" s="263" t="s">
        <v>51</v>
      </c>
      <c r="E159" s="263">
        <v>2500</v>
      </c>
      <c r="F159" s="263">
        <v>2014</v>
      </c>
      <c r="G159" s="263" t="s">
        <v>8172</v>
      </c>
      <c r="H159" s="263" t="s">
        <v>7938</v>
      </c>
      <c r="I159" s="265"/>
      <c r="J159" s="263"/>
      <c r="K159" s="263" t="s">
        <v>7942</v>
      </c>
      <c r="L159" s="263" t="s">
        <v>422</v>
      </c>
      <c r="M159" s="266">
        <v>9000</v>
      </c>
      <c r="N159" s="263" t="s">
        <v>3059</v>
      </c>
      <c r="O159" s="263" t="s">
        <v>8173</v>
      </c>
      <c r="P159" s="232">
        <v>1</v>
      </c>
      <c r="Q159" s="256"/>
      <c r="R159" s="256"/>
      <c r="S159" s="256"/>
      <c r="T159" s="256"/>
      <c r="U159" s="256"/>
      <c r="V159" s="256"/>
      <c r="W159" s="256"/>
      <c r="X159" s="256"/>
      <c r="Y159" s="257"/>
      <c r="Z159" s="257"/>
    </row>
    <row r="160" spans="1:26" ht="15.75" customHeight="1" x14ac:dyDescent="0.35">
      <c r="A160" s="258">
        <v>152</v>
      </c>
      <c r="B160" s="263" t="s">
        <v>7935</v>
      </c>
      <c r="C160" s="263" t="s">
        <v>7936</v>
      </c>
      <c r="D160" s="263" t="s">
        <v>59</v>
      </c>
      <c r="E160" s="263">
        <v>3500</v>
      </c>
      <c r="F160" s="263">
        <v>2003</v>
      </c>
      <c r="G160" s="263" t="s">
        <v>8172</v>
      </c>
      <c r="H160" s="263" t="s">
        <v>7938</v>
      </c>
      <c r="I160" s="265"/>
      <c r="J160" s="263"/>
      <c r="K160" s="263" t="s">
        <v>7939</v>
      </c>
      <c r="L160" s="263" t="s">
        <v>57</v>
      </c>
      <c r="M160" s="266">
        <v>13038</v>
      </c>
      <c r="N160" s="263" t="s">
        <v>7940</v>
      </c>
      <c r="O160" s="263" t="s">
        <v>8173</v>
      </c>
      <c r="P160" s="232">
        <v>1</v>
      </c>
      <c r="Q160" s="256"/>
      <c r="R160" s="256"/>
      <c r="S160" s="256"/>
      <c r="T160" s="256"/>
      <c r="U160" s="256"/>
      <c r="V160" s="256"/>
      <c r="W160" s="256"/>
      <c r="X160" s="256"/>
      <c r="Y160" s="257"/>
      <c r="Z160" s="257"/>
    </row>
    <row r="161" spans="1:26" ht="15.75" customHeight="1" x14ac:dyDescent="0.35">
      <c r="A161" s="258">
        <v>153</v>
      </c>
      <c r="B161" s="263" t="s">
        <v>7935</v>
      </c>
      <c r="C161" s="263" t="s">
        <v>7936</v>
      </c>
      <c r="D161" s="263" t="s">
        <v>51</v>
      </c>
      <c r="E161" s="263">
        <v>2128</v>
      </c>
      <c r="F161" s="263">
        <v>2003</v>
      </c>
      <c r="G161" s="263" t="s">
        <v>8174</v>
      </c>
      <c r="H161" s="263" t="s">
        <v>7938</v>
      </c>
      <c r="I161" s="265">
        <v>44473</v>
      </c>
      <c r="J161" s="263" t="s">
        <v>8175</v>
      </c>
      <c r="K161" s="263" t="s">
        <v>7939</v>
      </c>
      <c r="L161" s="263" t="s">
        <v>57</v>
      </c>
      <c r="M161" s="266">
        <v>9125</v>
      </c>
      <c r="N161" s="263" t="s">
        <v>7940</v>
      </c>
      <c r="O161" s="263" t="s">
        <v>8176</v>
      </c>
      <c r="P161" s="232">
        <v>1</v>
      </c>
      <c r="Q161" s="256"/>
      <c r="R161" s="256"/>
      <c r="S161" s="256"/>
      <c r="T161" s="256"/>
      <c r="U161" s="256"/>
      <c r="V161" s="256"/>
      <c r="W161" s="256"/>
      <c r="X161" s="256"/>
      <c r="Y161" s="257"/>
      <c r="Z161" s="257"/>
    </row>
    <row r="162" spans="1:26" ht="15.75" customHeight="1" x14ac:dyDescent="0.35">
      <c r="A162" s="264">
        <v>154</v>
      </c>
      <c r="B162" s="263" t="s">
        <v>7935</v>
      </c>
      <c r="C162" s="263" t="s">
        <v>7936</v>
      </c>
      <c r="D162" s="263" t="s">
        <v>59</v>
      </c>
      <c r="E162" s="263">
        <v>2500</v>
      </c>
      <c r="F162" s="263">
        <v>2014</v>
      </c>
      <c r="G162" s="263" t="s">
        <v>8174</v>
      </c>
      <c r="H162" s="263" t="s">
        <v>7938</v>
      </c>
      <c r="I162" s="265"/>
      <c r="J162" s="263"/>
      <c r="K162" s="263" t="s">
        <v>7942</v>
      </c>
      <c r="L162" s="263" t="s">
        <v>422</v>
      </c>
      <c r="M162" s="266">
        <v>6000</v>
      </c>
      <c r="N162" s="263" t="s">
        <v>3059</v>
      </c>
      <c r="O162" s="263" t="s">
        <v>8176</v>
      </c>
      <c r="P162" s="232">
        <v>1</v>
      </c>
      <c r="Q162" s="256"/>
      <c r="R162" s="256"/>
      <c r="S162" s="256"/>
      <c r="T162" s="256"/>
      <c r="U162" s="256"/>
      <c r="V162" s="256"/>
      <c r="W162" s="256"/>
      <c r="X162" s="256"/>
      <c r="Y162" s="257"/>
      <c r="Z162" s="257"/>
    </row>
    <row r="163" spans="1:26" ht="15.75" customHeight="1" x14ac:dyDescent="0.35">
      <c r="A163" s="258">
        <v>155</v>
      </c>
      <c r="B163" s="263" t="s">
        <v>7935</v>
      </c>
      <c r="C163" s="263" t="s">
        <v>7936</v>
      </c>
      <c r="D163" s="263" t="s">
        <v>51</v>
      </c>
      <c r="E163" s="263">
        <v>15250</v>
      </c>
      <c r="F163" s="263">
        <v>2014</v>
      </c>
      <c r="G163" s="263" t="s">
        <v>8177</v>
      </c>
      <c r="H163" s="263" t="s">
        <v>7938</v>
      </c>
      <c r="I163" s="265"/>
      <c r="J163" s="263"/>
      <c r="K163" s="263" t="s">
        <v>7942</v>
      </c>
      <c r="L163" s="263" t="s">
        <v>422</v>
      </c>
      <c r="M163" s="266">
        <v>15250</v>
      </c>
      <c r="N163" s="263" t="s">
        <v>3059</v>
      </c>
      <c r="O163" s="263" t="s">
        <v>8178</v>
      </c>
      <c r="P163" s="232">
        <v>1</v>
      </c>
      <c r="Q163" s="256"/>
      <c r="R163" s="256"/>
      <c r="S163" s="256"/>
      <c r="T163" s="256"/>
      <c r="U163" s="256"/>
      <c r="V163" s="256"/>
      <c r="W163" s="256"/>
      <c r="X163" s="256"/>
      <c r="Y163" s="257"/>
      <c r="Z163" s="257"/>
    </row>
    <row r="164" spans="1:26" ht="15.75" customHeight="1" x14ac:dyDescent="0.35">
      <c r="A164" s="258">
        <v>156</v>
      </c>
      <c r="B164" s="263" t="s">
        <v>7935</v>
      </c>
      <c r="C164" s="263" t="s">
        <v>7936</v>
      </c>
      <c r="D164" s="263" t="s">
        <v>51</v>
      </c>
      <c r="E164" s="263">
        <v>15250</v>
      </c>
      <c r="F164" s="263">
        <v>2014</v>
      </c>
      <c r="G164" s="263" t="s">
        <v>8179</v>
      </c>
      <c r="H164" s="263" t="s">
        <v>7938</v>
      </c>
      <c r="I164" s="265"/>
      <c r="J164" s="263"/>
      <c r="K164" s="263" t="s">
        <v>7942</v>
      </c>
      <c r="L164" s="263" t="s">
        <v>422</v>
      </c>
      <c r="M164" s="266">
        <v>15250</v>
      </c>
      <c r="N164" s="263" t="s">
        <v>3059</v>
      </c>
      <c r="O164" s="263" t="s">
        <v>8180</v>
      </c>
      <c r="P164" s="232">
        <v>1</v>
      </c>
      <c r="Q164" s="256"/>
      <c r="R164" s="256"/>
      <c r="S164" s="256"/>
      <c r="T164" s="256"/>
      <c r="U164" s="256"/>
      <c r="V164" s="256"/>
      <c r="W164" s="256"/>
      <c r="X164" s="256"/>
      <c r="Y164" s="257"/>
      <c r="Z164" s="257"/>
    </row>
    <row r="165" spans="1:26" ht="15.75" customHeight="1" x14ac:dyDescent="0.35">
      <c r="A165" s="264">
        <v>157</v>
      </c>
      <c r="B165" s="263" t="s">
        <v>7935</v>
      </c>
      <c r="C165" s="263" t="s">
        <v>7936</v>
      </c>
      <c r="D165" s="263" t="s">
        <v>51</v>
      </c>
      <c r="E165" s="263">
        <v>5600</v>
      </c>
      <c r="F165" s="263">
        <v>2014</v>
      </c>
      <c r="G165" s="263" t="s">
        <v>8181</v>
      </c>
      <c r="H165" s="263" t="s">
        <v>7938</v>
      </c>
      <c r="I165" s="265"/>
      <c r="J165" s="263"/>
      <c r="K165" s="263" t="s">
        <v>7942</v>
      </c>
      <c r="L165" s="263" t="s">
        <v>422</v>
      </c>
      <c r="M165" s="266">
        <v>10000</v>
      </c>
      <c r="N165" s="263" t="s">
        <v>3059</v>
      </c>
      <c r="O165" s="263" t="s">
        <v>8182</v>
      </c>
      <c r="P165" s="232">
        <v>1</v>
      </c>
      <c r="Q165" s="256"/>
      <c r="R165" s="256"/>
      <c r="S165" s="256"/>
      <c r="T165" s="256"/>
      <c r="U165" s="256"/>
      <c r="V165" s="256"/>
      <c r="W165" s="256"/>
      <c r="X165" s="256"/>
      <c r="Y165" s="257"/>
      <c r="Z165" s="257"/>
    </row>
    <row r="166" spans="1:26" ht="15.75" customHeight="1" x14ac:dyDescent="0.35">
      <c r="A166" s="258">
        <v>158</v>
      </c>
      <c r="B166" s="263" t="s">
        <v>7935</v>
      </c>
      <c r="C166" s="263" t="s">
        <v>7936</v>
      </c>
      <c r="D166" s="263" t="s">
        <v>59</v>
      </c>
      <c r="E166" s="263">
        <v>9306</v>
      </c>
      <c r="F166" s="263">
        <v>2003</v>
      </c>
      <c r="G166" s="263" t="s">
        <v>8181</v>
      </c>
      <c r="H166" s="263" t="s">
        <v>7938</v>
      </c>
      <c r="I166" s="265">
        <v>44281</v>
      </c>
      <c r="J166" s="263" t="s">
        <v>8183</v>
      </c>
      <c r="K166" s="263" t="s">
        <v>7939</v>
      </c>
      <c r="L166" s="263" t="s">
        <v>57</v>
      </c>
      <c r="M166" s="266">
        <v>64750</v>
      </c>
      <c r="N166" s="263" t="s">
        <v>7940</v>
      </c>
      <c r="O166" s="263" t="s">
        <v>8182</v>
      </c>
      <c r="P166" s="232">
        <v>1</v>
      </c>
      <c r="Q166" s="256"/>
      <c r="R166" s="256"/>
      <c r="S166" s="256"/>
      <c r="T166" s="256"/>
      <c r="U166" s="256"/>
      <c r="V166" s="256"/>
      <c r="W166" s="256"/>
      <c r="X166" s="256"/>
      <c r="Y166" s="257"/>
      <c r="Z166" s="257"/>
    </row>
    <row r="167" spans="1:26" ht="15.75" customHeight="1" x14ac:dyDescent="0.35">
      <c r="A167" s="258">
        <v>159</v>
      </c>
      <c r="B167" s="263" t="s">
        <v>7935</v>
      </c>
      <c r="C167" s="263" t="s">
        <v>7936</v>
      </c>
      <c r="D167" s="263" t="s">
        <v>51</v>
      </c>
      <c r="E167" s="263">
        <v>14980</v>
      </c>
      <c r="F167" s="263">
        <v>2003</v>
      </c>
      <c r="G167" s="263" t="s">
        <v>8184</v>
      </c>
      <c r="H167" s="263" t="s">
        <v>7938</v>
      </c>
      <c r="I167" s="265">
        <v>44456</v>
      </c>
      <c r="J167" s="263" t="s">
        <v>8185</v>
      </c>
      <c r="K167" s="263" t="s">
        <v>7939</v>
      </c>
      <c r="L167" s="263" t="s">
        <v>57</v>
      </c>
      <c r="M167" s="266">
        <v>64750</v>
      </c>
      <c r="N167" s="263" t="s">
        <v>7940</v>
      </c>
      <c r="O167" s="263" t="s">
        <v>8186</v>
      </c>
      <c r="P167" s="232">
        <v>1</v>
      </c>
      <c r="Q167" s="256"/>
      <c r="R167" s="256"/>
      <c r="S167" s="256"/>
      <c r="T167" s="256"/>
      <c r="U167" s="256"/>
      <c r="V167" s="256"/>
      <c r="W167" s="256"/>
      <c r="X167" s="256"/>
      <c r="Y167" s="257"/>
      <c r="Z167" s="257"/>
    </row>
    <row r="168" spans="1:26" ht="15.75" customHeight="1" x14ac:dyDescent="0.35">
      <c r="A168" s="264">
        <v>160</v>
      </c>
      <c r="B168" s="263" t="s">
        <v>7935</v>
      </c>
      <c r="C168" s="263" t="s">
        <v>7936</v>
      </c>
      <c r="D168" s="263" t="s">
        <v>59</v>
      </c>
      <c r="E168" s="263">
        <v>3080</v>
      </c>
      <c r="F168" s="263">
        <v>2014</v>
      </c>
      <c r="G168" s="263" t="s">
        <v>8184</v>
      </c>
      <c r="H168" s="263" t="s">
        <v>7938</v>
      </c>
      <c r="I168" s="265"/>
      <c r="J168" s="263"/>
      <c r="K168" s="263" t="s">
        <v>7942</v>
      </c>
      <c r="L168" s="263" t="s">
        <v>422</v>
      </c>
      <c r="M168" s="266">
        <v>9000</v>
      </c>
      <c r="N168" s="263" t="s">
        <v>3059</v>
      </c>
      <c r="O168" s="263" t="s">
        <v>8186</v>
      </c>
      <c r="P168" s="232">
        <v>1</v>
      </c>
      <c r="Q168" s="256"/>
      <c r="R168" s="256"/>
      <c r="S168" s="256"/>
      <c r="T168" s="256"/>
      <c r="U168" s="256"/>
      <c r="V168" s="256"/>
      <c r="W168" s="256"/>
      <c r="X168" s="256"/>
      <c r="Y168" s="257"/>
      <c r="Z168" s="257"/>
    </row>
    <row r="169" spans="1:26" ht="15.75" customHeight="1" x14ac:dyDescent="0.35">
      <c r="A169" s="258">
        <v>161</v>
      </c>
      <c r="B169" s="263" t="s">
        <v>8002</v>
      </c>
      <c r="C169" s="263" t="s">
        <v>8003</v>
      </c>
      <c r="D169" s="263" t="s">
        <v>51</v>
      </c>
      <c r="E169" s="263">
        <v>3200</v>
      </c>
      <c r="F169" s="263">
        <v>2014</v>
      </c>
      <c r="G169" s="263" t="s">
        <v>8187</v>
      </c>
      <c r="H169" s="263" t="s">
        <v>7938</v>
      </c>
      <c r="I169" s="265"/>
      <c r="J169" s="263"/>
      <c r="K169" s="263" t="s">
        <v>8188</v>
      </c>
      <c r="L169" s="263" t="s">
        <v>422</v>
      </c>
      <c r="M169" s="266">
        <v>640</v>
      </c>
      <c r="N169" s="263" t="s">
        <v>63</v>
      </c>
      <c r="O169" s="263" t="s">
        <v>8189</v>
      </c>
      <c r="P169" s="232">
        <v>1</v>
      </c>
      <c r="Q169" s="256"/>
      <c r="R169" s="256"/>
      <c r="S169" s="256"/>
      <c r="T169" s="256"/>
      <c r="U169" s="256"/>
      <c r="V169" s="256"/>
      <c r="W169" s="256"/>
      <c r="X169" s="256"/>
      <c r="Y169" s="257"/>
      <c r="Z169" s="257"/>
    </row>
    <row r="170" spans="1:26" ht="15.75" customHeight="1" x14ac:dyDescent="0.35">
      <c r="A170" s="258">
        <v>162</v>
      </c>
      <c r="B170" s="263" t="s">
        <v>7935</v>
      </c>
      <c r="C170" s="263" t="s">
        <v>7936</v>
      </c>
      <c r="D170" s="263" t="s">
        <v>51</v>
      </c>
      <c r="E170" s="263">
        <v>3040</v>
      </c>
      <c r="F170" s="263">
        <v>2003</v>
      </c>
      <c r="G170" s="263" t="s">
        <v>8190</v>
      </c>
      <c r="H170" s="263" t="s">
        <v>7938</v>
      </c>
      <c r="I170" s="265"/>
      <c r="J170" s="263"/>
      <c r="K170" s="263" t="s">
        <v>7939</v>
      </c>
      <c r="L170" s="263" t="s">
        <v>57</v>
      </c>
      <c r="M170" s="266">
        <v>11628</v>
      </c>
      <c r="N170" s="263" t="s">
        <v>7940</v>
      </c>
      <c r="O170" s="263" t="s">
        <v>8191</v>
      </c>
      <c r="P170" s="232">
        <v>1</v>
      </c>
      <c r="Q170" s="256"/>
      <c r="R170" s="256"/>
      <c r="S170" s="256"/>
      <c r="T170" s="256"/>
      <c r="U170" s="256"/>
      <c r="V170" s="256"/>
      <c r="W170" s="256"/>
      <c r="X170" s="256"/>
      <c r="Y170" s="257"/>
      <c r="Z170" s="257"/>
    </row>
    <row r="171" spans="1:26" ht="15.75" customHeight="1" x14ac:dyDescent="0.35">
      <c r="A171" s="264">
        <v>163</v>
      </c>
      <c r="B171" s="263" t="s">
        <v>7935</v>
      </c>
      <c r="C171" s="263" t="s">
        <v>7936</v>
      </c>
      <c r="D171" s="263" t="s">
        <v>59</v>
      </c>
      <c r="E171" s="263">
        <v>2025</v>
      </c>
      <c r="F171" s="263">
        <v>2014</v>
      </c>
      <c r="G171" s="263" t="s">
        <v>8190</v>
      </c>
      <c r="H171" s="263" t="s">
        <v>7938</v>
      </c>
      <c r="I171" s="265"/>
      <c r="J171" s="263"/>
      <c r="K171" s="263" t="s">
        <v>7942</v>
      </c>
      <c r="L171" s="263" t="s">
        <v>422</v>
      </c>
      <c r="M171" s="266">
        <v>50000</v>
      </c>
      <c r="N171" s="263" t="s">
        <v>3059</v>
      </c>
      <c r="O171" s="263" t="s">
        <v>8191</v>
      </c>
      <c r="P171" s="232">
        <v>1</v>
      </c>
      <c r="Q171" s="256"/>
      <c r="R171" s="256"/>
      <c r="S171" s="256"/>
      <c r="T171" s="256"/>
      <c r="U171" s="256"/>
      <c r="V171" s="256"/>
      <c r="W171" s="256"/>
      <c r="X171" s="256"/>
      <c r="Y171" s="257"/>
      <c r="Z171" s="257"/>
    </row>
    <row r="172" spans="1:26" ht="15.75" customHeight="1" x14ac:dyDescent="0.35">
      <c r="A172" s="258">
        <v>164</v>
      </c>
      <c r="B172" s="263" t="s">
        <v>7935</v>
      </c>
      <c r="C172" s="263" t="s">
        <v>7936</v>
      </c>
      <c r="D172" s="263" t="s">
        <v>51</v>
      </c>
      <c r="E172" s="263">
        <v>3600</v>
      </c>
      <c r="F172" s="263">
        <v>2014</v>
      </c>
      <c r="G172" s="263" t="s">
        <v>8192</v>
      </c>
      <c r="H172" s="263" t="s">
        <v>7938</v>
      </c>
      <c r="I172" s="265"/>
      <c r="J172" s="263"/>
      <c r="K172" s="263" t="s">
        <v>7942</v>
      </c>
      <c r="L172" s="263" t="s">
        <v>422</v>
      </c>
      <c r="M172" s="266">
        <v>10000</v>
      </c>
      <c r="N172" s="263" t="s">
        <v>3059</v>
      </c>
      <c r="O172" s="263" t="s">
        <v>8193</v>
      </c>
      <c r="P172" s="232">
        <v>1</v>
      </c>
      <c r="Q172" s="256"/>
      <c r="R172" s="256"/>
      <c r="S172" s="256"/>
      <c r="T172" s="256"/>
      <c r="U172" s="256"/>
      <c r="V172" s="256"/>
      <c r="W172" s="256"/>
      <c r="X172" s="256"/>
      <c r="Y172" s="257"/>
      <c r="Z172" s="257"/>
    </row>
    <row r="173" spans="1:26" ht="15.75" customHeight="1" x14ac:dyDescent="0.35">
      <c r="A173" s="258">
        <v>165</v>
      </c>
      <c r="B173" s="263" t="s">
        <v>7935</v>
      </c>
      <c r="C173" s="263" t="s">
        <v>7936</v>
      </c>
      <c r="D173" s="263" t="s">
        <v>59</v>
      </c>
      <c r="E173" s="263">
        <v>4500</v>
      </c>
      <c r="F173" s="263">
        <v>2003</v>
      </c>
      <c r="G173" s="263" t="s">
        <v>8192</v>
      </c>
      <c r="H173" s="263" t="s">
        <v>7938</v>
      </c>
      <c r="I173" s="265"/>
      <c r="J173" s="263"/>
      <c r="K173" s="263" t="s">
        <v>7939</v>
      </c>
      <c r="L173" s="263" t="s">
        <v>57</v>
      </c>
      <c r="M173" s="266">
        <v>17213</v>
      </c>
      <c r="N173" s="263" t="s">
        <v>7940</v>
      </c>
      <c r="O173" s="263" t="s">
        <v>8193</v>
      </c>
      <c r="P173" s="232">
        <v>1</v>
      </c>
      <c r="Q173" s="256"/>
      <c r="R173" s="256"/>
      <c r="S173" s="256"/>
      <c r="T173" s="256"/>
      <c r="U173" s="256"/>
      <c r="V173" s="256"/>
      <c r="W173" s="256"/>
      <c r="X173" s="256"/>
      <c r="Y173" s="257"/>
      <c r="Z173" s="257"/>
    </row>
    <row r="174" spans="1:26" ht="15.75" customHeight="1" x14ac:dyDescent="0.35">
      <c r="A174" s="264">
        <v>166</v>
      </c>
      <c r="B174" s="263" t="s">
        <v>7935</v>
      </c>
      <c r="C174" s="263" t="s">
        <v>7936</v>
      </c>
      <c r="D174" s="263" t="s">
        <v>51</v>
      </c>
      <c r="E174" s="263">
        <v>1598</v>
      </c>
      <c r="F174" s="263">
        <v>2014</v>
      </c>
      <c r="G174" s="263" t="s">
        <v>8194</v>
      </c>
      <c r="H174" s="263" t="s">
        <v>7938</v>
      </c>
      <c r="I174" s="265"/>
      <c r="J174" s="263"/>
      <c r="K174" s="263" t="s">
        <v>7942</v>
      </c>
      <c r="L174" s="263" t="s">
        <v>422</v>
      </c>
      <c r="M174" s="266">
        <v>23500</v>
      </c>
      <c r="N174" s="263" t="s">
        <v>3059</v>
      </c>
      <c r="O174" s="263" t="s">
        <v>8195</v>
      </c>
      <c r="P174" s="232">
        <v>1</v>
      </c>
      <c r="Q174" s="256"/>
      <c r="R174" s="256"/>
      <c r="S174" s="256"/>
      <c r="T174" s="256"/>
      <c r="U174" s="256"/>
      <c r="V174" s="256"/>
      <c r="W174" s="256"/>
      <c r="X174" s="256"/>
      <c r="Y174" s="257"/>
      <c r="Z174" s="257"/>
    </row>
    <row r="175" spans="1:26" ht="15.75" customHeight="1" x14ac:dyDescent="0.35">
      <c r="A175" s="258">
        <v>167</v>
      </c>
      <c r="B175" s="263" t="s">
        <v>7935</v>
      </c>
      <c r="C175" s="263" t="s">
        <v>7936</v>
      </c>
      <c r="D175" s="263" t="s">
        <v>51</v>
      </c>
      <c r="E175" s="263">
        <v>10000</v>
      </c>
      <c r="F175" s="263">
        <v>2014</v>
      </c>
      <c r="G175" s="263" t="s">
        <v>8196</v>
      </c>
      <c r="H175" s="263" t="s">
        <v>7938</v>
      </c>
      <c r="I175" s="265"/>
      <c r="J175" s="263"/>
      <c r="K175" s="263" t="s">
        <v>7942</v>
      </c>
      <c r="L175" s="263" t="s">
        <v>422</v>
      </c>
      <c r="M175" s="266">
        <v>10000</v>
      </c>
      <c r="N175" s="263" t="s">
        <v>3059</v>
      </c>
      <c r="O175" s="263" t="s">
        <v>8197</v>
      </c>
      <c r="P175" s="232">
        <v>1</v>
      </c>
      <c r="Q175" s="256"/>
      <c r="R175" s="256"/>
      <c r="S175" s="256"/>
      <c r="T175" s="256"/>
      <c r="U175" s="256"/>
      <c r="V175" s="256"/>
      <c r="W175" s="256"/>
      <c r="X175" s="256"/>
      <c r="Y175" s="257"/>
      <c r="Z175" s="257"/>
    </row>
    <row r="176" spans="1:26" ht="15.75" customHeight="1" x14ac:dyDescent="0.35">
      <c r="A176" s="258">
        <v>168</v>
      </c>
      <c r="B176" s="263" t="s">
        <v>7935</v>
      </c>
      <c r="C176" s="263" t="s">
        <v>7936</v>
      </c>
      <c r="D176" s="263" t="s">
        <v>51</v>
      </c>
      <c r="E176" s="263">
        <v>10000</v>
      </c>
      <c r="F176" s="263">
        <v>2014</v>
      </c>
      <c r="G176" s="263" t="s">
        <v>8198</v>
      </c>
      <c r="H176" s="263" t="s">
        <v>7938</v>
      </c>
      <c r="I176" s="265"/>
      <c r="J176" s="263"/>
      <c r="K176" s="263" t="s">
        <v>7942</v>
      </c>
      <c r="L176" s="263" t="s">
        <v>422</v>
      </c>
      <c r="M176" s="266">
        <v>9000</v>
      </c>
      <c r="N176" s="263" t="s">
        <v>3059</v>
      </c>
      <c r="O176" s="263" t="s">
        <v>8199</v>
      </c>
      <c r="P176" s="232">
        <v>1</v>
      </c>
      <c r="Q176" s="256"/>
      <c r="R176" s="256"/>
      <c r="S176" s="256"/>
      <c r="T176" s="256"/>
      <c r="U176" s="256"/>
      <c r="V176" s="256"/>
      <c r="W176" s="256"/>
      <c r="X176" s="256"/>
      <c r="Y176" s="257"/>
      <c r="Z176" s="257"/>
    </row>
    <row r="177" spans="1:26" ht="15.75" customHeight="1" x14ac:dyDescent="0.35">
      <c r="A177" s="264">
        <v>169</v>
      </c>
      <c r="B177" s="263" t="s">
        <v>7935</v>
      </c>
      <c r="C177" s="263" t="s">
        <v>7936</v>
      </c>
      <c r="D177" s="263" t="s">
        <v>59</v>
      </c>
      <c r="E177" s="263">
        <v>6090</v>
      </c>
      <c r="F177" s="263">
        <v>2003</v>
      </c>
      <c r="G177" s="263" t="s">
        <v>8198</v>
      </c>
      <c r="H177" s="263" t="s">
        <v>7938</v>
      </c>
      <c r="I177" s="265"/>
      <c r="J177" s="263"/>
      <c r="K177" s="263" t="s">
        <v>7939</v>
      </c>
      <c r="L177" s="263" t="s">
        <v>57</v>
      </c>
      <c r="M177" s="266">
        <v>23142</v>
      </c>
      <c r="N177" s="263" t="s">
        <v>7940</v>
      </c>
      <c r="O177" s="263" t="s">
        <v>8199</v>
      </c>
      <c r="P177" s="232">
        <v>1</v>
      </c>
      <c r="Q177" s="256"/>
      <c r="R177" s="256"/>
      <c r="S177" s="256"/>
      <c r="T177" s="256"/>
      <c r="U177" s="256"/>
      <c r="V177" s="256"/>
      <c r="W177" s="256"/>
      <c r="X177" s="256"/>
      <c r="Y177" s="257"/>
      <c r="Z177" s="257"/>
    </row>
    <row r="178" spans="1:26" ht="15.75" customHeight="1" x14ac:dyDescent="0.35">
      <c r="A178" s="258">
        <v>170</v>
      </c>
      <c r="B178" s="263" t="s">
        <v>7935</v>
      </c>
      <c r="C178" s="263" t="s">
        <v>7936</v>
      </c>
      <c r="D178" s="263" t="s">
        <v>51</v>
      </c>
      <c r="E178" s="263">
        <v>2500</v>
      </c>
      <c r="F178" s="263">
        <v>2003</v>
      </c>
      <c r="G178" s="263" t="s">
        <v>8200</v>
      </c>
      <c r="H178" s="263" t="s">
        <v>7938</v>
      </c>
      <c r="I178" s="265"/>
      <c r="J178" s="263"/>
      <c r="K178" s="263" t="s">
        <v>7939</v>
      </c>
      <c r="L178" s="263" t="s">
        <v>57</v>
      </c>
      <c r="M178" s="266">
        <v>9313</v>
      </c>
      <c r="N178" s="263" t="s">
        <v>7940</v>
      </c>
      <c r="O178" s="263" t="s">
        <v>8201</v>
      </c>
      <c r="P178" s="232">
        <v>1</v>
      </c>
      <c r="Q178" s="256"/>
      <c r="R178" s="256"/>
      <c r="S178" s="256"/>
      <c r="T178" s="256"/>
      <c r="U178" s="256"/>
      <c r="V178" s="256"/>
      <c r="W178" s="256"/>
      <c r="X178" s="256"/>
      <c r="Y178" s="257"/>
      <c r="Z178" s="257"/>
    </row>
    <row r="179" spans="1:26" ht="15.75" customHeight="1" x14ac:dyDescent="0.35">
      <c r="A179" s="258">
        <v>171</v>
      </c>
      <c r="B179" s="263" t="s">
        <v>7935</v>
      </c>
      <c r="C179" s="263" t="s">
        <v>7936</v>
      </c>
      <c r="D179" s="263" t="s">
        <v>51</v>
      </c>
      <c r="E179" s="263">
        <v>3500</v>
      </c>
      <c r="F179" s="263">
        <v>2003</v>
      </c>
      <c r="G179" s="263" t="s">
        <v>8202</v>
      </c>
      <c r="H179" s="263" t="s">
        <v>7938</v>
      </c>
      <c r="I179" s="265"/>
      <c r="J179" s="263"/>
      <c r="K179" s="263" t="s">
        <v>7939</v>
      </c>
      <c r="L179" s="263" t="s">
        <v>57</v>
      </c>
      <c r="M179" s="266">
        <v>12950</v>
      </c>
      <c r="N179" s="263" t="s">
        <v>7940</v>
      </c>
      <c r="O179" s="263" t="s">
        <v>8203</v>
      </c>
      <c r="P179" s="232">
        <v>1</v>
      </c>
      <c r="Q179" s="256"/>
      <c r="R179" s="256"/>
      <c r="S179" s="256"/>
      <c r="T179" s="256"/>
      <c r="U179" s="256"/>
      <c r="V179" s="256"/>
      <c r="W179" s="256"/>
      <c r="X179" s="256"/>
      <c r="Y179" s="257"/>
      <c r="Z179" s="257"/>
    </row>
    <row r="180" spans="1:26" ht="15.75" customHeight="1" x14ac:dyDescent="0.35">
      <c r="A180" s="264">
        <v>172</v>
      </c>
      <c r="B180" s="263" t="s">
        <v>7935</v>
      </c>
      <c r="C180" s="263" t="s">
        <v>7936</v>
      </c>
      <c r="D180" s="263" t="s">
        <v>51</v>
      </c>
      <c r="E180" s="263">
        <v>10000</v>
      </c>
      <c r="F180" s="263">
        <v>2014</v>
      </c>
      <c r="G180" s="263" t="s">
        <v>8204</v>
      </c>
      <c r="H180" s="263" t="s">
        <v>7938</v>
      </c>
      <c r="I180" s="265"/>
      <c r="J180" s="263"/>
      <c r="K180" s="263" t="s">
        <v>7942</v>
      </c>
      <c r="L180" s="263" t="s">
        <v>422</v>
      </c>
      <c r="M180" s="266">
        <v>13000</v>
      </c>
      <c r="N180" s="263" t="s">
        <v>3059</v>
      </c>
      <c r="O180" s="263" t="s">
        <v>8205</v>
      </c>
      <c r="P180" s="232">
        <v>1</v>
      </c>
      <c r="Q180" s="256"/>
      <c r="R180" s="256"/>
      <c r="S180" s="256"/>
      <c r="T180" s="256"/>
      <c r="U180" s="256"/>
      <c r="V180" s="256"/>
      <c r="W180" s="256"/>
      <c r="X180" s="256"/>
      <c r="Y180" s="257"/>
      <c r="Z180" s="257"/>
    </row>
    <row r="181" spans="1:26" ht="15.75" customHeight="1" x14ac:dyDescent="0.35">
      <c r="A181" s="258">
        <v>173</v>
      </c>
      <c r="B181" s="263" t="s">
        <v>8206</v>
      </c>
      <c r="C181" s="263" t="s">
        <v>8207</v>
      </c>
      <c r="D181" s="263" t="s">
        <v>51</v>
      </c>
      <c r="E181" s="263">
        <v>120</v>
      </c>
      <c r="F181" s="263">
        <v>2017</v>
      </c>
      <c r="G181" s="263" t="s">
        <v>8208</v>
      </c>
      <c r="H181" s="263" t="s">
        <v>7938</v>
      </c>
      <c r="I181" s="265"/>
      <c r="J181" s="263"/>
      <c r="K181" s="263" t="s">
        <v>8209</v>
      </c>
      <c r="L181" s="263" t="s">
        <v>422</v>
      </c>
      <c r="M181" s="266">
        <v>294</v>
      </c>
      <c r="N181" s="263" t="s">
        <v>8210</v>
      </c>
      <c r="O181" s="263" t="s">
        <v>8211</v>
      </c>
      <c r="P181" s="232">
        <v>2</v>
      </c>
      <c r="Q181" s="256"/>
      <c r="R181" s="256"/>
      <c r="S181" s="256"/>
      <c r="T181" s="256"/>
      <c r="U181" s="256"/>
      <c r="V181" s="256"/>
      <c r="W181" s="256"/>
      <c r="X181" s="256"/>
      <c r="Y181" s="257"/>
      <c r="Z181" s="257"/>
    </row>
    <row r="182" spans="1:26" ht="15.75" customHeight="1" x14ac:dyDescent="0.35">
      <c r="A182" s="258">
        <v>174</v>
      </c>
      <c r="B182" s="263" t="s">
        <v>8206</v>
      </c>
      <c r="C182" s="263" t="s">
        <v>8207</v>
      </c>
      <c r="D182" s="263" t="s">
        <v>59</v>
      </c>
      <c r="E182" s="263">
        <v>480</v>
      </c>
      <c r="F182" s="263">
        <v>2017</v>
      </c>
      <c r="G182" s="263" t="s">
        <v>8212</v>
      </c>
      <c r="H182" s="263" t="s">
        <v>7938</v>
      </c>
      <c r="I182" s="265"/>
      <c r="J182" s="263"/>
      <c r="K182" s="263" t="s">
        <v>8209</v>
      </c>
      <c r="L182" s="263" t="s">
        <v>422</v>
      </c>
      <c r="M182" s="266">
        <v>1176</v>
      </c>
      <c r="N182" s="263" t="s">
        <v>8213</v>
      </c>
      <c r="O182" s="263" t="s">
        <v>8211</v>
      </c>
      <c r="P182" s="232">
        <v>2</v>
      </c>
      <c r="Q182" s="256"/>
      <c r="R182" s="256"/>
      <c r="S182" s="256"/>
      <c r="T182" s="256"/>
      <c r="U182" s="256"/>
      <c r="V182" s="256"/>
      <c r="W182" s="256"/>
      <c r="X182" s="256"/>
      <c r="Y182" s="257"/>
      <c r="Z182" s="257"/>
    </row>
    <row r="183" spans="1:26" ht="15.75" customHeight="1" x14ac:dyDescent="0.35">
      <c r="A183" s="264">
        <v>175</v>
      </c>
      <c r="B183" s="263" t="s">
        <v>8206</v>
      </c>
      <c r="C183" s="263" t="s">
        <v>8207</v>
      </c>
      <c r="D183" s="263" t="s">
        <v>97</v>
      </c>
      <c r="E183" s="263">
        <v>688</v>
      </c>
      <c r="F183" s="263">
        <v>2017</v>
      </c>
      <c r="G183" s="263" t="s">
        <v>8214</v>
      </c>
      <c r="H183" s="263" t="s">
        <v>7938</v>
      </c>
      <c r="I183" s="265"/>
      <c r="J183" s="263"/>
      <c r="K183" s="263" t="s">
        <v>8209</v>
      </c>
      <c r="L183" s="263" t="s">
        <v>422</v>
      </c>
      <c r="M183" s="266">
        <v>1685.6</v>
      </c>
      <c r="N183" s="263" t="s">
        <v>8215</v>
      </c>
      <c r="O183" s="263" t="s">
        <v>8211</v>
      </c>
      <c r="P183" s="232">
        <v>2</v>
      </c>
      <c r="Q183" s="256"/>
      <c r="R183" s="256"/>
      <c r="S183" s="256"/>
      <c r="T183" s="256"/>
      <c r="U183" s="256"/>
      <c r="V183" s="256"/>
      <c r="W183" s="256"/>
      <c r="X183" s="256"/>
      <c r="Y183" s="257"/>
      <c r="Z183" s="257"/>
    </row>
    <row r="184" spans="1:26" ht="15.75" customHeight="1" x14ac:dyDescent="0.35">
      <c r="A184" s="258">
        <v>176</v>
      </c>
      <c r="B184" s="263" t="s">
        <v>8206</v>
      </c>
      <c r="C184" s="263" t="s">
        <v>8207</v>
      </c>
      <c r="D184" s="263" t="s">
        <v>101</v>
      </c>
      <c r="E184" s="263">
        <v>400</v>
      </c>
      <c r="F184" s="263">
        <v>2015</v>
      </c>
      <c r="G184" s="263" t="s">
        <v>8216</v>
      </c>
      <c r="H184" s="263" t="s">
        <v>7938</v>
      </c>
      <c r="I184" s="265">
        <v>41591</v>
      </c>
      <c r="J184" s="263"/>
      <c r="K184" s="263" t="s">
        <v>8217</v>
      </c>
      <c r="L184" s="263" t="s">
        <v>422</v>
      </c>
      <c r="M184" s="266">
        <v>480</v>
      </c>
      <c r="N184" s="263" t="s">
        <v>8218</v>
      </c>
      <c r="O184" s="263" t="s">
        <v>8211</v>
      </c>
      <c r="P184" s="232">
        <v>2</v>
      </c>
      <c r="Q184" s="256"/>
      <c r="R184" s="256"/>
      <c r="S184" s="256"/>
      <c r="T184" s="256"/>
      <c r="U184" s="256"/>
      <c r="V184" s="256"/>
      <c r="W184" s="256"/>
      <c r="X184" s="256"/>
      <c r="Y184" s="257"/>
      <c r="Z184" s="257"/>
    </row>
    <row r="185" spans="1:26" ht="15.75" customHeight="1" x14ac:dyDescent="0.35">
      <c r="A185" s="258">
        <v>177</v>
      </c>
      <c r="B185" s="263" t="s">
        <v>8206</v>
      </c>
      <c r="C185" s="263" t="s">
        <v>8207</v>
      </c>
      <c r="D185" s="263" t="s">
        <v>107</v>
      </c>
      <c r="E185" s="263">
        <v>450</v>
      </c>
      <c r="F185" s="263">
        <v>2014</v>
      </c>
      <c r="G185" s="263" t="s">
        <v>8219</v>
      </c>
      <c r="H185" s="263" t="s">
        <v>7938</v>
      </c>
      <c r="I185" s="265"/>
      <c r="J185" s="263"/>
      <c r="K185" s="263" t="s">
        <v>8220</v>
      </c>
      <c r="L185" s="263" t="s">
        <v>422</v>
      </c>
      <c r="M185" s="266">
        <v>5000</v>
      </c>
      <c r="N185" s="263" t="s">
        <v>8213</v>
      </c>
      <c r="O185" s="263" t="s">
        <v>8211</v>
      </c>
      <c r="P185" s="232">
        <v>2</v>
      </c>
      <c r="Q185" s="256"/>
      <c r="R185" s="256"/>
      <c r="S185" s="256"/>
      <c r="T185" s="256"/>
      <c r="U185" s="256"/>
      <c r="V185" s="256"/>
      <c r="W185" s="256"/>
      <c r="X185" s="256"/>
      <c r="Y185" s="257"/>
      <c r="Z185" s="257"/>
    </row>
    <row r="186" spans="1:26" ht="15.75" customHeight="1" x14ac:dyDescent="0.35">
      <c r="A186" s="264">
        <v>178</v>
      </c>
      <c r="B186" s="263" t="s">
        <v>8206</v>
      </c>
      <c r="C186" s="263" t="s">
        <v>8207</v>
      </c>
      <c r="D186" s="263" t="s">
        <v>112</v>
      </c>
      <c r="E186" s="263">
        <v>611</v>
      </c>
      <c r="F186" s="263">
        <v>2014</v>
      </c>
      <c r="G186" s="263" t="s">
        <v>8221</v>
      </c>
      <c r="H186" s="263" t="s">
        <v>7938</v>
      </c>
      <c r="I186" s="265">
        <v>44791</v>
      </c>
      <c r="J186" s="263" t="s">
        <v>8222</v>
      </c>
      <c r="K186" s="263" t="s">
        <v>8223</v>
      </c>
      <c r="L186" s="263" t="s">
        <v>422</v>
      </c>
      <c r="M186" s="266">
        <v>735</v>
      </c>
      <c r="N186" s="263" t="s">
        <v>8224</v>
      </c>
      <c r="O186" s="263" t="s">
        <v>8211</v>
      </c>
      <c r="P186" s="232">
        <v>2</v>
      </c>
      <c r="Q186" s="256"/>
      <c r="R186" s="256"/>
      <c r="S186" s="256"/>
      <c r="T186" s="256"/>
      <c r="U186" s="256"/>
      <c r="V186" s="256"/>
      <c r="W186" s="256"/>
      <c r="X186" s="256"/>
      <c r="Y186" s="257"/>
      <c r="Z186" s="257"/>
    </row>
    <row r="187" spans="1:26" ht="15.75" customHeight="1" x14ac:dyDescent="0.35">
      <c r="A187" s="258">
        <v>179</v>
      </c>
      <c r="B187" s="263" t="s">
        <v>8206</v>
      </c>
      <c r="C187" s="263" t="s">
        <v>8207</v>
      </c>
      <c r="D187" s="263" t="s">
        <v>116</v>
      </c>
      <c r="E187" s="263">
        <v>600</v>
      </c>
      <c r="F187" s="263">
        <v>2014</v>
      </c>
      <c r="G187" s="263" t="s">
        <v>8225</v>
      </c>
      <c r="H187" s="263" t="s">
        <v>7938</v>
      </c>
      <c r="I187" s="265">
        <v>40170</v>
      </c>
      <c r="J187" s="263" t="s">
        <v>8226</v>
      </c>
      <c r="K187" s="263" t="s">
        <v>8227</v>
      </c>
      <c r="L187" s="263" t="s">
        <v>422</v>
      </c>
      <c r="M187" s="266">
        <v>490</v>
      </c>
      <c r="N187" s="263" t="s">
        <v>8228</v>
      </c>
      <c r="O187" s="263" t="s">
        <v>8211</v>
      </c>
      <c r="P187" s="232">
        <v>2</v>
      </c>
      <c r="Q187" s="256"/>
      <c r="R187" s="256"/>
      <c r="S187" s="256"/>
      <c r="T187" s="256"/>
      <c r="U187" s="256"/>
      <c r="V187" s="256"/>
      <c r="W187" s="256"/>
      <c r="X187" s="256"/>
      <c r="Y187" s="257"/>
      <c r="Z187" s="257"/>
    </row>
    <row r="188" spans="1:26" ht="15.75" customHeight="1" x14ac:dyDescent="0.35">
      <c r="A188" s="258">
        <v>180</v>
      </c>
      <c r="B188" s="263" t="s">
        <v>8206</v>
      </c>
      <c r="C188" s="263" t="s">
        <v>8207</v>
      </c>
      <c r="D188" s="263" t="s">
        <v>841</v>
      </c>
      <c r="E188" s="263">
        <v>3080</v>
      </c>
      <c r="F188" s="263">
        <v>2008</v>
      </c>
      <c r="G188" s="263" t="s">
        <v>8229</v>
      </c>
      <c r="H188" s="263" t="s">
        <v>7938</v>
      </c>
      <c r="I188" s="265"/>
      <c r="J188" s="263"/>
      <c r="K188" s="263" t="s">
        <v>8230</v>
      </c>
      <c r="L188" s="263" t="s">
        <v>422</v>
      </c>
      <c r="M188" s="266">
        <v>107800</v>
      </c>
      <c r="N188" s="263" t="s">
        <v>8231</v>
      </c>
      <c r="O188" s="263" t="s">
        <v>8211</v>
      </c>
      <c r="P188" s="232">
        <v>2</v>
      </c>
      <c r="Q188" s="256"/>
      <c r="R188" s="256"/>
      <c r="S188" s="256"/>
      <c r="T188" s="256"/>
      <c r="U188" s="256"/>
      <c r="V188" s="256"/>
      <c r="W188" s="256"/>
      <c r="X188" s="256"/>
      <c r="Y188" s="257"/>
      <c r="Z188" s="257"/>
    </row>
    <row r="189" spans="1:26" ht="15.75" customHeight="1" x14ac:dyDescent="0.35">
      <c r="A189" s="264">
        <v>181</v>
      </c>
      <c r="B189" s="263" t="s">
        <v>8206</v>
      </c>
      <c r="C189" s="263" t="s">
        <v>8207</v>
      </c>
      <c r="D189" s="263" t="s">
        <v>904</v>
      </c>
      <c r="E189" s="263">
        <v>5512</v>
      </c>
      <c r="F189" s="263">
        <v>2015</v>
      </c>
      <c r="G189" s="263" t="s">
        <v>8232</v>
      </c>
      <c r="H189" s="263" t="s">
        <v>7938</v>
      </c>
      <c r="I189" s="265">
        <v>41144</v>
      </c>
      <c r="J189" s="263"/>
      <c r="K189" s="263" t="s">
        <v>8233</v>
      </c>
      <c r="L189" s="263" t="s">
        <v>422</v>
      </c>
      <c r="M189" s="266">
        <v>19292</v>
      </c>
      <c r="N189" s="263" t="s">
        <v>8234</v>
      </c>
      <c r="O189" s="263" t="s">
        <v>8211</v>
      </c>
      <c r="P189" s="232">
        <v>2</v>
      </c>
      <c r="Q189" s="256"/>
      <c r="R189" s="256"/>
      <c r="S189" s="256"/>
      <c r="T189" s="256"/>
      <c r="U189" s="256"/>
      <c r="V189" s="256"/>
      <c r="W189" s="256"/>
      <c r="X189" s="256"/>
      <c r="Y189" s="257"/>
      <c r="Z189" s="257"/>
    </row>
    <row r="190" spans="1:26" ht="15.75" customHeight="1" x14ac:dyDescent="0.35">
      <c r="A190" s="258">
        <v>182</v>
      </c>
      <c r="B190" s="263" t="s">
        <v>8206</v>
      </c>
      <c r="C190" s="263" t="s">
        <v>8207</v>
      </c>
      <c r="D190" s="263" t="s">
        <v>122</v>
      </c>
      <c r="E190" s="263">
        <v>611</v>
      </c>
      <c r="F190" s="263">
        <v>2024</v>
      </c>
      <c r="G190" s="263" t="s">
        <v>8235</v>
      </c>
      <c r="H190" s="263" t="s">
        <v>7938</v>
      </c>
      <c r="I190" s="265">
        <v>44791</v>
      </c>
      <c r="J190" s="263" t="s">
        <v>8222</v>
      </c>
      <c r="K190" s="263" t="s">
        <v>8236</v>
      </c>
      <c r="L190" s="263" t="s">
        <v>422</v>
      </c>
      <c r="M190" s="266">
        <v>16497</v>
      </c>
      <c r="N190" s="263" t="s">
        <v>7969</v>
      </c>
      <c r="O190" s="263" t="s">
        <v>8211</v>
      </c>
      <c r="P190" s="232">
        <v>2</v>
      </c>
      <c r="Q190" s="256"/>
      <c r="R190" s="256"/>
      <c r="S190" s="256"/>
      <c r="T190" s="256"/>
      <c r="U190" s="256"/>
      <c r="V190" s="256"/>
      <c r="W190" s="256"/>
      <c r="X190" s="256"/>
      <c r="Y190" s="257"/>
      <c r="Z190" s="257"/>
    </row>
    <row r="191" spans="1:26" ht="15.75" customHeight="1" x14ac:dyDescent="0.35">
      <c r="A191" s="258">
        <v>183</v>
      </c>
      <c r="B191" s="263" t="s">
        <v>8237</v>
      </c>
      <c r="C191" s="263" t="s">
        <v>8238</v>
      </c>
      <c r="D191" s="263" t="s">
        <v>51</v>
      </c>
      <c r="E191" s="263">
        <v>216</v>
      </c>
      <c r="F191" s="263">
        <v>2015</v>
      </c>
      <c r="G191" s="263" t="s">
        <v>8239</v>
      </c>
      <c r="H191" s="263" t="s">
        <v>7938</v>
      </c>
      <c r="I191" s="265">
        <v>45600</v>
      </c>
      <c r="J191" s="263" t="s">
        <v>8240</v>
      </c>
      <c r="K191" s="263" t="s">
        <v>8241</v>
      </c>
      <c r="L191" s="263" t="s">
        <v>422</v>
      </c>
      <c r="M191" s="266">
        <v>340.8</v>
      </c>
      <c r="N191" s="263" t="s">
        <v>8242</v>
      </c>
      <c r="O191" s="263" t="s">
        <v>8243</v>
      </c>
      <c r="P191" s="232">
        <v>2</v>
      </c>
      <c r="Q191" s="256"/>
      <c r="R191" s="256"/>
      <c r="S191" s="256"/>
      <c r="T191" s="256"/>
      <c r="U191" s="256"/>
      <c r="V191" s="256"/>
      <c r="W191" s="256"/>
      <c r="X191" s="256"/>
      <c r="Y191" s="257"/>
      <c r="Z191" s="257"/>
    </row>
    <row r="192" spans="1:26" ht="15.75" customHeight="1" x14ac:dyDescent="0.35">
      <c r="A192" s="264">
        <v>184</v>
      </c>
      <c r="B192" s="263" t="s">
        <v>8206</v>
      </c>
      <c r="C192" s="263" t="s">
        <v>8207</v>
      </c>
      <c r="D192" s="263" t="s">
        <v>51</v>
      </c>
      <c r="E192" s="263">
        <v>3683</v>
      </c>
      <c r="F192" s="263">
        <v>2015</v>
      </c>
      <c r="G192" s="263" t="s">
        <v>8244</v>
      </c>
      <c r="H192" s="263" t="s">
        <v>7938</v>
      </c>
      <c r="I192" s="265">
        <v>45601</v>
      </c>
      <c r="J192" s="263" t="s">
        <v>8245</v>
      </c>
      <c r="K192" s="263" t="s">
        <v>8246</v>
      </c>
      <c r="L192" s="263" t="s">
        <v>422</v>
      </c>
      <c r="M192" s="266">
        <v>5616</v>
      </c>
      <c r="N192" s="263" t="s">
        <v>8247</v>
      </c>
      <c r="O192" s="263" t="s">
        <v>8243</v>
      </c>
      <c r="P192" s="232">
        <v>2</v>
      </c>
      <c r="Q192" s="256"/>
      <c r="R192" s="256"/>
      <c r="S192" s="256"/>
      <c r="T192" s="256"/>
      <c r="U192" s="256"/>
      <c r="V192" s="256"/>
      <c r="W192" s="256"/>
      <c r="X192" s="256"/>
      <c r="Y192" s="257"/>
      <c r="Z192" s="257"/>
    </row>
    <row r="193" spans="1:26" ht="15.75" customHeight="1" x14ac:dyDescent="0.35">
      <c r="A193" s="258">
        <v>185</v>
      </c>
      <c r="B193" s="263" t="s">
        <v>8206</v>
      </c>
      <c r="C193" s="263" t="s">
        <v>8207</v>
      </c>
      <c r="D193" s="263" t="s">
        <v>59</v>
      </c>
      <c r="E193" s="263">
        <v>400</v>
      </c>
      <c r="F193" s="263">
        <v>2017</v>
      </c>
      <c r="G193" s="263" t="s">
        <v>8248</v>
      </c>
      <c r="H193" s="263" t="s">
        <v>7938</v>
      </c>
      <c r="I193" s="265"/>
      <c r="J193" s="263"/>
      <c r="K193" s="263" t="s">
        <v>8209</v>
      </c>
      <c r="L193" s="263" t="s">
        <v>422</v>
      </c>
      <c r="M193" s="266">
        <v>10800</v>
      </c>
      <c r="N193" s="263" t="s">
        <v>8249</v>
      </c>
      <c r="O193" s="263" t="s">
        <v>8243</v>
      </c>
      <c r="P193" s="232">
        <v>2</v>
      </c>
      <c r="Q193" s="256"/>
      <c r="R193" s="256"/>
      <c r="S193" s="256"/>
      <c r="T193" s="256"/>
      <c r="U193" s="256"/>
      <c r="V193" s="256"/>
      <c r="W193" s="256"/>
      <c r="X193" s="256"/>
      <c r="Y193" s="257"/>
      <c r="Z193" s="257"/>
    </row>
    <row r="194" spans="1:26" ht="15.75" customHeight="1" x14ac:dyDescent="0.35">
      <c r="A194" s="258">
        <v>186</v>
      </c>
      <c r="B194" s="263" t="s">
        <v>8206</v>
      </c>
      <c r="C194" s="263" t="s">
        <v>8207</v>
      </c>
      <c r="D194" s="263" t="s">
        <v>97</v>
      </c>
      <c r="E194" s="263">
        <v>120</v>
      </c>
      <c r="F194" s="263">
        <v>2014</v>
      </c>
      <c r="G194" s="263" t="s">
        <v>8250</v>
      </c>
      <c r="H194" s="263" t="s">
        <v>7938</v>
      </c>
      <c r="I194" s="265">
        <v>39243</v>
      </c>
      <c r="J194" s="263" t="s">
        <v>8251</v>
      </c>
      <c r="K194" s="263" t="s">
        <v>8217</v>
      </c>
      <c r="L194" s="263" t="s">
        <v>422</v>
      </c>
      <c r="M194" s="266">
        <v>24</v>
      </c>
      <c r="N194" s="263" t="s">
        <v>8252</v>
      </c>
      <c r="O194" s="263" t="s">
        <v>8243</v>
      </c>
      <c r="P194" s="232">
        <v>2</v>
      </c>
      <c r="Q194" s="256"/>
      <c r="R194" s="256"/>
      <c r="S194" s="256"/>
      <c r="T194" s="256"/>
      <c r="U194" s="256"/>
      <c r="V194" s="256"/>
      <c r="W194" s="256"/>
      <c r="X194" s="256"/>
      <c r="Y194" s="257"/>
      <c r="Z194" s="257"/>
    </row>
    <row r="195" spans="1:26" ht="15.75" customHeight="1" x14ac:dyDescent="0.35">
      <c r="A195" s="264">
        <v>187</v>
      </c>
      <c r="B195" s="263" t="s">
        <v>8206</v>
      </c>
      <c r="C195" s="263" t="s">
        <v>8207</v>
      </c>
      <c r="D195" s="263" t="s">
        <v>101</v>
      </c>
      <c r="E195" s="263">
        <v>400</v>
      </c>
      <c r="F195" s="263">
        <v>2014</v>
      </c>
      <c r="G195" s="263" t="s">
        <v>8253</v>
      </c>
      <c r="H195" s="263" t="s">
        <v>7938</v>
      </c>
      <c r="I195" s="265">
        <v>44523</v>
      </c>
      <c r="J195" s="263" t="s">
        <v>8254</v>
      </c>
      <c r="K195" s="263" t="s">
        <v>8255</v>
      </c>
      <c r="L195" s="263" t="s">
        <v>422</v>
      </c>
      <c r="M195" s="266">
        <v>56</v>
      </c>
      <c r="N195" s="263" t="s">
        <v>8256</v>
      </c>
      <c r="O195" s="263" t="s">
        <v>8243</v>
      </c>
      <c r="P195" s="232">
        <v>2</v>
      </c>
      <c r="Q195" s="256"/>
      <c r="R195" s="256"/>
      <c r="S195" s="256"/>
      <c r="T195" s="256"/>
      <c r="U195" s="256"/>
      <c r="V195" s="256"/>
      <c r="W195" s="256"/>
      <c r="X195" s="256"/>
      <c r="Y195" s="257"/>
      <c r="Z195" s="257"/>
    </row>
    <row r="196" spans="1:26" ht="15.75" customHeight="1" x14ac:dyDescent="0.35">
      <c r="A196" s="258">
        <v>188</v>
      </c>
      <c r="B196" s="263" t="s">
        <v>8206</v>
      </c>
      <c r="C196" s="263" t="s">
        <v>8207</v>
      </c>
      <c r="D196" s="263" t="s">
        <v>107</v>
      </c>
      <c r="E196" s="263">
        <v>150</v>
      </c>
      <c r="F196" s="263">
        <v>2014</v>
      </c>
      <c r="G196" s="263" t="s">
        <v>8257</v>
      </c>
      <c r="H196" s="263" t="s">
        <v>7938</v>
      </c>
      <c r="I196" s="265">
        <v>40683</v>
      </c>
      <c r="J196" s="263"/>
      <c r="K196" s="263" t="s">
        <v>8258</v>
      </c>
      <c r="L196" s="263" t="s">
        <v>422</v>
      </c>
      <c r="M196" s="266">
        <v>525</v>
      </c>
      <c r="N196" s="263" t="s">
        <v>8259</v>
      </c>
      <c r="O196" s="263" t="s">
        <v>8243</v>
      </c>
      <c r="P196" s="232">
        <v>2</v>
      </c>
      <c r="Q196" s="256"/>
      <c r="R196" s="256"/>
      <c r="S196" s="256"/>
      <c r="T196" s="256"/>
      <c r="U196" s="256"/>
      <c r="V196" s="256"/>
      <c r="W196" s="256"/>
      <c r="X196" s="256"/>
      <c r="Y196" s="257"/>
      <c r="Z196" s="257"/>
    </row>
    <row r="197" spans="1:26" ht="15.75" customHeight="1" x14ac:dyDescent="0.35">
      <c r="A197" s="258">
        <v>189</v>
      </c>
      <c r="B197" s="263" t="s">
        <v>8206</v>
      </c>
      <c r="C197" s="263" t="s">
        <v>8207</v>
      </c>
      <c r="D197" s="263" t="s">
        <v>112</v>
      </c>
      <c r="E197" s="263">
        <v>400</v>
      </c>
      <c r="F197" s="263">
        <v>2014</v>
      </c>
      <c r="G197" s="263" t="s">
        <v>8260</v>
      </c>
      <c r="H197" s="263" t="s">
        <v>7938</v>
      </c>
      <c r="I197" s="265">
        <v>41695</v>
      </c>
      <c r="J197" s="263"/>
      <c r="K197" s="263" t="s">
        <v>8261</v>
      </c>
      <c r="L197" s="263" t="s">
        <v>422</v>
      </c>
      <c r="M197" s="266">
        <v>980</v>
      </c>
      <c r="N197" s="263" t="s">
        <v>8262</v>
      </c>
      <c r="O197" s="263" t="s">
        <v>8243</v>
      </c>
      <c r="P197" s="232">
        <v>2</v>
      </c>
      <c r="Q197" s="256"/>
      <c r="R197" s="256"/>
      <c r="S197" s="256"/>
      <c r="T197" s="256"/>
      <c r="U197" s="256"/>
      <c r="V197" s="256"/>
      <c r="W197" s="256"/>
      <c r="X197" s="256"/>
      <c r="Y197" s="257"/>
      <c r="Z197" s="257"/>
    </row>
    <row r="198" spans="1:26" ht="15.75" customHeight="1" x14ac:dyDescent="0.35">
      <c r="A198" s="264">
        <v>190</v>
      </c>
      <c r="B198" s="263" t="s">
        <v>8206</v>
      </c>
      <c r="C198" s="263" t="s">
        <v>8207</v>
      </c>
      <c r="D198" s="263" t="s">
        <v>116</v>
      </c>
      <c r="E198" s="263">
        <v>600</v>
      </c>
      <c r="F198" s="263">
        <v>2014</v>
      </c>
      <c r="G198" s="263" t="s">
        <v>8263</v>
      </c>
      <c r="H198" s="263" t="s">
        <v>7938</v>
      </c>
      <c r="I198" s="265">
        <v>39448</v>
      </c>
      <c r="J198" s="263" t="s">
        <v>8264</v>
      </c>
      <c r="K198" s="263" t="s">
        <v>8265</v>
      </c>
      <c r="L198" s="263" t="s">
        <v>422</v>
      </c>
      <c r="M198" s="266">
        <v>12000</v>
      </c>
      <c r="N198" s="263" t="s">
        <v>8266</v>
      </c>
      <c r="O198" s="263" t="s">
        <v>8243</v>
      </c>
      <c r="P198" s="232">
        <v>2</v>
      </c>
      <c r="Q198" s="256"/>
      <c r="R198" s="256"/>
      <c r="S198" s="256"/>
      <c r="T198" s="256"/>
      <c r="U198" s="256"/>
      <c r="V198" s="256"/>
      <c r="W198" s="256"/>
      <c r="X198" s="256"/>
      <c r="Y198" s="257"/>
      <c r="Z198" s="257"/>
    </row>
    <row r="199" spans="1:26" ht="15.75" customHeight="1" x14ac:dyDescent="0.35">
      <c r="A199" s="258">
        <v>191</v>
      </c>
      <c r="B199" s="263" t="s">
        <v>8206</v>
      </c>
      <c r="C199" s="263" t="s">
        <v>8207</v>
      </c>
      <c r="D199" s="263" t="s">
        <v>841</v>
      </c>
      <c r="E199" s="263">
        <v>825</v>
      </c>
      <c r="F199" s="263">
        <v>2015</v>
      </c>
      <c r="G199" s="263" t="s">
        <v>8267</v>
      </c>
      <c r="H199" s="263" t="s">
        <v>7938</v>
      </c>
      <c r="I199" s="265">
        <v>41575</v>
      </c>
      <c r="J199" s="263" t="s">
        <v>8268</v>
      </c>
      <c r="K199" s="263" t="s">
        <v>8217</v>
      </c>
      <c r="L199" s="263" t="s">
        <v>422</v>
      </c>
      <c r="M199" s="266">
        <v>165</v>
      </c>
      <c r="N199" s="263" t="s">
        <v>8269</v>
      </c>
      <c r="O199" s="263" t="s">
        <v>8243</v>
      </c>
      <c r="P199" s="232">
        <v>2</v>
      </c>
      <c r="Q199" s="256"/>
      <c r="R199" s="256"/>
      <c r="S199" s="256"/>
      <c r="T199" s="256"/>
      <c r="U199" s="256"/>
      <c r="V199" s="256"/>
      <c r="W199" s="256"/>
      <c r="X199" s="256"/>
      <c r="Y199" s="257"/>
      <c r="Z199" s="257"/>
    </row>
    <row r="200" spans="1:26" ht="15.75" customHeight="1" x14ac:dyDescent="0.35">
      <c r="A200" s="258">
        <v>192</v>
      </c>
      <c r="B200" s="263" t="s">
        <v>8206</v>
      </c>
      <c r="C200" s="263" t="s">
        <v>8207</v>
      </c>
      <c r="D200" s="263" t="s">
        <v>904</v>
      </c>
      <c r="E200" s="263">
        <v>1250</v>
      </c>
      <c r="F200" s="263">
        <v>2015</v>
      </c>
      <c r="G200" s="263" t="s">
        <v>8270</v>
      </c>
      <c r="H200" s="263" t="s">
        <v>7938</v>
      </c>
      <c r="I200" s="265">
        <v>40912</v>
      </c>
      <c r="J200" s="263"/>
      <c r="K200" s="263" t="s">
        <v>8271</v>
      </c>
      <c r="L200" s="263" t="s">
        <v>422</v>
      </c>
      <c r="M200" s="266">
        <v>250</v>
      </c>
      <c r="N200" s="263" t="s">
        <v>8272</v>
      </c>
      <c r="O200" s="263" t="s">
        <v>8243</v>
      </c>
      <c r="P200" s="232">
        <v>2</v>
      </c>
      <c r="Q200" s="256"/>
      <c r="R200" s="256"/>
      <c r="S200" s="256"/>
      <c r="T200" s="256"/>
      <c r="U200" s="256"/>
      <c r="V200" s="256"/>
      <c r="W200" s="256"/>
      <c r="X200" s="256"/>
      <c r="Y200" s="257"/>
      <c r="Z200" s="257"/>
    </row>
    <row r="201" spans="1:26" ht="15.75" customHeight="1" x14ac:dyDescent="0.35">
      <c r="A201" s="264">
        <v>193</v>
      </c>
      <c r="B201" s="263" t="s">
        <v>8206</v>
      </c>
      <c r="C201" s="263" t="s">
        <v>8207</v>
      </c>
      <c r="D201" s="263" t="s">
        <v>122</v>
      </c>
      <c r="E201" s="263">
        <v>216</v>
      </c>
      <c r="F201" s="263">
        <v>2024</v>
      </c>
      <c r="G201" s="263" t="s">
        <v>8273</v>
      </c>
      <c r="H201" s="263" t="s">
        <v>7938</v>
      </c>
      <c r="I201" s="265">
        <v>45600</v>
      </c>
      <c r="J201" s="263" t="s">
        <v>8240</v>
      </c>
      <c r="K201" s="263" t="s">
        <v>8274</v>
      </c>
      <c r="L201" s="263" t="s">
        <v>422</v>
      </c>
      <c r="M201" s="266">
        <v>10368</v>
      </c>
      <c r="N201" s="263" t="s">
        <v>7969</v>
      </c>
      <c r="O201" s="263" t="s">
        <v>8243</v>
      </c>
      <c r="P201" s="232">
        <v>2</v>
      </c>
      <c r="Q201" s="256"/>
      <c r="R201" s="256"/>
      <c r="S201" s="256"/>
      <c r="T201" s="256"/>
      <c r="U201" s="256"/>
      <c r="V201" s="256"/>
      <c r="W201" s="256"/>
      <c r="X201" s="256"/>
      <c r="Y201" s="257"/>
      <c r="Z201" s="257"/>
    </row>
    <row r="202" spans="1:26" ht="15.75" customHeight="1" x14ac:dyDescent="0.35">
      <c r="A202" s="258">
        <v>194</v>
      </c>
      <c r="B202" s="263" t="s">
        <v>8206</v>
      </c>
      <c r="C202" s="263" t="s">
        <v>8207</v>
      </c>
      <c r="D202" s="263" t="s">
        <v>51</v>
      </c>
      <c r="E202" s="263">
        <v>5000</v>
      </c>
      <c r="F202" s="263">
        <v>2015</v>
      </c>
      <c r="G202" s="263" t="s">
        <v>8275</v>
      </c>
      <c r="H202" s="263" t="s">
        <v>7938</v>
      </c>
      <c r="I202" s="265">
        <v>44418</v>
      </c>
      <c r="J202" s="263" t="s">
        <v>8276</v>
      </c>
      <c r="K202" s="263" t="s">
        <v>8277</v>
      </c>
      <c r="L202" s="263" t="s">
        <v>422</v>
      </c>
      <c r="M202" s="266">
        <v>3300</v>
      </c>
      <c r="N202" s="263" t="s">
        <v>8278</v>
      </c>
      <c r="O202" s="263" t="s">
        <v>8279</v>
      </c>
      <c r="P202" s="232">
        <v>2</v>
      </c>
      <c r="Q202" s="256"/>
      <c r="R202" s="256"/>
      <c r="S202" s="256"/>
      <c r="T202" s="256"/>
      <c r="U202" s="256"/>
      <c r="V202" s="256"/>
      <c r="W202" s="256"/>
      <c r="X202" s="256"/>
      <c r="Y202" s="257"/>
      <c r="Z202" s="257"/>
    </row>
    <row r="203" spans="1:26" ht="15.75" customHeight="1" x14ac:dyDescent="0.35">
      <c r="A203" s="258">
        <v>195</v>
      </c>
      <c r="B203" s="263" t="s">
        <v>8206</v>
      </c>
      <c r="C203" s="263" t="s">
        <v>8207</v>
      </c>
      <c r="D203" s="263" t="s">
        <v>59</v>
      </c>
      <c r="E203" s="263">
        <v>4000</v>
      </c>
      <c r="F203" s="263">
        <v>2015</v>
      </c>
      <c r="G203" s="263" t="s">
        <v>8280</v>
      </c>
      <c r="H203" s="263" t="s">
        <v>7938</v>
      </c>
      <c r="I203" s="265">
        <v>40230</v>
      </c>
      <c r="J203" s="263" t="s">
        <v>8281</v>
      </c>
      <c r="K203" s="263" t="s">
        <v>8261</v>
      </c>
      <c r="L203" s="263" t="s">
        <v>422</v>
      </c>
      <c r="M203" s="266">
        <v>2640</v>
      </c>
      <c r="N203" s="263" t="s">
        <v>8282</v>
      </c>
      <c r="O203" s="263" t="s">
        <v>8279</v>
      </c>
      <c r="P203" s="232">
        <v>2</v>
      </c>
      <c r="Q203" s="256"/>
      <c r="R203" s="256"/>
      <c r="S203" s="256"/>
      <c r="T203" s="256"/>
      <c r="U203" s="256"/>
      <c r="V203" s="256"/>
      <c r="W203" s="256"/>
      <c r="X203" s="256"/>
      <c r="Y203" s="257"/>
      <c r="Z203" s="257"/>
    </row>
    <row r="204" spans="1:26" ht="15.75" customHeight="1" x14ac:dyDescent="0.35">
      <c r="A204" s="264">
        <v>196</v>
      </c>
      <c r="B204" s="263" t="s">
        <v>8206</v>
      </c>
      <c r="C204" s="263" t="s">
        <v>8207</v>
      </c>
      <c r="D204" s="263" t="s">
        <v>97</v>
      </c>
      <c r="E204" s="263">
        <v>3200</v>
      </c>
      <c r="F204" s="263">
        <v>2014</v>
      </c>
      <c r="G204" s="263" t="s">
        <v>8283</v>
      </c>
      <c r="H204" s="263" t="s">
        <v>7938</v>
      </c>
      <c r="I204" s="265">
        <v>39124</v>
      </c>
      <c r="J204" s="263"/>
      <c r="K204" s="263" t="s">
        <v>8284</v>
      </c>
      <c r="L204" s="263" t="s">
        <v>422</v>
      </c>
      <c r="M204" s="266">
        <v>2112</v>
      </c>
      <c r="N204" s="263" t="s">
        <v>8285</v>
      </c>
      <c r="O204" s="263" t="s">
        <v>8279</v>
      </c>
      <c r="P204" s="232">
        <v>2</v>
      </c>
      <c r="Q204" s="256"/>
      <c r="R204" s="256"/>
      <c r="S204" s="256"/>
      <c r="T204" s="256"/>
      <c r="U204" s="256"/>
      <c r="V204" s="256"/>
      <c r="W204" s="256"/>
      <c r="X204" s="256"/>
      <c r="Y204" s="257"/>
      <c r="Z204" s="257"/>
    </row>
    <row r="205" spans="1:26" ht="15.75" customHeight="1" x14ac:dyDescent="0.35">
      <c r="A205" s="258">
        <v>197</v>
      </c>
      <c r="B205" s="263" t="s">
        <v>8206</v>
      </c>
      <c r="C205" s="263" t="s">
        <v>8207</v>
      </c>
      <c r="D205" s="263" t="s">
        <v>101</v>
      </c>
      <c r="E205" s="263">
        <v>555</v>
      </c>
      <c r="F205" s="263">
        <v>2014</v>
      </c>
      <c r="G205" s="263" t="s">
        <v>8286</v>
      </c>
      <c r="H205" s="263" t="s">
        <v>7938</v>
      </c>
      <c r="I205" s="265">
        <v>44281</v>
      </c>
      <c r="J205" s="263" t="s">
        <v>8287</v>
      </c>
      <c r="K205" s="263" t="s">
        <v>8288</v>
      </c>
      <c r="L205" s="263" t="s">
        <v>422</v>
      </c>
      <c r="M205" s="266">
        <v>875</v>
      </c>
      <c r="N205" s="263" t="s">
        <v>8289</v>
      </c>
      <c r="O205" s="263" t="s">
        <v>8279</v>
      </c>
      <c r="P205" s="232">
        <v>2</v>
      </c>
      <c r="Q205" s="256"/>
      <c r="R205" s="256"/>
      <c r="S205" s="256"/>
      <c r="T205" s="256"/>
      <c r="U205" s="256"/>
      <c r="V205" s="256"/>
      <c r="W205" s="256"/>
      <c r="X205" s="256"/>
      <c r="Y205" s="257"/>
      <c r="Z205" s="257"/>
    </row>
    <row r="206" spans="1:26" ht="15.75" customHeight="1" x14ac:dyDescent="0.35">
      <c r="A206" s="258">
        <v>198</v>
      </c>
      <c r="B206" s="263" t="s">
        <v>8206</v>
      </c>
      <c r="C206" s="263" t="s">
        <v>8207</v>
      </c>
      <c r="D206" s="263" t="s">
        <v>107</v>
      </c>
      <c r="E206" s="263">
        <v>750</v>
      </c>
      <c r="F206" s="263">
        <v>2014</v>
      </c>
      <c r="G206" s="263" t="s">
        <v>8290</v>
      </c>
      <c r="H206" s="263" t="s">
        <v>7938</v>
      </c>
      <c r="I206" s="265">
        <v>38078</v>
      </c>
      <c r="J206" s="263" t="s">
        <v>8291</v>
      </c>
      <c r="K206" s="263" t="s">
        <v>8292</v>
      </c>
      <c r="L206" s="263" t="s">
        <v>422</v>
      </c>
      <c r="M206" s="266">
        <v>495</v>
      </c>
      <c r="N206" s="263" t="s">
        <v>8293</v>
      </c>
      <c r="O206" s="263" t="s">
        <v>8279</v>
      </c>
      <c r="P206" s="232">
        <v>2</v>
      </c>
      <c r="Q206" s="256"/>
      <c r="R206" s="256"/>
      <c r="S206" s="256"/>
      <c r="T206" s="256"/>
      <c r="U206" s="256"/>
      <c r="V206" s="256"/>
      <c r="W206" s="256"/>
      <c r="X206" s="256"/>
      <c r="Y206" s="257"/>
      <c r="Z206" s="257"/>
    </row>
    <row r="207" spans="1:26" ht="15.75" customHeight="1" x14ac:dyDescent="0.35">
      <c r="A207" s="264">
        <v>199</v>
      </c>
      <c r="B207" s="263" t="s">
        <v>8206</v>
      </c>
      <c r="C207" s="263" t="s">
        <v>8207</v>
      </c>
      <c r="D207" s="263" t="s">
        <v>112</v>
      </c>
      <c r="E207" s="263">
        <v>6611</v>
      </c>
      <c r="F207" s="263">
        <v>2008</v>
      </c>
      <c r="G207" s="263" t="s">
        <v>8294</v>
      </c>
      <c r="H207" s="263" t="s">
        <v>7938</v>
      </c>
      <c r="I207" s="265">
        <v>44481</v>
      </c>
      <c r="J207" s="263" t="s">
        <v>8295</v>
      </c>
      <c r="K207" s="263" t="s">
        <v>8230</v>
      </c>
      <c r="L207" s="263" t="s">
        <v>422</v>
      </c>
      <c r="M207" s="266">
        <v>332500</v>
      </c>
      <c r="N207" s="263" t="s">
        <v>8296</v>
      </c>
      <c r="O207" s="263" t="s">
        <v>8279</v>
      </c>
      <c r="P207" s="232">
        <v>2</v>
      </c>
      <c r="Q207" s="256"/>
      <c r="R207" s="256"/>
      <c r="S207" s="256"/>
      <c r="T207" s="256"/>
      <c r="U207" s="256"/>
      <c r="V207" s="256"/>
      <c r="W207" s="256"/>
      <c r="X207" s="256"/>
      <c r="Y207" s="257"/>
      <c r="Z207" s="257"/>
    </row>
    <row r="208" spans="1:26" ht="15.75" customHeight="1" x14ac:dyDescent="0.35">
      <c r="A208" s="258">
        <v>200</v>
      </c>
      <c r="B208" s="263" t="s">
        <v>8206</v>
      </c>
      <c r="C208" s="263" t="s">
        <v>8207</v>
      </c>
      <c r="D208" s="263" t="s">
        <v>116</v>
      </c>
      <c r="E208" s="263">
        <v>300</v>
      </c>
      <c r="F208" s="263">
        <v>2017</v>
      </c>
      <c r="G208" s="263" t="s">
        <v>8297</v>
      </c>
      <c r="H208" s="263" t="s">
        <v>7938</v>
      </c>
      <c r="I208" s="265"/>
      <c r="J208" s="263"/>
      <c r="K208" s="263" t="s">
        <v>8209</v>
      </c>
      <c r="L208" s="263" t="s">
        <v>422</v>
      </c>
      <c r="M208" s="266">
        <v>105</v>
      </c>
      <c r="N208" s="263" t="s">
        <v>8298</v>
      </c>
      <c r="O208" s="263" t="s">
        <v>8279</v>
      </c>
      <c r="P208" s="232">
        <v>2</v>
      </c>
      <c r="Q208" s="256"/>
      <c r="R208" s="256"/>
      <c r="S208" s="256"/>
      <c r="T208" s="256"/>
      <c r="U208" s="256"/>
      <c r="V208" s="256"/>
      <c r="W208" s="256"/>
      <c r="X208" s="256"/>
      <c r="Y208" s="257"/>
      <c r="Z208" s="257"/>
    </row>
    <row r="209" spans="1:26" ht="15.75" customHeight="1" x14ac:dyDescent="0.35">
      <c r="A209" s="258">
        <v>201</v>
      </c>
      <c r="B209" s="263" t="s">
        <v>8206</v>
      </c>
      <c r="C209" s="263" t="s">
        <v>8207</v>
      </c>
      <c r="D209" s="263" t="s">
        <v>841</v>
      </c>
      <c r="E209" s="263">
        <v>400</v>
      </c>
      <c r="F209" s="263">
        <v>2017</v>
      </c>
      <c r="G209" s="263" t="s">
        <v>8299</v>
      </c>
      <c r="H209" s="263" t="s">
        <v>7938</v>
      </c>
      <c r="I209" s="265"/>
      <c r="J209" s="263"/>
      <c r="K209" s="263" t="s">
        <v>8209</v>
      </c>
      <c r="L209" s="263" t="s">
        <v>422</v>
      </c>
      <c r="M209" s="266">
        <v>140</v>
      </c>
      <c r="N209" s="263" t="s">
        <v>8300</v>
      </c>
      <c r="O209" s="263" t="s">
        <v>8279</v>
      </c>
      <c r="P209" s="232">
        <v>2</v>
      </c>
      <c r="Q209" s="256"/>
      <c r="R209" s="256"/>
      <c r="S209" s="256"/>
      <c r="T209" s="256"/>
      <c r="U209" s="256"/>
      <c r="V209" s="256"/>
      <c r="W209" s="256"/>
      <c r="X209" s="256"/>
      <c r="Y209" s="257"/>
      <c r="Z209" s="257"/>
    </row>
    <row r="210" spans="1:26" ht="15.75" customHeight="1" x14ac:dyDescent="0.35">
      <c r="A210" s="264">
        <v>202</v>
      </c>
      <c r="B210" s="263" t="s">
        <v>8206</v>
      </c>
      <c r="C210" s="263" t="s">
        <v>8207</v>
      </c>
      <c r="D210" s="263" t="s">
        <v>51</v>
      </c>
      <c r="E210" s="263">
        <v>400</v>
      </c>
      <c r="F210" s="263">
        <v>2017</v>
      </c>
      <c r="G210" s="263" t="s">
        <v>8301</v>
      </c>
      <c r="H210" s="263" t="s">
        <v>7938</v>
      </c>
      <c r="I210" s="265"/>
      <c r="J210" s="263"/>
      <c r="K210" s="263" t="s">
        <v>8209</v>
      </c>
      <c r="L210" s="263" t="s">
        <v>422</v>
      </c>
      <c r="M210" s="266">
        <v>56</v>
      </c>
      <c r="N210" s="263" t="s">
        <v>8302</v>
      </c>
      <c r="O210" s="263" t="s">
        <v>8303</v>
      </c>
      <c r="P210" s="232">
        <v>2</v>
      </c>
      <c r="Q210" s="256"/>
      <c r="R210" s="256"/>
      <c r="S210" s="256"/>
      <c r="T210" s="256"/>
      <c r="U210" s="256"/>
      <c r="V210" s="256"/>
      <c r="W210" s="256"/>
      <c r="X210" s="256"/>
      <c r="Y210" s="257"/>
      <c r="Z210" s="257"/>
    </row>
    <row r="211" spans="1:26" ht="15.75" customHeight="1" x14ac:dyDescent="0.35">
      <c r="A211" s="258">
        <v>203</v>
      </c>
      <c r="B211" s="263" t="s">
        <v>8206</v>
      </c>
      <c r="C211" s="263" t="s">
        <v>8207</v>
      </c>
      <c r="D211" s="263" t="s">
        <v>59</v>
      </c>
      <c r="E211" s="263">
        <v>5000</v>
      </c>
      <c r="F211" s="263">
        <v>2017</v>
      </c>
      <c r="G211" s="263" t="s">
        <v>8304</v>
      </c>
      <c r="H211" s="263" t="s">
        <v>7938</v>
      </c>
      <c r="I211" s="265"/>
      <c r="J211" s="263"/>
      <c r="K211" s="263" t="s">
        <v>8209</v>
      </c>
      <c r="L211" s="263" t="s">
        <v>422</v>
      </c>
      <c r="M211" s="266">
        <v>700</v>
      </c>
      <c r="N211" s="263" t="s">
        <v>8305</v>
      </c>
      <c r="O211" s="263" t="s">
        <v>8303</v>
      </c>
      <c r="P211" s="232">
        <v>2</v>
      </c>
      <c r="Q211" s="256"/>
      <c r="R211" s="256"/>
      <c r="S211" s="256"/>
      <c r="T211" s="256"/>
      <c r="U211" s="256"/>
      <c r="V211" s="256"/>
      <c r="W211" s="256"/>
      <c r="X211" s="256"/>
      <c r="Y211" s="257"/>
      <c r="Z211" s="257"/>
    </row>
    <row r="212" spans="1:26" ht="15.75" customHeight="1" x14ac:dyDescent="0.35">
      <c r="A212" s="258">
        <v>204</v>
      </c>
      <c r="B212" s="263" t="s">
        <v>8206</v>
      </c>
      <c r="C212" s="263" t="s">
        <v>8207</v>
      </c>
      <c r="D212" s="263" t="s">
        <v>97</v>
      </c>
      <c r="E212" s="263">
        <v>300</v>
      </c>
      <c r="F212" s="263">
        <v>2017</v>
      </c>
      <c r="G212" s="263" t="s">
        <v>8306</v>
      </c>
      <c r="H212" s="263" t="s">
        <v>7938</v>
      </c>
      <c r="I212" s="265"/>
      <c r="J212" s="263"/>
      <c r="K212" s="263" t="s">
        <v>8209</v>
      </c>
      <c r="L212" s="263" t="s">
        <v>422</v>
      </c>
      <c r="M212" s="266">
        <v>81</v>
      </c>
      <c r="N212" s="263" t="s">
        <v>8307</v>
      </c>
      <c r="O212" s="263" t="s">
        <v>8303</v>
      </c>
      <c r="P212" s="232">
        <v>2</v>
      </c>
      <c r="Q212" s="256"/>
      <c r="R212" s="256"/>
      <c r="S212" s="256"/>
      <c r="T212" s="256"/>
      <c r="U212" s="256"/>
      <c r="V212" s="256"/>
      <c r="W212" s="256"/>
      <c r="X212" s="256"/>
      <c r="Y212" s="257"/>
      <c r="Z212" s="257"/>
    </row>
    <row r="213" spans="1:26" ht="15.75" customHeight="1" x14ac:dyDescent="0.35">
      <c r="A213" s="264">
        <v>205</v>
      </c>
      <c r="B213" s="263" t="s">
        <v>8206</v>
      </c>
      <c r="C213" s="263" t="s">
        <v>8207</v>
      </c>
      <c r="D213" s="263" t="s">
        <v>101</v>
      </c>
      <c r="E213" s="263">
        <v>398</v>
      </c>
      <c r="F213" s="263">
        <v>2017</v>
      </c>
      <c r="G213" s="263" t="s">
        <v>8308</v>
      </c>
      <c r="H213" s="263" t="s">
        <v>7938</v>
      </c>
      <c r="I213" s="265">
        <v>45600</v>
      </c>
      <c r="J213" s="263" t="s">
        <v>8309</v>
      </c>
      <c r="K213" s="263" t="s">
        <v>8209</v>
      </c>
      <c r="L213" s="263" t="s">
        <v>422</v>
      </c>
      <c r="M213" s="266">
        <v>56</v>
      </c>
      <c r="N213" s="263" t="s">
        <v>8310</v>
      </c>
      <c r="O213" s="263" t="s">
        <v>8303</v>
      </c>
      <c r="P213" s="232">
        <v>2</v>
      </c>
      <c r="Q213" s="256"/>
      <c r="R213" s="256"/>
      <c r="S213" s="256"/>
      <c r="T213" s="256"/>
      <c r="U213" s="256"/>
      <c r="V213" s="256"/>
      <c r="W213" s="256"/>
      <c r="X213" s="256"/>
      <c r="Y213" s="257"/>
      <c r="Z213" s="257"/>
    </row>
    <row r="214" spans="1:26" ht="15.75" customHeight="1" x14ac:dyDescent="0.35">
      <c r="A214" s="258">
        <v>206</v>
      </c>
      <c r="B214" s="263" t="s">
        <v>8206</v>
      </c>
      <c r="C214" s="263" t="s">
        <v>8207</v>
      </c>
      <c r="D214" s="263" t="s">
        <v>107</v>
      </c>
      <c r="E214" s="263">
        <v>1500</v>
      </c>
      <c r="F214" s="263">
        <v>2008</v>
      </c>
      <c r="G214" s="263" t="s">
        <v>8311</v>
      </c>
      <c r="H214" s="263" t="s">
        <v>7938</v>
      </c>
      <c r="I214" s="265"/>
      <c r="J214" s="263"/>
      <c r="K214" s="263" t="s">
        <v>8312</v>
      </c>
      <c r="L214" s="263" t="s">
        <v>422</v>
      </c>
      <c r="M214" s="266">
        <v>18000</v>
      </c>
      <c r="N214" s="263" t="s">
        <v>8313</v>
      </c>
      <c r="O214" s="263" t="s">
        <v>8303</v>
      </c>
      <c r="P214" s="232">
        <v>2</v>
      </c>
      <c r="Q214" s="256"/>
      <c r="R214" s="256"/>
      <c r="S214" s="256"/>
      <c r="T214" s="256"/>
      <c r="U214" s="256"/>
      <c r="V214" s="256"/>
      <c r="W214" s="256"/>
      <c r="X214" s="256"/>
      <c r="Y214" s="257"/>
      <c r="Z214" s="257"/>
    </row>
    <row r="215" spans="1:26" ht="15.75" customHeight="1" x14ac:dyDescent="0.35">
      <c r="A215" s="258">
        <v>207</v>
      </c>
      <c r="B215" s="263" t="s">
        <v>8206</v>
      </c>
      <c r="C215" s="263" t="s">
        <v>8207</v>
      </c>
      <c r="D215" s="263" t="s">
        <v>112</v>
      </c>
      <c r="E215" s="263">
        <v>150</v>
      </c>
      <c r="F215" s="263">
        <v>2014</v>
      </c>
      <c r="G215" s="263" t="s">
        <v>8314</v>
      </c>
      <c r="H215" s="263" t="s">
        <v>7938</v>
      </c>
      <c r="I215" s="265">
        <v>39097</v>
      </c>
      <c r="J215" s="263"/>
      <c r="K215" s="263" t="s">
        <v>8315</v>
      </c>
      <c r="L215" s="263" t="s">
        <v>422</v>
      </c>
      <c r="M215" s="266">
        <v>21</v>
      </c>
      <c r="N215" s="263" t="s">
        <v>8316</v>
      </c>
      <c r="O215" s="263" t="s">
        <v>8303</v>
      </c>
      <c r="P215" s="232">
        <v>2</v>
      </c>
      <c r="Q215" s="256"/>
      <c r="R215" s="256"/>
      <c r="S215" s="256"/>
      <c r="T215" s="256"/>
      <c r="U215" s="256"/>
      <c r="V215" s="256"/>
      <c r="W215" s="256"/>
      <c r="X215" s="256"/>
      <c r="Y215" s="257"/>
      <c r="Z215" s="257"/>
    </row>
    <row r="216" spans="1:26" ht="15.75" customHeight="1" x14ac:dyDescent="0.35">
      <c r="A216" s="264">
        <v>208</v>
      </c>
      <c r="B216" s="263" t="s">
        <v>8206</v>
      </c>
      <c r="C216" s="263" t="s">
        <v>8207</v>
      </c>
      <c r="D216" s="263" t="s">
        <v>116</v>
      </c>
      <c r="E216" s="263">
        <v>242</v>
      </c>
      <c r="F216" s="263">
        <v>2014</v>
      </c>
      <c r="G216" s="263" t="s">
        <v>8317</v>
      </c>
      <c r="H216" s="263" t="s">
        <v>7938</v>
      </c>
      <c r="I216" s="265">
        <v>39417</v>
      </c>
      <c r="J216" s="263"/>
      <c r="K216" s="263" t="s">
        <v>8318</v>
      </c>
      <c r="L216" s="263" t="s">
        <v>422</v>
      </c>
      <c r="M216" s="266">
        <v>65.34</v>
      </c>
      <c r="N216" s="263" t="s">
        <v>8319</v>
      </c>
      <c r="O216" s="263" t="s">
        <v>8303</v>
      </c>
      <c r="P216" s="232">
        <v>2</v>
      </c>
      <c r="Q216" s="256"/>
      <c r="R216" s="256"/>
      <c r="S216" s="256"/>
      <c r="T216" s="256"/>
      <c r="U216" s="256"/>
      <c r="V216" s="256"/>
      <c r="W216" s="256"/>
      <c r="X216" s="256"/>
      <c r="Y216" s="257"/>
      <c r="Z216" s="257"/>
    </row>
    <row r="217" spans="1:26" ht="15.75" customHeight="1" x14ac:dyDescent="0.35">
      <c r="A217" s="258">
        <v>209</v>
      </c>
      <c r="B217" s="263" t="s">
        <v>8206</v>
      </c>
      <c r="C217" s="263" t="s">
        <v>8207</v>
      </c>
      <c r="D217" s="263" t="s">
        <v>841</v>
      </c>
      <c r="E217" s="263">
        <v>2500</v>
      </c>
      <c r="F217" s="263">
        <v>2014</v>
      </c>
      <c r="G217" s="263" t="s">
        <v>8320</v>
      </c>
      <c r="H217" s="263" t="s">
        <v>7938</v>
      </c>
      <c r="I217" s="265">
        <v>41218</v>
      </c>
      <c r="J217" s="263" t="s">
        <v>8321</v>
      </c>
      <c r="K217" s="263" t="s">
        <v>8261</v>
      </c>
      <c r="L217" s="263" t="s">
        <v>422</v>
      </c>
      <c r="M217" s="266">
        <v>675</v>
      </c>
      <c r="N217" s="263" t="s">
        <v>8322</v>
      </c>
      <c r="O217" s="263" t="s">
        <v>8303</v>
      </c>
      <c r="P217" s="232">
        <v>2</v>
      </c>
      <c r="Q217" s="256"/>
      <c r="R217" s="256"/>
      <c r="S217" s="256"/>
      <c r="T217" s="256"/>
      <c r="U217" s="256"/>
      <c r="V217" s="256"/>
      <c r="W217" s="256"/>
      <c r="X217" s="256"/>
      <c r="Y217" s="257"/>
      <c r="Z217" s="257"/>
    </row>
    <row r="218" spans="1:26" ht="15.75" customHeight="1" x14ac:dyDescent="0.35">
      <c r="A218" s="258">
        <v>210</v>
      </c>
      <c r="B218" s="263" t="s">
        <v>8206</v>
      </c>
      <c r="C218" s="263" t="s">
        <v>8207</v>
      </c>
      <c r="D218" s="263" t="s">
        <v>904</v>
      </c>
      <c r="E218" s="263">
        <v>840</v>
      </c>
      <c r="F218" s="263">
        <v>2014</v>
      </c>
      <c r="G218" s="263" t="s">
        <v>8323</v>
      </c>
      <c r="H218" s="263" t="s">
        <v>7938</v>
      </c>
      <c r="I218" s="265">
        <v>39229</v>
      </c>
      <c r="J218" s="263"/>
      <c r="K218" s="263" t="s">
        <v>8324</v>
      </c>
      <c r="L218" s="263" t="s">
        <v>422</v>
      </c>
      <c r="M218" s="266">
        <v>117.6</v>
      </c>
      <c r="N218" s="263" t="s">
        <v>8325</v>
      </c>
      <c r="O218" s="263" t="s">
        <v>8303</v>
      </c>
      <c r="P218" s="232">
        <v>2</v>
      </c>
      <c r="Q218" s="256"/>
      <c r="R218" s="256"/>
      <c r="S218" s="256"/>
      <c r="T218" s="256"/>
      <c r="U218" s="256"/>
      <c r="V218" s="256"/>
      <c r="W218" s="256"/>
      <c r="X218" s="256"/>
      <c r="Y218" s="257"/>
      <c r="Z218" s="257"/>
    </row>
    <row r="219" spans="1:26" ht="15.75" customHeight="1" x14ac:dyDescent="0.35">
      <c r="A219" s="264">
        <v>211</v>
      </c>
      <c r="B219" s="263" t="s">
        <v>8206</v>
      </c>
      <c r="C219" s="263" t="s">
        <v>8207</v>
      </c>
      <c r="D219" s="263" t="s">
        <v>122</v>
      </c>
      <c r="E219" s="263">
        <v>375</v>
      </c>
      <c r="F219" s="263">
        <v>2015</v>
      </c>
      <c r="G219" s="263" t="s">
        <v>8326</v>
      </c>
      <c r="H219" s="263" t="s">
        <v>7938</v>
      </c>
      <c r="I219" s="265">
        <v>41945</v>
      </c>
      <c r="J219" s="263"/>
      <c r="K219" s="263" t="s">
        <v>8261</v>
      </c>
      <c r="L219" s="263" t="s">
        <v>422</v>
      </c>
      <c r="M219" s="266">
        <v>52.5</v>
      </c>
      <c r="N219" s="263" t="s">
        <v>8327</v>
      </c>
      <c r="O219" s="263" t="s">
        <v>8303</v>
      </c>
      <c r="P219" s="232">
        <v>2</v>
      </c>
      <c r="Q219" s="256"/>
      <c r="R219" s="256"/>
      <c r="S219" s="256"/>
      <c r="T219" s="256"/>
      <c r="U219" s="256"/>
      <c r="V219" s="256"/>
      <c r="W219" s="256"/>
      <c r="X219" s="256"/>
      <c r="Y219" s="257"/>
      <c r="Z219" s="257"/>
    </row>
    <row r="220" spans="1:26" ht="15.75" customHeight="1" x14ac:dyDescent="0.35">
      <c r="A220" s="258">
        <v>212</v>
      </c>
      <c r="B220" s="263" t="s">
        <v>8206</v>
      </c>
      <c r="C220" s="263" t="s">
        <v>8207</v>
      </c>
      <c r="D220" s="263" t="s">
        <v>126</v>
      </c>
      <c r="E220" s="263">
        <v>398</v>
      </c>
      <c r="F220" s="263">
        <v>2024</v>
      </c>
      <c r="G220" s="263" t="s">
        <v>8328</v>
      </c>
      <c r="H220" s="263" t="s">
        <v>7938</v>
      </c>
      <c r="I220" s="265">
        <v>45600</v>
      </c>
      <c r="J220" s="263" t="s">
        <v>8309</v>
      </c>
      <c r="K220" s="263" t="s">
        <v>8329</v>
      </c>
      <c r="L220" s="263" t="s">
        <v>422</v>
      </c>
      <c r="M220" s="266">
        <v>975.1</v>
      </c>
      <c r="N220" s="263" t="s">
        <v>7969</v>
      </c>
      <c r="O220" s="263" t="s">
        <v>8303</v>
      </c>
      <c r="P220" s="232">
        <v>2</v>
      </c>
      <c r="Q220" s="256"/>
      <c r="R220" s="256"/>
      <c r="S220" s="256"/>
      <c r="T220" s="256"/>
      <c r="U220" s="256"/>
      <c r="V220" s="256"/>
      <c r="W220" s="256"/>
      <c r="X220" s="256"/>
      <c r="Y220" s="257"/>
      <c r="Z220" s="257"/>
    </row>
    <row r="221" spans="1:26" ht="15.75" customHeight="1" x14ac:dyDescent="0.35">
      <c r="A221" s="258">
        <v>213</v>
      </c>
      <c r="B221" s="263" t="s">
        <v>8206</v>
      </c>
      <c r="C221" s="263" t="s">
        <v>8207</v>
      </c>
      <c r="D221" s="263" t="s">
        <v>51</v>
      </c>
      <c r="E221" s="263">
        <v>600</v>
      </c>
      <c r="F221" s="263">
        <v>2015</v>
      </c>
      <c r="G221" s="263" t="s">
        <v>8330</v>
      </c>
      <c r="H221" s="263" t="s">
        <v>7938</v>
      </c>
      <c r="I221" s="265">
        <v>41152</v>
      </c>
      <c r="J221" s="263" t="s">
        <v>8331</v>
      </c>
      <c r="K221" s="263" t="s">
        <v>8261</v>
      </c>
      <c r="L221" s="263" t="s">
        <v>422</v>
      </c>
      <c r="M221" s="266">
        <v>84</v>
      </c>
      <c r="N221" s="263" t="s">
        <v>8332</v>
      </c>
      <c r="O221" s="263" t="s">
        <v>8333</v>
      </c>
      <c r="P221" s="232">
        <v>2</v>
      </c>
      <c r="Q221" s="256"/>
      <c r="R221" s="256"/>
      <c r="S221" s="256"/>
      <c r="T221" s="256"/>
      <c r="U221" s="256"/>
      <c r="V221" s="256"/>
      <c r="W221" s="256"/>
      <c r="X221" s="256"/>
      <c r="Y221" s="257"/>
      <c r="Z221" s="257"/>
    </row>
    <row r="222" spans="1:26" ht="15.75" customHeight="1" x14ac:dyDescent="0.35">
      <c r="A222" s="264">
        <v>214</v>
      </c>
      <c r="B222" s="263" t="s">
        <v>8206</v>
      </c>
      <c r="C222" s="263" t="s">
        <v>8207</v>
      </c>
      <c r="D222" s="263" t="s">
        <v>59</v>
      </c>
      <c r="E222" s="263">
        <v>360</v>
      </c>
      <c r="F222" s="263">
        <v>2015</v>
      </c>
      <c r="G222" s="263" t="s">
        <v>8334</v>
      </c>
      <c r="H222" s="263" t="s">
        <v>7938</v>
      </c>
      <c r="I222" s="265">
        <v>41505</v>
      </c>
      <c r="J222" s="263"/>
      <c r="K222" s="263" t="s">
        <v>8217</v>
      </c>
      <c r="L222" s="263" t="s">
        <v>422</v>
      </c>
      <c r="M222" s="266">
        <v>72</v>
      </c>
      <c r="N222" s="263" t="s">
        <v>8335</v>
      </c>
      <c r="O222" s="263" t="s">
        <v>8333</v>
      </c>
      <c r="P222" s="232">
        <v>2</v>
      </c>
      <c r="Q222" s="256"/>
      <c r="R222" s="256"/>
      <c r="S222" s="256"/>
      <c r="T222" s="256"/>
      <c r="U222" s="256"/>
      <c r="V222" s="256"/>
      <c r="W222" s="256"/>
      <c r="X222" s="256"/>
      <c r="Y222" s="257"/>
      <c r="Z222" s="257"/>
    </row>
    <row r="223" spans="1:26" ht="15.75" customHeight="1" x14ac:dyDescent="0.35">
      <c r="A223" s="258">
        <v>215</v>
      </c>
      <c r="B223" s="263" t="s">
        <v>8206</v>
      </c>
      <c r="C223" s="263" t="s">
        <v>8207</v>
      </c>
      <c r="D223" s="263" t="s">
        <v>97</v>
      </c>
      <c r="E223" s="263">
        <v>11270</v>
      </c>
      <c r="F223" s="263">
        <v>2015</v>
      </c>
      <c r="G223" s="263" t="s">
        <v>8336</v>
      </c>
      <c r="H223" s="263" t="s">
        <v>7938</v>
      </c>
      <c r="I223" s="265">
        <v>40690</v>
      </c>
      <c r="J223" s="263"/>
      <c r="K223" s="263" t="s">
        <v>8337</v>
      </c>
      <c r="L223" s="263" t="s">
        <v>422</v>
      </c>
      <c r="M223" s="266">
        <v>2254</v>
      </c>
      <c r="N223" s="263" t="s">
        <v>8338</v>
      </c>
      <c r="O223" s="263" t="s">
        <v>8333</v>
      </c>
      <c r="P223" s="232">
        <v>2</v>
      </c>
      <c r="Q223" s="256"/>
      <c r="R223" s="256"/>
      <c r="S223" s="256"/>
      <c r="T223" s="256"/>
      <c r="U223" s="256"/>
      <c r="V223" s="256"/>
      <c r="W223" s="256"/>
      <c r="X223" s="256"/>
      <c r="Y223" s="257"/>
      <c r="Z223" s="257"/>
    </row>
    <row r="224" spans="1:26" ht="15.75" customHeight="1" x14ac:dyDescent="0.35">
      <c r="A224" s="258">
        <v>216</v>
      </c>
      <c r="B224" s="263" t="s">
        <v>8206</v>
      </c>
      <c r="C224" s="263" t="s">
        <v>8207</v>
      </c>
      <c r="D224" s="263" t="s">
        <v>101</v>
      </c>
      <c r="E224" s="263">
        <v>120</v>
      </c>
      <c r="F224" s="263">
        <v>2014</v>
      </c>
      <c r="G224" s="263" t="s">
        <v>8339</v>
      </c>
      <c r="H224" s="263" t="s">
        <v>7938</v>
      </c>
      <c r="I224" s="265">
        <v>40969</v>
      </c>
      <c r="J224" s="263"/>
      <c r="K224" s="263" t="s">
        <v>8261</v>
      </c>
      <c r="L224" s="263" t="s">
        <v>422</v>
      </c>
      <c r="M224" s="266">
        <v>16.8</v>
      </c>
      <c r="N224" s="263" t="s">
        <v>8340</v>
      </c>
      <c r="O224" s="263" t="s">
        <v>8333</v>
      </c>
      <c r="P224" s="232">
        <v>2</v>
      </c>
      <c r="Q224" s="256"/>
      <c r="R224" s="256"/>
      <c r="S224" s="256"/>
      <c r="T224" s="256"/>
      <c r="U224" s="256"/>
      <c r="V224" s="256"/>
      <c r="W224" s="256"/>
      <c r="X224" s="256"/>
      <c r="Y224" s="257"/>
      <c r="Z224" s="257"/>
    </row>
    <row r="225" spans="1:26" ht="15.75" customHeight="1" x14ac:dyDescent="0.35">
      <c r="A225" s="264">
        <v>217</v>
      </c>
      <c r="B225" s="263" t="s">
        <v>8206</v>
      </c>
      <c r="C225" s="263" t="s">
        <v>8207</v>
      </c>
      <c r="D225" s="263" t="s">
        <v>107</v>
      </c>
      <c r="E225" s="263">
        <v>120</v>
      </c>
      <c r="F225" s="263">
        <v>2014</v>
      </c>
      <c r="G225" s="263" t="s">
        <v>8341</v>
      </c>
      <c r="H225" s="263" t="s">
        <v>7938</v>
      </c>
      <c r="I225" s="265">
        <v>40644</v>
      </c>
      <c r="J225" s="263"/>
      <c r="K225" s="263" t="s">
        <v>8261</v>
      </c>
      <c r="L225" s="263" t="s">
        <v>422</v>
      </c>
      <c r="M225" s="266">
        <v>6000</v>
      </c>
      <c r="N225" s="263" t="s">
        <v>8342</v>
      </c>
      <c r="O225" s="263" t="s">
        <v>8333</v>
      </c>
      <c r="P225" s="232">
        <v>2</v>
      </c>
      <c r="Q225" s="256"/>
      <c r="R225" s="256"/>
      <c r="S225" s="256"/>
      <c r="T225" s="256"/>
      <c r="U225" s="256"/>
      <c r="V225" s="256"/>
      <c r="W225" s="256"/>
      <c r="X225" s="256"/>
      <c r="Y225" s="257"/>
      <c r="Z225" s="257"/>
    </row>
    <row r="226" spans="1:26" ht="15.75" customHeight="1" x14ac:dyDescent="0.35">
      <c r="A226" s="258">
        <v>218</v>
      </c>
      <c r="B226" s="263" t="s">
        <v>8206</v>
      </c>
      <c r="C226" s="263" t="s">
        <v>8207</v>
      </c>
      <c r="D226" s="263" t="s">
        <v>112</v>
      </c>
      <c r="E226" s="263">
        <v>240</v>
      </c>
      <c r="F226" s="263">
        <v>2017</v>
      </c>
      <c r="G226" s="263" t="s">
        <v>8343</v>
      </c>
      <c r="H226" s="263" t="s">
        <v>7938</v>
      </c>
      <c r="I226" s="265"/>
      <c r="J226" s="263"/>
      <c r="K226" s="263" t="s">
        <v>8209</v>
      </c>
      <c r="L226" s="263" t="s">
        <v>422</v>
      </c>
      <c r="M226" s="266">
        <v>33.6</v>
      </c>
      <c r="N226" s="263" t="s">
        <v>8344</v>
      </c>
      <c r="O226" s="263" t="s">
        <v>8333</v>
      </c>
      <c r="P226" s="232">
        <v>2</v>
      </c>
      <c r="Q226" s="256"/>
      <c r="R226" s="256"/>
      <c r="S226" s="256"/>
      <c r="T226" s="256"/>
      <c r="U226" s="256"/>
      <c r="V226" s="256"/>
      <c r="W226" s="256"/>
      <c r="X226" s="256"/>
      <c r="Y226" s="257"/>
      <c r="Z226" s="257"/>
    </row>
    <row r="227" spans="1:26" ht="15.75" customHeight="1" x14ac:dyDescent="0.35">
      <c r="A227" s="258">
        <v>219</v>
      </c>
      <c r="B227" s="263" t="s">
        <v>8206</v>
      </c>
      <c r="C227" s="263" t="s">
        <v>8207</v>
      </c>
      <c r="D227" s="263" t="s">
        <v>116</v>
      </c>
      <c r="E227" s="263">
        <v>320</v>
      </c>
      <c r="F227" s="263">
        <v>2017</v>
      </c>
      <c r="G227" s="263" t="s">
        <v>8345</v>
      </c>
      <c r="H227" s="263" t="s">
        <v>7938</v>
      </c>
      <c r="I227" s="265"/>
      <c r="J227" s="263"/>
      <c r="K227" s="263" t="s">
        <v>8209</v>
      </c>
      <c r="L227" s="263" t="s">
        <v>422</v>
      </c>
      <c r="M227" s="266">
        <v>86.4</v>
      </c>
      <c r="N227" s="263" t="s">
        <v>8346</v>
      </c>
      <c r="O227" s="263" t="s">
        <v>8333</v>
      </c>
      <c r="P227" s="232">
        <v>2</v>
      </c>
      <c r="Q227" s="256"/>
      <c r="R227" s="256"/>
      <c r="S227" s="256"/>
      <c r="T227" s="256"/>
      <c r="U227" s="256"/>
      <c r="V227" s="256"/>
      <c r="W227" s="256"/>
      <c r="X227" s="256"/>
      <c r="Y227" s="257"/>
      <c r="Z227" s="257"/>
    </row>
    <row r="228" spans="1:26" ht="15.75" customHeight="1" x14ac:dyDescent="0.35">
      <c r="A228" s="264">
        <v>220</v>
      </c>
      <c r="B228" s="263" t="s">
        <v>8206</v>
      </c>
      <c r="C228" s="263" t="s">
        <v>8207</v>
      </c>
      <c r="D228" s="263" t="s">
        <v>841</v>
      </c>
      <c r="E228" s="263">
        <v>900</v>
      </c>
      <c r="F228" s="263">
        <v>2017</v>
      </c>
      <c r="G228" s="263" t="s">
        <v>8347</v>
      </c>
      <c r="H228" s="263" t="s">
        <v>7938</v>
      </c>
      <c r="I228" s="265"/>
      <c r="J228" s="263"/>
      <c r="K228" s="263" t="s">
        <v>8209</v>
      </c>
      <c r="L228" s="263" t="s">
        <v>422</v>
      </c>
      <c r="M228" s="266">
        <v>126</v>
      </c>
      <c r="N228" s="263" t="s">
        <v>8348</v>
      </c>
      <c r="O228" s="263" t="s">
        <v>8333</v>
      </c>
      <c r="P228" s="232">
        <v>2</v>
      </c>
      <c r="Q228" s="256"/>
      <c r="R228" s="256"/>
      <c r="S228" s="256"/>
      <c r="T228" s="256"/>
      <c r="U228" s="256"/>
      <c r="V228" s="256"/>
      <c r="W228" s="256"/>
      <c r="X228" s="256"/>
      <c r="Y228" s="257"/>
      <c r="Z228" s="257"/>
    </row>
    <row r="229" spans="1:26" ht="15.75" customHeight="1" x14ac:dyDescent="0.35">
      <c r="A229" s="258">
        <v>221</v>
      </c>
      <c r="B229" s="263" t="s">
        <v>8002</v>
      </c>
      <c r="C229" s="263" t="s">
        <v>8003</v>
      </c>
      <c r="D229" s="263" t="s">
        <v>51</v>
      </c>
      <c r="E229" s="263">
        <v>1010</v>
      </c>
      <c r="F229" s="263">
        <v>2013</v>
      </c>
      <c r="G229" s="263" t="s">
        <v>8349</v>
      </c>
      <c r="H229" s="263" t="s">
        <v>7938</v>
      </c>
      <c r="I229" s="265">
        <v>44579</v>
      </c>
      <c r="J229" s="263" t="s">
        <v>8350</v>
      </c>
      <c r="K229" s="263" t="s">
        <v>8351</v>
      </c>
      <c r="L229" s="263" t="s">
        <v>422</v>
      </c>
      <c r="M229" s="266">
        <v>27000</v>
      </c>
      <c r="N229" s="263" t="s">
        <v>8352</v>
      </c>
      <c r="O229" s="263" t="s">
        <v>8353</v>
      </c>
      <c r="P229" s="232">
        <v>10</v>
      </c>
      <c r="Q229" s="256"/>
      <c r="R229" s="256"/>
      <c r="S229" s="256"/>
      <c r="T229" s="256"/>
      <c r="U229" s="256"/>
      <c r="V229" s="256"/>
      <c r="W229" s="256"/>
      <c r="X229" s="256"/>
      <c r="Y229" s="257"/>
      <c r="Z229" s="257"/>
    </row>
    <row r="230" spans="1:26" ht="15.75" customHeight="1" x14ac:dyDescent="0.35">
      <c r="A230" s="258">
        <v>222</v>
      </c>
      <c r="B230" s="263" t="s">
        <v>7935</v>
      </c>
      <c r="C230" s="263" t="s">
        <v>7936</v>
      </c>
      <c r="D230" s="263" t="s">
        <v>51</v>
      </c>
      <c r="E230" s="263">
        <v>30000</v>
      </c>
      <c r="F230" s="263">
        <v>2009</v>
      </c>
      <c r="G230" s="263" t="s">
        <v>8354</v>
      </c>
      <c r="H230" s="263" t="s">
        <v>7938</v>
      </c>
      <c r="I230" s="265">
        <v>33605</v>
      </c>
      <c r="J230" s="263" t="s">
        <v>8355</v>
      </c>
      <c r="K230" s="263" t="s">
        <v>8356</v>
      </c>
      <c r="L230" s="263" t="s">
        <v>57</v>
      </c>
      <c r="M230" s="266">
        <v>395080</v>
      </c>
      <c r="N230" s="263" t="s">
        <v>8357</v>
      </c>
      <c r="O230" s="263" t="s">
        <v>8353</v>
      </c>
      <c r="P230" s="232">
        <v>10</v>
      </c>
      <c r="Q230" s="256"/>
      <c r="R230" s="256"/>
      <c r="S230" s="256"/>
      <c r="T230" s="256"/>
      <c r="U230" s="256"/>
      <c r="V230" s="256"/>
      <c r="W230" s="256"/>
      <c r="X230" s="256"/>
      <c r="Y230" s="257"/>
      <c r="Z230" s="257"/>
    </row>
    <row r="231" spans="1:26" ht="15.75" customHeight="1" x14ac:dyDescent="0.35">
      <c r="A231" s="264">
        <v>223</v>
      </c>
      <c r="B231" s="263" t="s">
        <v>7935</v>
      </c>
      <c r="C231" s="263" t="s">
        <v>7936</v>
      </c>
      <c r="D231" s="263" t="s">
        <v>59</v>
      </c>
      <c r="E231" s="263">
        <v>10000</v>
      </c>
      <c r="F231" s="263">
        <v>2010</v>
      </c>
      <c r="G231" s="263" t="s">
        <v>8358</v>
      </c>
      <c r="H231" s="263" t="s">
        <v>7938</v>
      </c>
      <c r="I231" s="265">
        <v>33605</v>
      </c>
      <c r="J231" s="263" t="s">
        <v>8359</v>
      </c>
      <c r="K231" s="263" t="s">
        <v>8360</v>
      </c>
      <c r="L231" s="263" t="s">
        <v>57</v>
      </c>
      <c r="M231" s="266">
        <v>100000</v>
      </c>
      <c r="N231" s="263" t="s">
        <v>8361</v>
      </c>
      <c r="O231" s="263" t="s">
        <v>8353</v>
      </c>
      <c r="P231" s="232">
        <v>10</v>
      </c>
      <c r="Q231" s="256"/>
      <c r="R231" s="256"/>
      <c r="S231" s="256"/>
      <c r="T231" s="256"/>
      <c r="U231" s="256"/>
      <c r="V231" s="256"/>
      <c r="W231" s="256"/>
      <c r="X231" s="256"/>
      <c r="Y231" s="257"/>
      <c r="Z231" s="257"/>
    </row>
    <row r="232" spans="1:26" ht="15.75" customHeight="1" x14ac:dyDescent="0.35">
      <c r="A232" s="258">
        <v>224</v>
      </c>
      <c r="B232" s="263" t="s">
        <v>8002</v>
      </c>
      <c r="C232" s="263" t="s">
        <v>8003</v>
      </c>
      <c r="D232" s="263" t="s">
        <v>51</v>
      </c>
      <c r="E232" s="263">
        <v>600</v>
      </c>
      <c r="F232" s="263">
        <v>2013</v>
      </c>
      <c r="G232" s="263" t="s">
        <v>8362</v>
      </c>
      <c r="H232" s="263" t="s">
        <v>7938</v>
      </c>
      <c r="I232" s="265">
        <v>43353</v>
      </c>
      <c r="J232" s="263" t="s">
        <v>8363</v>
      </c>
      <c r="K232" s="263" t="s">
        <v>8364</v>
      </c>
      <c r="L232" s="263" t="s">
        <v>422</v>
      </c>
      <c r="M232" s="266">
        <v>2625</v>
      </c>
      <c r="N232" s="263" t="s">
        <v>8365</v>
      </c>
      <c r="O232" s="263" t="s">
        <v>234</v>
      </c>
      <c r="P232" s="232">
        <v>11</v>
      </c>
      <c r="Q232" s="256"/>
      <c r="R232" s="256"/>
      <c r="S232" s="256"/>
      <c r="T232" s="256"/>
      <c r="U232" s="256"/>
      <c r="V232" s="256"/>
      <c r="W232" s="256"/>
      <c r="X232" s="256"/>
      <c r="Y232" s="257"/>
      <c r="Z232" s="257"/>
    </row>
    <row r="233" spans="1:26" ht="15.75" customHeight="1" x14ac:dyDescent="0.35">
      <c r="A233" s="258">
        <v>225</v>
      </c>
      <c r="B233" s="263" t="s">
        <v>8002</v>
      </c>
      <c r="C233" s="263" t="s">
        <v>8003</v>
      </c>
      <c r="D233" s="263" t="s">
        <v>59</v>
      </c>
      <c r="E233" s="263">
        <v>661</v>
      </c>
      <c r="F233" s="263">
        <v>2013</v>
      </c>
      <c r="G233" s="263" t="s">
        <v>8366</v>
      </c>
      <c r="H233" s="263" t="s">
        <v>7938</v>
      </c>
      <c r="I233" s="265">
        <v>45203</v>
      </c>
      <c r="J233" s="263" t="s">
        <v>8367</v>
      </c>
      <c r="K233" s="263" t="s">
        <v>8368</v>
      </c>
      <c r="L233" s="263" t="s">
        <v>422</v>
      </c>
      <c r="M233" s="266">
        <v>5625</v>
      </c>
      <c r="N233" s="263" t="s">
        <v>8369</v>
      </c>
      <c r="O233" s="263" t="s">
        <v>234</v>
      </c>
      <c r="P233" s="232">
        <v>11</v>
      </c>
      <c r="Q233" s="256"/>
      <c r="R233" s="256"/>
      <c r="S233" s="256"/>
      <c r="T233" s="256"/>
      <c r="U233" s="256"/>
      <c r="V233" s="256"/>
      <c r="W233" s="256"/>
      <c r="X233" s="256"/>
      <c r="Y233" s="257"/>
      <c r="Z233" s="257"/>
    </row>
    <row r="234" spans="1:26" ht="15.75" customHeight="1" x14ac:dyDescent="0.35">
      <c r="A234" s="264">
        <v>226</v>
      </c>
      <c r="B234" s="263" t="s">
        <v>8002</v>
      </c>
      <c r="C234" s="263" t="s">
        <v>8003</v>
      </c>
      <c r="D234" s="263" t="s">
        <v>97</v>
      </c>
      <c r="E234" s="263">
        <v>1548</v>
      </c>
      <c r="F234" s="263">
        <v>2013</v>
      </c>
      <c r="G234" s="263" t="s">
        <v>8370</v>
      </c>
      <c r="H234" s="263" t="s">
        <v>7938</v>
      </c>
      <c r="I234" s="265">
        <v>45065</v>
      </c>
      <c r="J234" s="263" t="s">
        <v>8371</v>
      </c>
      <c r="K234" s="263" t="s">
        <v>8372</v>
      </c>
      <c r="L234" s="263" t="s">
        <v>422</v>
      </c>
      <c r="M234" s="266">
        <v>40500</v>
      </c>
      <c r="N234" s="263" t="s">
        <v>8373</v>
      </c>
      <c r="O234" s="263" t="s">
        <v>234</v>
      </c>
      <c r="P234" s="232">
        <v>11</v>
      </c>
      <c r="Q234" s="256"/>
      <c r="R234" s="256"/>
      <c r="S234" s="256"/>
      <c r="T234" s="256"/>
      <c r="U234" s="256"/>
      <c r="V234" s="256"/>
      <c r="W234" s="256"/>
      <c r="X234" s="256"/>
      <c r="Y234" s="257"/>
      <c r="Z234" s="257"/>
    </row>
    <row r="235" spans="1:26" ht="15.75" customHeight="1" x14ac:dyDescent="0.35">
      <c r="A235" s="258">
        <v>227</v>
      </c>
      <c r="B235" s="263" t="s">
        <v>8002</v>
      </c>
      <c r="C235" s="263" t="s">
        <v>8003</v>
      </c>
      <c r="D235" s="263" t="s">
        <v>101</v>
      </c>
      <c r="E235" s="263">
        <v>454</v>
      </c>
      <c r="F235" s="263">
        <v>2013</v>
      </c>
      <c r="G235" s="263" t="s">
        <v>8374</v>
      </c>
      <c r="H235" s="263" t="s">
        <v>8375</v>
      </c>
      <c r="I235" s="265">
        <v>44046</v>
      </c>
      <c r="J235" s="263" t="s">
        <v>8376</v>
      </c>
      <c r="K235" s="263" t="s">
        <v>8377</v>
      </c>
      <c r="L235" s="263" t="s">
        <v>422</v>
      </c>
      <c r="M235" s="266">
        <v>210</v>
      </c>
      <c r="N235" s="263" t="s">
        <v>8378</v>
      </c>
      <c r="O235" s="263" t="s">
        <v>234</v>
      </c>
      <c r="P235" s="232">
        <v>11</v>
      </c>
      <c r="Q235" s="256"/>
      <c r="R235" s="256"/>
      <c r="S235" s="256"/>
      <c r="T235" s="256"/>
      <c r="U235" s="256"/>
      <c r="V235" s="256"/>
      <c r="W235" s="256"/>
      <c r="X235" s="256"/>
      <c r="Y235" s="257"/>
      <c r="Z235" s="257"/>
    </row>
    <row r="236" spans="1:26" ht="15.75" customHeight="1" x14ac:dyDescent="0.35">
      <c r="A236" s="258">
        <v>228</v>
      </c>
      <c r="B236" s="263" t="s">
        <v>8002</v>
      </c>
      <c r="C236" s="263" t="s">
        <v>8003</v>
      </c>
      <c r="D236" s="263" t="s">
        <v>107</v>
      </c>
      <c r="E236" s="263">
        <v>150</v>
      </c>
      <c r="F236" s="263">
        <v>2013</v>
      </c>
      <c r="G236" s="263" t="s">
        <v>8379</v>
      </c>
      <c r="H236" s="263" t="s">
        <v>7938</v>
      </c>
      <c r="I236" s="265">
        <v>41457</v>
      </c>
      <c r="J236" s="263" t="s">
        <v>8380</v>
      </c>
      <c r="K236" s="263" t="s">
        <v>8381</v>
      </c>
      <c r="L236" s="263" t="s">
        <v>422</v>
      </c>
      <c r="M236" s="266">
        <v>1500</v>
      </c>
      <c r="N236" s="263" t="s">
        <v>8382</v>
      </c>
      <c r="O236" s="263" t="s">
        <v>234</v>
      </c>
      <c r="P236" s="232">
        <v>11</v>
      </c>
      <c r="Q236" s="256"/>
      <c r="R236" s="256"/>
      <c r="S236" s="256"/>
      <c r="T236" s="256"/>
      <c r="U236" s="256"/>
      <c r="V236" s="256"/>
      <c r="W236" s="256"/>
      <c r="X236" s="256"/>
      <c r="Y236" s="257"/>
      <c r="Z236" s="257"/>
    </row>
    <row r="237" spans="1:26" ht="15.75" customHeight="1" x14ac:dyDescent="0.35">
      <c r="A237" s="264">
        <v>229</v>
      </c>
      <c r="B237" s="263" t="s">
        <v>8002</v>
      </c>
      <c r="C237" s="263" t="s">
        <v>8003</v>
      </c>
      <c r="D237" s="263" t="s">
        <v>112</v>
      </c>
      <c r="E237" s="263">
        <v>243</v>
      </c>
      <c r="F237" s="263">
        <v>2005</v>
      </c>
      <c r="G237" s="263" t="s">
        <v>8383</v>
      </c>
      <c r="H237" s="263" t="s">
        <v>7938</v>
      </c>
      <c r="I237" s="265">
        <v>39155</v>
      </c>
      <c r="J237" s="263" t="s">
        <v>8384</v>
      </c>
      <c r="K237" s="263" t="s">
        <v>8385</v>
      </c>
      <c r="L237" s="263" t="s">
        <v>57</v>
      </c>
      <c r="M237" s="266">
        <v>9450</v>
      </c>
      <c r="N237" s="263" t="s">
        <v>8386</v>
      </c>
      <c r="O237" s="263" t="s">
        <v>234</v>
      </c>
      <c r="P237" s="232">
        <v>11</v>
      </c>
      <c r="Q237" s="256"/>
      <c r="R237" s="256"/>
      <c r="S237" s="256"/>
      <c r="T237" s="256"/>
      <c r="U237" s="256"/>
      <c r="V237" s="256"/>
      <c r="W237" s="256"/>
      <c r="X237" s="256"/>
      <c r="Y237" s="257"/>
      <c r="Z237" s="257"/>
    </row>
    <row r="238" spans="1:26" ht="15.75" customHeight="1" x14ac:dyDescent="0.35">
      <c r="A238" s="258">
        <v>230</v>
      </c>
      <c r="B238" s="263" t="s">
        <v>8387</v>
      </c>
      <c r="C238" s="263" t="s">
        <v>8388</v>
      </c>
      <c r="D238" s="263" t="s">
        <v>51</v>
      </c>
      <c r="E238" s="263">
        <v>2400</v>
      </c>
      <c r="F238" s="263">
        <v>2004</v>
      </c>
      <c r="G238" s="263" t="s">
        <v>8389</v>
      </c>
      <c r="H238" s="263" t="s">
        <v>7938</v>
      </c>
      <c r="I238" s="265"/>
      <c r="J238" s="263"/>
      <c r="K238" s="263" t="s">
        <v>4966</v>
      </c>
      <c r="L238" s="263" t="s">
        <v>422</v>
      </c>
      <c r="M238" s="266">
        <v>144000</v>
      </c>
      <c r="N238" s="263" t="s">
        <v>8390</v>
      </c>
      <c r="O238" s="263" t="s">
        <v>258</v>
      </c>
      <c r="P238" s="232">
        <v>12</v>
      </c>
      <c r="Q238" s="256"/>
      <c r="R238" s="256"/>
      <c r="S238" s="256"/>
      <c r="T238" s="256"/>
      <c r="U238" s="256"/>
      <c r="V238" s="256"/>
      <c r="W238" s="256"/>
      <c r="X238" s="256"/>
      <c r="Y238" s="257"/>
      <c r="Z238" s="257"/>
    </row>
    <row r="239" spans="1:26" ht="15.75" customHeight="1" x14ac:dyDescent="0.35">
      <c r="A239" s="258">
        <v>231</v>
      </c>
      <c r="B239" s="263" t="s">
        <v>8387</v>
      </c>
      <c r="C239" s="263" t="s">
        <v>8388</v>
      </c>
      <c r="D239" s="263" t="s">
        <v>59</v>
      </c>
      <c r="E239" s="263">
        <v>700</v>
      </c>
      <c r="F239" s="263">
        <v>2008</v>
      </c>
      <c r="G239" s="263" t="s">
        <v>8391</v>
      </c>
      <c r="H239" s="263" t="s">
        <v>7938</v>
      </c>
      <c r="I239" s="265"/>
      <c r="J239" s="263" t="s">
        <v>8392</v>
      </c>
      <c r="K239" s="263" t="s">
        <v>8393</v>
      </c>
      <c r="L239" s="263" t="s">
        <v>422</v>
      </c>
      <c r="M239" s="266">
        <v>78690</v>
      </c>
      <c r="N239" s="263"/>
      <c r="O239" s="263" t="s">
        <v>258</v>
      </c>
      <c r="P239" s="232">
        <v>12</v>
      </c>
      <c r="Q239" s="256"/>
      <c r="R239" s="256"/>
      <c r="S239" s="256"/>
      <c r="T239" s="256"/>
      <c r="U239" s="256"/>
      <c r="V239" s="256"/>
      <c r="W239" s="256"/>
      <c r="X239" s="256"/>
      <c r="Y239" s="257"/>
      <c r="Z239" s="257"/>
    </row>
    <row r="240" spans="1:26" ht="15.75" customHeight="1" x14ac:dyDescent="0.35">
      <c r="A240" s="264">
        <v>232</v>
      </c>
      <c r="B240" s="263" t="s">
        <v>8387</v>
      </c>
      <c r="C240" s="263" t="s">
        <v>8388</v>
      </c>
      <c r="D240" s="263" t="s">
        <v>97</v>
      </c>
      <c r="E240" s="263">
        <v>750</v>
      </c>
      <c r="F240" s="263">
        <v>2009</v>
      </c>
      <c r="G240" s="263" t="s">
        <v>8394</v>
      </c>
      <c r="H240" s="263" t="s">
        <v>7938</v>
      </c>
      <c r="I240" s="265"/>
      <c r="J240" s="263" t="s">
        <v>8395</v>
      </c>
      <c r="K240" s="263" t="s">
        <v>8393</v>
      </c>
      <c r="L240" s="263" t="s">
        <v>422</v>
      </c>
      <c r="M240" s="266">
        <v>202.5</v>
      </c>
      <c r="N240" s="263"/>
      <c r="O240" s="263" t="s">
        <v>258</v>
      </c>
      <c r="P240" s="232">
        <v>12</v>
      </c>
      <c r="Q240" s="256"/>
      <c r="R240" s="256"/>
      <c r="S240" s="256"/>
      <c r="T240" s="256"/>
      <c r="U240" s="256"/>
      <c r="V240" s="256"/>
      <c r="W240" s="256"/>
      <c r="X240" s="256"/>
      <c r="Y240" s="257"/>
      <c r="Z240" s="257"/>
    </row>
    <row r="241" spans="1:26" ht="15.75" customHeight="1" x14ac:dyDescent="0.35">
      <c r="A241" s="258">
        <v>233</v>
      </c>
      <c r="B241" s="263" t="s">
        <v>8387</v>
      </c>
      <c r="C241" s="263" t="s">
        <v>8388</v>
      </c>
      <c r="D241" s="263" t="s">
        <v>101</v>
      </c>
      <c r="E241" s="263">
        <v>1707</v>
      </c>
      <c r="F241" s="263">
        <v>2009</v>
      </c>
      <c r="G241" s="263" t="s">
        <v>8396</v>
      </c>
      <c r="H241" s="263" t="s">
        <v>7938</v>
      </c>
      <c r="I241" s="265">
        <v>44047</v>
      </c>
      <c r="J241" s="263" t="s">
        <v>8397</v>
      </c>
      <c r="K241" s="263" t="s">
        <v>8393</v>
      </c>
      <c r="L241" s="263" t="s">
        <v>422</v>
      </c>
      <c r="M241" s="266">
        <v>3420</v>
      </c>
      <c r="N241" s="263" t="s">
        <v>8398</v>
      </c>
      <c r="O241" s="263" t="s">
        <v>258</v>
      </c>
      <c r="P241" s="232">
        <v>12</v>
      </c>
      <c r="Q241" s="256"/>
      <c r="R241" s="256"/>
      <c r="S241" s="256"/>
      <c r="T241" s="256"/>
      <c r="U241" s="256"/>
      <c r="V241" s="256"/>
      <c r="W241" s="256"/>
      <c r="X241" s="256"/>
      <c r="Y241" s="257"/>
      <c r="Z241" s="257"/>
    </row>
    <row r="242" spans="1:26" ht="15.75" customHeight="1" x14ac:dyDescent="0.35">
      <c r="A242" s="258">
        <v>234</v>
      </c>
      <c r="B242" s="263" t="s">
        <v>8387</v>
      </c>
      <c r="C242" s="263" t="s">
        <v>8388</v>
      </c>
      <c r="D242" s="263" t="s">
        <v>107</v>
      </c>
      <c r="E242" s="263">
        <v>5000</v>
      </c>
      <c r="F242" s="263">
        <v>2010</v>
      </c>
      <c r="G242" s="263" t="s">
        <v>8399</v>
      </c>
      <c r="H242" s="263" t="s">
        <v>7938</v>
      </c>
      <c r="I242" s="265">
        <v>40303</v>
      </c>
      <c r="J242" s="263"/>
      <c r="K242" s="263" t="s">
        <v>8393</v>
      </c>
      <c r="L242" s="263" t="s">
        <v>422</v>
      </c>
      <c r="M242" s="266">
        <v>700</v>
      </c>
      <c r="N242" s="263"/>
      <c r="O242" s="263" t="s">
        <v>258</v>
      </c>
      <c r="P242" s="232">
        <v>12</v>
      </c>
      <c r="Q242" s="256"/>
      <c r="R242" s="256"/>
      <c r="S242" s="256"/>
      <c r="T242" s="256"/>
      <c r="U242" s="256"/>
      <c r="V242" s="256"/>
      <c r="W242" s="256"/>
      <c r="X242" s="256"/>
      <c r="Y242" s="257"/>
      <c r="Z242" s="257"/>
    </row>
    <row r="243" spans="1:26" ht="15.75" customHeight="1" x14ac:dyDescent="0.35">
      <c r="A243" s="264">
        <v>235</v>
      </c>
      <c r="B243" s="263" t="s">
        <v>8387</v>
      </c>
      <c r="C243" s="263" t="s">
        <v>8388</v>
      </c>
      <c r="D243" s="263" t="s">
        <v>112</v>
      </c>
      <c r="E243" s="263">
        <v>4812</v>
      </c>
      <c r="F243" s="263">
        <v>2010</v>
      </c>
      <c r="G243" s="263" t="s">
        <v>8400</v>
      </c>
      <c r="H243" s="263" t="s">
        <v>7938</v>
      </c>
      <c r="I243" s="265">
        <v>44580</v>
      </c>
      <c r="J243" s="263" t="s">
        <v>8401</v>
      </c>
      <c r="K243" s="263" t="s">
        <v>8393</v>
      </c>
      <c r="L243" s="263" t="s">
        <v>422</v>
      </c>
      <c r="M243" s="266">
        <v>99500</v>
      </c>
      <c r="N243" s="263" t="s">
        <v>8402</v>
      </c>
      <c r="O243" s="263" t="s">
        <v>258</v>
      </c>
      <c r="P243" s="232">
        <v>12</v>
      </c>
      <c r="Q243" s="256"/>
      <c r="R243" s="256"/>
      <c r="S243" s="256"/>
      <c r="T243" s="256"/>
      <c r="U243" s="256"/>
      <c r="V243" s="256"/>
      <c r="W243" s="256"/>
      <c r="X243" s="256"/>
      <c r="Y243" s="257"/>
      <c r="Z243" s="257"/>
    </row>
    <row r="244" spans="1:26" ht="15.75" customHeight="1" x14ac:dyDescent="0.35">
      <c r="A244" s="258">
        <v>236</v>
      </c>
      <c r="B244" s="263" t="s">
        <v>8387</v>
      </c>
      <c r="C244" s="263" t="s">
        <v>8388</v>
      </c>
      <c r="D244" s="263" t="s">
        <v>116</v>
      </c>
      <c r="E244" s="263">
        <v>5000</v>
      </c>
      <c r="F244" s="263">
        <v>2011</v>
      </c>
      <c r="G244" s="263" t="s">
        <v>8403</v>
      </c>
      <c r="H244" s="263" t="s">
        <v>7938</v>
      </c>
      <c r="I244" s="265">
        <v>40600</v>
      </c>
      <c r="J244" s="263"/>
      <c r="K244" s="263" t="s">
        <v>8393</v>
      </c>
      <c r="L244" s="263" t="s">
        <v>422</v>
      </c>
      <c r="M244" s="266">
        <v>1000</v>
      </c>
      <c r="N244" s="263"/>
      <c r="O244" s="263" t="s">
        <v>258</v>
      </c>
      <c r="P244" s="232">
        <v>12</v>
      </c>
      <c r="Q244" s="256"/>
      <c r="R244" s="256"/>
      <c r="S244" s="256"/>
      <c r="T244" s="256"/>
      <c r="U244" s="256"/>
      <c r="V244" s="256"/>
      <c r="W244" s="256"/>
      <c r="X244" s="256"/>
      <c r="Y244" s="257"/>
      <c r="Z244" s="257"/>
    </row>
    <row r="245" spans="1:26" ht="15.75" customHeight="1" x14ac:dyDescent="0.35">
      <c r="A245" s="258">
        <v>237</v>
      </c>
      <c r="B245" s="263" t="s">
        <v>8387</v>
      </c>
      <c r="C245" s="263" t="s">
        <v>8388</v>
      </c>
      <c r="D245" s="263" t="s">
        <v>841</v>
      </c>
      <c r="E245" s="263">
        <v>450</v>
      </c>
      <c r="F245" s="263">
        <v>2011</v>
      </c>
      <c r="G245" s="263" t="s">
        <v>8404</v>
      </c>
      <c r="H245" s="263" t="s">
        <v>7938</v>
      </c>
      <c r="I245" s="265"/>
      <c r="J245" s="263" t="s">
        <v>8405</v>
      </c>
      <c r="K245" s="263" t="s">
        <v>8393</v>
      </c>
      <c r="L245" s="263" t="s">
        <v>422</v>
      </c>
      <c r="M245" s="266">
        <v>1102.5</v>
      </c>
      <c r="N245" s="263"/>
      <c r="O245" s="263" t="s">
        <v>258</v>
      </c>
      <c r="P245" s="232">
        <v>12</v>
      </c>
      <c r="Q245" s="256"/>
      <c r="R245" s="256"/>
      <c r="S245" s="256"/>
      <c r="T245" s="256"/>
      <c r="U245" s="256"/>
      <c r="V245" s="256"/>
      <c r="W245" s="256"/>
      <c r="X245" s="256"/>
      <c r="Y245" s="257"/>
      <c r="Z245" s="257"/>
    </row>
    <row r="246" spans="1:26" ht="15.75" customHeight="1" x14ac:dyDescent="0.35">
      <c r="A246" s="264">
        <v>238</v>
      </c>
      <c r="B246" s="263" t="s">
        <v>8002</v>
      </c>
      <c r="C246" s="263" t="s">
        <v>8003</v>
      </c>
      <c r="D246" s="263" t="s">
        <v>51</v>
      </c>
      <c r="E246" s="263">
        <v>25000</v>
      </c>
      <c r="F246" s="263">
        <v>1993</v>
      </c>
      <c r="G246" s="263" t="s">
        <v>8406</v>
      </c>
      <c r="H246" s="263" t="s">
        <v>7938</v>
      </c>
      <c r="I246" s="265">
        <v>34104</v>
      </c>
      <c r="J246" s="263" t="s">
        <v>8407</v>
      </c>
      <c r="K246" s="263" t="s">
        <v>8408</v>
      </c>
      <c r="L246" s="263" t="s">
        <v>422</v>
      </c>
      <c r="M246" s="266">
        <v>300</v>
      </c>
      <c r="N246" s="263" t="s">
        <v>8409</v>
      </c>
      <c r="O246" s="263" t="s">
        <v>258</v>
      </c>
      <c r="P246" s="232">
        <v>12</v>
      </c>
      <c r="Q246" s="256"/>
      <c r="R246" s="256"/>
      <c r="S246" s="256"/>
      <c r="T246" s="256"/>
      <c r="U246" s="256"/>
      <c r="V246" s="256"/>
      <c r="W246" s="256"/>
      <c r="X246" s="256"/>
      <c r="Y246" s="257"/>
      <c r="Z246" s="257"/>
    </row>
    <row r="247" spans="1:26" ht="15.75" customHeight="1" x14ac:dyDescent="0.35">
      <c r="A247" s="258">
        <v>239</v>
      </c>
      <c r="B247" s="263" t="s">
        <v>8002</v>
      </c>
      <c r="C247" s="263" t="s">
        <v>8003</v>
      </c>
      <c r="D247" s="263" t="s">
        <v>59</v>
      </c>
      <c r="E247" s="263">
        <v>1610</v>
      </c>
      <c r="F247" s="263">
        <v>1994</v>
      </c>
      <c r="G247" s="263" t="s">
        <v>8410</v>
      </c>
      <c r="H247" s="263" t="s">
        <v>7938</v>
      </c>
      <c r="I247" s="265">
        <v>44581</v>
      </c>
      <c r="J247" s="263" t="s">
        <v>8411</v>
      </c>
      <c r="K247" s="263" t="s">
        <v>8412</v>
      </c>
      <c r="L247" s="263" t="s">
        <v>422</v>
      </c>
      <c r="M247" s="266">
        <v>24000</v>
      </c>
      <c r="N247" s="263" t="s">
        <v>8413</v>
      </c>
      <c r="O247" s="263" t="s">
        <v>258</v>
      </c>
      <c r="P247" s="232">
        <v>12</v>
      </c>
      <c r="Q247" s="256"/>
      <c r="R247" s="256"/>
      <c r="S247" s="256"/>
      <c r="T247" s="256"/>
      <c r="U247" s="256"/>
      <c r="V247" s="256"/>
      <c r="W247" s="256"/>
      <c r="X247" s="256"/>
      <c r="Y247" s="257"/>
      <c r="Z247" s="257"/>
    </row>
    <row r="248" spans="1:26" ht="15.75" customHeight="1" x14ac:dyDescent="0.35">
      <c r="A248" s="258">
        <v>240</v>
      </c>
      <c r="B248" s="263" t="s">
        <v>8002</v>
      </c>
      <c r="C248" s="263" t="s">
        <v>8003</v>
      </c>
      <c r="D248" s="263" t="s">
        <v>97</v>
      </c>
      <c r="E248" s="263">
        <v>600</v>
      </c>
      <c r="F248" s="263">
        <v>1999</v>
      </c>
      <c r="G248" s="263" t="s">
        <v>8414</v>
      </c>
      <c r="H248" s="263" t="s">
        <v>7938</v>
      </c>
      <c r="I248" s="265"/>
      <c r="J248" s="263"/>
      <c r="K248" s="263" t="s">
        <v>8415</v>
      </c>
      <c r="L248" s="263" t="s">
        <v>422</v>
      </c>
      <c r="M248" s="266">
        <v>12090</v>
      </c>
      <c r="N248" s="263" t="s">
        <v>8390</v>
      </c>
      <c r="O248" s="263" t="s">
        <v>258</v>
      </c>
      <c r="P248" s="232">
        <v>12</v>
      </c>
      <c r="Q248" s="256"/>
      <c r="R248" s="256"/>
      <c r="S248" s="256"/>
      <c r="T248" s="256"/>
      <c r="U248" s="256"/>
      <c r="V248" s="256"/>
      <c r="W248" s="256"/>
      <c r="X248" s="256"/>
      <c r="Y248" s="257"/>
      <c r="Z248" s="257"/>
    </row>
    <row r="249" spans="1:26" ht="15.75" customHeight="1" x14ac:dyDescent="0.35">
      <c r="A249" s="264">
        <v>241</v>
      </c>
      <c r="B249" s="263" t="s">
        <v>8002</v>
      </c>
      <c r="C249" s="263" t="s">
        <v>8003</v>
      </c>
      <c r="D249" s="263" t="s">
        <v>101</v>
      </c>
      <c r="E249" s="263">
        <v>17119</v>
      </c>
      <c r="F249" s="263">
        <v>1999</v>
      </c>
      <c r="G249" s="263" t="s">
        <v>8416</v>
      </c>
      <c r="H249" s="263" t="s">
        <v>7938</v>
      </c>
      <c r="I249" s="265"/>
      <c r="J249" s="263"/>
      <c r="K249" s="263" t="s">
        <v>8417</v>
      </c>
      <c r="L249" s="263" t="s">
        <v>422</v>
      </c>
      <c r="M249" s="266">
        <v>213170</v>
      </c>
      <c r="N249" s="263" t="s">
        <v>8418</v>
      </c>
      <c r="O249" s="263" t="s">
        <v>258</v>
      </c>
      <c r="P249" s="232">
        <v>12</v>
      </c>
      <c r="Q249" s="256"/>
      <c r="R249" s="256"/>
      <c r="S249" s="256"/>
      <c r="T249" s="256"/>
      <c r="U249" s="256"/>
      <c r="V249" s="256"/>
      <c r="W249" s="256"/>
      <c r="X249" s="256"/>
      <c r="Y249" s="257"/>
      <c r="Z249" s="257"/>
    </row>
    <row r="250" spans="1:26" ht="15.75" customHeight="1" x14ac:dyDescent="0.35">
      <c r="A250" s="258">
        <v>242</v>
      </c>
      <c r="B250" s="263" t="s">
        <v>8002</v>
      </c>
      <c r="C250" s="263" t="s">
        <v>8003</v>
      </c>
      <c r="D250" s="263" t="s">
        <v>107</v>
      </c>
      <c r="E250" s="263">
        <v>6708</v>
      </c>
      <c r="F250" s="263">
        <v>2004</v>
      </c>
      <c r="G250" s="263" t="s">
        <v>8419</v>
      </c>
      <c r="H250" s="263" t="s">
        <v>7938</v>
      </c>
      <c r="I250" s="265"/>
      <c r="J250" s="263"/>
      <c r="K250" s="263" t="s">
        <v>8420</v>
      </c>
      <c r="L250" s="263" t="s">
        <v>422</v>
      </c>
      <c r="M250" s="266">
        <v>368940</v>
      </c>
      <c r="N250" s="263" t="s">
        <v>8421</v>
      </c>
      <c r="O250" s="263" t="s">
        <v>258</v>
      </c>
      <c r="P250" s="232">
        <v>12</v>
      </c>
      <c r="Q250" s="256"/>
      <c r="R250" s="256"/>
      <c r="S250" s="256"/>
      <c r="T250" s="256"/>
      <c r="U250" s="256"/>
      <c r="V250" s="256"/>
      <c r="W250" s="256"/>
      <c r="X250" s="256"/>
      <c r="Y250" s="257"/>
      <c r="Z250" s="257"/>
    </row>
    <row r="251" spans="1:26" ht="15.75" customHeight="1" x14ac:dyDescent="0.35">
      <c r="A251" s="258">
        <v>243</v>
      </c>
      <c r="B251" s="263" t="s">
        <v>8002</v>
      </c>
      <c r="C251" s="263" t="s">
        <v>8003</v>
      </c>
      <c r="D251" s="263" t="s">
        <v>112</v>
      </c>
      <c r="E251" s="263">
        <v>4750</v>
      </c>
      <c r="F251" s="263">
        <v>2005</v>
      </c>
      <c r="G251" s="263" t="s">
        <v>8422</v>
      </c>
      <c r="H251" s="263" t="s">
        <v>7938</v>
      </c>
      <c r="I251" s="265">
        <v>38686</v>
      </c>
      <c r="J251" s="263" t="s">
        <v>8423</v>
      </c>
      <c r="K251" s="263" t="s">
        <v>8424</v>
      </c>
      <c r="L251" s="263" t="s">
        <v>422</v>
      </c>
      <c r="M251" s="266">
        <v>950</v>
      </c>
      <c r="N251" s="263" t="s">
        <v>8425</v>
      </c>
      <c r="O251" s="263" t="s">
        <v>258</v>
      </c>
      <c r="P251" s="232">
        <v>12</v>
      </c>
      <c r="Q251" s="256"/>
      <c r="R251" s="256"/>
      <c r="S251" s="256"/>
      <c r="T251" s="256"/>
      <c r="U251" s="256"/>
      <c r="V251" s="256"/>
      <c r="W251" s="256"/>
      <c r="X251" s="256"/>
      <c r="Y251" s="257"/>
      <c r="Z251" s="257"/>
    </row>
    <row r="252" spans="1:26" ht="15.75" customHeight="1" x14ac:dyDescent="0.35">
      <c r="A252" s="264">
        <v>244</v>
      </c>
      <c r="B252" s="263" t="s">
        <v>8002</v>
      </c>
      <c r="C252" s="263" t="s">
        <v>8003</v>
      </c>
      <c r="D252" s="263" t="s">
        <v>116</v>
      </c>
      <c r="E252" s="263">
        <v>2000</v>
      </c>
      <c r="F252" s="263">
        <v>2014</v>
      </c>
      <c r="G252" s="263" t="s">
        <v>8426</v>
      </c>
      <c r="H252" s="263" t="s">
        <v>7938</v>
      </c>
      <c r="I252" s="265"/>
      <c r="J252" s="263"/>
      <c r="K252" s="263" t="s">
        <v>8427</v>
      </c>
      <c r="L252" s="263" t="s">
        <v>422</v>
      </c>
      <c r="M252" s="266">
        <v>40000</v>
      </c>
      <c r="N252" s="263" t="s">
        <v>8428</v>
      </c>
      <c r="O252" s="263" t="s">
        <v>258</v>
      </c>
      <c r="P252" s="232">
        <v>12</v>
      </c>
      <c r="Q252" s="256"/>
      <c r="R252" s="256"/>
      <c r="S252" s="256"/>
      <c r="T252" s="256"/>
      <c r="U252" s="256"/>
      <c r="V252" s="256"/>
      <c r="W252" s="256"/>
      <c r="X252" s="256"/>
      <c r="Y252" s="257"/>
      <c r="Z252" s="257"/>
    </row>
    <row r="253" spans="1:26" ht="15.75" customHeight="1" x14ac:dyDescent="0.35">
      <c r="A253" s="258">
        <v>245</v>
      </c>
      <c r="B253" s="263" t="s">
        <v>8002</v>
      </c>
      <c r="C253" s="263" t="s">
        <v>8003</v>
      </c>
      <c r="D253" s="263" t="s">
        <v>841</v>
      </c>
      <c r="E253" s="263">
        <v>10000</v>
      </c>
      <c r="F253" s="263">
        <v>2014</v>
      </c>
      <c r="G253" s="263" t="s">
        <v>8429</v>
      </c>
      <c r="H253" s="263" t="s">
        <v>7938</v>
      </c>
      <c r="I253" s="265"/>
      <c r="J253" s="263"/>
      <c r="K253" s="263" t="s">
        <v>8430</v>
      </c>
      <c r="L253" s="263" t="s">
        <v>422</v>
      </c>
      <c r="M253" s="266">
        <v>95000</v>
      </c>
      <c r="N253" s="263" t="s">
        <v>3059</v>
      </c>
      <c r="O253" s="263" t="s">
        <v>258</v>
      </c>
      <c r="P253" s="232">
        <v>12</v>
      </c>
      <c r="Q253" s="256"/>
      <c r="R253" s="256"/>
      <c r="S253" s="256"/>
      <c r="T253" s="256"/>
      <c r="U253" s="256"/>
      <c r="V253" s="256"/>
      <c r="W253" s="256"/>
      <c r="X253" s="256"/>
      <c r="Y253" s="257"/>
      <c r="Z253" s="257"/>
    </row>
    <row r="254" spans="1:26" ht="15.75" customHeight="1" x14ac:dyDescent="0.35">
      <c r="A254" s="258">
        <v>246</v>
      </c>
      <c r="B254" s="263" t="s">
        <v>8002</v>
      </c>
      <c r="C254" s="263" t="s">
        <v>8003</v>
      </c>
      <c r="D254" s="263" t="s">
        <v>904</v>
      </c>
      <c r="E254" s="263">
        <v>20000</v>
      </c>
      <c r="F254" s="263">
        <v>2014</v>
      </c>
      <c r="G254" s="263" t="s">
        <v>8431</v>
      </c>
      <c r="H254" s="263" t="s">
        <v>7938</v>
      </c>
      <c r="I254" s="265"/>
      <c r="J254" s="263"/>
      <c r="K254" s="263" t="s">
        <v>8427</v>
      </c>
      <c r="L254" s="263" t="s">
        <v>422</v>
      </c>
      <c r="M254" s="266">
        <v>100000</v>
      </c>
      <c r="N254" s="263" t="s">
        <v>3059</v>
      </c>
      <c r="O254" s="263" t="s">
        <v>258</v>
      </c>
      <c r="P254" s="232">
        <v>12</v>
      </c>
      <c r="Q254" s="256"/>
      <c r="R254" s="256"/>
      <c r="S254" s="256"/>
      <c r="T254" s="256"/>
      <c r="U254" s="256"/>
      <c r="V254" s="256"/>
      <c r="W254" s="256"/>
      <c r="X254" s="256"/>
      <c r="Y254" s="257"/>
      <c r="Z254" s="257"/>
    </row>
    <row r="255" spans="1:26" ht="15.75" customHeight="1" x14ac:dyDescent="0.35">
      <c r="A255" s="264">
        <v>247</v>
      </c>
      <c r="B255" s="263" t="s">
        <v>8002</v>
      </c>
      <c r="C255" s="263" t="s">
        <v>8003</v>
      </c>
      <c r="D255" s="263" t="s">
        <v>122</v>
      </c>
      <c r="E255" s="263">
        <v>25000</v>
      </c>
      <c r="F255" s="263">
        <v>2014</v>
      </c>
      <c r="G255" s="263" t="s">
        <v>8432</v>
      </c>
      <c r="H255" s="263" t="s">
        <v>7938</v>
      </c>
      <c r="I255" s="265"/>
      <c r="J255" s="263"/>
      <c r="K255" s="263" t="s">
        <v>8427</v>
      </c>
      <c r="L255" s="263" t="s">
        <v>422</v>
      </c>
      <c r="M255" s="266">
        <v>162500</v>
      </c>
      <c r="N255" s="263" t="s">
        <v>3059</v>
      </c>
      <c r="O255" s="263" t="s">
        <v>258</v>
      </c>
      <c r="P255" s="232">
        <v>12</v>
      </c>
      <c r="Q255" s="256"/>
      <c r="R255" s="256"/>
      <c r="S255" s="256"/>
      <c r="T255" s="256"/>
      <c r="U255" s="256"/>
      <c r="V255" s="256"/>
      <c r="W255" s="256"/>
      <c r="X255" s="256"/>
      <c r="Y255" s="257"/>
      <c r="Z255" s="257"/>
    </row>
    <row r="256" spans="1:26" ht="15.75" customHeight="1" x14ac:dyDescent="0.35">
      <c r="A256" s="258">
        <v>248</v>
      </c>
      <c r="B256" s="263" t="s">
        <v>8002</v>
      </c>
      <c r="C256" s="263" t="s">
        <v>8003</v>
      </c>
      <c r="D256" s="263" t="s">
        <v>126</v>
      </c>
      <c r="E256" s="263">
        <v>2000</v>
      </c>
      <c r="F256" s="263">
        <v>2014</v>
      </c>
      <c r="G256" s="263" t="s">
        <v>8433</v>
      </c>
      <c r="H256" s="263" t="s">
        <v>7938</v>
      </c>
      <c r="I256" s="265"/>
      <c r="J256" s="263"/>
      <c r="K256" s="263" t="s">
        <v>8434</v>
      </c>
      <c r="L256" s="263" t="s">
        <v>422</v>
      </c>
      <c r="M256" s="266">
        <v>20000</v>
      </c>
      <c r="N256" s="263" t="s">
        <v>3059</v>
      </c>
      <c r="O256" s="263" t="s">
        <v>258</v>
      </c>
      <c r="P256" s="232">
        <v>12</v>
      </c>
      <c r="Q256" s="256"/>
      <c r="R256" s="256"/>
      <c r="S256" s="256"/>
      <c r="T256" s="256"/>
      <c r="U256" s="256"/>
      <c r="V256" s="256"/>
      <c r="W256" s="256"/>
      <c r="X256" s="256"/>
      <c r="Y256" s="257"/>
      <c r="Z256" s="257"/>
    </row>
    <row r="257" spans="1:26" ht="15.75" customHeight="1" x14ac:dyDescent="0.35">
      <c r="A257" s="258">
        <v>249</v>
      </c>
      <c r="B257" s="263" t="s">
        <v>8002</v>
      </c>
      <c r="C257" s="263" t="s">
        <v>8003</v>
      </c>
      <c r="D257" s="263" t="s">
        <v>132</v>
      </c>
      <c r="E257" s="263">
        <v>20000</v>
      </c>
      <c r="F257" s="263">
        <v>2005</v>
      </c>
      <c r="G257" s="263" t="s">
        <v>8435</v>
      </c>
      <c r="H257" s="263" t="s">
        <v>7938</v>
      </c>
      <c r="I257" s="265"/>
      <c r="J257" s="263"/>
      <c r="K257" s="263" t="s">
        <v>8436</v>
      </c>
      <c r="L257" s="263" t="s">
        <v>422</v>
      </c>
      <c r="M257" s="266">
        <v>250000</v>
      </c>
      <c r="N257" s="263" t="s">
        <v>8390</v>
      </c>
      <c r="O257" s="263" t="s">
        <v>258</v>
      </c>
      <c r="P257" s="232">
        <v>12</v>
      </c>
      <c r="Q257" s="256"/>
      <c r="R257" s="256"/>
      <c r="S257" s="256"/>
      <c r="T257" s="256"/>
      <c r="U257" s="256"/>
      <c r="V257" s="256"/>
      <c r="W257" s="256"/>
      <c r="X257" s="256"/>
      <c r="Y257" s="257"/>
      <c r="Z257" s="257"/>
    </row>
    <row r="258" spans="1:26" ht="15.75" customHeight="1" x14ac:dyDescent="0.35">
      <c r="A258" s="264">
        <v>250</v>
      </c>
      <c r="B258" s="263" t="s">
        <v>8002</v>
      </c>
      <c r="C258" s="263" t="s">
        <v>8003</v>
      </c>
      <c r="D258" s="263" t="s">
        <v>137</v>
      </c>
      <c r="E258" s="263">
        <v>103</v>
      </c>
      <c r="F258" s="263">
        <v>2005</v>
      </c>
      <c r="G258" s="263" t="s">
        <v>8437</v>
      </c>
      <c r="H258" s="263" t="s">
        <v>7938</v>
      </c>
      <c r="I258" s="265"/>
      <c r="J258" s="263"/>
      <c r="K258" s="263" t="s">
        <v>8438</v>
      </c>
      <c r="L258" s="263" t="s">
        <v>57</v>
      </c>
      <c r="M258" s="266">
        <v>1250000</v>
      </c>
      <c r="N258" s="263" t="s">
        <v>8390</v>
      </c>
      <c r="O258" s="263" t="s">
        <v>258</v>
      </c>
      <c r="P258" s="232">
        <v>12</v>
      </c>
      <c r="Q258" s="256"/>
      <c r="R258" s="256"/>
      <c r="S258" s="256"/>
      <c r="T258" s="256"/>
      <c r="U258" s="256"/>
      <c r="V258" s="256"/>
      <c r="W258" s="256"/>
      <c r="X258" s="256"/>
      <c r="Y258" s="257"/>
      <c r="Z258" s="257"/>
    </row>
    <row r="259" spans="1:26" ht="15.75" customHeight="1" x14ac:dyDescent="0.35">
      <c r="A259" s="258">
        <v>251</v>
      </c>
      <c r="B259" s="263" t="s">
        <v>8002</v>
      </c>
      <c r="C259" s="263" t="s">
        <v>8003</v>
      </c>
      <c r="D259" s="263" t="s">
        <v>146</v>
      </c>
      <c r="E259" s="263">
        <v>10000</v>
      </c>
      <c r="F259" s="263">
        <v>2008</v>
      </c>
      <c r="G259" s="263" t="s">
        <v>8439</v>
      </c>
      <c r="H259" s="263" t="s">
        <v>7938</v>
      </c>
      <c r="I259" s="265"/>
      <c r="J259" s="263"/>
      <c r="K259" s="263" t="s">
        <v>8440</v>
      </c>
      <c r="L259" s="263" t="s">
        <v>422</v>
      </c>
      <c r="M259" s="266">
        <v>127500</v>
      </c>
      <c r="N259" s="263" t="s">
        <v>8390</v>
      </c>
      <c r="O259" s="263" t="s">
        <v>258</v>
      </c>
      <c r="P259" s="232">
        <v>12</v>
      </c>
      <c r="Q259" s="256"/>
      <c r="R259" s="256"/>
      <c r="S259" s="256"/>
      <c r="T259" s="256"/>
      <c r="U259" s="256"/>
      <c r="V259" s="256"/>
      <c r="W259" s="256"/>
      <c r="X259" s="256"/>
      <c r="Y259" s="257"/>
      <c r="Z259" s="257"/>
    </row>
    <row r="260" spans="1:26" ht="15.75" customHeight="1" x14ac:dyDescent="0.35">
      <c r="A260" s="258">
        <v>252</v>
      </c>
      <c r="B260" s="263" t="s">
        <v>8002</v>
      </c>
      <c r="C260" s="263" t="s">
        <v>8003</v>
      </c>
      <c r="D260" s="263" t="s">
        <v>154</v>
      </c>
      <c r="E260" s="263">
        <v>13142</v>
      </c>
      <c r="F260" s="263">
        <v>2008</v>
      </c>
      <c r="G260" s="263" t="s">
        <v>8441</v>
      </c>
      <c r="H260" s="263" t="s">
        <v>7938</v>
      </c>
      <c r="I260" s="265">
        <v>45002</v>
      </c>
      <c r="J260" s="263" t="s">
        <v>8442</v>
      </c>
      <c r="K260" s="263" t="s">
        <v>8443</v>
      </c>
      <c r="L260" s="263" t="s">
        <v>422</v>
      </c>
      <c r="M260" s="266">
        <v>525000</v>
      </c>
      <c r="N260" s="263" t="s">
        <v>8444</v>
      </c>
      <c r="O260" s="263" t="s">
        <v>258</v>
      </c>
      <c r="P260" s="232">
        <v>12</v>
      </c>
      <c r="Q260" s="256"/>
      <c r="R260" s="256"/>
      <c r="S260" s="256"/>
      <c r="T260" s="256"/>
      <c r="U260" s="256"/>
      <c r="V260" s="256"/>
      <c r="W260" s="256"/>
      <c r="X260" s="256"/>
      <c r="Y260" s="257"/>
      <c r="Z260" s="257"/>
    </row>
    <row r="261" spans="1:26" ht="15.75" customHeight="1" x14ac:dyDescent="0.35">
      <c r="A261" s="264">
        <v>253</v>
      </c>
      <c r="B261" s="263" t="s">
        <v>8002</v>
      </c>
      <c r="C261" s="263" t="s">
        <v>8003</v>
      </c>
      <c r="D261" s="263" t="s">
        <v>161</v>
      </c>
      <c r="E261" s="263">
        <v>61700</v>
      </c>
      <c r="F261" s="263">
        <v>2008</v>
      </c>
      <c r="G261" s="263" t="s">
        <v>8445</v>
      </c>
      <c r="H261" s="263" t="s">
        <v>7938</v>
      </c>
      <c r="I261" s="265"/>
      <c r="J261" s="263"/>
      <c r="K261" s="263" t="s">
        <v>8446</v>
      </c>
      <c r="L261" s="263" t="s">
        <v>422</v>
      </c>
      <c r="M261" s="266">
        <v>910075</v>
      </c>
      <c r="N261" s="263" t="s">
        <v>8390</v>
      </c>
      <c r="O261" s="263" t="s">
        <v>258</v>
      </c>
      <c r="P261" s="232">
        <v>12</v>
      </c>
      <c r="Q261" s="256"/>
      <c r="R261" s="256"/>
      <c r="S261" s="256"/>
      <c r="T261" s="256"/>
      <c r="U261" s="256"/>
      <c r="V261" s="256"/>
      <c r="W261" s="256"/>
      <c r="X261" s="256"/>
      <c r="Y261" s="257"/>
      <c r="Z261" s="257"/>
    </row>
    <row r="262" spans="1:26" ht="15.75" customHeight="1" x14ac:dyDescent="0.35">
      <c r="A262" s="258">
        <v>254</v>
      </c>
      <c r="B262" s="263" t="s">
        <v>8002</v>
      </c>
      <c r="C262" s="263" t="s">
        <v>8003</v>
      </c>
      <c r="D262" s="263" t="s">
        <v>169</v>
      </c>
      <c r="E262" s="263">
        <v>4987</v>
      </c>
      <c r="F262" s="263">
        <v>2011</v>
      </c>
      <c r="G262" s="263" t="s">
        <v>8447</v>
      </c>
      <c r="H262" s="263" t="s">
        <v>7938</v>
      </c>
      <c r="I262" s="265">
        <v>44580</v>
      </c>
      <c r="J262" s="263" t="s">
        <v>8448</v>
      </c>
      <c r="K262" s="263" t="s">
        <v>8449</v>
      </c>
      <c r="L262" s="263" t="s">
        <v>422</v>
      </c>
      <c r="M262" s="266">
        <v>122500</v>
      </c>
      <c r="N262" s="263" t="s">
        <v>8450</v>
      </c>
      <c r="O262" s="263" t="s">
        <v>258</v>
      </c>
      <c r="P262" s="232">
        <v>12</v>
      </c>
      <c r="Q262" s="256"/>
      <c r="R262" s="256"/>
      <c r="S262" s="256"/>
      <c r="T262" s="256"/>
      <c r="U262" s="256"/>
      <c r="V262" s="256"/>
      <c r="W262" s="256"/>
      <c r="X262" s="256"/>
      <c r="Y262" s="257"/>
      <c r="Z262" s="257"/>
    </row>
    <row r="263" spans="1:26" ht="15.75" customHeight="1" x14ac:dyDescent="0.35">
      <c r="A263" s="258">
        <v>255</v>
      </c>
      <c r="B263" s="263" t="s">
        <v>8002</v>
      </c>
      <c r="C263" s="263" t="s">
        <v>8003</v>
      </c>
      <c r="D263" s="263" t="s">
        <v>176</v>
      </c>
      <c r="E263" s="263">
        <v>1705</v>
      </c>
      <c r="F263" s="263">
        <v>2012</v>
      </c>
      <c r="G263" s="263" t="s">
        <v>8451</v>
      </c>
      <c r="H263" s="263" t="s">
        <v>7938</v>
      </c>
      <c r="I263" s="265">
        <v>44047</v>
      </c>
      <c r="J263" s="263" t="s">
        <v>8452</v>
      </c>
      <c r="K263" s="263" t="s">
        <v>8453</v>
      </c>
      <c r="L263" s="263" t="s">
        <v>422</v>
      </c>
      <c r="M263" s="266">
        <v>420</v>
      </c>
      <c r="N263" s="263" t="s">
        <v>8454</v>
      </c>
      <c r="O263" s="263" t="s">
        <v>258</v>
      </c>
      <c r="P263" s="232">
        <v>12</v>
      </c>
      <c r="Q263" s="256"/>
      <c r="R263" s="256"/>
      <c r="S263" s="256"/>
      <c r="T263" s="256"/>
      <c r="U263" s="256"/>
      <c r="V263" s="256"/>
      <c r="W263" s="256"/>
      <c r="X263" s="256"/>
      <c r="Y263" s="257"/>
      <c r="Z263" s="257"/>
    </row>
    <row r="264" spans="1:26" ht="15.75" customHeight="1" x14ac:dyDescent="0.35">
      <c r="A264" s="264">
        <v>256</v>
      </c>
      <c r="B264" s="263" t="s">
        <v>8002</v>
      </c>
      <c r="C264" s="263" t="s">
        <v>8003</v>
      </c>
      <c r="D264" s="263" t="s">
        <v>1236</v>
      </c>
      <c r="E264" s="263">
        <v>2191</v>
      </c>
      <c r="F264" s="263">
        <v>2012</v>
      </c>
      <c r="G264" s="263" t="s">
        <v>8455</v>
      </c>
      <c r="H264" s="263" t="s">
        <v>7938</v>
      </c>
      <c r="I264" s="265">
        <v>44062</v>
      </c>
      <c r="J264" s="263" t="s">
        <v>8456</v>
      </c>
      <c r="K264" s="263" t="s">
        <v>8457</v>
      </c>
      <c r="L264" s="263" t="s">
        <v>422</v>
      </c>
      <c r="M264" s="266">
        <v>2619</v>
      </c>
      <c r="N264" s="263" t="s">
        <v>8458</v>
      </c>
      <c r="O264" s="263" t="s">
        <v>258</v>
      </c>
      <c r="P264" s="232">
        <v>12</v>
      </c>
      <c r="Q264" s="256"/>
      <c r="R264" s="256"/>
      <c r="S264" s="256"/>
      <c r="T264" s="256"/>
      <c r="U264" s="256"/>
      <c r="V264" s="256"/>
      <c r="W264" s="256"/>
      <c r="X264" s="256"/>
      <c r="Y264" s="257"/>
      <c r="Z264" s="257"/>
    </row>
    <row r="265" spans="1:26" ht="15.75" customHeight="1" x14ac:dyDescent="0.35">
      <c r="A265" s="258">
        <v>257</v>
      </c>
      <c r="B265" s="263" t="s">
        <v>8206</v>
      </c>
      <c r="C265" s="263" t="s">
        <v>8207</v>
      </c>
      <c r="D265" s="263" t="s">
        <v>51</v>
      </c>
      <c r="E265" s="263">
        <v>2191</v>
      </c>
      <c r="F265" s="263">
        <v>2024</v>
      </c>
      <c r="G265" s="263" t="s">
        <v>8459</v>
      </c>
      <c r="H265" s="263" t="s">
        <v>7938</v>
      </c>
      <c r="I265" s="265">
        <v>44062</v>
      </c>
      <c r="J265" s="263" t="s">
        <v>8460</v>
      </c>
      <c r="K265" s="263" t="s">
        <v>8461</v>
      </c>
      <c r="L265" s="263" t="s">
        <v>422</v>
      </c>
      <c r="M265" s="266">
        <v>59157</v>
      </c>
      <c r="N265" s="263" t="s">
        <v>7969</v>
      </c>
      <c r="O265" s="263" t="s">
        <v>258</v>
      </c>
      <c r="P265" s="232">
        <v>12</v>
      </c>
      <c r="Q265" s="256"/>
      <c r="R265" s="256"/>
      <c r="S265" s="256"/>
      <c r="T265" s="256"/>
      <c r="U265" s="256"/>
      <c r="V265" s="256"/>
      <c r="W265" s="256"/>
      <c r="X265" s="256"/>
      <c r="Y265" s="257"/>
      <c r="Z265" s="257"/>
    </row>
    <row r="266" spans="1:26" ht="15.75" customHeight="1" x14ac:dyDescent="0.35">
      <c r="A266" s="258">
        <v>258</v>
      </c>
      <c r="B266" s="263" t="s">
        <v>8462</v>
      </c>
      <c r="C266" s="263" t="s">
        <v>8463</v>
      </c>
      <c r="D266" s="263" t="s">
        <v>51</v>
      </c>
      <c r="E266" s="263">
        <v>250000</v>
      </c>
      <c r="F266" s="263">
        <v>2008</v>
      </c>
      <c r="G266" s="263" t="s">
        <v>8464</v>
      </c>
      <c r="H266" s="263" t="s">
        <v>7938</v>
      </c>
      <c r="I266" s="265"/>
      <c r="J266" s="263"/>
      <c r="K266" s="263" t="s">
        <v>8465</v>
      </c>
      <c r="L266" s="263" t="s">
        <v>57</v>
      </c>
      <c r="M266" s="266">
        <v>212500</v>
      </c>
      <c r="N266" s="263" t="s">
        <v>8466</v>
      </c>
      <c r="O266" s="263" t="s">
        <v>258</v>
      </c>
      <c r="P266" s="232">
        <v>12</v>
      </c>
      <c r="Q266" s="256"/>
      <c r="R266" s="256"/>
      <c r="S266" s="256"/>
      <c r="T266" s="256"/>
      <c r="U266" s="256"/>
      <c r="V266" s="256"/>
      <c r="W266" s="256"/>
      <c r="X266" s="256"/>
      <c r="Y266" s="257"/>
      <c r="Z266" s="257"/>
    </row>
    <row r="267" spans="1:26" ht="15.75" customHeight="1" x14ac:dyDescent="0.35">
      <c r="A267" s="264">
        <v>259</v>
      </c>
      <c r="B267" s="263" t="s">
        <v>8467</v>
      </c>
      <c r="C267" s="263" t="s">
        <v>8468</v>
      </c>
      <c r="D267" s="263" t="s">
        <v>51</v>
      </c>
      <c r="E267" s="263">
        <v>200</v>
      </c>
      <c r="F267" s="263">
        <v>2013</v>
      </c>
      <c r="G267" s="263" t="s">
        <v>8469</v>
      </c>
      <c r="H267" s="263" t="s">
        <v>7938</v>
      </c>
      <c r="I267" s="265">
        <v>41395</v>
      </c>
      <c r="J267" s="263" t="s">
        <v>8470</v>
      </c>
      <c r="K267" s="263" t="s">
        <v>8393</v>
      </c>
      <c r="L267" s="263" t="s">
        <v>422</v>
      </c>
      <c r="M267" s="266">
        <v>70</v>
      </c>
      <c r="N267" s="263" t="s">
        <v>8471</v>
      </c>
      <c r="O267" s="263" t="s">
        <v>258</v>
      </c>
      <c r="P267" s="232">
        <v>12</v>
      </c>
      <c r="Q267" s="256"/>
      <c r="R267" s="256"/>
      <c r="S267" s="256"/>
      <c r="T267" s="256"/>
      <c r="U267" s="256"/>
      <c r="V267" s="256"/>
      <c r="W267" s="256"/>
      <c r="X267" s="256"/>
      <c r="Y267" s="257"/>
      <c r="Z267" s="257"/>
    </row>
    <row r="268" spans="1:26" ht="15.75" customHeight="1" x14ac:dyDescent="0.35">
      <c r="A268" s="258">
        <v>260</v>
      </c>
      <c r="B268" s="263" t="s">
        <v>8467</v>
      </c>
      <c r="C268" s="263" t="s">
        <v>8468</v>
      </c>
      <c r="D268" s="263" t="s">
        <v>59</v>
      </c>
      <c r="E268" s="263">
        <v>2196</v>
      </c>
      <c r="F268" s="263">
        <v>2013</v>
      </c>
      <c r="G268" s="263" t="s">
        <v>8472</v>
      </c>
      <c r="H268" s="263" t="s">
        <v>7938</v>
      </c>
      <c r="I268" s="265">
        <v>44995</v>
      </c>
      <c r="J268" s="263" t="s">
        <v>8473</v>
      </c>
      <c r="K268" s="263" t="s">
        <v>8474</v>
      </c>
      <c r="L268" s="263" t="s">
        <v>422</v>
      </c>
      <c r="M268" s="266">
        <v>480</v>
      </c>
      <c r="N268" s="263" t="s">
        <v>8474</v>
      </c>
      <c r="O268" s="263" t="s">
        <v>258</v>
      </c>
      <c r="P268" s="232">
        <v>12</v>
      </c>
      <c r="Q268" s="256"/>
      <c r="R268" s="256"/>
      <c r="S268" s="256"/>
      <c r="T268" s="256"/>
      <c r="U268" s="256"/>
      <c r="V268" s="256"/>
      <c r="W268" s="256"/>
      <c r="X268" s="256"/>
      <c r="Y268" s="257"/>
      <c r="Z268" s="257"/>
    </row>
    <row r="269" spans="1:26" ht="15.75" customHeight="1" x14ac:dyDescent="0.35">
      <c r="A269" s="258">
        <v>261</v>
      </c>
      <c r="B269" s="263" t="s">
        <v>8467</v>
      </c>
      <c r="C269" s="263" t="s">
        <v>8468</v>
      </c>
      <c r="D269" s="263" t="s">
        <v>97</v>
      </c>
      <c r="E269" s="263">
        <v>2500</v>
      </c>
      <c r="F269" s="263">
        <v>2013</v>
      </c>
      <c r="G269" s="263" t="s">
        <v>8475</v>
      </c>
      <c r="H269" s="263" t="s">
        <v>7938</v>
      </c>
      <c r="I269" s="265">
        <v>41379</v>
      </c>
      <c r="J269" s="263" t="s">
        <v>8476</v>
      </c>
      <c r="K269" s="263" t="s">
        <v>8393</v>
      </c>
      <c r="L269" s="263" t="s">
        <v>422</v>
      </c>
      <c r="M269" s="266">
        <v>675</v>
      </c>
      <c r="N269" s="263" t="s">
        <v>8471</v>
      </c>
      <c r="O269" s="263" t="s">
        <v>258</v>
      </c>
      <c r="P269" s="232">
        <v>12</v>
      </c>
      <c r="Q269" s="256"/>
      <c r="R269" s="256"/>
      <c r="S269" s="256"/>
      <c r="T269" s="256"/>
      <c r="U269" s="256"/>
      <c r="V269" s="256"/>
      <c r="W269" s="256"/>
      <c r="X269" s="256"/>
      <c r="Y269" s="257"/>
      <c r="Z269" s="257"/>
    </row>
    <row r="270" spans="1:26" ht="15.75" customHeight="1" x14ac:dyDescent="0.35">
      <c r="A270" s="264">
        <v>262</v>
      </c>
      <c r="B270" s="263" t="s">
        <v>8467</v>
      </c>
      <c r="C270" s="263" t="s">
        <v>8468</v>
      </c>
      <c r="D270" s="263" t="s">
        <v>101</v>
      </c>
      <c r="E270" s="263">
        <v>5000</v>
      </c>
      <c r="F270" s="263">
        <v>2013</v>
      </c>
      <c r="G270" s="263" t="s">
        <v>8477</v>
      </c>
      <c r="H270" s="263" t="s">
        <v>7938</v>
      </c>
      <c r="I270" s="265">
        <v>40326</v>
      </c>
      <c r="J270" s="263"/>
      <c r="K270" s="263" t="s">
        <v>8393</v>
      </c>
      <c r="L270" s="263" t="s">
        <v>422</v>
      </c>
      <c r="M270" s="266">
        <v>700</v>
      </c>
      <c r="N270" s="263" t="s">
        <v>8478</v>
      </c>
      <c r="O270" s="263" t="s">
        <v>258</v>
      </c>
      <c r="P270" s="232">
        <v>12</v>
      </c>
      <c r="Q270" s="256"/>
      <c r="R270" s="256"/>
      <c r="S270" s="256"/>
      <c r="T270" s="256"/>
      <c r="U270" s="256"/>
      <c r="V270" s="256"/>
      <c r="W270" s="256"/>
      <c r="X270" s="256"/>
      <c r="Y270" s="257"/>
      <c r="Z270" s="257"/>
    </row>
    <row r="271" spans="1:26" ht="15.75" customHeight="1" x14ac:dyDescent="0.35">
      <c r="A271" s="258">
        <v>263</v>
      </c>
      <c r="B271" s="263" t="s">
        <v>8467</v>
      </c>
      <c r="C271" s="263" t="s">
        <v>8468</v>
      </c>
      <c r="D271" s="263" t="s">
        <v>107</v>
      </c>
      <c r="E271" s="263">
        <v>800</v>
      </c>
      <c r="F271" s="263">
        <v>2013</v>
      </c>
      <c r="G271" s="263" t="s">
        <v>8479</v>
      </c>
      <c r="H271" s="263" t="s">
        <v>7938</v>
      </c>
      <c r="I271" s="265">
        <v>41418</v>
      </c>
      <c r="J271" s="263" t="s">
        <v>8480</v>
      </c>
      <c r="K271" s="263" t="s">
        <v>8393</v>
      </c>
      <c r="L271" s="263" t="s">
        <v>422</v>
      </c>
      <c r="M271" s="266">
        <v>960</v>
      </c>
      <c r="N271" s="263" t="s">
        <v>8471</v>
      </c>
      <c r="O271" s="263" t="s">
        <v>258</v>
      </c>
      <c r="P271" s="232">
        <v>12</v>
      </c>
      <c r="Q271" s="256"/>
      <c r="R271" s="256"/>
      <c r="S271" s="256"/>
      <c r="T271" s="256"/>
      <c r="U271" s="256"/>
      <c r="V271" s="256"/>
      <c r="W271" s="256"/>
      <c r="X271" s="256"/>
      <c r="Y271" s="257"/>
      <c r="Z271" s="257"/>
    </row>
    <row r="272" spans="1:26" ht="15.75" customHeight="1" x14ac:dyDescent="0.35">
      <c r="A272" s="258">
        <v>264</v>
      </c>
      <c r="B272" s="263" t="s">
        <v>8467</v>
      </c>
      <c r="C272" s="263" t="s">
        <v>8468</v>
      </c>
      <c r="D272" s="263" t="s">
        <v>112</v>
      </c>
      <c r="E272" s="263">
        <v>5000</v>
      </c>
      <c r="F272" s="263">
        <v>2013</v>
      </c>
      <c r="G272" s="263" t="s">
        <v>8403</v>
      </c>
      <c r="H272" s="263" t="s">
        <v>7938</v>
      </c>
      <c r="I272" s="265">
        <v>40690</v>
      </c>
      <c r="J272" s="263"/>
      <c r="K272" s="263" t="s">
        <v>8393</v>
      </c>
      <c r="L272" s="263" t="s">
        <v>422</v>
      </c>
      <c r="M272" s="266">
        <v>1000</v>
      </c>
      <c r="N272" s="263" t="s">
        <v>8481</v>
      </c>
      <c r="O272" s="263" t="s">
        <v>258</v>
      </c>
      <c r="P272" s="232">
        <v>12</v>
      </c>
      <c r="Q272" s="256"/>
      <c r="R272" s="256"/>
      <c r="S272" s="256"/>
      <c r="T272" s="256"/>
      <c r="U272" s="256"/>
      <c r="V272" s="256"/>
      <c r="W272" s="256"/>
      <c r="X272" s="256"/>
      <c r="Y272" s="257"/>
      <c r="Z272" s="257"/>
    </row>
    <row r="273" spans="1:26" ht="15.75" customHeight="1" x14ac:dyDescent="0.35">
      <c r="A273" s="264">
        <v>265</v>
      </c>
      <c r="B273" s="263" t="s">
        <v>8467</v>
      </c>
      <c r="C273" s="263" t="s">
        <v>8468</v>
      </c>
      <c r="D273" s="263" t="s">
        <v>116</v>
      </c>
      <c r="E273" s="263">
        <v>5000</v>
      </c>
      <c r="F273" s="263">
        <v>2013</v>
      </c>
      <c r="G273" s="263" t="s">
        <v>8482</v>
      </c>
      <c r="H273" s="263" t="s">
        <v>7938</v>
      </c>
      <c r="I273" s="265">
        <v>40316</v>
      </c>
      <c r="J273" s="263"/>
      <c r="K273" s="263" t="s">
        <v>8393</v>
      </c>
      <c r="L273" s="263" t="s">
        <v>422</v>
      </c>
      <c r="M273" s="266">
        <v>1350</v>
      </c>
      <c r="N273" s="263" t="s">
        <v>8478</v>
      </c>
      <c r="O273" s="263" t="s">
        <v>258</v>
      </c>
      <c r="P273" s="232">
        <v>12</v>
      </c>
      <c r="Q273" s="256"/>
      <c r="R273" s="256"/>
      <c r="S273" s="256"/>
      <c r="T273" s="256"/>
      <c r="U273" s="256"/>
      <c r="V273" s="256"/>
      <c r="W273" s="256"/>
      <c r="X273" s="256"/>
      <c r="Y273" s="257"/>
      <c r="Z273" s="257"/>
    </row>
    <row r="274" spans="1:26" ht="15.75" customHeight="1" x14ac:dyDescent="0.35">
      <c r="A274" s="258">
        <v>266</v>
      </c>
      <c r="B274" s="263" t="s">
        <v>8467</v>
      </c>
      <c r="C274" s="263" t="s">
        <v>8468</v>
      </c>
      <c r="D274" s="263" t="s">
        <v>841</v>
      </c>
      <c r="E274" s="263">
        <v>5000</v>
      </c>
      <c r="F274" s="263">
        <v>2013</v>
      </c>
      <c r="G274" s="263" t="s">
        <v>8483</v>
      </c>
      <c r="H274" s="263" t="s">
        <v>7938</v>
      </c>
      <c r="I274" s="265">
        <v>40334</v>
      </c>
      <c r="J274" s="263"/>
      <c r="K274" s="263" t="s">
        <v>8393</v>
      </c>
      <c r="L274" s="263" t="s">
        <v>422</v>
      </c>
      <c r="M274" s="266">
        <v>1350</v>
      </c>
      <c r="N274" s="263" t="s">
        <v>8478</v>
      </c>
      <c r="O274" s="263" t="s">
        <v>258</v>
      </c>
      <c r="P274" s="232">
        <v>12</v>
      </c>
      <c r="Q274" s="256"/>
      <c r="R274" s="256"/>
      <c r="S274" s="256"/>
      <c r="T274" s="256"/>
      <c r="U274" s="256"/>
      <c r="V274" s="256"/>
      <c r="W274" s="256"/>
      <c r="X274" s="256"/>
      <c r="Y274" s="257"/>
      <c r="Z274" s="257"/>
    </row>
    <row r="275" spans="1:26" ht="15.75" customHeight="1" x14ac:dyDescent="0.35">
      <c r="A275" s="258">
        <v>267</v>
      </c>
      <c r="B275" s="263" t="s">
        <v>8467</v>
      </c>
      <c r="C275" s="263" t="s">
        <v>8468</v>
      </c>
      <c r="D275" s="263" t="s">
        <v>904</v>
      </c>
      <c r="E275" s="263">
        <v>3382</v>
      </c>
      <c r="F275" s="263">
        <v>2013</v>
      </c>
      <c r="G275" s="263" t="s">
        <v>8484</v>
      </c>
      <c r="H275" s="263" t="s">
        <v>7938</v>
      </c>
      <c r="I275" s="265">
        <v>40007</v>
      </c>
      <c r="J275" s="263"/>
      <c r="K275" s="263" t="s">
        <v>8393</v>
      </c>
      <c r="L275" s="263" t="s">
        <v>422</v>
      </c>
      <c r="M275" s="266">
        <v>5749.4</v>
      </c>
      <c r="N275" s="263" t="s">
        <v>8485</v>
      </c>
      <c r="O275" s="263" t="s">
        <v>258</v>
      </c>
      <c r="P275" s="232">
        <v>12</v>
      </c>
      <c r="Q275" s="256"/>
      <c r="R275" s="256"/>
      <c r="S275" s="256"/>
      <c r="T275" s="256"/>
      <c r="U275" s="256"/>
      <c r="V275" s="256"/>
      <c r="W275" s="256"/>
      <c r="X275" s="256"/>
      <c r="Y275" s="257"/>
      <c r="Z275" s="257"/>
    </row>
    <row r="276" spans="1:26" ht="15.75" customHeight="1" x14ac:dyDescent="0.35">
      <c r="A276" s="264">
        <v>268</v>
      </c>
      <c r="B276" s="263" t="s">
        <v>8467</v>
      </c>
      <c r="C276" s="263" t="s">
        <v>8468</v>
      </c>
      <c r="D276" s="263" t="s">
        <v>122</v>
      </c>
      <c r="E276" s="263">
        <v>4987</v>
      </c>
      <c r="F276" s="263">
        <v>2013</v>
      </c>
      <c r="G276" s="263" t="s">
        <v>8486</v>
      </c>
      <c r="H276" s="263" t="s">
        <v>7938</v>
      </c>
      <c r="I276" s="265">
        <v>44034</v>
      </c>
      <c r="J276" s="263" t="s">
        <v>8487</v>
      </c>
      <c r="K276" s="263" t="s">
        <v>8393</v>
      </c>
      <c r="L276" s="263" t="s">
        <v>422</v>
      </c>
      <c r="M276" s="266">
        <v>9600</v>
      </c>
      <c r="N276" s="263" t="s">
        <v>8488</v>
      </c>
      <c r="O276" s="263" t="s">
        <v>258</v>
      </c>
      <c r="P276" s="232">
        <v>12</v>
      </c>
      <c r="Q276" s="256"/>
      <c r="R276" s="256"/>
      <c r="S276" s="256"/>
      <c r="T276" s="256"/>
      <c r="U276" s="256"/>
      <c r="V276" s="256"/>
      <c r="W276" s="256"/>
      <c r="X276" s="256"/>
      <c r="Y276" s="257"/>
      <c r="Z276" s="257"/>
    </row>
    <row r="277" spans="1:26" ht="15.75" customHeight="1" x14ac:dyDescent="0.35">
      <c r="A277" s="258">
        <v>269</v>
      </c>
      <c r="B277" s="263" t="s">
        <v>8467</v>
      </c>
      <c r="C277" s="263" t="s">
        <v>8468</v>
      </c>
      <c r="D277" s="263" t="s">
        <v>126</v>
      </c>
      <c r="E277" s="263">
        <v>5557</v>
      </c>
      <c r="F277" s="263">
        <v>2013</v>
      </c>
      <c r="G277" s="263" t="s">
        <v>8489</v>
      </c>
      <c r="H277" s="263" t="s">
        <v>7938</v>
      </c>
      <c r="I277" s="265">
        <v>44062</v>
      </c>
      <c r="J277" s="263" t="s">
        <v>8490</v>
      </c>
      <c r="K277" s="263" t="s">
        <v>8491</v>
      </c>
      <c r="L277" s="263" t="s">
        <v>422</v>
      </c>
      <c r="M277" s="266">
        <v>106700</v>
      </c>
      <c r="N277" s="263" t="s">
        <v>8492</v>
      </c>
      <c r="O277" s="263" t="s">
        <v>258</v>
      </c>
      <c r="P277" s="232">
        <v>12</v>
      </c>
      <c r="Q277" s="256"/>
      <c r="R277" s="256"/>
      <c r="S277" s="256"/>
      <c r="T277" s="256"/>
      <c r="U277" s="256"/>
      <c r="V277" s="256"/>
      <c r="W277" s="256"/>
      <c r="X277" s="256"/>
      <c r="Y277" s="257"/>
      <c r="Z277" s="257"/>
    </row>
    <row r="278" spans="1:26" ht="15.75" customHeight="1" x14ac:dyDescent="0.35">
      <c r="A278" s="258">
        <v>270</v>
      </c>
      <c r="B278" s="263" t="s">
        <v>8467</v>
      </c>
      <c r="C278" s="263" t="s">
        <v>8468</v>
      </c>
      <c r="D278" s="263" t="s">
        <v>132</v>
      </c>
      <c r="E278" s="263">
        <v>500</v>
      </c>
      <c r="F278" s="263">
        <v>2014</v>
      </c>
      <c r="G278" s="263" t="s">
        <v>8493</v>
      </c>
      <c r="H278" s="263" t="s">
        <v>7938</v>
      </c>
      <c r="I278" s="265">
        <v>41745</v>
      </c>
      <c r="J278" s="263" t="s">
        <v>8494</v>
      </c>
      <c r="K278" s="263" t="s">
        <v>8495</v>
      </c>
      <c r="L278" s="263" t="s">
        <v>422</v>
      </c>
      <c r="M278" s="266">
        <v>240</v>
      </c>
      <c r="N278" s="263" t="s">
        <v>8496</v>
      </c>
      <c r="O278" s="263" t="s">
        <v>258</v>
      </c>
      <c r="P278" s="232">
        <v>12</v>
      </c>
      <c r="Q278" s="256"/>
      <c r="R278" s="256"/>
      <c r="S278" s="256"/>
      <c r="T278" s="256"/>
      <c r="U278" s="256"/>
      <c r="V278" s="256"/>
      <c r="W278" s="256"/>
      <c r="X278" s="256"/>
      <c r="Y278" s="257"/>
      <c r="Z278" s="257"/>
    </row>
    <row r="279" spans="1:26" ht="15.75" customHeight="1" x14ac:dyDescent="0.35">
      <c r="A279" s="264">
        <v>271</v>
      </c>
      <c r="B279" s="263" t="s">
        <v>8467</v>
      </c>
      <c r="C279" s="263" t="s">
        <v>8468</v>
      </c>
      <c r="D279" s="263" t="s">
        <v>137</v>
      </c>
      <c r="E279" s="263">
        <v>1250</v>
      </c>
      <c r="F279" s="263">
        <v>2014</v>
      </c>
      <c r="G279" s="263" t="s">
        <v>8497</v>
      </c>
      <c r="H279" s="263" t="s">
        <v>7938</v>
      </c>
      <c r="I279" s="265">
        <v>41641</v>
      </c>
      <c r="J279" s="263" t="s">
        <v>8498</v>
      </c>
      <c r="K279" s="263" t="s">
        <v>8393</v>
      </c>
      <c r="L279" s="263" t="s">
        <v>422</v>
      </c>
      <c r="M279" s="266">
        <v>1500</v>
      </c>
      <c r="N279" s="263" t="s">
        <v>8496</v>
      </c>
      <c r="O279" s="263" t="s">
        <v>258</v>
      </c>
      <c r="P279" s="232">
        <v>12</v>
      </c>
      <c r="Q279" s="256"/>
      <c r="R279" s="256"/>
      <c r="S279" s="256"/>
      <c r="T279" s="256"/>
      <c r="U279" s="256"/>
      <c r="V279" s="256"/>
      <c r="W279" s="256"/>
      <c r="X279" s="256"/>
      <c r="Y279" s="257"/>
      <c r="Z279" s="257"/>
    </row>
    <row r="280" spans="1:26" ht="15.75" customHeight="1" x14ac:dyDescent="0.35">
      <c r="A280" s="258">
        <v>272</v>
      </c>
      <c r="B280" s="263" t="s">
        <v>8499</v>
      </c>
      <c r="C280" s="263" t="s">
        <v>8500</v>
      </c>
      <c r="D280" s="263" t="s">
        <v>51</v>
      </c>
      <c r="E280" s="263">
        <v>0</v>
      </c>
      <c r="F280" s="263">
        <v>2011</v>
      </c>
      <c r="G280" s="263" t="s">
        <v>8501</v>
      </c>
      <c r="H280" s="263" t="s">
        <v>7938</v>
      </c>
      <c r="I280" s="265"/>
      <c r="J280" s="263"/>
      <c r="K280" s="263"/>
      <c r="L280" s="263" t="s">
        <v>57</v>
      </c>
      <c r="M280" s="266">
        <v>93910</v>
      </c>
      <c r="N280" s="263" t="s">
        <v>8502</v>
      </c>
      <c r="O280" s="263" t="s">
        <v>258</v>
      </c>
      <c r="P280" s="232">
        <v>12</v>
      </c>
      <c r="Q280" s="256"/>
      <c r="R280" s="256"/>
      <c r="S280" s="256"/>
      <c r="T280" s="256"/>
      <c r="U280" s="256"/>
      <c r="V280" s="256"/>
      <c r="W280" s="256"/>
      <c r="X280" s="256"/>
      <c r="Y280" s="257"/>
      <c r="Z280" s="257"/>
    </row>
    <row r="281" spans="1:26" ht="15.75" customHeight="1" x14ac:dyDescent="0.35">
      <c r="A281" s="258">
        <v>273</v>
      </c>
      <c r="B281" s="263" t="s">
        <v>8503</v>
      </c>
      <c r="C281" s="263" t="s">
        <v>8504</v>
      </c>
      <c r="D281" s="263" t="s">
        <v>51</v>
      </c>
      <c r="E281" s="263">
        <v>20000</v>
      </c>
      <c r="F281" s="263">
        <v>2014</v>
      </c>
      <c r="G281" s="263" t="s">
        <v>8505</v>
      </c>
      <c r="H281" s="263" t="s">
        <v>7938</v>
      </c>
      <c r="I281" s="265">
        <v>41870</v>
      </c>
      <c r="J281" s="263" t="s">
        <v>8506</v>
      </c>
      <c r="K281" s="263" t="s">
        <v>8507</v>
      </c>
      <c r="L281" s="263" t="s">
        <v>422</v>
      </c>
      <c r="M281" s="266">
        <v>4.05</v>
      </c>
      <c r="N281" s="263" t="s">
        <v>8508</v>
      </c>
      <c r="O281" s="263" t="s">
        <v>258</v>
      </c>
      <c r="P281" s="232">
        <v>12</v>
      </c>
      <c r="Q281" s="256"/>
      <c r="R281" s="256"/>
      <c r="S281" s="256"/>
      <c r="T281" s="256"/>
      <c r="U281" s="256"/>
      <c r="V281" s="256"/>
      <c r="W281" s="256"/>
      <c r="X281" s="256"/>
      <c r="Y281" s="257"/>
      <c r="Z281" s="257"/>
    </row>
    <row r="282" spans="1:26" ht="15.75" customHeight="1" x14ac:dyDescent="0.35">
      <c r="A282" s="264">
        <v>274</v>
      </c>
      <c r="B282" s="263" t="s">
        <v>8503</v>
      </c>
      <c r="C282" s="263" t="s">
        <v>8504</v>
      </c>
      <c r="D282" s="263" t="s">
        <v>59</v>
      </c>
      <c r="E282" s="263">
        <v>100</v>
      </c>
      <c r="F282" s="263">
        <v>2014</v>
      </c>
      <c r="G282" s="263" t="s">
        <v>8509</v>
      </c>
      <c r="H282" s="263" t="s">
        <v>7938</v>
      </c>
      <c r="I282" s="265">
        <v>43961</v>
      </c>
      <c r="J282" s="263" t="s">
        <v>8510</v>
      </c>
      <c r="K282" s="263" t="s">
        <v>8507</v>
      </c>
      <c r="L282" s="263" t="s">
        <v>422</v>
      </c>
      <c r="M282" s="266">
        <v>27</v>
      </c>
      <c r="N282" s="263" t="s">
        <v>8511</v>
      </c>
      <c r="O282" s="263" t="s">
        <v>258</v>
      </c>
      <c r="P282" s="232">
        <v>12</v>
      </c>
      <c r="Q282" s="256"/>
      <c r="R282" s="256"/>
      <c r="S282" s="256"/>
      <c r="T282" s="256"/>
      <c r="U282" s="256"/>
      <c r="V282" s="256"/>
      <c r="W282" s="256"/>
      <c r="X282" s="256"/>
      <c r="Y282" s="257"/>
      <c r="Z282" s="257"/>
    </row>
    <row r="283" spans="1:26" ht="15.75" customHeight="1" x14ac:dyDescent="0.35">
      <c r="A283" s="258">
        <v>275</v>
      </c>
      <c r="B283" s="263" t="s">
        <v>8503</v>
      </c>
      <c r="C283" s="263" t="s">
        <v>8504</v>
      </c>
      <c r="D283" s="263" t="s">
        <v>97</v>
      </c>
      <c r="E283" s="263">
        <v>1520</v>
      </c>
      <c r="F283" s="263">
        <v>2014</v>
      </c>
      <c r="G283" s="263" t="s">
        <v>8512</v>
      </c>
      <c r="H283" s="263" t="s">
        <v>8375</v>
      </c>
      <c r="I283" s="265">
        <v>41841</v>
      </c>
      <c r="J283" s="263" t="s">
        <v>63</v>
      </c>
      <c r="K283" s="263" t="s">
        <v>8513</v>
      </c>
      <c r="L283" s="263" t="s">
        <v>422</v>
      </c>
      <c r="M283" s="266">
        <v>410.4</v>
      </c>
      <c r="N283" s="263" t="s">
        <v>8514</v>
      </c>
      <c r="O283" s="263" t="s">
        <v>258</v>
      </c>
      <c r="P283" s="232">
        <v>12</v>
      </c>
      <c r="Q283" s="256"/>
      <c r="R283" s="256"/>
      <c r="S283" s="256"/>
      <c r="T283" s="256"/>
      <c r="U283" s="256"/>
      <c r="V283" s="256"/>
      <c r="W283" s="256"/>
      <c r="X283" s="256"/>
      <c r="Y283" s="257"/>
      <c r="Z283" s="257"/>
    </row>
    <row r="284" spans="1:26" ht="15.75" customHeight="1" x14ac:dyDescent="0.35">
      <c r="A284" s="258">
        <v>276</v>
      </c>
      <c r="B284" s="263" t="s">
        <v>8503</v>
      </c>
      <c r="C284" s="263" t="s">
        <v>8504</v>
      </c>
      <c r="D284" s="263" t="s">
        <v>101</v>
      </c>
      <c r="E284" s="263">
        <v>15200</v>
      </c>
      <c r="F284" s="263">
        <v>2014</v>
      </c>
      <c r="G284" s="263" t="s">
        <v>8515</v>
      </c>
      <c r="H284" s="263" t="s">
        <v>7938</v>
      </c>
      <c r="I284" s="265">
        <v>41841</v>
      </c>
      <c r="J284" s="263" t="s">
        <v>8516</v>
      </c>
      <c r="K284" s="263" t="s">
        <v>8507</v>
      </c>
      <c r="L284" s="263" t="s">
        <v>422</v>
      </c>
      <c r="M284" s="266">
        <v>410.4</v>
      </c>
      <c r="N284" s="263" t="s">
        <v>8517</v>
      </c>
      <c r="O284" s="263" t="s">
        <v>258</v>
      </c>
      <c r="P284" s="232">
        <v>12</v>
      </c>
      <c r="Q284" s="256"/>
      <c r="R284" s="256"/>
      <c r="S284" s="256"/>
      <c r="T284" s="256"/>
      <c r="U284" s="256"/>
      <c r="V284" s="256"/>
      <c r="W284" s="256"/>
      <c r="X284" s="256"/>
      <c r="Y284" s="257"/>
      <c r="Z284" s="257"/>
    </row>
    <row r="285" spans="1:26" ht="15.75" customHeight="1" x14ac:dyDescent="0.35">
      <c r="A285" s="264">
        <v>277</v>
      </c>
      <c r="B285" s="263" t="s">
        <v>8503</v>
      </c>
      <c r="C285" s="263" t="s">
        <v>8504</v>
      </c>
      <c r="D285" s="263" t="s">
        <v>107</v>
      </c>
      <c r="E285" s="263">
        <v>30000</v>
      </c>
      <c r="F285" s="263">
        <v>2014</v>
      </c>
      <c r="G285" s="263" t="s">
        <v>8518</v>
      </c>
      <c r="H285" s="263" t="s">
        <v>7938</v>
      </c>
      <c r="I285" s="265">
        <v>41838</v>
      </c>
      <c r="J285" s="263" t="s">
        <v>8519</v>
      </c>
      <c r="K285" s="263" t="s">
        <v>8507</v>
      </c>
      <c r="L285" s="263" t="s">
        <v>422</v>
      </c>
      <c r="M285" s="266">
        <v>540</v>
      </c>
      <c r="N285" s="263" t="s">
        <v>8520</v>
      </c>
      <c r="O285" s="263" t="s">
        <v>258</v>
      </c>
      <c r="P285" s="232">
        <v>12</v>
      </c>
      <c r="Q285" s="256"/>
      <c r="R285" s="256"/>
      <c r="S285" s="256"/>
      <c r="T285" s="256"/>
      <c r="U285" s="256"/>
      <c r="V285" s="256"/>
      <c r="W285" s="256"/>
      <c r="X285" s="256"/>
      <c r="Y285" s="257"/>
      <c r="Z285" s="257"/>
    </row>
    <row r="286" spans="1:26" ht="15.75" customHeight="1" x14ac:dyDescent="0.35">
      <c r="A286" s="258">
        <v>278</v>
      </c>
      <c r="B286" s="263" t="s">
        <v>8503</v>
      </c>
      <c r="C286" s="263" t="s">
        <v>8504</v>
      </c>
      <c r="D286" s="263" t="s">
        <v>112</v>
      </c>
      <c r="E286" s="263">
        <v>2000</v>
      </c>
      <c r="F286" s="263">
        <v>2014</v>
      </c>
      <c r="G286" s="263" t="s">
        <v>8521</v>
      </c>
      <c r="H286" s="263" t="s">
        <v>7938</v>
      </c>
      <c r="I286" s="265">
        <v>41838</v>
      </c>
      <c r="J286" s="263" t="s">
        <v>8519</v>
      </c>
      <c r="K286" s="263" t="s">
        <v>8507</v>
      </c>
      <c r="L286" s="263" t="s">
        <v>422</v>
      </c>
      <c r="M286" s="266">
        <v>960</v>
      </c>
      <c r="N286" s="263" t="s">
        <v>8520</v>
      </c>
      <c r="O286" s="263" t="s">
        <v>258</v>
      </c>
      <c r="P286" s="232">
        <v>12</v>
      </c>
      <c r="Q286" s="256"/>
      <c r="R286" s="256"/>
      <c r="S286" s="256"/>
      <c r="T286" s="256"/>
      <c r="U286" s="256"/>
      <c r="V286" s="256"/>
      <c r="W286" s="256"/>
      <c r="X286" s="256"/>
      <c r="Y286" s="257"/>
      <c r="Z286" s="257"/>
    </row>
    <row r="287" spans="1:26" ht="15.75" customHeight="1" x14ac:dyDescent="0.35">
      <c r="A287" s="258">
        <v>279</v>
      </c>
      <c r="B287" s="263" t="s">
        <v>8503</v>
      </c>
      <c r="C287" s="263" t="s">
        <v>8504</v>
      </c>
      <c r="D287" s="263" t="s">
        <v>116</v>
      </c>
      <c r="E287" s="263">
        <v>5000</v>
      </c>
      <c r="F287" s="263">
        <v>2014</v>
      </c>
      <c r="G287" s="263" t="s">
        <v>8522</v>
      </c>
      <c r="H287" s="263" t="s">
        <v>7938</v>
      </c>
      <c r="I287" s="265">
        <v>41867</v>
      </c>
      <c r="J287" s="263" t="s">
        <v>8516</v>
      </c>
      <c r="K287" s="263" t="s">
        <v>8507</v>
      </c>
      <c r="L287" s="263" t="s">
        <v>422</v>
      </c>
      <c r="M287" s="266">
        <v>1350</v>
      </c>
      <c r="N287" s="263" t="s">
        <v>8517</v>
      </c>
      <c r="O287" s="263" t="s">
        <v>258</v>
      </c>
      <c r="P287" s="232">
        <v>12</v>
      </c>
      <c r="Q287" s="256"/>
      <c r="R287" s="256"/>
      <c r="S287" s="256"/>
      <c r="T287" s="256"/>
      <c r="U287" s="256"/>
      <c r="V287" s="256"/>
      <c r="W287" s="256"/>
      <c r="X287" s="256"/>
      <c r="Y287" s="257"/>
      <c r="Z287" s="257"/>
    </row>
    <row r="288" spans="1:26" ht="15.75" customHeight="1" x14ac:dyDescent="0.35">
      <c r="A288" s="264">
        <v>280</v>
      </c>
      <c r="B288" s="263" t="s">
        <v>8503</v>
      </c>
      <c r="C288" s="263" t="s">
        <v>8504</v>
      </c>
      <c r="D288" s="263" t="s">
        <v>841</v>
      </c>
      <c r="E288" s="263">
        <v>5000</v>
      </c>
      <c r="F288" s="263">
        <v>2014</v>
      </c>
      <c r="G288" s="263" t="s">
        <v>8523</v>
      </c>
      <c r="H288" s="263" t="s">
        <v>7938</v>
      </c>
      <c r="I288" s="265">
        <v>41877</v>
      </c>
      <c r="J288" s="263" t="s">
        <v>8524</v>
      </c>
      <c r="K288" s="263" t="s">
        <v>8507</v>
      </c>
      <c r="L288" s="263" t="s">
        <v>422</v>
      </c>
      <c r="M288" s="266">
        <v>1350</v>
      </c>
      <c r="N288" s="263" t="s">
        <v>8517</v>
      </c>
      <c r="O288" s="263" t="s">
        <v>258</v>
      </c>
      <c r="P288" s="232">
        <v>12</v>
      </c>
      <c r="Q288" s="256"/>
      <c r="R288" s="256"/>
      <c r="S288" s="256"/>
      <c r="T288" s="256"/>
      <c r="U288" s="256"/>
      <c r="V288" s="256"/>
      <c r="W288" s="256"/>
      <c r="X288" s="256"/>
      <c r="Y288" s="257"/>
      <c r="Z288" s="257"/>
    </row>
    <row r="289" spans="1:26" ht="15.75" customHeight="1" x14ac:dyDescent="0.35">
      <c r="A289" s="258">
        <v>281</v>
      </c>
      <c r="B289" s="263" t="s">
        <v>8503</v>
      </c>
      <c r="C289" s="263" t="s">
        <v>8504</v>
      </c>
      <c r="D289" s="263" t="s">
        <v>904</v>
      </c>
      <c r="E289" s="263">
        <v>2000</v>
      </c>
      <c r="F289" s="263">
        <v>2014</v>
      </c>
      <c r="G289" s="263" t="s">
        <v>8525</v>
      </c>
      <c r="H289" s="263" t="s">
        <v>7938</v>
      </c>
      <c r="I289" s="265">
        <v>41772</v>
      </c>
      <c r="J289" s="263" t="s">
        <v>8519</v>
      </c>
      <c r="K289" s="263" t="s">
        <v>8507</v>
      </c>
      <c r="L289" s="263" t="s">
        <v>422</v>
      </c>
      <c r="M289" s="266">
        <v>1960</v>
      </c>
      <c r="N289" s="263" t="s">
        <v>8526</v>
      </c>
      <c r="O289" s="263" t="s">
        <v>258</v>
      </c>
      <c r="P289" s="232">
        <v>12</v>
      </c>
      <c r="Q289" s="256"/>
      <c r="R289" s="256"/>
      <c r="S289" s="256"/>
      <c r="T289" s="256"/>
      <c r="U289" s="256"/>
      <c r="V289" s="256"/>
      <c r="W289" s="256"/>
      <c r="X289" s="256"/>
      <c r="Y289" s="257"/>
      <c r="Z289" s="257"/>
    </row>
    <row r="290" spans="1:26" ht="15.75" customHeight="1" x14ac:dyDescent="0.35">
      <c r="A290" s="258">
        <v>282</v>
      </c>
      <c r="B290" s="263" t="s">
        <v>8503</v>
      </c>
      <c r="C290" s="263" t="s">
        <v>8504</v>
      </c>
      <c r="D290" s="263" t="s">
        <v>122</v>
      </c>
      <c r="E290" s="263">
        <v>20000</v>
      </c>
      <c r="F290" s="263">
        <v>2014</v>
      </c>
      <c r="G290" s="263" t="s">
        <v>8527</v>
      </c>
      <c r="H290" s="263" t="s">
        <v>7938</v>
      </c>
      <c r="I290" s="265">
        <v>41838</v>
      </c>
      <c r="J290" s="263" t="s">
        <v>8519</v>
      </c>
      <c r="K290" s="263" t="s">
        <v>8507</v>
      </c>
      <c r="L290" s="263" t="s">
        <v>422</v>
      </c>
      <c r="M290" s="266">
        <v>2400</v>
      </c>
      <c r="N290" s="263" t="s">
        <v>8520</v>
      </c>
      <c r="O290" s="263" t="s">
        <v>258</v>
      </c>
      <c r="P290" s="232">
        <v>12</v>
      </c>
      <c r="Q290" s="256"/>
      <c r="R290" s="256"/>
      <c r="S290" s="256"/>
      <c r="T290" s="256"/>
      <c r="U290" s="256"/>
      <c r="V290" s="256"/>
      <c r="W290" s="256"/>
      <c r="X290" s="256"/>
      <c r="Y290" s="257"/>
      <c r="Z290" s="257"/>
    </row>
    <row r="291" spans="1:26" ht="15.75" customHeight="1" x14ac:dyDescent="0.35">
      <c r="A291" s="264">
        <v>283</v>
      </c>
      <c r="B291" s="263" t="s">
        <v>8503</v>
      </c>
      <c r="C291" s="263" t="s">
        <v>8504</v>
      </c>
      <c r="D291" s="263" t="s">
        <v>126</v>
      </c>
      <c r="E291" s="263">
        <v>5000</v>
      </c>
      <c r="F291" s="263">
        <v>2014</v>
      </c>
      <c r="G291" s="263" t="s">
        <v>8521</v>
      </c>
      <c r="H291" s="263" t="s">
        <v>7938</v>
      </c>
      <c r="I291" s="265">
        <v>41848</v>
      </c>
      <c r="J291" s="263" t="s">
        <v>63</v>
      </c>
      <c r="K291" s="263" t="s">
        <v>8507</v>
      </c>
      <c r="L291" s="263" t="s">
        <v>422</v>
      </c>
      <c r="M291" s="266">
        <v>2400</v>
      </c>
      <c r="N291" s="263" t="s">
        <v>8517</v>
      </c>
      <c r="O291" s="263" t="s">
        <v>258</v>
      </c>
      <c r="P291" s="232">
        <v>12</v>
      </c>
      <c r="Q291" s="256"/>
      <c r="R291" s="256"/>
      <c r="S291" s="256"/>
      <c r="T291" s="256"/>
      <c r="U291" s="256"/>
      <c r="V291" s="256"/>
      <c r="W291" s="256"/>
      <c r="X291" s="256"/>
      <c r="Y291" s="257"/>
      <c r="Z291" s="257"/>
    </row>
    <row r="292" spans="1:26" ht="15.75" customHeight="1" x14ac:dyDescent="0.35">
      <c r="A292" s="258">
        <v>284</v>
      </c>
      <c r="B292" s="263" t="s">
        <v>8503</v>
      </c>
      <c r="C292" s="263" t="s">
        <v>8504</v>
      </c>
      <c r="D292" s="263" t="s">
        <v>132</v>
      </c>
      <c r="E292" s="263">
        <v>19950</v>
      </c>
      <c r="F292" s="263">
        <v>2014</v>
      </c>
      <c r="G292" s="263" t="s">
        <v>8528</v>
      </c>
      <c r="H292" s="263" t="s">
        <v>8375</v>
      </c>
      <c r="I292" s="265">
        <v>41946</v>
      </c>
      <c r="J292" s="263" t="s">
        <v>8519</v>
      </c>
      <c r="K292" s="263" t="s">
        <v>8513</v>
      </c>
      <c r="L292" s="263" t="s">
        <v>422</v>
      </c>
      <c r="M292" s="266">
        <v>2793</v>
      </c>
      <c r="N292" s="263" t="s">
        <v>8526</v>
      </c>
      <c r="O292" s="263" t="s">
        <v>258</v>
      </c>
      <c r="P292" s="232">
        <v>12</v>
      </c>
      <c r="Q292" s="256"/>
      <c r="R292" s="256"/>
      <c r="S292" s="256"/>
      <c r="T292" s="256"/>
      <c r="U292" s="256"/>
      <c r="V292" s="256"/>
      <c r="W292" s="256"/>
      <c r="X292" s="256"/>
      <c r="Y292" s="257"/>
      <c r="Z292" s="257"/>
    </row>
    <row r="293" spans="1:26" ht="15.75" customHeight="1" x14ac:dyDescent="0.35">
      <c r="A293" s="258">
        <v>285</v>
      </c>
      <c r="B293" s="263" t="s">
        <v>8503</v>
      </c>
      <c r="C293" s="263" t="s">
        <v>8504</v>
      </c>
      <c r="D293" s="263" t="s">
        <v>137</v>
      </c>
      <c r="E293" s="263">
        <v>14000</v>
      </c>
      <c r="F293" s="263">
        <v>2014</v>
      </c>
      <c r="G293" s="263" t="s">
        <v>8529</v>
      </c>
      <c r="H293" s="263" t="s">
        <v>8375</v>
      </c>
      <c r="I293" s="265">
        <v>41797</v>
      </c>
      <c r="J293" s="263" t="s">
        <v>63</v>
      </c>
      <c r="K293" s="263" t="s">
        <v>8513</v>
      </c>
      <c r="L293" s="263" t="s">
        <v>422</v>
      </c>
      <c r="M293" s="266">
        <v>2800</v>
      </c>
      <c r="N293" s="263" t="s">
        <v>8530</v>
      </c>
      <c r="O293" s="263" t="s">
        <v>258</v>
      </c>
      <c r="P293" s="232">
        <v>12</v>
      </c>
      <c r="Q293" s="256"/>
      <c r="R293" s="256"/>
      <c r="S293" s="256"/>
      <c r="T293" s="256"/>
      <c r="U293" s="256"/>
      <c r="V293" s="256"/>
      <c r="W293" s="256"/>
      <c r="X293" s="256"/>
      <c r="Y293" s="257"/>
      <c r="Z293" s="257"/>
    </row>
    <row r="294" spans="1:26" ht="15.75" customHeight="1" x14ac:dyDescent="0.35">
      <c r="A294" s="264">
        <v>286</v>
      </c>
      <c r="B294" s="263" t="s">
        <v>8503</v>
      </c>
      <c r="C294" s="263" t="s">
        <v>8504</v>
      </c>
      <c r="D294" s="263" t="s">
        <v>146</v>
      </c>
      <c r="E294" s="263">
        <v>12000</v>
      </c>
      <c r="F294" s="263">
        <v>2014</v>
      </c>
      <c r="G294" s="263" t="s">
        <v>8531</v>
      </c>
      <c r="H294" s="263" t="s">
        <v>7938</v>
      </c>
      <c r="I294" s="265">
        <v>43961</v>
      </c>
      <c r="J294" s="263" t="s">
        <v>63</v>
      </c>
      <c r="K294" s="263" t="s">
        <v>8507</v>
      </c>
      <c r="L294" s="263" t="s">
        <v>422</v>
      </c>
      <c r="M294" s="266">
        <v>3240</v>
      </c>
      <c r="N294" s="263" t="s">
        <v>8520</v>
      </c>
      <c r="O294" s="263" t="s">
        <v>258</v>
      </c>
      <c r="P294" s="232">
        <v>12</v>
      </c>
      <c r="Q294" s="256"/>
      <c r="R294" s="256"/>
      <c r="S294" s="256"/>
      <c r="T294" s="256"/>
      <c r="U294" s="256"/>
      <c r="V294" s="256"/>
      <c r="W294" s="256"/>
      <c r="X294" s="256"/>
      <c r="Y294" s="257"/>
      <c r="Z294" s="257"/>
    </row>
    <row r="295" spans="1:26" ht="15.75" customHeight="1" x14ac:dyDescent="0.35">
      <c r="A295" s="258">
        <v>287</v>
      </c>
      <c r="B295" s="263" t="s">
        <v>8503</v>
      </c>
      <c r="C295" s="263" t="s">
        <v>8504</v>
      </c>
      <c r="D295" s="263" t="s">
        <v>154</v>
      </c>
      <c r="E295" s="263">
        <v>12000</v>
      </c>
      <c r="F295" s="263">
        <v>2014</v>
      </c>
      <c r="G295" s="263" t="s">
        <v>8532</v>
      </c>
      <c r="H295" s="263" t="s">
        <v>7938</v>
      </c>
      <c r="I295" s="265">
        <v>43961</v>
      </c>
      <c r="J295" s="263" t="s">
        <v>63</v>
      </c>
      <c r="K295" s="263" t="s">
        <v>8507</v>
      </c>
      <c r="L295" s="263" t="s">
        <v>422</v>
      </c>
      <c r="M295" s="266">
        <v>3240</v>
      </c>
      <c r="N295" s="263" t="s">
        <v>8526</v>
      </c>
      <c r="O295" s="263" t="s">
        <v>258</v>
      </c>
      <c r="P295" s="232">
        <v>12</v>
      </c>
      <c r="Q295" s="256"/>
      <c r="R295" s="256"/>
      <c r="S295" s="256"/>
      <c r="T295" s="256"/>
      <c r="U295" s="256"/>
      <c r="V295" s="256"/>
      <c r="W295" s="256"/>
      <c r="X295" s="256"/>
      <c r="Y295" s="257"/>
      <c r="Z295" s="257"/>
    </row>
    <row r="296" spans="1:26" ht="15.75" customHeight="1" x14ac:dyDescent="0.35">
      <c r="A296" s="258">
        <v>288</v>
      </c>
      <c r="B296" s="263" t="s">
        <v>8503</v>
      </c>
      <c r="C296" s="263" t="s">
        <v>8504</v>
      </c>
      <c r="D296" s="263" t="s">
        <v>161</v>
      </c>
      <c r="E296" s="263">
        <v>24500</v>
      </c>
      <c r="F296" s="263">
        <v>2014</v>
      </c>
      <c r="G296" s="263" t="s">
        <v>8533</v>
      </c>
      <c r="H296" s="263" t="s">
        <v>7938</v>
      </c>
      <c r="I296" s="265">
        <v>41817</v>
      </c>
      <c r="J296" s="263" t="s">
        <v>8516</v>
      </c>
      <c r="K296" s="263" t="s">
        <v>8507</v>
      </c>
      <c r="L296" s="263" t="s">
        <v>422</v>
      </c>
      <c r="M296" s="266">
        <v>3500</v>
      </c>
      <c r="N296" s="263" t="s">
        <v>8517</v>
      </c>
      <c r="O296" s="263" t="s">
        <v>258</v>
      </c>
      <c r="P296" s="232">
        <v>12</v>
      </c>
      <c r="Q296" s="256"/>
      <c r="R296" s="256"/>
      <c r="S296" s="256"/>
      <c r="T296" s="256"/>
      <c r="U296" s="256"/>
      <c r="V296" s="256"/>
      <c r="W296" s="256"/>
      <c r="X296" s="256"/>
      <c r="Y296" s="257"/>
      <c r="Z296" s="257"/>
    </row>
    <row r="297" spans="1:26" ht="15.75" customHeight="1" x14ac:dyDescent="0.35">
      <c r="A297" s="264">
        <v>289</v>
      </c>
      <c r="B297" s="263" t="s">
        <v>8503</v>
      </c>
      <c r="C297" s="263" t="s">
        <v>8504</v>
      </c>
      <c r="D297" s="263" t="s">
        <v>169</v>
      </c>
      <c r="E297" s="263">
        <v>45000</v>
      </c>
      <c r="F297" s="263">
        <v>2014</v>
      </c>
      <c r="G297" s="263" t="s">
        <v>8534</v>
      </c>
      <c r="H297" s="263" t="s">
        <v>7938</v>
      </c>
      <c r="I297" s="265">
        <v>41955</v>
      </c>
      <c r="J297" s="263" t="s">
        <v>8535</v>
      </c>
      <c r="K297" s="263" t="s">
        <v>8434</v>
      </c>
      <c r="L297" s="263" t="s">
        <v>422</v>
      </c>
      <c r="M297" s="266">
        <v>5000</v>
      </c>
      <c r="N297" s="263" t="s">
        <v>8508</v>
      </c>
      <c r="O297" s="263" t="s">
        <v>258</v>
      </c>
      <c r="P297" s="232">
        <v>12</v>
      </c>
      <c r="Q297" s="256"/>
      <c r="R297" s="256"/>
      <c r="S297" s="256"/>
      <c r="T297" s="256"/>
      <c r="U297" s="256"/>
      <c r="V297" s="256"/>
      <c r="W297" s="256"/>
      <c r="X297" s="256"/>
      <c r="Y297" s="257"/>
      <c r="Z297" s="257"/>
    </row>
    <row r="298" spans="1:26" ht="15.75" customHeight="1" x14ac:dyDescent="0.35">
      <c r="A298" s="258">
        <v>290</v>
      </c>
      <c r="B298" s="263" t="s">
        <v>8503</v>
      </c>
      <c r="C298" s="263" t="s">
        <v>8504</v>
      </c>
      <c r="D298" s="263" t="s">
        <v>176</v>
      </c>
      <c r="E298" s="263">
        <v>25000</v>
      </c>
      <c r="F298" s="263">
        <v>2014</v>
      </c>
      <c r="G298" s="263" t="s">
        <v>8534</v>
      </c>
      <c r="H298" s="263" t="s">
        <v>7938</v>
      </c>
      <c r="I298" s="265">
        <v>41955</v>
      </c>
      <c r="J298" s="263" t="s">
        <v>8536</v>
      </c>
      <c r="K298" s="263" t="s">
        <v>8507</v>
      </c>
      <c r="L298" s="263" t="s">
        <v>422</v>
      </c>
      <c r="M298" s="266">
        <v>5000</v>
      </c>
      <c r="N298" s="263" t="s">
        <v>8537</v>
      </c>
      <c r="O298" s="263" t="s">
        <v>258</v>
      </c>
      <c r="P298" s="232">
        <v>12</v>
      </c>
      <c r="Q298" s="256"/>
      <c r="R298" s="256"/>
      <c r="S298" s="256"/>
      <c r="T298" s="256"/>
      <c r="U298" s="256"/>
      <c r="V298" s="256"/>
      <c r="W298" s="256"/>
      <c r="X298" s="256"/>
      <c r="Y298" s="257"/>
      <c r="Z298" s="257"/>
    </row>
    <row r="299" spans="1:26" ht="15.75" customHeight="1" x14ac:dyDescent="0.35">
      <c r="A299" s="258">
        <v>291</v>
      </c>
      <c r="B299" s="263" t="s">
        <v>8503</v>
      </c>
      <c r="C299" s="263" t="s">
        <v>8504</v>
      </c>
      <c r="D299" s="263" t="s">
        <v>1236</v>
      </c>
      <c r="E299" s="263">
        <v>12000</v>
      </c>
      <c r="F299" s="263">
        <v>2014</v>
      </c>
      <c r="G299" s="263" t="s">
        <v>8538</v>
      </c>
      <c r="H299" s="263" t="s">
        <v>7938</v>
      </c>
      <c r="I299" s="265">
        <v>41838</v>
      </c>
      <c r="J299" s="263" t="s">
        <v>63</v>
      </c>
      <c r="K299" s="263" t="s">
        <v>8507</v>
      </c>
      <c r="L299" s="263" t="s">
        <v>422</v>
      </c>
      <c r="M299" s="266">
        <v>21000</v>
      </c>
      <c r="N299" s="263" t="s">
        <v>8517</v>
      </c>
      <c r="O299" s="263" t="s">
        <v>258</v>
      </c>
      <c r="P299" s="232">
        <v>12</v>
      </c>
      <c r="Q299" s="256"/>
      <c r="R299" s="256"/>
      <c r="S299" s="256"/>
      <c r="T299" s="256"/>
      <c r="U299" s="256"/>
      <c r="V299" s="256"/>
      <c r="W299" s="256"/>
      <c r="X299" s="256"/>
      <c r="Y299" s="257"/>
      <c r="Z299" s="257"/>
    </row>
    <row r="300" spans="1:26" ht="15.75" customHeight="1" x14ac:dyDescent="0.35">
      <c r="A300" s="264">
        <v>292</v>
      </c>
      <c r="B300" s="263" t="s">
        <v>8503</v>
      </c>
      <c r="C300" s="263" t="s">
        <v>8504</v>
      </c>
      <c r="D300" s="263" t="s">
        <v>181</v>
      </c>
      <c r="E300" s="263">
        <v>24000</v>
      </c>
      <c r="F300" s="263">
        <v>2014</v>
      </c>
      <c r="G300" s="263" t="s">
        <v>8539</v>
      </c>
      <c r="H300" s="263" t="s">
        <v>7938</v>
      </c>
      <c r="I300" s="265">
        <v>41872</v>
      </c>
      <c r="J300" s="263" t="s">
        <v>63</v>
      </c>
      <c r="K300" s="263" t="s">
        <v>8507</v>
      </c>
      <c r="L300" s="263" t="s">
        <v>422</v>
      </c>
      <c r="M300" s="266">
        <v>84000</v>
      </c>
      <c r="N300" s="263" t="s">
        <v>8526</v>
      </c>
      <c r="O300" s="263" t="s">
        <v>258</v>
      </c>
      <c r="P300" s="232">
        <v>12</v>
      </c>
      <c r="Q300" s="256"/>
      <c r="R300" s="256"/>
      <c r="S300" s="256"/>
      <c r="T300" s="256"/>
      <c r="U300" s="256"/>
      <c r="V300" s="256"/>
      <c r="W300" s="256"/>
      <c r="X300" s="256"/>
      <c r="Y300" s="257"/>
      <c r="Z300" s="257"/>
    </row>
    <row r="301" spans="1:26" ht="15.75" customHeight="1" x14ac:dyDescent="0.35">
      <c r="A301" s="258">
        <v>293</v>
      </c>
      <c r="B301" s="263" t="s">
        <v>8503</v>
      </c>
      <c r="C301" s="263" t="s">
        <v>8504</v>
      </c>
      <c r="D301" s="263" t="s">
        <v>187</v>
      </c>
      <c r="E301" s="263">
        <v>24600</v>
      </c>
      <c r="F301" s="263">
        <v>2014</v>
      </c>
      <c r="G301" s="263" t="s">
        <v>8533</v>
      </c>
      <c r="H301" s="263" t="s">
        <v>7938</v>
      </c>
      <c r="I301" s="265">
        <v>41817</v>
      </c>
      <c r="J301" s="263" t="s">
        <v>8510</v>
      </c>
      <c r="K301" s="263" t="s">
        <v>8507</v>
      </c>
      <c r="L301" s="263" t="s">
        <v>422</v>
      </c>
      <c r="M301" s="266">
        <v>86100</v>
      </c>
      <c r="N301" s="263" t="s">
        <v>8526</v>
      </c>
      <c r="O301" s="263" t="s">
        <v>258</v>
      </c>
      <c r="P301" s="232">
        <v>12</v>
      </c>
      <c r="Q301" s="256"/>
      <c r="R301" s="256"/>
      <c r="S301" s="256"/>
      <c r="T301" s="256"/>
      <c r="U301" s="256"/>
      <c r="V301" s="256"/>
      <c r="W301" s="256"/>
      <c r="X301" s="256"/>
      <c r="Y301" s="257"/>
      <c r="Z301" s="257"/>
    </row>
    <row r="302" spans="1:26" ht="15.75" customHeight="1" x14ac:dyDescent="0.35">
      <c r="A302" s="258">
        <v>294</v>
      </c>
      <c r="B302" s="263" t="s">
        <v>8540</v>
      </c>
      <c r="C302" s="263" t="s">
        <v>8541</v>
      </c>
      <c r="D302" s="263" t="s">
        <v>51</v>
      </c>
      <c r="E302" s="263">
        <v>100</v>
      </c>
      <c r="F302" s="263">
        <v>2014</v>
      </c>
      <c r="G302" s="263" t="s">
        <v>8542</v>
      </c>
      <c r="H302" s="263" t="s">
        <v>7938</v>
      </c>
      <c r="I302" s="265">
        <v>41838</v>
      </c>
      <c r="J302" s="263"/>
      <c r="K302" s="263"/>
      <c r="L302" s="263" t="s">
        <v>422</v>
      </c>
      <c r="M302" s="266">
        <v>14</v>
      </c>
      <c r="N302" s="263" t="s">
        <v>8543</v>
      </c>
      <c r="O302" s="263" t="s">
        <v>258</v>
      </c>
      <c r="P302" s="232">
        <v>12</v>
      </c>
      <c r="Q302" s="256"/>
      <c r="R302" s="256"/>
      <c r="S302" s="256"/>
      <c r="T302" s="256"/>
      <c r="U302" s="256"/>
      <c r="V302" s="256"/>
      <c r="W302" s="256"/>
      <c r="X302" s="256"/>
      <c r="Y302" s="257"/>
      <c r="Z302" s="257"/>
    </row>
    <row r="303" spans="1:26" ht="15.75" customHeight="1" x14ac:dyDescent="0.35">
      <c r="A303" s="264">
        <v>295</v>
      </c>
      <c r="B303" s="263" t="s">
        <v>8540</v>
      </c>
      <c r="C303" s="263" t="s">
        <v>8541</v>
      </c>
      <c r="D303" s="263" t="s">
        <v>59</v>
      </c>
      <c r="E303" s="263">
        <v>100</v>
      </c>
      <c r="F303" s="263">
        <v>2014</v>
      </c>
      <c r="G303" s="263" t="s">
        <v>8509</v>
      </c>
      <c r="H303" s="263" t="s">
        <v>7938</v>
      </c>
      <c r="I303" s="265">
        <v>41839</v>
      </c>
      <c r="J303" s="263" t="s">
        <v>8544</v>
      </c>
      <c r="K303" s="263"/>
      <c r="L303" s="263" t="s">
        <v>422</v>
      </c>
      <c r="M303" s="266">
        <v>27</v>
      </c>
      <c r="N303" s="263" t="s">
        <v>8545</v>
      </c>
      <c r="O303" s="263" t="s">
        <v>258</v>
      </c>
      <c r="P303" s="232">
        <v>12</v>
      </c>
      <c r="Q303" s="256"/>
      <c r="R303" s="256"/>
      <c r="S303" s="256"/>
      <c r="T303" s="256"/>
      <c r="U303" s="256"/>
      <c r="V303" s="256"/>
      <c r="W303" s="256"/>
      <c r="X303" s="256"/>
      <c r="Y303" s="257"/>
      <c r="Z303" s="257"/>
    </row>
    <row r="304" spans="1:26" ht="15.75" customHeight="1" x14ac:dyDescent="0.35">
      <c r="A304" s="258">
        <v>296</v>
      </c>
      <c r="B304" s="263" t="s">
        <v>8540</v>
      </c>
      <c r="C304" s="263" t="s">
        <v>8541</v>
      </c>
      <c r="D304" s="263" t="s">
        <v>97</v>
      </c>
      <c r="E304" s="263">
        <v>105</v>
      </c>
      <c r="F304" s="263">
        <v>2014</v>
      </c>
      <c r="G304" s="263" t="s">
        <v>8546</v>
      </c>
      <c r="H304" s="263" t="s">
        <v>7938</v>
      </c>
      <c r="I304" s="265">
        <v>41830</v>
      </c>
      <c r="J304" s="263"/>
      <c r="K304" s="263"/>
      <c r="L304" s="263" t="s">
        <v>422</v>
      </c>
      <c r="M304" s="266">
        <v>28.35</v>
      </c>
      <c r="N304" s="263" t="s">
        <v>8547</v>
      </c>
      <c r="O304" s="263" t="s">
        <v>258</v>
      </c>
      <c r="P304" s="232">
        <v>12</v>
      </c>
      <c r="Q304" s="256"/>
      <c r="R304" s="256"/>
      <c r="S304" s="256"/>
      <c r="T304" s="256"/>
      <c r="U304" s="256"/>
      <c r="V304" s="256"/>
      <c r="W304" s="256"/>
      <c r="X304" s="256"/>
      <c r="Y304" s="257"/>
      <c r="Z304" s="257"/>
    </row>
    <row r="305" spans="1:26" ht="15.75" customHeight="1" x14ac:dyDescent="0.35">
      <c r="A305" s="258">
        <v>297</v>
      </c>
      <c r="B305" s="263" t="s">
        <v>8540</v>
      </c>
      <c r="C305" s="263" t="s">
        <v>8541</v>
      </c>
      <c r="D305" s="263" t="s">
        <v>101</v>
      </c>
      <c r="E305" s="263">
        <v>100</v>
      </c>
      <c r="F305" s="263">
        <v>2014</v>
      </c>
      <c r="G305" s="263" t="s">
        <v>8527</v>
      </c>
      <c r="H305" s="263" t="s">
        <v>8375</v>
      </c>
      <c r="I305" s="265">
        <v>44299</v>
      </c>
      <c r="J305" s="263" t="s">
        <v>63</v>
      </c>
      <c r="K305" s="263" t="s">
        <v>8513</v>
      </c>
      <c r="L305" s="263" t="s">
        <v>422</v>
      </c>
      <c r="M305" s="266">
        <v>35</v>
      </c>
      <c r="N305" s="263" t="s">
        <v>8548</v>
      </c>
      <c r="O305" s="263" t="s">
        <v>258</v>
      </c>
      <c r="P305" s="232">
        <v>12</v>
      </c>
      <c r="Q305" s="256"/>
      <c r="R305" s="256"/>
      <c r="S305" s="256"/>
      <c r="T305" s="256"/>
      <c r="U305" s="256"/>
      <c r="V305" s="256"/>
      <c r="W305" s="256"/>
      <c r="X305" s="256"/>
      <c r="Y305" s="257"/>
      <c r="Z305" s="257"/>
    </row>
    <row r="306" spans="1:26" ht="15.75" customHeight="1" x14ac:dyDescent="0.35">
      <c r="A306" s="264">
        <v>298</v>
      </c>
      <c r="B306" s="263" t="s">
        <v>8540</v>
      </c>
      <c r="C306" s="263" t="s">
        <v>8541</v>
      </c>
      <c r="D306" s="263" t="s">
        <v>107</v>
      </c>
      <c r="E306" s="263">
        <v>150</v>
      </c>
      <c r="F306" s="263">
        <v>2014</v>
      </c>
      <c r="G306" s="263" t="s">
        <v>8549</v>
      </c>
      <c r="H306" s="263" t="s">
        <v>8375</v>
      </c>
      <c r="I306" s="265">
        <v>41877</v>
      </c>
      <c r="J306" s="263" t="s">
        <v>8550</v>
      </c>
      <c r="K306" s="263" t="s">
        <v>8513</v>
      </c>
      <c r="L306" s="263" t="s">
        <v>422</v>
      </c>
      <c r="M306" s="266">
        <v>40.5</v>
      </c>
      <c r="N306" s="263" t="s">
        <v>8551</v>
      </c>
      <c r="O306" s="263" t="s">
        <v>258</v>
      </c>
      <c r="P306" s="232">
        <v>12</v>
      </c>
      <c r="Q306" s="256"/>
      <c r="R306" s="256"/>
      <c r="S306" s="256"/>
      <c r="T306" s="256"/>
      <c r="U306" s="256"/>
      <c r="V306" s="256"/>
      <c r="W306" s="256"/>
      <c r="X306" s="256"/>
      <c r="Y306" s="257"/>
      <c r="Z306" s="257"/>
    </row>
    <row r="307" spans="1:26" ht="15.75" customHeight="1" x14ac:dyDescent="0.35">
      <c r="A307" s="258">
        <v>299</v>
      </c>
      <c r="B307" s="263" t="s">
        <v>8540</v>
      </c>
      <c r="C307" s="263" t="s">
        <v>8541</v>
      </c>
      <c r="D307" s="263" t="s">
        <v>112</v>
      </c>
      <c r="E307" s="263">
        <v>18</v>
      </c>
      <c r="F307" s="263">
        <v>2014</v>
      </c>
      <c r="G307" s="263" t="s">
        <v>8552</v>
      </c>
      <c r="H307" s="263" t="s">
        <v>8375</v>
      </c>
      <c r="I307" s="265">
        <v>41870</v>
      </c>
      <c r="J307" s="263" t="s">
        <v>8553</v>
      </c>
      <c r="K307" s="263" t="s">
        <v>8513</v>
      </c>
      <c r="L307" s="263" t="s">
        <v>422</v>
      </c>
      <c r="M307" s="266">
        <v>4860</v>
      </c>
      <c r="N307" s="263" t="s">
        <v>8551</v>
      </c>
      <c r="O307" s="263" t="s">
        <v>258</v>
      </c>
      <c r="P307" s="232">
        <v>12</v>
      </c>
      <c r="Q307" s="256"/>
      <c r="R307" s="256"/>
      <c r="S307" s="256"/>
      <c r="T307" s="256"/>
      <c r="U307" s="256"/>
      <c r="V307" s="256"/>
      <c r="W307" s="256"/>
      <c r="X307" s="256"/>
      <c r="Y307" s="257"/>
      <c r="Z307" s="257"/>
    </row>
    <row r="308" spans="1:26" ht="15.75" customHeight="1" x14ac:dyDescent="0.35">
      <c r="A308" s="258">
        <v>300</v>
      </c>
      <c r="B308" s="263" t="s">
        <v>8540</v>
      </c>
      <c r="C308" s="263" t="s">
        <v>8541</v>
      </c>
      <c r="D308" s="263" t="s">
        <v>116</v>
      </c>
      <c r="E308" s="263">
        <v>35</v>
      </c>
      <c r="F308" s="263">
        <v>2014</v>
      </c>
      <c r="G308" s="263" t="s">
        <v>8554</v>
      </c>
      <c r="H308" s="263" t="s">
        <v>8375</v>
      </c>
      <c r="I308" s="265">
        <v>41873</v>
      </c>
      <c r="J308" s="263" t="s">
        <v>8555</v>
      </c>
      <c r="K308" s="263" t="s">
        <v>8513</v>
      </c>
      <c r="L308" s="263" t="s">
        <v>422</v>
      </c>
      <c r="M308" s="266">
        <v>9450</v>
      </c>
      <c r="N308" s="263" t="s">
        <v>8556</v>
      </c>
      <c r="O308" s="263" t="s">
        <v>258</v>
      </c>
      <c r="P308" s="232">
        <v>12</v>
      </c>
      <c r="Q308" s="256"/>
      <c r="R308" s="256"/>
      <c r="S308" s="256"/>
      <c r="T308" s="256"/>
      <c r="U308" s="256"/>
      <c r="V308" s="256"/>
      <c r="W308" s="256"/>
      <c r="X308" s="256"/>
      <c r="Y308" s="257"/>
      <c r="Z308" s="257"/>
    </row>
    <row r="309" spans="1:26" ht="15.75" customHeight="1" x14ac:dyDescent="0.35">
      <c r="A309" s="264">
        <v>301</v>
      </c>
      <c r="B309" s="263" t="s">
        <v>8540</v>
      </c>
      <c r="C309" s="263" t="s">
        <v>8541</v>
      </c>
      <c r="D309" s="263" t="s">
        <v>841</v>
      </c>
      <c r="E309" s="263">
        <v>35</v>
      </c>
      <c r="F309" s="263">
        <v>2014</v>
      </c>
      <c r="G309" s="263" t="s">
        <v>8557</v>
      </c>
      <c r="H309" s="263" t="s">
        <v>8375</v>
      </c>
      <c r="I309" s="265">
        <v>41873</v>
      </c>
      <c r="J309" s="263" t="s">
        <v>8558</v>
      </c>
      <c r="K309" s="263" t="s">
        <v>8513</v>
      </c>
      <c r="L309" s="263" t="s">
        <v>422</v>
      </c>
      <c r="M309" s="266">
        <v>9450</v>
      </c>
      <c r="N309" s="263" t="s">
        <v>8556</v>
      </c>
      <c r="O309" s="263" t="s">
        <v>258</v>
      </c>
      <c r="P309" s="232">
        <v>12</v>
      </c>
      <c r="Q309" s="256"/>
      <c r="R309" s="256"/>
      <c r="S309" s="256"/>
      <c r="T309" s="256"/>
      <c r="U309" s="256"/>
      <c r="V309" s="256"/>
      <c r="W309" s="256"/>
      <c r="X309" s="256"/>
      <c r="Y309" s="257"/>
      <c r="Z309" s="257"/>
    </row>
    <row r="310" spans="1:26" ht="15.75" customHeight="1" x14ac:dyDescent="0.35">
      <c r="A310" s="258">
        <v>302</v>
      </c>
      <c r="B310" s="263" t="s">
        <v>8559</v>
      </c>
      <c r="C310" s="263" t="s">
        <v>8560</v>
      </c>
      <c r="D310" s="263" t="s">
        <v>51</v>
      </c>
      <c r="E310" s="263">
        <v>193869</v>
      </c>
      <c r="F310" s="263">
        <v>2010</v>
      </c>
      <c r="G310" s="263" t="s">
        <v>8561</v>
      </c>
      <c r="H310" s="263" t="s">
        <v>7938</v>
      </c>
      <c r="I310" s="265"/>
      <c r="J310" s="263"/>
      <c r="K310" s="263" t="s">
        <v>8562</v>
      </c>
      <c r="L310" s="263" t="s">
        <v>422</v>
      </c>
      <c r="M310" s="266">
        <v>193869</v>
      </c>
      <c r="N310" s="263" t="s">
        <v>8390</v>
      </c>
      <c r="O310" s="263" t="s">
        <v>258</v>
      </c>
      <c r="P310" s="232">
        <v>12</v>
      </c>
      <c r="Q310" s="256"/>
      <c r="R310" s="256"/>
      <c r="S310" s="256"/>
      <c r="T310" s="256"/>
      <c r="U310" s="256"/>
      <c r="V310" s="256"/>
      <c r="W310" s="256"/>
      <c r="X310" s="256"/>
      <c r="Y310" s="257"/>
      <c r="Z310" s="257"/>
    </row>
    <row r="311" spans="1:26" ht="15.75" customHeight="1" x14ac:dyDescent="0.35">
      <c r="A311" s="258">
        <v>303</v>
      </c>
      <c r="B311" s="263" t="s">
        <v>8002</v>
      </c>
      <c r="C311" s="263" t="s">
        <v>8003</v>
      </c>
      <c r="D311" s="263" t="s">
        <v>51</v>
      </c>
      <c r="E311" s="263">
        <v>18102</v>
      </c>
      <c r="F311" s="263">
        <v>2008</v>
      </c>
      <c r="G311" s="263" t="s">
        <v>8563</v>
      </c>
      <c r="H311" s="263" t="s">
        <v>7938</v>
      </c>
      <c r="I311" s="265">
        <v>39476</v>
      </c>
      <c r="J311" s="263" t="s">
        <v>8564</v>
      </c>
      <c r="K311" s="263" t="s">
        <v>8565</v>
      </c>
      <c r="L311" s="263" t="s">
        <v>422</v>
      </c>
      <c r="M311" s="266">
        <v>543060</v>
      </c>
      <c r="N311" s="263" t="s">
        <v>8566</v>
      </c>
      <c r="O311" s="263" t="s">
        <v>8567</v>
      </c>
      <c r="P311" s="232">
        <v>13</v>
      </c>
      <c r="Q311" s="256"/>
      <c r="R311" s="256"/>
      <c r="S311" s="256"/>
      <c r="T311" s="256"/>
      <c r="U311" s="256"/>
      <c r="V311" s="256"/>
      <c r="W311" s="256"/>
      <c r="X311" s="256"/>
      <c r="Y311" s="257"/>
      <c r="Z311" s="257"/>
    </row>
    <row r="312" spans="1:26" ht="15.75" customHeight="1" x14ac:dyDescent="0.35">
      <c r="A312" s="264">
        <v>304</v>
      </c>
      <c r="B312" s="263" t="s">
        <v>8462</v>
      </c>
      <c r="C312" s="263" t="s">
        <v>8463</v>
      </c>
      <c r="D312" s="263" t="s">
        <v>51</v>
      </c>
      <c r="E312" s="263">
        <v>9860</v>
      </c>
      <c r="F312" s="263">
        <v>2008</v>
      </c>
      <c r="G312" s="263" t="s">
        <v>8568</v>
      </c>
      <c r="H312" s="263" t="s">
        <v>7938</v>
      </c>
      <c r="I312" s="265">
        <v>38735</v>
      </c>
      <c r="J312" s="263" t="s">
        <v>63</v>
      </c>
      <c r="K312" s="263" t="s">
        <v>8569</v>
      </c>
      <c r="L312" s="263" t="s">
        <v>57</v>
      </c>
      <c r="M312" s="266">
        <v>83810</v>
      </c>
      <c r="N312" s="263" t="s">
        <v>8570</v>
      </c>
      <c r="O312" s="263" t="s">
        <v>8567</v>
      </c>
      <c r="P312" s="232">
        <v>13</v>
      </c>
      <c r="Q312" s="256"/>
      <c r="R312" s="256"/>
      <c r="S312" s="256"/>
      <c r="T312" s="256"/>
      <c r="U312" s="256"/>
      <c r="V312" s="256"/>
      <c r="W312" s="256"/>
      <c r="X312" s="256"/>
      <c r="Y312" s="257"/>
      <c r="Z312" s="257"/>
    </row>
    <row r="313" spans="1:26" ht="15.75" customHeight="1" x14ac:dyDescent="0.35">
      <c r="A313" s="258">
        <v>305</v>
      </c>
      <c r="B313" s="263" t="s">
        <v>8571</v>
      </c>
      <c r="C313" s="263" t="s">
        <v>8572</v>
      </c>
      <c r="D313" s="263" t="s">
        <v>51</v>
      </c>
      <c r="E313" s="263">
        <v>1112</v>
      </c>
      <c r="F313" s="263">
        <v>2008</v>
      </c>
      <c r="G313" s="263" t="s">
        <v>8573</v>
      </c>
      <c r="H313" s="263" t="s">
        <v>7938</v>
      </c>
      <c r="I313" s="265">
        <v>39557</v>
      </c>
      <c r="J313" s="263" t="s">
        <v>8574</v>
      </c>
      <c r="K313" s="263" t="s">
        <v>8575</v>
      </c>
      <c r="L313" s="263" t="s">
        <v>422</v>
      </c>
      <c r="M313" s="266">
        <v>67999</v>
      </c>
      <c r="N313" s="263" t="s">
        <v>8576</v>
      </c>
      <c r="O313" s="263" t="s">
        <v>8567</v>
      </c>
      <c r="P313" s="232">
        <v>13</v>
      </c>
      <c r="Q313" s="256"/>
      <c r="R313" s="256"/>
      <c r="S313" s="256"/>
      <c r="T313" s="256"/>
      <c r="U313" s="256"/>
      <c r="V313" s="256"/>
      <c r="W313" s="256"/>
      <c r="X313" s="256"/>
      <c r="Y313" s="257"/>
      <c r="Z313" s="257"/>
    </row>
    <row r="314" spans="1:26" ht="15.75" customHeight="1" x14ac:dyDescent="0.35">
      <c r="A314" s="258">
        <v>306</v>
      </c>
      <c r="B314" s="263" t="s">
        <v>8577</v>
      </c>
      <c r="C314" s="263" t="s">
        <v>8578</v>
      </c>
      <c r="D314" s="263" t="s">
        <v>51</v>
      </c>
      <c r="E314" s="263">
        <v>29330</v>
      </c>
      <c r="F314" s="263">
        <v>2009</v>
      </c>
      <c r="G314" s="263" t="s">
        <v>8579</v>
      </c>
      <c r="H314" s="263" t="s">
        <v>7938</v>
      </c>
      <c r="I314" s="265">
        <v>40105</v>
      </c>
      <c r="J314" s="263" t="s">
        <v>8580</v>
      </c>
      <c r="K314" s="263" t="s">
        <v>8581</v>
      </c>
      <c r="L314" s="263" t="s">
        <v>422</v>
      </c>
      <c r="M314" s="266">
        <v>293300</v>
      </c>
      <c r="N314" s="263" t="s">
        <v>8582</v>
      </c>
      <c r="O314" s="263" t="s">
        <v>8567</v>
      </c>
      <c r="P314" s="232">
        <v>13</v>
      </c>
      <c r="Q314" s="256"/>
      <c r="R314" s="256"/>
      <c r="S314" s="256"/>
      <c r="T314" s="256"/>
      <c r="U314" s="256"/>
      <c r="V314" s="256"/>
      <c r="W314" s="256"/>
      <c r="X314" s="256"/>
      <c r="Y314" s="257"/>
      <c r="Z314" s="257"/>
    </row>
    <row r="315" spans="1:26" ht="15.75" customHeight="1" x14ac:dyDescent="0.35">
      <c r="A315" s="264">
        <v>307</v>
      </c>
      <c r="B315" s="263" t="s">
        <v>8583</v>
      </c>
      <c r="C315" s="263" t="s">
        <v>8584</v>
      </c>
      <c r="D315" s="263" t="s">
        <v>51</v>
      </c>
      <c r="E315" s="263">
        <v>10000</v>
      </c>
      <c r="F315" s="263">
        <v>2009</v>
      </c>
      <c r="G315" s="263" t="s">
        <v>8585</v>
      </c>
      <c r="H315" s="263" t="s">
        <v>7938</v>
      </c>
      <c r="I315" s="265">
        <v>44648</v>
      </c>
      <c r="J315" s="263" t="s">
        <v>63</v>
      </c>
      <c r="K315" s="263" t="s">
        <v>8586</v>
      </c>
      <c r="L315" s="263" t="s">
        <v>57</v>
      </c>
      <c r="M315" s="266">
        <v>18850</v>
      </c>
      <c r="N315" s="263" t="s">
        <v>8587</v>
      </c>
      <c r="O315" s="263" t="s">
        <v>8567</v>
      </c>
      <c r="P315" s="232">
        <v>13</v>
      </c>
      <c r="Q315" s="256"/>
      <c r="R315" s="256"/>
      <c r="S315" s="256"/>
      <c r="T315" s="256"/>
      <c r="U315" s="256"/>
      <c r="V315" s="256"/>
      <c r="W315" s="256"/>
      <c r="X315" s="256"/>
      <c r="Y315" s="257"/>
      <c r="Z315" s="257"/>
    </row>
    <row r="316" spans="1:26" ht="15.75" customHeight="1" x14ac:dyDescent="0.35">
      <c r="A316" s="258">
        <v>308</v>
      </c>
      <c r="B316" s="263" t="s">
        <v>8002</v>
      </c>
      <c r="C316" s="263" t="s">
        <v>8003</v>
      </c>
      <c r="D316" s="263" t="s">
        <v>51</v>
      </c>
      <c r="E316" s="263">
        <v>150</v>
      </c>
      <c r="F316" s="263">
        <v>2007</v>
      </c>
      <c r="G316" s="263" t="s">
        <v>8588</v>
      </c>
      <c r="H316" s="263" t="s">
        <v>7938</v>
      </c>
      <c r="I316" s="265">
        <v>39156</v>
      </c>
      <c r="J316" s="263" t="s">
        <v>8589</v>
      </c>
      <c r="K316" s="263" t="s">
        <v>8590</v>
      </c>
      <c r="L316" s="263" t="s">
        <v>422</v>
      </c>
      <c r="M316" s="266">
        <v>4050</v>
      </c>
      <c r="N316" s="263" t="s">
        <v>8591</v>
      </c>
      <c r="O316" s="263" t="s">
        <v>309</v>
      </c>
      <c r="P316" s="232">
        <v>14</v>
      </c>
      <c r="Q316" s="256"/>
      <c r="R316" s="256"/>
      <c r="S316" s="256"/>
      <c r="T316" s="256"/>
      <c r="U316" s="256"/>
      <c r="V316" s="256"/>
      <c r="W316" s="256"/>
      <c r="X316" s="256"/>
      <c r="Y316" s="257"/>
      <c r="Z316" s="257"/>
    </row>
    <row r="317" spans="1:26" ht="15.75" customHeight="1" x14ac:dyDescent="0.35">
      <c r="A317" s="258">
        <v>309</v>
      </c>
      <c r="B317" s="263" t="s">
        <v>8002</v>
      </c>
      <c r="C317" s="263" t="s">
        <v>8003</v>
      </c>
      <c r="D317" s="263" t="s">
        <v>59</v>
      </c>
      <c r="E317" s="263">
        <v>1250</v>
      </c>
      <c r="F317" s="263">
        <v>2008</v>
      </c>
      <c r="G317" s="263" t="s">
        <v>8592</v>
      </c>
      <c r="H317" s="263" t="s">
        <v>7938</v>
      </c>
      <c r="I317" s="265">
        <v>39505</v>
      </c>
      <c r="J317" s="263" t="s">
        <v>8593</v>
      </c>
      <c r="K317" s="263" t="s">
        <v>8594</v>
      </c>
      <c r="L317" s="263" t="s">
        <v>422</v>
      </c>
      <c r="M317" s="266">
        <v>4375</v>
      </c>
      <c r="N317" s="263" t="s">
        <v>8591</v>
      </c>
      <c r="O317" s="263" t="s">
        <v>309</v>
      </c>
      <c r="P317" s="232">
        <v>14</v>
      </c>
      <c r="Q317" s="256"/>
      <c r="R317" s="256"/>
      <c r="S317" s="256"/>
      <c r="T317" s="256"/>
      <c r="U317" s="256"/>
      <c r="V317" s="256"/>
      <c r="W317" s="256"/>
      <c r="X317" s="256"/>
      <c r="Y317" s="257"/>
      <c r="Z317" s="257"/>
    </row>
    <row r="318" spans="1:26" ht="15.75" customHeight="1" x14ac:dyDescent="0.35">
      <c r="A318" s="264">
        <v>310</v>
      </c>
      <c r="B318" s="263" t="s">
        <v>8002</v>
      </c>
      <c r="C318" s="263" t="s">
        <v>8003</v>
      </c>
      <c r="D318" s="263" t="s">
        <v>97</v>
      </c>
      <c r="E318" s="263">
        <v>208</v>
      </c>
      <c r="F318" s="263">
        <v>2013</v>
      </c>
      <c r="G318" s="263" t="s">
        <v>8595</v>
      </c>
      <c r="H318" s="263" t="s">
        <v>7938</v>
      </c>
      <c r="I318" s="265">
        <v>41358</v>
      </c>
      <c r="J318" s="263" t="s">
        <v>8596</v>
      </c>
      <c r="K318" s="263" t="s">
        <v>8597</v>
      </c>
      <c r="L318" s="263" t="s">
        <v>422</v>
      </c>
      <c r="M318" s="266">
        <v>728</v>
      </c>
      <c r="N318" s="263" t="s">
        <v>8591</v>
      </c>
      <c r="O318" s="263" t="s">
        <v>309</v>
      </c>
      <c r="P318" s="232">
        <v>14</v>
      </c>
      <c r="Q318" s="256"/>
      <c r="R318" s="256"/>
      <c r="S318" s="256"/>
      <c r="T318" s="256"/>
      <c r="U318" s="256"/>
      <c r="V318" s="256"/>
      <c r="W318" s="256"/>
      <c r="X318" s="256"/>
      <c r="Y318" s="257"/>
      <c r="Z318" s="257"/>
    </row>
    <row r="319" spans="1:26" ht="15.75" customHeight="1" x14ac:dyDescent="0.35">
      <c r="A319" s="258">
        <v>311</v>
      </c>
      <c r="B319" s="263" t="s">
        <v>8598</v>
      </c>
      <c r="C319" s="263" t="s">
        <v>8599</v>
      </c>
      <c r="D319" s="263" t="s">
        <v>59</v>
      </c>
      <c r="E319" s="263">
        <v>923</v>
      </c>
      <c r="F319" s="263">
        <v>1992</v>
      </c>
      <c r="G319" s="263" t="s">
        <v>8600</v>
      </c>
      <c r="H319" s="263" t="s">
        <v>7938</v>
      </c>
      <c r="I319" s="265">
        <v>33693</v>
      </c>
      <c r="J319" s="263" t="s">
        <v>8601</v>
      </c>
      <c r="K319" s="263" t="s">
        <v>8602</v>
      </c>
      <c r="L319" s="263" t="s">
        <v>422</v>
      </c>
      <c r="M319" s="266">
        <v>47179</v>
      </c>
      <c r="N319" s="263" t="s">
        <v>8603</v>
      </c>
      <c r="O319" s="263" t="s">
        <v>333</v>
      </c>
      <c r="P319" s="232">
        <v>15</v>
      </c>
      <c r="Q319" s="256"/>
      <c r="R319" s="256"/>
      <c r="S319" s="256"/>
      <c r="T319" s="256"/>
      <c r="U319" s="256"/>
      <c r="V319" s="256"/>
      <c r="W319" s="256"/>
      <c r="X319" s="256"/>
      <c r="Y319" s="257"/>
      <c r="Z319" s="257"/>
    </row>
    <row r="320" spans="1:26" ht="15.75" customHeight="1" x14ac:dyDescent="0.35">
      <c r="A320" s="258">
        <v>312</v>
      </c>
      <c r="B320" s="263" t="s">
        <v>8604</v>
      </c>
      <c r="C320" s="263" t="s">
        <v>8605</v>
      </c>
      <c r="D320" s="263" t="s">
        <v>51</v>
      </c>
      <c r="E320" s="263">
        <v>400</v>
      </c>
      <c r="F320" s="263">
        <v>2013</v>
      </c>
      <c r="G320" s="263" t="s">
        <v>8606</v>
      </c>
      <c r="H320" s="263" t="s">
        <v>7938</v>
      </c>
      <c r="I320" s="265">
        <v>44995</v>
      </c>
      <c r="J320" s="263" t="s">
        <v>8607</v>
      </c>
      <c r="K320" s="263" t="s">
        <v>8608</v>
      </c>
      <c r="L320" s="263" t="s">
        <v>422</v>
      </c>
      <c r="M320" s="266">
        <v>10800</v>
      </c>
      <c r="N320" s="263" t="s">
        <v>8609</v>
      </c>
      <c r="O320" s="263" t="s">
        <v>333</v>
      </c>
      <c r="P320" s="232">
        <v>15</v>
      </c>
      <c r="Q320" s="256"/>
      <c r="R320" s="256"/>
      <c r="S320" s="256"/>
      <c r="T320" s="256"/>
      <c r="U320" s="256"/>
      <c r="V320" s="256"/>
      <c r="W320" s="256"/>
      <c r="X320" s="256"/>
      <c r="Y320" s="257"/>
      <c r="Z320" s="257"/>
    </row>
    <row r="321" spans="1:26" ht="15.75" customHeight="1" x14ac:dyDescent="0.35">
      <c r="A321" s="264">
        <v>313</v>
      </c>
      <c r="B321" s="263" t="s">
        <v>8610</v>
      </c>
      <c r="C321" s="263" t="s">
        <v>8611</v>
      </c>
      <c r="D321" s="263" t="s">
        <v>51</v>
      </c>
      <c r="E321" s="263">
        <v>18776</v>
      </c>
      <c r="F321" s="263">
        <v>2006</v>
      </c>
      <c r="G321" s="263" t="s">
        <v>8612</v>
      </c>
      <c r="H321" s="263" t="s">
        <v>7938</v>
      </c>
      <c r="I321" s="265">
        <v>39476</v>
      </c>
      <c r="J321" s="263" t="s">
        <v>8613</v>
      </c>
      <c r="K321" s="263" t="s">
        <v>8614</v>
      </c>
      <c r="L321" s="263" t="s">
        <v>57</v>
      </c>
      <c r="M321" s="266">
        <v>722876</v>
      </c>
      <c r="N321" s="263" t="s">
        <v>8615</v>
      </c>
      <c r="O321" s="263" t="s">
        <v>354</v>
      </c>
      <c r="P321" s="232">
        <v>16</v>
      </c>
      <c r="Q321" s="256"/>
      <c r="R321" s="256"/>
      <c r="S321" s="256"/>
      <c r="T321" s="256"/>
      <c r="U321" s="256"/>
      <c r="V321" s="256"/>
      <c r="W321" s="256"/>
      <c r="X321" s="256"/>
      <c r="Y321" s="257"/>
      <c r="Z321" s="257"/>
    </row>
    <row r="322" spans="1:26" ht="15.75" customHeight="1" x14ac:dyDescent="0.35">
      <c r="A322" s="258">
        <v>314</v>
      </c>
      <c r="B322" s="263" t="s">
        <v>8610</v>
      </c>
      <c r="C322" s="263" t="s">
        <v>8611</v>
      </c>
      <c r="D322" s="263" t="s">
        <v>59</v>
      </c>
      <c r="E322" s="263">
        <v>31140</v>
      </c>
      <c r="F322" s="263">
        <v>2007</v>
      </c>
      <c r="G322" s="263" t="s">
        <v>8616</v>
      </c>
      <c r="H322" s="263" t="s">
        <v>7938</v>
      </c>
      <c r="I322" s="265">
        <v>39476</v>
      </c>
      <c r="J322" s="263" t="s">
        <v>8617</v>
      </c>
      <c r="K322" s="263" t="s">
        <v>8618</v>
      </c>
      <c r="L322" s="263" t="s">
        <v>57</v>
      </c>
      <c r="M322" s="266">
        <v>1650270.35</v>
      </c>
      <c r="N322" s="263" t="s">
        <v>8619</v>
      </c>
      <c r="O322" s="263" t="s">
        <v>354</v>
      </c>
      <c r="P322" s="232">
        <v>16</v>
      </c>
      <c r="Q322" s="256"/>
      <c r="R322" s="256"/>
      <c r="S322" s="256"/>
      <c r="T322" s="256"/>
      <c r="U322" s="256"/>
      <c r="V322" s="256"/>
      <c r="W322" s="256"/>
      <c r="X322" s="256"/>
      <c r="Y322" s="257"/>
      <c r="Z322" s="257"/>
    </row>
    <row r="323" spans="1:26" ht="15.75" customHeight="1" x14ac:dyDescent="0.35">
      <c r="A323" s="258">
        <v>315</v>
      </c>
      <c r="B323" s="263" t="s">
        <v>8610</v>
      </c>
      <c r="C323" s="263" t="s">
        <v>8611</v>
      </c>
      <c r="D323" s="263" t="s">
        <v>97</v>
      </c>
      <c r="E323" s="263">
        <v>3976</v>
      </c>
      <c r="F323" s="263">
        <v>2024</v>
      </c>
      <c r="G323" s="263" t="s">
        <v>7966</v>
      </c>
      <c r="H323" s="263" t="s">
        <v>7938</v>
      </c>
      <c r="I323" s="265">
        <v>39476</v>
      </c>
      <c r="J323" s="263" t="s">
        <v>8620</v>
      </c>
      <c r="K323" s="263" t="s">
        <v>8621</v>
      </c>
      <c r="L323" s="263" t="s">
        <v>422</v>
      </c>
      <c r="M323" s="266">
        <v>190848</v>
      </c>
      <c r="N323" s="263" t="s">
        <v>7969</v>
      </c>
      <c r="O323" s="263" t="s">
        <v>354</v>
      </c>
      <c r="P323" s="232">
        <v>16</v>
      </c>
      <c r="Q323" s="256"/>
      <c r="R323" s="256"/>
      <c r="S323" s="256"/>
      <c r="T323" s="256"/>
      <c r="U323" s="256"/>
      <c r="V323" s="256"/>
      <c r="W323" s="256"/>
      <c r="X323" s="256"/>
      <c r="Y323" s="257"/>
      <c r="Z323" s="257"/>
    </row>
    <row r="324" spans="1:26" ht="15.75" customHeight="1" x14ac:dyDescent="0.35">
      <c r="A324" s="264">
        <v>316</v>
      </c>
      <c r="B324" s="263" t="s">
        <v>8622</v>
      </c>
      <c r="C324" s="263" t="s">
        <v>8623</v>
      </c>
      <c r="D324" s="263" t="s">
        <v>51</v>
      </c>
      <c r="E324" s="263">
        <v>18</v>
      </c>
      <c r="F324" s="263">
        <v>2009</v>
      </c>
      <c r="G324" s="263" t="s">
        <v>8624</v>
      </c>
      <c r="H324" s="263" t="s">
        <v>7938</v>
      </c>
      <c r="I324" s="265">
        <v>44701</v>
      </c>
      <c r="J324" s="263" t="s">
        <v>63</v>
      </c>
      <c r="K324" s="263" t="s">
        <v>8625</v>
      </c>
      <c r="L324" s="263" t="s">
        <v>422</v>
      </c>
      <c r="M324" s="266">
        <v>4.8600000000000003</v>
      </c>
      <c r="N324" s="263" t="s">
        <v>8626</v>
      </c>
      <c r="O324" s="263" t="s">
        <v>354</v>
      </c>
      <c r="P324" s="232">
        <v>16</v>
      </c>
      <c r="Q324" s="256"/>
      <c r="R324" s="256"/>
      <c r="S324" s="256"/>
      <c r="T324" s="256"/>
      <c r="U324" s="256"/>
      <c r="V324" s="256"/>
      <c r="W324" s="256"/>
      <c r="X324" s="256"/>
      <c r="Y324" s="257"/>
      <c r="Z324" s="257"/>
    </row>
    <row r="325" spans="1:26" ht="15.75" customHeight="1" x14ac:dyDescent="0.35">
      <c r="A325" s="258">
        <v>317</v>
      </c>
      <c r="B325" s="263" t="s">
        <v>8622</v>
      </c>
      <c r="C325" s="263" t="s">
        <v>8623</v>
      </c>
      <c r="D325" s="263" t="s">
        <v>59</v>
      </c>
      <c r="E325" s="263">
        <v>266</v>
      </c>
      <c r="F325" s="263">
        <v>2010</v>
      </c>
      <c r="G325" s="263" t="s">
        <v>8627</v>
      </c>
      <c r="H325" s="263" t="s">
        <v>7938</v>
      </c>
      <c r="I325" s="265">
        <v>44701</v>
      </c>
      <c r="J325" s="263" t="s">
        <v>63</v>
      </c>
      <c r="K325" s="263" t="s">
        <v>8628</v>
      </c>
      <c r="L325" s="263" t="s">
        <v>422</v>
      </c>
      <c r="M325" s="266">
        <v>53.2</v>
      </c>
      <c r="N325" s="263" t="s">
        <v>8629</v>
      </c>
      <c r="O325" s="263" t="s">
        <v>354</v>
      </c>
      <c r="P325" s="232">
        <v>16</v>
      </c>
      <c r="Q325" s="256"/>
      <c r="R325" s="256"/>
      <c r="S325" s="256"/>
      <c r="T325" s="256"/>
      <c r="U325" s="256"/>
      <c r="V325" s="256"/>
      <c r="W325" s="256"/>
      <c r="X325" s="256"/>
      <c r="Y325" s="257"/>
      <c r="Z325" s="257"/>
    </row>
    <row r="326" spans="1:26" ht="15.75" customHeight="1" x14ac:dyDescent="0.35">
      <c r="A326" s="258">
        <v>318</v>
      </c>
      <c r="B326" s="263" t="s">
        <v>8622</v>
      </c>
      <c r="C326" s="263" t="s">
        <v>8623</v>
      </c>
      <c r="D326" s="263" t="s">
        <v>97</v>
      </c>
      <c r="E326" s="263">
        <v>210</v>
      </c>
      <c r="F326" s="263">
        <v>2011</v>
      </c>
      <c r="G326" s="263" t="s">
        <v>8630</v>
      </c>
      <c r="H326" s="263" t="s">
        <v>7938</v>
      </c>
      <c r="I326" s="265"/>
      <c r="J326" s="263"/>
      <c r="K326" s="263" t="s">
        <v>8631</v>
      </c>
      <c r="L326" s="263" t="s">
        <v>422</v>
      </c>
      <c r="M326" s="266">
        <v>29.4</v>
      </c>
      <c r="N326" s="263" t="s">
        <v>8632</v>
      </c>
      <c r="O326" s="263" t="s">
        <v>354</v>
      </c>
      <c r="P326" s="232">
        <v>16</v>
      </c>
      <c r="Q326" s="256"/>
      <c r="R326" s="256"/>
      <c r="S326" s="256"/>
      <c r="T326" s="256"/>
      <c r="U326" s="256"/>
      <c r="V326" s="256"/>
      <c r="W326" s="256"/>
      <c r="X326" s="256"/>
      <c r="Y326" s="257"/>
      <c r="Z326" s="257"/>
    </row>
    <row r="327" spans="1:26" ht="15.75" customHeight="1" x14ac:dyDescent="0.35">
      <c r="A327" s="264">
        <v>319</v>
      </c>
      <c r="B327" s="263" t="s">
        <v>8622</v>
      </c>
      <c r="C327" s="263" t="s">
        <v>8623</v>
      </c>
      <c r="D327" s="263" t="s">
        <v>101</v>
      </c>
      <c r="E327" s="263">
        <v>900</v>
      </c>
      <c r="F327" s="263">
        <v>2011</v>
      </c>
      <c r="G327" s="263" t="s">
        <v>8633</v>
      </c>
      <c r="H327" s="263" t="s">
        <v>7938</v>
      </c>
      <c r="I327" s="265">
        <v>44701</v>
      </c>
      <c r="J327" s="263" t="s">
        <v>63</v>
      </c>
      <c r="K327" s="263" t="s">
        <v>8634</v>
      </c>
      <c r="L327" s="263" t="s">
        <v>422</v>
      </c>
      <c r="M327" s="266">
        <v>126</v>
      </c>
      <c r="N327" s="263" t="s">
        <v>8635</v>
      </c>
      <c r="O327" s="263" t="s">
        <v>354</v>
      </c>
      <c r="P327" s="232">
        <v>16</v>
      </c>
      <c r="Q327" s="256"/>
      <c r="R327" s="256"/>
      <c r="S327" s="256"/>
      <c r="T327" s="256"/>
      <c r="U327" s="256"/>
      <c r="V327" s="256"/>
      <c r="W327" s="256"/>
      <c r="X327" s="256"/>
      <c r="Y327" s="257"/>
      <c r="Z327" s="257"/>
    </row>
    <row r="328" spans="1:26" ht="15.75" customHeight="1" x14ac:dyDescent="0.35">
      <c r="A328" s="258">
        <v>320</v>
      </c>
      <c r="B328" s="263" t="s">
        <v>8622</v>
      </c>
      <c r="C328" s="263" t="s">
        <v>8623</v>
      </c>
      <c r="D328" s="263" t="s">
        <v>107</v>
      </c>
      <c r="E328" s="263">
        <v>16</v>
      </c>
      <c r="F328" s="263">
        <v>2012</v>
      </c>
      <c r="G328" s="263" t="s">
        <v>8636</v>
      </c>
      <c r="H328" s="263" t="s">
        <v>7938</v>
      </c>
      <c r="I328" s="265">
        <v>44701</v>
      </c>
      <c r="J328" s="263" t="s">
        <v>63</v>
      </c>
      <c r="K328" s="263" t="s">
        <v>8625</v>
      </c>
      <c r="L328" s="263" t="s">
        <v>422</v>
      </c>
      <c r="M328" s="266">
        <v>3.2</v>
      </c>
      <c r="N328" s="263" t="s">
        <v>8637</v>
      </c>
      <c r="O328" s="263" t="s">
        <v>354</v>
      </c>
      <c r="P328" s="232">
        <v>16</v>
      </c>
      <c r="Q328" s="256"/>
      <c r="R328" s="256"/>
      <c r="S328" s="256"/>
      <c r="T328" s="256"/>
      <c r="U328" s="256"/>
      <c r="V328" s="256"/>
      <c r="W328" s="256"/>
      <c r="X328" s="256"/>
      <c r="Y328" s="257"/>
      <c r="Z328" s="257"/>
    </row>
    <row r="329" spans="1:26" ht="15.75" customHeight="1" x14ac:dyDescent="0.35">
      <c r="A329" s="258">
        <v>321</v>
      </c>
      <c r="B329" s="263" t="s">
        <v>8622</v>
      </c>
      <c r="C329" s="263" t="s">
        <v>8623</v>
      </c>
      <c r="D329" s="263" t="s">
        <v>112</v>
      </c>
      <c r="E329" s="263">
        <v>30</v>
      </c>
      <c r="F329" s="263">
        <v>2012</v>
      </c>
      <c r="G329" s="263" t="s">
        <v>8638</v>
      </c>
      <c r="H329" s="263" t="s">
        <v>7938</v>
      </c>
      <c r="I329" s="265">
        <v>44701</v>
      </c>
      <c r="J329" s="263" t="s">
        <v>63</v>
      </c>
      <c r="K329" s="263" t="s">
        <v>8639</v>
      </c>
      <c r="L329" s="263" t="s">
        <v>422</v>
      </c>
      <c r="M329" s="266">
        <v>4.2</v>
      </c>
      <c r="N329" s="263" t="s">
        <v>8640</v>
      </c>
      <c r="O329" s="263" t="s">
        <v>354</v>
      </c>
      <c r="P329" s="232">
        <v>16</v>
      </c>
      <c r="Q329" s="256"/>
      <c r="R329" s="256"/>
      <c r="S329" s="256"/>
      <c r="T329" s="256"/>
      <c r="U329" s="256"/>
      <c r="V329" s="256"/>
      <c r="W329" s="256"/>
      <c r="X329" s="256"/>
      <c r="Y329" s="257"/>
      <c r="Z329" s="257"/>
    </row>
    <row r="330" spans="1:26" ht="15.75" customHeight="1" x14ac:dyDescent="0.35">
      <c r="A330" s="264">
        <v>322</v>
      </c>
      <c r="B330" s="263" t="s">
        <v>8622</v>
      </c>
      <c r="C330" s="263" t="s">
        <v>8623</v>
      </c>
      <c r="D330" s="263" t="s">
        <v>116</v>
      </c>
      <c r="E330" s="263">
        <v>300</v>
      </c>
      <c r="F330" s="263">
        <v>2012</v>
      </c>
      <c r="G330" s="263" t="s">
        <v>8641</v>
      </c>
      <c r="H330" s="263" t="s">
        <v>7938</v>
      </c>
      <c r="I330" s="265">
        <v>44701</v>
      </c>
      <c r="J330" s="263" t="s">
        <v>63</v>
      </c>
      <c r="K330" s="263" t="s">
        <v>8642</v>
      </c>
      <c r="L330" s="263" t="s">
        <v>422</v>
      </c>
      <c r="M330" s="266">
        <v>42</v>
      </c>
      <c r="N330" s="263" t="s">
        <v>8643</v>
      </c>
      <c r="O330" s="263" t="s">
        <v>354</v>
      </c>
      <c r="P330" s="232">
        <v>16</v>
      </c>
      <c r="Q330" s="256"/>
      <c r="R330" s="256"/>
      <c r="S330" s="256"/>
      <c r="T330" s="256"/>
      <c r="U330" s="256"/>
      <c r="V330" s="256"/>
      <c r="W330" s="256"/>
      <c r="X330" s="256"/>
      <c r="Y330" s="257"/>
      <c r="Z330" s="257"/>
    </row>
    <row r="331" spans="1:26" ht="15.75" customHeight="1" x14ac:dyDescent="0.35">
      <c r="A331" s="258">
        <v>323</v>
      </c>
      <c r="B331" s="263" t="s">
        <v>8622</v>
      </c>
      <c r="C331" s="263" t="s">
        <v>8623</v>
      </c>
      <c r="D331" s="263" t="s">
        <v>841</v>
      </c>
      <c r="E331" s="263">
        <v>240</v>
      </c>
      <c r="F331" s="263">
        <v>2012</v>
      </c>
      <c r="G331" s="263" t="s">
        <v>8644</v>
      </c>
      <c r="H331" s="263" t="s">
        <v>7938</v>
      </c>
      <c r="I331" s="265">
        <v>44701</v>
      </c>
      <c r="J331" s="263" t="s">
        <v>63</v>
      </c>
      <c r="K331" s="263" t="s">
        <v>8645</v>
      </c>
      <c r="L331" s="263" t="s">
        <v>422</v>
      </c>
      <c r="M331" s="266">
        <v>48</v>
      </c>
      <c r="N331" s="263" t="s">
        <v>8646</v>
      </c>
      <c r="O331" s="263" t="s">
        <v>354</v>
      </c>
      <c r="P331" s="232">
        <v>16</v>
      </c>
      <c r="Q331" s="256"/>
      <c r="R331" s="256"/>
      <c r="S331" s="256"/>
      <c r="T331" s="256"/>
      <c r="U331" s="256"/>
      <c r="V331" s="256"/>
      <c r="W331" s="256"/>
      <c r="X331" s="256"/>
      <c r="Y331" s="257"/>
      <c r="Z331" s="257"/>
    </row>
    <row r="332" spans="1:26" ht="15.75" customHeight="1" x14ac:dyDescent="0.35">
      <c r="A332" s="258">
        <v>324</v>
      </c>
      <c r="B332" s="263" t="s">
        <v>8622</v>
      </c>
      <c r="C332" s="263" t="s">
        <v>8623</v>
      </c>
      <c r="D332" s="263" t="s">
        <v>904</v>
      </c>
      <c r="E332" s="263">
        <v>120</v>
      </c>
      <c r="F332" s="263">
        <v>2012</v>
      </c>
      <c r="G332" s="263" t="s">
        <v>8647</v>
      </c>
      <c r="H332" s="263" t="s">
        <v>7938</v>
      </c>
      <c r="I332" s="265">
        <v>44701</v>
      </c>
      <c r="J332" s="263" t="s">
        <v>63</v>
      </c>
      <c r="K332" s="263" t="s">
        <v>8648</v>
      </c>
      <c r="L332" s="263" t="s">
        <v>422</v>
      </c>
      <c r="M332" s="266">
        <v>294</v>
      </c>
      <c r="N332" s="263" t="s">
        <v>8649</v>
      </c>
      <c r="O332" s="263" t="s">
        <v>354</v>
      </c>
      <c r="P332" s="232">
        <v>16</v>
      </c>
      <c r="Q332" s="256"/>
      <c r="R332" s="256"/>
      <c r="S332" s="256"/>
      <c r="T332" s="256"/>
      <c r="U332" s="256"/>
      <c r="V332" s="256"/>
      <c r="W332" s="256"/>
      <c r="X332" s="256"/>
      <c r="Y332" s="257"/>
      <c r="Z332" s="257"/>
    </row>
    <row r="333" spans="1:26" ht="15.75" customHeight="1" x14ac:dyDescent="0.35">
      <c r="A333" s="264">
        <v>325</v>
      </c>
      <c r="B333" s="263" t="s">
        <v>8622</v>
      </c>
      <c r="C333" s="263" t="s">
        <v>8623</v>
      </c>
      <c r="D333" s="263" t="s">
        <v>122</v>
      </c>
      <c r="E333" s="263">
        <v>260</v>
      </c>
      <c r="F333" s="263">
        <v>2012</v>
      </c>
      <c r="G333" s="263" t="s">
        <v>8650</v>
      </c>
      <c r="H333" s="263" t="s">
        <v>7938</v>
      </c>
      <c r="I333" s="265">
        <v>44701</v>
      </c>
      <c r="J333" s="263" t="s">
        <v>63</v>
      </c>
      <c r="K333" s="263" t="s">
        <v>8651</v>
      </c>
      <c r="L333" s="263" t="s">
        <v>422</v>
      </c>
      <c r="M333" s="266">
        <v>637</v>
      </c>
      <c r="N333" s="263" t="s">
        <v>8652</v>
      </c>
      <c r="O333" s="263" t="s">
        <v>354</v>
      </c>
      <c r="P333" s="232">
        <v>16</v>
      </c>
      <c r="Q333" s="256"/>
      <c r="R333" s="256"/>
      <c r="S333" s="256"/>
      <c r="T333" s="256"/>
      <c r="U333" s="256"/>
      <c r="V333" s="256"/>
      <c r="W333" s="256"/>
      <c r="X333" s="256"/>
      <c r="Y333" s="257"/>
      <c r="Z333" s="257"/>
    </row>
    <row r="334" spans="1:26" ht="15.75" customHeight="1" x14ac:dyDescent="0.35">
      <c r="A334" s="258">
        <v>326</v>
      </c>
      <c r="B334" s="263" t="s">
        <v>8622</v>
      </c>
      <c r="C334" s="263" t="s">
        <v>8623</v>
      </c>
      <c r="D334" s="263" t="s">
        <v>126</v>
      </c>
      <c r="E334" s="263">
        <v>42</v>
      </c>
      <c r="F334" s="263">
        <v>2013</v>
      </c>
      <c r="G334" s="263" t="s">
        <v>8653</v>
      </c>
      <c r="H334" s="263" t="s">
        <v>7938</v>
      </c>
      <c r="I334" s="265">
        <v>44701</v>
      </c>
      <c r="J334" s="263" t="s">
        <v>63</v>
      </c>
      <c r="K334" s="263" t="s">
        <v>8625</v>
      </c>
      <c r="L334" s="263" t="s">
        <v>422</v>
      </c>
      <c r="M334" s="266">
        <v>8.4</v>
      </c>
      <c r="N334" s="263" t="s">
        <v>8654</v>
      </c>
      <c r="O334" s="263" t="s">
        <v>354</v>
      </c>
      <c r="P334" s="232">
        <v>16</v>
      </c>
      <c r="Q334" s="256"/>
      <c r="R334" s="256"/>
      <c r="S334" s="256"/>
      <c r="T334" s="256"/>
      <c r="U334" s="256"/>
      <c r="V334" s="256"/>
      <c r="W334" s="256"/>
      <c r="X334" s="256"/>
      <c r="Y334" s="257"/>
      <c r="Z334" s="257"/>
    </row>
    <row r="335" spans="1:26" ht="15.75" customHeight="1" x14ac:dyDescent="0.35">
      <c r="A335" s="258">
        <v>327</v>
      </c>
      <c r="B335" s="263" t="s">
        <v>8622</v>
      </c>
      <c r="C335" s="263" t="s">
        <v>8623</v>
      </c>
      <c r="D335" s="263" t="s">
        <v>132</v>
      </c>
      <c r="E335" s="263">
        <v>108</v>
      </c>
      <c r="F335" s="263">
        <v>2013</v>
      </c>
      <c r="G335" s="263" t="s">
        <v>8655</v>
      </c>
      <c r="H335" s="263" t="s">
        <v>7938</v>
      </c>
      <c r="I335" s="265">
        <v>44701</v>
      </c>
      <c r="J335" s="263" t="s">
        <v>63</v>
      </c>
      <c r="K335" s="263" t="s">
        <v>8656</v>
      </c>
      <c r="L335" s="263" t="s">
        <v>422</v>
      </c>
      <c r="M335" s="266">
        <v>15.12</v>
      </c>
      <c r="N335" s="263" t="s">
        <v>8657</v>
      </c>
      <c r="O335" s="263" t="s">
        <v>354</v>
      </c>
      <c r="P335" s="232">
        <v>16</v>
      </c>
      <c r="Q335" s="256"/>
      <c r="R335" s="256"/>
      <c r="S335" s="256"/>
      <c r="T335" s="256"/>
      <c r="U335" s="256"/>
      <c r="V335" s="256"/>
      <c r="W335" s="256"/>
      <c r="X335" s="256"/>
      <c r="Y335" s="257"/>
      <c r="Z335" s="257"/>
    </row>
    <row r="336" spans="1:26" ht="15.75" customHeight="1" x14ac:dyDescent="0.35">
      <c r="A336" s="264">
        <v>328</v>
      </c>
      <c r="B336" s="263" t="s">
        <v>8622</v>
      </c>
      <c r="C336" s="263" t="s">
        <v>8623</v>
      </c>
      <c r="D336" s="263" t="s">
        <v>137</v>
      </c>
      <c r="E336" s="263">
        <v>105</v>
      </c>
      <c r="F336" s="263">
        <v>2013</v>
      </c>
      <c r="G336" s="263" t="s">
        <v>8658</v>
      </c>
      <c r="H336" s="263" t="s">
        <v>7938</v>
      </c>
      <c r="I336" s="265">
        <v>44701</v>
      </c>
      <c r="J336" s="263" t="s">
        <v>63</v>
      </c>
      <c r="K336" s="263" t="s">
        <v>8659</v>
      </c>
      <c r="L336" s="263" t="s">
        <v>422</v>
      </c>
      <c r="M336" s="266">
        <v>21</v>
      </c>
      <c r="N336" s="263" t="s">
        <v>8660</v>
      </c>
      <c r="O336" s="263" t="s">
        <v>354</v>
      </c>
      <c r="P336" s="232">
        <v>16</v>
      </c>
      <c r="Q336" s="256"/>
      <c r="R336" s="256"/>
      <c r="S336" s="256"/>
      <c r="T336" s="256"/>
      <c r="U336" s="256"/>
      <c r="V336" s="256"/>
      <c r="W336" s="256"/>
      <c r="X336" s="256"/>
      <c r="Y336" s="257"/>
      <c r="Z336" s="257"/>
    </row>
    <row r="337" spans="1:26" ht="15.75" customHeight="1" x14ac:dyDescent="0.35">
      <c r="A337" s="258">
        <v>329</v>
      </c>
      <c r="B337" s="263" t="s">
        <v>8622</v>
      </c>
      <c r="C337" s="263" t="s">
        <v>8623</v>
      </c>
      <c r="D337" s="263" t="s">
        <v>146</v>
      </c>
      <c r="E337" s="263">
        <v>300</v>
      </c>
      <c r="F337" s="263">
        <v>2013</v>
      </c>
      <c r="G337" s="263" t="s">
        <v>8661</v>
      </c>
      <c r="H337" s="263" t="s">
        <v>7938</v>
      </c>
      <c r="I337" s="265">
        <v>44701</v>
      </c>
      <c r="J337" s="263" t="s">
        <v>63</v>
      </c>
      <c r="K337" s="263" t="s">
        <v>8662</v>
      </c>
      <c r="L337" s="263" t="s">
        <v>422</v>
      </c>
      <c r="M337" s="266">
        <v>60</v>
      </c>
      <c r="N337" s="263" t="s">
        <v>8663</v>
      </c>
      <c r="O337" s="263" t="s">
        <v>354</v>
      </c>
      <c r="P337" s="232">
        <v>16</v>
      </c>
      <c r="Q337" s="256"/>
      <c r="R337" s="256"/>
      <c r="S337" s="256"/>
      <c r="T337" s="256"/>
      <c r="U337" s="256"/>
      <c r="V337" s="256"/>
      <c r="W337" s="256"/>
      <c r="X337" s="256"/>
      <c r="Y337" s="257"/>
      <c r="Z337" s="257"/>
    </row>
    <row r="338" spans="1:26" ht="15.75" customHeight="1" x14ac:dyDescent="0.35">
      <c r="A338" s="258">
        <v>330</v>
      </c>
      <c r="B338" s="263" t="s">
        <v>8622</v>
      </c>
      <c r="C338" s="263" t="s">
        <v>8623</v>
      </c>
      <c r="D338" s="263" t="s">
        <v>154</v>
      </c>
      <c r="E338" s="263">
        <v>546</v>
      </c>
      <c r="F338" s="263">
        <v>2013</v>
      </c>
      <c r="G338" s="263" t="s">
        <v>8653</v>
      </c>
      <c r="H338" s="263" t="s">
        <v>7938</v>
      </c>
      <c r="I338" s="265">
        <v>44701</v>
      </c>
      <c r="J338" s="263" t="s">
        <v>63</v>
      </c>
      <c r="K338" s="263" t="s">
        <v>8625</v>
      </c>
      <c r="L338" s="263" t="s">
        <v>422</v>
      </c>
      <c r="M338" s="266">
        <v>109.2</v>
      </c>
      <c r="N338" s="263" t="s">
        <v>8664</v>
      </c>
      <c r="O338" s="263" t="s">
        <v>354</v>
      </c>
      <c r="P338" s="232">
        <v>16</v>
      </c>
      <c r="Q338" s="256"/>
      <c r="R338" s="256"/>
      <c r="S338" s="256"/>
      <c r="T338" s="256"/>
      <c r="U338" s="256"/>
      <c r="V338" s="256"/>
      <c r="W338" s="256"/>
      <c r="X338" s="256"/>
      <c r="Y338" s="257"/>
      <c r="Z338" s="257"/>
    </row>
    <row r="339" spans="1:26" ht="15.75" customHeight="1" x14ac:dyDescent="0.35">
      <c r="A339" s="264">
        <v>331</v>
      </c>
      <c r="B339" s="263" t="s">
        <v>8622</v>
      </c>
      <c r="C339" s="263" t="s">
        <v>8623</v>
      </c>
      <c r="D339" s="263" t="s">
        <v>161</v>
      </c>
      <c r="E339" s="263">
        <v>216</v>
      </c>
      <c r="F339" s="263">
        <v>2013</v>
      </c>
      <c r="G339" s="263" t="s">
        <v>8665</v>
      </c>
      <c r="H339" s="263" t="s">
        <v>7938</v>
      </c>
      <c r="I339" s="265">
        <v>44581</v>
      </c>
      <c r="J339" s="263" t="s">
        <v>8666</v>
      </c>
      <c r="K339" s="263" t="s">
        <v>8625</v>
      </c>
      <c r="L339" s="263" t="s">
        <v>422</v>
      </c>
      <c r="M339" s="266">
        <v>882</v>
      </c>
      <c r="N339" s="263" t="s">
        <v>8667</v>
      </c>
      <c r="O339" s="263" t="s">
        <v>354</v>
      </c>
      <c r="P339" s="232">
        <v>16</v>
      </c>
      <c r="Q339" s="256"/>
      <c r="R339" s="256"/>
      <c r="S339" s="256"/>
      <c r="T339" s="256"/>
      <c r="U339" s="256"/>
      <c r="V339" s="256"/>
      <c r="W339" s="256"/>
      <c r="X339" s="256"/>
      <c r="Y339" s="257"/>
      <c r="Z339" s="257"/>
    </row>
    <row r="340" spans="1:26" ht="15.75" customHeight="1" x14ac:dyDescent="0.35">
      <c r="A340" s="258">
        <v>332</v>
      </c>
      <c r="B340" s="263" t="s">
        <v>8622</v>
      </c>
      <c r="C340" s="263" t="s">
        <v>8623</v>
      </c>
      <c r="D340" s="263" t="s">
        <v>169</v>
      </c>
      <c r="E340" s="263">
        <v>259</v>
      </c>
      <c r="F340" s="263">
        <v>2013</v>
      </c>
      <c r="G340" s="263" t="s">
        <v>8668</v>
      </c>
      <c r="H340" s="263" t="s">
        <v>7938</v>
      </c>
      <c r="I340" s="265">
        <v>44581</v>
      </c>
      <c r="J340" s="263" t="s">
        <v>8669</v>
      </c>
      <c r="K340" s="263" t="s">
        <v>8670</v>
      </c>
      <c r="L340" s="263" t="s">
        <v>422</v>
      </c>
      <c r="M340" s="266">
        <v>2625</v>
      </c>
      <c r="N340" s="263" t="s">
        <v>8671</v>
      </c>
      <c r="O340" s="263" t="s">
        <v>354</v>
      </c>
      <c r="P340" s="232">
        <v>16</v>
      </c>
      <c r="Q340" s="256"/>
      <c r="R340" s="256"/>
      <c r="S340" s="256"/>
      <c r="T340" s="256"/>
      <c r="U340" s="256"/>
      <c r="V340" s="256"/>
      <c r="W340" s="256"/>
      <c r="X340" s="256"/>
      <c r="Y340" s="257"/>
      <c r="Z340" s="257"/>
    </row>
    <row r="341" spans="1:26" ht="15.75" customHeight="1" x14ac:dyDescent="0.35">
      <c r="A341" s="258">
        <v>333</v>
      </c>
      <c r="B341" s="263" t="s">
        <v>8622</v>
      </c>
      <c r="C341" s="263" t="s">
        <v>8623</v>
      </c>
      <c r="D341" s="263" t="s">
        <v>176</v>
      </c>
      <c r="E341" s="263">
        <v>372</v>
      </c>
      <c r="F341" s="263">
        <v>2014</v>
      </c>
      <c r="G341" s="263" t="s">
        <v>8672</v>
      </c>
      <c r="H341" s="263" t="s">
        <v>7938</v>
      </c>
      <c r="I341" s="265">
        <v>44701</v>
      </c>
      <c r="J341" s="263" t="s">
        <v>63</v>
      </c>
      <c r="K341" s="263" t="s">
        <v>8673</v>
      </c>
      <c r="L341" s="263" t="s">
        <v>422</v>
      </c>
      <c r="M341" s="266">
        <v>10044</v>
      </c>
      <c r="N341" s="263" t="s">
        <v>8674</v>
      </c>
      <c r="O341" s="263" t="s">
        <v>354</v>
      </c>
      <c r="P341" s="232">
        <v>16</v>
      </c>
      <c r="Q341" s="256"/>
      <c r="R341" s="256"/>
      <c r="S341" s="256"/>
      <c r="T341" s="256"/>
      <c r="U341" s="256"/>
      <c r="V341" s="256"/>
      <c r="W341" s="256"/>
      <c r="X341" s="256"/>
      <c r="Y341" s="257"/>
      <c r="Z341" s="257"/>
    </row>
    <row r="342" spans="1:26" ht="15.75" customHeight="1" x14ac:dyDescent="0.35">
      <c r="A342" s="264">
        <v>334</v>
      </c>
      <c r="B342" s="263" t="s">
        <v>8675</v>
      </c>
      <c r="C342" s="263" t="s">
        <v>8676</v>
      </c>
      <c r="D342" s="263" t="s">
        <v>51</v>
      </c>
      <c r="E342" s="263">
        <v>450</v>
      </c>
      <c r="F342" s="263">
        <v>2012</v>
      </c>
      <c r="G342" s="263" t="s">
        <v>8677</v>
      </c>
      <c r="H342" s="263" t="s">
        <v>7938</v>
      </c>
      <c r="I342" s="265">
        <v>44701</v>
      </c>
      <c r="J342" s="263" t="s">
        <v>63</v>
      </c>
      <c r="K342" s="263" t="s">
        <v>8678</v>
      </c>
      <c r="L342" s="263" t="s">
        <v>422</v>
      </c>
      <c r="M342" s="266">
        <v>1575</v>
      </c>
      <c r="N342" s="263" t="s">
        <v>8679</v>
      </c>
      <c r="O342" s="263" t="s">
        <v>354</v>
      </c>
      <c r="P342" s="232">
        <v>16</v>
      </c>
      <c r="Q342" s="256"/>
      <c r="R342" s="256"/>
      <c r="S342" s="256"/>
      <c r="T342" s="256"/>
      <c r="U342" s="256"/>
      <c r="V342" s="256"/>
      <c r="W342" s="256"/>
      <c r="X342" s="256"/>
      <c r="Y342" s="257"/>
      <c r="Z342" s="257"/>
    </row>
    <row r="343" spans="1:26" ht="15.75" customHeight="1" x14ac:dyDescent="0.35">
      <c r="A343" s="258">
        <v>335</v>
      </c>
      <c r="B343" s="263" t="s">
        <v>8571</v>
      </c>
      <c r="C343" s="263" t="s">
        <v>8572</v>
      </c>
      <c r="D343" s="263" t="s">
        <v>51</v>
      </c>
      <c r="E343" s="263">
        <v>1240</v>
      </c>
      <c r="F343" s="263">
        <v>2014</v>
      </c>
      <c r="G343" s="263" t="s">
        <v>8680</v>
      </c>
      <c r="H343" s="263" t="s">
        <v>7938</v>
      </c>
      <c r="I343" s="265">
        <v>44301</v>
      </c>
      <c r="J343" s="263" t="s">
        <v>8681</v>
      </c>
      <c r="K343" s="263" t="s">
        <v>8682</v>
      </c>
      <c r="L343" s="263" t="s">
        <v>422</v>
      </c>
      <c r="M343" s="266">
        <v>12800</v>
      </c>
      <c r="N343" s="263" t="s">
        <v>3059</v>
      </c>
      <c r="O343" s="263" t="s">
        <v>354</v>
      </c>
      <c r="P343" s="232">
        <v>16</v>
      </c>
      <c r="Q343" s="256"/>
      <c r="R343" s="256"/>
      <c r="S343" s="256"/>
      <c r="T343" s="256"/>
      <c r="U343" s="256"/>
      <c r="V343" s="256"/>
      <c r="W343" s="256"/>
      <c r="X343" s="256"/>
      <c r="Y343" s="257"/>
      <c r="Z343" s="257"/>
    </row>
    <row r="344" spans="1:26" ht="15.75" customHeight="1" x14ac:dyDescent="0.35">
      <c r="A344" s="258">
        <v>336</v>
      </c>
      <c r="B344" s="263" t="s">
        <v>8683</v>
      </c>
      <c r="C344" s="263" t="s">
        <v>8684</v>
      </c>
      <c r="D344" s="263" t="s">
        <v>51</v>
      </c>
      <c r="E344" s="263">
        <v>857000</v>
      </c>
      <c r="F344" s="263">
        <v>2007</v>
      </c>
      <c r="G344" s="263" t="s">
        <v>8685</v>
      </c>
      <c r="H344" s="263" t="s">
        <v>7938</v>
      </c>
      <c r="I344" s="265">
        <v>44701</v>
      </c>
      <c r="J344" s="263" t="s">
        <v>63</v>
      </c>
      <c r="K344" s="263" t="s">
        <v>8686</v>
      </c>
      <c r="L344" s="263" t="s">
        <v>57</v>
      </c>
      <c r="M344" s="266">
        <v>4702744.0870000003</v>
      </c>
      <c r="N344" s="263" t="s">
        <v>8687</v>
      </c>
      <c r="O344" s="263" t="s">
        <v>354</v>
      </c>
      <c r="P344" s="232">
        <v>16</v>
      </c>
      <c r="Q344" s="256"/>
      <c r="R344" s="256"/>
      <c r="S344" s="256"/>
      <c r="T344" s="256"/>
      <c r="U344" s="256"/>
      <c r="V344" s="256"/>
      <c r="W344" s="256"/>
      <c r="X344" s="256"/>
      <c r="Y344" s="257"/>
      <c r="Z344" s="257"/>
    </row>
    <row r="345" spans="1:26" ht="15.75" customHeight="1" x14ac:dyDescent="0.35">
      <c r="A345" s="264">
        <v>337</v>
      </c>
      <c r="B345" s="263" t="s">
        <v>8688</v>
      </c>
      <c r="C345" s="263" t="s">
        <v>8689</v>
      </c>
      <c r="D345" s="263" t="s">
        <v>51</v>
      </c>
      <c r="E345" s="263">
        <v>300</v>
      </c>
      <c r="F345" s="263">
        <v>2019</v>
      </c>
      <c r="G345" s="263" t="s">
        <v>8690</v>
      </c>
      <c r="H345" s="263" t="s">
        <v>7938</v>
      </c>
      <c r="I345" s="265">
        <v>43367</v>
      </c>
      <c r="J345" s="263" t="s">
        <v>8691</v>
      </c>
      <c r="K345" s="263" t="s">
        <v>377</v>
      </c>
      <c r="L345" s="263" t="s">
        <v>422</v>
      </c>
      <c r="M345" s="266">
        <v>42</v>
      </c>
      <c r="N345" s="263" t="s">
        <v>8692</v>
      </c>
      <c r="O345" s="263" t="s">
        <v>377</v>
      </c>
      <c r="P345" s="232">
        <v>17</v>
      </c>
      <c r="Q345" s="256"/>
      <c r="R345" s="256"/>
      <c r="S345" s="256"/>
      <c r="T345" s="256"/>
      <c r="U345" s="256"/>
      <c r="V345" s="256"/>
      <c r="W345" s="256"/>
      <c r="X345" s="256"/>
      <c r="Y345" s="257"/>
      <c r="Z345" s="257"/>
    </row>
    <row r="346" spans="1:26" ht="15.75" customHeight="1" x14ac:dyDescent="0.35">
      <c r="A346" s="258">
        <v>338</v>
      </c>
      <c r="B346" s="263" t="s">
        <v>8688</v>
      </c>
      <c r="C346" s="263" t="s">
        <v>8689</v>
      </c>
      <c r="D346" s="263" t="s">
        <v>59</v>
      </c>
      <c r="E346" s="263">
        <v>400</v>
      </c>
      <c r="F346" s="263">
        <v>2019</v>
      </c>
      <c r="G346" s="263" t="s">
        <v>8693</v>
      </c>
      <c r="H346" s="263" t="s">
        <v>7938</v>
      </c>
      <c r="I346" s="265">
        <v>44155</v>
      </c>
      <c r="J346" s="263" t="s">
        <v>63</v>
      </c>
      <c r="K346" s="263" t="s">
        <v>377</v>
      </c>
      <c r="L346" s="263" t="s">
        <v>422</v>
      </c>
      <c r="M346" s="266">
        <v>56</v>
      </c>
      <c r="N346" s="263" t="s">
        <v>8694</v>
      </c>
      <c r="O346" s="263" t="s">
        <v>377</v>
      </c>
      <c r="P346" s="232">
        <v>17</v>
      </c>
      <c r="Q346" s="256"/>
      <c r="R346" s="256"/>
      <c r="S346" s="256"/>
      <c r="T346" s="256"/>
      <c r="U346" s="256"/>
      <c r="V346" s="256"/>
      <c r="W346" s="256"/>
      <c r="X346" s="256"/>
      <c r="Y346" s="257"/>
      <c r="Z346" s="257"/>
    </row>
    <row r="347" spans="1:26" ht="15.75" customHeight="1" x14ac:dyDescent="0.35">
      <c r="A347" s="258">
        <v>339</v>
      </c>
      <c r="B347" s="263" t="s">
        <v>8688</v>
      </c>
      <c r="C347" s="263" t="s">
        <v>8689</v>
      </c>
      <c r="D347" s="263" t="s">
        <v>97</v>
      </c>
      <c r="E347" s="263">
        <v>261</v>
      </c>
      <c r="F347" s="263">
        <v>2019</v>
      </c>
      <c r="G347" s="263" t="s">
        <v>8695</v>
      </c>
      <c r="H347" s="263" t="s">
        <v>8375</v>
      </c>
      <c r="I347" s="265">
        <v>44544</v>
      </c>
      <c r="J347" s="263" t="s">
        <v>8696</v>
      </c>
      <c r="K347" s="263" t="s">
        <v>377</v>
      </c>
      <c r="L347" s="263" t="s">
        <v>422</v>
      </c>
      <c r="M347" s="266">
        <v>56</v>
      </c>
      <c r="N347" s="263" t="s">
        <v>8697</v>
      </c>
      <c r="O347" s="263" t="s">
        <v>377</v>
      </c>
      <c r="P347" s="232">
        <v>17</v>
      </c>
      <c r="Q347" s="256"/>
      <c r="R347" s="256"/>
      <c r="S347" s="256"/>
      <c r="T347" s="256"/>
      <c r="U347" s="256"/>
      <c r="V347" s="256"/>
      <c r="W347" s="256"/>
      <c r="X347" s="256"/>
      <c r="Y347" s="257"/>
      <c r="Z347" s="257"/>
    </row>
    <row r="348" spans="1:26" ht="15.75" customHeight="1" x14ac:dyDescent="0.35">
      <c r="A348" s="264">
        <v>340</v>
      </c>
      <c r="B348" s="263" t="s">
        <v>8688</v>
      </c>
      <c r="C348" s="263" t="s">
        <v>8689</v>
      </c>
      <c r="D348" s="263" t="s">
        <v>101</v>
      </c>
      <c r="E348" s="263">
        <v>342</v>
      </c>
      <c r="F348" s="263">
        <v>2019</v>
      </c>
      <c r="G348" s="263" t="s">
        <v>8698</v>
      </c>
      <c r="H348" s="263" t="s">
        <v>7938</v>
      </c>
      <c r="I348" s="265">
        <v>44791</v>
      </c>
      <c r="J348" s="263" t="s">
        <v>8699</v>
      </c>
      <c r="K348" s="263" t="s">
        <v>377</v>
      </c>
      <c r="L348" s="263" t="s">
        <v>422</v>
      </c>
      <c r="M348" s="266">
        <v>56</v>
      </c>
      <c r="N348" s="263" t="s">
        <v>7931</v>
      </c>
      <c r="O348" s="263" t="s">
        <v>377</v>
      </c>
      <c r="P348" s="232">
        <v>17</v>
      </c>
      <c r="Q348" s="256"/>
      <c r="R348" s="256"/>
      <c r="S348" s="256"/>
      <c r="T348" s="256"/>
      <c r="U348" s="256"/>
      <c r="V348" s="256"/>
      <c r="W348" s="256"/>
      <c r="X348" s="256"/>
      <c r="Y348" s="257"/>
      <c r="Z348" s="257"/>
    </row>
    <row r="349" spans="1:26" ht="15.75" customHeight="1" x14ac:dyDescent="0.35">
      <c r="A349" s="258">
        <v>341</v>
      </c>
      <c r="B349" s="263" t="s">
        <v>8688</v>
      </c>
      <c r="C349" s="263" t="s">
        <v>8689</v>
      </c>
      <c r="D349" s="263" t="s">
        <v>107</v>
      </c>
      <c r="E349" s="263">
        <v>400</v>
      </c>
      <c r="F349" s="263">
        <v>2019</v>
      </c>
      <c r="G349" s="263" t="s">
        <v>8700</v>
      </c>
      <c r="H349" s="263" t="s">
        <v>7938</v>
      </c>
      <c r="I349" s="265">
        <v>44144</v>
      </c>
      <c r="J349" s="263" t="s">
        <v>63</v>
      </c>
      <c r="K349" s="263" t="s">
        <v>377</v>
      </c>
      <c r="L349" s="263" t="s">
        <v>422</v>
      </c>
      <c r="M349" s="266">
        <v>108</v>
      </c>
      <c r="N349" s="263" t="s">
        <v>8701</v>
      </c>
      <c r="O349" s="263" t="s">
        <v>377</v>
      </c>
      <c r="P349" s="232">
        <v>17</v>
      </c>
      <c r="Q349" s="256"/>
      <c r="R349" s="256"/>
      <c r="S349" s="256"/>
      <c r="T349" s="256"/>
      <c r="U349" s="256"/>
      <c r="V349" s="256"/>
      <c r="W349" s="256"/>
      <c r="X349" s="256"/>
      <c r="Y349" s="257"/>
      <c r="Z349" s="257"/>
    </row>
    <row r="350" spans="1:26" ht="15.75" customHeight="1" x14ac:dyDescent="0.35">
      <c r="A350" s="258">
        <v>342</v>
      </c>
      <c r="B350" s="263" t="s">
        <v>8688</v>
      </c>
      <c r="C350" s="263" t="s">
        <v>8689</v>
      </c>
      <c r="D350" s="263" t="s">
        <v>112</v>
      </c>
      <c r="E350" s="263">
        <v>900</v>
      </c>
      <c r="F350" s="263">
        <v>2019</v>
      </c>
      <c r="G350" s="263" t="s">
        <v>8702</v>
      </c>
      <c r="H350" s="263" t="s">
        <v>7938</v>
      </c>
      <c r="I350" s="265">
        <v>44155</v>
      </c>
      <c r="J350" s="263" t="s">
        <v>63</v>
      </c>
      <c r="K350" s="263" t="s">
        <v>377</v>
      </c>
      <c r="L350" s="263" t="s">
        <v>422</v>
      </c>
      <c r="M350" s="266">
        <v>126</v>
      </c>
      <c r="N350" s="263" t="s">
        <v>8703</v>
      </c>
      <c r="O350" s="263" t="s">
        <v>377</v>
      </c>
      <c r="P350" s="232">
        <v>17</v>
      </c>
      <c r="Q350" s="256"/>
      <c r="R350" s="256"/>
      <c r="S350" s="256"/>
      <c r="T350" s="256"/>
      <c r="U350" s="256"/>
      <c r="V350" s="256"/>
      <c r="W350" s="256"/>
      <c r="X350" s="256"/>
      <c r="Y350" s="257"/>
      <c r="Z350" s="257"/>
    </row>
    <row r="351" spans="1:26" ht="15.75" customHeight="1" x14ac:dyDescent="0.35">
      <c r="A351" s="264">
        <v>343</v>
      </c>
      <c r="B351" s="263" t="s">
        <v>8688</v>
      </c>
      <c r="C351" s="263" t="s">
        <v>8689</v>
      </c>
      <c r="D351" s="263" t="s">
        <v>116</v>
      </c>
      <c r="E351" s="263">
        <v>500</v>
      </c>
      <c r="F351" s="263">
        <v>2019</v>
      </c>
      <c r="G351" s="263" t="s">
        <v>8704</v>
      </c>
      <c r="H351" s="263" t="s">
        <v>7938</v>
      </c>
      <c r="I351" s="265">
        <v>43955</v>
      </c>
      <c r="J351" s="263" t="s">
        <v>63</v>
      </c>
      <c r="K351" s="263" t="s">
        <v>377</v>
      </c>
      <c r="L351" s="263" t="s">
        <v>422</v>
      </c>
      <c r="M351" s="266">
        <v>135</v>
      </c>
      <c r="N351" s="263" t="s">
        <v>8705</v>
      </c>
      <c r="O351" s="263" t="s">
        <v>377</v>
      </c>
      <c r="P351" s="232">
        <v>17</v>
      </c>
      <c r="Q351" s="256"/>
      <c r="R351" s="256"/>
      <c r="S351" s="256"/>
      <c r="T351" s="256"/>
      <c r="U351" s="256"/>
      <c r="V351" s="256"/>
      <c r="W351" s="256"/>
      <c r="X351" s="256"/>
      <c r="Y351" s="257"/>
      <c r="Z351" s="257"/>
    </row>
    <row r="352" spans="1:26" ht="15.75" customHeight="1" x14ac:dyDescent="0.35">
      <c r="A352" s="258">
        <v>344</v>
      </c>
      <c r="B352" s="263" t="s">
        <v>8688</v>
      </c>
      <c r="C352" s="263" t="s">
        <v>8689</v>
      </c>
      <c r="D352" s="263" t="s">
        <v>841</v>
      </c>
      <c r="E352" s="263">
        <v>400</v>
      </c>
      <c r="F352" s="263">
        <v>2019</v>
      </c>
      <c r="G352" s="263" t="s">
        <v>8706</v>
      </c>
      <c r="H352" s="263" t="s">
        <v>7938</v>
      </c>
      <c r="I352" s="265">
        <v>43493</v>
      </c>
      <c r="J352" s="263" t="s">
        <v>8707</v>
      </c>
      <c r="K352" s="263" t="s">
        <v>377</v>
      </c>
      <c r="L352" s="263" t="s">
        <v>422</v>
      </c>
      <c r="M352" s="266">
        <v>140</v>
      </c>
      <c r="N352" s="263" t="s">
        <v>8708</v>
      </c>
      <c r="O352" s="263" t="s">
        <v>377</v>
      </c>
      <c r="P352" s="232">
        <v>17</v>
      </c>
      <c r="Q352" s="256"/>
      <c r="R352" s="256"/>
      <c r="S352" s="256"/>
      <c r="T352" s="256"/>
      <c r="U352" s="256"/>
      <c r="V352" s="256"/>
      <c r="W352" s="256"/>
      <c r="X352" s="256"/>
      <c r="Y352" s="257"/>
      <c r="Z352" s="257"/>
    </row>
    <row r="353" spans="1:26" ht="15.75" customHeight="1" x14ac:dyDescent="0.35">
      <c r="A353" s="258">
        <v>345</v>
      </c>
      <c r="B353" s="263" t="s">
        <v>8688</v>
      </c>
      <c r="C353" s="263" t="s">
        <v>8689</v>
      </c>
      <c r="D353" s="263" t="s">
        <v>904</v>
      </c>
      <c r="E353" s="263">
        <v>900</v>
      </c>
      <c r="F353" s="263">
        <v>2019</v>
      </c>
      <c r="G353" s="263" t="s">
        <v>8709</v>
      </c>
      <c r="H353" s="263" t="s">
        <v>7938</v>
      </c>
      <c r="I353" s="265">
        <v>44155</v>
      </c>
      <c r="J353" s="263" t="s">
        <v>63</v>
      </c>
      <c r="K353" s="263" t="s">
        <v>377</v>
      </c>
      <c r="L353" s="263" t="s">
        <v>422</v>
      </c>
      <c r="M353" s="266">
        <v>243</v>
      </c>
      <c r="N353" s="263" t="s">
        <v>8710</v>
      </c>
      <c r="O353" s="263" t="s">
        <v>377</v>
      </c>
      <c r="P353" s="232">
        <v>17</v>
      </c>
      <c r="Q353" s="256"/>
      <c r="R353" s="256"/>
      <c r="S353" s="256"/>
      <c r="T353" s="256"/>
      <c r="U353" s="256"/>
      <c r="V353" s="256"/>
      <c r="W353" s="256"/>
      <c r="X353" s="256"/>
      <c r="Y353" s="257"/>
      <c r="Z353" s="257"/>
    </row>
    <row r="354" spans="1:26" ht="15.75" customHeight="1" x14ac:dyDescent="0.35">
      <c r="A354" s="264">
        <v>346</v>
      </c>
      <c r="B354" s="263" t="s">
        <v>8688</v>
      </c>
      <c r="C354" s="263" t="s">
        <v>8689</v>
      </c>
      <c r="D354" s="263" t="s">
        <v>122</v>
      </c>
      <c r="E354" s="263">
        <v>400</v>
      </c>
      <c r="F354" s="263">
        <v>2019</v>
      </c>
      <c r="G354" s="263" t="s">
        <v>8711</v>
      </c>
      <c r="H354" s="263" t="s">
        <v>7938</v>
      </c>
      <c r="I354" s="265">
        <v>43869</v>
      </c>
      <c r="J354" s="263" t="s">
        <v>63</v>
      </c>
      <c r="K354" s="263" t="s">
        <v>377</v>
      </c>
      <c r="L354" s="263" t="s">
        <v>422</v>
      </c>
      <c r="M354" s="266">
        <v>264</v>
      </c>
      <c r="N354" s="263" t="s">
        <v>8712</v>
      </c>
      <c r="O354" s="263" t="s">
        <v>377</v>
      </c>
      <c r="P354" s="232">
        <v>17</v>
      </c>
      <c r="Q354" s="256"/>
      <c r="R354" s="256"/>
      <c r="S354" s="256"/>
      <c r="T354" s="256"/>
      <c r="U354" s="256"/>
      <c r="V354" s="256"/>
      <c r="W354" s="256"/>
      <c r="X354" s="256"/>
      <c r="Y354" s="257"/>
      <c r="Z354" s="257"/>
    </row>
    <row r="355" spans="1:26" ht="15.75" customHeight="1" x14ac:dyDescent="0.35">
      <c r="A355" s="258">
        <v>347</v>
      </c>
      <c r="B355" s="263" t="s">
        <v>8688</v>
      </c>
      <c r="C355" s="263" t="s">
        <v>8689</v>
      </c>
      <c r="D355" s="263" t="s">
        <v>126</v>
      </c>
      <c r="E355" s="263">
        <v>400</v>
      </c>
      <c r="F355" s="263">
        <v>2019</v>
      </c>
      <c r="G355" s="263" t="s">
        <v>8713</v>
      </c>
      <c r="H355" s="263" t="s">
        <v>7938</v>
      </c>
      <c r="I355" s="265">
        <v>43868</v>
      </c>
      <c r="J355" s="263" t="s">
        <v>63</v>
      </c>
      <c r="K355" s="263" t="s">
        <v>377</v>
      </c>
      <c r="L355" s="263" t="s">
        <v>422</v>
      </c>
      <c r="M355" s="266">
        <v>264</v>
      </c>
      <c r="N355" s="263" t="s">
        <v>8714</v>
      </c>
      <c r="O355" s="263" t="s">
        <v>377</v>
      </c>
      <c r="P355" s="232">
        <v>17</v>
      </c>
      <c r="Q355" s="256"/>
      <c r="R355" s="256"/>
      <c r="S355" s="256"/>
      <c r="T355" s="256"/>
      <c r="U355" s="256"/>
      <c r="V355" s="256"/>
      <c r="W355" s="256"/>
      <c r="X355" s="256"/>
      <c r="Y355" s="257"/>
      <c r="Z355" s="257"/>
    </row>
    <row r="356" spans="1:26" ht="15.75" customHeight="1" x14ac:dyDescent="0.35">
      <c r="A356" s="258">
        <v>348</v>
      </c>
      <c r="B356" s="263" t="s">
        <v>8688</v>
      </c>
      <c r="C356" s="263" t="s">
        <v>8689</v>
      </c>
      <c r="D356" s="263" t="s">
        <v>132</v>
      </c>
      <c r="E356" s="263">
        <v>400</v>
      </c>
      <c r="F356" s="263">
        <v>2019</v>
      </c>
      <c r="G356" s="263" t="s">
        <v>8715</v>
      </c>
      <c r="H356" s="263" t="s">
        <v>7938</v>
      </c>
      <c r="I356" s="265">
        <v>43867</v>
      </c>
      <c r="J356" s="263" t="s">
        <v>63</v>
      </c>
      <c r="K356" s="263" t="s">
        <v>377</v>
      </c>
      <c r="L356" s="263" t="s">
        <v>422</v>
      </c>
      <c r="M356" s="266">
        <v>680</v>
      </c>
      <c r="N356" s="263" t="s">
        <v>8716</v>
      </c>
      <c r="O356" s="263" t="s">
        <v>377</v>
      </c>
      <c r="P356" s="232">
        <v>17</v>
      </c>
      <c r="Q356" s="256"/>
      <c r="R356" s="256"/>
      <c r="S356" s="256"/>
      <c r="T356" s="256"/>
      <c r="U356" s="256"/>
      <c r="V356" s="256"/>
      <c r="W356" s="256"/>
      <c r="X356" s="256"/>
      <c r="Y356" s="257"/>
      <c r="Z356" s="257"/>
    </row>
    <row r="357" spans="1:26" ht="15.75" customHeight="1" x14ac:dyDescent="0.35">
      <c r="A357" s="264">
        <v>349</v>
      </c>
      <c r="B357" s="263" t="s">
        <v>8688</v>
      </c>
      <c r="C357" s="263" t="s">
        <v>8689</v>
      </c>
      <c r="D357" s="263" t="s">
        <v>137</v>
      </c>
      <c r="E357" s="263">
        <v>400</v>
      </c>
      <c r="F357" s="263">
        <v>2021</v>
      </c>
      <c r="G357" s="263" t="s">
        <v>8717</v>
      </c>
      <c r="H357" s="263"/>
      <c r="I357" s="265">
        <v>44193</v>
      </c>
      <c r="J357" s="263" t="s">
        <v>8718</v>
      </c>
      <c r="K357" s="263" t="s">
        <v>8719</v>
      </c>
      <c r="L357" s="263" t="s">
        <v>422</v>
      </c>
      <c r="M357" s="266">
        <v>264</v>
      </c>
      <c r="N357" s="263" t="s">
        <v>8720</v>
      </c>
      <c r="O357" s="263" t="s">
        <v>377</v>
      </c>
      <c r="P357" s="232">
        <v>17</v>
      </c>
      <c r="Q357" s="256"/>
      <c r="R357" s="256"/>
      <c r="S357" s="256"/>
      <c r="T357" s="256"/>
      <c r="U357" s="256"/>
      <c r="V357" s="256"/>
      <c r="W357" s="256"/>
      <c r="X357" s="256"/>
      <c r="Y357" s="257"/>
      <c r="Z357" s="257"/>
    </row>
    <row r="358" spans="1:26" ht="15.75" customHeight="1" x14ac:dyDescent="0.35">
      <c r="A358" s="258">
        <v>350</v>
      </c>
      <c r="B358" s="263" t="s">
        <v>8688</v>
      </c>
      <c r="C358" s="263" t="s">
        <v>8689</v>
      </c>
      <c r="D358" s="263" t="s">
        <v>146</v>
      </c>
      <c r="E358" s="263">
        <v>400</v>
      </c>
      <c r="F358" s="263">
        <v>2021</v>
      </c>
      <c r="G358" s="263" t="s">
        <v>8721</v>
      </c>
      <c r="H358" s="263"/>
      <c r="I358" s="265">
        <v>44244</v>
      </c>
      <c r="J358" s="263" t="s">
        <v>8722</v>
      </c>
      <c r="K358" s="263" t="s">
        <v>8723</v>
      </c>
      <c r="L358" s="263" t="s">
        <v>422</v>
      </c>
      <c r="M358" s="266">
        <v>1400</v>
      </c>
      <c r="N358" s="263" t="s">
        <v>8720</v>
      </c>
      <c r="O358" s="263" t="s">
        <v>377</v>
      </c>
      <c r="P358" s="232">
        <v>17</v>
      </c>
      <c r="Q358" s="256"/>
      <c r="R358" s="256"/>
      <c r="S358" s="256"/>
      <c r="T358" s="256"/>
      <c r="U358" s="256"/>
      <c r="V358" s="256"/>
      <c r="W358" s="256"/>
      <c r="X358" s="256"/>
      <c r="Y358" s="257"/>
      <c r="Z358" s="257"/>
    </row>
    <row r="359" spans="1:26" ht="15.75" customHeight="1" x14ac:dyDescent="0.35">
      <c r="A359" s="258">
        <v>351</v>
      </c>
      <c r="B359" s="263" t="s">
        <v>8688</v>
      </c>
      <c r="C359" s="263" t="s">
        <v>8689</v>
      </c>
      <c r="D359" s="263" t="s">
        <v>154</v>
      </c>
      <c r="E359" s="263">
        <v>400</v>
      </c>
      <c r="F359" s="263">
        <v>2020</v>
      </c>
      <c r="G359" s="263" t="s">
        <v>8724</v>
      </c>
      <c r="H359" s="263"/>
      <c r="I359" s="265">
        <v>44216</v>
      </c>
      <c r="J359" s="263" t="s">
        <v>8725</v>
      </c>
      <c r="K359" s="263" t="s">
        <v>8719</v>
      </c>
      <c r="L359" s="263" t="s">
        <v>422</v>
      </c>
      <c r="M359" s="266">
        <v>680</v>
      </c>
      <c r="N359" s="263" t="s">
        <v>8726</v>
      </c>
      <c r="O359" s="263" t="s">
        <v>377</v>
      </c>
      <c r="P359" s="232">
        <v>17</v>
      </c>
      <c r="Q359" s="256"/>
      <c r="R359" s="256"/>
      <c r="S359" s="256"/>
      <c r="T359" s="256"/>
      <c r="U359" s="256"/>
      <c r="V359" s="256"/>
      <c r="W359" s="256"/>
      <c r="X359" s="256"/>
      <c r="Y359" s="257"/>
      <c r="Z359" s="257"/>
    </row>
    <row r="360" spans="1:26" ht="15.75" customHeight="1" x14ac:dyDescent="0.35">
      <c r="A360" s="264">
        <v>352</v>
      </c>
      <c r="B360" s="263" t="s">
        <v>8727</v>
      </c>
      <c r="C360" s="263" t="s">
        <v>8728</v>
      </c>
      <c r="D360" s="263" t="s">
        <v>51</v>
      </c>
      <c r="E360" s="263">
        <v>10000</v>
      </c>
      <c r="F360" s="263">
        <v>2005</v>
      </c>
      <c r="G360" s="263" t="s">
        <v>8729</v>
      </c>
      <c r="H360" s="263" t="s">
        <v>7938</v>
      </c>
      <c r="I360" s="265">
        <v>38762</v>
      </c>
      <c r="J360" s="263" t="s">
        <v>8730</v>
      </c>
      <c r="K360" s="263" t="s">
        <v>8731</v>
      </c>
      <c r="L360" s="263" t="s">
        <v>57</v>
      </c>
      <c r="M360" s="266">
        <v>125000</v>
      </c>
      <c r="N360" s="263" t="s">
        <v>8732</v>
      </c>
      <c r="O360" s="263" t="s">
        <v>8733</v>
      </c>
      <c r="P360" s="232">
        <v>18</v>
      </c>
      <c r="Q360" s="256"/>
      <c r="R360" s="256"/>
      <c r="S360" s="256"/>
      <c r="T360" s="256"/>
      <c r="U360" s="256"/>
      <c r="V360" s="256"/>
      <c r="W360" s="256"/>
      <c r="X360" s="256"/>
      <c r="Y360" s="257"/>
      <c r="Z360" s="257"/>
    </row>
    <row r="361" spans="1:26" ht="15.75" customHeight="1" x14ac:dyDescent="0.35">
      <c r="A361" s="258">
        <v>353</v>
      </c>
      <c r="B361" s="263" t="s">
        <v>8727</v>
      </c>
      <c r="C361" s="263" t="s">
        <v>8728</v>
      </c>
      <c r="D361" s="263" t="s">
        <v>59</v>
      </c>
      <c r="E361" s="263">
        <v>1175</v>
      </c>
      <c r="F361" s="263">
        <v>2007</v>
      </c>
      <c r="G361" s="263" t="s">
        <v>8734</v>
      </c>
      <c r="H361" s="263" t="s">
        <v>7938</v>
      </c>
      <c r="I361" s="265">
        <v>39237</v>
      </c>
      <c r="J361" s="263" t="s">
        <v>8735</v>
      </c>
      <c r="K361" s="263" t="s">
        <v>8736</v>
      </c>
      <c r="L361" s="263" t="s">
        <v>422</v>
      </c>
      <c r="M361" s="266">
        <v>31725</v>
      </c>
      <c r="N361" s="263" t="s">
        <v>8737</v>
      </c>
      <c r="O361" s="263" t="s">
        <v>8733</v>
      </c>
      <c r="P361" s="232">
        <v>18</v>
      </c>
      <c r="Q361" s="256"/>
      <c r="R361" s="256"/>
      <c r="S361" s="256"/>
      <c r="T361" s="256"/>
      <c r="U361" s="256"/>
      <c r="V361" s="256"/>
      <c r="W361" s="256"/>
      <c r="X361" s="256"/>
      <c r="Y361" s="257"/>
      <c r="Z361" s="257"/>
    </row>
    <row r="362" spans="1:26" ht="15.75" customHeight="1" x14ac:dyDescent="0.35">
      <c r="A362" s="258">
        <v>354</v>
      </c>
      <c r="B362" s="263" t="s">
        <v>8727</v>
      </c>
      <c r="C362" s="263" t="s">
        <v>8728</v>
      </c>
      <c r="D362" s="263" t="s">
        <v>97</v>
      </c>
      <c r="E362" s="263">
        <v>1101</v>
      </c>
      <c r="F362" s="263">
        <v>2007</v>
      </c>
      <c r="G362" s="263" t="s">
        <v>8534</v>
      </c>
      <c r="H362" s="263" t="s">
        <v>7938</v>
      </c>
      <c r="I362" s="265">
        <v>40602</v>
      </c>
      <c r="J362" s="263" t="s">
        <v>8738</v>
      </c>
      <c r="K362" s="263"/>
      <c r="L362" s="263" t="s">
        <v>57</v>
      </c>
      <c r="M362" s="266">
        <v>39154</v>
      </c>
      <c r="N362" s="263" t="s">
        <v>7931</v>
      </c>
      <c r="O362" s="263" t="s">
        <v>8733</v>
      </c>
      <c r="P362" s="232">
        <v>18</v>
      </c>
      <c r="Q362" s="256"/>
      <c r="R362" s="256"/>
      <c r="S362" s="256"/>
      <c r="T362" s="256"/>
      <c r="U362" s="256"/>
      <c r="V362" s="256"/>
      <c r="W362" s="256"/>
      <c r="X362" s="256"/>
      <c r="Y362" s="257"/>
      <c r="Z362" s="257"/>
    </row>
    <row r="363" spans="1:26" ht="15.75" customHeight="1" x14ac:dyDescent="0.35">
      <c r="A363" s="264">
        <v>355</v>
      </c>
      <c r="B363" s="263" t="s">
        <v>8727</v>
      </c>
      <c r="C363" s="263" t="s">
        <v>8728</v>
      </c>
      <c r="D363" s="263" t="s">
        <v>101</v>
      </c>
      <c r="E363" s="263">
        <v>4211</v>
      </c>
      <c r="F363" s="263">
        <v>2007</v>
      </c>
      <c r="G363" s="263" t="s">
        <v>8739</v>
      </c>
      <c r="H363" s="263" t="s">
        <v>7938</v>
      </c>
      <c r="I363" s="265">
        <v>39243</v>
      </c>
      <c r="J363" s="263" t="s">
        <v>8740</v>
      </c>
      <c r="K363" s="263" t="s">
        <v>8731</v>
      </c>
      <c r="L363" s="263" t="s">
        <v>422</v>
      </c>
      <c r="M363" s="266">
        <v>116544</v>
      </c>
      <c r="N363" s="263" t="s">
        <v>8741</v>
      </c>
      <c r="O363" s="263" t="s">
        <v>8733</v>
      </c>
      <c r="P363" s="232">
        <v>18</v>
      </c>
      <c r="Q363" s="256"/>
      <c r="R363" s="256"/>
      <c r="S363" s="256"/>
      <c r="T363" s="256"/>
      <c r="U363" s="256"/>
      <c r="V363" s="256"/>
      <c r="W363" s="256"/>
      <c r="X363" s="256"/>
      <c r="Y363" s="257"/>
      <c r="Z363" s="257"/>
    </row>
    <row r="364" spans="1:26" ht="15.75" customHeight="1" x14ac:dyDescent="0.35">
      <c r="A364" s="258">
        <v>356</v>
      </c>
      <c r="B364" s="263" t="s">
        <v>8727</v>
      </c>
      <c r="C364" s="263" t="s">
        <v>8728</v>
      </c>
      <c r="D364" s="263" t="s">
        <v>107</v>
      </c>
      <c r="E364" s="263">
        <v>3600</v>
      </c>
      <c r="F364" s="263">
        <v>2008</v>
      </c>
      <c r="G364" s="263" t="s">
        <v>8742</v>
      </c>
      <c r="H364" s="263" t="s">
        <v>7938</v>
      </c>
      <c r="I364" s="265">
        <v>39600</v>
      </c>
      <c r="J364" s="263" t="s">
        <v>8743</v>
      </c>
      <c r="K364" s="263" t="s">
        <v>8731</v>
      </c>
      <c r="L364" s="263" t="s">
        <v>422</v>
      </c>
      <c r="M364" s="266">
        <v>2376</v>
      </c>
      <c r="N364" s="263" t="s">
        <v>8732</v>
      </c>
      <c r="O364" s="263" t="s">
        <v>8733</v>
      </c>
      <c r="P364" s="232">
        <v>18</v>
      </c>
      <c r="Q364" s="256"/>
      <c r="R364" s="256"/>
      <c r="S364" s="256"/>
      <c r="T364" s="256"/>
      <c r="U364" s="256"/>
      <c r="V364" s="256"/>
      <c r="W364" s="256"/>
      <c r="X364" s="256"/>
      <c r="Y364" s="257"/>
      <c r="Z364" s="257"/>
    </row>
    <row r="365" spans="1:26" ht="15.75" customHeight="1" x14ac:dyDescent="0.35">
      <c r="A365" s="258">
        <v>357</v>
      </c>
      <c r="B365" s="263" t="s">
        <v>8727</v>
      </c>
      <c r="C365" s="263" t="s">
        <v>8728</v>
      </c>
      <c r="D365" s="263" t="s">
        <v>112</v>
      </c>
      <c r="E365" s="263">
        <v>1748</v>
      </c>
      <c r="F365" s="263">
        <v>2008</v>
      </c>
      <c r="G365" s="263" t="s">
        <v>8744</v>
      </c>
      <c r="H365" s="263" t="s">
        <v>7938</v>
      </c>
      <c r="I365" s="265"/>
      <c r="J365" s="263"/>
      <c r="K365" s="263" t="s">
        <v>8736</v>
      </c>
      <c r="L365" s="263" t="s">
        <v>422</v>
      </c>
      <c r="M365" s="266">
        <v>6118</v>
      </c>
      <c r="N365" s="263" t="s">
        <v>8745</v>
      </c>
      <c r="O365" s="263" t="s">
        <v>8733</v>
      </c>
      <c r="P365" s="232">
        <v>18</v>
      </c>
      <c r="Q365" s="256"/>
      <c r="R365" s="256"/>
      <c r="S365" s="256"/>
      <c r="T365" s="256"/>
      <c r="U365" s="256"/>
      <c r="V365" s="256"/>
      <c r="W365" s="256"/>
      <c r="X365" s="256"/>
      <c r="Y365" s="257"/>
      <c r="Z365" s="257"/>
    </row>
    <row r="366" spans="1:26" ht="15.75" customHeight="1" x14ac:dyDescent="0.35">
      <c r="A366" s="264">
        <v>358</v>
      </c>
      <c r="B366" s="263" t="s">
        <v>8727</v>
      </c>
      <c r="C366" s="263" t="s">
        <v>8728</v>
      </c>
      <c r="D366" s="263" t="s">
        <v>116</v>
      </c>
      <c r="E366" s="263">
        <v>2255</v>
      </c>
      <c r="F366" s="263">
        <v>2008</v>
      </c>
      <c r="G366" s="263" t="s">
        <v>8746</v>
      </c>
      <c r="H366" s="263" t="s">
        <v>7938</v>
      </c>
      <c r="I366" s="265">
        <v>44581</v>
      </c>
      <c r="J366" s="263" t="s">
        <v>8747</v>
      </c>
      <c r="K366" s="263" t="s">
        <v>8731</v>
      </c>
      <c r="L366" s="263" t="s">
        <v>44</v>
      </c>
      <c r="M366" s="266">
        <v>281550</v>
      </c>
      <c r="N366" s="263" t="s">
        <v>8748</v>
      </c>
      <c r="O366" s="263" t="s">
        <v>8733</v>
      </c>
      <c r="P366" s="232">
        <v>18</v>
      </c>
      <c r="Q366" s="256"/>
      <c r="R366" s="256"/>
      <c r="S366" s="256"/>
      <c r="T366" s="256"/>
      <c r="U366" s="256"/>
      <c r="V366" s="256"/>
      <c r="W366" s="256"/>
      <c r="X366" s="256"/>
      <c r="Y366" s="257"/>
      <c r="Z366" s="257"/>
    </row>
    <row r="367" spans="1:26" ht="15.75" customHeight="1" x14ac:dyDescent="0.35">
      <c r="A367" s="258">
        <v>359</v>
      </c>
      <c r="B367" s="263" t="s">
        <v>8727</v>
      </c>
      <c r="C367" s="263" t="s">
        <v>8728</v>
      </c>
      <c r="D367" s="263" t="s">
        <v>841</v>
      </c>
      <c r="E367" s="263">
        <v>200</v>
      </c>
      <c r="F367" s="263">
        <v>2009</v>
      </c>
      <c r="G367" s="263" t="s">
        <v>8749</v>
      </c>
      <c r="H367" s="263" t="s">
        <v>7938</v>
      </c>
      <c r="I367" s="265">
        <v>39858</v>
      </c>
      <c r="J367" s="263" t="s">
        <v>8750</v>
      </c>
      <c r="K367" s="263" t="s">
        <v>8751</v>
      </c>
      <c r="L367" s="263" t="s">
        <v>422</v>
      </c>
      <c r="M367" s="266">
        <v>28</v>
      </c>
      <c r="N367" s="263" t="s">
        <v>8752</v>
      </c>
      <c r="O367" s="263" t="s">
        <v>8733</v>
      </c>
      <c r="P367" s="232">
        <v>18</v>
      </c>
      <c r="Q367" s="256"/>
      <c r="R367" s="256"/>
      <c r="S367" s="256"/>
      <c r="T367" s="256"/>
      <c r="U367" s="256"/>
      <c r="V367" s="256"/>
      <c r="W367" s="256"/>
      <c r="X367" s="256"/>
      <c r="Y367" s="257"/>
      <c r="Z367" s="257"/>
    </row>
    <row r="368" spans="1:26" ht="15.75" customHeight="1" x14ac:dyDescent="0.35">
      <c r="A368" s="258">
        <v>360</v>
      </c>
      <c r="B368" s="263" t="s">
        <v>8727</v>
      </c>
      <c r="C368" s="263" t="s">
        <v>8728</v>
      </c>
      <c r="D368" s="263" t="s">
        <v>904</v>
      </c>
      <c r="E368" s="263">
        <v>450</v>
      </c>
      <c r="F368" s="263">
        <v>2009</v>
      </c>
      <c r="G368" s="263" t="s">
        <v>8753</v>
      </c>
      <c r="H368" s="263" t="s">
        <v>7938</v>
      </c>
      <c r="I368" s="265">
        <v>40005</v>
      </c>
      <c r="J368" s="263" t="s">
        <v>8754</v>
      </c>
      <c r="K368" s="263" t="s">
        <v>8736</v>
      </c>
      <c r="L368" s="263" t="s">
        <v>422</v>
      </c>
      <c r="M368" s="266">
        <v>63</v>
      </c>
      <c r="N368" s="263" t="s">
        <v>8755</v>
      </c>
      <c r="O368" s="263" t="s">
        <v>8733</v>
      </c>
      <c r="P368" s="232">
        <v>18</v>
      </c>
      <c r="Q368" s="256"/>
      <c r="R368" s="256"/>
      <c r="S368" s="256"/>
      <c r="T368" s="256"/>
      <c r="U368" s="256"/>
      <c r="V368" s="256"/>
      <c r="W368" s="256"/>
      <c r="X368" s="256"/>
      <c r="Y368" s="257"/>
      <c r="Z368" s="257"/>
    </row>
    <row r="369" spans="1:26" ht="15.75" customHeight="1" x14ac:dyDescent="0.35">
      <c r="A369" s="264">
        <v>361</v>
      </c>
      <c r="B369" s="263" t="s">
        <v>8727</v>
      </c>
      <c r="C369" s="263" t="s">
        <v>8728</v>
      </c>
      <c r="D369" s="263" t="s">
        <v>122</v>
      </c>
      <c r="E369" s="263">
        <v>183</v>
      </c>
      <c r="F369" s="263">
        <v>2010</v>
      </c>
      <c r="G369" s="263" t="s">
        <v>8756</v>
      </c>
      <c r="H369" s="263" t="s">
        <v>7938</v>
      </c>
      <c r="I369" s="265">
        <v>45799</v>
      </c>
      <c r="J369" s="263" t="s">
        <v>8757</v>
      </c>
      <c r="K369" s="263" t="s">
        <v>8758</v>
      </c>
      <c r="L369" s="263" t="s">
        <v>422</v>
      </c>
      <c r="M369" s="266">
        <v>455</v>
      </c>
      <c r="N369" s="263" t="s">
        <v>7931</v>
      </c>
      <c r="O369" s="263" t="s">
        <v>8733</v>
      </c>
      <c r="P369" s="232">
        <v>18</v>
      </c>
      <c r="Q369" s="256"/>
      <c r="R369" s="256"/>
      <c r="S369" s="256"/>
      <c r="T369" s="256"/>
      <c r="U369" s="256"/>
      <c r="V369" s="256"/>
      <c r="W369" s="256"/>
      <c r="X369" s="256"/>
      <c r="Y369" s="257"/>
      <c r="Z369" s="257"/>
    </row>
    <row r="370" spans="1:26" ht="15.75" customHeight="1" x14ac:dyDescent="0.35">
      <c r="A370" s="258">
        <v>362</v>
      </c>
      <c r="B370" s="263" t="s">
        <v>8727</v>
      </c>
      <c r="C370" s="263" t="s">
        <v>8728</v>
      </c>
      <c r="D370" s="263" t="s">
        <v>126</v>
      </c>
      <c r="E370" s="263">
        <v>800</v>
      </c>
      <c r="F370" s="263">
        <v>2010</v>
      </c>
      <c r="G370" s="263" t="s">
        <v>8759</v>
      </c>
      <c r="H370" s="263" t="s">
        <v>7938</v>
      </c>
      <c r="I370" s="265">
        <v>41815</v>
      </c>
      <c r="J370" s="263" t="s">
        <v>8760</v>
      </c>
      <c r="K370" s="263" t="s">
        <v>8736</v>
      </c>
      <c r="L370" s="263" t="s">
        <v>422</v>
      </c>
      <c r="M370" s="266">
        <v>728</v>
      </c>
      <c r="N370" s="263" t="s">
        <v>8761</v>
      </c>
      <c r="O370" s="263" t="s">
        <v>8733</v>
      </c>
      <c r="P370" s="232">
        <v>18</v>
      </c>
      <c r="Q370" s="256"/>
      <c r="R370" s="256"/>
      <c r="S370" s="256"/>
      <c r="T370" s="256"/>
      <c r="U370" s="256"/>
      <c r="V370" s="256"/>
      <c r="W370" s="256"/>
      <c r="X370" s="256"/>
      <c r="Y370" s="257"/>
      <c r="Z370" s="257"/>
    </row>
    <row r="371" spans="1:26" ht="15.75" customHeight="1" x14ac:dyDescent="0.35">
      <c r="A371" s="258">
        <v>363</v>
      </c>
      <c r="B371" s="263" t="s">
        <v>8727</v>
      </c>
      <c r="C371" s="263" t="s">
        <v>8728</v>
      </c>
      <c r="D371" s="263" t="s">
        <v>132</v>
      </c>
      <c r="E371" s="263">
        <v>909</v>
      </c>
      <c r="F371" s="263">
        <v>2010</v>
      </c>
      <c r="G371" s="263" t="s">
        <v>8762</v>
      </c>
      <c r="H371" s="263" t="s">
        <v>7938</v>
      </c>
      <c r="I371" s="265">
        <v>44581</v>
      </c>
      <c r="J371" s="263" t="s">
        <v>8763</v>
      </c>
      <c r="K371" s="263" t="s">
        <v>8764</v>
      </c>
      <c r="L371" s="263" t="s">
        <v>422</v>
      </c>
      <c r="M371" s="266">
        <v>1350</v>
      </c>
      <c r="N371" s="263" t="s">
        <v>7931</v>
      </c>
      <c r="O371" s="263" t="s">
        <v>8733</v>
      </c>
      <c r="P371" s="232">
        <v>18</v>
      </c>
      <c r="Q371" s="256"/>
      <c r="R371" s="256"/>
      <c r="S371" s="256"/>
      <c r="T371" s="256"/>
      <c r="U371" s="256"/>
      <c r="V371" s="256"/>
      <c r="W371" s="256"/>
      <c r="X371" s="256"/>
      <c r="Y371" s="257"/>
      <c r="Z371" s="257"/>
    </row>
    <row r="372" spans="1:26" ht="15.75" customHeight="1" x14ac:dyDescent="0.35">
      <c r="A372" s="264">
        <v>364</v>
      </c>
      <c r="B372" s="263" t="s">
        <v>8727</v>
      </c>
      <c r="C372" s="263" t="s">
        <v>8728</v>
      </c>
      <c r="D372" s="263" t="s">
        <v>137</v>
      </c>
      <c r="E372" s="263">
        <v>2500</v>
      </c>
      <c r="F372" s="263">
        <v>2011</v>
      </c>
      <c r="G372" s="263" t="s">
        <v>8765</v>
      </c>
      <c r="H372" s="263" t="s">
        <v>7938</v>
      </c>
      <c r="I372" s="265">
        <v>40588</v>
      </c>
      <c r="J372" s="263" t="s">
        <v>8766</v>
      </c>
      <c r="K372" s="263" t="s">
        <v>8736</v>
      </c>
      <c r="L372" s="263" t="s">
        <v>422</v>
      </c>
      <c r="M372" s="266">
        <v>2275</v>
      </c>
      <c r="N372" s="263" t="s">
        <v>8409</v>
      </c>
      <c r="O372" s="263" t="s">
        <v>8733</v>
      </c>
      <c r="P372" s="232">
        <v>18</v>
      </c>
      <c r="Q372" s="256"/>
      <c r="R372" s="256"/>
      <c r="S372" s="256"/>
      <c r="T372" s="256"/>
      <c r="U372" s="256"/>
      <c r="V372" s="256"/>
      <c r="W372" s="256"/>
      <c r="X372" s="256"/>
      <c r="Y372" s="257"/>
      <c r="Z372" s="257"/>
    </row>
    <row r="373" spans="1:26" ht="15.75" customHeight="1" x14ac:dyDescent="0.35">
      <c r="A373" s="258">
        <v>365</v>
      </c>
      <c r="B373" s="263" t="s">
        <v>8727</v>
      </c>
      <c r="C373" s="263" t="s">
        <v>8728</v>
      </c>
      <c r="D373" s="263" t="s">
        <v>154</v>
      </c>
      <c r="E373" s="263">
        <v>1508</v>
      </c>
      <c r="F373" s="263">
        <v>2011</v>
      </c>
      <c r="G373" s="263" t="s">
        <v>8767</v>
      </c>
      <c r="H373" s="263" t="s">
        <v>7938</v>
      </c>
      <c r="I373" s="265">
        <v>40602</v>
      </c>
      <c r="J373" s="263" t="s">
        <v>8768</v>
      </c>
      <c r="K373" s="263" t="s">
        <v>8731</v>
      </c>
      <c r="L373" s="263" t="s">
        <v>57</v>
      </c>
      <c r="M373" s="266">
        <v>56344</v>
      </c>
      <c r="N373" s="263" t="s">
        <v>8769</v>
      </c>
      <c r="O373" s="263" t="s">
        <v>8733</v>
      </c>
      <c r="P373" s="232">
        <v>18</v>
      </c>
      <c r="Q373" s="256"/>
      <c r="R373" s="256"/>
      <c r="S373" s="256"/>
      <c r="T373" s="256"/>
      <c r="U373" s="256"/>
      <c r="V373" s="256"/>
      <c r="W373" s="256"/>
      <c r="X373" s="256"/>
      <c r="Y373" s="257"/>
      <c r="Z373" s="257"/>
    </row>
    <row r="374" spans="1:26" ht="15.75" customHeight="1" x14ac:dyDescent="0.35">
      <c r="A374" s="258">
        <v>366</v>
      </c>
      <c r="B374" s="263" t="s">
        <v>8727</v>
      </c>
      <c r="C374" s="263" t="s">
        <v>8728</v>
      </c>
      <c r="D374" s="263" t="s">
        <v>161</v>
      </c>
      <c r="E374" s="263">
        <v>5561</v>
      </c>
      <c r="F374" s="263">
        <v>2012</v>
      </c>
      <c r="G374" s="263" t="s">
        <v>8770</v>
      </c>
      <c r="H374" s="263" t="s">
        <v>7938</v>
      </c>
      <c r="I374" s="265"/>
      <c r="J374" s="263"/>
      <c r="K374" s="263" t="s">
        <v>8731</v>
      </c>
      <c r="L374" s="263" t="s">
        <v>422</v>
      </c>
      <c r="M374" s="266">
        <v>39816.76</v>
      </c>
      <c r="N374" s="263" t="s">
        <v>8771</v>
      </c>
      <c r="O374" s="263" t="s">
        <v>8733</v>
      </c>
      <c r="P374" s="232">
        <v>18</v>
      </c>
      <c r="Q374" s="256"/>
      <c r="R374" s="256"/>
      <c r="S374" s="256"/>
      <c r="T374" s="256"/>
      <c r="U374" s="256"/>
      <c r="V374" s="256"/>
      <c r="W374" s="256"/>
      <c r="X374" s="256"/>
      <c r="Y374" s="257"/>
      <c r="Z374" s="257"/>
    </row>
    <row r="375" spans="1:26" ht="15.75" customHeight="1" x14ac:dyDescent="0.35">
      <c r="A375" s="264">
        <v>367</v>
      </c>
      <c r="B375" s="263" t="s">
        <v>8727</v>
      </c>
      <c r="C375" s="263" t="s">
        <v>8728</v>
      </c>
      <c r="D375" s="263" t="s">
        <v>169</v>
      </c>
      <c r="E375" s="263">
        <v>5000</v>
      </c>
      <c r="F375" s="263">
        <v>2012</v>
      </c>
      <c r="G375" s="263" t="s">
        <v>8772</v>
      </c>
      <c r="H375" s="263" t="s">
        <v>7938</v>
      </c>
      <c r="I375" s="265">
        <v>41194</v>
      </c>
      <c r="J375" s="263" t="s">
        <v>8773</v>
      </c>
      <c r="K375" s="263" t="s">
        <v>8736</v>
      </c>
      <c r="L375" s="263" t="s">
        <v>422</v>
      </c>
      <c r="M375" s="266">
        <v>234850</v>
      </c>
      <c r="N375" s="263" t="s">
        <v>8774</v>
      </c>
      <c r="O375" s="263" t="s">
        <v>8733</v>
      </c>
      <c r="P375" s="232">
        <v>18</v>
      </c>
      <c r="Q375" s="256"/>
      <c r="R375" s="256"/>
      <c r="S375" s="256"/>
      <c r="T375" s="256"/>
      <c r="U375" s="256"/>
      <c r="V375" s="256"/>
      <c r="W375" s="256"/>
      <c r="X375" s="256"/>
      <c r="Y375" s="257"/>
      <c r="Z375" s="257"/>
    </row>
    <row r="376" spans="1:26" ht="15.75" customHeight="1" x14ac:dyDescent="0.35">
      <c r="A376" s="258">
        <v>368</v>
      </c>
      <c r="B376" s="263" t="s">
        <v>8727</v>
      </c>
      <c r="C376" s="263" t="s">
        <v>8728</v>
      </c>
      <c r="D376" s="263" t="s">
        <v>176</v>
      </c>
      <c r="E376" s="263">
        <v>30000</v>
      </c>
      <c r="F376" s="263">
        <v>2013</v>
      </c>
      <c r="G376" s="263" t="s">
        <v>8775</v>
      </c>
      <c r="H376" s="263" t="s">
        <v>7938</v>
      </c>
      <c r="I376" s="265">
        <v>41759</v>
      </c>
      <c r="J376" s="263" t="s">
        <v>8776</v>
      </c>
      <c r="K376" s="263" t="s">
        <v>8777</v>
      </c>
      <c r="L376" s="263" t="s">
        <v>422</v>
      </c>
      <c r="M376" s="266">
        <v>810000</v>
      </c>
      <c r="N376" s="263" t="s">
        <v>8778</v>
      </c>
      <c r="O376" s="263" t="s">
        <v>8733</v>
      </c>
      <c r="P376" s="232">
        <v>18</v>
      </c>
      <c r="Q376" s="256"/>
      <c r="R376" s="256"/>
      <c r="S376" s="256"/>
      <c r="T376" s="256"/>
      <c r="U376" s="256"/>
      <c r="V376" s="256"/>
      <c r="W376" s="256"/>
      <c r="X376" s="256"/>
      <c r="Y376" s="257"/>
      <c r="Z376" s="257"/>
    </row>
    <row r="377" spans="1:26" ht="15.75" customHeight="1" x14ac:dyDescent="0.35">
      <c r="A377" s="258">
        <v>369</v>
      </c>
      <c r="B377" s="263" t="s">
        <v>8727</v>
      </c>
      <c r="C377" s="263" t="s">
        <v>8728</v>
      </c>
      <c r="D377" s="263" t="s">
        <v>1236</v>
      </c>
      <c r="E377" s="263">
        <v>8833</v>
      </c>
      <c r="F377" s="263">
        <v>2021</v>
      </c>
      <c r="G377" s="263" t="s">
        <v>8779</v>
      </c>
      <c r="H377" s="263" t="s">
        <v>7938</v>
      </c>
      <c r="I377" s="265">
        <v>44539</v>
      </c>
      <c r="J377" s="263" t="s">
        <v>8780</v>
      </c>
      <c r="K377" s="263" t="s">
        <v>8781</v>
      </c>
      <c r="L377" s="263" t="s">
        <v>8782</v>
      </c>
      <c r="M377" s="266">
        <v>8038.03</v>
      </c>
      <c r="N377" s="263" t="s">
        <v>8783</v>
      </c>
      <c r="O377" s="263" t="s">
        <v>8733</v>
      </c>
      <c r="P377" s="232">
        <v>18</v>
      </c>
      <c r="Q377" s="256"/>
      <c r="R377" s="256"/>
      <c r="S377" s="256"/>
      <c r="T377" s="256"/>
      <c r="U377" s="256"/>
      <c r="V377" s="256"/>
      <c r="W377" s="256"/>
      <c r="X377" s="256"/>
      <c r="Y377" s="257"/>
      <c r="Z377" s="257"/>
    </row>
    <row r="378" spans="1:26" ht="15.75" customHeight="1" x14ac:dyDescent="0.35">
      <c r="A378" s="264">
        <v>370</v>
      </c>
      <c r="B378" s="263" t="s">
        <v>8727</v>
      </c>
      <c r="C378" s="263" t="s">
        <v>8728</v>
      </c>
      <c r="D378" s="263" t="s">
        <v>181</v>
      </c>
      <c r="E378" s="263">
        <v>1500</v>
      </c>
      <c r="F378" s="263">
        <v>2009</v>
      </c>
      <c r="G378" s="263" t="s">
        <v>8784</v>
      </c>
      <c r="H378" s="263" t="s">
        <v>7938</v>
      </c>
      <c r="I378" s="265">
        <v>39986</v>
      </c>
      <c r="J378" s="263" t="s">
        <v>8785</v>
      </c>
      <c r="K378" s="263" t="s">
        <v>8786</v>
      </c>
      <c r="L378" s="263" t="s">
        <v>422</v>
      </c>
      <c r="M378" s="266">
        <v>5250</v>
      </c>
      <c r="N378" s="263" t="s">
        <v>8787</v>
      </c>
      <c r="O378" s="263" t="s">
        <v>8733</v>
      </c>
      <c r="P378" s="232">
        <v>18</v>
      </c>
      <c r="Q378" s="256"/>
      <c r="R378" s="256"/>
      <c r="S378" s="256"/>
      <c r="T378" s="256"/>
      <c r="U378" s="256"/>
      <c r="V378" s="256"/>
      <c r="W378" s="256"/>
      <c r="X378" s="256"/>
      <c r="Y378" s="257"/>
      <c r="Z378" s="257"/>
    </row>
    <row r="379" spans="1:26" ht="15.75" customHeight="1" x14ac:dyDescent="0.35">
      <c r="A379" s="258">
        <v>371</v>
      </c>
      <c r="B379" s="263" t="s">
        <v>8727</v>
      </c>
      <c r="C379" s="263" t="s">
        <v>8728</v>
      </c>
      <c r="D379" s="263" t="s">
        <v>187</v>
      </c>
      <c r="E379" s="263">
        <v>896</v>
      </c>
      <c r="F379" s="263">
        <v>2015</v>
      </c>
      <c r="G379" s="263" t="s">
        <v>8788</v>
      </c>
      <c r="H379" s="263" t="s">
        <v>7938</v>
      </c>
      <c r="I379" s="265">
        <v>44995</v>
      </c>
      <c r="J379" s="263" t="s">
        <v>8789</v>
      </c>
      <c r="K379" s="263" t="s">
        <v>8790</v>
      </c>
      <c r="L379" s="263" t="s">
        <v>422</v>
      </c>
      <c r="M379" s="266">
        <v>21000</v>
      </c>
      <c r="N379" s="263" t="s">
        <v>8791</v>
      </c>
      <c r="O379" s="263" t="s">
        <v>8733</v>
      </c>
      <c r="P379" s="232">
        <v>18</v>
      </c>
      <c r="Q379" s="256"/>
      <c r="R379" s="256"/>
      <c r="S379" s="256"/>
      <c r="T379" s="256"/>
      <c r="U379" s="256"/>
      <c r="V379" s="256"/>
      <c r="W379" s="256"/>
      <c r="X379" s="256"/>
      <c r="Y379" s="257"/>
      <c r="Z379" s="257"/>
    </row>
    <row r="380" spans="1:26" ht="15.75" customHeight="1" x14ac:dyDescent="0.35">
      <c r="A380" s="258">
        <v>372</v>
      </c>
      <c r="B380" s="263" t="s">
        <v>8727</v>
      </c>
      <c r="C380" s="263" t="s">
        <v>8728</v>
      </c>
      <c r="D380" s="263" t="s">
        <v>190</v>
      </c>
      <c r="E380" s="263">
        <v>650</v>
      </c>
      <c r="F380" s="263">
        <v>2019</v>
      </c>
      <c r="G380" s="263" t="s">
        <v>8792</v>
      </c>
      <c r="H380" s="263" t="s">
        <v>7938</v>
      </c>
      <c r="I380" s="265">
        <v>44995</v>
      </c>
      <c r="J380" s="263" t="s">
        <v>8793</v>
      </c>
      <c r="K380" s="263" t="s">
        <v>8786</v>
      </c>
      <c r="L380" s="263" t="s">
        <v>422</v>
      </c>
      <c r="M380" s="266">
        <v>2975</v>
      </c>
      <c r="N380" s="263" t="s">
        <v>8794</v>
      </c>
      <c r="O380" s="263" t="s">
        <v>8733</v>
      </c>
      <c r="P380" s="232">
        <v>18</v>
      </c>
      <c r="Q380" s="256"/>
      <c r="R380" s="256"/>
      <c r="S380" s="256"/>
      <c r="T380" s="256"/>
      <c r="U380" s="256"/>
      <c r="V380" s="256"/>
      <c r="W380" s="256"/>
      <c r="X380" s="256"/>
      <c r="Y380" s="257"/>
      <c r="Z380" s="257"/>
    </row>
    <row r="381" spans="1:26" ht="15.75" customHeight="1" x14ac:dyDescent="0.35">
      <c r="A381" s="264">
        <v>373</v>
      </c>
      <c r="B381" s="263" t="s">
        <v>8727</v>
      </c>
      <c r="C381" s="263" t="s">
        <v>8728</v>
      </c>
      <c r="D381" s="263" t="s">
        <v>194</v>
      </c>
      <c r="E381" s="263">
        <v>120</v>
      </c>
      <c r="F381" s="263">
        <v>2013</v>
      </c>
      <c r="G381" s="263" t="s">
        <v>8795</v>
      </c>
      <c r="H381" s="263"/>
      <c r="I381" s="265">
        <v>41598</v>
      </c>
      <c r="J381" s="263" t="s">
        <v>8796</v>
      </c>
      <c r="K381" s="263" t="s">
        <v>8786</v>
      </c>
      <c r="L381" s="263" t="s">
        <v>422</v>
      </c>
      <c r="M381" s="266">
        <v>420</v>
      </c>
      <c r="N381" s="263" t="s">
        <v>8797</v>
      </c>
      <c r="O381" s="263" t="s">
        <v>8733</v>
      </c>
      <c r="P381" s="232">
        <v>18</v>
      </c>
      <c r="Q381" s="256"/>
      <c r="R381" s="256"/>
      <c r="S381" s="256"/>
      <c r="T381" s="256"/>
      <c r="U381" s="256"/>
      <c r="V381" s="256"/>
      <c r="W381" s="256"/>
      <c r="X381" s="256"/>
      <c r="Y381" s="257"/>
      <c r="Z381" s="257"/>
    </row>
    <row r="382" spans="1:26" ht="15.75" customHeight="1" x14ac:dyDescent="0.35">
      <c r="A382" s="258">
        <v>374</v>
      </c>
      <c r="B382" s="263" t="s">
        <v>8727</v>
      </c>
      <c r="C382" s="263" t="s">
        <v>8728</v>
      </c>
      <c r="D382" s="263" t="s">
        <v>195</v>
      </c>
      <c r="E382" s="263">
        <v>853</v>
      </c>
      <c r="F382" s="263">
        <v>2024</v>
      </c>
      <c r="G382" s="263" t="s">
        <v>8798</v>
      </c>
      <c r="H382" s="263" t="s">
        <v>7938</v>
      </c>
      <c r="I382" s="265">
        <v>45799</v>
      </c>
      <c r="J382" s="263" t="s">
        <v>8799</v>
      </c>
      <c r="K382" s="263" t="s">
        <v>8800</v>
      </c>
      <c r="L382" s="263" t="s">
        <v>422</v>
      </c>
      <c r="M382" s="266">
        <v>126208</v>
      </c>
      <c r="N382" s="263" t="s">
        <v>8801</v>
      </c>
      <c r="O382" s="263" t="s">
        <v>8733</v>
      </c>
      <c r="P382" s="232">
        <v>18</v>
      </c>
      <c r="Q382" s="256"/>
      <c r="R382" s="256"/>
      <c r="S382" s="256"/>
      <c r="T382" s="256"/>
      <c r="U382" s="256"/>
      <c r="V382" s="256"/>
      <c r="W382" s="256"/>
      <c r="X382" s="256"/>
      <c r="Y382" s="257"/>
      <c r="Z382" s="257"/>
    </row>
    <row r="383" spans="1:26" ht="15.75" customHeight="1" x14ac:dyDescent="0.35">
      <c r="A383" s="258">
        <v>375</v>
      </c>
      <c r="B383" s="263" t="s">
        <v>8727</v>
      </c>
      <c r="C383" s="263" t="s">
        <v>8728</v>
      </c>
      <c r="D383" s="263" t="s">
        <v>199</v>
      </c>
      <c r="E383" s="263">
        <v>4846</v>
      </c>
      <c r="F383" s="263">
        <v>2024</v>
      </c>
      <c r="G383" s="263" t="s">
        <v>8798</v>
      </c>
      <c r="H383" s="263" t="s">
        <v>7938</v>
      </c>
      <c r="I383" s="265">
        <v>45799</v>
      </c>
      <c r="J383" s="263" t="s">
        <v>8802</v>
      </c>
      <c r="K383" s="263" t="s">
        <v>8803</v>
      </c>
      <c r="L383" s="263" t="s">
        <v>422</v>
      </c>
      <c r="M383" s="266">
        <v>646272</v>
      </c>
      <c r="N383" s="263" t="s">
        <v>8804</v>
      </c>
      <c r="O383" s="263" t="s">
        <v>8733</v>
      </c>
      <c r="P383" s="232">
        <v>18</v>
      </c>
      <c r="Q383" s="256"/>
      <c r="R383" s="256"/>
      <c r="S383" s="256"/>
      <c r="T383" s="256"/>
      <c r="U383" s="256"/>
      <c r="V383" s="256"/>
      <c r="W383" s="256"/>
      <c r="X383" s="256"/>
      <c r="Y383" s="257"/>
      <c r="Z383" s="257"/>
    </row>
    <row r="384" spans="1:26" ht="15.75" customHeight="1" x14ac:dyDescent="0.35">
      <c r="A384" s="264">
        <v>376</v>
      </c>
      <c r="B384" s="263" t="s">
        <v>8387</v>
      </c>
      <c r="C384" s="263" t="s">
        <v>8388</v>
      </c>
      <c r="D384" s="263" t="s">
        <v>51</v>
      </c>
      <c r="E384" s="263">
        <v>50480</v>
      </c>
      <c r="F384" s="263">
        <v>2018</v>
      </c>
      <c r="G384" s="263" t="s">
        <v>8805</v>
      </c>
      <c r="H384" s="263" t="s">
        <v>7938</v>
      </c>
      <c r="I384" s="265"/>
      <c r="J384" s="263"/>
      <c r="K384" s="263" t="s">
        <v>8806</v>
      </c>
      <c r="L384" s="263" t="s">
        <v>422</v>
      </c>
      <c r="M384" s="266">
        <v>4012497.2992000002</v>
      </c>
      <c r="N384" s="263" t="s">
        <v>8807</v>
      </c>
      <c r="O384" s="263" t="s">
        <v>8733</v>
      </c>
      <c r="P384" s="232">
        <v>18</v>
      </c>
      <c r="Q384" s="256"/>
      <c r="R384" s="256"/>
      <c r="S384" s="256"/>
      <c r="T384" s="256"/>
      <c r="U384" s="256"/>
      <c r="V384" s="256"/>
      <c r="W384" s="256"/>
      <c r="X384" s="256"/>
      <c r="Y384" s="257"/>
      <c r="Z384" s="257"/>
    </row>
    <row r="385" spans="1:26" ht="15.75" customHeight="1" x14ac:dyDescent="0.35">
      <c r="A385" s="258">
        <v>377</v>
      </c>
      <c r="B385" s="263" t="s">
        <v>8808</v>
      </c>
      <c r="C385" s="263" t="s">
        <v>8809</v>
      </c>
      <c r="D385" s="263" t="s">
        <v>51</v>
      </c>
      <c r="E385" s="263">
        <v>374</v>
      </c>
      <c r="F385" s="263">
        <v>2013</v>
      </c>
      <c r="G385" s="263" t="s">
        <v>8810</v>
      </c>
      <c r="H385" s="263" t="s">
        <v>7938</v>
      </c>
      <c r="I385" s="265">
        <v>44581</v>
      </c>
      <c r="J385" s="263" t="s">
        <v>8811</v>
      </c>
      <c r="K385" s="263" t="s">
        <v>8812</v>
      </c>
      <c r="L385" s="263" t="s">
        <v>422</v>
      </c>
      <c r="M385" s="266">
        <v>980</v>
      </c>
      <c r="N385" s="263" t="s">
        <v>8813</v>
      </c>
      <c r="O385" s="263" t="s">
        <v>8733</v>
      </c>
      <c r="P385" s="232">
        <v>18</v>
      </c>
      <c r="Q385" s="256"/>
      <c r="R385" s="256"/>
      <c r="S385" s="256"/>
      <c r="T385" s="256"/>
      <c r="U385" s="256"/>
      <c r="V385" s="256"/>
      <c r="W385" s="256"/>
      <c r="X385" s="256"/>
      <c r="Y385" s="257"/>
      <c r="Z385" s="257"/>
    </row>
    <row r="386" spans="1:26" ht="15.75" customHeight="1" x14ac:dyDescent="0.35">
      <c r="A386" s="258">
        <v>378</v>
      </c>
      <c r="B386" s="263" t="s">
        <v>8814</v>
      </c>
      <c r="C386" s="263" t="s">
        <v>8815</v>
      </c>
      <c r="D386" s="263" t="s">
        <v>51</v>
      </c>
      <c r="E386" s="263">
        <v>8195</v>
      </c>
      <c r="F386" s="263">
        <v>2006</v>
      </c>
      <c r="G386" s="263" t="s">
        <v>8816</v>
      </c>
      <c r="H386" s="263" t="s">
        <v>7938</v>
      </c>
      <c r="I386" s="265">
        <v>45065</v>
      </c>
      <c r="J386" s="263" t="s">
        <v>8817</v>
      </c>
      <c r="K386" s="263" t="s">
        <v>8818</v>
      </c>
      <c r="L386" s="263" t="s">
        <v>422</v>
      </c>
      <c r="M386" s="266">
        <v>270000</v>
      </c>
      <c r="N386" s="263" t="s">
        <v>8819</v>
      </c>
      <c r="O386" s="263" t="s">
        <v>8733</v>
      </c>
      <c r="P386" s="232">
        <v>18</v>
      </c>
      <c r="Q386" s="256"/>
      <c r="R386" s="256"/>
      <c r="S386" s="256"/>
      <c r="T386" s="256"/>
      <c r="U386" s="256"/>
      <c r="V386" s="256"/>
      <c r="W386" s="256"/>
      <c r="X386" s="256"/>
      <c r="Y386" s="257"/>
      <c r="Z386" s="257"/>
    </row>
    <row r="387" spans="1:26" ht="15.75" customHeight="1" x14ac:dyDescent="0.35">
      <c r="A387" s="264">
        <v>379</v>
      </c>
      <c r="B387" s="263" t="s">
        <v>8820</v>
      </c>
      <c r="C387" s="263" t="s">
        <v>8821</v>
      </c>
      <c r="D387" s="263" t="s">
        <v>51</v>
      </c>
      <c r="E387" s="263">
        <v>1149</v>
      </c>
      <c r="F387" s="263">
        <v>2024</v>
      </c>
      <c r="G387" s="263" t="s">
        <v>8822</v>
      </c>
      <c r="H387" s="263" t="s">
        <v>7938</v>
      </c>
      <c r="I387" s="265">
        <v>44062</v>
      </c>
      <c r="J387" s="263" t="s">
        <v>8823</v>
      </c>
      <c r="K387" s="263" t="s">
        <v>8824</v>
      </c>
      <c r="L387" s="263" t="s">
        <v>422</v>
      </c>
      <c r="M387" s="266">
        <v>16086</v>
      </c>
      <c r="N387" s="263" t="s">
        <v>8825</v>
      </c>
      <c r="O387" s="263" t="s">
        <v>8733</v>
      </c>
      <c r="P387" s="232">
        <v>18</v>
      </c>
      <c r="Q387" s="256"/>
      <c r="R387" s="256"/>
      <c r="S387" s="256"/>
      <c r="T387" s="256"/>
      <c r="U387" s="256"/>
      <c r="V387" s="256"/>
      <c r="W387" s="256"/>
      <c r="X387" s="256"/>
      <c r="Y387" s="257"/>
      <c r="Z387" s="257"/>
    </row>
    <row r="388" spans="1:26" ht="15.75" customHeight="1" x14ac:dyDescent="0.35">
      <c r="A388" s="258">
        <v>380</v>
      </c>
      <c r="B388" s="263" t="s">
        <v>8002</v>
      </c>
      <c r="C388" s="263" t="s">
        <v>8003</v>
      </c>
      <c r="D388" s="263" t="s">
        <v>51</v>
      </c>
      <c r="E388" s="263">
        <v>860</v>
      </c>
      <c r="F388" s="263">
        <v>1992</v>
      </c>
      <c r="G388" s="263" t="s">
        <v>8826</v>
      </c>
      <c r="H388" s="263" t="s">
        <v>7938</v>
      </c>
      <c r="I388" s="265">
        <v>33693</v>
      </c>
      <c r="J388" s="263" t="s">
        <v>8827</v>
      </c>
      <c r="K388" s="263" t="s">
        <v>8828</v>
      </c>
      <c r="L388" s="263" t="s">
        <v>422</v>
      </c>
      <c r="M388" s="266">
        <v>43959</v>
      </c>
      <c r="N388" s="263" t="s">
        <v>8603</v>
      </c>
      <c r="O388" s="263" t="s">
        <v>419</v>
      </c>
      <c r="P388" s="232">
        <v>19</v>
      </c>
      <c r="Q388" s="256"/>
      <c r="R388" s="256"/>
      <c r="S388" s="256"/>
      <c r="T388" s="256"/>
      <c r="U388" s="256"/>
      <c r="V388" s="256"/>
      <c r="W388" s="256"/>
      <c r="X388" s="256"/>
      <c r="Y388" s="257"/>
      <c r="Z388" s="257"/>
    </row>
    <row r="389" spans="1:26" ht="15.75" customHeight="1" x14ac:dyDescent="0.35">
      <c r="A389" s="258">
        <v>381</v>
      </c>
      <c r="B389" s="263" t="s">
        <v>8598</v>
      </c>
      <c r="C389" s="263" t="s">
        <v>8599</v>
      </c>
      <c r="D389" s="263" t="s">
        <v>51</v>
      </c>
      <c r="E389" s="263">
        <v>1226</v>
      </c>
      <c r="F389" s="263">
        <v>1992</v>
      </c>
      <c r="G389" s="263" t="s">
        <v>8829</v>
      </c>
      <c r="H389" s="263" t="s">
        <v>7938</v>
      </c>
      <c r="I389" s="265">
        <v>33693</v>
      </c>
      <c r="J389" s="263" t="s">
        <v>8830</v>
      </c>
      <c r="K389" s="263" t="s">
        <v>8831</v>
      </c>
      <c r="L389" s="263" t="s">
        <v>422</v>
      </c>
      <c r="M389" s="266">
        <v>62667</v>
      </c>
      <c r="N389" s="263" t="s">
        <v>168</v>
      </c>
      <c r="O389" s="263" t="s">
        <v>419</v>
      </c>
      <c r="P389" s="232">
        <v>19</v>
      </c>
      <c r="Q389" s="256"/>
      <c r="R389" s="256"/>
      <c r="S389" s="256"/>
      <c r="T389" s="256"/>
      <c r="U389" s="256"/>
      <c r="V389" s="256"/>
      <c r="W389" s="256"/>
      <c r="X389" s="256"/>
      <c r="Y389" s="257"/>
      <c r="Z389" s="257"/>
    </row>
    <row r="390" spans="1:26" ht="15.75" customHeight="1" x14ac:dyDescent="0.35">
      <c r="A390" s="264">
        <v>382</v>
      </c>
      <c r="B390" s="263" t="s">
        <v>8002</v>
      </c>
      <c r="C390" s="263" t="s">
        <v>8003</v>
      </c>
      <c r="D390" s="263" t="s">
        <v>51</v>
      </c>
      <c r="E390" s="263">
        <v>4000</v>
      </c>
      <c r="F390" s="263">
        <v>2005</v>
      </c>
      <c r="G390" s="263" t="s">
        <v>8832</v>
      </c>
      <c r="H390" s="263" t="s">
        <v>7938</v>
      </c>
      <c r="I390" s="265">
        <v>39165</v>
      </c>
      <c r="J390" s="263" t="s">
        <v>8833</v>
      </c>
      <c r="K390" s="263" t="s">
        <v>8834</v>
      </c>
      <c r="L390" s="263" t="s">
        <v>57</v>
      </c>
      <c r="M390" s="266">
        <v>54000</v>
      </c>
      <c r="N390" s="263" t="s">
        <v>8835</v>
      </c>
      <c r="O390" s="263" t="s">
        <v>440</v>
      </c>
      <c r="P390" s="232">
        <v>20</v>
      </c>
      <c r="Q390" s="256"/>
      <c r="R390" s="256"/>
      <c r="S390" s="256"/>
      <c r="T390" s="256"/>
      <c r="U390" s="256"/>
      <c r="V390" s="256"/>
      <c r="W390" s="256"/>
      <c r="X390" s="256"/>
      <c r="Y390" s="257"/>
      <c r="Z390" s="257"/>
    </row>
    <row r="391" spans="1:26" ht="15.75" customHeight="1" x14ac:dyDescent="0.35">
      <c r="A391" s="258">
        <v>383</v>
      </c>
      <c r="B391" s="263" t="s">
        <v>8002</v>
      </c>
      <c r="C391" s="263" t="s">
        <v>8003</v>
      </c>
      <c r="D391" s="263" t="s">
        <v>59</v>
      </c>
      <c r="E391" s="263">
        <v>4940</v>
      </c>
      <c r="F391" s="263">
        <v>2005</v>
      </c>
      <c r="G391" s="263" t="s">
        <v>8836</v>
      </c>
      <c r="H391" s="263" t="s">
        <v>7938</v>
      </c>
      <c r="I391" s="265">
        <v>39165</v>
      </c>
      <c r="J391" s="263" t="s">
        <v>8837</v>
      </c>
      <c r="K391" s="263" t="s">
        <v>8838</v>
      </c>
      <c r="L391" s="263" t="s">
        <v>57</v>
      </c>
      <c r="M391" s="266">
        <v>177500</v>
      </c>
      <c r="N391" s="263"/>
      <c r="O391" s="263" t="s">
        <v>440</v>
      </c>
      <c r="P391" s="232">
        <v>20</v>
      </c>
      <c r="Q391" s="256"/>
      <c r="R391" s="256"/>
      <c r="S391" s="256"/>
      <c r="T391" s="256"/>
      <c r="U391" s="256"/>
      <c r="V391" s="256"/>
      <c r="W391" s="256"/>
      <c r="X391" s="256"/>
      <c r="Y391" s="257"/>
      <c r="Z391" s="257"/>
    </row>
    <row r="392" spans="1:26" ht="15.75" customHeight="1" x14ac:dyDescent="0.35">
      <c r="A392" s="258">
        <v>384</v>
      </c>
      <c r="B392" s="263" t="s">
        <v>8002</v>
      </c>
      <c r="C392" s="263" t="s">
        <v>8003</v>
      </c>
      <c r="D392" s="263" t="s">
        <v>97</v>
      </c>
      <c r="E392" s="263">
        <v>994</v>
      </c>
      <c r="F392" s="263">
        <v>2005</v>
      </c>
      <c r="G392" s="263" t="s">
        <v>8836</v>
      </c>
      <c r="H392" s="263" t="s">
        <v>7938</v>
      </c>
      <c r="I392" s="265">
        <v>39437</v>
      </c>
      <c r="J392" s="263" t="s">
        <v>8839</v>
      </c>
      <c r="K392" s="263" t="s">
        <v>8838</v>
      </c>
      <c r="L392" s="263" t="s">
        <v>57</v>
      </c>
      <c r="M392" s="266">
        <v>47500</v>
      </c>
      <c r="N392" s="263"/>
      <c r="O392" s="263" t="s">
        <v>440</v>
      </c>
      <c r="P392" s="232">
        <v>20</v>
      </c>
      <c r="Q392" s="256"/>
      <c r="R392" s="256"/>
      <c r="S392" s="256"/>
      <c r="T392" s="256"/>
      <c r="U392" s="256"/>
      <c r="V392" s="256"/>
      <c r="W392" s="256"/>
      <c r="X392" s="256"/>
      <c r="Y392" s="257"/>
      <c r="Z392" s="257"/>
    </row>
    <row r="393" spans="1:26" ht="15.75" customHeight="1" x14ac:dyDescent="0.35">
      <c r="A393" s="264">
        <v>385</v>
      </c>
      <c r="B393" s="263" t="s">
        <v>8840</v>
      </c>
      <c r="C393" s="263" t="s">
        <v>8841</v>
      </c>
      <c r="D393" s="263" t="s">
        <v>51</v>
      </c>
      <c r="E393" s="263">
        <v>45962</v>
      </c>
      <c r="F393" s="263">
        <v>2006</v>
      </c>
      <c r="G393" s="263" t="s">
        <v>8842</v>
      </c>
      <c r="H393" s="263" t="s">
        <v>7938</v>
      </c>
      <c r="I393" s="265">
        <v>39476</v>
      </c>
      <c r="J393" s="263" t="s">
        <v>8843</v>
      </c>
      <c r="K393" s="263" t="s">
        <v>8844</v>
      </c>
      <c r="L393" s="263" t="s">
        <v>57</v>
      </c>
      <c r="M393" s="266">
        <v>367086</v>
      </c>
      <c r="N393" s="263"/>
      <c r="O393" s="263" t="s">
        <v>440</v>
      </c>
      <c r="P393" s="232">
        <v>20</v>
      </c>
      <c r="Q393" s="256"/>
      <c r="R393" s="256"/>
      <c r="S393" s="256"/>
      <c r="T393" s="256"/>
      <c r="U393" s="256"/>
      <c r="V393" s="256"/>
      <c r="W393" s="256"/>
      <c r="X393" s="256"/>
      <c r="Y393" s="257"/>
      <c r="Z393" s="257"/>
    </row>
    <row r="394" spans="1:26" ht="15.75" customHeight="1" x14ac:dyDescent="0.35">
      <c r="A394" s="258">
        <v>386</v>
      </c>
      <c r="B394" s="263" t="s">
        <v>8840</v>
      </c>
      <c r="C394" s="263" t="s">
        <v>8841</v>
      </c>
      <c r="D394" s="263" t="s">
        <v>59</v>
      </c>
      <c r="E394" s="263">
        <v>23900</v>
      </c>
      <c r="F394" s="263">
        <v>2010</v>
      </c>
      <c r="G394" s="263" t="s">
        <v>8842</v>
      </c>
      <c r="H394" s="263" t="s">
        <v>7938</v>
      </c>
      <c r="I394" s="265">
        <v>44581</v>
      </c>
      <c r="J394" s="263" t="s">
        <v>8845</v>
      </c>
      <c r="K394" s="263" t="s">
        <v>8844</v>
      </c>
      <c r="L394" s="263" t="s">
        <v>57</v>
      </c>
      <c r="M394" s="266">
        <v>160845</v>
      </c>
      <c r="N394" s="263" t="s">
        <v>8846</v>
      </c>
      <c r="O394" s="263" t="s">
        <v>440</v>
      </c>
      <c r="P394" s="232">
        <v>20</v>
      </c>
      <c r="Q394" s="256"/>
      <c r="R394" s="256"/>
      <c r="S394" s="256"/>
      <c r="T394" s="256"/>
      <c r="U394" s="256"/>
      <c r="V394" s="256"/>
      <c r="W394" s="256"/>
      <c r="X394" s="256"/>
      <c r="Y394" s="257"/>
      <c r="Z394" s="257"/>
    </row>
    <row r="395" spans="1:26" ht="15.75" customHeight="1" x14ac:dyDescent="0.35">
      <c r="A395" s="258">
        <v>387</v>
      </c>
      <c r="B395" s="263" t="s">
        <v>8840</v>
      </c>
      <c r="C395" s="263" t="s">
        <v>8841</v>
      </c>
      <c r="D395" s="263" t="s">
        <v>97</v>
      </c>
      <c r="E395" s="263">
        <v>33440</v>
      </c>
      <c r="F395" s="263">
        <v>2013</v>
      </c>
      <c r="G395" s="263" t="s">
        <v>8847</v>
      </c>
      <c r="H395" s="263" t="s">
        <v>7938</v>
      </c>
      <c r="I395" s="265">
        <v>41608</v>
      </c>
      <c r="J395" s="263" t="s">
        <v>8848</v>
      </c>
      <c r="K395" s="263" t="s">
        <v>8849</v>
      </c>
      <c r="L395" s="263" t="s">
        <v>422</v>
      </c>
      <c r="M395" s="266">
        <v>16051.2</v>
      </c>
      <c r="N395" s="263" t="s">
        <v>8850</v>
      </c>
      <c r="O395" s="263" t="s">
        <v>440</v>
      </c>
      <c r="P395" s="232">
        <v>20</v>
      </c>
      <c r="Q395" s="256"/>
      <c r="R395" s="256"/>
      <c r="S395" s="256"/>
      <c r="T395" s="256"/>
      <c r="U395" s="256"/>
      <c r="V395" s="256"/>
      <c r="W395" s="256"/>
      <c r="X395" s="256"/>
      <c r="Y395" s="257"/>
      <c r="Z395" s="257"/>
    </row>
    <row r="396" spans="1:26" ht="15.75" customHeight="1" x14ac:dyDescent="0.35">
      <c r="A396" s="264">
        <v>388</v>
      </c>
      <c r="B396" s="263" t="s">
        <v>8840</v>
      </c>
      <c r="C396" s="263" t="s">
        <v>8841</v>
      </c>
      <c r="D396" s="263" t="s">
        <v>101</v>
      </c>
      <c r="E396" s="263">
        <v>36</v>
      </c>
      <c r="F396" s="263">
        <v>2014</v>
      </c>
      <c r="G396" s="263" t="s">
        <v>8851</v>
      </c>
      <c r="H396" s="263" t="s">
        <v>7938</v>
      </c>
      <c r="I396" s="265">
        <v>44995</v>
      </c>
      <c r="J396" s="263" t="s">
        <v>8852</v>
      </c>
      <c r="K396" s="263" t="s">
        <v>8853</v>
      </c>
      <c r="L396" s="263" t="s">
        <v>422</v>
      </c>
      <c r="M396" s="266">
        <v>972</v>
      </c>
      <c r="N396" s="263" t="s">
        <v>8854</v>
      </c>
      <c r="O396" s="263" t="s">
        <v>440</v>
      </c>
      <c r="P396" s="232">
        <v>20</v>
      </c>
      <c r="Q396" s="256"/>
      <c r="R396" s="256"/>
      <c r="S396" s="256"/>
      <c r="T396" s="256"/>
      <c r="U396" s="256"/>
      <c r="V396" s="256"/>
      <c r="W396" s="256"/>
      <c r="X396" s="256"/>
      <c r="Y396" s="257"/>
      <c r="Z396" s="257"/>
    </row>
    <row r="397" spans="1:26" ht="15.75" customHeight="1" x14ac:dyDescent="0.35">
      <c r="A397" s="258">
        <v>389</v>
      </c>
      <c r="B397" s="263" t="s">
        <v>8237</v>
      </c>
      <c r="C397" s="263" t="s">
        <v>8238</v>
      </c>
      <c r="D397" s="263" t="s">
        <v>51</v>
      </c>
      <c r="E397" s="263">
        <v>360</v>
      </c>
      <c r="F397" s="263">
        <v>2005</v>
      </c>
      <c r="G397" s="263" t="s">
        <v>8855</v>
      </c>
      <c r="H397" s="263" t="s">
        <v>7938</v>
      </c>
      <c r="I397" s="265">
        <v>38583</v>
      </c>
      <c r="J397" s="263" t="s">
        <v>8856</v>
      </c>
      <c r="K397" s="263" t="s">
        <v>8857</v>
      </c>
      <c r="L397" s="263" t="s">
        <v>422</v>
      </c>
      <c r="M397" s="266">
        <v>21600</v>
      </c>
      <c r="N397" s="263" t="s">
        <v>8858</v>
      </c>
      <c r="O397" s="263" t="s">
        <v>495</v>
      </c>
      <c r="P397" s="232">
        <v>22</v>
      </c>
      <c r="Q397" s="256"/>
      <c r="R397" s="256"/>
      <c r="S397" s="256"/>
      <c r="T397" s="256"/>
      <c r="U397" s="256"/>
      <c r="V397" s="256"/>
      <c r="W397" s="256"/>
      <c r="X397" s="256"/>
      <c r="Y397" s="257"/>
      <c r="Z397" s="257"/>
    </row>
    <row r="398" spans="1:26" ht="15.75" customHeight="1" x14ac:dyDescent="0.35">
      <c r="A398" s="258">
        <v>390</v>
      </c>
      <c r="B398" s="263" t="s">
        <v>8002</v>
      </c>
      <c r="C398" s="263" t="s">
        <v>8003</v>
      </c>
      <c r="D398" s="263" t="s">
        <v>51</v>
      </c>
      <c r="E398" s="263">
        <v>120</v>
      </c>
      <c r="F398" s="263">
        <v>2011</v>
      </c>
      <c r="G398" s="263" t="s">
        <v>8859</v>
      </c>
      <c r="H398" s="263" t="s">
        <v>7938</v>
      </c>
      <c r="I398" s="265">
        <v>40599</v>
      </c>
      <c r="J398" s="263" t="s">
        <v>8860</v>
      </c>
      <c r="K398" s="263" t="s">
        <v>8861</v>
      </c>
      <c r="L398" s="263" t="s">
        <v>422</v>
      </c>
      <c r="M398" s="266">
        <v>3240</v>
      </c>
      <c r="N398" s="263" t="s">
        <v>8862</v>
      </c>
      <c r="O398" s="263" t="s">
        <v>495</v>
      </c>
      <c r="P398" s="232">
        <v>22</v>
      </c>
      <c r="Q398" s="256"/>
      <c r="R398" s="256"/>
      <c r="S398" s="256"/>
      <c r="T398" s="256"/>
      <c r="U398" s="256"/>
      <c r="V398" s="256"/>
      <c r="W398" s="256"/>
      <c r="X398" s="256"/>
      <c r="Y398" s="257"/>
      <c r="Z398" s="257"/>
    </row>
    <row r="399" spans="1:26" ht="15.75" customHeight="1" x14ac:dyDescent="0.35">
      <c r="A399" s="264">
        <v>391</v>
      </c>
      <c r="B399" s="263" t="s">
        <v>8002</v>
      </c>
      <c r="C399" s="263" t="s">
        <v>8003</v>
      </c>
      <c r="D399" s="263" t="s">
        <v>59</v>
      </c>
      <c r="E399" s="263">
        <v>20000</v>
      </c>
      <c r="F399" s="263">
        <v>2003</v>
      </c>
      <c r="G399" s="263" t="s">
        <v>8863</v>
      </c>
      <c r="H399" s="263" t="s">
        <v>7938</v>
      </c>
      <c r="I399" s="265">
        <v>37654</v>
      </c>
      <c r="J399" s="263" t="s">
        <v>8864</v>
      </c>
      <c r="K399" s="263" t="s">
        <v>8865</v>
      </c>
      <c r="L399" s="263" t="s">
        <v>422</v>
      </c>
      <c r="M399" s="266">
        <v>300000</v>
      </c>
      <c r="N399" s="263" t="s">
        <v>8858</v>
      </c>
      <c r="O399" s="263" t="s">
        <v>495</v>
      </c>
      <c r="P399" s="232">
        <v>22</v>
      </c>
      <c r="Q399" s="256"/>
      <c r="R399" s="256"/>
      <c r="S399" s="256"/>
      <c r="T399" s="256"/>
      <c r="U399" s="256"/>
      <c r="V399" s="256"/>
      <c r="W399" s="256"/>
      <c r="X399" s="256"/>
      <c r="Y399" s="257"/>
      <c r="Z399" s="257"/>
    </row>
    <row r="400" spans="1:26" ht="15.75" customHeight="1" x14ac:dyDescent="0.35">
      <c r="A400" s="258">
        <v>392</v>
      </c>
      <c r="B400" s="263" t="s">
        <v>8002</v>
      </c>
      <c r="C400" s="263" t="s">
        <v>8003</v>
      </c>
      <c r="D400" s="263" t="s">
        <v>97</v>
      </c>
      <c r="E400" s="263">
        <v>125000</v>
      </c>
      <c r="F400" s="263">
        <v>2003</v>
      </c>
      <c r="G400" s="263" t="s">
        <v>8866</v>
      </c>
      <c r="H400" s="263" t="s">
        <v>7938</v>
      </c>
      <c r="I400" s="265">
        <v>37910</v>
      </c>
      <c r="J400" s="263" t="s">
        <v>8867</v>
      </c>
      <c r="K400" s="263" t="s">
        <v>8868</v>
      </c>
      <c r="L400" s="263" t="s">
        <v>422</v>
      </c>
      <c r="M400" s="266">
        <v>350000</v>
      </c>
      <c r="N400" s="263" t="s">
        <v>8869</v>
      </c>
      <c r="O400" s="263" t="s">
        <v>495</v>
      </c>
      <c r="P400" s="232">
        <v>22</v>
      </c>
      <c r="Q400" s="256"/>
      <c r="R400" s="256"/>
      <c r="S400" s="256"/>
      <c r="T400" s="256"/>
      <c r="U400" s="256"/>
      <c r="V400" s="256"/>
      <c r="W400" s="256"/>
      <c r="X400" s="256"/>
      <c r="Y400" s="257"/>
      <c r="Z400" s="257"/>
    </row>
    <row r="401" spans="1:26" ht="15.75" customHeight="1" x14ac:dyDescent="0.35">
      <c r="A401" s="258">
        <v>393</v>
      </c>
      <c r="B401" s="263" t="s">
        <v>8002</v>
      </c>
      <c r="C401" s="263" t="s">
        <v>8003</v>
      </c>
      <c r="D401" s="263" t="s">
        <v>101</v>
      </c>
      <c r="E401" s="263">
        <v>1000</v>
      </c>
      <c r="F401" s="263">
        <v>2004</v>
      </c>
      <c r="G401" s="263" t="s">
        <v>8870</v>
      </c>
      <c r="H401" s="263" t="s">
        <v>7938</v>
      </c>
      <c r="I401" s="265">
        <v>38066</v>
      </c>
      <c r="J401" s="263" t="s">
        <v>63</v>
      </c>
      <c r="K401" s="263" t="s">
        <v>8871</v>
      </c>
      <c r="L401" s="263" t="s">
        <v>422</v>
      </c>
      <c r="M401" s="266">
        <v>175000</v>
      </c>
      <c r="N401" s="263" t="s">
        <v>8872</v>
      </c>
      <c r="O401" s="263" t="s">
        <v>495</v>
      </c>
      <c r="P401" s="232">
        <v>22</v>
      </c>
      <c r="Q401" s="256"/>
      <c r="R401" s="256"/>
      <c r="S401" s="256"/>
      <c r="T401" s="256"/>
      <c r="U401" s="256"/>
      <c r="V401" s="256"/>
      <c r="W401" s="256"/>
      <c r="X401" s="256"/>
      <c r="Y401" s="257"/>
      <c r="Z401" s="257"/>
    </row>
    <row r="402" spans="1:26" ht="15.75" customHeight="1" x14ac:dyDescent="0.35">
      <c r="A402" s="264">
        <v>394</v>
      </c>
      <c r="B402" s="263" t="s">
        <v>8462</v>
      </c>
      <c r="C402" s="263" t="s">
        <v>8463</v>
      </c>
      <c r="D402" s="263" t="s">
        <v>51</v>
      </c>
      <c r="E402" s="263">
        <v>55050</v>
      </c>
      <c r="F402" s="263">
        <v>2016</v>
      </c>
      <c r="G402" s="263" t="s">
        <v>8873</v>
      </c>
      <c r="H402" s="263" t="s">
        <v>7938</v>
      </c>
      <c r="I402" s="265">
        <v>42195</v>
      </c>
      <c r="J402" s="263" t="s">
        <v>8874</v>
      </c>
      <c r="K402" s="263" t="s">
        <v>8875</v>
      </c>
      <c r="L402" s="263" t="s">
        <v>422</v>
      </c>
      <c r="M402" s="266">
        <v>192675</v>
      </c>
      <c r="N402" s="263" t="s">
        <v>8591</v>
      </c>
      <c r="O402" s="263" t="s">
        <v>495</v>
      </c>
      <c r="P402" s="232">
        <v>22</v>
      </c>
      <c r="Q402" s="256"/>
      <c r="R402" s="256"/>
      <c r="S402" s="256"/>
      <c r="T402" s="256"/>
      <c r="U402" s="256"/>
      <c r="V402" s="256"/>
      <c r="W402" s="256"/>
      <c r="X402" s="256"/>
      <c r="Y402" s="257"/>
      <c r="Z402" s="257"/>
    </row>
    <row r="403" spans="1:26" ht="15.75" customHeight="1" x14ac:dyDescent="0.35">
      <c r="A403" s="258">
        <v>395</v>
      </c>
      <c r="B403" s="263" t="s">
        <v>8675</v>
      </c>
      <c r="C403" s="263" t="s">
        <v>8676</v>
      </c>
      <c r="D403" s="263" t="s">
        <v>51</v>
      </c>
      <c r="E403" s="263">
        <v>150</v>
      </c>
      <c r="F403" s="263">
        <v>2011</v>
      </c>
      <c r="G403" s="263" t="s">
        <v>8876</v>
      </c>
      <c r="H403" s="263" t="s">
        <v>7938</v>
      </c>
      <c r="I403" s="265">
        <v>40898</v>
      </c>
      <c r="J403" s="263" t="s">
        <v>8877</v>
      </c>
      <c r="K403" s="263" t="s">
        <v>8878</v>
      </c>
      <c r="L403" s="263" t="s">
        <v>422</v>
      </c>
      <c r="M403" s="266">
        <v>3675</v>
      </c>
      <c r="N403" s="263" t="s">
        <v>8879</v>
      </c>
      <c r="O403" s="263" t="s">
        <v>495</v>
      </c>
      <c r="P403" s="232">
        <v>22</v>
      </c>
      <c r="Q403" s="256"/>
      <c r="R403" s="256"/>
      <c r="S403" s="256"/>
      <c r="T403" s="256"/>
      <c r="U403" s="256"/>
      <c r="V403" s="256"/>
      <c r="W403" s="256"/>
      <c r="X403" s="256"/>
      <c r="Y403" s="257"/>
      <c r="Z403" s="257"/>
    </row>
    <row r="404" spans="1:26" ht="15.75" customHeight="1" x14ac:dyDescent="0.35">
      <c r="A404" s="258">
        <v>396</v>
      </c>
      <c r="B404" s="263" t="s">
        <v>8571</v>
      </c>
      <c r="C404" s="263" t="s">
        <v>8572</v>
      </c>
      <c r="D404" s="263" t="s">
        <v>51</v>
      </c>
      <c r="E404" s="263">
        <v>195</v>
      </c>
      <c r="F404" s="263">
        <v>2013</v>
      </c>
      <c r="G404" s="263" t="s">
        <v>8880</v>
      </c>
      <c r="H404" s="263" t="s">
        <v>7938</v>
      </c>
      <c r="I404" s="265">
        <v>41517</v>
      </c>
      <c r="J404" s="263" t="s">
        <v>8881</v>
      </c>
      <c r="K404" s="263" t="s">
        <v>8882</v>
      </c>
      <c r="L404" s="263" t="s">
        <v>422</v>
      </c>
      <c r="M404" s="266">
        <v>477.75</v>
      </c>
      <c r="N404" s="263" t="s">
        <v>8869</v>
      </c>
      <c r="O404" s="263" t="s">
        <v>495</v>
      </c>
      <c r="P404" s="232">
        <v>22</v>
      </c>
      <c r="Q404" s="256"/>
      <c r="R404" s="256"/>
      <c r="S404" s="256"/>
      <c r="T404" s="256"/>
      <c r="U404" s="256"/>
      <c r="V404" s="256"/>
      <c r="W404" s="256"/>
      <c r="X404" s="256"/>
      <c r="Y404" s="257"/>
      <c r="Z404" s="257"/>
    </row>
    <row r="405" spans="1:26" ht="15.75" customHeight="1" x14ac:dyDescent="0.35">
      <c r="A405" s="264">
        <v>397</v>
      </c>
      <c r="B405" s="263" t="s">
        <v>8598</v>
      </c>
      <c r="C405" s="263" t="s">
        <v>8599</v>
      </c>
      <c r="D405" s="263" t="s">
        <v>51</v>
      </c>
      <c r="E405" s="263">
        <v>342</v>
      </c>
      <c r="F405" s="263">
        <v>1992</v>
      </c>
      <c r="G405" s="263" t="s">
        <v>8883</v>
      </c>
      <c r="H405" s="263" t="s">
        <v>7938</v>
      </c>
      <c r="I405" s="265">
        <v>45621</v>
      </c>
      <c r="J405" s="263" t="s">
        <v>8884</v>
      </c>
      <c r="K405" s="263" t="s">
        <v>8885</v>
      </c>
      <c r="L405" s="263" t="s">
        <v>422</v>
      </c>
      <c r="M405" s="266">
        <v>15590</v>
      </c>
      <c r="N405" s="263" t="s">
        <v>8603</v>
      </c>
      <c r="O405" s="263" t="s">
        <v>495</v>
      </c>
      <c r="P405" s="232">
        <v>22</v>
      </c>
      <c r="Q405" s="256"/>
      <c r="R405" s="256"/>
      <c r="S405" s="256"/>
      <c r="T405" s="256"/>
      <c r="U405" s="256"/>
      <c r="V405" s="256"/>
      <c r="W405" s="256"/>
      <c r="X405" s="256"/>
      <c r="Y405" s="257"/>
      <c r="Z405" s="257"/>
    </row>
    <row r="406" spans="1:26" ht="15.75" customHeight="1" x14ac:dyDescent="0.35">
      <c r="A406" s="258">
        <v>398</v>
      </c>
      <c r="B406" s="263" t="s">
        <v>8237</v>
      </c>
      <c r="C406" s="263" t="s">
        <v>8238</v>
      </c>
      <c r="D406" s="263" t="s">
        <v>51</v>
      </c>
      <c r="E406" s="263">
        <v>946</v>
      </c>
      <c r="F406" s="263">
        <v>2023</v>
      </c>
      <c r="G406" s="263" t="s">
        <v>8886</v>
      </c>
      <c r="H406" s="263"/>
      <c r="I406" s="265"/>
      <c r="J406" s="263"/>
      <c r="K406" s="263" t="s">
        <v>8887</v>
      </c>
      <c r="L406" s="263" t="s">
        <v>422</v>
      </c>
      <c r="M406" s="266">
        <v>45408</v>
      </c>
      <c r="N406" s="263" t="s">
        <v>8888</v>
      </c>
      <c r="O406" s="263" t="s">
        <v>561</v>
      </c>
      <c r="P406" s="232">
        <v>25</v>
      </c>
      <c r="Q406" s="256"/>
      <c r="R406" s="256"/>
      <c r="S406" s="256"/>
      <c r="T406" s="256"/>
      <c r="U406" s="256"/>
      <c r="V406" s="256"/>
      <c r="W406" s="256"/>
      <c r="X406" s="256"/>
      <c r="Y406" s="257"/>
      <c r="Z406" s="257"/>
    </row>
    <row r="407" spans="1:26" ht="15.75" customHeight="1" x14ac:dyDescent="0.35">
      <c r="A407" s="258">
        <v>399</v>
      </c>
      <c r="B407" s="263" t="s">
        <v>7964</v>
      </c>
      <c r="C407" s="263" t="s">
        <v>7965</v>
      </c>
      <c r="D407" s="263" t="s">
        <v>51</v>
      </c>
      <c r="E407" s="263">
        <v>159800</v>
      </c>
      <c r="F407" s="263">
        <v>2004</v>
      </c>
      <c r="G407" s="263" t="s">
        <v>8889</v>
      </c>
      <c r="H407" s="263" t="s">
        <v>7938</v>
      </c>
      <c r="I407" s="265">
        <v>38248</v>
      </c>
      <c r="J407" s="263" t="s">
        <v>63</v>
      </c>
      <c r="K407" s="263" t="s">
        <v>8890</v>
      </c>
      <c r="L407" s="263" t="s">
        <v>57</v>
      </c>
      <c r="M407" s="266">
        <v>3888420</v>
      </c>
      <c r="N407" s="263" t="s">
        <v>8891</v>
      </c>
      <c r="O407" s="263" t="s">
        <v>561</v>
      </c>
      <c r="P407" s="232">
        <v>25</v>
      </c>
      <c r="Q407" s="256"/>
      <c r="R407" s="256"/>
      <c r="S407" s="256"/>
      <c r="T407" s="256"/>
      <c r="U407" s="256"/>
      <c r="V407" s="256"/>
      <c r="W407" s="256"/>
      <c r="X407" s="256"/>
      <c r="Y407" s="257"/>
      <c r="Z407" s="257"/>
    </row>
    <row r="408" spans="1:26" ht="15.75" customHeight="1" x14ac:dyDescent="0.35">
      <c r="A408" s="264">
        <v>400</v>
      </c>
      <c r="B408" s="263" t="s">
        <v>8892</v>
      </c>
      <c r="C408" s="263" t="s">
        <v>8893</v>
      </c>
      <c r="D408" s="263" t="s">
        <v>51</v>
      </c>
      <c r="E408" s="263">
        <v>193300</v>
      </c>
      <c r="F408" s="263">
        <v>2021</v>
      </c>
      <c r="G408" s="263" t="s">
        <v>8894</v>
      </c>
      <c r="H408" s="263" t="s">
        <v>63</v>
      </c>
      <c r="I408" s="265">
        <v>44539</v>
      </c>
      <c r="J408" s="263" t="s">
        <v>8895</v>
      </c>
      <c r="K408" s="263" t="s">
        <v>8896</v>
      </c>
      <c r="L408" s="263" t="s">
        <v>8782</v>
      </c>
      <c r="M408" s="266">
        <v>54000</v>
      </c>
      <c r="N408" s="263" t="s">
        <v>8897</v>
      </c>
      <c r="O408" s="263" t="s">
        <v>561</v>
      </c>
      <c r="P408" s="232">
        <v>25</v>
      </c>
      <c r="Q408" s="256"/>
      <c r="R408" s="256"/>
      <c r="S408" s="256"/>
      <c r="T408" s="256"/>
      <c r="U408" s="256"/>
      <c r="V408" s="256"/>
      <c r="W408" s="256"/>
      <c r="X408" s="256"/>
      <c r="Y408" s="257"/>
      <c r="Z408" s="257"/>
    </row>
    <row r="409" spans="1:26" ht="15.75" customHeight="1" x14ac:dyDescent="0.35">
      <c r="A409" s="258">
        <v>401</v>
      </c>
      <c r="B409" s="263" t="s">
        <v>8892</v>
      </c>
      <c r="C409" s="263" t="s">
        <v>8893</v>
      </c>
      <c r="D409" s="263" t="s">
        <v>59</v>
      </c>
      <c r="E409" s="263">
        <v>50000</v>
      </c>
      <c r="F409" s="263">
        <v>2022</v>
      </c>
      <c r="G409" s="263" t="s">
        <v>8898</v>
      </c>
      <c r="H409" s="263"/>
      <c r="I409" s="265">
        <v>44838</v>
      </c>
      <c r="J409" s="263" t="s">
        <v>8899</v>
      </c>
      <c r="K409" s="263" t="s">
        <v>8900</v>
      </c>
      <c r="L409" s="263" t="s">
        <v>44</v>
      </c>
      <c r="M409" s="266">
        <v>5250</v>
      </c>
      <c r="N409" s="263" t="s">
        <v>8901</v>
      </c>
      <c r="O409" s="263" t="s">
        <v>561</v>
      </c>
      <c r="P409" s="232">
        <v>25</v>
      </c>
      <c r="Q409" s="256"/>
      <c r="R409" s="256"/>
      <c r="S409" s="256"/>
      <c r="T409" s="256"/>
      <c r="U409" s="256"/>
      <c r="V409" s="256"/>
      <c r="W409" s="256"/>
      <c r="X409" s="256"/>
      <c r="Y409" s="257"/>
      <c r="Z409" s="257"/>
    </row>
    <row r="410" spans="1:26" ht="15.75" customHeight="1" x14ac:dyDescent="0.35">
      <c r="A410" s="258">
        <v>402</v>
      </c>
      <c r="B410" s="263" t="s">
        <v>8002</v>
      </c>
      <c r="C410" s="263" t="s">
        <v>8003</v>
      </c>
      <c r="D410" s="263" t="s">
        <v>59</v>
      </c>
      <c r="E410" s="263">
        <v>3736</v>
      </c>
      <c r="F410" s="263">
        <v>2008</v>
      </c>
      <c r="G410" s="263" t="s">
        <v>8902</v>
      </c>
      <c r="H410" s="263" t="s">
        <v>7938</v>
      </c>
      <c r="I410" s="265">
        <v>45603</v>
      </c>
      <c r="J410" s="263" t="s">
        <v>8903</v>
      </c>
      <c r="K410" s="263" t="s">
        <v>8904</v>
      </c>
      <c r="L410" s="263" t="s">
        <v>57</v>
      </c>
      <c r="M410" s="266">
        <v>13750</v>
      </c>
      <c r="N410" s="263" t="s">
        <v>8905</v>
      </c>
      <c r="O410" s="263" t="s">
        <v>561</v>
      </c>
      <c r="P410" s="232">
        <v>25</v>
      </c>
      <c r="Q410" s="256"/>
      <c r="R410" s="256"/>
      <c r="S410" s="256"/>
      <c r="T410" s="256"/>
      <c r="U410" s="256"/>
      <c r="V410" s="256"/>
      <c r="W410" s="256"/>
      <c r="X410" s="256"/>
      <c r="Y410" s="257"/>
      <c r="Z410" s="257"/>
    </row>
    <row r="411" spans="1:26" ht="15.75" customHeight="1" x14ac:dyDescent="0.35">
      <c r="A411" s="264">
        <v>403</v>
      </c>
      <c r="B411" s="263" t="s">
        <v>8002</v>
      </c>
      <c r="C411" s="263" t="s">
        <v>8003</v>
      </c>
      <c r="D411" s="263" t="s">
        <v>97</v>
      </c>
      <c r="E411" s="263">
        <v>17916</v>
      </c>
      <c r="F411" s="263">
        <v>2008</v>
      </c>
      <c r="G411" s="263" t="s">
        <v>8902</v>
      </c>
      <c r="H411" s="263" t="s">
        <v>7938</v>
      </c>
      <c r="I411" s="265"/>
      <c r="J411" s="263"/>
      <c r="K411" s="263" t="s">
        <v>8906</v>
      </c>
      <c r="L411" s="263" t="s">
        <v>57</v>
      </c>
      <c r="M411" s="266">
        <v>1079439</v>
      </c>
      <c r="N411" s="263" t="s">
        <v>8907</v>
      </c>
      <c r="O411" s="263" t="s">
        <v>561</v>
      </c>
      <c r="P411" s="232">
        <v>25</v>
      </c>
      <c r="Q411" s="256"/>
      <c r="R411" s="256"/>
      <c r="S411" s="256"/>
      <c r="T411" s="256"/>
      <c r="U411" s="256"/>
      <c r="V411" s="256"/>
      <c r="W411" s="256"/>
      <c r="X411" s="256"/>
      <c r="Y411" s="257"/>
      <c r="Z411" s="257"/>
    </row>
    <row r="412" spans="1:26" ht="15.75" customHeight="1" x14ac:dyDescent="0.35">
      <c r="A412" s="258">
        <v>404</v>
      </c>
      <c r="B412" s="263" t="s">
        <v>8002</v>
      </c>
      <c r="C412" s="263" t="s">
        <v>8003</v>
      </c>
      <c r="D412" s="263" t="s">
        <v>101</v>
      </c>
      <c r="E412" s="263">
        <v>904</v>
      </c>
      <c r="F412" s="263">
        <v>2008</v>
      </c>
      <c r="G412" s="263" t="s">
        <v>8902</v>
      </c>
      <c r="H412" s="263" t="s">
        <v>7938</v>
      </c>
      <c r="I412" s="265">
        <v>45603</v>
      </c>
      <c r="J412" s="263" t="s">
        <v>8908</v>
      </c>
      <c r="K412" s="263" t="s">
        <v>8909</v>
      </c>
      <c r="L412" s="263" t="s">
        <v>57</v>
      </c>
      <c r="M412" s="266">
        <v>3575</v>
      </c>
      <c r="N412" s="263" t="s">
        <v>8910</v>
      </c>
      <c r="O412" s="263" t="s">
        <v>561</v>
      </c>
      <c r="P412" s="232">
        <v>25</v>
      </c>
      <c r="Q412" s="256"/>
      <c r="R412" s="256"/>
      <c r="S412" s="256"/>
      <c r="T412" s="256"/>
      <c r="U412" s="256"/>
      <c r="V412" s="256"/>
      <c r="W412" s="256"/>
      <c r="X412" s="256"/>
      <c r="Y412" s="257"/>
      <c r="Z412" s="257"/>
    </row>
    <row r="413" spans="1:26" ht="15.75" customHeight="1" x14ac:dyDescent="0.35">
      <c r="A413" s="258">
        <v>405</v>
      </c>
      <c r="B413" s="263" t="s">
        <v>8002</v>
      </c>
      <c r="C413" s="263" t="s">
        <v>8003</v>
      </c>
      <c r="D413" s="263" t="s">
        <v>107</v>
      </c>
      <c r="E413" s="263">
        <v>126</v>
      </c>
      <c r="F413" s="263">
        <v>2008</v>
      </c>
      <c r="G413" s="263" t="s">
        <v>8911</v>
      </c>
      <c r="H413" s="263" t="s">
        <v>7938</v>
      </c>
      <c r="I413" s="265"/>
      <c r="J413" s="263"/>
      <c r="K413" s="263" t="s">
        <v>8385</v>
      </c>
      <c r="L413" s="263" t="s">
        <v>57</v>
      </c>
      <c r="M413" s="266">
        <v>3969</v>
      </c>
      <c r="N413" s="263" t="s">
        <v>8912</v>
      </c>
      <c r="O413" s="263" t="s">
        <v>561</v>
      </c>
      <c r="P413" s="232">
        <v>25</v>
      </c>
      <c r="Q413" s="256"/>
      <c r="R413" s="256"/>
      <c r="S413" s="256"/>
      <c r="T413" s="256"/>
      <c r="U413" s="256"/>
      <c r="V413" s="256"/>
      <c r="W413" s="256"/>
      <c r="X413" s="256"/>
      <c r="Y413" s="257"/>
      <c r="Z413" s="257"/>
    </row>
    <row r="414" spans="1:26" ht="15.75" customHeight="1" x14ac:dyDescent="0.35">
      <c r="A414" s="264">
        <v>406</v>
      </c>
      <c r="B414" s="263" t="s">
        <v>8002</v>
      </c>
      <c r="C414" s="263" t="s">
        <v>8003</v>
      </c>
      <c r="D414" s="263" t="s">
        <v>112</v>
      </c>
      <c r="E414" s="263">
        <v>191</v>
      </c>
      <c r="F414" s="263">
        <v>2005</v>
      </c>
      <c r="G414" s="263" t="s">
        <v>8913</v>
      </c>
      <c r="H414" s="263" t="s">
        <v>7938</v>
      </c>
      <c r="I414" s="265">
        <v>39437</v>
      </c>
      <c r="J414" s="263" t="s">
        <v>8914</v>
      </c>
      <c r="K414" s="263" t="s">
        <v>8915</v>
      </c>
      <c r="L414" s="263" t="s">
        <v>57</v>
      </c>
      <c r="M414" s="266">
        <v>2379</v>
      </c>
      <c r="N414" s="263" t="s">
        <v>8916</v>
      </c>
      <c r="O414" s="263" t="s">
        <v>561</v>
      </c>
      <c r="P414" s="232">
        <v>25</v>
      </c>
      <c r="Q414" s="256"/>
      <c r="R414" s="256"/>
      <c r="S414" s="256"/>
      <c r="T414" s="256"/>
      <c r="U414" s="256"/>
      <c r="V414" s="256"/>
      <c r="W414" s="256"/>
      <c r="X414" s="256"/>
      <c r="Y414" s="257"/>
      <c r="Z414" s="257"/>
    </row>
    <row r="415" spans="1:26" ht="15.75" customHeight="1" x14ac:dyDescent="0.35">
      <c r="A415" s="258">
        <v>407</v>
      </c>
      <c r="B415" s="263" t="s">
        <v>8002</v>
      </c>
      <c r="C415" s="263" t="s">
        <v>8003</v>
      </c>
      <c r="D415" s="263" t="s">
        <v>116</v>
      </c>
      <c r="E415" s="263">
        <v>124</v>
      </c>
      <c r="F415" s="263">
        <v>2005</v>
      </c>
      <c r="G415" s="263" t="s">
        <v>8917</v>
      </c>
      <c r="H415" s="263" t="s">
        <v>7938</v>
      </c>
      <c r="I415" s="265">
        <v>39437</v>
      </c>
      <c r="J415" s="263" t="s">
        <v>8918</v>
      </c>
      <c r="K415" s="263" t="s">
        <v>8385</v>
      </c>
      <c r="L415" s="263" t="s">
        <v>57</v>
      </c>
      <c r="M415" s="266">
        <v>5005</v>
      </c>
      <c r="N415" s="263" t="s">
        <v>8919</v>
      </c>
      <c r="O415" s="263" t="s">
        <v>561</v>
      </c>
      <c r="P415" s="232">
        <v>25</v>
      </c>
      <c r="Q415" s="256"/>
      <c r="R415" s="256"/>
      <c r="S415" s="256"/>
      <c r="T415" s="256"/>
      <c r="U415" s="256"/>
      <c r="V415" s="256"/>
      <c r="W415" s="256"/>
      <c r="X415" s="256"/>
      <c r="Y415" s="257"/>
      <c r="Z415" s="257"/>
    </row>
    <row r="416" spans="1:26" ht="15.75" customHeight="1" x14ac:dyDescent="0.35">
      <c r="A416" s="258">
        <v>408</v>
      </c>
      <c r="B416" s="263" t="s">
        <v>8002</v>
      </c>
      <c r="C416" s="263" t="s">
        <v>8003</v>
      </c>
      <c r="D416" s="263" t="s">
        <v>904</v>
      </c>
      <c r="E416" s="263">
        <v>1687</v>
      </c>
      <c r="F416" s="263">
        <v>2005</v>
      </c>
      <c r="G416" s="263" t="s">
        <v>8920</v>
      </c>
      <c r="H416" s="263" t="s">
        <v>7938</v>
      </c>
      <c r="I416" s="265">
        <v>39437</v>
      </c>
      <c r="J416" s="263" t="s">
        <v>8921</v>
      </c>
      <c r="K416" s="263" t="s">
        <v>8385</v>
      </c>
      <c r="L416" s="263" t="s">
        <v>57</v>
      </c>
      <c r="M416" s="266">
        <v>120900</v>
      </c>
      <c r="N416" s="263" t="s">
        <v>8922</v>
      </c>
      <c r="O416" s="263" t="s">
        <v>561</v>
      </c>
      <c r="P416" s="232">
        <v>25</v>
      </c>
      <c r="Q416" s="256"/>
      <c r="R416" s="256"/>
      <c r="S416" s="256"/>
      <c r="T416" s="256"/>
      <c r="U416" s="256"/>
      <c r="V416" s="256"/>
      <c r="W416" s="256"/>
      <c r="X416" s="256"/>
      <c r="Y416" s="257"/>
      <c r="Z416" s="257"/>
    </row>
    <row r="417" spans="1:26" ht="15.75" customHeight="1" x14ac:dyDescent="0.35">
      <c r="A417" s="264">
        <v>409</v>
      </c>
      <c r="B417" s="263" t="s">
        <v>8002</v>
      </c>
      <c r="C417" s="263" t="s">
        <v>8003</v>
      </c>
      <c r="D417" s="263" t="s">
        <v>122</v>
      </c>
      <c r="E417" s="263">
        <v>10717</v>
      </c>
      <c r="F417" s="263">
        <v>2007</v>
      </c>
      <c r="G417" s="263" t="s">
        <v>8923</v>
      </c>
      <c r="H417" s="263" t="s">
        <v>7938</v>
      </c>
      <c r="I417" s="265">
        <v>39165</v>
      </c>
      <c r="J417" s="263" t="s">
        <v>8924</v>
      </c>
      <c r="K417" s="263" t="s">
        <v>8925</v>
      </c>
      <c r="L417" s="263" t="s">
        <v>57</v>
      </c>
      <c r="M417" s="266">
        <v>198265</v>
      </c>
      <c r="N417" s="263" t="s">
        <v>8925</v>
      </c>
      <c r="O417" s="263" t="s">
        <v>561</v>
      </c>
      <c r="P417" s="232">
        <v>25</v>
      </c>
      <c r="Q417" s="256"/>
      <c r="R417" s="256"/>
      <c r="S417" s="256"/>
      <c r="T417" s="256"/>
      <c r="U417" s="256"/>
      <c r="V417" s="256"/>
      <c r="W417" s="256"/>
      <c r="X417" s="256"/>
      <c r="Y417" s="257"/>
      <c r="Z417" s="257"/>
    </row>
    <row r="418" spans="1:26" ht="15.75" customHeight="1" x14ac:dyDescent="0.35">
      <c r="A418" s="258">
        <v>410</v>
      </c>
      <c r="B418" s="263" t="s">
        <v>8002</v>
      </c>
      <c r="C418" s="263" t="s">
        <v>8003</v>
      </c>
      <c r="D418" s="263" t="s">
        <v>126</v>
      </c>
      <c r="E418" s="263">
        <v>252</v>
      </c>
      <c r="F418" s="263">
        <v>2005</v>
      </c>
      <c r="G418" s="263" t="s">
        <v>8926</v>
      </c>
      <c r="H418" s="263" t="s">
        <v>7938</v>
      </c>
      <c r="I418" s="265">
        <v>39428</v>
      </c>
      <c r="J418" s="263" t="s">
        <v>8927</v>
      </c>
      <c r="K418" s="263" t="s">
        <v>8928</v>
      </c>
      <c r="L418" s="263" t="s">
        <v>57</v>
      </c>
      <c r="M418" s="266">
        <v>2250</v>
      </c>
      <c r="N418" s="263" t="s">
        <v>8929</v>
      </c>
      <c r="O418" s="263" t="s">
        <v>561</v>
      </c>
      <c r="P418" s="232">
        <v>25</v>
      </c>
      <c r="Q418" s="256"/>
      <c r="R418" s="256"/>
      <c r="S418" s="256"/>
      <c r="T418" s="256"/>
      <c r="U418" s="256"/>
      <c r="V418" s="256"/>
      <c r="W418" s="256"/>
      <c r="X418" s="256"/>
      <c r="Y418" s="257"/>
      <c r="Z418" s="257"/>
    </row>
    <row r="419" spans="1:26" ht="15.75" customHeight="1" x14ac:dyDescent="0.35">
      <c r="A419" s="258">
        <v>411</v>
      </c>
      <c r="B419" s="263" t="s">
        <v>8002</v>
      </c>
      <c r="C419" s="263" t="s">
        <v>8003</v>
      </c>
      <c r="D419" s="263" t="s">
        <v>132</v>
      </c>
      <c r="E419" s="263">
        <v>265</v>
      </c>
      <c r="F419" s="263">
        <v>2003</v>
      </c>
      <c r="G419" s="263" t="s">
        <v>8930</v>
      </c>
      <c r="H419" s="263" t="s">
        <v>7938</v>
      </c>
      <c r="I419" s="265"/>
      <c r="J419" s="263"/>
      <c r="K419" s="263" t="s">
        <v>8931</v>
      </c>
      <c r="L419" s="263" t="s">
        <v>422</v>
      </c>
      <c r="M419" s="266">
        <v>46482425.524999999</v>
      </c>
      <c r="N419" s="263" t="s">
        <v>8891</v>
      </c>
      <c r="O419" s="263" t="s">
        <v>561</v>
      </c>
      <c r="P419" s="232">
        <v>25</v>
      </c>
      <c r="Q419" s="256"/>
      <c r="R419" s="256"/>
      <c r="S419" s="256"/>
      <c r="T419" s="256"/>
      <c r="U419" s="256"/>
      <c r="V419" s="256"/>
      <c r="W419" s="256"/>
      <c r="X419" s="256"/>
      <c r="Y419" s="257"/>
      <c r="Z419" s="257"/>
    </row>
    <row r="420" spans="1:26" ht="15.75" customHeight="1" x14ac:dyDescent="0.35">
      <c r="A420" s="264">
        <v>412</v>
      </c>
      <c r="B420" s="263" t="s">
        <v>8932</v>
      </c>
      <c r="C420" s="263" t="s">
        <v>8933</v>
      </c>
      <c r="D420" s="263" t="s">
        <v>51</v>
      </c>
      <c r="E420" s="263">
        <v>19994</v>
      </c>
      <c r="F420" s="263">
        <v>2008</v>
      </c>
      <c r="G420" s="263" t="s">
        <v>8934</v>
      </c>
      <c r="H420" s="263" t="s">
        <v>7938</v>
      </c>
      <c r="I420" s="265">
        <v>39476</v>
      </c>
      <c r="J420" s="263" t="s">
        <v>8935</v>
      </c>
      <c r="K420" s="263" t="s">
        <v>8936</v>
      </c>
      <c r="L420" s="263" t="s">
        <v>57</v>
      </c>
      <c r="M420" s="266">
        <v>781266</v>
      </c>
      <c r="N420" s="263" t="s">
        <v>8891</v>
      </c>
      <c r="O420" s="263" t="s">
        <v>561</v>
      </c>
      <c r="P420" s="232">
        <v>25</v>
      </c>
      <c r="Q420" s="256"/>
      <c r="R420" s="256"/>
      <c r="S420" s="256"/>
      <c r="T420" s="256"/>
      <c r="U420" s="256"/>
      <c r="V420" s="256"/>
      <c r="W420" s="256"/>
      <c r="X420" s="256"/>
      <c r="Y420" s="257"/>
      <c r="Z420" s="257"/>
    </row>
    <row r="421" spans="1:26" ht="15.75" customHeight="1" x14ac:dyDescent="0.35">
      <c r="A421" s="258">
        <v>413</v>
      </c>
      <c r="B421" s="263" t="s">
        <v>8462</v>
      </c>
      <c r="C421" s="263" t="s">
        <v>8463</v>
      </c>
      <c r="D421" s="263" t="s">
        <v>51</v>
      </c>
      <c r="E421" s="263">
        <v>5000</v>
      </c>
      <c r="F421" s="263">
        <v>2008</v>
      </c>
      <c r="G421" s="263" t="s">
        <v>8937</v>
      </c>
      <c r="H421" s="263" t="s">
        <v>7938</v>
      </c>
      <c r="I421" s="265"/>
      <c r="J421" s="263"/>
      <c r="K421" s="263" t="s">
        <v>8938</v>
      </c>
      <c r="L421" s="263" t="s">
        <v>57</v>
      </c>
      <c r="M421" s="266">
        <v>67500</v>
      </c>
      <c r="N421" s="263" t="s">
        <v>8939</v>
      </c>
      <c r="O421" s="263" t="s">
        <v>561</v>
      </c>
      <c r="P421" s="232">
        <v>25</v>
      </c>
      <c r="Q421" s="256"/>
      <c r="R421" s="256"/>
      <c r="S421" s="256"/>
      <c r="T421" s="256"/>
      <c r="U421" s="256"/>
      <c r="V421" s="256"/>
      <c r="W421" s="256"/>
      <c r="X421" s="256"/>
      <c r="Y421" s="257"/>
      <c r="Z421" s="257"/>
    </row>
    <row r="422" spans="1:26" ht="15.75" customHeight="1" x14ac:dyDescent="0.35">
      <c r="A422" s="258">
        <v>414</v>
      </c>
      <c r="B422" s="263" t="s">
        <v>8675</v>
      </c>
      <c r="C422" s="263" t="s">
        <v>8676</v>
      </c>
      <c r="D422" s="263" t="s">
        <v>51</v>
      </c>
      <c r="E422" s="263">
        <v>1302</v>
      </c>
      <c r="F422" s="263">
        <v>2023</v>
      </c>
      <c r="G422" s="263" t="s">
        <v>8940</v>
      </c>
      <c r="H422" s="263"/>
      <c r="I422" s="265">
        <v>45603</v>
      </c>
      <c r="J422" s="263" t="s">
        <v>8941</v>
      </c>
      <c r="K422" s="263" t="s">
        <v>8942</v>
      </c>
      <c r="L422" s="263" t="s">
        <v>422</v>
      </c>
      <c r="M422" s="266">
        <v>44316</v>
      </c>
      <c r="N422" s="263" t="s">
        <v>8943</v>
      </c>
      <c r="O422" s="263" t="s">
        <v>561</v>
      </c>
      <c r="P422" s="232">
        <v>25</v>
      </c>
      <c r="Q422" s="256"/>
      <c r="R422" s="256"/>
      <c r="S422" s="256"/>
      <c r="T422" s="256"/>
      <c r="U422" s="256"/>
      <c r="V422" s="256"/>
      <c r="W422" s="256"/>
      <c r="X422" s="256"/>
      <c r="Y422" s="257"/>
      <c r="Z422" s="257"/>
    </row>
    <row r="423" spans="1:26" ht="15.75" customHeight="1" x14ac:dyDescent="0.35">
      <c r="A423" s="264">
        <v>415</v>
      </c>
      <c r="B423" s="263" t="s">
        <v>8598</v>
      </c>
      <c r="C423" s="263" t="s">
        <v>8599</v>
      </c>
      <c r="D423" s="263" t="s">
        <v>51</v>
      </c>
      <c r="E423" s="263">
        <v>485</v>
      </c>
      <c r="F423" s="263">
        <v>1992</v>
      </c>
      <c r="G423" s="263" t="s">
        <v>8600</v>
      </c>
      <c r="H423" s="263" t="s">
        <v>7938</v>
      </c>
      <c r="I423" s="265">
        <v>33693</v>
      </c>
      <c r="J423" s="263" t="s">
        <v>8944</v>
      </c>
      <c r="K423" s="263" t="s">
        <v>8945</v>
      </c>
      <c r="L423" s="263" t="s">
        <v>422</v>
      </c>
      <c r="M423" s="266">
        <v>24791</v>
      </c>
      <c r="N423" s="263" t="s">
        <v>8891</v>
      </c>
      <c r="O423" s="263" t="s">
        <v>561</v>
      </c>
      <c r="P423" s="232">
        <v>25</v>
      </c>
      <c r="Q423" s="256"/>
      <c r="R423" s="256"/>
      <c r="S423" s="256"/>
      <c r="T423" s="256"/>
      <c r="U423" s="256"/>
      <c r="V423" s="256"/>
      <c r="W423" s="256"/>
      <c r="X423" s="256"/>
      <c r="Y423" s="257"/>
      <c r="Z423" s="257"/>
    </row>
    <row r="424" spans="1:26" ht="15.75" customHeight="1" x14ac:dyDescent="0.35">
      <c r="A424" s="258">
        <v>416</v>
      </c>
      <c r="B424" s="263" t="s">
        <v>8598</v>
      </c>
      <c r="C424" s="263" t="s">
        <v>8599</v>
      </c>
      <c r="D424" s="263" t="s">
        <v>59</v>
      </c>
      <c r="E424" s="263">
        <v>506</v>
      </c>
      <c r="F424" s="263">
        <v>1992</v>
      </c>
      <c r="G424" s="263" t="s">
        <v>8946</v>
      </c>
      <c r="H424" s="263" t="s">
        <v>7938</v>
      </c>
      <c r="I424" s="265">
        <v>33693</v>
      </c>
      <c r="J424" s="263" t="s">
        <v>8947</v>
      </c>
      <c r="K424" s="263" t="s">
        <v>8948</v>
      </c>
      <c r="L424" s="263" t="s">
        <v>422</v>
      </c>
      <c r="M424" s="266">
        <v>25864</v>
      </c>
      <c r="N424" s="263" t="s">
        <v>8891</v>
      </c>
      <c r="O424" s="263" t="s">
        <v>561</v>
      </c>
      <c r="P424" s="232">
        <v>25</v>
      </c>
      <c r="Q424" s="256"/>
      <c r="R424" s="256"/>
      <c r="S424" s="256"/>
      <c r="T424" s="256"/>
      <c r="U424" s="256"/>
      <c r="V424" s="256"/>
      <c r="W424" s="256"/>
      <c r="X424" s="256"/>
      <c r="Y424" s="257"/>
      <c r="Z424" s="257"/>
    </row>
    <row r="425" spans="1:26" ht="15.75" customHeight="1" x14ac:dyDescent="0.35">
      <c r="A425" s="258">
        <v>417</v>
      </c>
      <c r="B425" s="263" t="s">
        <v>8598</v>
      </c>
      <c r="C425" s="263" t="s">
        <v>8599</v>
      </c>
      <c r="D425" s="263" t="s">
        <v>97</v>
      </c>
      <c r="E425" s="263">
        <v>18625</v>
      </c>
      <c r="F425" s="263">
        <v>1982</v>
      </c>
      <c r="G425" s="263" t="s">
        <v>8930</v>
      </c>
      <c r="H425" s="263" t="s">
        <v>8375</v>
      </c>
      <c r="I425" s="265">
        <v>30035</v>
      </c>
      <c r="J425" s="263" t="s">
        <v>8949</v>
      </c>
      <c r="K425" s="263" t="s">
        <v>8950</v>
      </c>
      <c r="L425" s="263" t="s">
        <v>57</v>
      </c>
      <c r="M425" s="266">
        <v>796684</v>
      </c>
      <c r="N425" s="263" t="s">
        <v>8950</v>
      </c>
      <c r="O425" s="263" t="s">
        <v>561</v>
      </c>
      <c r="P425" s="232">
        <v>25</v>
      </c>
      <c r="Q425" s="256"/>
      <c r="R425" s="256"/>
      <c r="S425" s="256"/>
      <c r="T425" s="256"/>
      <c r="U425" s="256"/>
      <c r="V425" s="256"/>
      <c r="W425" s="256"/>
      <c r="X425" s="256"/>
      <c r="Y425" s="257"/>
      <c r="Z425" s="257"/>
    </row>
    <row r="426" spans="1:26" ht="15.75" customHeight="1" x14ac:dyDescent="0.35">
      <c r="A426" s="264">
        <v>418</v>
      </c>
      <c r="B426" s="263" t="s">
        <v>8598</v>
      </c>
      <c r="C426" s="263" t="s">
        <v>8599</v>
      </c>
      <c r="D426" s="263" t="s">
        <v>101</v>
      </c>
      <c r="E426" s="263">
        <v>18625</v>
      </c>
      <c r="F426" s="263">
        <v>1982</v>
      </c>
      <c r="G426" s="263" t="s">
        <v>8930</v>
      </c>
      <c r="H426" s="263" t="s">
        <v>8375</v>
      </c>
      <c r="I426" s="265">
        <v>30035</v>
      </c>
      <c r="J426" s="263" t="s">
        <v>8951</v>
      </c>
      <c r="K426" s="263" t="s">
        <v>8950</v>
      </c>
      <c r="L426" s="263" t="s">
        <v>57</v>
      </c>
      <c r="M426" s="266">
        <v>796684</v>
      </c>
      <c r="N426" s="263" t="s">
        <v>8950</v>
      </c>
      <c r="O426" s="263" t="s">
        <v>561</v>
      </c>
      <c r="P426" s="232">
        <v>25</v>
      </c>
      <c r="Q426" s="256"/>
      <c r="R426" s="256"/>
      <c r="S426" s="256"/>
      <c r="T426" s="256"/>
      <c r="U426" s="256"/>
      <c r="V426" s="256"/>
      <c r="W426" s="256"/>
      <c r="X426" s="256"/>
      <c r="Y426" s="257"/>
      <c r="Z426" s="257"/>
    </row>
    <row r="427" spans="1:26" ht="15.75" customHeight="1" x14ac:dyDescent="0.35">
      <c r="A427" s="258">
        <v>419</v>
      </c>
      <c r="B427" s="263" t="s">
        <v>8598</v>
      </c>
      <c r="C427" s="263" t="s">
        <v>8599</v>
      </c>
      <c r="D427" s="263" t="s">
        <v>107</v>
      </c>
      <c r="E427" s="263">
        <v>18625</v>
      </c>
      <c r="F427" s="263">
        <v>1982</v>
      </c>
      <c r="G427" s="263" t="s">
        <v>8930</v>
      </c>
      <c r="H427" s="263" t="s">
        <v>8375</v>
      </c>
      <c r="I427" s="265">
        <v>30035</v>
      </c>
      <c r="J427" s="263" t="s">
        <v>8952</v>
      </c>
      <c r="K427" s="263" t="s">
        <v>8953</v>
      </c>
      <c r="L427" s="263" t="s">
        <v>57</v>
      </c>
      <c r="M427" s="266">
        <v>796684</v>
      </c>
      <c r="N427" s="263" t="s">
        <v>8953</v>
      </c>
      <c r="O427" s="263" t="s">
        <v>561</v>
      </c>
      <c r="P427" s="232">
        <v>25</v>
      </c>
      <c r="Q427" s="256"/>
      <c r="R427" s="256"/>
      <c r="S427" s="256"/>
      <c r="T427" s="256"/>
      <c r="U427" s="256"/>
      <c r="V427" s="256"/>
      <c r="W427" s="256"/>
      <c r="X427" s="256"/>
      <c r="Y427" s="257"/>
      <c r="Z427" s="257"/>
    </row>
    <row r="428" spans="1:26" ht="15.75" customHeight="1" x14ac:dyDescent="0.35">
      <c r="A428" s="258">
        <v>420</v>
      </c>
      <c r="B428" s="263" t="s">
        <v>8598</v>
      </c>
      <c r="C428" s="263" t="s">
        <v>8599</v>
      </c>
      <c r="D428" s="263" t="s">
        <v>112</v>
      </c>
      <c r="E428" s="263">
        <v>18625</v>
      </c>
      <c r="F428" s="263">
        <v>1982</v>
      </c>
      <c r="G428" s="263" t="s">
        <v>8930</v>
      </c>
      <c r="H428" s="263" t="s">
        <v>8375</v>
      </c>
      <c r="I428" s="265">
        <v>30035</v>
      </c>
      <c r="J428" s="263" t="s">
        <v>8954</v>
      </c>
      <c r="K428" s="263" t="s">
        <v>8953</v>
      </c>
      <c r="L428" s="263" t="s">
        <v>57</v>
      </c>
      <c r="M428" s="266">
        <v>796684</v>
      </c>
      <c r="N428" s="263" t="s">
        <v>8953</v>
      </c>
      <c r="O428" s="263" t="s">
        <v>561</v>
      </c>
      <c r="P428" s="232">
        <v>25</v>
      </c>
      <c r="Q428" s="256"/>
      <c r="R428" s="256"/>
      <c r="S428" s="256"/>
      <c r="T428" s="256"/>
      <c r="U428" s="256"/>
      <c r="V428" s="256"/>
      <c r="W428" s="256"/>
      <c r="X428" s="256"/>
      <c r="Y428" s="257"/>
      <c r="Z428" s="257"/>
    </row>
    <row r="429" spans="1:26" ht="15.75" customHeight="1" x14ac:dyDescent="0.35">
      <c r="A429" s="264">
        <v>421</v>
      </c>
      <c r="B429" s="263" t="s">
        <v>8598</v>
      </c>
      <c r="C429" s="263" t="s">
        <v>8599</v>
      </c>
      <c r="D429" s="263" t="s">
        <v>116</v>
      </c>
      <c r="E429" s="263">
        <v>18625</v>
      </c>
      <c r="F429" s="263">
        <v>1982</v>
      </c>
      <c r="G429" s="263" t="s">
        <v>8930</v>
      </c>
      <c r="H429" s="263" t="s">
        <v>8375</v>
      </c>
      <c r="I429" s="265">
        <v>30035</v>
      </c>
      <c r="J429" s="263" t="s">
        <v>8955</v>
      </c>
      <c r="K429" s="263" t="s">
        <v>8953</v>
      </c>
      <c r="L429" s="263" t="s">
        <v>57</v>
      </c>
      <c r="M429" s="266">
        <v>796684</v>
      </c>
      <c r="N429" s="263" t="s">
        <v>8953</v>
      </c>
      <c r="O429" s="263" t="s">
        <v>561</v>
      </c>
      <c r="P429" s="232">
        <v>25</v>
      </c>
      <c r="Q429" s="256"/>
      <c r="R429" s="256"/>
      <c r="S429" s="256"/>
      <c r="T429" s="256"/>
      <c r="U429" s="256"/>
      <c r="V429" s="256"/>
      <c r="W429" s="256"/>
      <c r="X429" s="256"/>
      <c r="Y429" s="257"/>
      <c r="Z429" s="257"/>
    </row>
    <row r="430" spans="1:26" ht="15.75" customHeight="1" x14ac:dyDescent="0.35">
      <c r="A430" s="258">
        <v>422</v>
      </c>
      <c r="B430" s="263" t="s">
        <v>8598</v>
      </c>
      <c r="C430" s="263" t="s">
        <v>8599</v>
      </c>
      <c r="D430" s="263" t="s">
        <v>841</v>
      </c>
      <c r="E430" s="263">
        <v>18625</v>
      </c>
      <c r="F430" s="263">
        <v>1982</v>
      </c>
      <c r="G430" s="263" t="s">
        <v>8930</v>
      </c>
      <c r="H430" s="263" t="s">
        <v>8375</v>
      </c>
      <c r="I430" s="265">
        <v>30035</v>
      </c>
      <c r="J430" s="263" t="s">
        <v>8956</v>
      </c>
      <c r="K430" s="263" t="s">
        <v>8953</v>
      </c>
      <c r="L430" s="263" t="s">
        <v>57</v>
      </c>
      <c r="M430" s="266">
        <v>796684</v>
      </c>
      <c r="N430" s="263" t="s">
        <v>8953</v>
      </c>
      <c r="O430" s="263" t="s">
        <v>561</v>
      </c>
      <c r="P430" s="232">
        <v>25</v>
      </c>
      <c r="Q430" s="256"/>
      <c r="R430" s="256"/>
      <c r="S430" s="256"/>
      <c r="T430" s="256"/>
      <c r="U430" s="256"/>
      <c r="V430" s="256"/>
      <c r="W430" s="256"/>
      <c r="X430" s="256"/>
      <c r="Y430" s="257"/>
      <c r="Z430" s="257"/>
    </row>
    <row r="431" spans="1:26" ht="15.75" customHeight="1" x14ac:dyDescent="0.35">
      <c r="A431" s="258">
        <v>423</v>
      </c>
      <c r="B431" s="263" t="s">
        <v>8598</v>
      </c>
      <c r="C431" s="263" t="s">
        <v>8599</v>
      </c>
      <c r="D431" s="263" t="s">
        <v>904</v>
      </c>
      <c r="E431" s="263">
        <v>18625</v>
      </c>
      <c r="F431" s="263">
        <v>1982</v>
      </c>
      <c r="G431" s="263" t="s">
        <v>8930</v>
      </c>
      <c r="H431" s="263" t="s">
        <v>8375</v>
      </c>
      <c r="I431" s="265">
        <v>30035</v>
      </c>
      <c r="J431" s="263" t="s">
        <v>8957</v>
      </c>
      <c r="K431" s="263" t="s">
        <v>8958</v>
      </c>
      <c r="L431" s="263" t="s">
        <v>57</v>
      </c>
      <c r="M431" s="266">
        <v>796684</v>
      </c>
      <c r="N431" s="263" t="s">
        <v>8958</v>
      </c>
      <c r="O431" s="263" t="s">
        <v>561</v>
      </c>
      <c r="P431" s="232">
        <v>25</v>
      </c>
      <c r="Q431" s="256"/>
      <c r="R431" s="256"/>
      <c r="S431" s="256"/>
      <c r="T431" s="256"/>
      <c r="U431" s="256"/>
      <c r="V431" s="256"/>
      <c r="W431" s="256"/>
      <c r="X431" s="256"/>
      <c r="Y431" s="257"/>
      <c r="Z431" s="257"/>
    </row>
    <row r="432" spans="1:26" ht="15.75" customHeight="1" x14ac:dyDescent="0.35">
      <c r="A432" s="264">
        <v>424</v>
      </c>
      <c r="B432" s="263" t="s">
        <v>8598</v>
      </c>
      <c r="C432" s="263" t="s">
        <v>8599</v>
      </c>
      <c r="D432" s="263" t="s">
        <v>122</v>
      </c>
      <c r="E432" s="263">
        <v>18625</v>
      </c>
      <c r="F432" s="263">
        <v>1982</v>
      </c>
      <c r="G432" s="263" t="s">
        <v>8930</v>
      </c>
      <c r="H432" s="263" t="s">
        <v>8375</v>
      </c>
      <c r="I432" s="265">
        <v>30035</v>
      </c>
      <c r="J432" s="263" t="s">
        <v>8959</v>
      </c>
      <c r="K432" s="263" t="s">
        <v>8958</v>
      </c>
      <c r="L432" s="263" t="s">
        <v>57</v>
      </c>
      <c r="M432" s="266">
        <v>796684</v>
      </c>
      <c r="N432" s="263" t="s">
        <v>8958</v>
      </c>
      <c r="O432" s="263" t="s">
        <v>561</v>
      </c>
      <c r="P432" s="232">
        <v>25</v>
      </c>
      <c r="Q432" s="256"/>
      <c r="R432" s="256"/>
      <c r="S432" s="256"/>
      <c r="T432" s="256"/>
      <c r="U432" s="256"/>
      <c r="V432" s="256"/>
      <c r="W432" s="256"/>
      <c r="X432" s="256"/>
      <c r="Y432" s="257"/>
      <c r="Z432" s="257"/>
    </row>
    <row r="433" spans="1:26" ht="15.75" customHeight="1" x14ac:dyDescent="0.35">
      <c r="A433" s="258">
        <v>425</v>
      </c>
      <c r="B433" s="263" t="s">
        <v>8598</v>
      </c>
      <c r="C433" s="263" t="s">
        <v>8599</v>
      </c>
      <c r="D433" s="263" t="s">
        <v>126</v>
      </c>
      <c r="E433" s="263">
        <v>18625</v>
      </c>
      <c r="F433" s="263">
        <v>1982</v>
      </c>
      <c r="G433" s="263" t="s">
        <v>8930</v>
      </c>
      <c r="H433" s="263" t="s">
        <v>8375</v>
      </c>
      <c r="I433" s="265">
        <v>30035</v>
      </c>
      <c r="J433" s="263" t="s">
        <v>8960</v>
      </c>
      <c r="K433" s="263" t="s">
        <v>8958</v>
      </c>
      <c r="L433" s="263" t="s">
        <v>57</v>
      </c>
      <c r="M433" s="266">
        <v>796684</v>
      </c>
      <c r="N433" s="263" t="s">
        <v>8958</v>
      </c>
      <c r="O433" s="263" t="s">
        <v>561</v>
      </c>
      <c r="P433" s="232">
        <v>25</v>
      </c>
      <c r="Q433" s="256"/>
      <c r="R433" s="256"/>
      <c r="S433" s="256"/>
      <c r="T433" s="256"/>
      <c r="U433" s="256"/>
      <c r="V433" s="256"/>
      <c r="W433" s="256"/>
      <c r="X433" s="256"/>
      <c r="Y433" s="257"/>
      <c r="Z433" s="257"/>
    </row>
    <row r="434" spans="1:26" ht="15.75" customHeight="1" x14ac:dyDescent="0.35">
      <c r="A434" s="258">
        <v>426</v>
      </c>
      <c r="B434" s="263" t="s">
        <v>8598</v>
      </c>
      <c r="C434" s="263" t="s">
        <v>8599</v>
      </c>
      <c r="D434" s="263" t="s">
        <v>132</v>
      </c>
      <c r="E434" s="263">
        <v>18625</v>
      </c>
      <c r="F434" s="263">
        <v>1982</v>
      </c>
      <c r="G434" s="263" t="s">
        <v>8930</v>
      </c>
      <c r="H434" s="263" t="s">
        <v>8375</v>
      </c>
      <c r="I434" s="265">
        <v>30035</v>
      </c>
      <c r="J434" s="263" t="s">
        <v>8961</v>
      </c>
      <c r="K434" s="263" t="s">
        <v>8958</v>
      </c>
      <c r="L434" s="263" t="s">
        <v>57</v>
      </c>
      <c r="M434" s="266">
        <v>796684</v>
      </c>
      <c r="N434" s="263" t="s">
        <v>8958</v>
      </c>
      <c r="O434" s="263" t="s">
        <v>561</v>
      </c>
      <c r="P434" s="232">
        <v>25</v>
      </c>
      <c r="Q434" s="256"/>
      <c r="R434" s="256"/>
      <c r="S434" s="256"/>
      <c r="T434" s="256"/>
      <c r="U434" s="256"/>
      <c r="V434" s="256"/>
      <c r="W434" s="256"/>
      <c r="X434" s="256"/>
      <c r="Y434" s="257"/>
      <c r="Z434" s="257"/>
    </row>
    <row r="435" spans="1:26" ht="15.75" customHeight="1" x14ac:dyDescent="0.35">
      <c r="A435" s="264">
        <v>427</v>
      </c>
      <c r="B435" s="263" t="s">
        <v>8598</v>
      </c>
      <c r="C435" s="263" t="s">
        <v>8599</v>
      </c>
      <c r="D435" s="263" t="s">
        <v>137</v>
      </c>
      <c r="E435" s="263">
        <v>350</v>
      </c>
      <c r="F435" s="263">
        <v>1992</v>
      </c>
      <c r="G435" s="263" t="s">
        <v>8600</v>
      </c>
      <c r="H435" s="263" t="s">
        <v>7938</v>
      </c>
      <c r="I435" s="265"/>
      <c r="J435" s="263"/>
      <c r="K435" s="263"/>
      <c r="L435" s="263" t="s">
        <v>57</v>
      </c>
      <c r="M435" s="266">
        <v>17890</v>
      </c>
      <c r="N435" s="263" t="s">
        <v>8891</v>
      </c>
      <c r="O435" s="263" t="s">
        <v>561</v>
      </c>
      <c r="P435" s="232">
        <v>25</v>
      </c>
      <c r="Q435" s="256"/>
      <c r="R435" s="256"/>
      <c r="S435" s="256"/>
      <c r="T435" s="256"/>
      <c r="U435" s="256"/>
      <c r="V435" s="256"/>
      <c r="W435" s="256"/>
      <c r="X435" s="256"/>
      <c r="Y435" s="257"/>
      <c r="Z435" s="257"/>
    </row>
    <row r="436" spans="1:26" ht="15.75" customHeight="1" x14ac:dyDescent="0.35">
      <c r="A436" s="258">
        <v>428</v>
      </c>
      <c r="B436" s="263" t="s">
        <v>8962</v>
      </c>
      <c r="C436" s="263" t="s">
        <v>8963</v>
      </c>
      <c r="D436" s="263" t="s">
        <v>51</v>
      </c>
      <c r="E436" s="263">
        <v>1300</v>
      </c>
      <c r="F436" s="263">
        <v>2023</v>
      </c>
      <c r="G436" s="263" t="s">
        <v>8964</v>
      </c>
      <c r="H436" s="263"/>
      <c r="I436" s="265"/>
      <c r="J436" s="263"/>
      <c r="K436" s="263" t="s">
        <v>8965</v>
      </c>
      <c r="L436" s="263" t="s">
        <v>422</v>
      </c>
      <c r="M436" s="266">
        <v>62400</v>
      </c>
      <c r="N436" s="263" t="s">
        <v>8966</v>
      </c>
      <c r="O436" s="263" t="s">
        <v>561</v>
      </c>
      <c r="P436" s="232">
        <v>25</v>
      </c>
      <c r="Q436" s="256"/>
      <c r="R436" s="256"/>
      <c r="S436" s="256"/>
      <c r="T436" s="256"/>
      <c r="U436" s="256"/>
      <c r="V436" s="256"/>
      <c r="W436" s="256"/>
      <c r="X436" s="256"/>
      <c r="Y436" s="257"/>
      <c r="Z436" s="257"/>
    </row>
    <row r="437" spans="1:26" ht="15.75" customHeight="1" x14ac:dyDescent="0.35">
      <c r="A437" s="258">
        <v>429</v>
      </c>
      <c r="B437" s="263" t="s">
        <v>8967</v>
      </c>
      <c r="C437" s="263" t="s">
        <v>8968</v>
      </c>
      <c r="D437" s="263" t="s">
        <v>51</v>
      </c>
      <c r="E437" s="263">
        <v>32630</v>
      </c>
      <c r="F437" s="263">
        <v>2010</v>
      </c>
      <c r="G437" s="263" t="s">
        <v>8767</v>
      </c>
      <c r="H437" s="263" t="s">
        <v>7938</v>
      </c>
      <c r="I437" s="265">
        <v>44995</v>
      </c>
      <c r="J437" s="263" t="s">
        <v>8969</v>
      </c>
      <c r="K437" s="263" t="s">
        <v>8970</v>
      </c>
      <c r="L437" s="263" t="s">
        <v>57</v>
      </c>
      <c r="M437" s="266">
        <v>737690.1</v>
      </c>
      <c r="N437" s="263" t="s">
        <v>8971</v>
      </c>
      <c r="O437" s="263" t="s">
        <v>561</v>
      </c>
      <c r="P437" s="232">
        <v>25</v>
      </c>
      <c r="Q437" s="256"/>
      <c r="R437" s="256"/>
      <c r="S437" s="256"/>
      <c r="T437" s="256"/>
      <c r="U437" s="256"/>
      <c r="V437" s="256"/>
      <c r="W437" s="256"/>
      <c r="X437" s="256"/>
      <c r="Y437" s="257"/>
      <c r="Z437" s="257"/>
    </row>
    <row r="438" spans="1:26" ht="15.75" customHeight="1" x14ac:dyDescent="0.35">
      <c r="A438" s="264">
        <v>430</v>
      </c>
      <c r="B438" s="263" t="s">
        <v>8972</v>
      </c>
      <c r="C438" s="263" t="s">
        <v>8973</v>
      </c>
      <c r="D438" s="263" t="s">
        <v>51</v>
      </c>
      <c r="E438" s="263">
        <v>80000</v>
      </c>
      <c r="F438" s="263">
        <v>2007</v>
      </c>
      <c r="G438" s="263" t="s">
        <v>8974</v>
      </c>
      <c r="H438" s="263" t="s">
        <v>7938</v>
      </c>
      <c r="I438" s="265" t="s">
        <v>8975</v>
      </c>
      <c r="J438" s="263" t="s">
        <v>8976</v>
      </c>
      <c r="K438" s="263" t="s">
        <v>8977</v>
      </c>
      <c r="L438" s="263" t="s">
        <v>57</v>
      </c>
      <c r="M438" s="266">
        <v>80408</v>
      </c>
      <c r="N438" s="263" t="s">
        <v>8978</v>
      </c>
      <c r="O438" s="263" t="s">
        <v>621</v>
      </c>
      <c r="P438" s="232">
        <v>28</v>
      </c>
      <c r="Q438" s="256"/>
      <c r="R438" s="256"/>
      <c r="S438" s="256"/>
      <c r="T438" s="256"/>
      <c r="U438" s="256"/>
      <c r="V438" s="256"/>
      <c r="W438" s="256"/>
      <c r="X438" s="256"/>
      <c r="Y438" s="257"/>
      <c r="Z438" s="257"/>
    </row>
    <row r="439" spans="1:26" ht="15.75" customHeight="1" x14ac:dyDescent="0.35">
      <c r="A439" s="258">
        <v>431</v>
      </c>
      <c r="B439" s="263" t="s">
        <v>7964</v>
      </c>
      <c r="C439" s="263" t="s">
        <v>7965</v>
      </c>
      <c r="D439" s="263" t="s">
        <v>51</v>
      </c>
      <c r="E439" s="263">
        <v>129614</v>
      </c>
      <c r="F439" s="263">
        <v>2003</v>
      </c>
      <c r="G439" s="263" t="s">
        <v>8979</v>
      </c>
      <c r="H439" s="263" t="s">
        <v>7938</v>
      </c>
      <c r="I439" s="265" t="s">
        <v>8980</v>
      </c>
      <c r="J439" s="263" t="s">
        <v>8981</v>
      </c>
      <c r="K439" s="263" t="s">
        <v>8982</v>
      </c>
      <c r="L439" s="263" t="s">
        <v>57</v>
      </c>
      <c r="M439" s="266">
        <v>2614400</v>
      </c>
      <c r="N439" s="263" t="s">
        <v>168</v>
      </c>
      <c r="O439" s="263" t="s">
        <v>646</v>
      </c>
      <c r="P439" s="232">
        <v>29</v>
      </c>
      <c r="Q439" s="256"/>
      <c r="R439" s="256"/>
      <c r="S439" s="256"/>
      <c r="T439" s="256"/>
      <c r="U439" s="256"/>
      <c r="V439" s="256"/>
      <c r="W439" s="256"/>
      <c r="X439" s="256"/>
      <c r="Y439" s="257"/>
      <c r="Z439" s="257"/>
    </row>
    <row r="440" spans="1:26" ht="15.75" customHeight="1" x14ac:dyDescent="0.35">
      <c r="A440" s="258">
        <v>432</v>
      </c>
      <c r="B440" s="263" t="s">
        <v>8983</v>
      </c>
      <c r="C440" s="263" t="s">
        <v>8984</v>
      </c>
      <c r="D440" s="263" t="s">
        <v>51</v>
      </c>
      <c r="E440" s="263">
        <v>9209</v>
      </c>
      <c r="F440" s="263">
        <v>2003</v>
      </c>
      <c r="G440" s="263" t="s">
        <v>8985</v>
      </c>
      <c r="H440" s="263" t="s">
        <v>7938</v>
      </c>
      <c r="I440" s="265" t="s">
        <v>8986</v>
      </c>
      <c r="J440" s="263" t="s">
        <v>8987</v>
      </c>
      <c r="K440" s="263" t="s">
        <v>8988</v>
      </c>
      <c r="L440" s="263" t="s">
        <v>57</v>
      </c>
      <c r="M440" s="266">
        <v>552540</v>
      </c>
      <c r="N440" s="263"/>
      <c r="O440" s="263" t="s">
        <v>646</v>
      </c>
      <c r="P440" s="232">
        <v>29</v>
      </c>
      <c r="Q440" s="256"/>
      <c r="R440" s="256"/>
      <c r="S440" s="256"/>
      <c r="T440" s="256"/>
      <c r="U440" s="256"/>
      <c r="V440" s="256"/>
      <c r="W440" s="256"/>
      <c r="X440" s="256"/>
      <c r="Y440" s="257"/>
      <c r="Z440" s="257"/>
    </row>
    <row r="441" spans="1:26" ht="15.75" customHeight="1" x14ac:dyDescent="0.35">
      <c r="A441" s="264">
        <v>433</v>
      </c>
      <c r="B441" s="263" t="s">
        <v>8932</v>
      </c>
      <c r="C441" s="263" t="s">
        <v>8933</v>
      </c>
      <c r="D441" s="263" t="s">
        <v>51</v>
      </c>
      <c r="E441" s="263">
        <v>986</v>
      </c>
      <c r="F441" s="263">
        <v>2003</v>
      </c>
      <c r="G441" s="263" t="s">
        <v>8989</v>
      </c>
      <c r="H441" s="263" t="s">
        <v>7938</v>
      </c>
      <c r="I441" s="265" t="s">
        <v>8990</v>
      </c>
      <c r="J441" s="263" t="s">
        <v>8991</v>
      </c>
      <c r="K441" s="263" t="s">
        <v>8992</v>
      </c>
      <c r="L441" s="263" t="s">
        <v>57</v>
      </c>
      <c r="M441" s="266">
        <v>86460</v>
      </c>
      <c r="N441" s="263"/>
      <c r="O441" s="263" t="s">
        <v>646</v>
      </c>
      <c r="P441" s="232">
        <v>29</v>
      </c>
      <c r="Q441" s="256"/>
      <c r="R441" s="256"/>
      <c r="S441" s="256"/>
      <c r="T441" s="256"/>
      <c r="U441" s="256"/>
      <c r="V441" s="256"/>
      <c r="W441" s="256"/>
      <c r="X441" s="256"/>
      <c r="Y441" s="257"/>
      <c r="Z441" s="257"/>
    </row>
    <row r="442" spans="1:26" ht="15.75" customHeight="1" x14ac:dyDescent="0.35">
      <c r="A442" s="258">
        <v>434</v>
      </c>
      <c r="B442" s="263" t="s">
        <v>8598</v>
      </c>
      <c r="C442" s="263" t="s">
        <v>8599</v>
      </c>
      <c r="D442" s="263" t="s">
        <v>51</v>
      </c>
      <c r="E442" s="263">
        <v>791</v>
      </c>
      <c r="F442" s="263">
        <v>1992</v>
      </c>
      <c r="G442" s="263" t="s">
        <v>8600</v>
      </c>
      <c r="H442" s="263" t="s">
        <v>7938</v>
      </c>
      <c r="I442" s="265" t="s">
        <v>8993</v>
      </c>
      <c r="J442" s="263" t="s">
        <v>8994</v>
      </c>
      <c r="K442" s="263" t="s">
        <v>8995</v>
      </c>
      <c r="L442" s="263" t="s">
        <v>422</v>
      </c>
      <c r="M442" s="266">
        <v>40432</v>
      </c>
      <c r="N442" s="263" t="s">
        <v>8603</v>
      </c>
      <c r="O442" s="263" t="s">
        <v>646</v>
      </c>
      <c r="P442" s="232">
        <v>29</v>
      </c>
      <c r="Q442" s="256"/>
      <c r="R442" s="256"/>
      <c r="S442" s="256"/>
      <c r="T442" s="256"/>
      <c r="U442" s="256"/>
      <c r="V442" s="256"/>
      <c r="W442" s="256"/>
      <c r="X442" s="256"/>
      <c r="Y442" s="257"/>
      <c r="Z442" s="257"/>
    </row>
    <row r="443" spans="1:26" ht="15.75" customHeight="1" x14ac:dyDescent="0.35">
      <c r="A443" s="258">
        <v>435</v>
      </c>
      <c r="B443" s="263" t="s">
        <v>8237</v>
      </c>
      <c r="C443" s="263" t="s">
        <v>8238</v>
      </c>
      <c r="D443" s="263" t="s">
        <v>51</v>
      </c>
      <c r="E443" s="263">
        <v>2745</v>
      </c>
      <c r="F443" s="263">
        <v>2008</v>
      </c>
      <c r="G443" s="263" t="s">
        <v>8996</v>
      </c>
      <c r="H443" s="263" t="s">
        <v>7938</v>
      </c>
      <c r="I443" s="265" t="s">
        <v>8986</v>
      </c>
      <c r="J443" s="263" t="s">
        <v>8997</v>
      </c>
      <c r="K443" s="263" t="s">
        <v>8998</v>
      </c>
      <c r="L443" s="263" t="s">
        <v>57</v>
      </c>
      <c r="M443" s="266">
        <v>60733</v>
      </c>
      <c r="N443" s="263" t="s">
        <v>8999</v>
      </c>
      <c r="O443" s="263" t="s">
        <v>687</v>
      </c>
      <c r="P443" s="232">
        <v>31</v>
      </c>
      <c r="Q443" s="256"/>
      <c r="R443" s="256"/>
      <c r="S443" s="256"/>
      <c r="T443" s="256"/>
      <c r="U443" s="256"/>
      <c r="V443" s="256"/>
      <c r="W443" s="256"/>
      <c r="X443" s="256"/>
      <c r="Y443" s="257"/>
      <c r="Z443" s="257"/>
    </row>
    <row r="444" spans="1:26" ht="15.75" customHeight="1" x14ac:dyDescent="0.35">
      <c r="A444" s="264">
        <v>436</v>
      </c>
      <c r="B444" s="263" t="s">
        <v>8002</v>
      </c>
      <c r="C444" s="263" t="s">
        <v>8003</v>
      </c>
      <c r="D444" s="263" t="s">
        <v>51</v>
      </c>
      <c r="E444" s="263">
        <v>7660</v>
      </c>
      <c r="F444" s="263">
        <v>2008</v>
      </c>
      <c r="G444" s="263" t="s">
        <v>9000</v>
      </c>
      <c r="H444" s="263" t="s">
        <v>7938</v>
      </c>
      <c r="I444" s="265" t="s">
        <v>8986</v>
      </c>
      <c r="J444" s="263" t="s">
        <v>9001</v>
      </c>
      <c r="K444" s="263" t="s">
        <v>9002</v>
      </c>
      <c r="L444" s="263" t="s">
        <v>57</v>
      </c>
      <c r="M444" s="266">
        <v>161052</v>
      </c>
      <c r="N444" s="263"/>
      <c r="O444" s="263" t="s">
        <v>687</v>
      </c>
      <c r="P444" s="232">
        <v>31</v>
      </c>
      <c r="Q444" s="256"/>
      <c r="R444" s="256"/>
      <c r="S444" s="256"/>
      <c r="T444" s="256"/>
      <c r="U444" s="256"/>
      <c r="V444" s="256"/>
      <c r="W444" s="256"/>
      <c r="X444" s="256"/>
      <c r="Y444" s="257"/>
      <c r="Z444" s="257"/>
    </row>
    <row r="445" spans="1:26" ht="15.75" customHeight="1" x14ac:dyDescent="0.35">
      <c r="A445" s="258">
        <v>437</v>
      </c>
      <c r="B445" s="263" t="s">
        <v>8002</v>
      </c>
      <c r="C445" s="263" t="s">
        <v>8003</v>
      </c>
      <c r="D445" s="263" t="s">
        <v>59</v>
      </c>
      <c r="E445" s="263">
        <v>270</v>
      </c>
      <c r="F445" s="263">
        <v>2013</v>
      </c>
      <c r="G445" s="263" t="s">
        <v>9003</v>
      </c>
      <c r="H445" s="263" t="s">
        <v>7938</v>
      </c>
      <c r="I445" s="265" t="s">
        <v>9004</v>
      </c>
      <c r="J445" s="263" t="s">
        <v>9005</v>
      </c>
      <c r="K445" s="263" t="s">
        <v>9006</v>
      </c>
      <c r="L445" s="263" t="s">
        <v>422</v>
      </c>
      <c r="M445" s="266">
        <v>7290</v>
      </c>
      <c r="N445" s="263" t="s">
        <v>422</v>
      </c>
      <c r="O445" s="263" t="s">
        <v>687</v>
      </c>
      <c r="P445" s="232">
        <v>31</v>
      </c>
      <c r="Q445" s="256"/>
      <c r="R445" s="256"/>
      <c r="S445" s="256"/>
      <c r="T445" s="256"/>
      <c r="U445" s="256"/>
      <c r="V445" s="256"/>
      <c r="W445" s="256"/>
      <c r="X445" s="256"/>
      <c r="Y445" s="257"/>
      <c r="Z445" s="257"/>
    </row>
    <row r="446" spans="1:26" ht="15.75" customHeight="1" x14ac:dyDescent="0.35">
      <c r="A446" s="258">
        <v>438</v>
      </c>
      <c r="B446" s="263" t="s">
        <v>8002</v>
      </c>
      <c r="C446" s="263" t="s">
        <v>8003</v>
      </c>
      <c r="D446" s="263" t="s">
        <v>97</v>
      </c>
      <c r="E446" s="263">
        <v>1300</v>
      </c>
      <c r="F446" s="263">
        <v>2003</v>
      </c>
      <c r="G446" s="263" t="s">
        <v>9007</v>
      </c>
      <c r="H446" s="263" t="s">
        <v>7938</v>
      </c>
      <c r="I446" s="265"/>
      <c r="J446" s="263"/>
      <c r="K446" s="263" t="s">
        <v>9008</v>
      </c>
      <c r="L446" s="263" t="s">
        <v>57</v>
      </c>
      <c r="M446" s="266">
        <v>13000</v>
      </c>
      <c r="N446" s="263" t="s">
        <v>9009</v>
      </c>
      <c r="O446" s="263" t="s">
        <v>687</v>
      </c>
      <c r="P446" s="232">
        <v>31</v>
      </c>
      <c r="Q446" s="256"/>
      <c r="R446" s="256"/>
      <c r="S446" s="256"/>
      <c r="T446" s="256"/>
      <c r="U446" s="256"/>
      <c r="V446" s="256"/>
      <c r="W446" s="256"/>
      <c r="X446" s="256"/>
      <c r="Y446" s="257"/>
      <c r="Z446" s="257"/>
    </row>
    <row r="447" spans="1:26" ht="15.75" customHeight="1" x14ac:dyDescent="0.35">
      <c r="A447" s="264">
        <v>439</v>
      </c>
      <c r="B447" s="263" t="s">
        <v>8932</v>
      </c>
      <c r="C447" s="263" t="s">
        <v>8933</v>
      </c>
      <c r="D447" s="263" t="s">
        <v>51</v>
      </c>
      <c r="E447" s="263">
        <v>869</v>
      </c>
      <c r="F447" s="263">
        <v>2008</v>
      </c>
      <c r="G447" s="263" t="s">
        <v>9010</v>
      </c>
      <c r="H447" s="263" t="s">
        <v>7938</v>
      </c>
      <c r="I447" s="265" t="s">
        <v>9011</v>
      </c>
      <c r="J447" s="263" t="s">
        <v>9012</v>
      </c>
      <c r="K447" s="263" t="s">
        <v>8992</v>
      </c>
      <c r="L447" s="263" t="s">
        <v>57</v>
      </c>
      <c r="M447" s="266">
        <v>16000</v>
      </c>
      <c r="N447" s="263"/>
      <c r="O447" s="263" t="s">
        <v>687</v>
      </c>
      <c r="P447" s="232">
        <v>31</v>
      </c>
      <c r="Q447" s="256"/>
      <c r="R447" s="256"/>
      <c r="S447" s="256"/>
      <c r="T447" s="256"/>
      <c r="U447" s="256"/>
      <c r="V447" s="256"/>
      <c r="W447" s="256"/>
      <c r="X447" s="256"/>
      <c r="Y447" s="257"/>
      <c r="Z447" s="257"/>
    </row>
    <row r="448" spans="1:26" ht="15.75" customHeight="1" x14ac:dyDescent="0.35">
      <c r="A448" s="258">
        <v>440</v>
      </c>
      <c r="B448" s="263" t="s">
        <v>9013</v>
      </c>
      <c r="C448" s="263" t="s">
        <v>9014</v>
      </c>
      <c r="D448" s="263" t="s">
        <v>51</v>
      </c>
      <c r="E448" s="263">
        <v>40000</v>
      </c>
      <c r="F448" s="263">
        <v>2008</v>
      </c>
      <c r="G448" s="263" t="s">
        <v>9015</v>
      </c>
      <c r="H448" s="263" t="s">
        <v>7938</v>
      </c>
      <c r="I448" s="265"/>
      <c r="J448" s="263"/>
      <c r="K448" s="263" t="s">
        <v>9016</v>
      </c>
      <c r="L448" s="263" t="s">
        <v>57</v>
      </c>
      <c r="M448" s="266">
        <v>200000</v>
      </c>
      <c r="N448" s="263"/>
      <c r="O448" s="263" t="s">
        <v>687</v>
      </c>
      <c r="P448" s="232">
        <v>31</v>
      </c>
      <c r="Q448" s="256"/>
      <c r="R448" s="256"/>
      <c r="S448" s="256"/>
      <c r="T448" s="256"/>
      <c r="U448" s="256"/>
      <c r="V448" s="256"/>
      <c r="W448" s="256"/>
      <c r="X448" s="256"/>
      <c r="Y448" s="257"/>
      <c r="Z448" s="257"/>
    </row>
    <row r="449" spans="1:26" ht="15.75" customHeight="1" x14ac:dyDescent="0.35">
      <c r="A449" s="258">
        <v>441</v>
      </c>
      <c r="B449" s="263" t="s">
        <v>8237</v>
      </c>
      <c r="C449" s="263" t="s">
        <v>8238</v>
      </c>
      <c r="D449" s="263" t="s">
        <v>51</v>
      </c>
      <c r="E449" s="263">
        <v>1078</v>
      </c>
      <c r="F449" s="263">
        <v>2007</v>
      </c>
      <c r="G449" s="263" t="s">
        <v>9017</v>
      </c>
      <c r="H449" s="263" t="s">
        <v>7938</v>
      </c>
      <c r="I449" s="265" t="s">
        <v>9018</v>
      </c>
      <c r="J449" s="263"/>
      <c r="K449" s="263"/>
      <c r="L449" s="263" t="s">
        <v>422</v>
      </c>
      <c r="M449" s="266">
        <v>23851</v>
      </c>
      <c r="N449" s="263" t="s">
        <v>9019</v>
      </c>
      <c r="O449" s="263" t="s">
        <v>712</v>
      </c>
      <c r="P449" s="232">
        <v>32</v>
      </c>
      <c r="Q449" s="256"/>
      <c r="R449" s="256"/>
      <c r="S449" s="256"/>
      <c r="T449" s="256"/>
      <c r="U449" s="256"/>
      <c r="V449" s="256"/>
      <c r="W449" s="256"/>
      <c r="X449" s="256"/>
      <c r="Y449" s="257"/>
      <c r="Z449" s="257"/>
    </row>
    <row r="450" spans="1:26" ht="15.75" customHeight="1" x14ac:dyDescent="0.35">
      <c r="A450" s="264">
        <v>442</v>
      </c>
      <c r="B450" s="263" t="s">
        <v>8002</v>
      </c>
      <c r="C450" s="263" t="s">
        <v>8003</v>
      </c>
      <c r="D450" s="263" t="s">
        <v>51</v>
      </c>
      <c r="E450" s="263">
        <v>1099</v>
      </c>
      <c r="F450" s="263">
        <v>2007</v>
      </c>
      <c r="G450" s="263" t="s">
        <v>9020</v>
      </c>
      <c r="H450" s="263" t="s">
        <v>7938</v>
      </c>
      <c r="I450" s="265" t="s">
        <v>9018</v>
      </c>
      <c r="J450" s="263"/>
      <c r="K450" s="263"/>
      <c r="L450" s="263" t="s">
        <v>422</v>
      </c>
      <c r="M450" s="266">
        <v>24315</v>
      </c>
      <c r="N450" s="263" t="s">
        <v>9021</v>
      </c>
      <c r="O450" s="263" t="s">
        <v>712</v>
      </c>
      <c r="P450" s="232">
        <v>32</v>
      </c>
      <c r="Q450" s="256"/>
      <c r="R450" s="256"/>
      <c r="S450" s="256"/>
      <c r="T450" s="256"/>
      <c r="U450" s="256"/>
      <c r="V450" s="256"/>
      <c r="W450" s="256"/>
      <c r="X450" s="256"/>
      <c r="Y450" s="257"/>
      <c r="Z450" s="257"/>
    </row>
    <row r="451" spans="1:26" ht="15.75" customHeight="1" x14ac:dyDescent="0.35">
      <c r="A451" s="258">
        <v>443</v>
      </c>
      <c r="B451" s="263" t="s">
        <v>8932</v>
      </c>
      <c r="C451" s="263" t="s">
        <v>8933</v>
      </c>
      <c r="D451" s="263" t="s">
        <v>51</v>
      </c>
      <c r="E451" s="263">
        <v>3360</v>
      </c>
      <c r="F451" s="263">
        <v>2006</v>
      </c>
      <c r="G451" s="263" t="s">
        <v>9020</v>
      </c>
      <c r="H451" s="263" t="s">
        <v>7938</v>
      </c>
      <c r="I451" s="265" t="s">
        <v>9022</v>
      </c>
      <c r="J451" s="263"/>
      <c r="K451" s="263"/>
      <c r="L451" s="263" t="s">
        <v>422</v>
      </c>
      <c r="M451" s="266">
        <v>74340</v>
      </c>
      <c r="N451" s="263" t="s">
        <v>6658</v>
      </c>
      <c r="O451" s="263" t="s">
        <v>712</v>
      </c>
      <c r="P451" s="232">
        <v>32</v>
      </c>
      <c r="Q451" s="256"/>
      <c r="R451" s="256"/>
      <c r="S451" s="256"/>
      <c r="T451" s="256"/>
      <c r="U451" s="256"/>
      <c r="V451" s="256"/>
      <c r="W451" s="256"/>
      <c r="X451" s="256"/>
      <c r="Y451" s="257"/>
      <c r="Z451" s="257"/>
    </row>
    <row r="452" spans="1:26" ht="15.75" customHeight="1" x14ac:dyDescent="0.35">
      <c r="A452" s="258">
        <v>444</v>
      </c>
      <c r="B452" s="263" t="s">
        <v>8237</v>
      </c>
      <c r="C452" s="263" t="s">
        <v>8238</v>
      </c>
      <c r="D452" s="263" t="s">
        <v>51</v>
      </c>
      <c r="E452" s="263">
        <v>2984</v>
      </c>
      <c r="F452" s="263">
        <v>1986</v>
      </c>
      <c r="G452" s="263" t="s">
        <v>9023</v>
      </c>
      <c r="H452" s="263" t="s">
        <v>7938</v>
      </c>
      <c r="I452" s="265" t="s">
        <v>8986</v>
      </c>
      <c r="J452" s="263" t="s">
        <v>9024</v>
      </c>
      <c r="K452" s="263" t="s">
        <v>9025</v>
      </c>
      <c r="L452" s="263" t="s">
        <v>57</v>
      </c>
      <c r="M452" s="266">
        <v>11875</v>
      </c>
      <c r="N452" s="263" t="s">
        <v>9026</v>
      </c>
      <c r="O452" s="263" t="s">
        <v>731</v>
      </c>
      <c r="P452" s="232">
        <v>33</v>
      </c>
      <c r="Q452" s="256"/>
      <c r="R452" s="256"/>
      <c r="S452" s="256"/>
      <c r="T452" s="256"/>
      <c r="U452" s="256"/>
      <c r="V452" s="256"/>
      <c r="W452" s="256"/>
      <c r="X452" s="256"/>
      <c r="Y452" s="257"/>
      <c r="Z452" s="257"/>
    </row>
    <row r="453" spans="1:26" ht="15.75" customHeight="1" x14ac:dyDescent="0.35">
      <c r="A453" s="264">
        <v>445</v>
      </c>
      <c r="B453" s="263" t="s">
        <v>8002</v>
      </c>
      <c r="C453" s="263" t="s">
        <v>8003</v>
      </c>
      <c r="D453" s="263" t="s">
        <v>51</v>
      </c>
      <c r="E453" s="263">
        <v>16910</v>
      </c>
      <c r="F453" s="263">
        <v>2008</v>
      </c>
      <c r="G453" s="263" t="s">
        <v>9023</v>
      </c>
      <c r="H453" s="263" t="s">
        <v>7938</v>
      </c>
      <c r="I453" s="265" t="s">
        <v>9027</v>
      </c>
      <c r="J453" s="263" t="s">
        <v>9028</v>
      </c>
      <c r="K453" s="263" t="s">
        <v>9029</v>
      </c>
      <c r="L453" s="263" t="s">
        <v>422</v>
      </c>
      <c r="M453" s="266">
        <v>100425</v>
      </c>
      <c r="N453" s="263" t="s">
        <v>9030</v>
      </c>
      <c r="O453" s="263" t="s">
        <v>731</v>
      </c>
      <c r="P453" s="232">
        <v>33</v>
      </c>
      <c r="Q453" s="256"/>
      <c r="R453" s="256"/>
      <c r="S453" s="256"/>
      <c r="T453" s="256"/>
      <c r="U453" s="256"/>
      <c r="V453" s="256"/>
      <c r="W453" s="256"/>
      <c r="X453" s="256"/>
      <c r="Y453" s="257"/>
      <c r="Z453" s="257"/>
    </row>
    <row r="454" spans="1:26" ht="15.75" customHeight="1" x14ac:dyDescent="0.35">
      <c r="A454" s="258">
        <v>446</v>
      </c>
      <c r="B454" s="263" t="s">
        <v>9031</v>
      </c>
      <c r="C454" s="263" t="s">
        <v>9032</v>
      </c>
      <c r="D454" s="263" t="s">
        <v>51</v>
      </c>
      <c r="E454" s="263">
        <v>34830</v>
      </c>
      <c r="F454" s="263">
        <v>2008</v>
      </c>
      <c r="G454" s="263" t="s">
        <v>9023</v>
      </c>
      <c r="H454" s="263" t="s">
        <v>7938</v>
      </c>
      <c r="I454" s="265" t="s">
        <v>9027</v>
      </c>
      <c r="J454" s="263" t="s">
        <v>9033</v>
      </c>
      <c r="K454" s="263" t="s">
        <v>9034</v>
      </c>
      <c r="L454" s="263" t="s">
        <v>422</v>
      </c>
      <c r="M454" s="266">
        <v>488000</v>
      </c>
      <c r="N454" s="263" t="s">
        <v>9035</v>
      </c>
      <c r="O454" s="263" t="s">
        <v>731</v>
      </c>
      <c r="P454" s="232">
        <v>33</v>
      </c>
      <c r="Q454" s="256"/>
      <c r="R454" s="256"/>
      <c r="S454" s="256"/>
      <c r="T454" s="256"/>
      <c r="U454" s="256"/>
      <c r="V454" s="256"/>
      <c r="W454" s="256"/>
      <c r="X454" s="256"/>
      <c r="Y454" s="257"/>
      <c r="Z454" s="257"/>
    </row>
    <row r="455" spans="1:26" ht="15.75" customHeight="1" x14ac:dyDescent="0.35">
      <c r="A455" s="258">
        <v>447</v>
      </c>
      <c r="B455" s="263" t="s">
        <v>8387</v>
      </c>
      <c r="C455" s="263" t="s">
        <v>8388</v>
      </c>
      <c r="D455" s="263" t="s">
        <v>51</v>
      </c>
      <c r="E455" s="263">
        <v>556</v>
      </c>
      <c r="F455" s="263">
        <v>1970</v>
      </c>
      <c r="G455" s="263" t="s">
        <v>9036</v>
      </c>
      <c r="H455" s="263" t="s">
        <v>7938</v>
      </c>
      <c r="I455" s="265" t="s">
        <v>9011</v>
      </c>
      <c r="J455" s="263" t="s">
        <v>9037</v>
      </c>
      <c r="K455" s="263" t="s">
        <v>9038</v>
      </c>
      <c r="L455" s="263" t="s">
        <v>57</v>
      </c>
      <c r="M455" s="266">
        <v>36210</v>
      </c>
      <c r="N455" s="263" t="s">
        <v>9039</v>
      </c>
      <c r="O455" s="263" t="s">
        <v>758</v>
      </c>
      <c r="P455" s="232">
        <v>34</v>
      </c>
      <c r="Q455" s="256"/>
      <c r="R455" s="256"/>
      <c r="S455" s="256"/>
      <c r="T455" s="256"/>
      <c r="U455" s="256"/>
      <c r="V455" s="256"/>
      <c r="W455" s="256"/>
      <c r="X455" s="256"/>
      <c r="Y455" s="257"/>
      <c r="Z455" s="257"/>
    </row>
    <row r="456" spans="1:26" ht="15.75" customHeight="1" x14ac:dyDescent="0.35">
      <c r="A456" s="264">
        <v>448</v>
      </c>
      <c r="B456" s="263" t="s">
        <v>8002</v>
      </c>
      <c r="C456" s="263" t="s">
        <v>8003</v>
      </c>
      <c r="D456" s="263" t="s">
        <v>51</v>
      </c>
      <c r="E456" s="263">
        <v>1524</v>
      </c>
      <c r="F456" s="263">
        <v>1970</v>
      </c>
      <c r="G456" s="263" t="s">
        <v>9040</v>
      </c>
      <c r="H456" s="263" t="s">
        <v>7938</v>
      </c>
      <c r="I456" s="265" t="s">
        <v>9011</v>
      </c>
      <c r="J456" s="263" t="s">
        <v>9041</v>
      </c>
      <c r="K456" s="263" t="s">
        <v>9042</v>
      </c>
      <c r="L456" s="263" t="s">
        <v>57</v>
      </c>
      <c r="M456" s="266">
        <v>99251</v>
      </c>
      <c r="N456" s="263" t="s">
        <v>9043</v>
      </c>
      <c r="O456" s="263" t="s">
        <v>758</v>
      </c>
      <c r="P456" s="232">
        <v>34</v>
      </c>
      <c r="Q456" s="256"/>
      <c r="R456" s="256"/>
      <c r="S456" s="256"/>
      <c r="T456" s="256"/>
      <c r="U456" s="256"/>
      <c r="V456" s="256"/>
      <c r="W456" s="256"/>
      <c r="X456" s="256"/>
      <c r="Y456" s="257"/>
      <c r="Z456" s="257"/>
    </row>
    <row r="457" spans="1:26" ht="15.75" customHeight="1" x14ac:dyDescent="0.35">
      <c r="A457" s="258">
        <v>449</v>
      </c>
      <c r="B457" s="263" t="s">
        <v>8002</v>
      </c>
      <c r="C457" s="263" t="s">
        <v>8003</v>
      </c>
      <c r="D457" s="263" t="s">
        <v>51</v>
      </c>
      <c r="E457" s="263">
        <v>2630</v>
      </c>
      <c r="F457" s="263">
        <v>2007</v>
      </c>
      <c r="G457" s="263" t="s">
        <v>9044</v>
      </c>
      <c r="H457" s="263" t="s">
        <v>7938</v>
      </c>
      <c r="I457" s="265" t="s">
        <v>9045</v>
      </c>
      <c r="J457" s="263" t="s">
        <v>9046</v>
      </c>
      <c r="K457" s="263" t="s">
        <v>9047</v>
      </c>
      <c r="L457" s="263" t="s">
        <v>57</v>
      </c>
      <c r="M457" s="266">
        <v>169864</v>
      </c>
      <c r="N457" s="263" t="s">
        <v>9048</v>
      </c>
      <c r="O457" s="263" t="s">
        <v>758</v>
      </c>
      <c r="P457" s="232">
        <v>34</v>
      </c>
      <c r="Q457" s="256"/>
      <c r="R457" s="256"/>
      <c r="S457" s="256"/>
      <c r="T457" s="256"/>
      <c r="U457" s="256"/>
      <c r="V457" s="256"/>
      <c r="W457" s="256"/>
      <c r="X457" s="256"/>
      <c r="Y457" s="257"/>
      <c r="Z457" s="257"/>
    </row>
    <row r="458" spans="1:26" ht="15.75" customHeight="1" x14ac:dyDescent="0.35">
      <c r="A458" s="258">
        <v>450</v>
      </c>
      <c r="B458" s="263" t="s">
        <v>8002</v>
      </c>
      <c r="C458" s="263" t="s">
        <v>8003</v>
      </c>
      <c r="D458" s="263" t="s">
        <v>51</v>
      </c>
      <c r="E458" s="263">
        <v>939</v>
      </c>
      <c r="F458" s="263">
        <v>2007</v>
      </c>
      <c r="G458" s="263" t="s">
        <v>9049</v>
      </c>
      <c r="H458" s="263" t="s">
        <v>7938</v>
      </c>
      <c r="I458" s="265" t="s">
        <v>9011</v>
      </c>
      <c r="J458" s="263" t="s">
        <v>9050</v>
      </c>
      <c r="K458" s="263" t="s">
        <v>9051</v>
      </c>
      <c r="L458" s="263" t="s">
        <v>57</v>
      </c>
      <c r="M458" s="266">
        <v>81904</v>
      </c>
      <c r="N458" s="263" t="s">
        <v>9052</v>
      </c>
      <c r="O458" s="263" t="s">
        <v>758</v>
      </c>
      <c r="P458" s="232">
        <v>34</v>
      </c>
      <c r="Q458" s="256"/>
      <c r="R458" s="256"/>
      <c r="S458" s="256"/>
      <c r="T458" s="256"/>
      <c r="U458" s="256"/>
      <c r="V458" s="256"/>
      <c r="W458" s="256"/>
      <c r="X458" s="256"/>
      <c r="Y458" s="257"/>
      <c r="Z458" s="257"/>
    </row>
    <row r="459" spans="1:26" ht="15.75" customHeight="1" x14ac:dyDescent="0.35">
      <c r="A459" s="264">
        <v>451</v>
      </c>
      <c r="B459" s="263" t="s">
        <v>8002</v>
      </c>
      <c r="C459" s="263" t="s">
        <v>8003</v>
      </c>
      <c r="D459" s="263" t="s">
        <v>59</v>
      </c>
      <c r="E459" s="263">
        <v>1522</v>
      </c>
      <c r="F459" s="263">
        <v>2007</v>
      </c>
      <c r="G459" s="263" t="s">
        <v>9053</v>
      </c>
      <c r="H459" s="263" t="s">
        <v>7938</v>
      </c>
      <c r="I459" s="265" t="s">
        <v>9054</v>
      </c>
      <c r="J459" s="263" t="s">
        <v>9055</v>
      </c>
      <c r="K459" s="263" t="s">
        <v>9056</v>
      </c>
      <c r="L459" s="263" t="s">
        <v>57</v>
      </c>
      <c r="M459" s="266">
        <v>83958.68</v>
      </c>
      <c r="N459" s="263" t="s">
        <v>758</v>
      </c>
      <c r="O459" s="263" t="s">
        <v>758</v>
      </c>
      <c r="P459" s="232">
        <v>34</v>
      </c>
      <c r="Q459" s="256"/>
      <c r="R459" s="256"/>
      <c r="S459" s="256"/>
      <c r="T459" s="256"/>
      <c r="U459" s="256"/>
      <c r="V459" s="256"/>
      <c r="W459" s="256"/>
      <c r="X459" s="256"/>
      <c r="Y459" s="257"/>
      <c r="Z459" s="257"/>
    </row>
    <row r="460" spans="1:26" ht="15.75" customHeight="1" x14ac:dyDescent="0.35">
      <c r="A460" s="258">
        <v>452</v>
      </c>
      <c r="B460" s="267" t="s">
        <v>9057</v>
      </c>
      <c r="C460" s="267" t="s">
        <v>9058</v>
      </c>
      <c r="D460" s="267" t="s">
        <v>51</v>
      </c>
      <c r="E460" s="267">
        <v>2010</v>
      </c>
      <c r="F460" s="267">
        <v>2006</v>
      </c>
      <c r="G460" s="267" t="s">
        <v>9059</v>
      </c>
      <c r="H460" s="267" t="s">
        <v>7938</v>
      </c>
      <c r="I460" s="268">
        <v>44529</v>
      </c>
      <c r="J460" s="267" t="s">
        <v>9060</v>
      </c>
      <c r="K460" s="267" t="s">
        <v>9061</v>
      </c>
      <c r="L460" s="267" t="s">
        <v>57</v>
      </c>
      <c r="M460" s="269">
        <v>75000</v>
      </c>
      <c r="N460" s="267" t="s">
        <v>9062</v>
      </c>
      <c r="O460" s="267" t="s">
        <v>775</v>
      </c>
      <c r="P460" s="232">
        <v>35</v>
      </c>
      <c r="Q460" s="256"/>
      <c r="R460" s="256"/>
      <c r="S460" s="256"/>
      <c r="T460" s="256"/>
      <c r="U460" s="256"/>
      <c r="V460" s="256"/>
      <c r="W460" s="256"/>
      <c r="X460" s="256"/>
      <c r="Y460" s="257"/>
      <c r="Z460" s="257"/>
    </row>
    <row r="461" spans="1:26" ht="15.75" customHeight="1" x14ac:dyDescent="0.35">
      <c r="A461" s="258">
        <v>453</v>
      </c>
      <c r="B461" s="267" t="s">
        <v>8002</v>
      </c>
      <c r="C461" s="267" t="s">
        <v>8003</v>
      </c>
      <c r="D461" s="267" t="s">
        <v>51</v>
      </c>
      <c r="E461" s="267">
        <v>2489</v>
      </c>
      <c r="F461" s="267">
        <v>2013</v>
      </c>
      <c r="G461" s="267" t="s">
        <v>9063</v>
      </c>
      <c r="H461" s="267" t="s">
        <v>7938</v>
      </c>
      <c r="I461" s="268">
        <v>44529</v>
      </c>
      <c r="J461" s="267" t="s">
        <v>9064</v>
      </c>
      <c r="K461" s="267" t="s">
        <v>9065</v>
      </c>
      <c r="L461" s="267" t="s">
        <v>422</v>
      </c>
      <c r="M461" s="269">
        <v>3430</v>
      </c>
      <c r="N461" s="267" t="s">
        <v>9066</v>
      </c>
      <c r="O461" s="267" t="s">
        <v>775</v>
      </c>
      <c r="P461" s="232">
        <v>35</v>
      </c>
      <c r="Q461" s="256"/>
      <c r="R461" s="256"/>
      <c r="S461" s="256"/>
      <c r="T461" s="256"/>
      <c r="U461" s="256"/>
      <c r="V461" s="256"/>
      <c r="W461" s="256"/>
      <c r="X461" s="256"/>
      <c r="Y461" s="257"/>
      <c r="Z461" s="257"/>
    </row>
    <row r="462" spans="1:26" ht="15.75" customHeight="1" x14ac:dyDescent="0.35">
      <c r="A462" s="264">
        <v>454</v>
      </c>
      <c r="B462" s="267" t="s">
        <v>8002</v>
      </c>
      <c r="C462" s="267" t="s">
        <v>8003</v>
      </c>
      <c r="D462" s="267" t="s">
        <v>59</v>
      </c>
      <c r="E462" s="267">
        <v>3997</v>
      </c>
      <c r="F462" s="267">
        <v>2003</v>
      </c>
      <c r="G462" s="267" t="s">
        <v>9059</v>
      </c>
      <c r="H462" s="267" t="s">
        <v>7938</v>
      </c>
      <c r="I462" s="268">
        <v>44529</v>
      </c>
      <c r="J462" s="267" t="s">
        <v>9067</v>
      </c>
      <c r="K462" s="267" t="s">
        <v>9068</v>
      </c>
      <c r="L462" s="267" t="s">
        <v>57</v>
      </c>
      <c r="M462" s="269">
        <v>18000</v>
      </c>
      <c r="N462" s="267" t="s">
        <v>9062</v>
      </c>
      <c r="O462" s="267" t="s">
        <v>775</v>
      </c>
      <c r="P462" s="232">
        <v>35</v>
      </c>
      <c r="Q462" s="256"/>
      <c r="R462" s="256"/>
      <c r="S462" s="256"/>
      <c r="T462" s="256"/>
      <c r="U462" s="256"/>
      <c r="V462" s="256"/>
      <c r="W462" s="256"/>
      <c r="X462" s="256"/>
      <c r="Y462" s="257"/>
      <c r="Z462" s="257"/>
    </row>
    <row r="463" spans="1:26" ht="15.75" customHeight="1" x14ac:dyDescent="0.35">
      <c r="A463" s="258">
        <v>455</v>
      </c>
      <c r="B463" s="267" t="s">
        <v>8932</v>
      </c>
      <c r="C463" s="267" t="s">
        <v>8933</v>
      </c>
      <c r="D463" s="267" t="s">
        <v>51</v>
      </c>
      <c r="E463" s="267">
        <v>2029</v>
      </c>
      <c r="F463" s="267">
        <v>2024</v>
      </c>
      <c r="G463" s="267" t="s">
        <v>9069</v>
      </c>
      <c r="H463" s="267" t="s">
        <v>7938</v>
      </c>
      <c r="I463" s="268">
        <v>44529</v>
      </c>
      <c r="J463" s="267" t="s">
        <v>9070</v>
      </c>
      <c r="K463" s="267" t="s">
        <v>9071</v>
      </c>
      <c r="L463" s="267" t="s">
        <v>422</v>
      </c>
      <c r="M463" s="269">
        <v>129856</v>
      </c>
      <c r="N463" s="267" t="s">
        <v>9072</v>
      </c>
      <c r="O463" s="267" t="s">
        <v>775</v>
      </c>
      <c r="P463" s="232">
        <v>35</v>
      </c>
      <c r="Q463" s="256"/>
      <c r="R463" s="256"/>
      <c r="S463" s="256"/>
      <c r="T463" s="256"/>
      <c r="U463" s="256"/>
      <c r="V463" s="256"/>
      <c r="W463" s="256"/>
      <c r="X463" s="256"/>
      <c r="Y463" s="257"/>
      <c r="Z463" s="257"/>
    </row>
    <row r="464" spans="1:26" ht="15.75" customHeight="1" x14ac:dyDescent="0.35">
      <c r="A464" s="258">
        <v>456</v>
      </c>
      <c r="B464" s="267" t="s">
        <v>8002</v>
      </c>
      <c r="C464" s="267" t="s">
        <v>8003</v>
      </c>
      <c r="D464" s="267" t="s">
        <v>51</v>
      </c>
      <c r="E464" s="267">
        <v>1544</v>
      </c>
      <c r="F464" s="267">
        <v>2014</v>
      </c>
      <c r="G464" s="267" t="s">
        <v>9073</v>
      </c>
      <c r="H464" s="267" t="s">
        <v>7938</v>
      </c>
      <c r="I464" s="268">
        <v>44323</v>
      </c>
      <c r="J464" s="267" t="s">
        <v>9074</v>
      </c>
      <c r="K464" s="267" t="s">
        <v>9075</v>
      </c>
      <c r="L464" s="267" t="s">
        <v>422</v>
      </c>
      <c r="M464" s="269">
        <v>31.8</v>
      </c>
      <c r="N464" s="267" t="s">
        <v>9066</v>
      </c>
      <c r="O464" s="267" t="s">
        <v>797</v>
      </c>
      <c r="P464" s="232">
        <v>36</v>
      </c>
      <c r="Q464" s="256"/>
      <c r="R464" s="256"/>
      <c r="S464" s="256"/>
      <c r="T464" s="256"/>
      <c r="U464" s="256"/>
      <c r="V464" s="256"/>
      <c r="W464" s="256"/>
      <c r="X464" s="256"/>
      <c r="Y464" s="257"/>
      <c r="Z464" s="257"/>
    </row>
    <row r="465" spans="1:26" ht="15.75" customHeight="1" x14ac:dyDescent="0.35">
      <c r="A465" s="264">
        <v>457</v>
      </c>
      <c r="B465" s="267" t="s">
        <v>8002</v>
      </c>
      <c r="C465" s="267" t="s">
        <v>8003</v>
      </c>
      <c r="D465" s="267" t="s">
        <v>59</v>
      </c>
      <c r="E465" s="267">
        <v>9990</v>
      </c>
      <c r="F465" s="267">
        <v>2011</v>
      </c>
      <c r="G465" s="267" t="s">
        <v>9076</v>
      </c>
      <c r="H465" s="267" t="s">
        <v>7938</v>
      </c>
      <c r="I465" s="268">
        <v>44333</v>
      </c>
      <c r="J465" s="267" t="s">
        <v>9077</v>
      </c>
      <c r="K465" s="267" t="s">
        <v>9078</v>
      </c>
      <c r="L465" s="267" t="s">
        <v>422</v>
      </c>
      <c r="M465" s="269">
        <v>2760</v>
      </c>
      <c r="N465" s="267" t="s">
        <v>9079</v>
      </c>
      <c r="O465" s="267" t="s">
        <v>797</v>
      </c>
      <c r="P465" s="232">
        <v>36</v>
      </c>
      <c r="Q465" s="256"/>
      <c r="R465" s="256"/>
      <c r="S465" s="256"/>
      <c r="T465" s="256"/>
      <c r="U465" s="256"/>
      <c r="V465" s="256"/>
      <c r="W465" s="256"/>
      <c r="X465" s="256"/>
      <c r="Y465" s="257"/>
      <c r="Z465" s="257"/>
    </row>
    <row r="466" spans="1:26" ht="15.75" customHeight="1" x14ac:dyDescent="0.35">
      <c r="A466" s="258">
        <v>458</v>
      </c>
      <c r="B466" s="267" t="s">
        <v>8002</v>
      </c>
      <c r="C466" s="267" t="s">
        <v>8003</v>
      </c>
      <c r="D466" s="267" t="s">
        <v>51</v>
      </c>
      <c r="E466" s="267">
        <v>22500</v>
      </c>
      <c r="F466" s="267">
        <v>2007</v>
      </c>
      <c r="G466" s="267" t="s">
        <v>9080</v>
      </c>
      <c r="H466" s="267" t="s">
        <v>7938</v>
      </c>
      <c r="I466" s="268">
        <v>39354</v>
      </c>
      <c r="J466" s="267" t="s">
        <v>9081</v>
      </c>
      <c r="K466" s="267" t="s">
        <v>9082</v>
      </c>
      <c r="L466" s="267" t="s">
        <v>422</v>
      </c>
      <c r="M466" s="269">
        <v>78750</v>
      </c>
      <c r="N466" s="267" t="s">
        <v>9066</v>
      </c>
      <c r="O466" s="267" t="s">
        <v>838</v>
      </c>
      <c r="P466" s="232">
        <v>38</v>
      </c>
      <c r="Q466" s="256"/>
      <c r="R466" s="256"/>
      <c r="S466" s="256"/>
      <c r="T466" s="256"/>
      <c r="U466" s="256"/>
      <c r="V466" s="256"/>
      <c r="W466" s="256"/>
      <c r="X466" s="256"/>
      <c r="Y466" s="257"/>
      <c r="Z466" s="257"/>
    </row>
    <row r="467" spans="1:26" ht="15.75" customHeight="1" x14ac:dyDescent="0.35">
      <c r="A467" s="258">
        <v>459</v>
      </c>
      <c r="B467" s="267" t="s">
        <v>7935</v>
      </c>
      <c r="C467" s="267" t="s">
        <v>7936</v>
      </c>
      <c r="D467" s="267" t="s">
        <v>51</v>
      </c>
      <c r="E467" s="267">
        <v>20000</v>
      </c>
      <c r="F467" s="267">
        <v>2009</v>
      </c>
      <c r="G467" s="267" t="s">
        <v>9083</v>
      </c>
      <c r="H467" s="267" t="s">
        <v>7938</v>
      </c>
      <c r="I467" s="268">
        <v>40068</v>
      </c>
      <c r="J467" s="267"/>
      <c r="K467" s="267" t="s">
        <v>9084</v>
      </c>
      <c r="L467" s="267" t="s">
        <v>57</v>
      </c>
      <c r="M467" s="269">
        <v>671380</v>
      </c>
      <c r="N467" s="267" t="s">
        <v>9085</v>
      </c>
      <c r="O467" s="267" t="s">
        <v>859</v>
      </c>
      <c r="P467" s="232">
        <v>39</v>
      </c>
      <c r="Q467" s="256"/>
      <c r="R467" s="256"/>
      <c r="S467" s="256"/>
      <c r="T467" s="256"/>
      <c r="U467" s="256"/>
      <c r="V467" s="256"/>
      <c r="W467" s="256"/>
      <c r="X467" s="256"/>
      <c r="Y467" s="257"/>
      <c r="Z467" s="257"/>
    </row>
    <row r="468" spans="1:26" ht="15.75" customHeight="1" x14ac:dyDescent="0.35">
      <c r="A468" s="264">
        <v>460</v>
      </c>
      <c r="B468" s="267" t="s">
        <v>8002</v>
      </c>
      <c r="C468" s="267" t="s">
        <v>8003</v>
      </c>
      <c r="D468" s="267" t="s">
        <v>51</v>
      </c>
      <c r="E468" s="267">
        <v>225</v>
      </c>
      <c r="F468" s="267">
        <v>2014</v>
      </c>
      <c r="G468" s="267" t="s">
        <v>9086</v>
      </c>
      <c r="H468" s="267" t="s">
        <v>7938</v>
      </c>
      <c r="I468" s="268">
        <v>41890</v>
      </c>
      <c r="J468" s="267" t="s">
        <v>9087</v>
      </c>
      <c r="K468" s="267" t="s">
        <v>9088</v>
      </c>
      <c r="L468" s="267" t="s">
        <v>422</v>
      </c>
      <c r="M468" s="269">
        <v>45</v>
      </c>
      <c r="N468" s="267" t="s">
        <v>9066</v>
      </c>
      <c r="O468" s="267" t="s">
        <v>882</v>
      </c>
      <c r="P468" s="232">
        <v>40</v>
      </c>
      <c r="Q468" s="256"/>
      <c r="R468" s="256"/>
      <c r="S468" s="256"/>
      <c r="T468" s="256"/>
      <c r="U468" s="256"/>
      <c r="V468" s="256"/>
      <c r="W468" s="256"/>
      <c r="X468" s="256"/>
      <c r="Y468" s="257"/>
      <c r="Z468" s="257"/>
    </row>
    <row r="469" spans="1:26" ht="15.75" customHeight="1" x14ac:dyDescent="0.35">
      <c r="A469" s="258">
        <v>461</v>
      </c>
      <c r="B469" s="263" t="s">
        <v>8002</v>
      </c>
      <c r="C469" s="263" t="s">
        <v>8003</v>
      </c>
      <c r="D469" s="263" t="s">
        <v>51</v>
      </c>
      <c r="E469" s="263">
        <v>17325</v>
      </c>
      <c r="F469" s="263">
        <v>2008</v>
      </c>
      <c r="G469" s="263" t="s">
        <v>9089</v>
      </c>
      <c r="H469" s="263" t="s">
        <v>7938</v>
      </c>
      <c r="I469" s="265">
        <v>37882</v>
      </c>
      <c r="J469" s="263" t="s">
        <v>9090</v>
      </c>
      <c r="K469" s="263" t="s">
        <v>9091</v>
      </c>
      <c r="L469" s="263" t="s">
        <v>57</v>
      </c>
      <c r="M469" s="266">
        <v>208766</v>
      </c>
      <c r="N469" s="263" t="s">
        <v>9092</v>
      </c>
      <c r="O469" s="263" t="s">
        <v>903</v>
      </c>
      <c r="P469" s="270">
        <v>41</v>
      </c>
      <c r="Q469" s="271"/>
      <c r="R469" s="271"/>
      <c r="S469" s="271"/>
      <c r="T469" s="271"/>
      <c r="U469" s="271"/>
      <c r="V469" s="271"/>
      <c r="W469" s="271"/>
      <c r="X469" s="271"/>
      <c r="Y469" s="272"/>
      <c r="Z469" s="272"/>
    </row>
    <row r="470" spans="1:26" ht="15.75" customHeight="1" x14ac:dyDescent="0.35">
      <c r="A470" s="264">
        <v>462</v>
      </c>
      <c r="B470" s="263" t="s">
        <v>8598</v>
      </c>
      <c r="C470" s="263" t="s">
        <v>8599</v>
      </c>
      <c r="D470" s="263" t="s">
        <v>59</v>
      </c>
      <c r="E470" s="263">
        <v>613</v>
      </c>
      <c r="F470" s="263">
        <v>1992</v>
      </c>
      <c r="G470" s="263" t="s">
        <v>8826</v>
      </c>
      <c r="H470" s="263" t="s">
        <v>7938</v>
      </c>
      <c r="I470" s="265">
        <v>33693</v>
      </c>
      <c r="J470" s="263" t="s">
        <v>9093</v>
      </c>
      <c r="K470" s="263" t="s">
        <v>9094</v>
      </c>
      <c r="L470" s="263" t="s">
        <v>422</v>
      </c>
      <c r="M470" s="266">
        <v>31333</v>
      </c>
      <c r="N470" s="263" t="s">
        <v>9094</v>
      </c>
      <c r="O470" s="263" t="s">
        <v>7787</v>
      </c>
      <c r="P470" s="232">
        <v>42</v>
      </c>
      <c r="Q470" s="256"/>
      <c r="R470" s="256"/>
      <c r="S470" s="256"/>
      <c r="T470" s="256"/>
      <c r="U470" s="256"/>
      <c r="V470" s="256"/>
      <c r="W470" s="256"/>
      <c r="X470" s="256"/>
      <c r="Y470" s="257"/>
      <c r="Z470" s="257"/>
    </row>
    <row r="471" spans="1:26" ht="15.75" customHeight="1" x14ac:dyDescent="0.35">
      <c r="A471" s="258">
        <v>463</v>
      </c>
      <c r="B471" s="273" t="s">
        <v>8598</v>
      </c>
      <c r="C471" s="273" t="s">
        <v>8599</v>
      </c>
      <c r="D471" s="273" t="s">
        <v>51</v>
      </c>
      <c r="E471" s="273">
        <v>477</v>
      </c>
      <c r="F471" s="273">
        <v>1992</v>
      </c>
      <c r="G471" s="273" t="s">
        <v>9095</v>
      </c>
      <c r="H471" s="273" t="s">
        <v>7938</v>
      </c>
      <c r="I471" s="274">
        <v>33969</v>
      </c>
      <c r="J471" s="273" t="s">
        <v>9096</v>
      </c>
      <c r="K471" s="273" t="s">
        <v>9097</v>
      </c>
      <c r="L471" s="273" t="s">
        <v>422</v>
      </c>
      <c r="M471" s="275">
        <v>24382</v>
      </c>
      <c r="N471" s="273" t="s">
        <v>9098</v>
      </c>
      <c r="O471" s="273" t="s">
        <v>7787</v>
      </c>
      <c r="P471" s="232">
        <v>42</v>
      </c>
      <c r="Q471" s="256"/>
      <c r="R471" s="256"/>
      <c r="S471" s="256"/>
      <c r="T471" s="256"/>
      <c r="U471" s="256"/>
      <c r="V471" s="256"/>
      <c r="W471" s="256"/>
      <c r="X471" s="256"/>
      <c r="Y471" s="257"/>
      <c r="Z471" s="257"/>
    </row>
    <row r="472" spans="1:26" ht="15.75" customHeight="1" x14ac:dyDescent="0.35">
      <c r="A472" s="264">
        <v>464</v>
      </c>
      <c r="B472" s="273" t="s">
        <v>7964</v>
      </c>
      <c r="C472" s="273" t="s">
        <v>7965</v>
      </c>
      <c r="D472" s="273" t="s">
        <v>51</v>
      </c>
      <c r="E472" s="273">
        <v>1700</v>
      </c>
      <c r="F472" s="273">
        <v>2025</v>
      </c>
      <c r="G472" s="273" t="s">
        <v>9099</v>
      </c>
      <c r="H472" s="273" t="s">
        <v>7938</v>
      </c>
      <c r="I472" s="274">
        <v>45827</v>
      </c>
      <c r="J472" s="273" t="s">
        <v>9100</v>
      </c>
      <c r="K472" s="273" t="s">
        <v>9101</v>
      </c>
      <c r="L472" s="273" t="s">
        <v>422</v>
      </c>
      <c r="M472" s="275">
        <v>8500</v>
      </c>
      <c r="N472" s="273" t="s">
        <v>9102</v>
      </c>
      <c r="O472" s="273" t="s">
        <v>106</v>
      </c>
      <c r="P472" s="232">
        <v>5</v>
      </c>
      <c r="Q472" s="233"/>
      <c r="R472" s="233"/>
      <c r="S472" s="233"/>
      <c r="T472" s="233"/>
      <c r="U472" s="233"/>
      <c r="V472" s="233"/>
      <c r="W472" s="233"/>
      <c r="X472" s="233"/>
    </row>
    <row r="473" spans="1:26" ht="15.75" customHeight="1" x14ac:dyDescent="0.35">
      <c r="A473" s="258">
        <v>465</v>
      </c>
      <c r="B473" s="273" t="s">
        <v>8598</v>
      </c>
      <c r="C473" s="273" t="s">
        <v>8599</v>
      </c>
      <c r="D473" s="273" t="s">
        <v>51</v>
      </c>
      <c r="E473" s="273">
        <v>2104</v>
      </c>
      <c r="F473" s="273">
        <v>1992</v>
      </c>
      <c r="G473" s="273" t="s">
        <v>9103</v>
      </c>
      <c r="H473" s="273" t="s">
        <v>7938</v>
      </c>
      <c r="I473" s="274">
        <v>33693</v>
      </c>
      <c r="J473" s="273" t="s">
        <v>9104</v>
      </c>
      <c r="K473" s="273" t="s">
        <v>9105</v>
      </c>
      <c r="L473" s="273" t="s">
        <v>422</v>
      </c>
      <c r="M473" s="275">
        <v>107546</v>
      </c>
      <c r="N473" s="273" t="s">
        <v>8603</v>
      </c>
      <c r="O473" s="273" t="s">
        <v>106</v>
      </c>
      <c r="P473" s="232">
        <v>5</v>
      </c>
      <c r="Q473" s="233"/>
      <c r="R473" s="233"/>
      <c r="S473" s="233"/>
      <c r="T473" s="233"/>
      <c r="U473" s="233"/>
      <c r="V473" s="233"/>
      <c r="W473" s="233"/>
      <c r="X473" s="233"/>
    </row>
    <row r="474" spans="1:26" ht="15.75" customHeight="1" x14ac:dyDescent="0.35">
      <c r="A474" s="264">
        <v>466</v>
      </c>
      <c r="B474" s="273" t="s">
        <v>8598</v>
      </c>
      <c r="C474" s="273" t="s">
        <v>8599</v>
      </c>
      <c r="D474" s="273" t="s">
        <v>59</v>
      </c>
      <c r="E474" s="273">
        <v>9727</v>
      </c>
      <c r="F474" s="273">
        <v>1992</v>
      </c>
      <c r="G474" s="273" t="s">
        <v>8600</v>
      </c>
      <c r="H474" s="273" t="s">
        <v>7938</v>
      </c>
      <c r="I474" s="274">
        <v>33693</v>
      </c>
      <c r="J474" s="273" t="s">
        <v>9106</v>
      </c>
      <c r="K474" s="273" t="s">
        <v>9105</v>
      </c>
      <c r="L474" s="273" t="s">
        <v>422</v>
      </c>
      <c r="M474" s="275">
        <v>497196</v>
      </c>
      <c r="N474" s="273" t="s">
        <v>8603</v>
      </c>
      <c r="O474" s="273" t="s">
        <v>106</v>
      </c>
      <c r="P474" s="232">
        <v>5</v>
      </c>
      <c r="Q474" s="233"/>
      <c r="R474" s="233"/>
      <c r="S474" s="233"/>
      <c r="T474" s="233"/>
      <c r="U474" s="233"/>
      <c r="V474" s="233"/>
      <c r="W474" s="233"/>
      <c r="X474" s="233"/>
    </row>
    <row r="475" spans="1:26" ht="15.75" customHeight="1" x14ac:dyDescent="0.35">
      <c r="A475" s="258">
        <v>467</v>
      </c>
      <c r="B475" s="273" t="s">
        <v>8598</v>
      </c>
      <c r="C475" s="273" t="s">
        <v>8599</v>
      </c>
      <c r="D475" s="273" t="s">
        <v>97</v>
      </c>
      <c r="E475" s="273">
        <v>1415</v>
      </c>
      <c r="F475" s="273">
        <v>1992</v>
      </c>
      <c r="G475" s="273" t="s">
        <v>9103</v>
      </c>
      <c r="H475" s="273" t="s">
        <v>7938</v>
      </c>
      <c r="I475" s="274">
        <v>30040</v>
      </c>
      <c r="J475" s="273" t="s">
        <v>9107</v>
      </c>
      <c r="K475" s="273" t="s">
        <v>9105</v>
      </c>
      <c r="L475" s="273" t="s">
        <v>422</v>
      </c>
      <c r="M475" s="275">
        <v>72328</v>
      </c>
      <c r="N475" s="273" t="s">
        <v>8603</v>
      </c>
      <c r="O475" s="273" t="s">
        <v>106</v>
      </c>
      <c r="P475" s="232">
        <v>5</v>
      </c>
      <c r="Q475" s="233"/>
      <c r="R475" s="233"/>
      <c r="S475" s="233"/>
      <c r="T475" s="233"/>
      <c r="U475" s="233"/>
      <c r="V475" s="233"/>
      <c r="W475" s="233"/>
      <c r="X475" s="233"/>
    </row>
    <row r="476" spans="1:26" ht="15.75" customHeight="1" x14ac:dyDescent="0.35">
      <c r="A476" s="264">
        <v>468</v>
      </c>
      <c r="B476" s="273" t="s">
        <v>9108</v>
      </c>
      <c r="C476" s="273" t="s">
        <v>9109</v>
      </c>
      <c r="D476" s="273" t="s">
        <v>51</v>
      </c>
      <c r="E476" s="273">
        <v>33000</v>
      </c>
      <c r="F476" s="273">
        <v>2015</v>
      </c>
      <c r="G476" s="273" t="s">
        <v>9110</v>
      </c>
      <c r="H476" s="273" t="s">
        <v>7938</v>
      </c>
      <c r="I476" s="274">
        <v>42522</v>
      </c>
      <c r="J476" s="273" t="s">
        <v>9111</v>
      </c>
      <c r="K476" s="273" t="s">
        <v>9112</v>
      </c>
      <c r="L476" s="273" t="s">
        <v>422</v>
      </c>
      <c r="M476" s="275">
        <v>891000</v>
      </c>
      <c r="N476" s="273"/>
      <c r="O476" s="273" t="s">
        <v>106</v>
      </c>
      <c r="P476" s="232">
        <v>5</v>
      </c>
      <c r="Q476" s="233"/>
      <c r="R476" s="233"/>
      <c r="S476" s="233"/>
      <c r="T476" s="233"/>
      <c r="U476" s="233"/>
      <c r="V476" s="233"/>
      <c r="W476" s="233"/>
      <c r="X476" s="233"/>
    </row>
    <row r="477" spans="1:26" ht="15.75" customHeight="1" x14ac:dyDescent="0.35">
      <c r="A477" s="258">
        <v>469</v>
      </c>
      <c r="B477" s="273" t="s">
        <v>9113</v>
      </c>
      <c r="C477" s="273" t="s">
        <v>9114</v>
      </c>
      <c r="D477" s="273" t="s">
        <v>51</v>
      </c>
      <c r="E477" s="273">
        <v>10000</v>
      </c>
      <c r="F477" s="273">
        <v>2015</v>
      </c>
      <c r="G477" s="273" t="s">
        <v>9115</v>
      </c>
      <c r="H477" s="273" t="s">
        <v>7938</v>
      </c>
      <c r="I477" s="274">
        <v>42522</v>
      </c>
      <c r="J477" s="273" t="s">
        <v>9111</v>
      </c>
      <c r="K477" s="273" t="s">
        <v>9116</v>
      </c>
      <c r="L477" s="273" t="s">
        <v>422</v>
      </c>
      <c r="M477" s="275">
        <v>1400</v>
      </c>
      <c r="N477" s="273"/>
      <c r="O477" s="273" t="s">
        <v>106</v>
      </c>
      <c r="P477" s="232">
        <v>5</v>
      </c>
      <c r="Q477" s="233"/>
      <c r="R477" s="233"/>
      <c r="S477" s="233"/>
      <c r="T477" s="233"/>
      <c r="U477" s="233"/>
      <c r="V477" s="233"/>
      <c r="W477" s="233"/>
      <c r="X477" s="233"/>
    </row>
    <row r="478" spans="1:26" ht="15.75" customHeight="1" x14ac:dyDescent="0.35">
      <c r="A478" s="264">
        <v>470</v>
      </c>
      <c r="B478" s="273" t="s">
        <v>9113</v>
      </c>
      <c r="C478" s="273" t="s">
        <v>9114</v>
      </c>
      <c r="D478" s="273" t="s">
        <v>59</v>
      </c>
      <c r="E478" s="273">
        <v>9600</v>
      </c>
      <c r="F478" s="273">
        <v>2015</v>
      </c>
      <c r="G478" s="273" t="s">
        <v>9117</v>
      </c>
      <c r="H478" s="273" t="s">
        <v>7938</v>
      </c>
      <c r="I478" s="274">
        <v>42522</v>
      </c>
      <c r="J478" s="273" t="s">
        <v>9111</v>
      </c>
      <c r="K478" s="273" t="s">
        <v>9118</v>
      </c>
      <c r="L478" s="273" t="s">
        <v>422</v>
      </c>
      <c r="M478" s="275">
        <v>2592</v>
      </c>
      <c r="N478" s="273"/>
      <c r="O478" s="273" t="s">
        <v>106</v>
      </c>
      <c r="P478" s="232">
        <v>5</v>
      </c>
      <c r="Q478" s="233"/>
      <c r="R478" s="233"/>
      <c r="S478" s="233"/>
      <c r="T478" s="233"/>
      <c r="U478" s="233"/>
      <c r="V478" s="233"/>
      <c r="W478" s="233"/>
      <c r="X478" s="233"/>
    </row>
    <row r="479" spans="1:26" ht="15.75" customHeight="1" x14ac:dyDescent="0.35">
      <c r="A479" s="258">
        <v>471</v>
      </c>
      <c r="B479" s="273" t="s">
        <v>9113</v>
      </c>
      <c r="C479" s="273" t="s">
        <v>9114</v>
      </c>
      <c r="D479" s="273" t="s">
        <v>97</v>
      </c>
      <c r="E479" s="273">
        <v>6000</v>
      </c>
      <c r="F479" s="273">
        <v>2015</v>
      </c>
      <c r="G479" s="273" t="s">
        <v>9119</v>
      </c>
      <c r="H479" s="273" t="s">
        <v>7938</v>
      </c>
      <c r="I479" s="274">
        <v>42522</v>
      </c>
      <c r="J479" s="273" t="s">
        <v>9111</v>
      </c>
      <c r="K479" s="273" t="s">
        <v>9120</v>
      </c>
      <c r="L479" s="273" t="s">
        <v>422</v>
      </c>
      <c r="M479" s="275">
        <v>2880</v>
      </c>
      <c r="N479" s="273"/>
      <c r="O479" s="273" t="s">
        <v>106</v>
      </c>
      <c r="P479" s="232">
        <v>5</v>
      </c>
      <c r="Q479" s="233"/>
      <c r="R479" s="233"/>
      <c r="S479" s="233"/>
      <c r="T479" s="233"/>
      <c r="U479" s="233"/>
      <c r="V479" s="233"/>
      <c r="W479" s="233"/>
      <c r="X479" s="233"/>
    </row>
    <row r="480" spans="1:26" ht="15.75" customHeight="1" x14ac:dyDescent="0.35">
      <c r="A480" s="264">
        <v>472</v>
      </c>
      <c r="B480" s="273" t="s">
        <v>9113</v>
      </c>
      <c r="C480" s="273" t="s">
        <v>9114</v>
      </c>
      <c r="D480" s="273" t="s">
        <v>101</v>
      </c>
      <c r="E480" s="273">
        <v>30000</v>
      </c>
      <c r="F480" s="273">
        <v>2015</v>
      </c>
      <c r="G480" s="273" t="s">
        <v>9121</v>
      </c>
      <c r="H480" s="273" t="s">
        <v>7938</v>
      </c>
      <c r="I480" s="274">
        <v>42522</v>
      </c>
      <c r="J480" s="273" t="s">
        <v>9111</v>
      </c>
      <c r="K480" s="273" t="s">
        <v>9122</v>
      </c>
      <c r="L480" s="273" t="s">
        <v>422</v>
      </c>
      <c r="M480" s="275">
        <v>4200</v>
      </c>
      <c r="N480" s="273"/>
      <c r="O480" s="273" t="s">
        <v>106</v>
      </c>
      <c r="P480" s="232">
        <v>5</v>
      </c>
      <c r="Q480" s="233"/>
      <c r="R480" s="233"/>
      <c r="S480" s="233"/>
      <c r="T480" s="233"/>
      <c r="U480" s="233"/>
      <c r="V480" s="233"/>
      <c r="W480" s="233"/>
      <c r="X480" s="233"/>
    </row>
    <row r="481" spans="1:24" ht="15.75" customHeight="1" x14ac:dyDescent="0.35">
      <c r="A481" s="258">
        <v>473</v>
      </c>
      <c r="B481" s="273" t="s">
        <v>9113</v>
      </c>
      <c r="C481" s="273" t="s">
        <v>9114</v>
      </c>
      <c r="D481" s="273" t="s">
        <v>107</v>
      </c>
      <c r="E481" s="273">
        <v>15600</v>
      </c>
      <c r="F481" s="273">
        <v>2015</v>
      </c>
      <c r="G481" s="273" t="s">
        <v>9123</v>
      </c>
      <c r="H481" s="273" t="s">
        <v>7938</v>
      </c>
      <c r="I481" s="274">
        <v>42522</v>
      </c>
      <c r="J481" s="273" t="s">
        <v>9111</v>
      </c>
      <c r="K481" s="273" t="s">
        <v>9124</v>
      </c>
      <c r="L481" s="273" t="s">
        <v>422</v>
      </c>
      <c r="M481" s="275">
        <v>4212</v>
      </c>
      <c r="N481" s="273"/>
      <c r="O481" s="273" t="s">
        <v>106</v>
      </c>
      <c r="P481" s="232">
        <v>5</v>
      </c>
      <c r="Q481" s="233"/>
      <c r="R481" s="233"/>
      <c r="S481" s="233"/>
      <c r="T481" s="233"/>
      <c r="U481" s="233"/>
      <c r="V481" s="233"/>
      <c r="W481" s="233"/>
      <c r="X481" s="233"/>
    </row>
    <row r="482" spans="1:24" ht="15.75" customHeight="1" x14ac:dyDescent="0.35">
      <c r="A482" s="264">
        <v>474</v>
      </c>
      <c r="B482" s="273" t="s">
        <v>9113</v>
      </c>
      <c r="C482" s="273" t="s">
        <v>9114</v>
      </c>
      <c r="D482" s="273" t="s">
        <v>112</v>
      </c>
      <c r="E482" s="273">
        <v>33000</v>
      </c>
      <c r="F482" s="273">
        <v>2015</v>
      </c>
      <c r="G482" s="273" t="s">
        <v>9125</v>
      </c>
      <c r="H482" s="273" t="s">
        <v>7938</v>
      </c>
      <c r="I482" s="274">
        <v>42522</v>
      </c>
      <c r="J482" s="273" t="s">
        <v>9111</v>
      </c>
      <c r="K482" s="273" t="s">
        <v>9126</v>
      </c>
      <c r="L482" s="273" t="s">
        <v>422</v>
      </c>
      <c r="M482" s="275">
        <v>4620</v>
      </c>
      <c r="N482" s="273"/>
      <c r="O482" s="273" t="s">
        <v>106</v>
      </c>
      <c r="P482" s="232">
        <v>5</v>
      </c>
      <c r="Q482" s="233"/>
      <c r="R482" s="233"/>
      <c r="S482" s="233"/>
      <c r="T482" s="233"/>
      <c r="U482" s="233"/>
      <c r="V482" s="233"/>
      <c r="W482" s="233"/>
      <c r="X482" s="233"/>
    </row>
    <row r="483" spans="1:24" ht="15.75" customHeight="1" x14ac:dyDescent="0.35">
      <c r="A483" s="258">
        <v>475</v>
      </c>
      <c r="B483" s="273" t="s">
        <v>9113</v>
      </c>
      <c r="C483" s="273" t="s">
        <v>9114</v>
      </c>
      <c r="D483" s="273" t="s">
        <v>116</v>
      </c>
      <c r="E483" s="273">
        <v>17500</v>
      </c>
      <c r="F483" s="273">
        <v>2015</v>
      </c>
      <c r="G483" s="273" t="s">
        <v>9127</v>
      </c>
      <c r="H483" s="273" t="s">
        <v>7938</v>
      </c>
      <c r="I483" s="274">
        <v>42522</v>
      </c>
      <c r="J483" s="273" t="s">
        <v>9111</v>
      </c>
      <c r="K483" s="273" t="s">
        <v>9128</v>
      </c>
      <c r="L483" s="273" t="s">
        <v>422</v>
      </c>
      <c r="M483" s="275">
        <v>4725</v>
      </c>
      <c r="N483" s="273"/>
      <c r="O483" s="273" t="s">
        <v>106</v>
      </c>
      <c r="P483" s="232">
        <v>5</v>
      </c>
      <c r="Q483" s="233"/>
      <c r="R483" s="233"/>
      <c r="S483" s="233"/>
      <c r="T483" s="233"/>
      <c r="U483" s="233"/>
      <c r="V483" s="233"/>
      <c r="W483" s="233"/>
      <c r="X483" s="233"/>
    </row>
    <row r="484" spans="1:24" ht="15.75" customHeight="1" x14ac:dyDescent="0.35">
      <c r="A484" s="264">
        <v>476</v>
      </c>
      <c r="B484" s="273" t="s">
        <v>9113</v>
      </c>
      <c r="C484" s="273" t="s">
        <v>9114</v>
      </c>
      <c r="D484" s="273" t="s">
        <v>841</v>
      </c>
      <c r="E484" s="273">
        <v>35000</v>
      </c>
      <c r="F484" s="273">
        <v>2015</v>
      </c>
      <c r="G484" s="273" t="s">
        <v>9129</v>
      </c>
      <c r="H484" s="273" t="s">
        <v>7938</v>
      </c>
      <c r="I484" s="274">
        <v>42522</v>
      </c>
      <c r="J484" s="273" t="s">
        <v>9111</v>
      </c>
      <c r="K484" s="273" t="s">
        <v>9130</v>
      </c>
      <c r="L484" s="273" t="s">
        <v>422</v>
      </c>
      <c r="M484" s="275">
        <v>4900</v>
      </c>
      <c r="N484" s="273"/>
      <c r="O484" s="273" t="s">
        <v>106</v>
      </c>
      <c r="P484" s="232">
        <v>5</v>
      </c>
      <c r="Q484" s="233"/>
      <c r="R484" s="233"/>
      <c r="S484" s="233"/>
      <c r="T484" s="233"/>
      <c r="U484" s="233"/>
      <c r="V484" s="233"/>
      <c r="W484" s="233"/>
      <c r="X484" s="233"/>
    </row>
    <row r="485" spans="1:24" ht="15.75" customHeight="1" x14ac:dyDescent="0.35">
      <c r="A485" s="258">
        <v>477</v>
      </c>
      <c r="B485" s="273" t="s">
        <v>9113</v>
      </c>
      <c r="C485" s="273" t="s">
        <v>9114</v>
      </c>
      <c r="D485" s="273" t="s">
        <v>904</v>
      </c>
      <c r="E485" s="273">
        <v>28500</v>
      </c>
      <c r="F485" s="273">
        <v>2015</v>
      </c>
      <c r="G485" s="273" t="s">
        <v>9131</v>
      </c>
      <c r="H485" s="273" t="s">
        <v>7938</v>
      </c>
      <c r="I485" s="274">
        <v>42522</v>
      </c>
      <c r="J485" s="273" t="s">
        <v>9111</v>
      </c>
      <c r="K485" s="273" t="s">
        <v>9132</v>
      </c>
      <c r="L485" s="273" t="s">
        <v>422</v>
      </c>
      <c r="M485" s="275">
        <v>5700</v>
      </c>
      <c r="N485" s="273"/>
      <c r="O485" s="273" t="s">
        <v>106</v>
      </c>
      <c r="P485" s="232">
        <v>5</v>
      </c>
      <c r="Q485" s="233"/>
      <c r="R485" s="233"/>
      <c r="S485" s="233"/>
      <c r="T485" s="233"/>
      <c r="U485" s="233"/>
      <c r="V485" s="233"/>
      <c r="W485" s="233"/>
      <c r="X485" s="233"/>
    </row>
    <row r="486" spans="1:24" ht="15.75" customHeight="1" x14ac:dyDescent="0.35">
      <c r="A486" s="264">
        <v>478</v>
      </c>
      <c r="B486" s="273" t="s">
        <v>9113</v>
      </c>
      <c r="C486" s="273" t="s">
        <v>9114</v>
      </c>
      <c r="D486" s="273" t="s">
        <v>122</v>
      </c>
      <c r="E486" s="273">
        <v>21600</v>
      </c>
      <c r="F486" s="273">
        <v>2015</v>
      </c>
      <c r="G486" s="273" t="s">
        <v>9133</v>
      </c>
      <c r="H486" s="273" t="s">
        <v>7938</v>
      </c>
      <c r="I486" s="274">
        <v>42522</v>
      </c>
      <c r="J486" s="273" t="s">
        <v>9111</v>
      </c>
      <c r="K486" s="273" t="s">
        <v>9134</v>
      </c>
      <c r="L486" s="273" t="s">
        <v>422</v>
      </c>
      <c r="M486" s="275">
        <v>5832</v>
      </c>
      <c r="N486" s="273"/>
      <c r="O486" s="273" t="s">
        <v>106</v>
      </c>
      <c r="P486" s="232">
        <v>5</v>
      </c>
      <c r="Q486" s="233"/>
      <c r="R486" s="233"/>
      <c r="S486" s="233"/>
      <c r="T486" s="233"/>
      <c r="U486" s="233"/>
      <c r="V486" s="233"/>
      <c r="W486" s="233"/>
      <c r="X486" s="233"/>
    </row>
    <row r="487" spans="1:24" ht="15.75" customHeight="1" x14ac:dyDescent="0.35">
      <c r="A487" s="258">
        <v>479</v>
      </c>
      <c r="B487" s="273" t="s">
        <v>9113</v>
      </c>
      <c r="C487" s="273" t="s">
        <v>9114</v>
      </c>
      <c r="D487" s="273" t="s">
        <v>126</v>
      </c>
      <c r="E487" s="273">
        <v>18720</v>
      </c>
      <c r="F487" s="273">
        <v>2015</v>
      </c>
      <c r="G487" s="273" t="s">
        <v>9135</v>
      </c>
      <c r="H487" s="273" t="s">
        <v>7938</v>
      </c>
      <c r="I487" s="274">
        <v>42522</v>
      </c>
      <c r="J487" s="273" t="s">
        <v>9111</v>
      </c>
      <c r="K487" s="273" t="s">
        <v>9136</v>
      </c>
      <c r="L487" s="273" t="s">
        <v>422</v>
      </c>
      <c r="M487" s="275">
        <v>6552</v>
      </c>
      <c r="N487" s="273"/>
      <c r="O487" s="273" t="s">
        <v>106</v>
      </c>
      <c r="P487" s="232">
        <v>5</v>
      </c>
      <c r="Q487" s="233"/>
      <c r="R487" s="233"/>
      <c r="S487" s="233"/>
      <c r="T487" s="233"/>
      <c r="U487" s="233"/>
      <c r="V487" s="233"/>
      <c r="W487" s="233"/>
      <c r="X487" s="233"/>
    </row>
    <row r="488" spans="1:24" ht="15.75" customHeight="1" x14ac:dyDescent="0.35">
      <c r="A488" s="264">
        <v>480</v>
      </c>
      <c r="B488" s="273" t="s">
        <v>9113</v>
      </c>
      <c r="C488" s="273" t="s">
        <v>9114</v>
      </c>
      <c r="D488" s="273" t="s">
        <v>132</v>
      </c>
      <c r="E488" s="273">
        <v>20400</v>
      </c>
      <c r="F488" s="273">
        <v>2015</v>
      </c>
      <c r="G488" s="273" t="s">
        <v>9137</v>
      </c>
      <c r="H488" s="273" t="s">
        <v>7938</v>
      </c>
      <c r="I488" s="274">
        <v>42522</v>
      </c>
      <c r="J488" s="273" t="s">
        <v>9111</v>
      </c>
      <c r="K488" s="273" t="s">
        <v>9138</v>
      </c>
      <c r="L488" s="273" t="s">
        <v>422</v>
      </c>
      <c r="M488" s="275">
        <v>7140</v>
      </c>
      <c r="N488" s="273"/>
      <c r="O488" s="273" t="s">
        <v>106</v>
      </c>
      <c r="P488" s="232">
        <v>5</v>
      </c>
      <c r="Q488" s="233"/>
      <c r="R488" s="233"/>
      <c r="S488" s="233"/>
      <c r="T488" s="233"/>
      <c r="U488" s="233"/>
      <c r="V488" s="233"/>
      <c r="W488" s="233"/>
      <c r="X488" s="233"/>
    </row>
    <row r="489" spans="1:24" ht="15.75" customHeight="1" x14ac:dyDescent="0.35">
      <c r="A489" s="258">
        <v>481</v>
      </c>
      <c r="B489" s="273" t="s">
        <v>9113</v>
      </c>
      <c r="C489" s="273" t="s">
        <v>9114</v>
      </c>
      <c r="D489" s="273" t="s">
        <v>137</v>
      </c>
      <c r="E489" s="273">
        <v>30600</v>
      </c>
      <c r="F489" s="273">
        <v>2015</v>
      </c>
      <c r="G489" s="273" t="s">
        <v>9139</v>
      </c>
      <c r="H489" s="273" t="s">
        <v>7938</v>
      </c>
      <c r="I489" s="274">
        <v>42522</v>
      </c>
      <c r="J489" s="273" t="s">
        <v>9111</v>
      </c>
      <c r="K489" s="273" t="s">
        <v>9140</v>
      </c>
      <c r="L489" s="273" t="s">
        <v>422</v>
      </c>
      <c r="M489" s="275">
        <v>8262</v>
      </c>
      <c r="N489" s="273"/>
      <c r="O489" s="273" t="s">
        <v>106</v>
      </c>
      <c r="P489" s="232">
        <v>5</v>
      </c>
      <c r="Q489" s="233"/>
      <c r="R489" s="233"/>
      <c r="S489" s="233"/>
      <c r="T489" s="233"/>
      <c r="U489" s="233"/>
      <c r="V489" s="233"/>
      <c r="W489" s="233"/>
      <c r="X489" s="233"/>
    </row>
    <row r="490" spans="1:24" ht="15.75" customHeight="1" x14ac:dyDescent="0.35">
      <c r="A490" s="264">
        <v>482</v>
      </c>
      <c r="B490" s="273" t="s">
        <v>9113</v>
      </c>
      <c r="C490" s="273" t="s">
        <v>9114</v>
      </c>
      <c r="D490" s="273" t="s">
        <v>146</v>
      </c>
      <c r="E490" s="273">
        <v>24000</v>
      </c>
      <c r="F490" s="273">
        <v>2015</v>
      </c>
      <c r="G490" s="273" t="s">
        <v>9141</v>
      </c>
      <c r="H490" s="273" t="s">
        <v>7938</v>
      </c>
      <c r="I490" s="274">
        <v>42522</v>
      </c>
      <c r="J490" s="273" t="s">
        <v>9111</v>
      </c>
      <c r="K490" s="273" t="s">
        <v>9142</v>
      </c>
      <c r="L490" s="273" t="s">
        <v>422</v>
      </c>
      <c r="M490" s="275">
        <v>8400</v>
      </c>
      <c r="N490" s="273"/>
      <c r="O490" s="273" t="s">
        <v>106</v>
      </c>
      <c r="P490" s="232">
        <v>5</v>
      </c>
      <c r="Q490" s="233"/>
      <c r="R490" s="233"/>
      <c r="S490" s="233"/>
      <c r="T490" s="233"/>
      <c r="U490" s="233"/>
      <c r="V490" s="233"/>
      <c r="W490" s="233"/>
      <c r="X490" s="233"/>
    </row>
    <row r="491" spans="1:24" ht="15.75" customHeight="1" x14ac:dyDescent="0.35">
      <c r="A491" s="258">
        <v>483</v>
      </c>
      <c r="B491" s="273" t="s">
        <v>9113</v>
      </c>
      <c r="C491" s="273" t="s">
        <v>9114</v>
      </c>
      <c r="D491" s="273" t="s">
        <v>154</v>
      </c>
      <c r="E491" s="273">
        <v>21000</v>
      </c>
      <c r="F491" s="273">
        <v>2015</v>
      </c>
      <c r="G491" s="273" t="s">
        <v>9143</v>
      </c>
      <c r="H491" s="273" t="s">
        <v>7938</v>
      </c>
      <c r="I491" s="274">
        <v>42522</v>
      </c>
      <c r="J491" s="273" t="s">
        <v>9111</v>
      </c>
      <c r="K491" s="273" t="s">
        <v>9144</v>
      </c>
      <c r="L491" s="273" t="s">
        <v>422</v>
      </c>
      <c r="M491" s="275">
        <v>10080</v>
      </c>
      <c r="N491" s="273"/>
      <c r="O491" s="273" t="s">
        <v>106</v>
      </c>
      <c r="P491" s="232">
        <v>5</v>
      </c>
      <c r="Q491" s="233"/>
      <c r="R491" s="233"/>
      <c r="S491" s="233"/>
      <c r="T491" s="233"/>
      <c r="U491" s="233"/>
      <c r="V491" s="233"/>
      <c r="W491" s="233"/>
      <c r="X491" s="233"/>
    </row>
    <row r="492" spans="1:24" ht="15.75" customHeight="1" x14ac:dyDescent="0.35">
      <c r="A492" s="264">
        <v>484</v>
      </c>
      <c r="B492" s="273" t="s">
        <v>9113</v>
      </c>
      <c r="C492" s="273" t="s">
        <v>9114</v>
      </c>
      <c r="D492" s="273" t="s">
        <v>161</v>
      </c>
      <c r="E492" s="273">
        <v>76200</v>
      </c>
      <c r="F492" s="273">
        <v>2015</v>
      </c>
      <c r="G492" s="273" t="s">
        <v>9145</v>
      </c>
      <c r="H492" s="273" t="s">
        <v>7938</v>
      </c>
      <c r="I492" s="274">
        <v>42522</v>
      </c>
      <c r="J492" s="273" t="s">
        <v>9111</v>
      </c>
      <c r="K492" s="273" t="s">
        <v>9146</v>
      </c>
      <c r="L492" s="273" t="s">
        <v>422</v>
      </c>
      <c r="M492" s="275">
        <v>10668</v>
      </c>
      <c r="N492" s="273"/>
      <c r="O492" s="273" t="s">
        <v>106</v>
      </c>
      <c r="P492" s="232">
        <v>5</v>
      </c>
      <c r="Q492" s="233"/>
      <c r="R492" s="233"/>
      <c r="S492" s="233"/>
      <c r="T492" s="233"/>
      <c r="U492" s="233"/>
      <c r="V492" s="233"/>
      <c r="W492" s="233"/>
      <c r="X492" s="233"/>
    </row>
    <row r="493" spans="1:24" ht="15.75" customHeight="1" x14ac:dyDescent="0.35">
      <c r="A493" s="258">
        <v>485</v>
      </c>
      <c r="B493" s="273" t="s">
        <v>9113</v>
      </c>
      <c r="C493" s="273" t="s">
        <v>9114</v>
      </c>
      <c r="D493" s="273" t="s">
        <v>169</v>
      </c>
      <c r="E493" s="273">
        <v>54000</v>
      </c>
      <c r="F493" s="273">
        <v>2015</v>
      </c>
      <c r="G493" s="273" t="s">
        <v>9147</v>
      </c>
      <c r="H493" s="273" t="s">
        <v>7938</v>
      </c>
      <c r="I493" s="274">
        <v>42522</v>
      </c>
      <c r="J493" s="273" t="s">
        <v>9111</v>
      </c>
      <c r="K493" s="273" t="s">
        <v>9148</v>
      </c>
      <c r="L493" s="273" t="s">
        <v>422</v>
      </c>
      <c r="M493" s="275">
        <v>10800</v>
      </c>
      <c r="N493" s="273"/>
      <c r="O493" s="273" t="s">
        <v>106</v>
      </c>
      <c r="P493" s="232">
        <v>5</v>
      </c>
      <c r="Q493" s="233"/>
      <c r="R493" s="233"/>
      <c r="S493" s="233"/>
      <c r="T493" s="233"/>
      <c r="U493" s="233"/>
      <c r="V493" s="233"/>
      <c r="W493" s="233"/>
      <c r="X493" s="233"/>
    </row>
    <row r="494" spans="1:24" ht="15.75" customHeight="1" x14ac:dyDescent="0.35">
      <c r="A494" s="264">
        <v>486</v>
      </c>
      <c r="B494" s="273" t="s">
        <v>9113</v>
      </c>
      <c r="C494" s="273" t="s">
        <v>9114</v>
      </c>
      <c r="D494" s="273" t="s">
        <v>176</v>
      </c>
      <c r="E494" s="273">
        <v>82500</v>
      </c>
      <c r="F494" s="273">
        <v>2015</v>
      </c>
      <c r="G494" s="273" t="s">
        <v>9149</v>
      </c>
      <c r="H494" s="273" t="s">
        <v>7938</v>
      </c>
      <c r="I494" s="274">
        <v>42522</v>
      </c>
      <c r="J494" s="273" t="s">
        <v>9111</v>
      </c>
      <c r="K494" s="273" t="s">
        <v>9150</v>
      </c>
      <c r="L494" s="273" t="s">
        <v>422</v>
      </c>
      <c r="M494" s="275">
        <v>11550</v>
      </c>
      <c r="N494" s="273"/>
      <c r="O494" s="273" t="s">
        <v>106</v>
      </c>
      <c r="P494" s="232">
        <v>5</v>
      </c>
      <c r="Q494" s="233"/>
      <c r="R494" s="233"/>
      <c r="S494" s="233"/>
      <c r="T494" s="233"/>
      <c r="U494" s="233"/>
      <c r="V494" s="233"/>
      <c r="W494" s="233"/>
      <c r="X494" s="233"/>
    </row>
    <row r="495" spans="1:24" ht="15.75" customHeight="1" x14ac:dyDescent="0.35">
      <c r="A495" s="258">
        <v>487</v>
      </c>
      <c r="B495" s="273" t="s">
        <v>9113</v>
      </c>
      <c r="C495" s="273" t="s">
        <v>9114</v>
      </c>
      <c r="D495" s="273" t="s">
        <v>1236</v>
      </c>
      <c r="E495" s="273">
        <v>105000</v>
      </c>
      <c r="F495" s="273">
        <v>2015</v>
      </c>
      <c r="G495" s="273" t="s">
        <v>9151</v>
      </c>
      <c r="H495" s="273" t="s">
        <v>7938</v>
      </c>
      <c r="I495" s="274">
        <v>45611</v>
      </c>
      <c r="J495" s="273" t="s">
        <v>9152</v>
      </c>
      <c r="K495" s="273" t="s">
        <v>9153</v>
      </c>
      <c r="L495" s="273" t="s">
        <v>422</v>
      </c>
      <c r="M495" s="275">
        <v>14700</v>
      </c>
      <c r="N495" s="273" t="s">
        <v>9154</v>
      </c>
      <c r="O495" s="273" t="s">
        <v>106</v>
      </c>
      <c r="P495" s="232">
        <v>5</v>
      </c>
      <c r="Q495" s="233"/>
      <c r="R495" s="233"/>
      <c r="S495" s="233"/>
      <c r="T495" s="233"/>
      <c r="U495" s="233"/>
      <c r="V495" s="233"/>
      <c r="W495" s="233"/>
      <c r="X495" s="233"/>
    </row>
    <row r="496" spans="1:24" ht="15.75" customHeight="1" x14ac:dyDescent="0.35">
      <c r="A496" s="264">
        <v>488</v>
      </c>
      <c r="B496" s="273" t="s">
        <v>9113</v>
      </c>
      <c r="C496" s="273" t="s">
        <v>9114</v>
      </c>
      <c r="D496" s="273" t="s">
        <v>181</v>
      </c>
      <c r="E496" s="273">
        <v>44320</v>
      </c>
      <c r="F496" s="273">
        <v>2015</v>
      </c>
      <c r="G496" s="273" t="s">
        <v>9155</v>
      </c>
      <c r="H496" s="273" t="s">
        <v>7938</v>
      </c>
      <c r="I496" s="274">
        <v>42522</v>
      </c>
      <c r="J496" s="273" t="s">
        <v>9111</v>
      </c>
      <c r="K496" s="273" t="s">
        <v>9156</v>
      </c>
      <c r="L496" s="273" t="s">
        <v>422</v>
      </c>
      <c r="M496" s="275">
        <v>15512</v>
      </c>
      <c r="N496" s="273"/>
      <c r="O496" s="273" t="s">
        <v>106</v>
      </c>
      <c r="P496" s="232">
        <v>5</v>
      </c>
      <c r="Q496" s="233"/>
      <c r="R496" s="233"/>
      <c r="S496" s="233"/>
      <c r="T496" s="233"/>
      <c r="U496" s="233"/>
      <c r="V496" s="233"/>
      <c r="W496" s="233"/>
      <c r="X496" s="233"/>
    </row>
    <row r="497" spans="1:24" ht="15.75" customHeight="1" x14ac:dyDescent="0.35">
      <c r="A497" s="258">
        <v>489</v>
      </c>
      <c r="B497" s="273" t="s">
        <v>9113</v>
      </c>
      <c r="C497" s="273" t="s">
        <v>9114</v>
      </c>
      <c r="D497" s="273" t="s">
        <v>187</v>
      </c>
      <c r="E497" s="273">
        <v>6600</v>
      </c>
      <c r="F497" s="273">
        <v>2015</v>
      </c>
      <c r="G497" s="273" t="s">
        <v>9157</v>
      </c>
      <c r="H497" s="273" t="s">
        <v>7938</v>
      </c>
      <c r="I497" s="274">
        <v>42522</v>
      </c>
      <c r="J497" s="273" t="s">
        <v>9111</v>
      </c>
      <c r="K497" s="273" t="s">
        <v>9158</v>
      </c>
      <c r="L497" s="273" t="s">
        <v>422</v>
      </c>
      <c r="M497" s="275">
        <v>16170</v>
      </c>
      <c r="N497" s="273"/>
      <c r="O497" s="273" t="s">
        <v>106</v>
      </c>
      <c r="P497" s="232">
        <v>5</v>
      </c>
      <c r="Q497" s="233"/>
      <c r="R497" s="233"/>
      <c r="S497" s="233"/>
      <c r="T497" s="233"/>
      <c r="U497" s="233"/>
      <c r="V497" s="233"/>
      <c r="W497" s="233"/>
      <c r="X497" s="233"/>
    </row>
    <row r="498" spans="1:24" ht="15.75" customHeight="1" x14ac:dyDescent="0.35">
      <c r="A498" s="264">
        <v>490</v>
      </c>
      <c r="B498" s="273" t="s">
        <v>9113</v>
      </c>
      <c r="C498" s="273" t="s">
        <v>9114</v>
      </c>
      <c r="D498" s="273" t="s">
        <v>190</v>
      </c>
      <c r="E498" s="273">
        <v>124200</v>
      </c>
      <c r="F498" s="273">
        <v>2015</v>
      </c>
      <c r="G498" s="273" t="s">
        <v>9159</v>
      </c>
      <c r="H498" s="273" t="s">
        <v>7938</v>
      </c>
      <c r="I498" s="274">
        <v>42705</v>
      </c>
      <c r="J498" s="273" t="s">
        <v>9111</v>
      </c>
      <c r="K498" s="273" t="s">
        <v>9160</v>
      </c>
      <c r="L498" s="273" t="s">
        <v>422</v>
      </c>
      <c r="M498" s="275">
        <v>17388</v>
      </c>
      <c r="N498" s="273"/>
      <c r="O498" s="273" t="s">
        <v>106</v>
      </c>
      <c r="P498" s="232">
        <v>5</v>
      </c>
      <c r="Q498" s="233"/>
      <c r="R498" s="233"/>
      <c r="S498" s="233"/>
      <c r="T498" s="233"/>
      <c r="U498" s="233"/>
      <c r="V498" s="233"/>
      <c r="W498" s="233"/>
      <c r="X498" s="233"/>
    </row>
    <row r="499" spans="1:24" ht="15.75" customHeight="1" x14ac:dyDescent="0.35">
      <c r="A499" s="258">
        <v>491</v>
      </c>
      <c r="B499" s="273" t="s">
        <v>9113</v>
      </c>
      <c r="C499" s="273" t="s">
        <v>9114</v>
      </c>
      <c r="D499" s="273" t="s">
        <v>192</v>
      </c>
      <c r="E499" s="273">
        <v>69600</v>
      </c>
      <c r="F499" s="273">
        <v>2015</v>
      </c>
      <c r="G499" s="273" t="s">
        <v>9161</v>
      </c>
      <c r="H499" s="273" t="s">
        <v>7938</v>
      </c>
      <c r="I499" s="274">
        <v>42522</v>
      </c>
      <c r="J499" s="273" t="s">
        <v>9111</v>
      </c>
      <c r="K499" s="273" t="s">
        <v>9162</v>
      </c>
      <c r="L499" s="273" t="s">
        <v>422</v>
      </c>
      <c r="M499" s="275">
        <v>18792</v>
      </c>
      <c r="N499" s="273"/>
      <c r="O499" s="273" t="s">
        <v>106</v>
      </c>
      <c r="P499" s="232">
        <v>5</v>
      </c>
      <c r="Q499" s="233"/>
      <c r="R499" s="233"/>
      <c r="S499" s="233"/>
      <c r="T499" s="233"/>
      <c r="U499" s="233"/>
      <c r="V499" s="233"/>
      <c r="W499" s="233"/>
      <c r="X499" s="233"/>
    </row>
    <row r="500" spans="1:24" ht="15.75" customHeight="1" x14ac:dyDescent="0.35">
      <c r="A500" s="264">
        <v>492</v>
      </c>
      <c r="B500" s="273" t="s">
        <v>9113</v>
      </c>
      <c r="C500" s="273" t="s">
        <v>9114</v>
      </c>
      <c r="D500" s="273" t="s">
        <v>194</v>
      </c>
      <c r="E500" s="273">
        <v>55000</v>
      </c>
      <c r="F500" s="273">
        <v>2015</v>
      </c>
      <c r="G500" s="273" t="s">
        <v>9163</v>
      </c>
      <c r="H500" s="273" t="s">
        <v>7938</v>
      </c>
      <c r="I500" s="274">
        <v>42522</v>
      </c>
      <c r="J500" s="273" t="s">
        <v>9111</v>
      </c>
      <c r="K500" s="273" t="s">
        <v>9164</v>
      </c>
      <c r="L500" s="273" t="s">
        <v>422</v>
      </c>
      <c r="M500" s="275">
        <v>19250</v>
      </c>
      <c r="N500" s="273"/>
      <c r="O500" s="273" t="s">
        <v>106</v>
      </c>
      <c r="P500" s="232">
        <v>5</v>
      </c>
      <c r="Q500" s="233"/>
      <c r="R500" s="233"/>
      <c r="S500" s="233"/>
      <c r="T500" s="233"/>
      <c r="U500" s="233"/>
      <c r="V500" s="233"/>
      <c r="W500" s="233"/>
      <c r="X500" s="233"/>
    </row>
    <row r="501" spans="1:24" ht="15.75" customHeight="1" x14ac:dyDescent="0.35">
      <c r="A501" s="258">
        <v>493</v>
      </c>
      <c r="B501" s="273" t="s">
        <v>9113</v>
      </c>
      <c r="C501" s="273" t="s">
        <v>9114</v>
      </c>
      <c r="D501" s="273" t="s">
        <v>195</v>
      </c>
      <c r="E501" s="273">
        <v>144000</v>
      </c>
      <c r="F501" s="273">
        <v>2015</v>
      </c>
      <c r="G501" s="273" t="s">
        <v>9165</v>
      </c>
      <c r="H501" s="273" t="s">
        <v>7938</v>
      </c>
      <c r="I501" s="274">
        <v>42522</v>
      </c>
      <c r="J501" s="273" t="s">
        <v>9111</v>
      </c>
      <c r="K501" s="273" t="s">
        <v>9166</v>
      </c>
      <c r="L501" s="273" t="s">
        <v>422</v>
      </c>
      <c r="M501" s="275">
        <v>20160</v>
      </c>
      <c r="N501" s="273"/>
      <c r="O501" s="273" t="s">
        <v>106</v>
      </c>
      <c r="P501" s="232">
        <v>5</v>
      </c>
      <c r="Q501" s="233"/>
      <c r="R501" s="233"/>
      <c r="S501" s="233"/>
      <c r="T501" s="233"/>
      <c r="U501" s="233"/>
      <c r="V501" s="233"/>
      <c r="W501" s="233"/>
      <c r="X501" s="233"/>
    </row>
    <row r="502" spans="1:24" ht="15.75" customHeight="1" x14ac:dyDescent="0.35">
      <c r="A502" s="264">
        <v>494</v>
      </c>
      <c r="B502" s="273" t="s">
        <v>9113</v>
      </c>
      <c r="C502" s="273" t="s">
        <v>9114</v>
      </c>
      <c r="D502" s="273" t="s">
        <v>199</v>
      </c>
      <c r="E502" s="273">
        <v>4800</v>
      </c>
      <c r="F502" s="273">
        <v>2015</v>
      </c>
      <c r="G502" s="273" t="s">
        <v>9167</v>
      </c>
      <c r="H502" s="273" t="s">
        <v>7938</v>
      </c>
      <c r="I502" s="274">
        <v>42522</v>
      </c>
      <c r="J502" s="273" t="s">
        <v>9111</v>
      </c>
      <c r="K502" s="273" t="s">
        <v>9168</v>
      </c>
      <c r="L502" s="273" t="s">
        <v>422</v>
      </c>
      <c r="M502" s="275">
        <v>24000</v>
      </c>
      <c r="N502" s="273"/>
      <c r="O502" s="273" t="s">
        <v>106</v>
      </c>
      <c r="P502" s="232">
        <v>5</v>
      </c>
      <c r="Q502" s="233"/>
      <c r="R502" s="233"/>
      <c r="S502" s="233"/>
      <c r="T502" s="233"/>
      <c r="U502" s="233"/>
      <c r="V502" s="233"/>
      <c r="W502" s="233"/>
      <c r="X502" s="233"/>
    </row>
    <row r="503" spans="1:24" ht="15.75" customHeight="1" x14ac:dyDescent="0.35">
      <c r="A503" s="258">
        <v>495</v>
      </c>
      <c r="B503" s="273" t="s">
        <v>9113</v>
      </c>
      <c r="C503" s="273" t="s">
        <v>9114</v>
      </c>
      <c r="D503" s="273" t="s">
        <v>200</v>
      </c>
      <c r="E503" s="273">
        <v>5100</v>
      </c>
      <c r="F503" s="273">
        <v>2015</v>
      </c>
      <c r="G503" s="273" t="s">
        <v>9169</v>
      </c>
      <c r="H503" s="273" t="s">
        <v>7938</v>
      </c>
      <c r="I503" s="274">
        <v>42522</v>
      </c>
      <c r="J503" s="273" t="s">
        <v>9111</v>
      </c>
      <c r="K503" s="273" t="s">
        <v>9170</v>
      </c>
      <c r="L503" s="273" t="s">
        <v>422</v>
      </c>
      <c r="M503" s="275">
        <v>25500</v>
      </c>
      <c r="N503" s="273"/>
      <c r="O503" s="273" t="s">
        <v>106</v>
      </c>
      <c r="P503" s="232">
        <v>5</v>
      </c>
      <c r="Q503" s="233"/>
      <c r="R503" s="233"/>
      <c r="S503" s="233"/>
      <c r="T503" s="233"/>
      <c r="U503" s="233"/>
      <c r="V503" s="233"/>
      <c r="W503" s="233"/>
      <c r="X503" s="233"/>
    </row>
    <row r="504" spans="1:24" ht="15.75" customHeight="1" x14ac:dyDescent="0.35">
      <c r="A504" s="264">
        <v>496</v>
      </c>
      <c r="B504" s="273" t="s">
        <v>9113</v>
      </c>
      <c r="C504" s="273" t="s">
        <v>9114</v>
      </c>
      <c r="D504" s="273" t="s">
        <v>209</v>
      </c>
      <c r="E504" s="273">
        <v>17500</v>
      </c>
      <c r="F504" s="273">
        <v>2015</v>
      </c>
      <c r="G504" s="273" t="s">
        <v>9171</v>
      </c>
      <c r="H504" s="273" t="s">
        <v>7938</v>
      </c>
      <c r="I504" s="274">
        <v>42522</v>
      </c>
      <c r="J504" s="273" t="s">
        <v>9111</v>
      </c>
      <c r="K504" s="273" t="s">
        <v>9172</v>
      </c>
      <c r="L504" s="273" t="s">
        <v>422</v>
      </c>
      <c r="M504" s="275">
        <v>29750</v>
      </c>
      <c r="N504" s="273"/>
      <c r="O504" s="273" t="s">
        <v>106</v>
      </c>
      <c r="P504" s="232">
        <v>5</v>
      </c>
      <c r="Q504" s="233"/>
      <c r="R504" s="233"/>
      <c r="S504" s="233"/>
      <c r="T504" s="233"/>
      <c r="U504" s="233"/>
      <c r="V504" s="233"/>
      <c r="W504" s="233"/>
      <c r="X504" s="233"/>
    </row>
    <row r="505" spans="1:24" ht="15.75" customHeight="1" x14ac:dyDescent="0.35">
      <c r="A505" s="258">
        <v>497</v>
      </c>
      <c r="B505" s="273" t="s">
        <v>9113</v>
      </c>
      <c r="C505" s="273" t="s">
        <v>9114</v>
      </c>
      <c r="D505" s="273" t="s">
        <v>215</v>
      </c>
      <c r="E505" s="273">
        <v>17500</v>
      </c>
      <c r="F505" s="273">
        <v>2015</v>
      </c>
      <c r="G505" s="273" t="s">
        <v>9173</v>
      </c>
      <c r="H505" s="273" t="s">
        <v>7938</v>
      </c>
      <c r="I505" s="274">
        <v>42522</v>
      </c>
      <c r="J505" s="273" t="s">
        <v>9111</v>
      </c>
      <c r="K505" s="273" t="s">
        <v>9174</v>
      </c>
      <c r="L505" s="273" t="s">
        <v>422</v>
      </c>
      <c r="M505" s="275">
        <v>29750</v>
      </c>
      <c r="N505" s="273"/>
      <c r="O505" s="273" t="s">
        <v>106</v>
      </c>
      <c r="P505" s="232">
        <v>5</v>
      </c>
      <c r="Q505" s="233"/>
      <c r="R505" s="233"/>
      <c r="S505" s="233"/>
      <c r="T505" s="233"/>
      <c r="U505" s="233"/>
      <c r="V505" s="233"/>
      <c r="W505" s="233"/>
      <c r="X505" s="233"/>
    </row>
    <row r="506" spans="1:24" ht="15.75" customHeight="1" x14ac:dyDescent="0.35">
      <c r="A506" s="264">
        <v>498</v>
      </c>
      <c r="B506" s="273" t="s">
        <v>9113</v>
      </c>
      <c r="C506" s="273" t="s">
        <v>9114</v>
      </c>
      <c r="D506" s="273" t="s">
        <v>223</v>
      </c>
      <c r="E506" s="273">
        <v>18000</v>
      </c>
      <c r="F506" s="273">
        <v>2015</v>
      </c>
      <c r="G506" s="273" t="s">
        <v>9175</v>
      </c>
      <c r="H506" s="273" t="s">
        <v>7938</v>
      </c>
      <c r="I506" s="274">
        <v>42522</v>
      </c>
      <c r="J506" s="273" t="s">
        <v>9111</v>
      </c>
      <c r="K506" s="273" t="s">
        <v>9176</v>
      </c>
      <c r="L506" s="273" t="s">
        <v>422</v>
      </c>
      <c r="M506" s="275">
        <v>30600</v>
      </c>
      <c r="N506" s="273"/>
      <c r="O506" s="273" t="s">
        <v>106</v>
      </c>
      <c r="P506" s="232">
        <v>5</v>
      </c>
      <c r="Q506" s="233"/>
      <c r="R506" s="233"/>
      <c r="S506" s="233"/>
      <c r="T506" s="233"/>
      <c r="U506" s="233"/>
      <c r="V506" s="233"/>
      <c r="W506" s="233"/>
      <c r="X506" s="233"/>
    </row>
    <row r="507" spans="1:24" ht="15.75" customHeight="1" x14ac:dyDescent="0.35">
      <c r="A507" s="258">
        <v>499</v>
      </c>
      <c r="B507" s="273" t="s">
        <v>9113</v>
      </c>
      <c r="C507" s="273" t="s">
        <v>9114</v>
      </c>
      <c r="D507" s="273" t="s">
        <v>229</v>
      </c>
      <c r="E507" s="273">
        <v>240000</v>
      </c>
      <c r="F507" s="273">
        <v>2015</v>
      </c>
      <c r="G507" s="273" t="s">
        <v>9177</v>
      </c>
      <c r="H507" s="273" t="s">
        <v>7938</v>
      </c>
      <c r="I507" s="274">
        <v>42522</v>
      </c>
      <c r="J507" s="273" t="s">
        <v>9111</v>
      </c>
      <c r="K507" s="273" t="s">
        <v>9178</v>
      </c>
      <c r="L507" s="273" t="s">
        <v>422</v>
      </c>
      <c r="M507" s="275">
        <v>33600</v>
      </c>
      <c r="N507" s="273"/>
      <c r="O507" s="273" t="s">
        <v>106</v>
      </c>
      <c r="P507" s="232">
        <v>5</v>
      </c>
      <c r="Q507" s="233"/>
      <c r="R507" s="233"/>
      <c r="S507" s="233"/>
      <c r="T507" s="233"/>
      <c r="U507" s="233"/>
      <c r="V507" s="233"/>
      <c r="W507" s="233"/>
      <c r="X507" s="233"/>
    </row>
    <row r="508" spans="1:24" ht="15.75" customHeight="1" x14ac:dyDescent="0.35">
      <c r="A508" s="264">
        <v>500</v>
      </c>
      <c r="B508" s="273" t="s">
        <v>9113</v>
      </c>
      <c r="C508" s="273" t="s">
        <v>9114</v>
      </c>
      <c r="D508" s="273" t="s">
        <v>238</v>
      </c>
      <c r="E508" s="273">
        <v>5250</v>
      </c>
      <c r="F508" s="273">
        <v>2015</v>
      </c>
      <c r="G508" s="273" t="s">
        <v>9179</v>
      </c>
      <c r="H508" s="273" t="s">
        <v>7938</v>
      </c>
      <c r="I508" s="274">
        <v>42522</v>
      </c>
      <c r="J508" s="273" t="s">
        <v>9111</v>
      </c>
      <c r="K508" s="273" t="s">
        <v>9180</v>
      </c>
      <c r="L508" s="273" t="s">
        <v>422</v>
      </c>
      <c r="M508" s="275">
        <v>37537.5</v>
      </c>
      <c r="N508" s="273"/>
      <c r="O508" s="273" t="s">
        <v>106</v>
      </c>
      <c r="P508" s="232">
        <v>5</v>
      </c>
      <c r="Q508" s="233"/>
      <c r="R508" s="233"/>
      <c r="S508" s="233"/>
      <c r="T508" s="233"/>
      <c r="U508" s="233"/>
      <c r="V508" s="233"/>
      <c r="W508" s="233"/>
      <c r="X508" s="233"/>
    </row>
    <row r="509" spans="1:24" ht="15.75" customHeight="1" x14ac:dyDescent="0.35">
      <c r="A509" s="258">
        <v>501</v>
      </c>
      <c r="B509" s="273" t="s">
        <v>9113</v>
      </c>
      <c r="C509" s="273" t="s">
        <v>9114</v>
      </c>
      <c r="D509" s="273" t="s">
        <v>244</v>
      </c>
      <c r="E509" s="273">
        <v>28000</v>
      </c>
      <c r="F509" s="273">
        <v>2015</v>
      </c>
      <c r="G509" s="273" t="s">
        <v>9181</v>
      </c>
      <c r="H509" s="273" t="s">
        <v>7938</v>
      </c>
      <c r="I509" s="274">
        <v>45603</v>
      </c>
      <c r="J509" s="273" t="s">
        <v>9182</v>
      </c>
      <c r="K509" s="273" t="s">
        <v>9183</v>
      </c>
      <c r="L509" s="273" t="s">
        <v>422</v>
      </c>
      <c r="M509" s="275">
        <v>47600</v>
      </c>
      <c r="N509" s="273" t="s">
        <v>9184</v>
      </c>
      <c r="O509" s="273" t="s">
        <v>106</v>
      </c>
      <c r="P509" s="232">
        <v>5</v>
      </c>
      <c r="Q509" s="233"/>
      <c r="R509" s="233"/>
      <c r="S509" s="233"/>
      <c r="T509" s="233"/>
      <c r="U509" s="233"/>
      <c r="V509" s="233"/>
      <c r="W509" s="233"/>
      <c r="X509" s="233"/>
    </row>
    <row r="510" spans="1:24" ht="15.75" customHeight="1" x14ac:dyDescent="0.35">
      <c r="A510" s="264">
        <v>502</v>
      </c>
      <c r="B510" s="273" t="s">
        <v>9113</v>
      </c>
      <c r="C510" s="273" t="s">
        <v>9114</v>
      </c>
      <c r="D510" s="273" t="s">
        <v>253</v>
      </c>
      <c r="E510" s="273">
        <v>360000</v>
      </c>
      <c r="F510" s="273">
        <v>2015</v>
      </c>
      <c r="G510" s="273" t="s">
        <v>9185</v>
      </c>
      <c r="H510" s="273" t="s">
        <v>7938</v>
      </c>
      <c r="I510" s="274">
        <v>42522</v>
      </c>
      <c r="J510" s="273" t="s">
        <v>9111</v>
      </c>
      <c r="K510" s="273" t="s">
        <v>9186</v>
      </c>
      <c r="L510" s="273" t="s">
        <v>422</v>
      </c>
      <c r="M510" s="275">
        <v>50400</v>
      </c>
      <c r="N510" s="273"/>
      <c r="O510" s="273" t="s">
        <v>106</v>
      </c>
      <c r="P510" s="232">
        <v>5</v>
      </c>
      <c r="Q510" s="233"/>
      <c r="R510" s="233"/>
      <c r="S510" s="233"/>
      <c r="T510" s="233"/>
      <c r="U510" s="233"/>
      <c r="V510" s="233"/>
      <c r="W510" s="233"/>
      <c r="X510" s="233"/>
    </row>
    <row r="511" spans="1:24" ht="15.75" customHeight="1" x14ac:dyDescent="0.35">
      <c r="A511" s="258">
        <v>503</v>
      </c>
      <c r="B511" s="273" t="s">
        <v>9113</v>
      </c>
      <c r="C511" s="273" t="s">
        <v>9114</v>
      </c>
      <c r="D511" s="273" t="s">
        <v>259</v>
      </c>
      <c r="E511" s="273">
        <v>191400</v>
      </c>
      <c r="F511" s="273">
        <v>2015</v>
      </c>
      <c r="G511" s="273" t="s">
        <v>9187</v>
      </c>
      <c r="H511" s="273" t="s">
        <v>7938</v>
      </c>
      <c r="I511" s="274">
        <v>42522</v>
      </c>
      <c r="J511" s="273" t="s">
        <v>9111</v>
      </c>
      <c r="K511" s="273" t="s">
        <v>9188</v>
      </c>
      <c r="L511" s="273" t="s">
        <v>422</v>
      </c>
      <c r="M511" s="275">
        <v>51678</v>
      </c>
      <c r="N511" s="273"/>
      <c r="O511" s="273" t="s">
        <v>106</v>
      </c>
      <c r="P511" s="232">
        <v>5</v>
      </c>
      <c r="Q511" s="233"/>
      <c r="R511" s="233"/>
      <c r="S511" s="233"/>
      <c r="T511" s="233"/>
      <c r="U511" s="233"/>
      <c r="V511" s="233"/>
      <c r="W511" s="233"/>
      <c r="X511" s="233"/>
    </row>
    <row r="512" spans="1:24" ht="15.75" customHeight="1" x14ac:dyDescent="0.35">
      <c r="A512" s="264">
        <v>504</v>
      </c>
      <c r="B512" s="273" t="s">
        <v>9113</v>
      </c>
      <c r="C512" s="273" t="s">
        <v>9114</v>
      </c>
      <c r="D512" s="273" t="s">
        <v>264</v>
      </c>
      <c r="E512" s="273">
        <v>1540</v>
      </c>
      <c r="F512" s="273">
        <v>2015</v>
      </c>
      <c r="G512" s="273" t="s">
        <v>9189</v>
      </c>
      <c r="H512" s="273" t="s">
        <v>7938</v>
      </c>
      <c r="I512" s="274">
        <v>42522</v>
      </c>
      <c r="J512" s="273" t="s">
        <v>9111</v>
      </c>
      <c r="K512" s="273" t="s">
        <v>9190</v>
      </c>
      <c r="L512" s="273" t="s">
        <v>422</v>
      </c>
      <c r="M512" s="275">
        <v>55440</v>
      </c>
      <c r="N512" s="273"/>
      <c r="O512" s="273" t="s">
        <v>106</v>
      </c>
      <c r="P512" s="232">
        <v>5</v>
      </c>
      <c r="Q512" s="233"/>
      <c r="R512" s="233"/>
      <c r="S512" s="233"/>
      <c r="T512" s="233"/>
      <c r="U512" s="233"/>
      <c r="V512" s="233"/>
      <c r="W512" s="233"/>
      <c r="X512" s="233"/>
    </row>
    <row r="513" spans="1:24" ht="15.75" customHeight="1" x14ac:dyDescent="0.35">
      <c r="A513" s="258">
        <v>505</v>
      </c>
      <c r="B513" s="273" t="s">
        <v>9113</v>
      </c>
      <c r="C513" s="273" t="s">
        <v>9114</v>
      </c>
      <c r="D513" s="273" t="s">
        <v>269</v>
      </c>
      <c r="E513" s="273">
        <v>17500</v>
      </c>
      <c r="F513" s="273">
        <v>2015</v>
      </c>
      <c r="G513" s="273" t="s">
        <v>9191</v>
      </c>
      <c r="H513" s="273" t="s">
        <v>7938</v>
      </c>
      <c r="I513" s="274">
        <v>42522</v>
      </c>
      <c r="J513" s="273" t="s">
        <v>9111</v>
      </c>
      <c r="K513" s="273" t="s">
        <v>9192</v>
      </c>
      <c r="L513" s="273" t="s">
        <v>422</v>
      </c>
      <c r="M513" s="275">
        <v>61250</v>
      </c>
      <c r="N513" s="273"/>
      <c r="O513" s="273" t="s">
        <v>106</v>
      </c>
      <c r="P513" s="232">
        <v>5</v>
      </c>
      <c r="Q513" s="233"/>
      <c r="R513" s="233"/>
      <c r="S513" s="233"/>
      <c r="T513" s="233"/>
      <c r="U513" s="233"/>
      <c r="V513" s="233"/>
      <c r="W513" s="233"/>
      <c r="X513" s="233"/>
    </row>
    <row r="514" spans="1:24" ht="15.75" customHeight="1" x14ac:dyDescent="0.35">
      <c r="A514" s="264">
        <v>506</v>
      </c>
      <c r="B514" s="273" t="s">
        <v>9113</v>
      </c>
      <c r="C514" s="273" t="s">
        <v>9114</v>
      </c>
      <c r="D514" s="273" t="s">
        <v>274</v>
      </c>
      <c r="E514" s="273">
        <v>17500</v>
      </c>
      <c r="F514" s="273">
        <v>2015</v>
      </c>
      <c r="G514" s="273" t="s">
        <v>9193</v>
      </c>
      <c r="H514" s="273" t="s">
        <v>7938</v>
      </c>
      <c r="I514" s="274">
        <v>42522</v>
      </c>
      <c r="J514" s="273" t="s">
        <v>9111</v>
      </c>
      <c r="K514" s="273" t="s">
        <v>9194</v>
      </c>
      <c r="L514" s="273" t="s">
        <v>422</v>
      </c>
      <c r="M514" s="275">
        <v>61250</v>
      </c>
      <c r="N514" s="273"/>
      <c r="O514" s="273" t="s">
        <v>106</v>
      </c>
      <c r="P514" s="232">
        <v>5</v>
      </c>
      <c r="Q514" s="233"/>
      <c r="R514" s="233"/>
      <c r="S514" s="233"/>
      <c r="T514" s="233"/>
      <c r="U514" s="233"/>
      <c r="V514" s="233"/>
      <c r="W514" s="233"/>
      <c r="X514" s="233"/>
    </row>
    <row r="515" spans="1:24" ht="15.75" customHeight="1" x14ac:dyDescent="0.35">
      <c r="A515" s="258">
        <v>507</v>
      </c>
      <c r="B515" s="273" t="s">
        <v>9113</v>
      </c>
      <c r="C515" s="273" t="s">
        <v>9114</v>
      </c>
      <c r="D515" s="273" t="s">
        <v>280</v>
      </c>
      <c r="E515" s="273">
        <v>8700</v>
      </c>
      <c r="F515" s="273">
        <v>2015</v>
      </c>
      <c r="G515" s="273" t="s">
        <v>9195</v>
      </c>
      <c r="H515" s="273" t="s">
        <v>7938</v>
      </c>
      <c r="I515" s="274">
        <v>42522</v>
      </c>
      <c r="J515" s="273" t="s">
        <v>9111</v>
      </c>
      <c r="K515" s="273" t="s">
        <v>9196</v>
      </c>
      <c r="L515" s="273" t="s">
        <v>422</v>
      </c>
      <c r="M515" s="275">
        <v>62205</v>
      </c>
      <c r="N515" s="273"/>
      <c r="O515" s="273" t="s">
        <v>106</v>
      </c>
      <c r="P515" s="232">
        <v>5</v>
      </c>
      <c r="Q515" s="233"/>
      <c r="R515" s="233"/>
      <c r="S515" s="233"/>
      <c r="T515" s="233"/>
      <c r="U515" s="233"/>
      <c r="V515" s="233"/>
      <c r="W515" s="233"/>
      <c r="X515" s="233"/>
    </row>
    <row r="516" spans="1:24" ht="15.75" customHeight="1" x14ac:dyDescent="0.35">
      <c r="A516" s="264">
        <v>508</v>
      </c>
      <c r="B516" s="273" t="s">
        <v>9113</v>
      </c>
      <c r="C516" s="273" t="s">
        <v>9114</v>
      </c>
      <c r="D516" s="273" t="s">
        <v>286</v>
      </c>
      <c r="E516" s="273">
        <v>315000</v>
      </c>
      <c r="F516" s="273">
        <v>2015</v>
      </c>
      <c r="G516" s="273" t="s">
        <v>9197</v>
      </c>
      <c r="H516" s="273" t="s">
        <v>7938</v>
      </c>
      <c r="I516" s="274">
        <v>42522</v>
      </c>
      <c r="J516" s="273" t="s">
        <v>9111</v>
      </c>
      <c r="K516" s="273" t="s">
        <v>9198</v>
      </c>
      <c r="L516" s="273" t="s">
        <v>422</v>
      </c>
      <c r="M516" s="275">
        <v>63000</v>
      </c>
      <c r="N516" s="273"/>
      <c r="O516" s="273" t="s">
        <v>106</v>
      </c>
      <c r="P516" s="232">
        <v>5</v>
      </c>
      <c r="Q516" s="233"/>
      <c r="R516" s="233"/>
      <c r="S516" s="233"/>
      <c r="T516" s="233"/>
      <c r="U516" s="233"/>
      <c r="V516" s="233"/>
      <c r="W516" s="233"/>
      <c r="X516" s="233"/>
    </row>
    <row r="517" spans="1:24" ht="15.75" customHeight="1" x14ac:dyDescent="0.35">
      <c r="A517" s="258">
        <v>509</v>
      </c>
      <c r="B517" s="273" t="s">
        <v>9113</v>
      </c>
      <c r="C517" s="273" t="s">
        <v>9114</v>
      </c>
      <c r="D517" s="273" t="s">
        <v>291</v>
      </c>
      <c r="E517" s="273">
        <v>7200</v>
      </c>
      <c r="F517" s="273">
        <v>2015</v>
      </c>
      <c r="G517" s="273" t="s">
        <v>9199</v>
      </c>
      <c r="H517" s="273" t="s">
        <v>7938</v>
      </c>
      <c r="I517" s="274">
        <v>42522</v>
      </c>
      <c r="J517" s="273" t="s">
        <v>9111</v>
      </c>
      <c r="K517" s="273" t="s">
        <v>9200</v>
      </c>
      <c r="L517" s="273" t="s">
        <v>422</v>
      </c>
      <c r="M517" s="275">
        <v>72000</v>
      </c>
      <c r="N517" s="273"/>
      <c r="O517" s="273" t="s">
        <v>106</v>
      </c>
      <c r="P517" s="232">
        <v>5</v>
      </c>
      <c r="Q517" s="233"/>
      <c r="R517" s="233"/>
      <c r="S517" s="233"/>
      <c r="T517" s="233"/>
      <c r="U517" s="233"/>
      <c r="V517" s="233"/>
      <c r="W517" s="233"/>
      <c r="X517" s="233"/>
    </row>
    <row r="518" spans="1:24" ht="15.75" customHeight="1" x14ac:dyDescent="0.35">
      <c r="A518" s="264">
        <v>510</v>
      </c>
      <c r="B518" s="273" t="s">
        <v>9113</v>
      </c>
      <c r="C518" s="273" t="s">
        <v>9114</v>
      </c>
      <c r="D518" s="273" t="s">
        <v>298</v>
      </c>
      <c r="E518" s="273">
        <v>2400</v>
      </c>
      <c r="F518" s="273">
        <v>2015</v>
      </c>
      <c r="G518" s="273" t="s">
        <v>9201</v>
      </c>
      <c r="H518" s="273" t="s">
        <v>7938</v>
      </c>
      <c r="I518" s="274">
        <v>42522</v>
      </c>
      <c r="J518" s="273" t="s">
        <v>9111</v>
      </c>
      <c r="K518" s="273" t="s">
        <v>9202</v>
      </c>
      <c r="L518" s="273" t="s">
        <v>422</v>
      </c>
      <c r="M518" s="275">
        <v>86400</v>
      </c>
      <c r="N518" s="273"/>
      <c r="O518" s="273" t="s">
        <v>106</v>
      </c>
      <c r="P518" s="232">
        <v>5</v>
      </c>
      <c r="Q518" s="233"/>
      <c r="R518" s="233"/>
      <c r="S518" s="233"/>
      <c r="T518" s="233"/>
      <c r="U518" s="233"/>
      <c r="V518" s="233"/>
      <c r="W518" s="233"/>
      <c r="X518" s="233"/>
    </row>
    <row r="519" spans="1:24" ht="15.75" customHeight="1" x14ac:dyDescent="0.35">
      <c r="A519" s="258">
        <v>511</v>
      </c>
      <c r="B519" s="273" t="s">
        <v>9113</v>
      </c>
      <c r="C519" s="273" t="s">
        <v>9114</v>
      </c>
      <c r="D519" s="273" t="s">
        <v>304</v>
      </c>
      <c r="E519" s="273">
        <v>12550</v>
      </c>
      <c r="F519" s="273">
        <v>2015</v>
      </c>
      <c r="G519" s="273" t="s">
        <v>9203</v>
      </c>
      <c r="H519" s="273" t="s">
        <v>7938</v>
      </c>
      <c r="I519" s="274">
        <v>42522</v>
      </c>
      <c r="J519" s="273" t="s">
        <v>9111</v>
      </c>
      <c r="K519" s="273" t="s">
        <v>9204</v>
      </c>
      <c r="L519" s="273" t="s">
        <v>422</v>
      </c>
      <c r="M519" s="275">
        <v>89732.5</v>
      </c>
      <c r="N519" s="273"/>
      <c r="O519" s="273" t="s">
        <v>106</v>
      </c>
      <c r="P519" s="232">
        <v>5</v>
      </c>
      <c r="Q519" s="233"/>
      <c r="R519" s="233"/>
      <c r="S519" s="233"/>
      <c r="T519" s="233"/>
      <c r="U519" s="233"/>
      <c r="V519" s="233"/>
      <c r="W519" s="233"/>
      <c r="X519" s="233"/>
    </row>
    <row r="520" spans="1:24" ht="15.75" customHeight="1" x14ac:dyDescent="0.35">
      <c r="A520" s="264">
        <v>512</v>
      </c>
      <c r="B520" s="273" t="s">
        <v>9113</v>
      </c>
      <c r="C520" s="273" t="s">
        <v>9114</v>
      </c>
      <c r="D520" s="273" t="s">
        <v>310</v>
      </c>
      <c r="E520" s="273">
        <v>10200</v>
      </c>
      <c r="F520" s="273">
        <v>2015</v>
      </c>
      <c r="G520" s="273" t="s">
        <v>9205</v>
      </c>
      <c r="H520" s="273" t="s">
        <v>7938</v>
      </c>
      <c r="I520" s="274">
        <v>42522</v>
      </c>
      <c r="J520" s="273" t="s">
        <v>9111</v>
      </c>
      <c r="K520" s="273" t="s">
        <v>9206</v>
      </c>
      <c r="L520" s="273" t="s">
        <v>422</v>
      </c>
      <c r="M520" s="275">
        <v>102000</v>
      </c>
      <c r="N520" s="273"/>
      <c r="O520" s="273" t="s">
        <v>106</v>
      </c>
      <c r="P520" s="232">
        <v>5</v>
      </c>
      <c r="Q520" s="233"/>
      <c r="R520" s="233"/>
      <c r="S520" s="233"/>
      <c r="T520" s="233"/>
      <c r="U520" s="233"/>
      <c r="V520" s="233"/>
      <c r="W520" s="233"/>
      <c r="X520" s="233"/>
    </row>
    <row r="521" spans="1:24" ht="15.75" customHeight="1" x14ac:dyDescent="0.35">
      <c r="A521" s="258">
        <v>513</v>
      </c>
      <c r="B521" s="273" t="s">
        <v>9113</v>
      </c>
      <c r="C521" s="273" t="s">
        <v>9114</v>
      </c>
      <c r="D521" s="273" t="s">
        <v>319</v>
      </c>
      <c r="E521" s="273">
        <v>10200</v>
      </c>
      <c r="F521" s="273">
        <v>2015</v>
      </c>
      <c r="G521" s="273" t="s">
        <v>9207</v>
      </c>
      <c r="H521" s="273" t="s">
        <v>7938</v>
      </c>
      <c r="I521" s="274">
        <v>42522</v>
      </c>
      <c r="J521" s="273" t="s">
        <v>9111</v>
      </c>
      <c r="K521" s="273" t="s">
        <v>9208</v>
      </c>
      <c r="L521" s="273" t="s">
        <v>422</v>
      </c>
      <c r="M521" s="275">
        <v>102000</v>
      </c>
      <c r="N521" s="273"/>
      <c r="O521" s="273" t="s">
        <v>106</v>
      </c>
      <c r="P521" s="232">
        <v>5</v>
      </c>
      <c r="Q521" s="233"/>
      <c r="R521" s="233"/>
      <c r="S521" s="233"/>
      <c r="T521" s="233"/>
      <c r="U521" s="233"/>
      <c r="V521" s="233"/>
      <c r="W521" s="233"/>
      <c r="X521" s="233"/>
    </row>
    <row r="522" spans="1:24" ht="15.75" customHeight="1" x14ac:dyDescent="0.35">
      <c r="A522" s="264">
        <v>514</v>
      </c>
      <c r="B522" s="273" t="s">
        <v>9113</v>
      </c>
      <c r="C522" s="273" t="s">
        <v>9114</v>
      </c>
      <c r="D522" s="273" t="s">
        <v>325</v>
      </c>
      <c r="E522" s="273">
        <v>511000</v>
      </c>
      <c r="F522" s="273">
        <v>2015</v>
      </c>
      <c r="G522" s="273" t="s">
        <v>9209</v>
      </c>
      <c r="H522" s="273" t="s">
        <v>7938</v>
      </c>
      <c r="I522" s="274">
        <v>42522</v>
      </c>
      <c r="J522" s="273" t="s">
        <v>9111</v>
      </c>
      <c r="K522" s="273" t="s">
        <v>9210</v>
      </c>
      <c r="L522" s="273" t="s">
        <v>422</v>
      </c>
      <c r="M522" s="275">
        <v>102200</v>
      </c>
      <c r="N522" s="273"/>
      <c r="O522" s="273" t="s">
        <v>106</v>
      </c>
      <c r="P522" s="232">
        <v>5</v>
      </c>
      <c r="Q522" s="233"/>
      <c r="R522" s="233"/>
      <c r="S522" s="233"/>
      <c r="T522" s="233"/>
      <c r="U522" s="233"/>
      <c r="V522" s="233"/>
      <c r="W522" s="233"/>
      <c r="X522" s="233"/>
    </row>
    <row r="523" spans="1:24" ht="15.75" customHeight="1" x14ac:dyDescent="0.35">
      <c r="A523" s="258">
        <v>515</v>
      </c>
      <c r="B523" s="273" t="s">
        <v>9113</v>
      </c>
      <c r="C523" s="273" t="s">
        <v>9114</v>
      </c>
      <c r="D523" s="273" t="s">
        <v>332</v>
      </c>
      <c r="E523" s="273">
        <v>7500</v>
      </c>
      <c r="F523" s="273">
        <v>2015</v>
      </c>
      <c r="G523" s="273" t="s">
        <v>9211</v>
      </c>
      <c r="H523" s="273" t="s">
        <v>7938</v>
      </c>
      <c r="I523" s="274">
        <v>42522</v>
      </c>
      <c r="J523" s="273" t="s">
        <v>9111</v>
      </c>
      <c r="K523" s="273" t="s">
        <v>9212</v>
      </c>
      <c r="L523" s="273" t="s">
        <v>422</v>
      </c>
      <c r="M523" s="275">
        <v>105000</v>
      </c>
      <c r="N523" s="273"/>
      <c r="O523" s="273" t="s">
        <v>106</v>
      </c>
      <c r="P523" s="232">
        <v>5</v>
      </c>
      <c r="Q523" s="233"/>
      <c r="R523" s="233"/>
      <c r="S523" s="233"/>
      <c r="T523" s="233"/>
      <c r="U523" s="233"/>
      <c r="V523" s="233"/>
      <c r="W523" s="233"/>
      <c r="X523" s="233"/>
    </row>
    <row r="524" spans="1:24" ht="15.75" customHeight="1" x14ac:dyDescent="0.35">
      <c r="A524" s="264">
        <v>516</v>
      </c>
      <c r="B524" s="273" t="s">
        <v>9113</v>
      </c>
      <c r="C524" s="273" t="s">
        <v>9114</v>
      </c>
      <c r="D524" s="273" t="s">
        <v>338</v>
      </c>
      <c r="E524" s="273">
        <v>30000</v>
      </c>
      <c r="F524" s="273">
        <v>2015</v>
      </c>
      <c r="G524" s="273" t="s">
        <v>9213</v>
      </c>
      <c r="H524" s="273" t="s">
        <v>7938</v>
      </c>
      <c r="I524" s="274">
        <v>42522</v>
      </c>
      <c r="J524" s="273" t="s">
        <v>9111</v>
      </c>
      <c r="K524" s="273" t="s">
        <v>9214</v>
      </c>
      <c r="L524" s="273" t="s">
        <v>422</v>
      </c>
      <c r="M524" s="275">
        <v>105000</v>
      </c>
      <c r="N524" s="273"/>
      <c r="O524" s="273" t="s">
        <v>106</v>
      </c>
      <c r="P524" s="232">
        <v>5</v>
      </c>
      <c r="Q524" s="233"/>
      <c r="R524" s="233"/>
      <c r="S524" s="233"/>
      <c r="T524" s="233"/>
      <c r="U524" s="233"/>
      <c r="V524" s="233"/>
      <c r="W524" s="233"/>
      <c r="X524" s="233"/>
    </row>
    <row r="525" spans="1:24" ht="15.75" customHeight="1" x14ac:dyDescent="0.35">
      <c r="A525" s="258">
        <v>517</v>
      </c>
      <c r="B525" s="273" t="s">
        <v>9113</v>
      </c>
      <c r="C525" s="273" t="s">
        <v>9114</v>
      </c>
      <c r="D525" s="273" t="s">
        <v>343</v>
      </c>
      <c r="E525" s="273">
        <v>30000</v>
      </c>
      <c r="F525" s="273">
        <v>2015</v>
      </c>
      <c r="G525" s="273" t="s">
        <v>9215</v>
      </c>
      <c r="H525" s="273" t="s">
        <v>7938</v>
      </c>
      <c r="I525" s="274">
        <v>42522</v>
      </c>
      <c r="J525" s="273" t="s">
        <v>9111</v>
      </c>
      <c r="K525" s="273" t="s">
        <v>9216</v>
      </c>
      <c r="L525" s="273" t="s">
        <v>422</v>
      </c>
      <c r="M525" s="275">
        <v>105000</v>
      </c>
      <c r="N525" s="273"/>
      <c r="O525" s="273" t="s">
        <v>106</v>
      </c>
      <c r="P525" s="232">
        <v>5</v>
      </c>
      <c r="Q525" s="233"/>
      <c r="R525" s="233"/>
      <c r="S525" s="233"/>
      <c r="T525" s="233"/>
      <c r="U525" s="233"/>
      <c r="V525" s="233"/>
      <c r="W525" s="233"/>
      <c r="X525" s="233"/>
    </row>
    <row r="526" spans="1:24" ht="15.75" customHeight="1" x14ac:dyDescent="0.35">
      <c r="A526" s="264">
        <v>518</v>
      </c>
      <c r="B526" s="273" t="s">
        <v>9113</v>
      </c>
      <c r="C526" s="273" t="s">
        <v>9114</v>
      </c>
      <c r="D526" s="273" t="s">
        <v>348</v>
      </c>
      <c r="E526" s="273">
        <v>600000</v>
      </c>
      <c r="F526" s="273">
        <v>2015</v>
      </c>
      <c r="G526" s="273" t="s">
        <v>9217</v>
      </c>
      <c r="H526" s="273" t="s">
        <v>7938</v>
      </c>
      <c r="I526" s="274">
        <v>42522</v>
      </c>
      <c r="J526" s="273" t="s">
        <v>9111</v>
      </c>
      <c r="K526" s="273" t="s">
        <v>9218</v>
      </c>
      <c r="L526" s="273" t="s">
        <v>422</v>
      </c>
      <c r="M526" s="275">
        <v>120000</v>
      </c>
      <c r="N526" s="273"/>
      <c r="O526" s="273" t="s">
        <v>106</v>
      </c>
      <c r="P526" s="232">
        <v>5</v>
      </c>
      <c r="Q526" s="233"/>
      <c r="R526" s="233"/>
      <c r="S526" s="233"/>
      <c r="T526" s="233"/>
      <c r="U526" s="233"/>
      <c r="V526" s="233"/>
      <c r="W526" s="233"/>
      <c r="X526" s="233"/>
    </row>
    <row r="527" spans="1:24" ht="15.75" customHeight="1" x14ac:dyDescent="0.35">
      <c r="A527" s="258">
        <v>519</v>
      </c>
      <c r="B527" s="273" t="s">
        <v>9113</v>
      </c>
      <c r="C527" s="273" t="s">
        <v>9114</v>
      </c>
      <c r="D527" s="273" t="s">
        <v>353</v>
      </c>
      <c r="E527" s="273">
        <v>3430</v>
      </c>
      <c r="F527" s="273">
        <v>2015</v>
      </c>
      <c r="G527" s="273" t="s">
        <v>9219</v>
      </c>
      <c r="H527" s="273" t="s">
        <v>7938</v>
      </c>
      <c r="I527" s="274">
        <v>42522</v>
      </c>
      <c r="J527" s="273" t="s">
        <v>9111</v>
      </c>
      <c r="K527" s="273" t="s">
        <v>9220</v>
      </c>
      <c r="L527" s="273" t="s">
        <v>422</v>
      </c>
      <c r="M527" s="275">
        <v>123480</v>
      </c>
      <c r="N527" s="273"/>
      <c r="O527" s="273" t="s">
        <v>106</v>
      </c>
      <c r="P527" s="232">
        <v>5</v>
      </c>
      <c r="Q527" s="233"/>
      <c r="R527" s="233"/>
      <c r="S527" s="233"/>
      <c r="T527" s="233"/>
      <c r="U527" s="233"/>
      <c r="V527" s="233"/>
      <c r="W527" s="233"/>
      <c r="X527" s="233"/>
    </row>
    <row r="528" spans="1:24" ht="15.75" customHeight="1" x14ac:dyDescent="0.35">
      <c r="A528" s="264">
        <v>520</v>
      </c>
      <c r="B528" s="273" t="s">
        <v>9113</v>
      </c>
      <c r="C528" s="273" t="s">
        <v>9114</v>
      </c>
      <c r="D528" s="273" t="s">
        <v>359</v>
      </c>
      <c r="E528" s="273">
        <v>16520</v>
      </c>
      <c r="F528" s="273">
        <v>2015</v>
      </c>
      <c r="G528" s="273" t="s">
        <v>9221</v>
      </c>
      <c r="H528" s="273" t="s">
        <v>7938</v>
      </c>
      <c r="I528" s="274">
        <v>42522</v>
      </c>
      <c r="J528" s="273" t="s">
        <v>9111</v>
      </c>
      <c r="K528" s="273" t="s">
        <v>9222</v>
      </c>
      <c r="L528" s="273" t="s">
        <v>422</v>
      </c>
      <c r="M528" s="275">
        <v>165200</v>
      </c>
      <c r="N528" s="273"/>
      <c r="O528" s="273" t="s">
        <v>106</v>
      </c>
      <c r="P528" s="232">
        <v>5</v>
      </c>
      <c r="Q528" s="233"/>
      <c r="R528" s="233"/>
      <c r="S528" s="233"/>
      <c r="T528" s="233"/>
      <c r="U528" s="233"/>
      <c r="V528" s="233"/>
      <c r="W528" s="233"/>
      <c r="X528" s="233"/>
    </row>
    <row r="529" spans="1:24" ht="15.75" customHeight="1" x14ac:dyDescent="0.35">
      <c r="A529" s="258">
        <v>521</v>
      </c>
      <c r="B529" s="273" t="s">
        <v>9113</v>
      </c>
      <c r="C529" s="273" t="s">
        <v>9114</v>
      </c>
      <c r="D529" s="273" t="s">
        <v>366</v>
      </c>
      <c r="E529" s="273">
        <v>51000</v>
      </c>
      <c r="F529" s="273">
        <v>2015</v>
      </c>
      <c r="G529" s="273" t="s">
        <v>9223</v>
      </c>
      <c r="H529" s="273" t="s">
        <v>7938</v>
      </c>
      <c r="I529" s="274">
        <v>42522</v>
      </c>
      <c r="J529" s="273" t="s">
        <v>9111</v>
      </c>
      <c r="K529" s="273" t="s">
        <v>9224</v>
      </c>
      <c r="L529" s="273" t="s">
        <v>422</v>
      </c>
      <c r="M529" s="275">
        <v>178500</v>
      </c>
      <c r="N529" s="273"/>
      <c r="O529" s="273" t="s">
        <v>106</v>
      </c>
      <c r="P529" s="232">
        <v>5</v>
      </c>
      <c r="Q529" s="233"/>
      <c r="R529" s="233"/>
      <c r="S529" s="233"/>
      <c r="T529" s="233"/>
      <c r="U529" s="233"/>
      <c r="V529" s="233"/>
      <c r="W529" s="233"/>
      <c r="X529" s="233"/>
    </row>
    <row r="530" spans="1:24" ht="15.75" customHeight="1" x14ac:dyDescent="0.35">
      <c r="A530" s="264">
        <v>522</v>
      </c>
      <c r="B530" s="273" t="s">
        <v>9113</v>
      </c>
      <c r="C530" s="273" t="s">
        <v>9114</v>
      </c>
      <c r="D530" s="273" t="s">
        <v>371</v>
      </c>
      <c r="E530" s="273">
        <v>36000</v>
      </c>
      <c r="F530" s="273">
        <v>2015</v>
      </c>
      <c r="G530" s="273" t="s">
        <v>9225</v>
      </c>
      <c r="H530" s="273" t="s">
        <v>7938</v>
      </c>
      <c r="I530" s="274">
        <v>42522</v>
      </c>
      <c r="J530" s="273" t="s">
        <v>9111</v>
      </c>
      <c r="K530" s="273" t="s">
        <v>9226</v>
      </c>
      <c r="L530" s="273" t="s">
        <v>422</v>
      </c>
      <c r="M530" s="275">
        <v>180000</v>
      </c>
      <c r="N530" s="273"/>
      <c r="O530" s="273" t="s">
        <v>106</v>
      </c>
      <c r="P530" s="232">
        <v>5</v>
      </c>
      <c r="Q530" s="233"/>
      <c r="R530" s="233"/>
      <c r="S530" s="233"/>
      <c r="T530" s="233"/>
      <c r="U530" s="233"/>
      <c r="V530" s="233"/>
      <c r="W530" s="233"/>
      <c r="X530" s="233"/>
    </row>
    <row r="531" spans="1:24" ht="15.75" customHeight="1" x14ac:dyDescent="0.35">
      <c r="A531" s="258">
        <v>523</v>
      </c>
      <c r="B531" s="273" t="s">
        <v>9113</v>
      </c>
      <c r="C531" s="273" t="s">
        <v>9114</v>
      </c>
      <c r="D531" s="273" t="s">
        <v>376</v>
      </c>
      <c r="E531" s="273">
        <v>18000</v>
      </c>
      <c r="F531" s="273">
        <v>2015</v>
      </c>
      <c r="G531" s="273" t="s">
        <v>9227</v>
      </c>
      <c r="H531" s="273" t="s">
        <v>7938</v>
      </c>
      <c r="I531" s="274">
        <v>42522</v>
      </c>
      <c r="J531" s="273" t="s">
        <v>9111</v>
      </c>
      <c r="K531" s="273" t="s">
        <v>9228</v>
      </c>
      <c r="L531" s="273" t="s">
        <v>422</v>
      </c>
      <c r="M531" s="275">
        <v>180000</v>
      </c>
      <c r="N531" s="273"/>
      <c r="O531" s="273" t="s">
        <v>106</v>
      </c>
      <c r="P531" s="232">
        <v>5</v>
      </c>
      <c r="Q531" s="233"/>
      <c r="R531" s="233"/>
      <c r="S531" s="233"/>
      <c r="T531" s="233"/>
      <c r="U531" s="233"/>
      <c r="V531" s="233"/>
      <c r="W531" s="233"/>
      <c r="X531" s="233"/>
    </row>
    <row r="532" spans="1:24" ht="15.75" customHeight="1" x14ac:dyDescent="0.35">
      <c r="A532" s="264">
        <v>524</v>
      </c>
      <c r="B532" s="273" t="s">
        <v>9113</v>
      </c>
      <c r="C532" s="273" t="s">
        <v>9114</v>
      </c>
      <c r="D532" s="273" t="s">
        <v>382</v>
      </c>
      <c r="E532" s="273">
        <v>75000</v>
      </c>
      <c r="F532" s="273">
        <v>2015</v>
      </c>
      <c r="G532" s="273" t="s">
        <v>9229</v>
      </c>
      <c r="H532" s="273" t="s">
        <v>7938</v>
      </c>
      <c r="I532" s="274">
        <v>42522</v>
      </c>
      <c r="J532" s="273" t="s">
        <v>9111</v>
      </c>
      <c r="K532" s="273" t="s">
        <v>9230</v>
      </c>
      <c r="L532" s="273" t="s">
        <v>422</v>
      </c>
      <c r="M532" s="275">
        <v>183750</v>
      </c>
      <c r="N532" s="273"/>
      <c r="O532" s="273" t="s">
        <v>106</v>
      </c>
      <c r="P532" s="232">
        <v>5</v>
      </c>
      <c r="Q532" s="233"/>
      <c r="R532" s="233"/>
      <c r="S532" s="233"/>
      <c r="T532" s="233"/>
      <c r="U532" s="233"/>
      <c r="V532" s="233"/>
      <c r="W532" s="233"/>
      <c r="X532" s="233"/>
    </row>
    <row r="533" spans="1:24" ht="15.75" customHeight="1" x14ac:dyDescent="0.35">
      <c r="A533" s="258">
        <v>525</v>
      </c>
      <c r="B533" s="273" t="s">
        <v>9113</v>
      </c>
      <c r="C533" s="273" t="s">
        <v>9114</v>
      </c>
      <c r="D533" s="273" t="s">
        <v>387</v>
      </c>
      <c r="E533" s="273">
        <v>5300</v>
      </c>
      <c r="F533" s="273">
        <v>2015</v>
      </c>
      <c r="G533" s="273" t="s">
        <v>9231</v>
      </c>
      <c r="H533" s="273" t="s">
        <v>7938</v>
      </c>
      <c r="I533" s="274">
        <v>42522</v>
      </c>
      <c r="J533" s="273" t="s">
        <v>9111</v>
      </c>
      <c r="K533" s="273" t="s">
        <v>9232</v>
      </c>
      <c r="L533" s="273" t="s">
        <v>422</v>
      </c>
      <c r="M533" s="275">
        <v>190800</v>
      </c>
      <c r="N533" s="273"/>
      <c r="O533" s="273" t="s">
        <v>106</v>
      </c>
      <c r="P533" s="232">
        <v>5</v>
      </c>
      <c r="Q533" s="233"/>
      <c r="R533" s="233"/>
      <c r="S533" s="233"/>
      <c r="T533" s="233"/>
      <c r="U533" s="233"/>
      <c r="V533" s="233"/>
      <c r="W533" s="233"/>
      <c r="X533" s="233"/>
    </row>
    <row r="534" spans="1:24" ht="15.75" customHeight="1" x14ac:dyDescent="0.35">
      <c r="A534" s="264">
        <v>526</v>
      </c>
      <c r="B534" s="273" t="s">
        <v>9113</v>
      </c>
      <c r="C534" s="273" t="s">
        <v>9114</v>
      </c>
      <c r="D534" s="273" t="s">
        <v>392</v>
      </c>
      <c r="E534" s="273">
        <v>16200</v>
      </c>
      <c r="F534" s="273">
        <v>2015</v>
      </c>
      <c r="G534" s="273" t="s">
        <v>9233</v>
      </c>
      <c r="H534" s="273" t="s">
        <v>7938</v>
      </c>
      <c r="I534" s="274">
        <v>42522</v>
      </c>
      <c r="J534" s="273" t="s">
        <v>9111</v>
      </c>
      <c r="K534" s="273" t="s">
        <v>9234</v>
      </c>
      <c r="L534" s="273" t="s">
        <v>422</v>
      </c>
      <c r="M534" s="275">
        <v>226800</v>
      </c>
      <c r="N534" s="273"/>
      <c r="O534" s="273" t="s">
        <v>106</v>
      </c>
      <c r="P534" s="232">
        <v>5</v>
      </c>
      <c r="Q534" s="233"/>
      <c r="R534" s="233"/>
      <c r="S534" s="233"/>
      <c r="T534" s="233"/>
      <c r="U534" s="233"/>
      <c r="V534" s="233"/>
      <c r="W534" s="233"/>
      <c r="X534" s="233"/>
    </row>
    <row r="535" spans="1:24" ht="15.75" customHeight="1" x14ac:dyDescent="0.35">
      <c r="A535" s="258">
        <v>527</v>
      </c>
      <c r="B535" s="273" t="s">
        <v>9113</v>
      </c>
      <c r="C535" s="273" t="s">
        <v>9114</v>
      </c>
      <c r="D535" s="273" t="s">
        <v>398</v>
      </c>
      <c r="E535" s="273">
        <v>5040</v>
      </c>
      <c r="F535" s="273">
        <v>2015</v>
      </c>
      <c r="G535" s="273" t="s">
        <v>9235</v>
      </c>
      <c r="H535" s="273" t="s">
        <v>7938</v>
      </c>
      <c r="I535" s="274">
        <v>42522</v>
      </c>
      <c r="J535" s="273" t="s">
        <v>9111</v>
      </c>
      <c r="K535" s="273" t="s">
        <v>9236</v>
      </c>
      <c r="L535" s="273" t="s">
        <v>422</v>
      </c>
      <c r="M535" s="275">
        <v>241920</v>
      </c>
      <c r="N535" s="273"/>
      <c r="O535" s="273" t="s">
        <v>106</v>
      </c>
      <c r="P535" s="232">
        <v>5</v>
      </c>
      <c r="Q535" s="233"/>
      <c r="R535" s="233"/>
      <c r="S535" s="233"/>
      <c r="T535" s="233"/>
      <c r="U535" s="233"/>
      <c r="V535" s="233"/>
      <c r="W535" s="233"/>
      <c r="X535" s="233"/>
    </row>
    <row r="536" spans="1:24" ht="15.75" customHeight="1" x14ac:dyDescent="0.35">
      <c r="A536" s="264">
        <v>528</v>
      </c>
      <c r="B536" s="273" t="s">
        <v>9113</v>
      </c>
      <c r="C536" s="273" t="s">
        <v>9114</v>
      </c>
      <c r="D536" s="273" t="s">
        <v>403</v>
      </c>
      <c r="E536" s="273">
        <v>5400</v>
      </c>
      <c r="F536" s="273">
        <v>2015</v>
      </c>
      <c r="G536" s="273" t="s">
        <v>9237</v>
      </c>
      <c r="H536" s="273" t="s">
        <v>7938</v>
      </c>
      <c r="I536" s="274">
        <v>42522</v>
      </c>
      <c r="J536" s="273" t="s">
        <v>9111</v>
      </c>
      <c r="K536" s="273" t="s">
        <v>9238</v>
      </c>
      <c r="L536" s="273" t="s">
        <v>422</v>
      </c>
      <c r="M536" s="275">
        <v>259200</v>
      </c>
      <c r="N536" s="273"/>
      <c r="O536" s="273" t="s">
        <v>106</v>
      </c>
      <c r="P536" s="232">
        <v>5</v>
      </c>
      <c r="Q536" s="233"/>
      <c r="R536" s="233"/>
      <c r="S536" s="233"/>
      <c r="T536" s="233"/>
      <c r="U536" s="233"/>
      <c r="V536" s="233"/>
      <c r="W536" s="233"/>
      <c r="X536" s="233"/>
    </row>
    <row r="537" spans="1:24" ht="15.75" customHeight="1" x14ac:dyDescent="0.35">
      <c r="A537" s="258">
        <v>529</v>
      </c>
      <c r="B537" s="273" t="s">
        <v>9113</v>
      </c>
      <c r="C537" s="273" t="s">
        <v>9114</v>
      </c>
      <c r="D537" s="273" t="s">
        <v>408</v>
      </c>
      <c r="E537" s="273">
        <v>5500</v>
      </c>
      <c r="F537" s="273">
        <v>2015</v>
      </c>
      <c r="G537" s="273" t="s">
        <v>9239</v>
      </c>
      <c r="H537" s="273" t="s">
        <v>7938</v>
      </c>
      <c r="I537" s="274">
        <v>42522</v>
      </c>
      <c r="J537" s="273" t="s">
        <v>9111</v>
      </c>
      <c r="K537" s="273" t="s">
        <v>9240</v>
      </c>
      <c r="L537" s="273" t="s">
        <v>422</v>
      </c>
      <c r="M537" s="275">
        <v>264000</v>
      </c>
      <c r="N537" s="273"/>
      <c r="O537" s="273" t="s">
        <v>106</v>
      </c>
      <c r="P537" s="232">
        <v>5</v>
      </c>
      <c r="Q537" s="233"/>
      <c r="R537" s="233"/>
      <c r="S537" s="233"/>
      <c r="T537" s="233"/>
      <c r="U537" s="233"/>
      <c r="V537" s="233"/>
      <c r="W537" s="233"/>
      <c r="X537" s="233"/>
    </row>
    <row r="538" spans="1:24" ht="15.75" customHeight="1" x14ac:dyDescent="0.35">
      <c r="A538" s="264">
        <v>530</v>
      </c>
      <c r="B538" s="273" t="s">
        <v>9113</v>
      </c>
      <c r="C538" s="273" t="s">
        <v>9114</v>
      </c>
      <c r="D538" s="273" t="s">
        <v>413</v>
      </c>
      <c r="E538" s="273">
        <v>5900</v>
      </c>
      <c r="F538" s="273">
        <v>2015</v>
      </c>
      <c r="G538" s="273" t="s">
        <v>9241</v>
      </c>
      <c r="H538" s="273" t="s">
        <v>7938</v>
      </c>
      <c r="I538" s="274">
        <v>42522</v>
      </c>
      <c r="J538" s="273" t="s">
        <v>9111</v>
      </c>
      <c r="K538" s="273" t="s">
        <v>9242</v>
      </c>
      <c r="L538" s="273" t="s">
        <v>422</v>
      </c>
      <c r="M538" s="275">
        <v>283200</v>
      </c>
      <c r="N538" s="273"/>
      <c r="O538" s="273" t="s">
        <v>106</v>
      </c>
      <c r="P538" s="232">
        <v>5</v>
      </c>
      <c r="Q538" s="233"/>
      <c r="R538" s="233"/>
      <c r="S538" s="233"/>
      <c r="T538" s="233"/>
      <c r="U538" s="233"/>
      <c r="V538" s="233"/>
      <c r="W538" s="233"/>
      <c r="X538" s="233"/>
    </row>
    <row r="539" spans="1:24" ht="15.75" customHeight="1" x14ac:dyDescent="0.35">
      <c r="A539" s="258">
        <v>531</v>
      </c>
      <c r="B539" s="273" t="s">
        <v>9113</v>
      </c>
      <c r="C539" s="273" t="s">
        <v>9114</v>
      </c>
      <c r="D539" s="273" t="s">
        <v>3140</v>
      </c>
      <c r="E539" s="273">
        <v>82180</v>
      </c>
      <c r="F539" s="273">
        <v>2015</v>
      </c>
      <c r="G539" s="273" t="s">
        <v>9243</v>
      </c>
      <c r="H539" s="273" t="s">
        <v>7938</v>
      </c>
      <c r="I539" s="274">
        <v>42369</v>
      </c>
      <c r="J539" s="273" t="s">
        <v>9111</v>
      </c>
      <c r="K539" s="273" t="s">
        <v>9244</v>
      </c>
      <c r="L539" s="273" t="s">
        <v>422</v>
      </c>
      <c r="M539" s="275">
        <v>287630</v>
      </c>
      <c r="N539" s="273"/>
      <c r="O539" s="273" t="s">
        <v>106</v>
      </c>
      <c r="P539" s="232">
        <v>5</v>
      </c>
      <c r="Q539" s="233"/>
      <c r="R539" s="233"/>
      <c r="S539" s="233"/>
      <c r="T539" s="233"/>
      <c r="U539" s="233"/>
      <c r="V539" s="233"/>
      <c r="W539" s="233"/>
      <c r="X539" s="233"/>
    </row>
    <row r="540" spans="1:24" ht="15.75" customHeight="1" x14ac:dyDescent="0.35">
      <c r="A540" s="264">
        <v>532</v>
      </c>
      <c r="B540" s="273" t="s">
        <v>9113</v>
      </c>
      <c r="C540" s="273" t="s">
        <v>9114</v>
      </c>
      <c r="D540" s="273" t="s">
        <v>1450</v>
      </c>
      <c r="E540" s="273">
        <v>6900</v>
      </c>
      <c r="F540" s="273">
        <v>2015</v>
      </c>
      <c r="G540" s="273" t="s">
        <v>9245</v>
      </c>
      <c r="H540" s="273" t="s">
        <v>7938</v>
      </c>
      <c r="I540" s="274">
        <v>42522</v>
      </c>
      <c r="J540" s="273" t="s">
        <v>9111</v>
      </c>
      <c r="K540" s="273" t="s">
        <v>9246</v>
      </c>
      <c r="L540" s="273" t="s">
        <v>422</v>
      </c>
      <c r="M540" s="275">
        <v>331200</v>
      </c>
      <c r="N540" s="273"/>
      <c r="O540" s="273" t="s">
        <v>106</v>
      </c>
      <c r="P540" s="232">
        <v>5</v>
      </c>
      <c r="Q540" s="233"/>
      <c r="R540" s="233"/>
      <c r="S540" s="233"/>
      <c r="T540" s="233"/>
      <c r="U540" s="233"/>
      <c r="V540" s="233"/>
      <c r="W540" s="233"/>
      <c r="X540" s="233"/>
    </row>
    <row r="541" spans="1:24" ht="15.75" customHeight="1" x14ac:dyDescent="0.35">
      <c r="A541" s="258">
        <v>533</v>
      </c>
      <c r="B541" s="273" t="s">
        <v>9113</v>
      </c>
      <c r="C541" s="273" t="s">
        <v>9114</v>
      </c>
      <c r="D541" s="273" t="s">
        <v>1456</v>
      </c>
      <c r="E541" s="273">
        <v>96000</v>
      </c>
      <c r="F541" s="273">
        <v>2015</v>
      </c>
      <c r="G541" s="273" t="s">
        <v>9247</v>
      </c>
      <c r="H541" s="273" t="s">
        <v>7938</v>
      </c>
      <c r="I541" s="274">
        <v>42522</v>
      </c>
      <c r="J541" s="273" t="s">
        <v>9111</v>
      </c>
      <c r="K541" s="273" t="s">
        <v>9248</v>
      </c>
      <c r="L541" s="273" t="s">
        <v>422</v>
      </c>
      <c r="M541" s="275">
        <v>336000</v>
      </c>
      <c r="N541" s="273"/>
      <c r="O541" s="273" t="s">
        <v>106</v>
      </c>
      <c r="P541" s="232">
        <v>5</v>
      </c>
      <c r="Q541" s="233"/>
      <c r="R541" s="233"/>
      <c r="S541" s="233"/>
      <c r="T541" s="233"/>
      <c r="U541" s="233"/>
      <c r="V541" s="233"/>
      <c r="W541" s="233"/>
      <c r="X541" s="233"/>
    </row>
    <row r="542" spans="1:24" ht="15.75" customHeight="1" x14ac:dyDescent="0.35">
      <c r="A542" s="264">
        <v>534</v>
      </c>
      <c r="B542" s="273" t="s">
        <v>9113</v>
      </c>
      <c r="C542" s="273" t="s">
        <v>9114</v>
      </c>
      <c r="D542" s="273" t="s">
        <v>1462</v>
      </c>
      <c r="E542" s="273">
        <v>24800</v>
      </c>
      <c r="F542" s="273">
        <v>2015</v>
      </c>
      <c r="G542" s="273" t="s">
        <v>9249</v>
      </c>
      <c r="H542" s="273" t="s">
        <v>7938</v>
      </c>
      <c r="I542" s="274">
        <v>42522</v>
      </c>
      <c r="J542" s="273" t="s">
        <v>9111</v>
      </c>
      <c r="K542" s="273" t="s">
        <v>9250</v>
      </c>
      <c r="L542" s="273" t="s">
        <v>422</v>
      </c>
      <c r="M542" s="275">
        <v>347200</v>
      </c>
      <c r="N542" s="273"/>
      <c r="O542" s="273" t="s">
        <v>106</v>
      </c>
      <c r="P542" s="232">
        <v>5</v>
      </c>
      <c r="Q542" s="233"/>
      <c r="R542" s="233"/>
      <c r="S542" s="233"/>
      <c r="T542" s="233"/>
      <c r="U542" s="233"/>
      <c r="V542" s="233"/>
      <c r="W542" s="233"/>
      <c r="X542" s="233"/>
    </row>
    <row r="543" spans="1:24" ht="15.75" customHeight="1" x14ac:dyDescent="0.35">
      <c r="A543" s="258">
        <v>535</v>
      </c>
      <c r="B543" s="273" t="s">
        <v>9113</v>
      </c>
      <c r="C543" s="273" t="s">
        <v>9114</v>
      </c>
      <c r="D543" s="273" t="s">
        <v>1469</v>
      </c>
      <c r="E543" s="273">
        <v>27860</v>
      </c>
      <c r="F543" s="273">
        <v>2015</v>
      </c>
      <c r="G543" s="273" t="s">
        <v>9251</v>
      </c>
      <c r="H543" s="273" t="s">
        <v>7938</v>
      </c>
      <c r="I543" s="274">
        <v>42522</v>
      </c>
      <c r="J543" s="273" t="s">
        <v>9111</v>
      </c>
      <c r="K543" s="273" t="s">
        <v>9252</v>
      </c>
      <c r="L543" s="273" t="s">
        <v>422</v>
      </c>
      <c r="M543" s="275">
        <v>390040</v>
      </c>
      <c r="N543" s="273"/>
      <c r="O543" s="273" t="s">
        <v>106</v>
      </c>
      <c r="P543" s="232">
        <v>5</v>
      </c>
      <c r="Q543" s="233"/>
      <c r="R543" s="233"/>
      <c r="S543" s="233"/>
      <c r="T543" s="233"/>
      <c r="U543" s="233"/>
      <c r="V543" s="233"/>
      <c r="W543" s="233"/>
      <c r="X543" s="233"/>
    </row>
    <row r="544" spans="1:24" ht="15.75" customHeight="1" x14ac:dyDescent="0.35">
      <c r="A544" s="264">
        <v>536</v>
      </c>
      <c r="B544" s="273" t="s">
        <v>9113</v>
      </c>
      <c r="C544" s="273" t="s">
        <v>9114</v>
      </c>
      <c r="D544" s="273" t="s">
        <v>1475</v>
      </c>
      <c r="E544" s="273">
        <v>8200</v>
      </c>
      <c r="F544" s="273">
        <v>2015</v>
      </c>
      <c r="G544" s="273" t="s">
        <v>9253</v>
      </c>
      <c r="H544" s="273" t="s">
        <v>7938</v>
      </c>
      <c r="I544" s="274">
        <v>42522</v>
      </c>
      <c r="J544" s="273" t="s">
        <v>9111</v>
      </c>
      <c r="K544" s="273" t="s">
        <v>9254</v>
      </c>
      <c r="L544" s="273" t="s">
        <v>422</v>
      </c>
      <c r="M544" s="275">
        <v>393600</v>
      </c>
      <c r="N544" s="273"/>
      <c r="O544" s="273" t="s">
        <v>106</v>
      </c>
      <c r="P544" s="232">
        <v>5</v>
      </c>
      <c r="Q544" s="233"/>
      <c r="R544" s="233"/>
      <c r="S544" s="233"/>
      <c r="T544" s="233"/>
      <c r="U544" s="233"/>
      <c r="V544" s="233"/>
      <c r="W544" s="233"/>
      <c r="X544" s="233"/>
    </row>
    <row r="545" spans="1:24" ht="15.75" customHeight="1" x14ac:dyDescent="0.35">
      <c r="A545" s="258">
        <v>537</v>
      </c>
      <c r="B545" s="273" t="s">
        <v>9113</v>
      </c>
      <c r="C545" s="273" t="s">
        <v>9114</v>
      </c>
      <c r="D545" s="273" t="s">
        <v>1480</v>
      </c>
      <c r="E545" s="273">
        <v>13200</v>
      </c>
      <c r="F545" s="273">
        <v>2015</v>
      </c>
      <c r="G545" s="273" t="s">
        <v>9255</v>
      </c>
      <c r="H545" s="273" t="s">
        <v>7938</v>
      </c>
      <c r="I545" s="274">
        <v>42522</v>
      </c>
      <c r="J545" s="273" t="s">
        <v>9111</v>
      </c>
      <c r="K545" s="273" t="s">
        <v>9256</v>
      </c>
      <c r="L545" s="273" t="s">
        <v>422</v>
      </c>
      <c r="M545" s="275">
        <v>475200</v>
      </c>
      <c r="N545" s="273"/>
      <c r="O545" s="273" t="s">
        <v>106</v>
      </c>
      <c r="P545" s="232">
        <v>5</v>
      </c>
      <c r="Q545" s="233"/>
      <c r="R545" s="233"/>
      <c r="S545" s="233"/>
      <c r="T545" s="233"/>
      <c r="U545" s="233"/>
      <c r="V545" s="233"/>
      <c r="W545" s="233"/>
      <c r="X545" s="233"/>
    </row>
    <row r="546" spans="1:24" ht="15.75" customHeight="1" x14ac:dyDescent="0.35">
      <c r="A546" s="264">
        <v>538</v>
      </c>
      <c r="B546" s="273" t="s">
        <v>9113</v>
      </c>
      <c r="C546" s="273" t="s">
        <v>9114</v>
      </c>
      <c r="D546" s="273" t="s">
        <v>1485</v>
      </c>
      <c r="E546" s="273">
        <v>1470000</v>
      </c>
      <c r="F546" s="273">
        <v>2015</v>
      </c>
      <c r="G546" s="273" t="s">
        <v>9257</v>
      </c>
      <c r="H546" s="273" t="s">
        <v>7938</v>
      </c>
      <c r="I546" s="274">
        <v>42522</v>
      </c>
      <c r="J546" s="273" t="s">
        <v>9111</v>
      </c>
      <c r="K546" s="273" t="s">
        <v>9258</v>
      </c>
      <c r="L546" s="273" t="s">
        <v>422</v>
      </c>
      <c r="M546" s="275">
        <v>514500</v>
      </c>
      <c r="N546" s="273"/>
      <c r="O546" s="273" t="s">
        <v>106</v>
      </c>
      <c r="P546" s="232">
        <v>5</v>
      </c>
      <c r="Q546" s="233"/>
      <c r="R546" s="233"/>
      <c r="S546" s="233"/>
      <c r="T546" s="233"/>
      <c r="U546" s="233"/>
      <c r="V546" s="233"/>
      <c r="W546" s="233"/>
      <c r="X546" s="233"/>
    </row>
    <row r="547" spans="1:24" ht="15.75" customHeight="1" x14ac:dyDescent="0.35">
      <c r="A547" s="258">
        <v>539</v>
      </c>
      <c r="B547" s="273" t="s">
        <v>9113</v>
      </c>
      <c r="C547" s="273" t="s">
        <v>9114</v>
      </c>
      <c r="D547" s="273" t="s">
        <v>1490</v>
      </c>
      <c r="E547" s="273">
        <v>19200</v>
      </c>
      <c r="F547" s="273">
        <v>2015</v>
      </c>
      <c r="G547" s="273" t="s">
        <v>9259</v>
      </c>
      <c r="H547" s="273" t="s">
        <v>7938</v>
      </c>
      <c r="I547" s="274">
        <v>42522</v>
      </c>
      <c r="J547" s="273" t="s">
        <v>9111</v>
      </c>
      <c r="K547" s="273" t="s">
        <v>9260</v>
      </c>
      <c r="L547" s="273" t="s">
        <v>422</v>
      </c>
      <c r="M547" s="275">
        <v>518400</v>
      </c>
      <c r="N547" s="273"/>
      <c r="O547" s="273" t="s">
        <v>106</v>
      </c>
      <c r="P547" s="232">
        <v>5</v>
      </c>
      <c r="Q547" s="233"/>
      <c r="R547" s="233"/>
      <c r="S547" s="233"/>
      <c r="T547" s="233"/>
      <c r="U547" s="233"/>
      <c r="V547" s="233"/>
      <c r="W547" s="233"/>
      <c r="X547" s="233"/>
    </row>
    <row r="548" spans="1:24" ht="15.75" customHeight="1" x14ac:dyDescent="0.35">
      <c r="A548" s="264">
        <v>540</v>
      </c>
      <c r="B548" s="273" t="s">
        <v>9113</v>
      </c>
      <c r="C548" s="273" t="s">
        <v>9114</v>
      </c>
      <c r="D548" s="273" t="s">
        <v>1498</v>
      </c>
      <c r="E548" s="273">
        <v>21000</v>
      </c>
      <c r="F548" s="273">
        <v>2015</v>
      </c>
      <c r="G548" s="273" t="s">
        <v>9261</v>
      </c>
      <c r="H548" s="273" t="s">
        <v>7938</v>
      </c>
      <c r="I548" s="274">
        <v>42522</v>
      </c>
      <c r="J548" s="273" t="s">
        <v>9111</v>
      </c>
      <c r="K548" s="273" t="s">
        <v>9262</v>
      </c>
      <c r="L548" s="273" t="s">
        <v>422</v>
      </c>
      <c r="M548" s="275">
        <v>567000</v>
      </c>
      <c r="N548" s="273"/>
      <c r="O548" s="273" t="s">
        <v>106</v>
      </c>
      <c r="P548" s="232">
        <v>5</v>
      </c>
      <c r="Q548" s="233"/>
      <c r="R548" s="233"/>
      <c r="S548" s="233"/>
      <c r="T548" s="233"/>
      <c r="U548" s="233"/>
      <c r="V548" s="233"/>
      <c r="W548" s="233"/>
      <c r="X548" s="233"/>
    </row>
    <row r="549" spans="1:24" ht="15.75" customHeight="1" x14ac:dyDescent="0.35">
      <c r="A549" s="258">
        <v>541</v>
      </c>
      <c r="B549" s="273" t="s">
        <v>9113</v>
      </c>
      <c r="C549" s="273" t="s">
        <v>9114</v>
      </c>
      <c r="D549" s="273" t="s">
        <v>1506</v>
      </c>
      <c r="E549" s="273">
        <v>15800</v>
      </c>
      <c r="F549" s="273">
        <v>2015</v>
      </c>
      <c r="G549" s="273" t="s">
        <v>9263</v>
      </c>
      <c r="H549" s="273" t="s">
        <v>7938</v>
      </c>
      <c r="I549" s="274">
        <v>42522</v>
      </c>
      <c r="J549" s="273" t="s">
        <v>9111</v>
      </c>
      <c r="K549" s="273" t="s">
        <v>9264</v>
      </c>
      <c r="L549" s="273" t="s">
        <v>422</v>
      </c>
      <c r="M549" s="275">
        <v>568800</v>
      </c>
      <c r="N549" s="273"/>
      <c r="O549" s="273" t="s">
        <v>106</v>
      </c>
      <c r="P549" s="232">
        <v>5</v>
      </c>
      <c r="Q549" s="233"/>
      <c r="R549" s="233"/>
      <c r="S549" s="233"/>
      <c r="T549" s="233"/>
      <c r="U549" s="233"/>
      <c r="V549" s="233"/>
      <c r="W549" s="233"/>
      <c r="X549" s="233"/>
    </row>
    <row r="550" spans="1:24" ht="15.75" customHeight="1" x14ac:dyDescent="0.35">
      <c r="A550" s="264">
        <v>542</v>
      </c>
      <c r="B550" s="273" t="s">
        <v>9113</v>
      </c>
      <c r="C550" s="273" t="s">
        <v>9114</v>
      </c>
      <c r="D550" s="273" t="s">
        <v>1511</v>
      </c>
      <c r="E550" s="273">
        <v>22500</v>
      </c>
      <c r="F550" s="273">
        <v>2015</v>
      </c>
      <c r="G550" s="273" t="s">
        <v>9265</v>
      </c>
      <c r="H550" s="273" t="s">
        <v>7938</v>
      </c>
      <c r="I550" s="274">
        <v>42522</v>
      </c>
      <c r="J550" s="273" t="s">
        <v>9111</v>
      </c>
      <c r="K550" s="273" t="s">
        <v>9266</v>
      </c>
      <c r="L550" s="273" t="s">
        <v>422</v>
      </c>
      <c r="M550" s="275">
        <v>607500</v>
      </c>
      <c r="N550" s="273"/>
      <c r="O550" s="273" t="s">
        <v>106</v>
      </c>
      <c r="P550" s="232">
        <v>5</v>
      </c>
      <c r="Q550" s="233"/>
      <c r="R550" s="233"/>
      <c r="S550" s="233"/>
      <c r="T550" s="233"/>
      <c r="U550" s="233"/>
      <c r="V550" s="233"/>
      <c r="W550" s="233"/>
      <c r="X550" s="233"/>
    </row>
    <row r="551" spans="1:24" ht="15.75" customHeight="1" x14ac:dyDescent="0.35">
      <c r="A551" s="258">
        <v>543</v>
      </c>
      <c r="B551" s="273" t="s">
        <v>9113</v>
      </c>
      <c r="C551" s="273" t="s">
        <v>9114</v>
      </c>
      <c r="D551" s="273" t="s">
        <v>1520</v>
      </c>
      <c r="E551" s="273">
        <v>180000</v>
      </c>
      <c r="F551" s="273">
        <v>2015</v>
      </c>
      <c r="G551" s="273" t="s">
        <v>9267</v>
      </c>
      <c r="H551" s="273" t="s">
        <v>7938</v>
      </c>
      <c r="I551" s="274">
        <v>42522</v>
      </c>
      <c r="J551" s="273" t="s">
        <v>9111</v>
      </c>
      <c r="K551" s="273" t="s">
        <v>9268</v>
      </c>
      <c r="L551" s="273" t="s">
        <v>422</v>
      </c>
      <c r="M551" s="275">
        <v>630000</v>
      </c>
      <c r="N551" s="273"/>
      <c r="O551" s="273" t="s">
        <v>106</v>
      </c>
      <c r="P551" s="232">
        <v>5</v>
      </c>
      <c r="Q551" s="233"/>
      <c r="R551" s="233"/>
      <c r="S551" s="233"/>
      <c r="T551" s="233"/>
      <c r="U551" s="233"/>
      <c r="V551" s="233"/>
      <c r="W551" s="233"/>
      <c r="X551" s="233"/>
    </row>
    <row r="552" spans="1:24" ht="15.75" customHeight="1" x14ac:dyDescent="0.35">
      <c r="A552" s="264">
        <v>544</v>
      </c>
      <c r="B552" s="273" t="s">
        <v>9113</v>
      </c>
      <c r="C552" s="273" t="s">
        <v>9114</v>
      </c>
      <c r="D552" s="273" t="s">
        <v>1526</v>
      </c>
      <c r="E552" s="273">
        <v>17710</v>
      </c>
      <c r="F552" s="273">
        <v>2015</v>
      </c>
      <c r="G552" s="273" t="s">
        <v>9269</v>
      </c>
      <c r="H552" s="273" t="s">
        <v>7938</v>
      </c>
      <c r="I552" s="274">
        <v>42522</v>
      </c>
      <c r="J552" s="273" t="s">
        <v>9111</v>
      </c>
      <c r="K552" s="273" t="s">
        <v>9270</v>
      </c>
      <c r="L552" s="273" t="s">
        <v>422</v>
      </c>
      <c r="M552" s="275">
        <v>637560</v>
      </c>
      <c r="N552" s="273"/>
      <c r="O552" s="273" t="s">
        <v>106</v>
      </c>
      <c r="P552" s="232">
        <v>5</v>
      </c>
      <c r="Q552" s="233"/>
      <c r="R552" s="233"/>
      <c r="S552" s="233"/>
      <c r="T552" s="233"/>
      <c r="U552" s="233"/>
      <c r="V552" s="233"/>
      <c r="W552" s="233"/>
      <c r="X552" s="233"/>
    </row>
    <row r="553" spans="1:24" ht="15.75" customHeight="1" x14ac:dyDescent="0.35">
      <c r="A553" s="258">
        <v>545</v>
      </c>
      <c r="B553" s="273" t="s">
        <v>9113</v>
      </c>
      <c r="C553" s="273" t="s">
        <v>9114</v>
      </c>
      <c r="D553" s="273" t="s">
        <v>1532</v>
      </c>
      <c r="E553" s="273">
        <v>276000</v>
      </c>
      <c r="F553" s="273">
        <v>2015</v>
      </c>
      <c r="G553" s="273" t="s">
        <v>9271</v>
      </c>
      <c r="H553" s="273" t="s">
        <v>7938</v>
      </c>
      <c r="I553" s="274">
        <v>42522</v>
      </c>
      <c r="J553" s="273" t="s">
        <v>9111</v>
      </c>
      <c r="K553" s="273" t="s">
        <v>9272</v>
      </c>
      <c r="L553" s="273" t="s">
        <v>422</v>
      </c>
      <c r="M553" s="275">
        <v>676200</v>
      </c>
      <c r="N553" s="273"/>
      <c r="O553" s="273" t="s">
        <v>106</v>
      </c>
      <c r="P553" s="232">
        <v>5</v>
      </c>
      <c r="Q553" s="233"/>
      <c r="R553" s="233"/>
      <c r="S553" s="233"/>
      <c r="T553" s="233"/>
      <c r="U553" s="233"/>
      <c r="V553" s="233"/>
      <c r="W553" s="233"/>
      <c r="X553" s="233"/>
    </row>
    <row r="554" spans="1:24" ht="15.75" customHeight="1" x14ac:dyDescent="0.35">
      <c r="A554" s="264">
        <v>546</v>
      </c>
      <c r="B554" s="273" t="s">
        <v>9113</v>
      </c>
      <c r="C554" s="273" t="s">
        <v>9114</v>
      </c>
      <c r="D554" s="273" t="s">
        <v>1537</v>
      </c>
      <c r="E554" s="273">
        <v>27000</v>
      </c>
      <c r="F554" s="273">
        <v>2015</v>
      </c>
      <c r="G554" s="273" t="s">
        <v>9273</v>
      </c>
      <c r="H554" s="273" t="s">
        <v>7938</v>
      </c>
      <c r="I554" s="274">
        <v>42522</v>
      </c>
      <c r="J554" s="273" t="s">
        <v>9111</v>
      </c>
      <c r="K554" s="273" t="s">
        <v>9274</v>
      </c>
      <c r="L554" s="273" t="s">
        <v>422</v>
      </c>
      <c r="M554" s="275">
        <v>729000</v>
      </c>
      <c r="N554" s="273"/>
      <c r="O554" s="273" t="s">
        <v>106</v>
      </c>
      <c r="P554" s="232">
        <v>5</v>
      </c>
      <c r="Q554" s="233"/>
      <c r="R554" s="233"/>
      <c r="S554" s="233"/>
      <c r="T554" s="233"/>
      <c r="U554" s="233"/>
      <c r="V554" s="233"/>
      <c r="W554" s="233"/>
      <c r="X554" s="233"/>
    </row>
    <row r="555" spans="1:24" ht="15.75" customHeight="1" x14ac:dyDescent="0.35">
      <c r="A555" s="258">
        <v>547</v>
      </c>
      <c r="B555" s="273" t="s">
        <v>9113</v>
      </c>
      <c r="C555" s="273" t="s">
        <v>9114</v>
      </c>
      <c r="D555" s="273" t="s">
        <v>1543</v>
      </c>
      <c r="E555" s="273">
        <v>27000</v>
      </c>
      <c r="F555" s="273">
        <v>2015</v>
      </c>
      <c r="G555" s="273" t="s">
        <v>9275</v>
      </c>
      <c r="H555" s="273" t="s">
        <v>7938</v>
      </c>
      <c r="I555" s="274">
        <v>42522</v>
      </c>
      <c r="J555" s="273" t="s">
        <v>9111</v>
      </c>
      <c r="K555" s="273" t="s">
        <v>9276</v>
      </c>
      <c r="L555" s="273" t="s">
        <v>422</v>
      </c>
      <c r="M555" s="275">
        <v>729000</v>
      </c>
      <c r="N555" s="273"/>
      <c r="O555" s="273" t="s">
        <v>106</v>
      </c>
      <c r="P555" s="232">
        <v>5</v>
      </c>
      <c r="Q555" s="233"/>
      <c r="R555" s="233"/>
      <c r="S555" s="233"/>
      <c r="T555" s="233"/>
      <c r="U555" s="233"/>
      <c r="V555" s="233"/>
      <c r="W555" s="233"/>
      <c r="X555" s="233"/>
    </row>
    <row r="556" spans="1:24" ht="15.75" customHeight="1" x14ac:dyDescent="0.35">
      <c r="A556" s="264">
        <v>548</v>
      </c>
      <c r="B556" s="273" t="s">
        <v>9113</v>
      </c>
      <c r="C556" s="273" t="s">
        <v>9114</v>
      </c>
      <c r="D556" s="273" t="s">
        <v>1548</v>
      </c>
      <c r="E556" s="273">
        <v>2110000</v>
      </c>
      <c r="F556" s="273">
        <v>2015</v>
      </c>
      <c r="G556" s="273" t="s">
        <v>9277</v>
      </c>
      <c r="H556" s="273" t="s">
        <v>7938</v>
      </c>
      <c r="I556" s="274">
        <v>42522</v>
      </c>
      <c r="J556" s="273" t="s">
        <v>9111</v>
      </c>
      <c r="K556" s="273" t="s">
        <v>9278</v>
      </c>
      <c r="L556" s="273" t="s">
        <v>422</v>
      </c>
      <c r="M556" s="275">
        <v>738500</v>
      </c>
      <c r="N556" s="273"/>
      <c r="O556" s="273" t="s">
        <v>106</v>
      </c>
      <c r="P556" s="232">
        <v>5</v>
      </c>
      <c r="Q556" s="233"/>
      <c r="R556" s="233"/>
      <c r="S556" s="233"/>
      <c r="T556" s="233"/>
      <c r="U556" s="233"/>
      <c r="V556" s="233"/>
      <c r="W556" s="233"/>
      <c r="X556" s="233"/>
    </row>
    <row r="557" spans="1:24" ht="15.75" customHeight="1" x14ac:dyDescent="0.35">
      <c r="A557" s="258">
        <v>549</v>
      </c>
      <c r="B557" s="273" t="s">
        <v>9113</v>
      </c>
      <c r="C557" s="273" t="s">
        <v>9114</v>
      </c>
      <c r="D557" s="273" t="s">
        <v>7325</v>
      </c>
      <c r="E557" s="273">
        <v>213600</v>
      </c>
      <c r="F557" s="273">
        <v>2015</v>
      </c>
      <c r="G557" s="273" t="s">
        <v>9279</v>
      </c>
      <c r="H557" s="273" t="s">
        <v>7938</v>
      </c>
      <c r="I557" s="274">
        <v>42522</v>
      </c>
      <c r="J557" s="273" t="s">
        <v>9111</v>
      </c>
      <c r="K557" s="273" t="s">
        <v>9280</v>
      </c>
      <c r="L557" s="273" t="s">
        <v>422</v>
      </c>
      <c r="M557" s="275">
        <v>747600</v>
      </c>
      <c r="N557" s="273"/>
      <c r="O557" s="273" t="s">
        <v>106</v>
      </c>
      <c r="P557" s="232">
        <v>5</v>
      </c>
      <c r="Q557" s="233"/>
      <c r="R557" s="233"/>
      <c r="S557" s="233"/>
      <c r="T557" s="233"/>
      <c r="U557" s="233"/>
      <c r="V557" s="233"/>
      <c r="W557" s="233"/>
      <c r="X557" s="233"/>
    </row>
    <row r="558" spans="1:24" ht="15.75" customHeight="1" x14ac:dyDescent="0.35">
      <c r="A558" s="264">
        <v>550</v>
      </c>
      <c r="B558" s="273" t="s">
        <v>9113</v>
      </c>
      <c r="C558" s="273" t="s">
        <v>9114</v>
      </c>
      <c r="D558" s="273" t="s">
        <v>6076</v>
      </c>
      <c r="E558" s="273">
        <v>21000</v>
      </c>
      <c r="F558" s="273">
        <v>2015</v>
      </c>
      <c r="G558" s="273" t="s">
        <v>9281</v>
      </c>
      <c r="H558" s="273" t="s">
        <v>7938</v>
      </c>
      <c r="I558" s="274">
        <v>45611</v>
      </c>
      <c r="J558" s="273" t="s">
        <v>9282</v>
      </c>
      <c r="K558" s="273" t="s">
        <v>9283</v>
      </c>
      <c r="L558" s="273" t="s">
        <v>422</v>
      </c>
      <c r="M558" s="275">
        <v>756000</v>
      </c>
      <c r="N558" s="273" t="s">
        <v>9284</v>
      </c>
      <c r="O558" s="273" t="s">
        <v>106</v>
      </c>
      <c r="P558" s="232">
        <v>5</v>
      </c>
      <c r="Q558" s="233"/>
      <c r="R558" s="233"/>
      <c r="S558" s="233"/>
      <c r="T558" s="233"/>
      <c r="U558" s="233"/>
      <c r="V558" s="233"/>
      <c r="W558" s="233"/>
      <c r="X558" s="233"/>
    </row>
    <row r="559" spans="1:24" ht="15.75" customHeight="1" x14ac:dyDescent="0.35">
      <c r="A559" s="258">
        <v>551</v>
      </c>
      <c r="B559" s="273" t="s">
        <v>9113</v>
      </c>
      <c r="C559" s="273" t="s">
        <v>9114</v>
      </c>
      <c r="D559" s="273" t="s">
        <v>6081</v>
      </c>
      <c r="E559" s="273">
        <v>165000</v>
      </c>
      <c r="F559" s="273">
        <v>2015</v>
      </c>
      <c r="G559" s="273" t="s">
        <v>9285</v>
      </c>
      <c r="H559" s="273" t="s">
        <v>7938</v>
      </c>
      <c r="I559" s="274">
        <v>42522</v>
      </c>
      <c r="J559" s="273" t="s">
        <v>9111</v>
      </c>
      <c r="K559" s="273" t="s">
        <v>9286</v>
      </c>
      <c r="L559" s="273" t="s">
        <v>422</v>
      </c>
      <c r="M559" s="275">
        <v>825000</v>
      </c>
      <c r="N559" s="273"/>
      <c r="O559" s="273" t="s">
        <v>106</v>
      </c>
      <c r="P559" s="232">
        <v>5</v>
      </c>
      <c r="Q559" s="233"/>
      <c r="R559" s="233"/>
      <c r="S559" s="233"/>
      <c r="T559" s="233"/>
      <c r="U559" s="233"/>
      <c r="V559" s="233"/>
      <c r="W559" s="233"/>
      <c r="X559" s="233"/>
    </row>
    <row r="560" spans="1:24" ht="15.75" customHeight="1" x14ac:dyDescent="0.35">
      <c r="A560" s="264">
        <v>552</v>
      </c>
      <c r="B560" s="273" t="s">
        <v>9113</v>
      </c>
      <c r="C560" s="273" t="s">
        <v>9114</v>
      </c>
      <c r="D560" s="273" t="s">
        <v>6085</v>
      </c>
      <c r="E560" s="273">
        <v>37500</v>
      </c>
      <c r="F560" s="273">
        <v>2015</v>
      </c>
      <c r="G560" s="273" t="s">
        <v>9287</v>
      </c>
      <c r="H560" s="273" t="s">
        <v>7938</v>
      </c>
      <c r="I560" s="274">
        <v>42522</v>
      </c>
      <c r="J560" s="273" t="s">
        <v>9111</v>
      </c>
      <c r="K560" s="273" t="s">
        <v>9288</v>
      </c>
      <c r="L560" s="273" t="s">
        <v>422</v>
      </c>
      <c r="M560" s="275">
        <v>1012500</v>
      </c>
      <c r="N560" s="273"/>
      <c r="O560" s="273" t="s">
        <v>106</v>
      </c>
      <c r="P560" s="232">
        <v>5</v>
      </c>
      <c r="Q560" s="233"/>
      <c r="R560" s="233"/>
      <c r="S560" s="233"/>
      <c r="T560" s="233"/>
      <c r="U560" s="233"/>
      <c r="V560" s="233"/>
      <c r="W560" s="233"/>
      <c r="X560" s="233"/>
    </row>
    <row r="561" spans="1:24" ht="15.75" customHeight="1" x14ac:dyDescent="0.35">
      <c r="A561" s="258">
        <v>553</v>
      </c>
      <c r="B561" s="273" t="s">
        <v>9113</v>
      </c>
      <c r="C561" s="273" t="s">
        <v>9114</v>
      </c>
      <c r="D561" s="273" t="s">
        <v>6089</v>
      </c>
      <c r="E561" s="273">
        <v>21840</v>
      </c>
      <c r="F561" s="273">
        <v>2015</v>
      </c>
      <c r="G561" s="273" t="s">
        <v>9289</v>
      </c>
      <c r="H561" s="273" t="s">
        <v>7938</v>
      </c>
      <c r="I561" s="274">
        <v>42522</v>
      </c>
      <c r="J561" s="273" t="s">
        <v>9111</v>
      </c>
      <c r="K561" s="273" t="s">
        <v>9290</v>
      </c>
      <c r="L561" s="273" t="s">
        <v>422</v>
      </c>
      <c r="M561" s="275">
        <v>1048320</v>
      </c>
      <c r="N561" s="273"/>
      <c r="O561" s="273" t="s">
        <v>106</v>
      </c>
      <c r="P561" s="232">
        <v>5</v>
      </c>
      <c r="Q561" s="233"/>
      <c r="R561" s="233"/>
      <c r="S561" s="233"/>
      <c r="T561" s="233"/>
      <c r="U561" s="233"/>
      <c r="V561" s="233"/>
      <c r="W561" s="233"/>
      <c r="X561" s="233"/>
    </row>
    <row r="562" spans="1:24" ht="15.75" customHeight="1" x14ac:dyDescent="0.35">
      <c r="A562" s="264">
        <v>554</v>
      </c>
      <c r="B562" s="273" t="s">
        <v>9113</v>
      </c>
      <c r="C562" s="273" t="s">
        <v>9114</v>
      </c>
      <c r="D562" s="273" t="s">
        <v>7341</v>
      </c>
      <c r="E562" s="273">
        <v>42000</v>
      </c>
      <c r="F562" s="273">
        <v>2015</v>
      </c>
      <c r="G562" s="273" t="s">
        <v>9291</v>
      </c>
      <c r="H562" s="273" t="s">
        <v>7938</v>
      </c>
      <c r="I562" s="274">
        <v>42522</v>
      </c>
      <c r="J562" s="273" t="s">
        <v>9111</v>
      </c>
      <c r="K562" s="273" t="s">
        <v>9292</v>
      </c>
      <c r="L562" s="273" t="s">
        <v>422</v>
      </c>
      <c r="M562" s="275">
        <v>1134000</v>
      </c>
      <c r="N562" s="273"/>
      <c r="O562" s="273" t="s">
        <v>106</v>
      </c>
      <c r="P562" s="232">
        <v>5</v>
      </c>
      <c r="Q562" s="233"/>
      <c r="R562" s="233"/>
      <c r="S562" s="233"/>
      <c r="T562" s="233"/>
      <c r="U562" s="233"/>
      <c r="V562" s="233"/>
      <c r="W562" s="233"/>
      <c r="X562" s="233"/>
    </row>
    <row r="563" spans="1:24" ht="15.75" customHeight="1" x14ac:dyDescent="0.35">
      <c r="A563" s="258">
        <v>555</v>
      </c>
      <c r="B563" s="273" t="s">
        <v>9113</v>
      </c>
      <c r="C563" s="273" t="s">
        <v>9114</v>
      </c>
      <c r="D563" s="273" t="s">
        <v>6092</v>
      </c>
      <c r="E563" s="273">
        <v>45000</v>
      </c>
      <c r="F563" s="273">
        <v>2015</v>
      </c>
      <c r="G563" s="273" t="s">
        <v>9293</v>
      </c>
      <c r="H563" s="273" t="s">
        <v>7938</v>
      </c>
      <c r="I563" s="274">
        <v>42522</v>
      </c>
      <c r="J563" s="273" t="s">
        <v>9111</v>
      </c>
      <c r="K563" s="273" t="s">
        <v>9294</v>
      </c>
      <c r="L563" s="273" t="s">
        <v>422</v>
      </c>
      <c r="M563" s="275">
        <v>1215000</v>
      </c>
      <c r="N563" s="273"/>
      <c r="O563" s="273" t="s">
        <v>106</v>
      </c>
      <c r="P563" s="232">
        <v>5</v>
      </c>
      <c r="Q563" s="233"/>
      <c r="R563" s="233"/>
      <c r="S563" s="233"/>
      <c r="T563" s="233"/>
      <c r="U563" s="233"/>
      <c r="V563" s="233"/>
      <c r="W563" s="233"/>
      <c r="X563" s="233"/>
    </row>
    <row r="564" spans="1:24" ht="15.75" customHeight="1" x14ac:dyDescent="0.35">
      <c r="A564" s="264">
        <v>556</v>
      </c>
      <c r="B564" s="273" t="s">
        <v>9113</v>
      </c>
      <c r="C564" s="273" t="s">
        <v>9114</v>
      </c>
      <c r="D564" s="273" t="s">
        <v>7348</v>
      </c>
      <c r="E564" s="273">
        <v>508500</v>
      </c>
      <c r="F564" s="273">
        <v>2015</v>
      </c>
      <c r="G564" s="273" t="s">
        <v>9295</v>
      </c>
      <c r="H564" s="273" t="s">
        <v>7938</v>
      </c>
      <c r="I564" s="274">
        <v>42522</v>
      </c>
      <c r="J564" s="273" t="s">
        <v>9111</v>
      </c>
      <c r="K564" s="273" t="s">
        <v>9296</v>
      </c>
      <c r="L564" s="273" t="s">
        <v>422</v>
      </c>
      <c r="M564" s="275">
        <v>1245825</v>
      </c>
      <c r="N564" s="273"/>
      <c r="O564" s="273" t="s">
        <v>106</v>
      </c>
      <c r="P564" s="232">
        <v>5</v>
      </c>
      <c r="Q564" s="233"/>
      <c r="R564" s="233"/>
      <c r="S564" s="233"/>
      <c r="T564" s="233"/>
      <c r="U564" s="233"/>
      <c r="V564" s="233"/>
      <c r="W564" s="233"/>
      <c r="X564" s="233"/>
    </row>
    <row r="565" spans="1:24" ht="15.75" customHeight="1" x14ac:dyDescent="0.35">
      <c r="A565" s="258">
        <v>557</v>
      </c>
      <c r="B565" s="273" t="s">
        <v>9113</v>
      </c>
      <c r="C565" s="273" t="s">
        <v>9114</v>
      </c>
      <c r="D565" s="273" t="s">
        <v>6097</v>
      </c>
      <c r="E565" s="273">
        <v>48000</v>
      </c>
      <c r="F565" s="273">
        <v>2015</v>
      </c>
      <c r="G565" s="273" t="s">
        <v>9297</v>
      </c>
      <c r="H565" s="273" t="s">
        <v>7938</v>
      </c>
      <c r="I565" s="274">
        <v>42522</v>
      </c>
      <c r="J565" s="273" t="s">
        <v>9111</v>
      </c>
      <c r="K565" s="273" t="s">
        <v>9298</v>
      </c>
      <c r="L565" s="273" t="s">
        <v>422</v>
      </c>
      <c r="M565" s="275">
        <v>1296000</v>
      </c>
      <c r="N565" s="273"/>
      <c r="O565" s="273" t="s">
        <v>106</v>
      </c>
      <c r="P565" s="232">
        <v>5</v>
      </c>
      <c r="Q565" s="233"/>
      <c r="R565" s="233"/>
      <c r="S565" s="233"/>
      <c r="T565" s="233"/>
      <c r="U565" s="233"/>
      <c r="V565" s="233"/>
      <c r="W565" s="233"/>
      <c r="X565" s="233"/>
    </row>
    <row r="566" spans="1:24" ht="15.75" customHeight="1" x14ac:dyDescent="0.35">
      <c r="A566" s="264">
        <v>558</v>
      </c>
      <c r="B566" s="273" t="s">
        <v>9113</v>
      </c>
      <c r="C566" s="273" t="s">
        <v>9114</v>
      </c>
      <c r="D566" s="273" t="s">
        <v>6102</v>
      </c>
      <c r="E566" s="273">
        <v>21000</v>
      </c>
      <c r="F566" s="273">
        <v>2015</v>
      </c>
      <c r="G566" s="273" t="s">
        <v>9299</v>
      </c>
      <c r="H566" s="273" t="s">
        <v>7938</v>
      </c>
      <c r="I566" s="274">
        <v>42522</v>
      </c>
      <c r="J566" s="273" t="s">
        <v>9111</v>
      </c>
      <c r="K566" s="273" t="s">
        <v>9300</v>
      </c>
      <c r="L566" s="273" t="s">
        <v>422</v>
      </c>
      <c r="M566" s="275">
        <v>1344000</v>
      </c>
      <c r="N566" s="273"/>
      <c r="O566" s="273" t="s">
        <v>106</v>
      </c>
      <c r="P566" s="232">
        <v>5</v>
      </c>
      <c r="Q566" s="233"/>
      <c r="R566" s="233"/>
      <c r="S566" s="233"/>
      <c r="T566" s="233"/>
      <c r="U566" s="233"/>
      <c r="V566" s="233"/>
      <c r="W566" s="233"/>
      <c r="X566" s="233"/>
    </row>
    <row r="567" spans="1:24" ht="15.75" customHeight="1" x14ac:dyDescent="0.35">
      <c r="A567" s="258">
        <v>559</v>
      </c>
      <c r="B567" s="273" t="s">
        <v>9113</v>
      </c>
      <c r="C567" s="273" t="s">
        <v>9114</v>
      </c>
      <c r="D567" s="273" t="s">
        <v>6108</v>
      </c>
      <c r="E567" s="273">
        <v>52500</v>
      </c>
      <c r="F567" s="273">
        <v>2015</v>
      </c>
      <c r="G567" s="273" t="s">
        <v>9301</v>
      </c>
      <c r="H567" s="273" t="s">
        <v>7938</v>
      </c>
      <c r="I567" s="274">
        <v>42522</v>
      </c>
      <c r="J567" s="273" t="s">
        <v>9111</v>
      </c>
      <c r="K567" s="273" t="s">
        <v>9302</v>
      </c>
      <c r="L567" s="273" t="s">
        <v>422</v>
      </c>
      <c r="M567" s="275">
        <v>1417500</v>
      </c>
      <c r="N567" s="273"/>
      <c r="O567" s="273" t="s">
        <v>106</v>
      </c>
      <c r="P567" s="232">
        <v>5</v>
      </c>
      <c r="Q567" s="233"/>
      <c r="R567" s="233"/>
      <c r="S567" s="233"/>
      <c r="T567" s="233"/>
      <c r="U567" s="233"/>
      <c r="V567" s="233"/>
      <c r="W567" s="233"/>
      <c r="X567" s="233"/>
    </row>
    <row r="568" spans="1:24" ht="15.75" customHeight="1" x14ac:dyDescent="0.35">
      <c r="A568" s="264">
        <v>560</v>
      </c>
      <c r="B568" s="273" t="s">
        <v>9113</v>
      </c>
      <c r="C568" s="273" t="s">
        <v>9114</v>
      </c>
      <c r="D568" s="273" t="s">
        <v>6114</v>
      </c>
      <c r="E568" s="273">
        <v>54000</v>
      </c>
      <c r="F568" s="273">
        <v>2015</v>
      </c>
      <c r="G568" s="273" t="s">
        <v>9303</v>
      </c>
      <c r="H568" s="273" t="s">
        <v>7938</v>
      </c>
      <c r="I568" s="274">
        <v>42522</v>
      </c>
      <c r="J568" s="273" t="s">
        <v>9111</v>
      </c>
      <c r="K568" s="273" t="s">
        <v>9304</v>
      </c>
      <c r="L568" s="273" t="s">
        <v>422</v>
      </c>
      <c r="M568" s="275">
        <v>1458000</v>
      </c>
      <c r="N568" s="273"/>
      <c r="O568" s="273" t="s">
        <v>106</v>
      </c>
      <c r="P568" s="232">
        <v>5</v>
      </c>
      <c r="Q568" s="233"/>
      <c r="R568" s="233"/>
      <c r="S568" s="233"/>
      <c r="T568" s="233"/>
      <c r="U568" s="233"/>
      <c r="V568" s="233"/>
      <c r="W568" s="233"/>
      <c r="X568" s="233"/>
    </row>
    <row r="569" spans="1:24" ht="15.75" customHeight="1" x14ac:dyDescent="0.35">
      <c r="A569" s="258">
        <v>561</v>
      </c>
      <c r="B569" s="273" t="s">
        <v>9113</v>
      </c>
      <c r="C569" s="273" t="s">
        <v>9114</v>
      </c>
      <c r="D569" s="273" t="s">
        <v>6120</v>
      </c>
      <c r="E569" s="273">
        <v>22500</v>
      </c>
      <c r="F569" s="273">
        <v>2015</v>
      </c>
      <c r="G569" s="273" t="s">
        <v>9305</v>
      </c>
      <c r="H569" s="273" t="s">
        <v>7938</v>
      </c>
      <c r="I569" s="274">
        <v>42522</v>
      </c>
      <c r="J569" s="273" t="s">
        <v>9111</v>
      </c>
      <c r="K569" s="273" t="s">
        <v>9306</v>
      </c>
      <c r="L569" s="273" t="s">
        <v>422</v>
      </c>
      <c r="M569" s="275">
        <v>1845000</v>
      </c>
      <c r="N569" s="273"/>
      <c r="O569" s="273" t="s">
        <v>106</v>
      </c>
      <c r="P569" s="232">
        <v>5</v>
      </c>
      <c r="Q569" s="233"/>
      <c r="R569" s="233"/>
      <c r="S569" s="233"/>
      <c r="T569" s="233"/>
      <c r="U569" s="233"/>
      <c r="V569" s="233"/>
      <c r="W569" s="233"/>
      <c r="X569" s="233"/>
    </row>
    <row r="570" spans="1:24" ht="15.75" customHeight="1" x14ac:dyDescent="0.35">
      <c r="A570" s="264">
        <v>562</v>
      </c>
      <c r="B570" s="273" t="s">
        <v>9113</v>
      </c>
      <c r="C570" s="273" t="s">
        <v>9114</v>
      </c>
      <c r="D570" s="273" t="s">
        <v>6126</v>
      </c>
      <c r="E570" s="273">
        <v>73500</v>
      </c>
      <c r="F570" s="273">
        <v>2015</v>
      </c>
      <c r="G570" s="273" t="s">
        <v>9307</v>
      </c>
      <c r="H570" s="273" t="s">
        <v>7938</v>
      </c>
      <c r="I570" s="274">
        <v>42522</v>
      </c>
      <c r="J570" s="273" t="s">
        <v>9111</v>
      </c>
      <c r="K570" s="273" t="s">
        <v>9308</v>
      </c>
      <c r="L570" s="273" t="s">
        <v>422</v>
      </c>
      <c r="M570" s="275">
        <v>1984500</v>
      </c>
      <c r="N570" s="273"/>
      <c r="O570" s="273" t="s">
        <v>106</v>
      </c>
      <c r="P570" s="232">
        <v>5</v>
      </c>
      <c r="Q570" s="233"/>
      <c r="R570" s="233"/>
      <c r="S570" s="233"/>
      <c r="T570" s="233"/>
      <c r="U570" s="233"/>
      <c r="V570" s="233"/>
      <c r="W570" s="233"/>
      <c r="X570" s="233"/>
    </row>
    <row r="571" spans="1:24" ht="15.75" customHeight="1" x14ac:dyDescent="0.35">
      <c r="A571" s="258">
        <v>563</v>
      </c>
      <c r="B571" s="273" t="s">
        <v>9113</v>
      </c>
      <c r="C571" s="273" t="s">
        <v>9114</v>
      </c>
      <c r="D571" s="273" t="s">
        <v>6132</v>
      </c>
      <c r="E571" s="273">
        <v>60000</v>
      </c>
      <c r="F571" s="273">
        <v>2015</v>
      </c>
      <c r="G571" s="273" t="s">
        <v>9309</v>
      </c>
      <c r="H571" s="273" t="s">
        <v>7938</v>
      </c>
      <c r="I571" s="274">
        <v>45603</v>
      </c>
      <c r="J571" s="273" t="s">
        <v>9310</v>
      </c>
      <c r="K571" s="273" t="s">
        <v>9311</v>
      </c>
      <c r="L571" s="273" t="s">
        <v>422</v>
      </c>
      <c r="M571" s="275">
        <v>2160000</v>
      </c>
      <c r="N571" s="273" t="s">
        <v>9312</v>
      </c>
      <c r="O571" s="273" t="s">
        <v>106</v>
      </c>
      <c r="P571" s="232">
        <v>5</v>
      </c>
      <c r="Q571" s="233"/>
      <c r="R571" s="233"/>
      <c r="S571" s="233"/>
      <c r="T571" s="233"/>
      <c r="U571" s="233"/>
      <c r="V571" s="233"/>
      <c r="W571" s="233"/>
      <c r="X571" s="233"/>
    </row>
    <row r="572" spans="1:24" ht="15.75" customHeight="1" x14ac:dyDescent="0.35">
      <c r="A572" s="264">
        <v>564</v>
      </c>
      <c r="B572" s="273" t="s">
        <v>9113</v>
      </c>
      <c r="C572" s="273" t="s">
        <v>9114</v>
      </c>
      <c r="D572" s="273" t="s">
        <v>6138</v>
      </c>
      <c r="E572" s="273">
        <v>105000</v>
      </c>
      <c r="F572" s="273">
        <v>2015</v>
      </c>
      <c r="G572" s="273" t="s">
        <v>9313</v>
      </c>
      <c r="H572" s="273" t="s">
        <v>7938</v>
      </c>
      <c r="I572" s="274">
        <v>42522</v>
      </c>
      <c r="J572" s="273" t="s">
        <v>9111</v>
      </c>
      <c r="K572" s="273" t="s">
        <v>9314</v>
      </c>
      <c r="L572" s="273" t="s">
        <v>422</v>
      </c>
      <c r="M572" s="275">
        <v>2835000</v>
      </c>
      <c r="N572" s="273"/>
      <c r="O572" s="273" t="s">
        <v>106</v>
      </c>
      <c r="P572" s="232">
        <v>5</v>
      </c>
      <c r="Q572" s="233"/>
      <c r="R572" s="233"/>
      <c r="S572" s="233"/>
      <c r="T572" s="233"/>
      <c r="U572" s="233"/>
      <c r="V572" s="233"/>
      <c r="W572" s="233"/>
      <c r="X572" s="233"/>
    </row>
    <row r="573" spans="1:24" ht="15.75" customHeight="1" x14ac:dyDescent="0.35">
      <c r="A573" s="258">
        <v>565</v>
      </c>
      <c r="B573" s="273" t="s">
        <v>9113</v>
      </c>
      <c r="C573" s="273" t="s">
        <v>9114</v>
      </c>
      <c r="D573" s="273" t="s">
        <v>6144</v>
      </c>
      <c r="E573" s="273">
        <v>110000</v>
      </c>
      <c r="F573" s="273">
        <v>2015</v>
      </c>
      <c r="G573" s="273" t="s">
        <v>9315</v>
      </c>
      <c r="H573" s="273" t="s">
        <v>7938</v>
      </c>
      <c r="I573" s="274">
        <v>42522</v>
      </c>
      <c r="J573" s="273" t="s">
        <v>9111</v>
      </c>
      <c r="K573" s="273" t="s">
        <v>9316</v>
      </c>
      <c r="L573" s="273" t="s">
        <v>422</v>
      </c>
      <c r="M573" s="275">
        <v>2970000</v>
      </c>
      <c r="N573" s="273"/>
      <c r="O573" s="273" t="s">
        <v>106</v>
      </c>
      <c r="P573" s="232">
        <v>5</v>
      </c>
      <c r="Q573" s="233"/>
      <c r="R573" s="233"/>
      <c r="S573" s="233"/>
      <c r="T573" s="233"/>
      <c r="U573" s="233"/>
      <c r="V573" s="233"/>
      <c r="W573" s="233"/>
      <c r="X573" s="233"/>
    </row>
    <row r="574" spans="1:24" ht="15.75" customHeight="1" x14ac:dyDescent="0.35">
      <c r="A574" s="264">
        <v>566</v>
      </c>
      <c r="B574" s="273" t="s">
        <v>9113</v>
      </c>
      <c r="C574" s="273" t="s">
        <v>9114</v>
      </c>
      <c r="D574" s="273" t="s">
        <v>6150</v>
      </c>
      <c r="E574" s="273">
        <v>975000</v>
      </c>
      <c r="F574" s="273">
        <v>2015</v>
      </c>
      <c r="G574" s="273" t="s">
        <v>9317</v>
      </c>
      <c r="H574" s="273" t="s">
        <v>7938</v>
      </c>
      <c r="I574" s="274">
        <v>42522</v>
      </c>
      <c r="J574" s="273" t="s">
        <v>9111</v>
      </c>
      <c r="K574" s="273" t="s">
        <v>9318</v>
      </c>
      <c r="L574" s="273" t="s">
        <v>422</v>
      </c>
      <c r="M574" s="275">
        <v>3412500</v>
      </c>
      <c r="N574" s="273"/>
      <c r="O574" s="273" t="s">
        <v>106</v>
      </c>
      <c r="P574" s="232">
        <v>5</v>
      </c>
      <c r="Q574" s="233"/>
      <c r="R574" s="233"/>
      <c r="S574" s="233"/>
      <c r="T574" s="233"/>
      <c r="U574" s="233"/>
      <c r="V574" s="233"/>
      <c r="W574" s="233"/>
      <c r="X574" s="233"/>
    </row>
    <row r="575" spans="1:24" ht="15.75" customHeight="1" x14ac:dyDescent="0.35">
      <c r="A575" s="258">
        <v>567</v>
      </c>
      <c r="B575" s="273" t="s">
        <v>9113</v>
      </c>
      <c r="C575" s="273" t="s">
        <v>9114</v>
      </c>
      <c r="D575" s="273" t="s">
        <v>6156</v>
      </c>
      <c r="E575" s="273">
        <v>225000</v>
      </c>
      <c r="F575" s="273">
        <v>2015</v>
      </c>
      <c r="G575" s="273" t="s">
        <v>9319</v>
      </c>
      <c r="H575" s="273" t="s">
        <v>7938</v>
      </c>
      <c r="I575" s="274">
        <v>42522</v>
      </c>
      <c r="J575" s="273" t="s">
        <v>9111</v>
      </c>
      <c r="K575" s="273" t="s">
        <v>9320</v>
      </c>
      <c r="L575" s="273" t="s">
        <v>422</v>
      </c>
      <c r="M575" s="275">
        <v>6075000</v>
      </c>
      <c r="N575" s="273"/>
      <c r="O575" s="273" t="s">
        <v>106</v>
      </c>
      <c r="P575" s="232">
        <v>5</v>
      </c>
      <c r="Q575" s="233"/>
      <c r="R575" s="233"/>
      <c r="S575" s="233"/>
      <c r="T575" s="233"/>
      <c r="U575" s="233"/>
      <c r="V575" s="233"/>
      <c r="W575" s="233"/>
      <c r="X575" s="233"/>
    </row>
    <row r="576" spans="1:24" ht="15.75" customHeight="1" x14ac:dyDescent="0.35">
      <c r="A576" s="264">
        <v>568</v>
      </c>
      <c r="B576" s="273" t="s">
        <v>9113</v>
      </c>
      <c r="C576" s="273" t="s">
        <v>9114</v>
      </c>
      <c r="D576" s="273" t="s">
        <v>6162</v>
      </c>
      <c r="E576" s="273">
        <v>143750</v>
      </c>
      <c r="F576" s="273">
        <v>2015</v>
      </c>
      <c r="G576" s="273" t="s">
        <v>9321</v>
      </c>
      <c r="H576" s="273" t="s">
        <v>7938</v>
      </c>
      <c r="I576" s="274">
        <v>42522</v>
      </c>
      <c r="J576" s="273" t="s">
        <v>9111</v>
      </c>
      <c r="K576" s="273" t="s">
        <v>9322</v>
      </c>
      <c r="L576" s="273" t="s">
        <v>422</v>
      </c>
      <c r="M576" s="275">
        <v>6900000</v>
      </c>
      <c r="N576" s="273"/>
      <c r="O576" s="273" t="s">
        <v>106</v>
      </c>
      <c r="P576" s="232">
        <v>5</v>
      </c>
      <c r="Q576" s="233"/>
      <c r="R576" s="233"/>
      <c r="S576" s="233"/>
      <c r="T576" s="233"/>
      <c r="U576" s="233"/>
      <c r="V576" s="233"/>
      <c r="W576" s="233"/>
      <c r="X576" s="233"/>
    </row>
    <row r="577" spans="1:24" ht="15.75" customHeight="1" x14ac:dyDescent="0.35">
      <c r="A577" s="258">
        <v>569</v>
      </c>
      <c r="B577" s="273" t="s">
        <v>9113</v>
      </c>
      <c r="C577" s="273" t="s">
        <v>9114</v>
      </c>
      <c r="D577" s="273" t="s">
        <v>6168</v>
      </c>
      <c r="E577" s="273">
        <v>675000</v>
      </c>
      <c r="F577" s="273">
        <v>2015</v>
      </c>
      <c r="G577" s="273" t="s">
        <v>9323</v>
      </c>
      <c r="H577" s="273" t="s">
        <v>7938</v>
      </c>
      <c r="I577" s="274">
        <v>42522</v>
      </c>
      <c r="J577" s="273" t="s">
        <v>9111</v>
      </c>
      <c r="K577" s="273" t="s">
        <v>9324</v>
      </c>
      <c r="L577" s="273" t="s">
        <v>422</v>
      </c>
      <c r="M577" s="275">
        <v>18225000</v>
      </c>
      <c r="N577" s="273"/>
      <c r="O577" s="273" t="s">
        <v>106</v>
      </c>
      <c r="P577" s="232">
        <v>5</v>
      </c>
      <c r="Q577" s="233"/>
      <c r="R577" s="233"/>
      <c r="S577" s="233"/>
      <c r="T577" s="233"/>
      <c r="U577" s="233"/>
      <c r="V577" s="233"/>
      <c r="W577" s="233"/>
      <c r="X577" s="233"/>
    </row>
    <row r="578" spans="1:24" ht="15.75" customHeight="1" x14ac:dyDescent="0.35">
      <c r="A578" s="264">
        <v>570</v>
      </c>
      <c r="B578" s="273" t="s">
        <v>9113</v>
      </c>
      <c r="C578" s="273" t="s">
        <v>9114</v>
      </c>
      <c r="D578" s="273" t="s">
        <v>6174</v>
      </c>
      <c r="E578" s="273">
        <v>802500</v>
      </c>
      <c r="F578" s="273">
        <v>2015</v>
      </c>
      <c r="G578" s="273" t="s">
        <v>9325</v>
      </c>
      <c r="H578" s="273" t="s">
        <v>7938</v>
      </c>
      <c r="I578" s="274">
        <v>42522</v>
      </c>
      <c r="J578" s="273" t="s">
        <v>9111</v>
      </c>
      <c r="K578" s="273" t="s">
        <v>9326</v>
      </c>
      <c r="L578" s="273" t="s">
        <v>422</v>
      </c>
      <c r="M578" s="275">
        <v>21667500</v>
      </c>
      <c r="N578" s="273"/>
      <c r="O578" s="273" t="s">
        <v>106</v>
      </c>
      <c r="P578" s="232">
        <v>5</v>
      </c>
      <c r="Q578" s="233"/>
      <c r="R578" s="233"/>
      <c r="S578" s="233"/>
      <c r="T578" s="233"/>
      <c r="U578" s="233"/>
      <c r="V578" s="233"/>
      <c r="W578" s="233"/>
      <c r="X578" s="233"/>
    </row>
    <row r="579" spans="1:24" ht="15.75" customHeight="1" x14ac:dyDescent="0.35">
      <c r="A579" s="258">
        <v>571</v>
      </c>
      <c r="B579" s="273" t="s">
        <v>9113</v>
      </c>
      <c r="C579" s="273" t="s">
        <v>9114</v>
      </c>
      <c r="D579" s="273" t="s">
        <v>6180</v>
      </c>
      <c r="E579" s="273">
        <v>6120</v>
      </c>
      <c r="F579" s="273">
        <v>2023</v>
      </c>
      <c r="G579" s="273" t="s">
        <v>9327</v>
      </c>
      <c r="H579" s="273"/>
      <c r="I579" s="274">
        <v>45287</v>
      </c>
      <c r="J579" s="273" t="s">
        <v>9328</v>
      </c>
      <c r="K579" s="273" t="s">
        <v>9329</v>
      </c>
      <c r="L579" s="273" t="s">
        <v>422</v>
      </c>
      <c r="M579" s="275">
        <v>220320</v>
      </c>
      <c r="N579" s="273" t="s">
        <v>9330</v>
      </c>
      <c r="O579" s="273" t="s">
        <v>106</v>
      </c>
      <c r="P579" s="232">
        <v>5</v>
      </c>
      <c r="Q579" s="233"/>
      <c r="R579" s="233"/>
      <c r="S579" s="233"/>
      <c r="T579" s="233"/>
      <c r="U579" s="233"/>
      <c r="V579" s="233"/>
      <c r="W579" s="233"/>
      <c r="X579" s="233"/>
    </row>
    <row r="580" spans="1:24" ht="15.75" customHeight="1" x14ac:dyDescent="0.35">
      <c r="A580" s="264">
        <v>572</v>
      </c>
      <c r="B580" s="273" t="s">
        <v>9113</v>
      </c>
      <c r="C580" s="273" t="s">
        <v>9114</v>
      </c>
      <c r="D580" s="273" t="s">
        <v>6186</v>
      </c>
      <c r="E580" s="273">
        <v>20160</v>
      </c>
      <c r="F580" s="273">
        <v>2023</v>
      </c>
      <c r="G580" s="273" t="s">
        <v>9331</v>
      </c>
      <c r="H580" s="273"/>
      <c r="I580" s="274">
        <v>45287</v>
      </c>
      <c r="J580" s="273" t="s">
        <v>9328</v>
      </c>
      <c r="K580" s="273" t="s">
        <v>9329</v>
      </c>
      <c r="L580" s="273" t="s">
        <v>422</v>
      </c>
      <c r="M580" s="275">
        <v>967680</v>
      </c>
      <c r="N580" s="273" t="s">
        <v>9332</v>
      </c>
      <c r="O580" s="273" t="s">
        <v>106</v>
      </c>
      <c r="P580" s="232">
        <v>5</v>
      </c>
      <c r="Q580" s="233"/>
      <c r="R580" s="233"/>
      <c r="S580" s="233"/>
      <c r="T580" s="233"/>
      <c r="U580" s="233"/>
      <c r="V580" s="233"/>
      <c r="W580" s="233"/>
      <c r="X580" s="233"/>
    </row>
    <row r="581" spans="1:24" ht="15.75" customHeight="1" x14ac:dyDescent="0.35">
      <c r="A581" s="258">
        <v>573</v>
      </c>
      <c r="B581" s="273" t="s">
        <v>9113</v>
      </c>
      <c r="C581" s="273" t="s">
        <v>9114</v>
      </c>
      <c r="D581" s="273" t="s">
        <v>6192</v>
      </c>
      <c r="E581" s="273">
        <v>8700</v>
      </c>
      <c r="F581" s="273">
        <v>2023</v>
      </c>
      <c r="G581" s="273" t="s">
        <v>9333</v>
      </c>
      <c r="H581" s="273"/>
      <c r="I581" s="274">
        <v>45287</v>
      </c>
      <c r="J581" s="273" t="s">
        <v>9328</v>
      </c>
      <c r="K581" s="273" t="s">
        <v>9329</v>
      </c>
      <c r="L581" s="273" t="s">
        <v>422</v>
      </c>
      <c r="M581" s="275">
        <v>313200</v>
      </c>
      <c r="N581" s="273" t="s">
        <v>9334</v>
      </c>
      <c r="O581" s="273" t="s">
        <v>106</v>
      </c>
      <c r="P581" s="232">
        <v>5</v>
      </c>
      <c r="Q581" s="233"/>
      <c r="R581" s="233"/>
      <c r="S581" s="233"/>
      <c r="T581" s="233"/>
      <c r="U581" s="233"/>
      <c r="V581" s="233"/>
      <c r="W581" s="233"/>
      <c r="X581" s="233"/>
    </row>
    <row r="582" spans="1:24" ht="15.75" customHeight="1" x14ac:dyDescent="0.35">
      <c r="A582" s="264">
        <v>574</v>
      </c>
      <c r="B582" s="273" t="s">
        <v>9113</v>
      </c>
      <c r="C582" s="273" t="s">
        <v>9114</v>
      </c>
      <c r="D582" s="273" t="s">
        <v>7400</v>
      </c>
      <c r="E582" s="273">
        <v>76600</v>
      </c>
      <c r="F582" s="273">
        <v>2023</v>
      </c>
      <c r="G582" s="273" t="s">
        <v>9335</v>
      </c>
      <c r="H582" s="273"/>
      <c r="I582" s="274">
        <v>45287</v>
      </c>
      <c r="J582" s="273" t="s">
        <v>9328</v>
      </c>
      <c r="K582" s="273" t="s">
        <v>9329</v>
      </c>
      <c r="L582" s="273" t="s">
        <v>422</v>
      </c>
      <c r="M582" s="275">
        <v>2068200</v>
      </c>
      <c r="N582" s="273" t="s">
        <v>9336</v>
      </c>
      <c r="O582" s="273" t="s">
        <v>106</v>
      </c>
      <c r="P582" s="232">
        <v>5</v>
      </c>
      <c r="Q582" s="233"/>
      <c r="R582" s="233"/>
      <c r="S582" s="233"/>
      <c r="T582" s="233"/>
      <c r="U582" s="233"/>
      <c r="V582" s="233"/>
      <c r="W582" s="233"/>
      <c r="X582" s="233"/>
    </row>
    <row r="583" spans="1:24" ht="15.75" customHeight="1" x14ac:dyDescent="0.35">
      <c r="A583" s="258">
        <v>575</v>
      </c>
      <c r="B583" s="273" t="s">
        <v>9113</v>
      </c>
      <c r="C583" s="273" t="s">
        <v>9114</v>
      </c>
      <c r="D583" s="273" t="s">
        <v>7406</v>
      </c>
      <c r="E583" s="273">
        <v>58000</v>
      </c>
      <c r="F583" s="273">
        <v>2023</v>
      </c>
      <c r="G583" s="273" t="s">
        <v>9337</v>
      </c>
      <c r="H583" s="273"/>
      <c r="I583" s="274">
        <v>45287</v>
      </c>
      <c r="J583" s="273" t="s">
        <v>9328</v>
      </c>
      <c r="K583" s="273" t="s">
        <v>9329</v>
      </c>
      <c r="L583" s="273" t="s">
        <v>422</v>
      </c>
      <c r="M583" s="275">
        <v>1566000</v>
      </c>
      <c r="N583" s="273" t="s">
        <v>9338</v>
      </c>
      <c r="O583" s="273" t="s">
        <v>106</v>
      </c>
      <c r="P583" s="232">
        <v>5</v>
      </c>
      <c r="Q583" s="233"/>
      <c r="R583" s="233"/>
      <c r="S583" s="233"/>
      <c r="T583" s="233"/>
      <c r="U583" s="233"/>
      <c r="V583" s="233"/>
      <c r="W583" s="233"/>
      <c r="X583" s="233"/>
    </row>
    <row r="584" spans="1:24" ht="15.75" customHeight="1" x14ac:dyDescent="0.35">
      <c r="A584" s="264">
        <v>576</v>
      </c>
      <c r="B584" s="273" t="s">
        <v>9113</v>
      </c>
      <c r="C584" s="273" t="s">
        <v>9114</v>
      </c>
      <c r="D584" s="273" t="s">
        <v>7410</v>
      </c>
      <c r="E584" s="273">
        <v>6480</v>
      </c>
      <c r="F584" s="273">
        <v>2023</v>
      </c>
      <c r="G584" s="273" t="s">
        <v>9339</v>
      </c>
      <c r="H584" s="273"/>
      <c r="I584" s="274">
        <v>45287</v>
      </c>
      <c r="J584" s="273" t="s">
        <v>9328</v>
      </c>
      <c r="K584" s="273" t="s">
        <v>9329</v>
      </c>
      <c r="L584" s="273" t="s">
        <v>422</v>
      </c>
      <c r="M584" s="275">
        <v>64800</v>
      </c>
      <c r="N584" s="273" t="s">
        <v>9340</v>
      </c>
      <c r="O584" s="273" t="s">
        <v>106</v>
      </c>
      <c r="P584" s="232">
        <v>5</v>
      </c>
      <c r="Q584" s="233"/>
      <c r="R584" s="233"/>
      <c r="S584" s="233"/>
      <c r="T584" s="233"/>
      <c r="U584" s="233"/>
      <c r="V584" s="233"/>
      <c r="W584" s="233"/>
      <c r="X584" s="233"/>
    </row>
    <row r="585" spans="1:24" ht="15.75" customHeight="1" x14ac:dyDescent="0.35">
      <c r="A585" s="258">
        <v>577</v>
      </c>
      <c r="B585" s="273" t="s">
        <v>9113</v>
      </c>
      <c r="C585" s="273" t="s">
        <v>9114</v>
      </c>
      <c r="D585" s="273" t="s">
        <v>6198</v>
      </c>
      <c r="E585" s="273">
        <v>74000</v>
      </c>
      <c r="F585" s="273">
        <v>2023</v>
      </c>
      <c r="G585" s="273" t="s">
        <v>9341</v>
      </c>
      <c r="H585" s="273"/>
      <c r="I585" s="274">
        <v>45287</v>
      </c>
      <c r="J585" s="273" t="s">
        <v>9328</v>
      </c>
      <c r="K585" s="273" t="s">
        <v>9329</v>
      </c>
      <c r="L585" s="273" t="s">
        <v>422</v>
      </c>
      <c r="M585" s="275">
        <v>740000</v>
      </c>
      <c r="N585" s="273" t="s">
        <v>9342</v>
      </c>
      <c r="O585" s="273" t="s">
        <v>106</v>
      </c>
      <c r="P585" s="232">
        <v>5</v>
      </c>
      <c r="Q585" s="233"/>
      <c r="R585" s="233"/>
      <c r="S585" s="233"/>
      <c r="T585" s="233"/>
      <c r="U585" s="233"/>
      <c r="V585" s="233"/>
      <c r="W585" s="233"/>
      <c r="X585" s="233"/>
    </row>
    <row r="586" spans="1:24" ht="15.75" customHeight="1" x14ac:dyDescent="0.35">
      <c r="A586" s="264">
        <v>578</v>
      </c>
      <c r="B586" s="273" t="s">
        <v>9113</v>
      </c>
      <c r="C586" s="273" t="s">
        <v>9114</v>
      </c>
      <c r="D586" s="273" t="s">
        <v>6204</v>
      </c>
      <c r="E586" s="273">
        <v>6400</v>
      </c>
      <c r="F586" s="273">
        <v>2023</v>
      </c>
      <c r="G586" s="273" t="s">
        <v>9343</v>
      </c>
      <c r="H586" s="273"/>
      <c r="I586" s="274">
        <v>45603</v>
      </c>
      <c r="J586" s="273" t="s">
        <v>9344</v>
      </c>
      <c r="K586" s="273" t="s">
        <v>9329</v>
      </c>
      <c r="L586" s="273" t="s">
        <v>422</v>
      </c>
      <c r="M586" s="275">
        <v>172800</v>
      </c>
      <c r="N586" s="273" t="s">
        <v>9345</v>
      </c>
      <c r="O586" s="273" t="s">
        <v>106</v>
      </c>
      <c r="P586" s="232">
        <v>5</v>
      </c>
      <c r="Q586" s="233"/>
      <c r="R586" s="233"/>
      <c r="S586" s="233"/>
      <c r="T586" s="233"/>
      <c r="U586" s="233"/>
      <c r="V586" s="233"/>
      <c r="W586" s="233"/>
      <c r="X586" s="233"/>
    </row>
    <row r="587" spans="1:24" ht="15.75" customHeight="1" x14ac:dyDescent="0.35">
      <c r="A587" s="258">
        <v>579</v>
      </c>
      <c r="B587" s="273" t="s">
        <v>9113</v>
      </c>
      <c r="C587" s="273" t="s">
        <v>9114</v>
      </c>
      <c r="D587" s="273" t="s">
        <v>6210</v>
      </c>
      <c r="E587" s="273">
        <v>13600</v>
      </c>
      <c r="F587" s="273">
        <v>2023</v>
      </c>
      <c r="G587" s="273" t="s">
        <v>9346</v>
      </c>
      <c r="H587" s="273"/>
      <c r="I587" s="274">
        <v>45287</v>
      </c>
      <c r="J587" s="273" t="s">
        <v>9328</v>
      </c>
      <c r="K587" s="273" t="s">
        <v>9329</v>
      </c>
      <c r="L587" s="273" t="s">
        <v>422</v>
      </c>
      <c r="M587" s="275">
        <v>272000</v>
      </c>
      <c r="N587" s="273" t="s">
        <v>9347</v>
      </c>
      <c r="O587" s="273" t="s">
        <v>106</v>
      </c>
      <c r="P587" s="232">
        <v>5</v>
      </c>
      <c r="Q587" s="233"/>
      <c r="R587" s="233"/>
      <c r="S587" s="233"/>
      <c r="T587" s="233"/>
      <c r="U587" s="233"/>
      <c r="V587" s="233"/>
      <c r="W587" s="233"/>
      <c r="X587" s="233"/>
    </row>
    <row r="588" spans="1:24" ht="15.75" customHeight="1" x14ac:dyDescent="0.35">
      <c r="A588" s="264">
        <v>580</v>
      </c>
      <c r="B588" s="273" t="s">
        <v>9113</v>
      </c>
      <c r="C588" s="273" t="s">
        <v>9114</v>
      </c>
      <c r="D588" s="273" t="s">
        <v>6216</v>
      </c>
      <c r="E588" s="273">
        <v>48400</v>
      </c>
      <c r="F588" s="273">
        <v>2023</v>
      </c>
      <c r="G588" s="273" t="s">
        <v>9348</v>
      </c>
      <c r="H588" s="273"/>
      <c r="I588" s="274">
        <v>45287</v>
      </c>
      <c r="J588" s="273" t="s">
        <v>9328</v>
      </c>
      <c r="K588" s="273" t="s">
        <v>9329</v>
      </c>
      <c r="L588" s="273" t="s">
        <v>422</v>
      </c>
      <c r="M588" s="275">
        <v>82280</v>
      </c>
      <c r="N588" s="273" t="s">
        <v>9349</v>
      </c>
      <c r="O588" s="273" t="s">
        <v>106</v>
      </c>
      <c r="P588" s="232">
        <v>5</v>
      </c>
      <c r="Q588" s="233"/>
      <c r="R588" s="233"/>
      <c r="S588" s="233"/>
      <c r="T588" s="233"/>
      <c r="U588" s="233"/>
      <c r="V588" s="233"/>
      <c r="W588" s="233"/>
      <c r="X588" s="233"/>
    </row>
    <row r="589" spans="1:24" ht="15.75" customHeight="1" x14ac:dyDescent="0.35">
      <c r="A589" s="258">
        <v>581</v>
      </c>
      <c r="B589" s="273" t="s">
        <v>9113</v>
      </c>
      <c r="C589" s="273" t="s">
        <v>9114</v>
      </c>
      <c r="D589" s="273" t="s">
        <v>6222</v>
      </c>
      <c r="E589" s="273">
        <v>8600</v>
      </c>
      <c r="F589" s="273">
        <v>2023</v>
      </c>
      <c r="G589" s="273" t="s">
        <v>9350</v>
      </c>
      <c r="H589" s="273"/>
      <c r="I589" s="274">
        <v>45287</v>
      </c>
      <c r="J589" s="273" t="s">
        <v>9328</v>
      </c>
      <c r="K589" s="273" t="s">
        <v>9329</v>
      </c>
      <c r="L589" s="273" t="s">
        <v>422</v>
      </c>
      <c r="M589" s="275">
        <v>172000</v>
      </c>
      <c r="N589" s="273" t="s">
        <v>9351</v>
      </c>
      <c r="O589" s="273" t="s">
        <v>106</v>
      </c>
      <c r="P589" s="232">
        <v>5</v>
      </c>
      <c r="Q589" s="233"/>
      <c r="R589" s="233"/>
      <c r="S589" s="233"/>
      <c r="T589" s="233"/>
      <c r="U589" s="233"/>
      <c r="V589" s="233"/>
      <c r="W589" s="233"/>
      <c r="X589" s="233"/>
    </row>
    <row r="590" spans="1:24" ht="15.75" customHeight="1" x14ac:dyDescent="0.35">
      <c r="A590" s="264">
        <v>582</v>
      </c>
      <c r="B590" s="273" t="s">
        <v>9113</v>
      </c>
      <c r="C590" s="273" t="s">
        <v>9114</v>
      </c>
      <c r="D590" s="273" t="s">
        <v>6228</v>
      </c>
      <c r="E590" s="273">
        <v>5840</v>
      </c>
      <c r="F590" s="273">
        <v>2023</v>
      </c>
      <c r="G590" s="273" t="s">
        <v>9352</v>
      </c>
      <c r="H590" s="273"/>
      <c r="I590" s="274">
        <v>45603</v>
      </c>
      <c r="J590" s="273" t="s">
        <v>9353</v>
      </c>
      <c r="K590" s="273" t="s">
        <v>9329</v>
      </c>
      <c r="L590" s="273" t="s">
        <v>422</v>
      </c>
      <c r="M590" s="275">
        <v>210240</v>
      </c>
      <c r="N590" s="273" t="s">
        <v>9354</v>
      </c>
      <c r="O590" s="273" t="s">
        <v>106</v>
      </c>
      <c r="P590" s="232">
        <v>5</v>
      </c>
      <c r="Q590" s="233"/>
      <c r="R590" s="233"/>
      <c r="S590" s="233"/>
      <c r="T590" s="233"/>
      <c r="U590" s="233"/>
      <c r="V590" s="233"/>
      <c r="W590" s="233"/>
      <c r="X590" s="233"/>
    </row>
    <row r="591" spans="1:24" ht="15.75" customHeight="1" x14ac:dyDescent="0.35">
      <c r="A591" s="258">
        <v>583</v>
      </c>
      <c r="B591" s="273" t="s">
        <v>9113</v>
      </c>
      <c r="C591" s="273" t="s">
        <v>9114</v>
      </c>
      <c r="D591" s="273" t="s">
        <v>6234</v>
      </c>
      <c r="E591" s="273">
        <v>4560</v>
      </c>
      <c r="F591" s="273">
        <v>2023</v>
      </c>
      <c r="G591" s="273" t="s">
        <v>9355</v>
      </c>
      <c r="H591" s="273"/>
      <c r="I591" s="274">
        <v>45603</v>
      </c>
      <c r="J591" s="273" t="s">
        <v>9356</v>
      </c>
      <c r="K591" s="273" t="s">
        <v>9329</v>
      </c>
      <c r="L591" s="273" t="s">
        <v>422</v>
      </c>
      <c r="M591" s="275">
        <v>123120</v>
      </c>
      <c r="N591" s="273" t="s">
        <v>9357</v>
      </c>
      <c r="O591" s="273" t="s">
        <v>106</v>
      </c>
      <c r="P591" s="232">
        <v>5</v>
      </c>
      <c r="Q591" s="233"/>
      <c r="R591" s="233"/>
      <c r="S591" s="233"/>
      <c r="T591" s="233"/>
      <c r="U591" s="233"/>
      <c r="V591" s="233"/>
      <c r="W591" s="233"/>
      <c r="X591" s="233"/>
    </row>
    <row r="592" spans="1:24" ht="15.75" customHeight="1" x14ac:dyDescent="0.35">
      <c r="A592" s="264">
        <v>584</v>
      </c>
      <c r="B592" s="273" t="s">
        <v>9113</v>
      </c>
      <c r="C592" s="273" t="s">
        <v>9114</v>
      </c>
      <c r="D592" s="273" t="s">
        <v>6240</v>
      </c>
      <c r="E592" s="273">
        <v>32880</v>
      </c>
      <c r="F592" s="273">
        <v>2023</v>
      </c>
      <c r="G592" s="273" t="s">
        <v>9358</v>
      </c>
      <c r="H592" s="273"/>
      <c r="I592" s="274">
        <v>45287</v>
      </c>
      <c r="J592" s="273" t="s">
        <v>9328</v>
      </c>
      <c r="K592" s="273" t="s">
        <v>9329</v>
      </c>
      <c r="L592" s="273" t="s">
        <v>422</v>
      </c>
      <c r="M592" s="275">
        <v>115080</v>
      </c>
      <c r="N592" s="273" t="s">
        <v>9359</v>
      </c>
      <c r="O592" s="273" t="s">
        <v>106</v>
      </c>
      <c r="P592" s="232">
        <v>5</v>
      </c>
      <c r="Q592" s="233"/>
      <c r="R592" s="233"/>
      <c r="S592" s="233"/>
      <c r="T592" s="233"/>
      <c r="U592" s="233"/>
      <c r="V592" s="233"/>
      <c r="W592" s="233"/>
      <c r="X592" s="233"/>
    </row>
    <row r="593" spans="1:24" ht="15.75" customHeight="1" x14ac:dyDescent="0.35">
      <c r="A593" s="258">
        <v>585</v>
      </c>
      <c r="B593" s="273" t="s">
        <v>9113</v>
      </c>
      <c r="C593" s="273" t="s">
        <v>9114</v>
      </c>
      <c r="D593" s="273" t="s">
        <v>6246</v>
      </c>
      <c r="E593" s="273">
        <v>21680</v>
      </c>
      <c r="F593" s="273">
        <v>2023</v>
      </c>
      <c r="G593" s="273" t="s">
        <v>9360</v>
      </c>
      <c r="H593" s="273"/>
      <c r="I593" s="274">
        <v>45287</v>
      </c>
      <c r="J593" s="273" t="s">
        <v>9328</v>
      </c>
      <c r="K593" s="273" t="s">
        <v>9329</v>
      </c>
      <c r="L593" s="273" t="s">
        <v>422</v>
      </c>
      <c r="M593" s="275">
        <v>75880</v>
      </c>
      <c r="N593" s="273" t="s">
        <v>9361</v>
      </c>
      <c r="O593" s="273" t="s">
        <v>106</v>
      </c>
      <c r="P593" s="232">
        <v>5</v>
      </c>
      <c r="Q593" s="233"/>
      <c r="R593" s="233"/>
      <c r="S593" s="233"/>
      <c r="T593" s="233"/>
      <c r="U593" s="233"/>
      <c r="V593" s="233"/>
      <c r="W593" s="233"/>
      <c r="X593" s="233"/>
    </row>
    <row r="594" spans="1:24" ht="15.75" customHeight="1" x14ac:dyDescent="0.35">
      <c r="A594" s="264">
        <v>586</v>
      </c>
      <c r="B594" s="273" t="s">
        <v>9113</v>
      </c>
      <c r="C594" s="273" t="s">
        <v>9114</v>
      </c>
      <c r="D594" s="273" t="s">
        <v>6252</v>
      </c>
      <c r="E594" s="273">
        <v>28600</v>
      </c>
      <c r="F594" s="273">
        <v>2023</v>
      </c>
      <c r="G594" s="273" t="s">
        <v>9362</v>
      </c>
      <c r="H594" s="273"/>
      <c r="I594" s="274">
        <v>45287</v>
      </c>
      <c r="J594" s="273" t="s">
        <v>9328</v>
      </c>
      <c r="K594" s="273" t="s">
        <v>9329</v>
      </c>
      <c r="L594" s="273" t="s">
        <v>422</v>
      </c>
      <c r="M594" s="275">
        <v>1029600</v>
      </c>
      <c r="N594" s="273" t="s">
        <v>9363</v>
      </c>
      <c r="O594" s="273" t="s">
        <v>106</v>
      </c>
      <c r="P594" s="232">
        <v>5</v>
      </c>
      <c r="Q594" s="233"/>
      <c r="R594" s="233"/>
      <c r="S594" s="233"/>
      <c r="T594" s="233"/>
      <c r="U594" s="233"/>
      <c r="V594" s="233"/>
      <c r="W594" s="233"/>
      <c r="X594" s="233"/>
    </row>
    <row r="595" spans="1:24" ht="15.75" customHeight="1" x14ac:dyDescent="0.35">
      <c r="A595" s="258">
        <v>587</v>
      </c>
      <c r="B595" s="273" t="s">
        <v>9113</v>
      </c>
      <c r="C595" s="273" t="s">
        <v>9114</v>
      </c>
      <c r="D595" s="273" t="s">
        <v>6258</v>
      </c>
      <c r="E595" s="273">
        <v>5920</v>
      </c>
      <c r="F595" s="273">
        <v>2023</v>
      </c>
      <c r="G595" s="273" t="s">
        <v>9364</v>
      </c>
      <c r="H595" s="273"/>
      <c r="I595" s="274">
        <v>45603</v>
      </c>
      <c r="J595" s="273" t="s">
        <v>9365</v>
      </c>
      <c r="K595" s="273" t="s">
        <v>9329</v>
      </c>
      <c r="L595" s="273" t="s">
        <v>422</v>
      </c>
      <c r="M595" s="275">
        <v>284160</v>
      </c>
      <c r="N595" s="273" t="s">
        <v>9366</v>
      </c>
      <c r="O595" s="273" t="s">
        <v>106</v>
      </c>
      <c r="P595" s="232">
        <v>5</v>
      </c>
      <c r="Q595" s="233"/>
      <c r="R595" s="233"/>
      <c r="S595" s="233"/>
      <c r="T595" s="233"/>
      <c r="U595" s="233"/>
      <c r="V595" s="233"/>
      <c r="W595" s="233"/>
      <c r="X595" s="233"/>
    </row>
    <row r="596" spans="1:24" ht="15.75" customHeight="1" x14ac:dyDescent="0.35">
      <c r="A596" s="264">
        <v>588</v>
      </c>
      <c r="B596" s="273" t="s">
        <v>9113</v>
      </c>
      <c r="C596" s="273" t="s">
        <v>9114</v>
      </c>
      <c r="D596" s="273" t="s">
        <v>7448</v>
      </c>
      <c r="E596" s="273">
        <v>3280</v>
      </c>
      <c r="F596" s="273">
        <v>2023</v>
      </c>
      <c r="G596" s="273" t="s">
        <v>9367</v>
      </c>
      <c r="H596" s="273"/>
      <c r="I596" s="274">
        <v>45603</v>
      </c>
      <c r="J596" s="273" t="s">
        <v>9368</v>
      </c>
      <c r="K596" s="273" t="s">
        <v>9329</v>
      </c>
      <c r="L596" s="273" t="s">
        <v>422</v>
      </c>
      <c r="M596" s="275">
        <v>88560</v>
      </c>
      <c r="N596" s="273" t="s">
        <v>9369</v>
      </c>
      <c r="O596" s="273" t="s">
        <v>106</v>
      </c>
      <c r="P596" s="232">
        <v>5</v>
      </c>
      <c r="Q596" s="233"/>
      <c r="R596" s="233"/>
      <c r="S596" s="233"/>
      <c r="T596" s="233"/>
      <c r="U596" s="233"/>
      <c r="V596" s="233"/>
      <c r="W596" s="233"/>
      <c r="X596" s="233"/>
    </row>
    <row r="597" spans="1:24" ht="15.75" customHeight="1" x14ac:dyDescent="0.35">
      <c r="A597" s="258">
        <v>589</v>
      </c>
      <c r="B597" s="273" t="s">
        <v>9113</v>
      </c>
      <c r="C597" s="273" t="s">
        <v>9114</v>
      </c>
      <c r="D597" s="273" t="s">
        <v>6263</v>
      </c>
      <c r="E597" s="273">
        <v>12880</v>
      </c>
      <c r="F597" s="273">
        <v>2023</v>
      </c>
      <c r="G597" s="273" t="s">
        <v>9370</v>
      </c>
      <c r="H597" s="273"/>
      <c r="I597" s="274">
        <v>45603</v>
      </c>
      <c r="J597" s="273" t="s">
        <v>9371</v>
      </c>
      <c r="K597" s="273" t="s">
        <v>9329</v>
      </c>
      <c r="L597" s="273" t="s">
        <v>422</v>
      </c>
      <c r="M597" s="275">
        <v>618240</v>
      </c>
      <c r="N597" s="273" t="s">
        <v>9372</v>
      </c>
      <c r="O597" s="273" t="s">
        <v>106</v>
      </c>
      <c r="P597" s="232">
        <v>5</v>
      </c>
      <c r="Q597" s="233"/>
      <c r="R597" s="233"/>
      <c r="S597" s="233"/>
      <c r="T597" s="233"/>
      <c r="U597" s="233"/>
      <c r="V597" s="233"/>
      <c r="W597" s="233"/>
      <c r="X597" s="233"/>
    </row>
    <row r="598" spans="1:24" ht="15.75" customHeight="1" x14ac:dyDescent="0.35">
      <c r="A598" s="264">
        <v>590</v>
      </c>
      <c r="B598" s="273" t="s">
        <v>9113</v>
      </c>
      <c r="C598" s="273" t="s">
        <v>9114</v>
      </c>
      <c r="D598" s="273" t="s">
        <v>7455</v>
      </c>
      <c r="E598" s="273">
        <v>2800</v>
      </c>
      <c r="F598" s="273">
        <v>2023</v>
      </c>
      <c r="G598" s="273" t="s">
        <v>9373</v>
      </c>
      <c r="H598" s="273"/>
      <c r="I598" s="274">
        <v>45287</v>
      </c>
      <c r="J598" s="273" t="s">
        <v>9328</v>
      </c>
      <c r="K598" s="273" t="s">
        <v>9329</v>
      </c>
      <c r="L598" s="273" t="s">
        <v>422</v>
      </c>
      <c r="M598" s="275">
        <v>56000</v>
      </c>
      <c r="N598" s="273" t="s">
        <v>9374</v>
      </c>
      <c r="O598" s="273" t="s">
        <v>106</v>
      </c>
      <c r="P598" s="232">
        <v>5</v>
      </c>
      <c r="Q598" s="233"/>
      <c r="R598" s="233"/>
      <c r="S598" s="233"/>
      <c r="T598" s="233"/>
      <c r="U598" s="233"/>
      <c r="V598" s="233"/>
      <c r="W598" s="233"/>
      <c r="X598" s="233"/>
    </row>
    <row r="599" spans="1:24" ht="15.75" customHeight="1" x14ac:dyDescent="0.35">
      <c r="A599" s="258">
        <v>591</v>
      </c>
      <c r="B599" s="273" t="s">
        <v>9113</v>
      </c>
      <c r="C599" s="273" t="s">
        <v>9114</v>
      </c>
      <c r="D599" s="273" t="s">
        <v>6271</v>
      </c>
      <c r="E599" s="273">
        <v>8640</v>
      </c>
      <c r="F599" s="273">
        <v>2023</v>
      </c>
      <c r="G599" s="273" t="s">
        <v>9375</v>
      </c>
      <c r="H599" s="273"/>
      <c r="I599" s="274">
        <v>45287</v>
      </c>
      <c r="J599" s="273" t="s">
        <v>9328</v>
      </c>
      <c r="K599" s="273" t="s">
        <v>9329</v>
      </c>
      <c r="L599" s="273" t="s">
        <v>422</v>
      </c>
      <c r="M599" s="275">
        <v>233280</v>
      </c>
      <c r="N599" s="273" t="s">
        <v>9376</v>
      </c>
      <c r="O599" s="273" t="s">
        <v>106</v>
      </c>
      <c r="P599" s="232">
        <v>5</v>
      </c>
      <c r="Q599" s="233"/>
      <c r="R599" s="233"/>
      <c r="S599" s="233"/>
      <c r="T599" s="233"/>
      <c r="U599" s="233"/>
      <c r="V599" s="233"/>
      <c r="W599" s="233"/>
      <c r="X599" s="233"/>
    </row>
    <row r="600" spans="1:24" ht="15.75" customHeight="1" x14ac:dyDescent="0.35">
      <c r="A600" s="264">
        <v>592</v>
      </c>
      <c r="B600" s="273" t="s">
        <v>9113</v>
      </c>
      <c r="C600" s="273" t="s">
        <v>9114</v>
      </c>
      <c r="D600" s="273" t="s">
        <v>2766</v>
      </c>
      <c r="E600" s="273">
        <v>3200</v>
      </c>
      <c r="F600" s="273">
        <v>2023</v>
      </c>
      <c r="G600" s="273" t="s">
        <v>9377</v>
      </c>
      <c r="H600" s="273"/>
      <c r="I600" s="274">
        <v>45287</v>
      </c>
      <c r="J600" s="273" t="s">
        <v>9328</v>
      </c>
      <c r="K600" s="273" t="s">
        <v>9329</v>
      </c>
      <c r="L600" s="273" t="s">
        <v>422</v>
      </c>
      <c r="M600" s="275">
        <v>86400</v>
      </c>
      <c r="N600" s="273" t="s">
        <v>9378</v>
      </c>
      <c r="O600" s="273" t="s">
        <v>106</v>
      </c>
      <c r="P600" s="232">
        <v>5</v>
      </c>
      <c r="Q600" s="233"/>
      <c r="R600" s="233"/>
      <c r="S600" s="233"/>
      <c r="T600" s="233"/>
      <c r="U600" s="233"/>
      <c r="V600" s="233"/>
      <c r="W600" s="233"/>
      <c r="X600" s="233"/>
    </row>
    <row r="601" spans="1:24" ht="15.75" customHeight="1" x14ac:dyDescent="0.35">
      <c r="A601" s="258">
        <v>593</v>
      </c>
      <c r="B601" s="273" t="s">
        <v>9113</v>
      </c>
      <c r="C601" s="273" t="s">
        <v>9114</v>
      </c>
      <c r="D601" s="273" t="s">
        <v>6284</v>
      </c>
      <c r="E601" s="273">
        <v>4080</v>
      </c>
      <c r="F601" s="273">
        <v>2023</v>
      </c>
      <c r="G601" s="273" t="s">
        <v>9379</v>
      </c>
      <c r="H601" s="273"/>
      <c r="I601" s="274">
        <v>45603</v>
      </c>
      <c r="J601" s="273" t="s">
        <v>9380</v>
      </c>
      <c r="K601" s="273" t="s">
        <v>9329</v>
      </c>
      <c r="L601" s="273" t="s">
        <v>422</v>
      </c>
      <c r="M601" s="275">
        <v>110160</v>
      </c>
      <c r="N601" s="273" t="s">
        <v>9381</v>
      </c>
      <c r="O601" s="273" t="s">
        <v>106</v>
      </c>
      <c r="P601" s="232">
        <v>5</v>
      </c>
      <c r="Q601" s="233"/>
      <c r="R601" s="233"/>
      <c r="S601" s="233"/>
      <c r="T601" s="233"/>
      <c r="U601" s="233"/>
      <c r="V601" s="233"/>
      <c r="W601" s="233"/>
      <c r="X601" s="233"/>
    </row>
    <row r="602" spans="1:24" ht="15.75" customHeight="1" x14ac:dyDescent="0.35">
      <c r="A602" s="264">
        <v>594</v>
      </c>
      <c r="B602" s="273" t="s">
        <v>9113</v>
      </c>
      <c r="C602" s="273" t="s">
        <v>9114</v>
      </c>
      <c r="D602" s="273" t="s">
        <v>6290</v>
      </c>
      <c r="E602" s="273">
        <v>4640</v>
      </c>
      <c r="F602" s="273">
        <v>2023</v>
      </c>
      <c r="G602" s="273" t="s">
        <v>9382</v>
      </c>
      <c r="H602" s="273"/>
      <c r="I602" s="274">
        <v>45603</v>
      </c>
      <c r="J602" s="273" t="s">
        <v>9383</v>
      </c>
      <c r="K602" s="273" t="s">
        <v>9329</v>
      </c>
      <c r="L602" s="273" t="s">
        <v>422</v>
      </c>
      <c r="M602" s="275">
        <v>125280</v>
      </c>
      <c r="N602" s="273" t="s">
        <v>9384</v>
      </c>
      <c r="O602" s="273" t="s">
        <v>106</v>
      </c>
      <c r="P602" s="232">
        <v>5</v>
      </c>
      <c r="Q602" s="233"/>
      <c r="R602" s="233"/>
      <c r="S602" s="233"/>
      <c r="T602" s="233"/>
      <c r="U602" s="233"/>
      <c r="V602" s="233"/>
      <c r="W602" s="233"/>
      <c r="X602" s="233"/>
    </row>
    <row r="603" spans="1:24" ht="15.75" customHeight="1" x14ac:dyDescent="0.35">
      <c r="A603" s="258">
        <v>595</v>
      </c>
      <c r="B603" s="273" t="s">
        <v>9113</v>
      </c>
      <c r="C603" s="273" t="s">
        <v>9114</v>
      </c>
      <c r="D603" s="273" t="s">
        <v>6296</v>
      </c>
      <c r="E603" s="273">
        <v>3200</v>
      </c>
      <c r="F603" s="273">
        <v>2023</v>
      </c>
      <c r="G603" s="273" t="s">
        <v>9385</v>
      </c>
      <c r="H603" s="273"/>
      <c r="I603" s="274">
        <v>45603</v>
      </c>
      <c r="J603" s="273" t="s">
        <v>9386</v>
      </c>
      <c r="K603" s="273" t="s">
        <v>9329</v>
      </c>
      <c r="L603" s="273" t="s">
        <v>422</v>
      </c>
      <c r="M603" s="275">
        <v>86400</v>
      </c>
      <c r="N603" s="273" t="s">
        <v>9387</v>
      </c>
      <c r="O603" s="273" t="s">
        <v>106</v>
      </c>
      <c r="P603" s="232">
        <v>5</v>
      </c>
      <c r="Q603" s="233"/>
      <c r="R603" s="233"/>
      <c r="S603" s="233"/>
      <c r="T603" s="233"/>
      <c r="U603" s="233"/>
      <c r="V603" s="233"/>
      <c r="W603" s="233"/>
      <c r="X603" s="233"/>
    </row>
    <row r="604" spans="1:24" ht="15.75" customHeight="1" x14ac:dyDescent="0.35">
      <c r="A604" s="264">
        <v>596</v>
      </c>
      <c r="B604" s="273" t="s">
        <v>9113</v>
      </c>
      <c r="C604" s="273" t="s">
        <v>9114</v>
      </c>
      <c r="D604" s="273" t="s">
        <v>6302</v>
      </c>
      <c r="E604" s="273">
        <v>1520</v>
      </c>
      <c r="F604" s="273">
        <v>2023</v>
      </c>
      <c r="G604" s="273" t="s">
        <v>9388</v>
      </c>
      <c r="H604" s="273"/>
      <c r="I604" s="274">
        <v>45603</v>
      </c>
      <c r="J604" s="273" t="s">
        <v>9389</v>
      </c>
      <c r="K604" s="273" t="s">
        <v>9329</v>
      </c>
      <c r="L604" s="273" t="s">
        <v>422</v>
      </c>
      <c r="M604" s="275">
        <v>41040</v>
      </c>
      <c r="N604" s="273" t="s">
        <v>9390</v>
      </c>
      <c r="O604" s="273" t="s">
        <v>106</v>
      </c>
      <c r="P604" s="232">
        <v>5</v>
      </c>
      <c r="Q604" s="233"/>
      <c r="R604" s="233"/>
      <c r="S604" s="233"/>
      <c r="T604" s="233"/>
      <c r="U604" s="233"/>
      <c r="V604" s="233"/>
      <c r="W604" s="233"/>
      <c r="X604" s="233"/>
    </row>
    <row r="605" spans="1:24" ht="15.75" customHeight="1" x14ac:dyDescent="0.35">
      <c r="A605" s="258">
        <v>597</v>
      </c>
      <c r="B605" s="273" t="s">
        <v>9113</v>
      </c>
      <c r="C605" s="273" t="s">
        <v>9114</v>
      </c>
      <c r="D605" s="273" t="s">
        <v>6307</v>
      </c>
      <c r="E605" s="273">
        <v>2000</v>
      </c>
      <c r="F605" s="273">
        <v>2023</v>
      </c>
      <c r="G605" s="273" t="s">
        <v>9391</v>
      </c>
      <c r="H605" s="273"/>
      <c r="I605" s="274"/>
      <c r="J605" s="273" t="s">
        <v>9392</v>
      </c>
      <c r="K605" s="273" t="s">
        <v>9329</v>
      </c>
      <c r="L605" s="273" t="s">
        <v>422</v>
      </c>
      <c r="M605" s="275">
        <v>96000</v>
      </c>
      <c r="N605" s="273" t="s">
        <v>9393</v>
      </c>
      <c r="O605" s="273" t="s">
        <v>106</v>
      </c>
      <c r="P605" s="232">
        <v>5</v>
      </c>
      <c r="Q605" s="233"/>
      <c r="R605" s="233"/>
      <c r="S605" s="233"/>
      <c r="T605" s="233"/>
      <c r="U605" s="233"/>
      <c r="V605" s="233"/>
      <c r="W605" s="233"/>
      <c r="X605" s="233"/>
    </row>
    <row r="606" spans="1:24" ht="15.75" customHeight="1" x14ac:dyDescent="0.35">
      <c r="A606" s="264">
        <v>598</v>
      </c>
      <c r="B606" s="273" t="s">
        <v>9113</v>
      </c>
      <c r="C606" s="273" t="s">
        <v>9114</v>
      </c>
      <c r="D606" s="273" t="s">
        <v>6313</v>
      </c>
      <c r="E606" s="273">
        <v>4800</v>
      </c>
      <c r="F606" s="273">
        <v>2023</v>
      </c>
      <c r="G606" s="273" t="s">
        <v>9394</v>
      </c>
      <c r="H606" s="273"/>
      <c r="I606" s="274">
        <v>45603</v>
      </c>
      <c r="J606" s="273" t="s">
        <v>9395</v>
      </c>
      <c r="K606" s="273" t="s">
        <v>9329</v>
      </c>
      <c r="L606" s="273" t="s">
        <v>422</v>
      </c>
      <c r="M606" s="275">
        <v>307200</v>
      </c>
      <c r="N606" s="273" t="s">
        <v>9396</v>
      </c>
      <c r="O606" s="273" t="s">
        <v>106</v>
      </c>
      <c r="P606" s="232">
        <v>5</v>
      </c>
      <c r="Q606" s="233"/>
      <c r="R606" s="233"/>
      <c r="S606" s="233"/>
      <c r="T606" s="233"/>
      <c r="U606" s="233"/>
      <c r="V606" s="233"/>
      <c r="W606" s="233"/>
      <c r="X606" s="233"/>
    </row>
    <row r="607" spans="1:24" ht="15.75" customHeight="1" x14ac:dyDescent="0.35">
      <c r="A607" s="258">
        <v>599</v>
      </c>
      <c r="B607" s="273" t="s">
        <v>9113</v>
      </c>
      <c r="C607" s="273" t="s">
        <v>9114</v>
      </c>
      <c r="D607" s="273" t="s">
        <v>6319</v>
      </c>
      <c r="E607" s="273">
        <v>10160</v>
      </c>
      <c r="F607" s="273">
        <v>2023</v>
      </c>
      <c r="G607" s="273" t="s">
        <v>9397</v>
      </c>
      <c r="H607" s="273"/>
      <c r="I607" s="274">
        <v>45603</v>
      </c>
      <c r="J607" s="273" t="s">
        <v>9398</v>
      </c>
      <c r="K607" s="273" t="s">
        <v>9329</v>
      </c>
      <c r="L607" s="273" t="s">
        <v>422</v>
      </c>
      <c r="M607" s="275">
        <v>487680</v>
      </c>
      <c r="N607" s="273" t="s">
        <v>9399</v>
      </c>
      <c r="O607" s="273" t="s">
        <v>106</v>
      </c>
      <c r="P607" s="232">
        <v>5</v>
      </c>
      <c r="Q607" s="233"/>
      <c r="R607" s="233"/>
      <c r="S607" s="233"/>
      <c r="T607" s="233"/>
      <c r="U607" s="233"/>
      <c r="V607" s="233"/>
      <c r="W607" s="233"/>
      <c r="X607" s="233"/>
    </row>
    <row r="608" spans="1:24" ht="15.75" customHeight="1" x14ac:dyDescent="0.35">
      <c r="A608" s="264">
        <v>600</v>
      </c>
      <c r="B608" s="273" t="s">
        <v>9113</v>
      </c>
      <c r="C608" s="273" t="s">
        <v>9114</v>
      </c>
      <c r="D608" s="273" t="s">
        <v>6325</v>
      </c>
      <c r="E608" s="273">
        <v>10240</v>
      </c>
      <c r="F608" s="273">
        <v>2023</v>
      </c>
      <c r="G608" s="273" t="s">
        <v>9400</v>
      </c>
      <c r="H608" s="273"/>
      <c r="I608" s="274">
        <v>45603</v>
      </c>
      <c r="J608" s="273" t="s">
        <v>9401</v>
      </c>
      <c r="K608" s="273" t="s">
        <v>9329</v>
      </c>
      <c r="L608" s="273" t="s">
        <v>422</v>
      </c>
      <c r="M608" s="275">
        <v>491520</v>
      </c>
      <c r="N608" s="273" t="s">
        <v>9402</v>
      </c>
      <c r="O608" s="273" t="s">
        <v>106</v>
      </c>
      <c r="P608" s="232">
        <v>5</v>
      </c>
      <c r="Q608" s="233"/>
      <c r="R608" s="233"/>
      <c r="S608" s="233"/>
      <c r="T608" s="233"/>
      <c r="U608" s="233"/>
      <c r="V608" s="233"/>
      <c r="W608" s="233"/>
      <c r="X608" s="233"/>
    </row>
    <row r="609" spans="1:24" ht="15.75" customHeight="1" x14ac:dyDescent="0.35">
      <c r="A609" s="258">
        <v>601</v>
      </c>
      <c r="B609" s="273" t="s">
        <v>9113</v>
      </c>
      <c r="C609" s="273" t="s">
        <v>9114</v>
      </c>
      <c r="D609" s="273" t="s">
        <v>6332</v>
      </c>
      <c r="E609" s="273">
        <v>31520</v>
      </c>
      <c r="F609" s="273">
        <v>2023</v>
      </c>
      <c r="G609" s="273" t="s">
        <v>9403</v>
      </c>
      <c r="H609" s="273"/>
      <c r="I609" s="274">
        <v>45603</v>
      </c>
      <c r="J609" s="273" t="s">
        <v>9404</v>
      </c>
      <c r="K609" s="273" t="s">
        <v>9329</v>
      </c>
      <c r="L609" s="273" t="s">
        <v>422</v>
      </c>
      <c r="M609" s="275">
        <v>1134720</v>
      </c>
      <c r="N609" s="273" t="s">
        <v>9405</v>
      </c>
      <c r="O609" s="273" t="s">
        <v>106</v>
      </c>
      <c r="P609" s="232">
        <v>5</v>
      </c>
      <c r="Q609" s="233"/>
      <c r="R609" s="233"/>
      <c r="S609" s="233"/>
      <c r="T609" s="233"/>
      <c r="U609" s="233"/>
      <c r="V609" s="233"/>
      <c r="W609" s="233"/>
      <c r="X609" s="233"/>
    </row>
    <row r="610" spans="1:24" ht="15.75" customHeight="1" x14ac:dyDescent="0.35">
      <c r="A610" s="264">
        <v>602</v>
      </c>
      <c r="B610" s="273" t="s">
        <v>9113</v>
      </c>
      <c r="C610" s="273" t="s">
        <v>9114</v>
      </c>
      <c r="D610" s="273" t="s">
        <v>6337</v>
      </c>
      <c r="E610" s="273">
        <v>22960</v>
      </c>
      <c r="F610" s="273">
        <v>2023</v>
      </c>
      <c r="G610" s="273" t="s">
        <v>9406</v>
      </c>
      <c r="H610" s="273"/>
      <c r="I610" s="274">
        <v>45287</v>
      </c>
      <c r="J610" s="273" t="s">
        <v>9328</v>
      </c>
      <c r="K610" s="273" t="s">
        <v>9329</v>
      </c>
      <c r="L610" s="273" t="s">
        <v>422</v>
      </c>
      <c r="M610" s="275">
        <v>56252</v>
      </c>
      <c r="N610" s="273" t="s">
        <v>9407</v>
      </c>
      <c r="O610" s="273" t="s">
        <v>106</v>
      </c>
      <c r="P610" s="232">
        <v>5</v>
      </c>
      <c r="Q610" s="233"/>
      <c r="R610" s="233"/>
      <c r="S610" s="233"/>
      <c r="T610" s="233"/>
      <c r="U610" s="233"/>
      <c r="V610" s="233"/>
      <c r="W610" s="233"/>
      <c r="X610" s="233"/>
    </row>
    <row r="611" spans="1:24" ht="15.75" customHeight="1" x14ac:dyDescent="0.35">
      <c r="A611" s="258">
        <v>603</v>
      </c>
      <c r="B611" s="273" t="s">
        <v>9113</v>
      </c>
      <c r="C611" s="273" t="s">
        <v>9114</v>
      </c>
      <c r="D611" s="273" t="s">
        <v>7494</v>
      </c>
      <c r="E611" s="273">
        <v>10160</v>
      </c>
      <c r="F611" s="273">
        <v>2023</v>
      </c>
      <c r="G611" s="273" t="s">
        <v>9408</v>
      </c>
      <c r="H611" s="273"/>
      <c r="I611" s="274">
        <v>45287</v>
      </c>
      <c r="J611" s="273" t="s">
        <v>9328</v>
      </c>
      <c r="K611" s="273" t="s">
        <v>9329</v>
      </c>
      <c r="L611" s="273" t="s">
        <v>422</v>
      </c>
      <c r="M611" s="275">
        <v>142240</v>
      </c>
      <c r="N611" s="273" t="s">
        <v>9409</v>
      </c>
      <c r="O611" s="273" t="s">
        <v>106</v>
      </c>
      <c r="P611" s="232">
        <v>5</v>
      </c>
      <c r="Q611" s="233"/>
      <c r="R611" s="233"/>
      <c r="S611" s="233"/>
      <c r="T611" s="233"/>
      <c r="U611" s="233"/>
      <c r="V611" s="233"/>
      <c r="W611" s="233"/>
      <c r="X611" s="233"/>
    </row>
    <row r="612" spans="1:24" ht="15.75" customHeight="1" x14ac:dyDescent="0.35">
      <c r="A612" s="264">
        <v>604</v>
      </c>
      <c r="B612" s="273" t="s">
        <v>9113</v>
      </c>
      <c r="C612" s="273" t="s">
        <v>9114</v>
      </c>
      <c r="D612" s="273" t="s">
        <v>7498</v>
      </c>
      <c r="E612" s="273">
        <v>7760</v>
      </c>
      <c r="F612" s="273">
        <v>2023</v>
      </c>
      <c r="G612" s="273" t="s">
        <v>9410</v>
      </c>
      <c r="H612" s="273"/>
      <c r="I612" s="274">
        <v>45287</v>
      </c>
      <c r="J612" s="273" t="s">
        <v>9328</v>
      </c>
      <c r="K612" s="273" t="s">
        <v>9329</v>
      </c>
      <c r="L612" s="273" t="s">
        <v>422</v>
      </c>
      <c r="M612" s="275">
        <v>209520</v>
      </c>
      <c r="N612" s="273" t="s">
        <v>9411</v>
      </c>
      <c r="O612" s="273" t="s">
        <v>106</v>
      </c>
      <c r="P612" s="232">
        <v>5</v>
      </c>
      <c r="Q612" s="233"/>
      <c r="R612" s="233"/>
      <c r="S612" s="233"/>
      <c r="T612" s="233"/>
      <c r="U612" s="233"/>
      <c r="V612" s="233"/>
      <c r="W612" s="233"/>
      <c r="X612" s="233"/>
    </row>
    <row r="613" spans="1:24" ht="15.75" customHeight="1" x14ac:dyDescent="0.35">
      <c r="A613" s="258">
        <v>605</v>
      </c>
      <c r="B613" s="273" t="s">
        <v>9113</v>
      </c>
      <c r="C613" s="273" t="s">
        <v>9114</v>
      </c>
      <c r="D613" s="273" t="s">
        <v>7502</v>
      </c>
      <c r="E613" s="273">
        <v>7920</v>
      </c>
      <c r="F613" s="273">
        <v>2023</v>
      </c>
      <c r="G613" s="273" t="s">
        <v>9412</v>
      </c>
      <c r="H613" s="273"/>
      <c r="I613" s="274">
        <v>45287</v>
      </c>
      <c r="J613" s="273" t="s">
        <v>9328</v>
      </c>
      <c r="K613" s="273" t="s">
        <v>9329</v>
      </c>
      <c r="L613" s="273" t="s">
        <v>422</v>
      </c>
      <c r="M613" s="275">
        <v>213840</v>
      </c>
      <c r="N613" s="273" t="s">
        <v>9413</v>
      </c>
      <c r="O613" s="273" t="s">
        <v>106</v>
      </c>
      <c r="P613" s="232">
        <v>5</v>
      </c>
      <c r="Q613" s="233"/>
      <c r="R613" s="233"/>
      <c r="S613" s="233"/>
      <c r="T613" s="233"/>
      <c r="U613" s="233"/>
      <c r="V613" s="233"/>
      <c r="W613" s="233"/>
      <c r="X613" s="233"/>
    </row>
    <row r="614" spans="1:24" ht="15.75" customHeight="1" x14ac:dyDescent="0.35">
      <c r="A614" s="264">
        <v>606</v>
      </c>
      <c r="B614" s="273" t="s">
        <v>9113</v>
      </c>
      <c r="C614" s="273" t="s">
        <v>9114</v>
      </c>
      <c r="D614" s="273" t="s">
        <v>7506</v>
      </c>
      <c r="E614" s="273">
        <v>10640</v>
      </c>
      <c r="F614" s="273">
        <v>2023</v>
      </c>
      <c r="G614" s="273" t="s">
        <v>9414</v>
      </c>
      <c r="H614" s="273"/>
      <c r="I614" s="274">
        <v>45287</v>
      </c>
      <c r="J614" s="273" t="s">
        <v>9328</v>
      </c>
      <c r="K614" s="273" t="s">
        <v>9329</v>
      </c>
      <c r="L614" s="273" t="s">
        <v>422</v>
      </c>
      <c r="M614" s="275">
        <v>148960</v>
      </c>
      <c r="N614" s="273" t="s">
        <v>9415</v>
      </c>
      <c r="O614" s="273" t="s">
        <v>106</v>
      </c>
      <c r="P614" s="232">
        <v>5</v>
      </c>
      <c r="Q614" s="233"/>
      <c r="R614" s="233"/>
      <c r="S614" s="233"/>
      <c r="T614" s="233"/>
      <c r="U614" s="233"/>
      <c r="V614" s="233"/>
      <c r="W614" s="233"/>
      <c r="X614" s="233"/>
    </row>
    <row r="615" spans="1:24" ht="15.75" customHeight="1" x14ac:dyDescent="0.35">
      <c r="A615" s="258">
        <v>607</v>
      </c>
      <c r="B615" s="273" t="s">
        <v>9113</v>
      </c>
      <c r="C615" s="273" t="s">
        <v>9114</v>
      </c>
      <c r="D615" s="273" t="s">
        <v>7510</v>
      </c>
      <c r="E615" s="273">
        <v>31840</v>
      </c>
      <c r="F615" s="273">
        <v>2023</v>
      </c>
      <c r="G615" s="273" t="s">
        <v>9416</v>
      </c>
      <c r="H615" s="273"/>
      <c r="I615" s="274">
        <v>45287</v>
      </c>
      <c r="J615" s="273" t="s">
        <v>9328</v>
      </c>
      <c r="K615" s="273" t="s">
        <v>9329</v>
      </c>
      <c r="L615" s="273" t="s">
        <v>422</v>
      </c>
      <c r="M615" s="275">
        <v>38208</v>
      </c>
      <c r="N615" s="273" t="s">
        <v>9417</v>
      </c>
      <c r="O615" s="273" t="s">
        <v>106</v>
      </c>
      <c r="P615" s="232">
        <v>5</v>
      </c>
      <c r="Q615" s="233"/>
      <c r="R615" s="233"/>
      <c r="S615" s="233"/>
      <c r="T615" s="233"/>
      <c r="U615" s="233"/>
      <c r="V615" s="233"/>
      <c r="W615" s="233"/>
      <c r="X615" s="233"/>
    </row>
    <row r="616" spans="1:24" ht="15.75" customHeight="1" x14ac:dyDescent="0.35">
      <c r="A616" s="264">
        <v>608</v>
      </c>
      <c r="B616" s="273" t="s">
        <v>9113</v>
      </c>
      <c r="C616" s="273" t="s">
        <v>9114</v>
      </c>
      <c r="D616" s="273" t="s">
        <v>7514</v>
      </c>
      <c r="E616" s="273">
        <v>21360</v>
      </c>
      <c r="F616" s="273">
        <v>2023</v>
      </c>
      <c r="G616" s="273" t="s">
        <v>9418</v>
      </c>
      <c r="H616" s="273"/>
      <c r="I616" s="274">
        <v>45287</v>
      </c>
      <c r="J616" s="273" t="s">
        <v>9328</v>
      </c>
      <c r="K616" s="273" t="s">
        <v>9329</v>
      </c>
      <c r="L616" s="273" t="s">
        <v>422</v>
      </c>
      <c r="M616" s="275">
        <v>25632</v>
      </c>
      <c r="N616" s="273" t="s">
        <v>9419</v>
      </c>
      <c r="O616" s="273" t="s">
        <v>106</v>
      </c>
      <c r="P616" s="232">
        <v>5</v>
      </c>
      <c r="Q616" s="233"/>
      <c r="R616" s="233"/>
      <c r="S616" s="233"/>
      <c r="T616" s="233"/>
      <c r="U616" s="233"/>
      <c r="V616" s="233"/>
      <c r="W616" s="233"/>
      <c r="X616" s="233"/>
    </row>
    <row r="617" spans="1:24" ht="15.75" customHeight="1" x14ac:dyDescent="0.35">
      <c r="A617" s="258">
        <v>609</v>
      </c>
      <c r="B617" s="273" t="s">
        <v>9113</v>
      </c>
      <c r="C617" s="273" t="s">
        <v>9114</v>
      </c>
      <c r="D617" s="273" t="s">
        <v>7518</v>
      </c>
      <c r="E617" s="273">
        <v>41040</v>
      </c>
      <c r="F617" s="273">
        <v>2023</v>
      </c>
      <c r="G617" s="273" t="s">
        <v>9420</v>
      </c>
      <c r="H617" s="273"/>
      <c r="I617" s="274">
        <v>45287</v>
      </c>
      <c r="J617" s="273" t="s">
        <v>9328</v>
      </c>
      <c r="K617" s="273" t="s">
        <v>9329</v>
      </c>
      <c r="L617" s="273" t="s">
        <v>422</v>
      </c>
      <c r="M617" s="275">
        <v>100548</v>
      </c>
      <c r="N617" s="273" t="s">
        <v>9421</v>
      </c>
      <c r="O617" s="273" t="s">
        <v>106</v>
      </c>
      <c r="P617" s="232">
        <v>5</v>
      </c>
      <c r="Q617" s="233"/>
      <c r="R617" s="233"/>
      <c r="S617" s="233"/>
      <c r="T617" s="233"/>
      <c r="U617" s="233"/>
      <c r="V617" s="233"/>
      <c r="W617" s="233"/>
      <c r="X617" s="233"/>
    </row>
    <row r="618" spans="1:24" ht="15.75" customHeight="1" x14ac:dyDescent="0.35">
      <c r="A618" s="264">
        <v>610</v>
      </c>
      <c r="B618" s="273" t="s">
        <v>9113</v>
      </c>
      <c r="C618" s="273" t="s">
        <v>9114</v>
      </c>
      <c r="D618" s="273" t="s">
        <v>7522</v>
      </c>
      <c r="E618" s="273">
        <v>42720</v>
      </c>
      <c r="F618" s="273">
        <v>2023</v>
      </c>
      <c r="G618" s="273" t="s">
        <v>9422</v>
      </c>
      <c r="H618" s="273"/>
      <c r="I618" s="274">
        <v>45287</v>
      </c>
      <c r="J618" s="273" t="s">
        <v>9328</v>
      </c>
      <c r="K618" s="273" t="s">
        <v>9329</v>
      </c>
      <c r="L618" s="273" t="s">
        <v>422</v>
      </c>
      <c r="M618" s="275">
        <v>854400</v>
      </c>
      <c r="N618" s="273" t="s">
        <v>9423</v>
      </c>
      <c r="O618" s="273" t="s">
        <v>106</v>
      </c>
      <c r="P618" s="232">
        <v>5</v>
      </c>
      <c r="Q618" s="233"/>
      <c r="R618" s="233"/>
      <c r="S618" s="233"/>
      <c r="T618" s="233"/>
      <c r="U618" s="233"/>
      <c r="V618" s="233"/>
      <c r="W618" s="233"/>
      <c r="X618" s="233"/>
    </row>
    <row r="619" spans="1:24" ht="15.75" customHeight="1" x14ac:dyDescent="0.35">
      <c r="A619" s="258">
        <v>611</v>
      </c>
      <c r="B619" s="273" t="s">
        <v>9113</v>
      </c>
      <c r="C619" s="273" t="s">
        <v>9114</v>
      </c>
      <c r="D619" s="273" t="s">
        <v>7526</v>
      </c>
      <c r="E619" s="273">
        <v>5920</v>
      </c>
      <c r="F619" s="273">
        <v>2023</v>
      </c>
      <c r="G619" s="273" t="s">
        <v>9424</v>
      </c>
      <c r="H619" s="273"/>
      <c r="I619" s="274">
        <v>45287</v>
      </c>
      <c r="J619" s="273" t="s">
        <v>9328</v>
      </c>
      <c r="K619" s="273" t="s">
        <v>9329</v>
      </c>
      <c r="L619" s="273" t="s">
        <v>422</v>
      </c>
      <c r="M619" s="275">
        <v>118400</v>
      </c>
      <c r="N619" s="273" t="s">
        <v>9425</v>
      </c>
      <c r="O619" s="273" t="s">
        <v>106</v>
      </c>
      <c r="P619" s="232">
        <v>5</v>
      </c>
      <c r="Q619" s="233"/>
      <c r="R619" s="233"/>
      <c r="S619" s="233"/>
      <c r="T619" s="233"/>
      <c r="U619" s="233"/>
      <c r="V619" s="233"/>
      <c r="W619" s="233"/>
      <c r="X619" s="233"/>
    </row>
    <row r="620" spans="1:24" ht="15.75" customHeight="1" x14ac:dyDescent="0.35">
      <c r="A620" s="264">
        <v>612</v>
      </c>
      <c r="B620" s="273" t="s">
        <v>9113</v>
      </c>
      <c r="C620" s="273" t="s">
        <v>9114</v>
      </c>
      <c r="D620" s="273" t="s">
        <v>7530</v>
      </c>
      <c r="E620" s="273">
        <v>956</v>
      </c>
      <c r="F620" s="273">
        <v>2025</v>
      </c>
      <c r="G620" s="273" t="s">
        <v>9426</v>
      </c>
      <c r="H620" s="273" t="s">
        <v>7938</v>
      </c>
      <c r="I620" s="274">
        <v>45827</v>
      </c>
      <c r="J620" s="273" t="s">
        <v>9100</v>
      </c>
      <c r="K620" s="273" t="s">
        <v>9427</v>
      </c>
      <c r="L620" s="273" t="s">
        <v>422</v>
      </c>
      <c r="M620" s="275">
        <v>191200</v>
      </c>
      <c r="N620" s="273" t="s">
        <v>9426</v>
      </c>
      <c r="O620" s="273" t="s">
        <v>106</v>
      </c>
      <c r="P620" s="232">
        <v>5</v>
      </c>
      <c r="Q620" s="233"/>
      <c r="R620" s="233"/>
      <c r="S620" s="233"/>
      <c r="T620" s="233"/>
      <c r="U620" s="233"/>
      <c r="V620" s="233"/>
      <c r="W620" s="233"/>
      <c r="X620" s="233"/>
    </row>
    <row r="621" spans="1:24" ht="15.75" customHeight="1" x14ac:dyDescent="0.35">
      <c r="A621" s="258">
        <v>613</v>
      </c>
      <c r="B621" s="273" t="s">
        <v>9113</v>
      </c>
      <c r="C621" s="273" t="s">
        <v>9114</v>
      </c>
      <c r="D621" s="273" t="s">
        <v>7534</v>
      </c>
      <c r="E621" s="273">
        <v>1175</v>
      </c>
      <c r="F621" s="273">
        <v>2025</v>
      </c>
      <c r="G621" s="273" t="s">
        <v>9428</v>
      </c>
      <c r="H621" s="273" t="s">
        <v>7938</v>
      </c>
      <c r="I621" s="274">
        <v>45827</v>
      </c>
      <c r="J621" s="273" t="s">
        <v>9100</v>
      </c>
      <c r="K621" s="273" t="s">
        <v>9429</v>
      </c>
      <c r="L621" s="273" t="s">
        <v>422</v>
      </c>
      <c r="M621" s="275">
        <v>188000</v>
      </c>
      <c r="N621" s="273" t="s">
        <v>9428</v>
      </c>
      <c r="O621" s="273" t="s">
        <v>106</v>
      </c>
      <c r="P621" s="232">
        <v>5</v>
      </c>
      <c r="Q621" s="233"/>
      <c r="R621" s="233"/>
      <c r="S621" s="233"/>
      <c r="T621" s="233"/>
      <c r="U621" s="233"/>
      <c r="V621" s="233"/>
      <c r="W621" s="233"/>
      <c r="X621" s="233"/>
    </row>
    <row r="622" spans="1:24" ht="15.75" customHeight="1" x14ac:dyDescent="0.35">
      <c r="A622" s="264">
        <v>614</v>
      </c>
      <c r="B622" s="273" t="s">
        <v>9113</v>
      </c>
      <c r="C622" s="273" t="s">
        <v>9114</v>
      </c>
      <c r="D622" s="273" t="s">
        <v>7538</v>
      </c>
      <c r="E622" s="273">
        <v>1940</v>
      </c>
      <c r="F622" s="273">
        <v>2025</v>
      </c>
      <c r="G622" s="273" t="s">
        <v>9430</v>
      </c>
      <c r="H622" s="273" t="s">
        <v>7938</v>
      </c>
      <c r="I622" s="274">
        <v>45827</v>
      </c>
      <c r="J622" s="273" t="s">
        <v>9100</v>
      </c>
      <c r="K622" s="273" t="s">
        <v>9431</v>
      </c>
      <c r="L622" s="273" t="s">
        <v>422</v>
      </c>
      <c r="M622" s="275">
        <v>199820</v>
      </c>
      <c r="N622" s="273" t="s">
        <v>9430</v>
      </c>
      <c r="O622" s="273" t="s">
        <v>106</v>
      </c>
      <c r="P622" s="232">
        <v>5</v>
      </c>
      <c r="Q622" s="233"/>
      <c r="R622" s="233"/>
      <c r="S622" s="233"/>
      <c r="T622" s="233"/>
      <c r="U622" s="233"/>
      <c r="V622" s="233"/>
      <c r="W622" s="233"/>
      <c r="X622" s="233"/>
    </row>
    <row r="623" spans="1:24" ht="15.75" customHeight="1" x14ac:dyDescent="0.35">
      <c r="A623" s="258">
        <v>615</v>
      </c>
      <c r="B623" s="273" t="s">
        <v>8503</v>
      </c>
      <c r="C623" s="273" t="s">
        <v>8504</v>
      </c>
      <c r="D623" s="273" t="s">
        <v>51</v>
      </c>
      <c r="E623" s="273">
        <v>614.4</v>
      </c>
      <c r="F623" s="273">
        <v>2023</v>
      </c>
      <c r="G623" s="273" t="s">
        <v>9432</v>
      </c>
      <c r="H623" s="273" t="s">
        <v>7938</v>
      </c>
      <c r="I623" s="274">
        <v>45287</v>
      </c>
      <c r="J623" s="273" t="s">
        <v>9328</v>
      </c>
      <c r="K623" s="273" t="s">
        <v>9433</v>
      </c>
      <c r="L623" s="273" t="s">
        <v>422</v>
      </c>
      <c r="M623" s="275">
        <v>63242</v>
      </c>
      <c r="N623" s="273" t="s">
        <v>9434</v>
      </c>
      <c r="O623" s="273" t="s">
        <v>106</v>
      </c>
      <c r="P623" s="232">
        <v>5</v>
      </c>
      <c r="Q623" s="233"/>
      <c r="R623" s="233"/>
      <c r="S623" s="233"/>
      <c r="T623" s="233"/>
      <c r="U623" s="233"/>
      <c r="V623" s="233"/>
      <c r="W623" s="233"/>
      <c r="X623" s="233"/>
    </row>
    <row r="624" spans="1:24" ht="15.75" customHeight="1" x14ac:dyDescent="0.35">
      <c r="A624" s="264">
        <v>616</v>
      </c>
      <c r="B624" s="273" t="s">
        <v>8503</v>
      </c>
      <c r="C624" s="273" t="s">
        <v>8504</v>
      </c>
      <c r="D624" s="273" t="s">
        <v>59</v>
      </c>
      <c r="E624" s="273">
        <v>74</v>
      </c>
      <c r="F624" s="273">
        <v>2023</v>
      </c>
      <c r="G624" s="273" t="s">
        <v>9435</v>
      </c>
      <c r="H624" s="273"/>
      <c r="I624" s="274">
        <v>45287</v>
      </c>
      <c r="J624" s="273" t="s">
        <v>9328</v>
      </c>
      <c r="K624" s="273" t="s">
        <v>9433</v>
      </c>
      <c r="L624" s="273" t="s">
        <v>422</v>
      </c>
      <c r="M624" s="275">
        <v>7622</v>
      </c>
      <c r="N624" s="273" t="s">
        <v>9434</v>
      </c>
      <c r="O624" s="273" t="s">
        <v>106</v>
      </c>
      <c r="P624" s="232">
        <v>5</v>
      </c>
      <c r="Q624" s="233"/>
      <c r="R624" s="233"/>
      <c r="S624" s="233"/>
      <c r="T624" s="233"/>
      <c r="U624" s="233"/>
      <c r="V624" s="233"/>
      <c r="W624" s="233"/>
      <c r="X624" s="233"/>
    </row>
    <row r="625" spans="1:24" ht="15.75" customHeight="1" x14ac:dyDescent="0.35">
      <c r="A625" s="258">
        <v>617</v>
      </c>
      <c r="B625" s="273" t="s">
        <v>8503</v>
      </c>
      <c r="C625" s="273" t="s">
        <v>8504</v>
      </c>
      <c r="D625" s="273" t="s">
        <v>97</v>
      </c>
      <c r="E625" s="273">
        <v>935</v>
      </c>
      <c r="F625" s="273">
        <v>2023</v>
      </c>
      <c r="G625" s="273" t="s">
        <v>9436</v>
      </c>
      <c r="H625" s="273"/>
      <c r="I625" s="274">
        <v>45287</v>
      </c>
      <c r="J625" s="273" t="s">
        <v>9328</v>
      </c>
      <c r="K625" s="273" t="s">
        <v>9433</v>
      </c>
      <c r="L625" s="273" t="s">
        <v>422</v>
      </c>
      <c r="M625" s="275">
        <v>96305</v>
      </c>
      <c r="N625" s="273" t="s">
        <v>9434</v>
      </c>
      <c r="O625" s="273" t="s">
        <v>106</v>
      </c>
      <c r="P625" s="232">
        <v>5</v>
      </c>
      <c r="Q625" s="233"/>
      <c r="R625" s="233"/>
      <c r="S625" s="233"/>
      <c r="T625" s="233"/>
      <c r="U625" s="233"/>
      <c r="V625" s="233"/>
      <c r="W625" s="233"/>
      <c r="X625" s="233"/>
    </row>
    <row r="626" spans="1:24" ht="15.75" customHeight="1" x14ac:dyDescent="0.35">
      <c r="A626" s="264">
        <v>618</v>
      </c>
      <c r="B626" s="273" t="s">
        <v>8503</v>
      </c>
      <c r="C626" s="273" t="s">
        <v>8504</v>
      </c>
      <c r="D626" s="273" t="s">
        <v>101</v>
      </c>
      <c r="E626" s="273">
        <v>237.5</v>
      </c>
      <c r="F626" s="273">
        <v>2023</v>
      </c>
      <c r="G626" s="273" t="s">
        <v>9437</v>
      </c>
      <c r="H626" s="273"/>
      <c r="I626" s="274">
        <v>45287</v>
      </c>
      <c r="J626" s="273" t="s">
        <v>9328</v>
      </c>
      <c r="K626" s="273" t="s">
        <v>9433</v>
      </c>
      <c r="L626" s="273" t="s">
        <v>422</v>
      </c>
      <c r="M626" s="275">
        <v>19434</v>
      </c>
      <c r="N626" s="273" t="s">
        <v>9434</v>
      </c>
      <c r="O626" s="273" t="s">
        <v>106</v>
      </c>
      <c r="P626" s="232">
        <v>5</v>
      </c>
      <c r="Q626" s="233"/>
      <c r="R626" s="233"/>
      <c r="S626" s="233"/>
      <c r="T626" s="233"/>
      <c r="U626" s="233"/>
      <c r="V626" s="233"/>
      <c r="W626" s="233"/>
      <c r="X626" s="233"/>
    </row>
    <row r="627" spans="1:24" ht="15.75" customHeight="1" x14ac:dyDescent="0.35">
      <c r="A627" s="258">
        <v>619</v>
      </c>
      <c r="B627" s="273" t="s">
        <v>8503</v>
      </c>
      <c r="C627" s="273" t="s">
        <v>8504</v>
      </c>
      <c r="D627" s="273" t="s">
        <v>107</v>
      </c>
      <c r="E627" s="273">
        <v>189.5</v>
      </c>
      <c r="F627" s="273">
        <v>2023</v>
      </c>
      <c r="G627" s="273" t="s">
        <v>9438</v>
      </c>
      <c r="H627" s="273"/>
      <c r="I627" s="274">
        <v>45287</v>
      </c>
      <c r="J627" s="273" t="s">
        <v>9328</v>
      </c>
      <c r="K627" s="273" t="s">
        <v>9433</v>
      </c>
      <c r="L627" s="273" t="s">
        <v>422</v>
      </c>
      <c r="M627" s="275">
        <v>15580</v>
      </c>
      <c r="N627" s="273" t="s">
        <v>9434</v>
      </c>
      <c r="O627" s="273" t="s">
        <v>106</v>
      </c>
      <c r="P627" s="232">
        <v>5</v>
      </c>
      <c r="Q627" s="233"/>
      <c r="R627" s="233"/>
      <c r="S627" s="233"/>
      <c r="T627" s="233"/>
      <c r="U627" s="233"/>
      <c r="V627" s="233"/>
      <c r="W627" s="233"/>
      <c r="X627" s="233"/>
    </row>
    <row r="628" spans="1:24" ht="15.75" customHeight="1" x14ac:dyDescent="0.35">
      <c r="A628" s="264">
        <v>620</v>
      </c>
      <c r="B628" s="273" t="s">
        <v>8503</v>
      </c>
      <c r="C628" s="273" t="s">
        <v>8504</v>
      </c>
      <c r="D628" s="273" t="s">
        <v>112</v>
      </c>
      <c r="E628" s="273">
        <v>568.5</v>
      </c>
      <c r="F628" s="273">
        <v>2023</v>
      </c>
      <c r="G628" s="273" t="s">
        <v>9439</v>
      </c>
      <c r="H628" s="273"/>
      <c r="I628" s="274">
        <v>45287</v>
      </c>
      <c r="J628" s="273" t="s">
        <v>9328</v>
      </c>
      <c r="K628" s="273" t="s">
        <v>9433</v>
      </c>
      <c r="L628" s="273" t="s">
        <v>422</v>
      </c>
      <c r="M628" s="275">
        <v>46658</v>
      </c>
      <c r="N628" s="273" t="s">
        <v>9434</v>
      </c>
      <c r="O628" s="273" t="s">
        <v>106</v>
      </c>
      <c r="P628" s="232">
        <v>5</v>
      </c>
      <c r="Q628" s="233"/>
      <c r="R628" s="233"/>
      <c r="S628" s="233"/>
      <c r="T628" s="233"/>
      <c r="U628" s="233"/>
      <c r="V628" s="233"/>
      <c r="W628" s="233"/>
      <c r="X628" s="233"/>
    </row>
    <row r="629" spans="1:24" ht="15.75" customHeight="1" x14ac:dyDescent="0.35">
      <c r="A629" s="258">
        <v>621</v>
      </c>
      <c r="B629" s="273" t="s">
        <v>8503</v>
      </c>
      <c r="C629" s="273" t="s">
        <v>8504</v>
      </c>
      <c r="D629" s="273" t="s">
        <v>116</v>
      </c>
      <c r="E629" s="273">
        <v>296.05</v>
      </c>
      <c r="F629" s="273">
        <v>2023</v>
      </c>
      <c r="G629" s="273" t="s">
        <v>9438</v>
      </c>
      <c r="H629" s="273"/>
      <c r="I629" s="274">
        <v>45287</v>
      </c>
      <c r="J629" s="273" t="s">
        <v>9328</v>
      </c>
      <c r="K629" s="273" t="s">
        <v>9433</v>
      </c>
      <c r="L629" s="273" t="s">
        <v>422</v>
      </c>
      <c r="M629" s="275">
        <v>24354</v>
      </c>
      <c r="N629" s="273" t="s">
        <v>9434</v>
      </c>
      <c r="O629" s="273" t="s">
        <v>106</v>
      </c>
      <c r="P629" s="232">
        <v>5</v>
      </c>
      <c r="Q629" s="233"/>
      <c r="R629" s="233"/>
      <c r="S629" s="233"/>
      <c r="T629" s="233"/>
      <c r="U629" s="233"/>
      <c r="V629" s="233"/>
      <c r="W629" s="233"/>
      <c r="X629" s="233"/>
    </row>
    <row r="630" spans="1:24" ht="15.75" customHeight="1" x14ac:dyDescent="0.35">
      <c r="A630" s="264">
        <v>622</v>
      </c>
      <c r="B630" s="273" t="s">
        <v>8503</v>
      </c>
      <c r="C630" s="273" t="s">
        <v>8504</v>
      </c>
      <c r="D630" s="273" t="s">
        <v>841</v>
      </c>
      <c r="E630" s="273">
        <v>652.79999999999995</v>
      </c>
      <c r="F630" s="273">
        <v>2023</v>
      </c>
      <c r="G630" s="273" t="s">
        <v>9440</v>
      </c>
      <c r="H630" s="273"/>
      <c r="I630" s="274">
        <v>45287</v>
      </c>
      <c r="J630" s="273" t="s">
        <v>9328</v>
      </c>
      <c r="K630" s="273" t="s">
        <v>9433</v>
      </c>
      <c r="L630" s="273" t="s">
        <v>422</v>
      </c>
      <c r="M630" s="275">
        <v>53546</v>
      </c>
      <c r="N630" s="273" t="s">
        <v>9434</v>
      </c>
      <c r="O630" s="273" t="s">
        <v>106</v>
      </c>
      <c r="P630" s="232">
        <v>5</v>
      </c>
      <c r="Q630" s="233"/>
      <c r="R630" s="233"/>
      <c r="S630" s="233"/>
      <c r="T630" s="233"/>
      <c r="U630" s="233"/>
      <c r="V630" s="233"/>
      <c r="W630" s="233"/>
      <c r="X630" s="233"/>
    </row>
    <row r="631" spans="1:24" ht="15.75" customHeight="1" x14ac:dyDescent="0.35">
      <c r="A631" s="258">
        <v>623</v>
      </c>
      <c r="B631" s="273" t="s">
        <v>8503</v>
      </c>
      <c r="C631" s="273" t="s">
        <v>8504</v>
      </c>
      <c r="D631" s="273" t="s">
        <v>904</v>
      </c>
      <c r="E631" s="273">
        <v>60.9</v>
      </c>
      <c r="F631" s="273">
        <v>2023</v>
      </c>
      <c r="G631" s="273" t="s">
        <v>9441</v>
      </c>
      <c r="H631" s="273"/>
      <c r="I631" s="274">
        <v>45287</v>
      </c>
      <c r="J631" s="273" t="s">
        <v>9328</v>
      </c>
      <c r="K631" s="273" t="s">
        <v>9433</v>
      </c>
      <c r="L631" s="273" t="s">
        <v>422</v>
      </c>
      <c r="M631" s="275">
        <v>6283</v>
      </c>
      <c r="N631" s="273" t="s">
        <v>9434</v>
      </c>
      <c r="O631" s="273" t="s">
        <v>106</v>
      </c>
      <c r="P631" s="232">
        <v>5</v>
      </c>
      <c r="Q631" s="233"/>
      <c r="R631" s="233"/>
      <c r="S631" s="233"/>
      <c r="T631" s="233"/>
      <c r="U631" s="233"/>
      <c r="V631" s="233"/>
      <c r="W631" s="233"/>
      <c r="X631" s="233"/>
    </row>
    <row r="632" spans="1:24" ht="15.75" customHeight="1" x14ac:dyDescent="0.35">
      <c r="A632" s="264">
        <v>624</v>
      </c>
      <c r="B632" s="273" t="s">
        <v>8503</v>
      </c>
      <c r="C632" s="273" t="s">
        <v>8504</v>
      </c>
      <c r="D632" s="273" t="s">
        <v>122</v>
      </c>
      <c r="E632" s="273">
        <v>86</v>
      </c>
      <c r="F632" s="273">
        <v>2023</v>
      </c>
      <c r="G632" s="273" t="s">
        <v>9442</v>
      </c>
      <c r="H632" s="273"/>
      <c r="I632" s="274">
        <v>45287</v>
      </c>
      <c r="J632" s="273" t="s">
        <v>9328</v>
      </c>
      <c r="K632" s="273" t="s">
        <v>9433</v>
      </c>
      <c r="L632" s="273" t="s">
        <v>422</v>
      </c>
      <c r="M632" s="275">
        <v>8858</v>
      </c>
      <c r="N632" s="273" t="s">
        <v>9434</v>
      </c>
      <c r="O632" s="273" t="s">
        <v>106</v>
      </c>
      <c r="P632" s="232">
        <v>5</v>
      </c>
      <c r="Q632" s="233"/>
      <c r="R632" s="233"/>
      <c r="S632" s="233"/>
      <c r="T632" s="233"/>
      <c r="U632" s="233"/>
      <c r="V632" s="233"/>
      <c r="W632" s="233"/>
      <c r="X632" s="233"/>
    </row>
    <row r="633" spans="1:24" ht="15.75" customHeight="1" x14ac:dyDescent="0.35">
      <c r="A633" s="258">
        <v>625</v>
      </c>
      <c r="B633" s="273" t="s">
        <v>8503</v>
      </c>
      <c r="C633" s="273" t="s">
        <v>8504</v>
      </c>
      <c r="D633" s="273" t="s">
        <v>126</v>
      </c>
      <c r="E633" s="273">
        <v>694.72</v>
      </c>
      <c r="F633" s="273">
        <v>2023</v>
      </c>
      <c r="G633" s="273" t="s">
        <v>9443</v>
      </c>
      <c r="H633" s="273"/>
      <c r="I633" s="274">
        <v>45287</v>
      </c>
      <c r="J633" s="273" t="s">
        <v>9328</v>
      </c>
      <c r="K633" s="273" t="s">
        <v>9433</v>
      </c>
      <c r="L633" s="273" t="s">
        <v>422</v>
      </c>
      <c r="M633" s="275">
        <v>56990</v>
      </c>
      <c r="N633" s="273" t="s">
        <v>9434</v>
      </c>
      <c r="O633" s="273" t="s">
        <v>106</v>
      </c>
      <c r="P633" s="232">
        <v>5</v>
      </c>
      <c r="Q633" s="233"/>
      <c r="R633" s="233"/>
      <c r="S633" s="233"/>
      <c r="T633" s="233"/>
      <c r="U633" s="233"/>
      <c r="V633" s="233"/>
      <c r="W633" s="233"/>
      <c r="X633" s="233"/>
    </row>
    <row r="634" spans="1:24" ht="15.75" customHeight="1" x14ac:dyDescent="0.35">
      <c r="A634" s="264">
        <v>626</v>
      </c>
      <c r="B634" s="273" t="s">
        <v>8503</v>
      </c>
      <c r="C634" s="273" t="s">
        <v>8504</v>
      </c>
      <c r="D634" s="273" t="s">
        <v>132</v>
      </c>
      <c r="E634" s="273">
        <v>324</v>
      </c>
      <c r="F634" s="273">
        <v>2023</v>
      </c>
      <c r="G634" s="273" t="s">
        <v>9444</v>
      </c>
      <c r="H634" s="273"/>
      <c r="I634" s="274">
        <v>45287</v>
      </c>
      <c r="J634" s="273" t="s">
        <v>9328</v>
      </c>
      <c r="K634" s="273" t="s">
        <v>9433</v>
      </c>
      <c r="L634" s="273" t="s">
        <v>422</v>
      </c>
      <c r="M634" s="275">
        <v>11664</v>
      </c>
      <c r="N634" s="273" t="s">
        <v>9434</v>
      </c>
      <c r="O634" s="273" t="s">
        <v>106</v>
      </c>
      <c r="P634" s="232">
        <v>5</v>
      </c>
      <c r="Q634" s="233"/>
      <c r="R634" s="233"/>
      <c r="S634" s="233"/>
      <c r="T634" s="233"/>
      <c r="U634" s="233"/>
      <c r="V634" s="233"/>
      <c r="W634" s="233"/>
      <c r="X634" s="233"/>
    </row>
    <row r="635" spans="1:24" ht="15.75" customHeight="1" x14ac:dyDescent="0.35">
      <c r="A635" s="258">
        <v>627</v>
      </c>
      <c r="B635" s="273" t="s">
        <v>8503</v>
      </c>
      <c r="C635" s="273" t="s">
        <v>8504</v>
      </c>
      <c r="D635" s="273" t="s">
        <v>137</v>
      </c>
      <c r="E635" s="273">
        <v>1438</v>
      </c>
      <c r="F635" s="273">
        <v>2023</v>
      </c>
      <c r="G635" s="273" t="s">
        <v>9445</v>
      </c>
      <c r="H635" s="273"/>
      <c r="I635" s="274">
        <v>45287</v>
      </c>
      <c r="J635" s="273" t="s">
        <v>9328</v>
      </c>
      <c r="K635" s="273" t="s">
        <v>9433</v>
      </c>
      <c r="L635" s="273" t="s">
        <v>422</v>
      </c>
      <c r="M635" s="275">
        <v>117916</v>
      </c>
      <c r="N635" s="273" t="s">
        <v>9434</v>
      </c>
      <c r="O635" s="273" t="s">
        <v>106</v>
      </c>
      <c r="P635" s="232">
        <v>5</v>
      </c>
      <c r="Q635" s="233"/>
      <c r="R635" s="233"/>
      <c r="S635" s="233"/>
      <c r="T635" s="233"/>
      <c r="U635" s="233"/>
      <c r="V635" s="233"/>
      <c r="W635" s="233"/>
      <c r="X635" s="233"/>
    </row>
    <row r="636" spans="1:24" ht="15.75" customHeight="1" x14ac:dyDescent="0.35">
      <c r="A636" s="264">
        <v>628</v>
      </c>
      <c r="B636" s="273" t="s">
        <v>8503</v>
      </c>
      <c r="C636" s="273" t="s">
        <v>8504</v>
      </c>
      <c r="D636" s="273" t="s">
        <v>146</v>
      </c>
      <c r="E636" s="273">
        <v>1202.25</v>
      </c>
      <c r="F636" s="273">
        <v>2023</v>
      </c>
      <c r="G636" s="273" t="s">
        <v>9446</v>
      </c>
      <c r="H636" s="273"/>
      <c r="I636" s="274">
        <v>45287</v>
      </c>
      <c r="J636" s="273" t="s">
        <v>9328</v>
      </c>
      <c r="K636" s="273" t="s">
        <v>9433</v>
      </c>
      <c r="L636" s="273" t="s">
        <v>422</v>
      </c>
      <c r="M636" s="275">
        <v>76992</v>
      </c>
      <c r="N636" s="273" t="s">
        <v>9434</v>
      </c>
      <c r="O636" s="273" t="s">
        <v>106</v>
      </c>
      <c r="P636" s="232">
        <v>5</v>
      </c>
      <c r="Q636" s="233"/>
      <c r="R636" s="233"/>
      <c r="S636" s="233"/>
      <c r="T636" s="233"/>
      <c r="U636" s="233"/>
      <c r="V636" s="233"/>
      <c r="W636" s="233"/>
      <c r="X636" s="233"/>
    </row>
    <row r="637" spans="1:24" ht="15.75" customHeight="1" x14ac:dyDescent="0.35">
      <c r="A637" s="258">
        <v>629</v>
      </c>
      <c r="B637" s="273" t="s">
        <v>8503</v>
      </c>
      <c r="C637" s="273" t="s">
        <v>8504</v>
      </c>
      <c r="D637" s="273" t="s">
        <v>154</v>
      </c>
      <c r="E637" s="273">
        <v>1977.6</v>
      </c>
      <c r="F637" s="273">
        <v>2023</v>
      </c>
      <c r="G637" s="273" t="s">
        <v>9447</v>
      </c>
      <c r="H637" s="273"/>
      <c r="I637" s="274">
        <v>45287</v>
      </c>
      <c r="J637" s="273" t="s">
        <v>9328</v>
      </c>
      <c r="K637" s="273" t="s">
        <v>9433</v>
      </c>
      <c r="L637" s="273" t="s">
        <v>422</v>
      </c>
      <c r="M637" s="275">
        <v>94944</v>
      </c>
      <c r="N637" s="273" t="s">
        <v>9434</v>
      </c>
      <c r="O637" s="273" t="s">
        <v>106</v>
      </c>
      <c r="P637" s="232">
        <v>5</v>
      </c>
      <c r="Q637" s="233"/>
      <c r="R637" s="233"/>
      <c r="S637" s="233"/>
      <c r="T637" s="233"/>
      <c r="U637" s="233"/>
      <c r="V637" s="233"/>
      <c r="W637" s="233"/>
      <c r="X637" s="233"/>
    </row>
    <row r="638" spans="1:24" ht="15.75" customHeight="1" x14ac:dyDescent="0.35">
      <c r="A638" s="264">
        <v>630</v>
      </c>
      <c r="B638" s="273" t="s">
        <v>8503</v>
      </c>
      <c r="C638" s="273" t="s">
        <v>8504</v>
      </c>
      <c r="D638" s="273" t="s">
        <v>161</v>
      </c>
      <c r="E638" s="273">
        <v>1235.5</v>
      </c>
      <c r="F638" s="273">
        <v>2023</v>
      </c>
      <c r="G638" s="273" t="s">
        <v>9448</v>
      </c>
      <c r="H638" s="273"/>
      <c r="I638" s="274">
        <v>45287</v>
      </c>
      <c r="J638" s="273" t="s">
        <v>9328</v>
      </c>
      <c r="K638" s="273" t="s">
        <v>9433</v>
      </c>
      <c r="L638" s="273" t="s">
        <v>422</v>
      </c>
      <c r="M638" s="275">
        <v>59328</v>
      </c>
      <c r="N638" s="273" t="s">
        <v>9434</v>
      </c>
      <c r="O638" s="273" t="s">
        <v>106</v>
      </c>
      <c r="P638" s="232">
        <v>5</v>
      </c>
      <c r="Q638" s="233"/>
      <c r="R638" s="233"/>
      <c r="S638" s="233"/>
      <c r="T638" s="233"/>
      <c r="U638" s="233"/>
      <c r="V638" s="233"/>
      <c r="W638" s="233"/>
      <c r="X638" s="233"/>
    </row>
    <row r="639" spans="1:24" ht="15.75" customHeight="1" x14ac:dyDescent="0.35">
      <c r="A639" s="258">
        <v>631</v>
      </c>
      <c r="B639" s="273" t="s">
        <v>8503</v>
      </c>
      <c r="C639" s="273" t="s">
        <v>8504</v>
      </c>
      <c r="D639" s="273" t="s">
        <v>169</v>
      </c>
      <c r="E639" s="273">
        <v>357</v>
      </c>
      <c r="F639" s="273">
        <v>2023</v>
      </c>
      <c r="G639" s="273" t="s">
        <v>9449</v>
      </c>
      <c r="H639" s="273"/>
      <c r="I639" s="274">
        <v>45287</v>
      </c>
      <c r="J639" s="273" t="s">
        <v>9328</v>
      </c>
      <c r="K639" s="273" t="s">
        <v>9433</v>
      </c>
      <c r="L639" s="273" t="s">
        <v>422</v>
      </c>
      <c r="M639" s="275">
        <v>17136</v>
      </c>
      <c r="N639" s="273" t="s">
        <v>9434</v>
      </c>
      <c r="O639" s="273" t="s">
        <v>106</v>
      </c>
      <c r="P639" s="232">
        <v>5</v>
      </c>
      <c r="Q639" s="233"/>
      <c r="R639" s="233"/>
      <c r="S639" s="233"/>
      <c r="T639" s="233"/>
      <c r="U639" s="233"/>
      <c r="V639" s="233"/>
      <c r="W639" s="233"/>
      <c r="X639" s="233"/>
    </row>
    <row r="640" spans="1:24" ht="15.75" customHeight="1" x14ac:dyDescent="0.35">
      <c r="A640" s="264">
        <v>632</v>
      </c>
      <c r="B640" s="273" t="s">
        <v>8503</v>
      </c>
      <c r="C640" s="273" t="s">
        <v>8504</v>
      </c>
      <c r="D640" s="273" t="s">
        <v>176</v>
      </c>
      <c r="E640" s="273">
        <v>207.87</v>
      </c>
      <c r="F640" s="273">
        <v>2023</v>
      </c>
      <c r="G640" s="273" t="s">
        <v>9450</v>
      </c>
      <c r="H640" s="273"/>
      <c r="I640" s="274">
        <v>45287</v>
      </c>
      <c r="J640" s="273" t="s">
        <v>9328</v>
      </c>
      <c r="K640" s="273" t="s">
        <v>9433</v>
      </c>
      <c r="L640" s="273" t="s">
        <v>422</v>
      </c>
      <c r="M640" s="275">
        <v>13312</v>
      </c>
      <c r="N640" s="273" t="s">
        <v>9434</v>
      </c>
      <c r="O640" s="273" t="s">
        <v>106</v>
      </c>
      <c r="P640" s="232">
        <v>5</v>
      </c>
      <c r="Q640" s="233"/>
      <c r="R640" s="233"/>
      <c r="S640" s="233"/>
      <c r="T640" s="233"/>
      <c r="U640" s="233"/>
      <c r="V640" s="233"/>
      <c r="W640" s="233"/>
      <c r="X640" s="233"/>
    </row>
    <row r="641" spans="1:24" ht="15.75" customHeight="1" x14ac:dyDescent="0.35">
      <c r="A641" s="258">
        <v>633</v>
      </c>
      <c r="B641" s="273" t="s">
        <v>8503</v>
      </c>
      <c r="C641" s="273" t="s">
        <v>8504</v>
      </c>
      <c r="D641" s="273" t="s">
        <v>1236</v>
      </c>
      <c r="E641" s="273">
        <v>2811.8</v>
      </c>
      <c r="F641" s="273">
        <v>2023</v>
      </c>
      <c r="G641" s="273" t="s">
        <v>9451</v>
      </c>
      <c r="H641" s="273"/>
      <c r="I641" s="274">
        <v>45287</v>
      </c>
      <c r="J641" s="273" t="s">
        <v>9328</v>
      </c>
      <c r="K641" s="273" t="s">
        <v>9433</v>
      </c>
      <c r="L641" s="273" t="s">
        <v>422</v>
      </c>
      <c r="M641" s="275">
        <v>56240</v>
      </c>
      <c r="N641" s="273" t="s">
        <v>9434</v>
      </c>
      <c r="O641" s="273" t="s">
        <v>106</v>
      </c>
      <c r="P641" s="232">
        <v>5</v>
      </c>
      <c r="Q641" s="233"/>
      <c r="R641" s="233"/>
      <c r="S641" s="233"/>
      <c r="T641" s="233"/>
      <c r="U641" s="233"/>
      <c r="V641" s="233"/>
      <c r="W641" s="233"/>
      <c r="X641" s="233"/>
    </row>
    <row r="642" spans="1:24" ht="15.75" customHeight="1" x14ac:dyDescent="0.35">
      <c r="A642" s="264">
        <v>634</v>
      </c>
      <c r="B642" s="273" t="s">
        <v>8503</v>
      </c>
      <c r="C642" s="273" t="s">
        <v>8504</v>
      </c>
      <c r="D642" s="273" t="s">
        <v>181</v>
      </c>
      <c r="E642" s="273">
        <v>152.4</v>
      </c>
      <c r="F642" s="273">
        <v>2023</v>
      </c>
      <c r="G642" s="273" t="s">
        <v>9452</v>
      </c>
      <c r="H642" s="273"/>
      <c r="I642" s="274">
        <v>45287</v>
      </c>
      <c r="J642" s="273" t="s">
        <v>9328</v>
      </c>
      <c r="K642" s="273" t="s">
        <v>9433</v>
      </c>
      <c r="L642" s="273" t="s">
        <v>422</v>
      </c>
      <c r="M642" s="275">
        <v>15759</v>
      </c>
      <c r="N642" s="273" t="s">
        <v>9434</v>
      </c>
      <c r="O642" s="273" t="s">
        <v>106</v>
      </c>
      <c r="P642" s="232">
        <v>5</v>
      </c>
      <c r="Q642" s="233"/>
      <c r="R642" s="233"/>
      <c r="S642" s="233"/>
      <c r="T642" s="233"/>
      <c r="U642" s="233"/>
      <c r="V642" s="233"/>
      <c r="W642" s="233"/>
      <c r="X642" s="233"/>
    </row>
    <row r="643" spans="1:24" ht="15.75" customHeight="1" x14ac:dyDescent="0.35">
      <c r="A643" s="258">
        <v>635</v>
      </c>
      <c r="B643" s="273" t="s">
        <v>8503</v>
      </c>
      <c r="C643" s="273" t="s">
        <v>8504</v>
      </c>
      <c r="D643" s="273" t="s">
        <v>187</v>
      </c>
      <c r="E643" s="273">
        <v>98.7</v>
      </c>
      <c r="F643" s="273">
        <v>2023</v>
      </c>
      <c r="G643" s="273" t="s">
        <v>9453</v>
      </c>
      <c r="H643" s="273"/>
      <c r="I643" s="274">
        <v>45287</v>
      </c>
      <c r="J643" s="273" t="s">
        <v>9328</v>
      </c>
      <c r="K643" s="273" t="s">
        <v>9433</v>
      </c>
      <c r="L643" s="273" t="s">
        <v>422</v>
      </c>
      <c r="M643" s="275">
        <v>10197</v>
      </c>
      <c r="N643" s="273" t="s">
        <v>9434</v>
      </c>
      <c r="O643" s="273" t="s">
        <v>106</v>
      </c>
      <c r="P643" s="232">
        <v>5</v>
      </c>
      <c r="Q643" s="233"/>
      <c r="R643" s="233"/>
      <c r="S643" s="233"/>
      <c r="T643" s="233"/>
      <c r="U643" s="233"/>
      <c r="V643" s="233"/>
      <c r="W643" s="233"/>
      <c r="X643" s="233"/>
    </row>
    <row r="644" spans="1:24" ht="15.75" customHeight="1" x14ac:dyDescent="0.35">
      <c r="A644" s="264">
        <v>636</v>
      </c>
      <c r="B644" s="273" t="s">
        <v>8503</v>
      </c>
      <c r="C644" s="273" t="s">
        <v>8504</v>
      </c>
      <c r="D644" s="273" t="s">
        <v>190</v>
      </c>
      <c r="E644" s="273">
        <v>1200</v>
      </c>
      <c r="F644" s="273">
        <v>2023</v>
      </c>
      <c r="G644" s="273" t="s">
        <v>9454</v>
      </c>
      <c r="H644" s="273"/>
      <c r="I644" s="274">
        <v>45287</v>
      </c>
      <c r="J644" s="273" t="s">
        <v>9328</v>
      </c>
      <c r="K644" s="273" t="s">
        <v>9433</v>
      </c>
      <c r="L644" s="273" t="s">
        <v>422</v>
      </c>
      <c r="M644" s="275">
        <v>32400</v>
      </c>
      <c r="N644" s="273" t="s">
        <v>9434</v>
      </c>
      <c r="O644" s="273" t="s">
        <v>106</v>
      </c>
      <c r="P644" s="232">
        <v>5</v>
      </c>
      <c r="Q644" s="233"/>
      <c r="R644" s="233"/>
      <c r="S644" s="233"/>
      <c r="T644" s="233"/>
      <c r="U644" s="233"/>
      <c r="V644" s="233"/>
      <c r="W644" s="233"/>
      <c r="X644" s="233"/>
    </row>
    <row r="645" spans="1:24" ht="15.75" customHeight="1" x14ac:dyDescent="0.35">
      <c r="A645" s="258">
        <v>637</v>
      </c>
      <c r="B645" s="273" t="s">
        <v>8503</v>
      </c>
      <c r="C645" s="273" t="s">
        <v>8504</v>
      </c>
      <c r="D645" s="273" t="s">
        <v>192</v>
      </c>
      <c r="E645" s="273">
        <v>577.5</v>
      </c>
      <c r="F645" s="273">
        <v>2023</v>
      </c>
      <c r="G645" s="273" t="s">
        <v>9455</v>
      </c>
      <c r="H645" s="273"/>
      <c r="I645" s="274">
        <v>45287</v>
      </c>
      <c r="J645" s="273" t="s">
        <v>9328</v>
      </c>
      <c r="K645" s="273" t="s">
        <v>9433</v>
      </c>
      <c r="L645" s="273" t="s">
        <v>422</v>
      </c>
      <c r="M645" s="275">
        <v>15606</v>
      </c>
      <c r="N645" s="273" t="s">
        <v>9434</v>
      </c>
      <c r="O645" s="273" t="s">
        <v>106</v>
      </c>
      <c r="P645" s="232">
        <v>5</v>
      </c>
      <c r="Q645" s="233"/>
      <c r="R645" s="233"/>
      <c r="S645" s="233"/>
      <c r="T645" s="233"/>
      <c r="U645" s="233"/>
      <c r="V645" s="233"/>
      <c r="W645" s="233"/>
      <c r="X645" s="233"/>
    </row>
    <row r="646" spans="1:24" ht="15.75" customHeight="1" x14ac:dyDescent="0.35">
      <c r="A646" s="264">
        <v>638</v>
      </c>
      <c r="B646" s="273" t="s">
        <v>8503</v>
      </c>
      <c r="C646" s="273" t="s">
        <v>8504</v>
      </c>
      <c r="D646" s="273" t="s">
        <v>194</v>
      </c>
      <c r="E646" s="273">
        <v>1400</v>
      </c>
      <c r="F646" s="273">
        <v>2023</v>
      </c>
      <c r="G646" s="273" t="s">
        <v>9456</v>
      </c>
      <c r="H646" s="273"/>
      <c r="I646" s="274">
        <v>45287</v>
      </c>
      <c r="J646" s="273" t="s">
        <v>9328</v>
      </c>
      <c r="K646" s="273" t="s">
        <v>9433</v>
      </c>
      <c r="L646" s="273" t="s">
        <v>422</v>
      </c>
      <c r="M646" s="275">
        <v>37800</v>
      </c>
      <c r="N646" s="273" t="s">
        <v>9434</v>
      </c>
      <c r="O646" s="273" t="s">
        <v>106</v>
      </c>
      <c r="P646" s="232">
        <v>5</v>
      </c>
      <c r="Q646" s="233"/>
      <c r="R646" s="233"/>
      <c r="S646" s="233"/>
      <c r="T646" s="233"/>
      <c r="U646" s="233"/>
      <c r="V646" s="233"/>
      <c r="W646" s="233"/>
      <c r="X646" s="233"/>
    </row>
    <row r="647" spans="1:24" ht="15.75" customHeight="1" x14ac:dyDescent="0.35">
      <c r="A647" s="258">
        <v>639</v>
      </c>
      <c r="B647" s="273" t="s">
        <v>8503</v>
      </c>
      <c r="C647" s="273" t="s">
        <v>8504</v>
      </c>
      <c r="D647" s="273" t="s">
        <v>195</v>
      </c>
      <c r="E647" s="273">
        <v>1228</v>
      </c>
      <c r="F647" s="273">
        <v>2023</v>
      </c>
      <c r="G647" s="273" t="s">
        <v>9457</v>
      </c>
      <c r="H647" s="273"/>
      <c r="I647" s="274">
        <v>45287</v>
      </c>
      <c r="J647" s="273" t="s">
        <v>9328</v>
      </c>
      <c r="K647" s="273" t="s">
        <v>9433</v>
      </c>
      <c r="L647" s="273" t="s">
        <v>422</v>
      </c>
      <c r="M647" s="275">
        <v>33156</v>
      </c>
      <c r="N647" s="273" t="s">
        <v>9434</v>
      </c>
      <c r="O647" s="273" t="s">
        <v>106</v>
      </c>
      <c r="P647" s="232">
        <v>5</v>
      </c>
      <c r="Q647" s="233"/>
      <c r="R647" s="233"/>
      <c r="S647" s="233"/>
      <c r="T647" s="233"/>
      <c r="U647" s="233"/>
      <c r="V647" s="233"/>
      <c r="W647" s="233"/>
      <c r="X647" s="233"/>
    </row>
    <row r="648" spans="1:24" ht="15.75" customHeight="1" x14ac:dyDescent="0.35">
      <c r="A648" s="264">
        <v>640</v>
      </c>
      <c r="B648" s="273" t="s">
        <v>8503</v>
      </c>
      <c r="C648" s="273" t="s">
        <v>8504</v>
      </c>
      <c r="D648" s="273" t="s">
        <v>199</v>
      </c>
      <c r="E648" s="273">
        <v>860</v>
      </c>
      <c r="F648" s="273">
        <v>2023</v>
      </c>
      <c r="G648" s="273" t="s">
        <v>9458</v>
      </c>
      <c r="H648" s="273"/>
      <c r="I648" s="274">
        <v>45287</v>
      </c>
      <c r="J648" s="273" t="s">
        <v>9328</v>
      </c>
      <c r="K648" s="273" t="s">
        <v>9433</v>
      </c>
      <c r="L648" s="273" t="s">
        <v>422</v>
      </c>
      <c r="M648" s="275">
        <v>23220</v>
      </c>
      <c r="N648" s="273" t="s">
        <v>9434</v>
      </c>
      <c r="O648" s="273" t="s">
        <v>106</v>
      </c>
      <c r="P648" s="232">
        <v>5</v>
      </c>
      <c r="Q648" s="233"/>
      <c r="R648" s="233"/>
      <c r="S648" s="233"/>
      <c r="T648" s="233"/>
      <c r="U648" s="233"/>
      <c r="V648" s="233"/>
      <c r="W648" s="233"/>
      <c r="X648" s="233"/>
    </row>
    <row r="649" spans="1:24" ht="15.75" customHeight="1" x14ac:dyDescent="0.35">
      <c r="A649" s="258">
        <v>641</v>
      </c>
      <c r="B649" s="273" t="s">
        <v>8503</v>
      </c>
      <c r="C649" s="273" t="s">
        <v>8504</v>
      </c>
      <c r="D649" s="273" t="s">
        <v>200</v>
      </c>
      <c r="E649" s="273">
        <v>420.75</v>
      </c>
      <c r="F649" s="273">
        <v>2023</v>
      </c>
      <c r="G649" s="273" t="s">
        <v>9459</v>
      </c>
      <c r="H649" s="273"/>
      <c r="I649" s="274">
        <v>45287</v>
      </c>
      <c r="J649" s="273" t="s">
        <v>9328</v>
      </c>
      <c r="K649" s="273" t="s">
        <v>9433</v>
      </c>
      <c r="L649" s="273" t="s">
        <v>422</v>
      </c>
      <c r="M649" s="275">
        <v>43363</v>
      </c>
      <c r="N649" s="273" t="s">
        <v>9434</v>
      </c>
      <c r="O649" s="273" t="s">
        <v>106</v>
      </c>
      <c r="P649" s="232">
        <v>5</v>
      </c>
      <c r="Q649" s="233"/>
      <c r="R649" s="233"/>
      <c r="S649" s="233"/>
      <c r="T649" s="233"/>
      <c r="U649" s="233"/>
      <c r="V649" s="233"/>
      <c r="W649" s="233"/>
      <c r="X649" s="233"/>
    </row>
    <row r="650" spans="1:24" ht="15.75" customHeight="1" x14ac:dyDescent="0.35">
      <c r="A650" s="264">
        <v>642</v>
      </c>
      <c r="B650" s="273" t="s">
        <v>8503</v>
      </c>
      <c r="C650" s="273" t="s">
        <v>8504</v>
      </c>
      <c r="D650" s="273" t="s">
        <v>209</v>
      </c>
      <c r="E650" s="273">
        <v>663.6</v>
      </c>
      <c r="F650" s="273">
        <v>2023</v>
      </c>
      <c r="G650" s="273" t="s">
        <v>9460</v>
      </c>
      <c r="H650" s="273"/>
      <c r="I650" s="274">
        <v>45287</v>
      </c>
      <c r="J650" s="273" t="s">
        <v>9328</v>
      </c>
      <c r="K650" s="273" t="s">
        <v>9433</v>
      </c>
      <c r="L650" s="273" t="s">
        <v>422</v>
      </c>
      <c r="M650" s="275">
        <v>42496</v>
      </c>
      <c r="N650" s="273" t="s">
        <v>9434</v>
      </c>
      <c r="O650" s="273" t="s">
        <v>106</v>
      </c>
      <c r="P650" s="232">
        <v>5</v>
      </c>
      <c r="Q650" s="233"/>
      <c r="R650" s="233"/>
      <c r="S650" s="233"/>
      <c r="T650" s="233"/>
      <c r="U650" s="233"/>
      <c r="V650" s="233"/>
      <c r="W650" s="233"/>
      <c r="X650" s="233"/>
    </row>
    <row r="651" spans="1:24" ht="15.75" customHeight="1" x14ac:dyDescent="0.35">
      <c r="A651" s="258">
        <v>643</v>
      </c>
      <c r="B651" s="273" t="s">
        <v>8503</v>
      </c>
      <c r="C651" s="273" t="s">
        <v>8504</v>
      </c>
      <c r="D651" s="273" t="s">
        <v>215</v>
      </c>
      <c r="E651" s="273">
        <v>660</v>
      </c>
      <c r="F651" s="273">
        <v>2023</v>
      </c>
      <c r="G651" s="273" t="s">
        <v>9461</v>
      </c>
      <c r="H651" s="273"/>
      <c r="I651" s="274">
        <v>45287</v>
      </c>
      <c r="J651" s="273" t="s">
        <v>9328</v>
      </c>
      <c r="K651" s="273" t="s">
        <v>9433</v>
      </c>
      <c r="L651" s="273" t="s">
        <v>422</v>
      </c>
      <c r="M651" s="275">
        <v>31680</v>
      </c>
      <c r="N651" s="273" t="s">
        <v>9434</v>
      </c>
      <c r="O651" s="273" t="s">
        <v>106</v>
      </c>
      <c r="P651" s="232">
        <v>5</v>
      </c>
      <c r="Q651" s="233"/>
      <c r="R651" s="233"/>
      <c r="S651" s="233"/>
      <c r="T651" s="233"/>
      <c r="U651" s="233"/>
      <c r="V651" s="233"/>
      <c r="W651" s="233"/>
      <c r="X651" s="233"/>
    </row>
    <row r="652" spans="1:24" ht="15.75" customHeight="1" x14ac:dyDescent="0.35">
      <c r="A652" s="264">
        <v>644</v>
      </c>
      <c r="B652" s="273" t="s">
        <v>8503</v>
      </c>
      <c r="C652" s="273" t="s">
        <v>8504</v>
      </c>
      <c r="D652" s="273" t="s">
        <v>223</v>
      </c>
      <c r="E652" s="273">
        <v>383.8</v>
      </c>
      <c r="F652" s="273">
        <v>2023</v>
      </c>
      <c r="G652" s="273" t="s">
        <v>9462</v>
      </c>
      <c r="H652" s="273"/>
      <c r="I652" s="274">
        <v>45287</v>
      </c>
      <c r="J652" s="273" t="s">
        <v>9328</v>
      </c>
      <c r="K652" s="273" t="s">
        <v>9433</v>
      </c>
      <c r="L652" s="273" t="s">
        <v>422</v>
      </c>
      <c r="M652" s="275">
        <v>13824</v>
      </c>
      <c r="N652" s="273" t="s">
        <v>9434</v>
      </c>
      <c r="O652" s="273" t="s">
        <v>106</v>
      </c>
      <c r="P652" s="232">
        <v>5</v>
      </c>
      <c r="Q652" s="233"/>
      <c r="R652" s="233"/>
      <c r="S652" s="233"/>
      <c r="T652" s="233"/>
      <c r="U652" s="233"/>
      <c r="V652" s="233"/>
      <c r="W652" s="233"/>
      <c r="X652" s="233"/>
    </row>
    <row r="653" spans="1:24" ht="15.75" customHeight="1" x14ac:dyDescent="0.35">
      <c r="A653" s="258">
        <v>645</v>
      </c>
      <c r="B653" s="273" t="s">
        <v>8503</v>
      </c>
      <c r="C653" s="273" t="s">
        <v>8504</v>
      </c>
      <c r="D653" s="273" t="s">
        <v>229</v>
      </c>
      <c r="E653" s="273">
        <v>196</v>
      </c>
      <c r="F653" s="273">
        <v>2023</v>
      </c>
      <c r="G653" s="273" t="s">
        <v>9463</v>
      </c>
      <c r="H653" s="273"/>
      <c r="I653" s="274">
        <v>45287</v>
      </c>
      <c r="J653" s="273" t="s">
        <v>9328</v>
      </c>
      <c r="K653" s="273" t="s">
        <v>9433</v>
      </c>
      <c r="L653" s="273" t="s">
        <v>422</v>
      </c>
      <c r="M653" s="275">
        <v>12544</v>
      </c>
      <c r="N653" s="273" t="s">
        <v>9434</v>
      </c>
      <c r="O653" s="273" t="s">
        <v>106</v>
      </c>
      <c r="P653" s="232">
        <v>5</v>
      </c>
      <c r="Q653" s="233"/>
      <c r="R653" s="233"/>
      <c r="S653" s="233"/>
      <c r="T653" s="233"/>
      <c r="U653" s="233"/>
      <c r="V653" s="233"/>
      <c r="W653" s="233"/>
      <c r="X653" s="233"/>
    </row>
    <row r="654" spans="1:24" ht="15.75" customHeight="1" x14ac:dyDescent="0.35">
      <c r="A654" s="264">
        <v>646</v>
      </c>
      <c r="B654" s="273" t="s">
        <v>8503</v>
      </c>
      <c r="C654" s="273" t="s">
        <v>8504</v>
      </c>
      <c r="D654" s="273" t="s">
        <v>238</v>
      </c>
      <c r="E654" s="273">
        <v>826.5</v>
      </c>
      <c r="F654" s="273">
        <v>2023</v>
      </c>
      <c r="G654" s="273" t="s">
        <v>9464</v>
      </c>
      <c r="H654" s="273"/>
      <c r="I654" s="274">
        <v>45287</v>
      </c>
      <c r="J654" s="273" t="s">
        <v>9328</v>
      </c>
      <c r="K654" s="273" t="s">
        <v>9433</v>
      </c>
      <c r="L654" s="273" t="s">
        <v>422</v>
      </c>
      <c r="M654" s="275">
        <v>16540</v>
      </c>
      <c r="N654" s="273" t="s">
        <v>9434</v>
      </c>
      <c r="O654" s="273" t="s">
        <v>106</v>
      </c>
      <c r="P654" s="232">
        <v>5</v>
      </c>
      <c r="Q654" s="233"/>
      <c r="R654" s="233"/>
      <c r="S654" s="233"/>
      <c r="T654" s="233"/>
      <c r="U654" s="233"/>
      <c r="V654" s="233"/>
      <c r="W654" s="233"/>
      <c r="X654" s="233"/>
    </row>
    <row r="655" spans="1:24" ht="15.75" customHeight="1" x14ac:dyDescent="0.35">
      <c r="A655" s="258">
        <v>647</v>
      </c>
      <c r="B655" s="273" t="s">
        <v>8503</v>
      </c>
      <c r="C655" s="273" t="s">
        <v>8504</v>
      </c>
      <c r="D655" s="273" t="s">
        <v>244</v>
      </c>
      <c r="E655" s="273">
        <v>1203.08</v>
      </c>
      <c r="F655" s="273">
        <v>2023</v>
      </c>
      <c r="G655" s="273" t="s">
        <v>9465</v>
      </c>
      <c r="H655" s="273"/>
      <c r="I655" s="274">
        <v>45287</v>
      </c>
      <c r="J655" s="273" t="s">
        <v>9328</v>
      </c>
      <c r="K655" s="273" t="s">
        <v>9433</v>
      </c>
      <c r="L655" s="273" t="s">
        <v>422</v>
      </c>
      <c r="M655" s="275">
        <v>43308</v>
      </c>
      <c r="N655" s="273" t="s">
        <v>9434</v>
      </c>
      <c r="O655" s="273" t="s">
        <v>106</v>
      </c>
      <c r="P655" s="232">
        <v>5</v>
      </c>
      <c r="Q655" s="233"/>
      <c r="R655" s="233"/>
      <c r="S655" s="233"/>
      <c r="T655" s="233"/>
      <c r="U655" s="233"/>
      <c r="V655" s="233"/>
      <c r="W655" s="233"/>
      <c r="X655" s="233"/>
    </row>
    <row r="656" spans="1:24" ht="15.75" customHeight="1" x14ac:dyDescent="0.35">
      <c r="A656" s="264">
        <v>648</v>
      </c>
      <c r="B656" s="273" t="s">
        <v>8503</v>
      </c>
      <c r="C656" s="273" t="s">
        <v>8504</v>
      </c>
      <c r="D656" s="273" t="s">
        <v>253</v>
      </c>
      <c r="E656" s="273">
        <v>1132</v>
      </c>
      <c r="F656" s="273">
        <v>2023</v>
      </c>
      <c r="G656" s="273" t="s">
        <v>9466</v>
      </c>
      <c r="H656" s="273"/>
      <c r="I656" s="274">
        <v>45287</v>
      </c>
      <c r="J656" s="273" t="s">
        <v>9328</v>
      </c>
      <c r="K656" s="273" t="s">
        <v>9433</v>
      </c>
      <c r="L656" s="273" t="s">
        <v>422</v>
      </c>
      <c r="M656" s="275">
        <v>40752</v>
      </c>
      <c r="N656" s="273" t="s">
        <v>9434</v>
      </c>
      <c r="O656" s="273" t="s">
        <v>106</v>
      </c>
      <c r="P656" s="232">
        <v>5</v>
      </c>
      <c r="Q656" s="233"/>
      <c r="R656" s="233"/>
      <c r="S656" s="233"/>
      <c r="T656" s="233"/>
      <c r="U656" s="233"/>
      <c r="V656" s="233"/>
      <c r="W656" s="233"/>
      <c r="X656" s="233"/>
    </row>
    <row r="657" spans="1:24" ht="15.75" customHeight="1" x14ac:dyDescent="0.35">
      <c r="A657" s="258">
        <v>649</v>
      </c>
      <c r="B657" s="273" t="s">
        <v>8503</v>
      </c>
      <c r="C657" s="273" t="s">
        <v>8504</v>
      </c>
      <c r="D657" s="273" t="s">
        <v>259</v>
      </c>
      <c r="E657" s="273">
        <v>425.62</v>
      </c>
      <c r="F657" s="273">
        <v>2023</v>
      </c>
      <c r="G657" s="273" t="s">
        <v>9467</v>
      </c>
      <c r="H657" s="273"/>
      <c r="I657" s="274">
        <v>45287</v>
      </c>
      <c r="J657" s="273" t="s">
        <v>9328</v>
      </c>
      <c r="K657" s="273" t="s">
        <v>9433</v>
      </c>
      <c r="L657" s="273" t="s">
        <v>422</v>
      </c>
      <c r="M657" s="275">
        <v>8520</v>
      </c>
      <c r="N657" s="273" t="s">
        <v>9434</v>
      </c>
      <c r="O657" s="273" t="s">
        <v>106</v>
      </c>
      <c r="P657" s="232">
        <v>5</v>
      </c>
      <c r="Q657" s="233"/>
      <c r="R657" s="233"/>
      <c r="S657" s="233"/>
      <c r="T657" s="233"/>
      <c r="U657" s="233"/>
      <c r="V657" s="233"/>
      <c r="W657" s="233"/>
      <c r="X657" s="233"/>
    </row>
    <row r="658" spans="1:24" ht="15.75" customHeight="1" x14ac:dyDescent="0.35">
      <c r="A658" s="264">
        <v>650</v>
      </c>
      <c r="B658" s="273" t="s">
        <v>8503</v>
      </c>
      <c r="C658" s="273" t="s">
        <v>8504</v>
      </c>
      <c r="D658" s="273" t="s">
        <v>264</v>
      </c>
      <c r="E658" s="273">
        <v>744</v>
      </c>
      <c r="F658" s="273">
        <v>2023</v>
      </c>
      <c r="G658" s="273" t="s">
        <v>9468</v>
      </c>
      <c r="H658" s="273"/>
      <c r="I658" s="274">
        <v>45287</v>
      </c>
      <c r="J658" s="273" t="s">
        <v>9328</v>
      </c>
      <c r="K658" s="273" t="s">
        <v>9433</v>
      </c>
      <c r="L658" s="273" t="s">
        <v>422</v>
      </c>
      <c r="M658" s="275">
        <v>20088</v>
      </c>
      <c r="N658" s="273" t="s">
        <v>9434</v>
      </c>
      <c r="O658" s="273" t="s">
        <v>106</v>
      </c>
      <c r="P658" s="232">
        <v>5</v>
      </c>
      <c r="Q658" s="233"/>
      <c r="R658" s="233"/>
      <c r="S658" s="233"/>
      <c r="T658" s="233"/>
      <c r="U658" s="233"/>
      <c r="V658" s="233"/>
      <c r="W658" s="233"/>
      <c r="X658" s="233"/>
    </row>
    <row r="659" spans="1:24" ht="15.75" customHeight="1" x14ac:dyDescent="0.35">
      <c r="A659" s="258">
        <v>651</v>
      </c>
      <c r="B659" s="273" t="s">
        <v>8503</v>
      </c>
      <c r="C659" s="273" t="s">
        <v>8504</v>
      </c>
      <c r="D659" s="273" t="s">
        <v>269</v>
      </c>
      <c r="E659" s="273">
        <v>1314.5</v>
      </c>
      <c r="F659" s="273">
        <v>2023</v>
      </c>
      <c r="G659" s="273" t="s">
        <v>9469</v>
      </c>
      <c r="H659" s="273"/>
      <c r="I659" s="274">
        <v>45287</v>
      </c>
      <c r="J659" s="273" t="s">
        <v>9328</v>
      </c>
      <c r="K659" s="273" t="s">
        <v>9433</v>
      </c>
      <c r="L659" s="273" t="s">
        <v>422</v>
      </c>
      <c r="M659" s="275">
        <v>84160</v>
      </c>
      <c r="N659" s="273" t="s">
        <v>9434</v>
      </c>
      <c r="O659" s="273" t="s">
        <v>106</v>
      </c>
      <c r="P659" s="232">
        <v>5</v>
      </c>
      <c r="Q659" s="233"/>
      <c r="R659" s="233"/>
      <c r="S659" s="233"/>
      <c r="T659" s="233"/>
      <c r="U659" s="233"/>
      <c r="V659" s="233"/>
      <c r="W659" s="233"/>
      <c r="X659" s="233"/>
    </row>
    <row r="660" spans="1:24" ht="15.75" customHeight="1" x14ac:dyDescent="0.35">
      <c r="A660" s="264">
        <v>652</v>
      </c>
      <c r="B660" s="273" t="s">
        <v>8503</v>
      </c>
      <c r="C660" s="273" t="s">
        <v>8504</v>
      </c>
      <c r="D660" s="273" t="s">
        <v>274</v>
      </c>
      <c r="E660" s="273">
        <v>987.5</v>
      </c>
      <c r="F660" s="273">
        <v>2023</v>
      </c>
      <c r="G660" s="273" t="s">
        <v>9470</v>
      </c>
      <c r="H660" s="273"/>
      <c r="I660" s="274">
        <v>45287</v>
      </c>
      <c r="J660" s="273" t="s">
        <v>9328</v>
      </c>
      <c r="K660" s="273" t="s">
        <v>9433</v>
      </c>
      <c r="L660" s="273" t="s">
        <v>422</v>
      </c>
      <c r="M660" s="275">
        <v>19760</v>
      </c>
      <c r="N660" s="273" t="s">
        <v>9434</v>
      </c>
      <c r="O660" s="273" t="s">
        <v>106</v>
      </c>
      <c r="P660" s="232">
        <v>5</v>
      </c>
      <c r="Q660" s="233"/>
      <c r="R660" s="233"/>
      <c r="S660" s="233"/>
      <c r="T660" s="233"/>
      <c r="U660" s="233"/>
      <c r="V660" s="233"/>
      <c r="W660" s="233"/>
      <c r="X660" s="233"/>
    </row>
    <row r="661" spans="1:24" ht="15.75" customHeight="1" x14ac:dyDescent="0.35">
      <c r="A661" s="258">
        <v>653</v>
      </c>
      <c r="B661" s="273" t="s">
        <v>8503</v>
      </c>
      <c r="C661" s="273" t="s">
        <v>8504</v>
      </c>
      <c r="D661" s="273" t="s">
        <v>280</v>
      </c>
      <c r="E661" s="273">
        <v>228.9</v>
      </c>
      <c r="F661" s="273">
        <v>2023</v>
      </c>
      <c r="G661" s="273" t="s">
        <v>9471</v>
      </c>
      <c r="H661" s="273"/>
      <c r="I661" s="274">
        <v>45287</v>
      </c>
      <c r="J661" s="273" t="s">
        <v>9328</v>
      </c>
      <c r="K661" s="273" t="s">
        <v>9433</v>
      </c>
      <c r="L661" s="273" t="s">
        <v>422</v>
      </c>
      <c r="M661" s="275">
        <v>4580</v>
      </c>
      <c r="N661" s="273" t="s">
        <v>9434</v>
      </c>
      <c r="O661" s="273" t="s">
        <v>106</v>
      </c>
      <c r="P661" s="232">
        <v>5</v>
      </c>
    </row>
    <row r="662" spans="1:24" ht="15.75" customHeight="1" x14ac:dyDescent="0.35">
      <c r="A662" s="264">
        <v>654</v>
      </c>
      <c r="B662" s="273" t="s">
        <v>8503</v>
      </c>
      <c r="C662" s="273" t="s">
        <v>8504</v>
      </c>
      <c r="D662" s="273" t="s">
        <v>286</v>
      </c>
      <c r="E662" s="273">
        <v>243.62</v>
      </c>
      <c r="F662" s="273">
        <v>2023</v>
      </c>
      <c r="G662" s="273" t="s">
        <v>9472</v>
      </c>
      <c r="H662" s="273"/>
      <c r="I662" s="274">
        <v>45287</v>
      </c>
      <c r="J662" s="273" t="s">
        <v>9328</v>
      </c>
      <c r="K662" s="273" t="s">
        <v>9433</v>
      </c>
      <c r="L662" s="273" t="s">
        <v>422</v>
      </c>
      <c r="M662" s="275">
        <v>4880</v>
      </c>
      <c r="N662" s="273" t="s">
        <v>9434</v>
      </c>
      <c r="O662" s="273" t="s">
        <v>106</v>
      </c>
      <c r="P662" s="232">
        <v>5</v>
      </c>
    </row>
    <row r="663" spans="1:24" ht="15.75" customHeight="1" x14ac:dyDescent="0.35">
      <c r="A663" s="258">
        <v>655</v>
      </c>
      <c r="B663" s="273" t="s">
        <v>8503</v>
      </c>
      <c r="C663" s="273" t="s">
        <v>8504</v>
      </c>
      <c r="D663" s="273" t="s">
        <v>291</v>
      </c>
      <c r="E663" s="273">
        <v>532.98</v>
      </c>
      <c r="F663" s="273">
        <v>2023</v>
      </c>
      <c r="G663" s="273" t="s">
        <v>9473</v>
      </c>
      <c r="H663" s="273"/>
      <c r="I663" s="274">
        <v>45287</v>
      </c>
      <c r="J663" s="273" t="s">
        <v>9328</v>
      </c>
      <c r="K663" s="273" t="s">
        <v>9433</v>
      </c>
      <c r="L663" s="273" t="s">
        <v>422</v>
      </c>
      <c r="M663" s="275">
        <v>14391</v>
      </c>
      <c r="N663" s="273" t="s">
        <v>9434</v>
      </c>
      <c r="O663" s="273" t="s">
        <v>106</v>
      </c>
      <c r="P663" s="232">
        <v>5</v>
      </c>
    </row>
    <row r="664" spans="1:24" ht="15.75" customHeight="1" x14ac:dyDescent="0.35">
      <c r="A664" s="264">
        <v>656</v>
      </c>
      <c r="B664" s="273" t="s">
        <v>8503</v>
      </c>
      <c r="C664" s="273" t="s">
        <v>8504</v>
      </c>
      <c r="D664" s="273" t="s">
        <v>298</v>
      </c>
      <c r="E664" s="273">
        <v>270</v>
      </c>
      <c r="F664" s="273">
        <v>2023</v>
      </c>
      <c r="G664" s="273" t="s">
        <v>9474</v>
      </c>
      <c r="H664" s="273"/>
      <c r="I664" s="274">
        <v>45287</v>
      </c>
      <c r="J664" s="273" t="s">
        <v>9328</v>
      </c>
      <c r="K664" s="273" t="s">
        <v>9433</v>
      </c>
      <c r="L664" s="273" t="s">
        <v>422</v>
      </c>
      <c r="M664" s="275">
        <v>5400</v>
      </c>
      <c r="N664" s="273" t="s">
        <v>9434</v>
      </c>
      <c r="O664" s="273" t="s">
        <v>106</v>
      </c>
      <c r="P664" s="232">
        <v>5</v>
      </c>
    </row>
    <row r="665" spans="1:24" ht="15.75" customHeight="1" x14ac:dyDescent="0.35">
      <c r="A665" s="258">
        <v>657</v>
      </c>
      <c r="B665" s="273" t="s">
        <v>8503</v>
      </c>
      <c r="C665" s="273" t="s">
        <v>8504</v>
      </c>
      <c r="D665" s="273" t="s">
        <v>304</v>
      </c>
      <c r="E665" s="273">
        <v>425.5</v>
      </c>
      <c r="F665" s="273">
        <v>2023</v>
      </c>
      <c r="G665" s="273" t="s">
        <v>9475</v>
      </c>
      <c r="H665" s="273"/>
      <c r="I665" s="274">
        <v>45287</v>
      </c>
      <c r="J665" s="273" t="s">
        <v>9328</v>
      </c>
      <c r="K665" s="273" t="s">
        <v>9433</v>
      </c>
      <c r="L665" s="273" t="s">
        <v>422</v>
      </c>
      <c r="M665" s="275">
        <v>8520</v>
      </c>
      <c r="N665" s="273" t="s">
        <v>9434</v>
      </c>
      <c r="O665" s="273" t="s">
        <v>106</v>
      </c>
      <c r="P665" s="232">
        <v>5</v>
      </c>
    </row>
    <row r="666" spans="1:24" ht="15.75" customHeight="1" x14ac:dyDescent="0.35">
      <c r="A666" s="264">
        <v>658</v>
      </c>
      <c r="B666" s="273" t="s">
        <v>8503</v>
      </c>
      <c r="C666" s="273" t="s">
        <v>8504</v>
      </c>
      <c r="D666" s="273" t="s">
        <v>310</v>
      </c>
      <c r="E666" s="273">
        <v>183.75</v>
      </c>
      <c r="F666" s="273">
        <v>2023</v>
      </c>
      <c r="G666" s="273" t="s">
        <v>9476</v>
      </c>
      <c r="H666" s="273"/>
      <c r="I666" s="274">
        <v>45287</v>
      </c>
      <c r="J666" s="273" t="s">
        <v>9328</v>
      </c>
      <c r="K666" s="273" t="s">
        <v>9433</v>
      </c>
      <c r="L666" s="273" t="s">
        <v>422</v>
      </c>
      <c r="M666" s="275">
        <v>4968</v>
      </c>
      <c r="N666" s="273" t="s">
        <v>9434</v>
      </c>
      <c r="O666" s="273" t="s">
        <v>106</v>
      </c>
      <c r="P666" s="232">
        <v>5</v>
      </c>
    </row>
    <row r="667" spans="1:24" ht="15.75" customHeight="1" x14ac:dyDescent="0.35">
      <c r="A667" s="258">
        <v>659</v>
      </c>
      <c r="B667" s="273" t="s">
        <v>8503</v>
      </c>
      <c r="C667" s="273" t="s">
        <v>8504</v>
      </c>
      <c r="D667" s="273" t="s">
        <v>319</v>
      </c>
      <c r="E667" s="273">
        <v>220.5</v>
      </c>
      <c r="F667" s="273">
        <v>2023</v>
      </c>
      <c r="G667" s="273" t="s">
        <v>9477</v>
      </c>
      <c r="H667" s="273"/>
      <c r="I667" s="274">
        <v>45287</v>
      </c>
      <c r="J667" s="273" t="s">
        <v>9328</v>
      </c>
      <c r="K667" s="273" t="s">
        <v>9433</v>
      </c>
      <c r="L667" s="273" t="s">
        <v>422</v>
      </c>
      <c r="M667" s="275">
        <v>14144</v>
      </c>
      <c r="N667" s="273" t="s">
        <v>9434</v>
      </c>
      <c r="O667" s="273" t="s">
        <v>106</v>
      </c>
      <c r="P667" s="232">
        <v>5</v>
      </c>
    </row>
    <row r="668" spans="1:24" ht="15.75" customHeight="1" x14ac:dyDescent="0.35">
      <c r="A668" s="264">
        <v>660</v>
      </c>
      <c r="B668" s="273" t="s">
        <v>8503</v>
      </c>
      <c r="C668" s="273" t="s">
        <v>8504</v>
      </c>
      <c r="D668" s="273" t="s">
        <v>325</v>
      </c>
      <c r="E668" s="273">
        <v>1381.8</v>
      </c>
      <c r="F668" s="273">
        <v>2023</v>
      </c>
      <c r="G668" s="273" t="s">
        <v>9478</v>
      </c>
      <c r="H668" s="273"/>
      <c r="I668" s="274">
        <v>45287</v>
      </c>
      <c r="J668" s="273" t="s">
        <v>9328</v>
      </c>
      <c r="K668" s="273" t="s">
        <v>9433</v>
      </c>
      <c r="L668" s="273" t="s">
        <v>422</v>
      </c>
      <c r="M668" s="275">
        <v>49752</v>
      </c>
      <c r="N668" s="273" t="s">
        <v>9434</v>
      </c>
      <c r="O668" s="273" t="s">
        <v>106</v>
      </c>
      <c r="P668" s="232">
        <v>5</v>
      </c>
    </row>
    <row r="669" spans="1:24" ht="15.75" customHeight="1" x14ac:dyDescent="0.35">
      <c r="A669" s="258">
        <v>661</v>
      </c>
      <c r="B669" s="273" t="s">
        <v>8503</v>
      </c>
      <c r="C669" s="273" t="s">
        <v>8504</v>
      </c>
      <c r="D669" s="273" t="s">
        <v>332</v>
      </c>
      <c r="E669" s="273">
        <v>168.2</v>
      </c>
      <c r="F669" s="273">
        <v>2023</v>
      </c>
      <c r="G669" s="273" t="s">
        <v>9479</v>
      </c>
      <c r="H669" s="273"/>
      <c r="I669" s="274">
        <v>45287</v>
      </c>
      <c r="J669" s="273" t="s">
        <v>9328</v>
      </c>
      <c r="K669" s="273" t="s">
        <v>9433</v>
      </c>
      <c r="L669" s="273" t="s">
        <v>422</v>
      </c>
      <c r="M669" s="275">
        <v>3380</v>
      </c>
      <c r="N669" s="273" t="s">
        <v>9434</v>
      </c>
      <c r="O669" s="273" t="s">
        <v>106</v>
      </c>
      <c r="P669" s="232">
        <v>5</v>
      </c>
    </row>
    <row r="670" spans="1:24" ht="15.75" customHeight="1" x14ac:dyDescent="0.35">
      <c r="A670" s="264">
        <v>662</v>
      </c>
      <c r="B670" s="273" t="s">
        <v>8503</v>
      </c>
      <c r="C670" s="273" t="s">
        <v>8504</v>
      </c>
      <c r="D670" s="273" t="s">
        <v>338</v>
      </c>
      <c r="E670" s="273">
        <v>263.60000000000002</v>
      </c>
      <c r="F670" s="273">
        <v>2023</v>
      </c>
      <c r="G670" s="273" t="s">
        <v>9480</v>
      </c>
      <c r="H670" s="273"/>
      <c r="I670" s="274">
        <v>45287</v>
      </c>
      <c r="J670" s="273" t="s">
        <v>9328</v>
      </c>
      <c r="K670" s="273" t="s">
        <v>9433</v>
      </c>
      <c r="L670" s="273" t="s">
        <v>422</v>
      </c>
      <c r="M670" s="275">
        <v>12672</v>
      </c>
      <c r="N670" s="273" t="s">
        <v>9481</v>
      </c>
      <c r="O670" s="273" t="s">
        <v>106</v>
      </c>
      <c r="P670" s="232">
        <v>5</v>
      </c>
    </row>
    <row r="671" spans="1:24" ht="15.75" customHeight="1" x14ac:dyDescent="0.35">
      <c r="A671" s="258">
        <v>663</v>
      </c>
      <c r="B671" s="273" t="s">
        <v>8503</v>
      </c>
      <c r="C671" s="273" t="s">
        <v>8504</v>
      </c>
      <c r="D671" s="273" t="s">
        <v>343</v>
      </c>
      <c r="E671" s="273">
        <v>8841</v>
      </c>
      <c r="F671" s="273">
        <v>2023</v>
      </c>
      <c r="G671" s="273" t="s">
        <v>9482</v>
      </c>
      <c r="H671" s="273"/>
      <c r="I671" s="274">
        <v>45287</v>
      </c>
      <c r="J671" s="273" t="s">
        <v>9328</v>
      </c>
      <c r="K671" s="273" t="s">
        <v>9433</v>
      </c>
      <c r="L671" s="273" t="s">
        <v>422</v>
      </c>
      <c r="M671" s="275">
        <v>424368</v>
      </c>
      <c r="N671" s="273" t="s">
        <v>9481</v>
      </c>
      <c r="O671" s="273" t="s">
        <v>106</v>
      </c>
      <c r="P671" s="232">
        <v>5</v>
      </c>
    </row>
    <row r="672" spans="1:24" ht="15.75" customHeight="1" x14ac:dyDescent="0.35">
      <c r="A672" s="264">
        <v>664</v>
      </c>
      <c r="B672" s="273" t="s">
        <v>8503</v>
      </c>
      <c r="C672" s="273" t="s">
        <v>8504</v>
      </c>
      <c r="D672" s="273" t="s">
        <v>348</v>
      </c>
      <c r="E672" s="273">
        <v>35099.4</v>
      </c>
      <c r="F672" s="273">
        <v>2023</v>
      </c>
      <c r="G672" s="273" t="s">
        <v>9483</v>
      </c>
      <c r="H672" s="273"/>
      <c r="I672" s="274">
        <v>45287</v>
      </c>
      <c r="J672" s="273" t="s">
        <v>9328</v>
      </c>
      <c r="K672" s="273" t="s">
        <v>9433</v>
      </c>
      <c r="L672" s="273" t="s">
        <v>422</v>
      </c>
      <c r="M672" s="275">
        <v>1684752</v>
      </c>
      <c r="N672" s="273" t="s">
        <v>9481</v>
      </c>
      <c r="O672" s="273" t="s">
        <v>106</v>
      </c>
      <c r="P672" s="232">
        <v>5</v>
      </c>
    </row>
    <row r="673" spans="1:16" ht="15.75" customHeight="1" x14ac:dyDescent="0.35">
      <c r="A673" s="258">
        <v>665</v>
      </c>
      <c r="B673" s="273" t="s">
        <v>8503</v>
      </c>
      <c r="C673" s="273" t="s">
        <v>8504</v>
      </c>
      <c r="D673" s="273" t="s">
        <v>353</v>
      </c>
      <c r="E673" s="273">
        <v>349.6</v>
      </c>
      <c r="F673" s="273">
        <v>2023</v>
      </c>
      <c r="G673" s="273" t="s">
        <v>9484</v>
      </c>
      <c r="H673" s="273"/>
      <c r="I673" s="274">
        <v>45287</v>
      </c>
      <c r="J673" s="273" t="s">
        <v>9328</v>
      </c>
      <c r="K673" s="273" t="s">
        <v>9433</v>
      </c>
      <c r="L673" s="273" t="s">
        <v>422</v>
      </c>
      <c r="M673" s="275">
        <v>16800</v>
      </c>
      <c r="N673" s="273" t="s">
        <v>9481</v>
      </c>
      <c r="O673" s="273" t="s">
        <v>106</v>
      </c>
      <c r="P673" s="232">
        <v>5</v>
      </c>
    </row>
    <row r="674" spans="1:16" ht="15.75" customHeight="1" x14ac:dyDescent="0.35">
      <c r="A674" s="264">
        <v>666</v>
      </c>
      <c r="B674" s="273" t="s">
        <v>8503</v>
      </c>
      <c r="C674" s="273" t="s">
        <v>8504</v>
      </c>
      <c r="D674" s="273" t="s">
        <v>359</v>
      </c>
      <c r="E674" s="273">
        <v>323.25</v>
      </c>
      <c r="F674" s="273">
        <v>2023</v>
      </c>
      <c r="G674" s="273" t="s">
        <v>9485</v>
      </c>
      <c r="H674" s="273"/>
      <c r="I674" s="274">
        <v>45287</v>
      </c>
      <c r="J674" s="273" t="s">
        <v>9328</v>
      </c>
      <c r="K674" s="273" t="s">
        <v>9433</v>
      </c>
      <c r="L674" s="273" t="s">
        <v>422</v>
      </c>
      <c r="M674" s="275">
        <v>15504</v>
      </c>
      <c r="N674" s="273" t="s">
        <v>9481</v>
      </c>
      <c r="O674" s="273" t="s">
        <v>106</v>
      </c>
      <c r="P674" s="232">
        <v>5</v>
      </c>
    </row>
    <row r="675" spans="1:16" ht="15.75" customHeight="1" x14ac:dyDescent="0.35">
      <c r="A675" s="258">
        <v>667</v>
      </c>
      <c r="B675" s="273" t="s">
        <v>8503</v>
      </c>
      <c r="C675" s="273" t="s">
        <v>8504</v>
      </c>
      <c r="D675" s="273" t="s">
        <v>366</v>
      </c>
      <c r="E675" s="273">
        <v>183.75</v>
      </c>
      <c r="F675" s="273">
        <v>2023</v>
      </c>
      <c r="G675" s="273" t="s">
        <v>9486</v>
      </c>
      <c r="H675" s="273"/>
      <c r="I675" s="274">
        <v>45287</v>
      </c>
      <c r="J675" s="273" t="s">
        <v>9328</v>
      </c>
      <c r="K675" s="273" t="s">
        <v>9433</v>
      </c>
      <c r="L675" s="273" t="s">
        <v>422</v>
      </c>
      <c r="M675" s="275">
        <v>8832</v>
      </c>
      <c r="N675" s="273" t="s">
        <v>9481</v>
      </c>
      <c r="O675" s="273" t="s">
        <v>106</v>
      </c>
      <c r="P675" s="232">
        <v>5</v>
      </c>
    </row>
    <row r="676" spans="1:16" ht="15.75" customHeight="1" x14ac:dyDescent="0.35">
      <c r="A676" s="264">
        <v>668</v>
      </c>
      <c r="B676" s="273" t="s">
        <v>8503</v>
      </c>
      <c r="C676" s="273" t="s">
        <v>8504</v>
      </c>
      <c r="D676" s="273" t="s">
        <v>371</v>
      </c>
      <c r="E676" s="273">
        <v>757</v>
      </c>
      <c r="F676" s="273">
        <v>2023</v>
      </c>
      <c r="G676" s="273" t="s">
        <v>9487</v>
      </c>
      <c r="H676" s="273"/>
      <c r="I676" s="274">
        <v>45287</v>
      </c>
      <c r="J676" s="273" t="s">
        <v>9328</v>
      </c>
      <c r="K676" s="273" t="s">
        <v>9433</v>
      </c>
      <c r="L676" s="273" t="s">
        <v>422</v>
      </c>
      <c r="M676" s="275">
        <v>36336</v>
      </c>
      <c r="N676" s="273" t="s">
        <v>9481</v>
      </c>
      <c r="O676" s="273" t="s">
        <v>106</v>
      </c>
      <c r="P676" s="232">
        <v>5</v>
      </c>
    </row>
    <row r="677" spans="1:16" ht="15.75" customHeight="1" x14ac:dyDescent="0.35">
      <c r="A677" s="258">
        <v>669</v>
      </c>
      <c r="B677" s="273" t="s">
        <v>8503</v>
      </c>
      <c r="C677" s="273" t="s">
        <v>8504</v>
      </c>
      <c r="D677" s="273" t="s">
        <v>376</v>
      </c>
      <c r="E677" s="273">
        <v>792</v>
      </c>
      <c r="F677" s="273">
        <v>2023</v>
      </c>
      <c r="G677" s="273" t="s">
        <v>9488</v>
      </c>
      <c r="H677" s="273"/>
      <c r="I677" s="274">
        <v>45287</v>
      </c>
      <c r="J677" s="273" t="s">
        <v>9328</v>
      </c>
      <c r="K677" s="273" t="s">
        <v>9433</v>
      </c>
      <c r="L677" s="273" t="s">
        <v>422</v>
      </c>
      <c r="M677" s="275">
        <v>38016</v>
      </c>
      <c r="N677" s="273" t="s">
        <v>9481</v>
      </c>
      <c r="O677" s="273" t="s">
        <v>106</v>
      </c>
      <c r="P677" s="232">
        <v>5</v>
      </c>
    </row>
    <row r="678" spans="1:16" ht="15.75" customHeight="1" x14ac:dyDescent="0.35">
      <c r="A678" s="264">
        <v>670</v>
      </c>
      <c r="B678" s="273" t="s">
        <v>8503</v>
      </c>
      <c r="C678" s="273" t="s">
        <v>8504</v>
      </c>
      <c r="D678" s="273" t="s">
        <v>382</v>
      </c>
      <c r="E678" s="273">
        <v>570</v>
      </c>
      <c r="F678" s="273">
        <v>2023</v>
      </c>
      <c r="G678" s="273" t="s">
        <v>9489</v>
      </c>
      <c r="H678" s="273"/>
      <c r="I678" s="274">
        <v>45287</v>
      </c>
      <c r="J678" s="273" t="s">
        <v>9328</v>
      </c>
      <c r="K678" s="273" t="s">
        <v>9433</v>
      </c>
      <c r="L678" s="273" t="s">
        <v>422</v>
      </c>
      <c r="M678" s="275">
        <v>27360</v>
      </c>
      <c r="N678" s="273" t="s">
        <v>9481</v>
      </c>
      <c r="O678" s="273" t="s">
        <v>106</v>
      </c>
      <c r="P678" s="232">
        <v>5</v>
      </c>
    </row>
    <row r="679" spans="1:16" ht="15.75" customHeight="1" x14ac:dyDescent="0.35">
      <c r="A679" s="258">
        <v>671</v>
      </c>
      <c r="B679" s="273" t="s">
        <v>8503</v>
      </c>
      <c r="C679" s="273" t="s">
        <v>8504</v>
      </c>
      <c r="D679" s="273" t="s">
        <v>387</v>
      </c>
      <c r="E679" s="273">
        <v>1003</v>
      </c>
      <c r="F679" s="273">
        <v>2023</v>
      </c>
      <c r="G679" s="273" t="s">
        <v>9490</v>
      </c>
      <c r="H679" s="273"/>
      <c r="I679" s="274">
        <v>45287</v>
      </c>
      <c r="J679" s="273" t="s">
        <v>9328</v>
      </c>
      <c r="K679" s="273" t="s">
        <v>9433</v>
      </c>
      <c r="L679" s="273" t="s">
        <v>422</v>
      </c>
      <c r="M679" s="275">
        <v>48144</v>
      </c>
      <c r="N679" s="273" t="s">
        <v>9481</v>
      </c>
      <c r="O679" s="273" t="s">
        <v>106</v>
      </c>
      <c r="P679" s="232">
        <v>5</v>
      </c>
    </row>
    <row r="680" spans="1:16" ht="15.75" customHeight="1" x14ac:dyDescent="0.35">
      <c r="A680" s="264">
        <v>672</v>
      </c>
      <c r="B680" s="273" t="s">
        <v>8503</v>
      </c>
      <c r="C680" s="273" t="s">
        <v>8504</v>
      </c>
      <c r="D680" s="273" t="s">
        <v>392</v>
      </c>
      <c r="E680" s="273">
        <v>698.4</v>
      </c>
      <c r="F680" s="273">
        <v>2023</v>
      </c>
      <c r="G680" s="273" t="s">
        <v>9491</v>
      </c>
      <c r="H680" s="273"/>
      <c r="I680" s="274">
        <v>45287</v>
      </c>
      <c r="J680" s="273" t="s">
        <v>9328</v>
      </c>
      <c r="K680" s="273" t="s">
        <v>9433</v>
      </c>
      <c r="L680" s="273" t="s">
        <v>422</v>
      </c>
      <c r="M680" s="275">
        <v>33504</v>
      </c>
      <c r="N680" s="273" t="s">
        <v>9481</v>
      </c>
      <c r="O680" s="273" t="s">
        <v>106</v>
      </c>
      <c r="P680" s="232">
        <v>5</v>
      </c>
    </row>
    <row r="681" spans="1:16" ht="15.75" customHeight="1" x14ac:dyDescent="0.35">
      <c r="A681" s="258">
        <v>673</v>
      </c>
      <c r="B681" s="273" t="s">
        <v>8503</v>
      </c>
      <c r="C681" s="273" t="s">
        <v>8504</v>
      </c>
      <c r="D681" s="273" t="s">
        <v>398</v>
      </c>
      <c r="E681" s="273">
        <v>1656.9</v>
      </c>
      <c r="F681" s="273">
        <v>2023</v>
      </c>
      <c r="G681" s="273" t="s">
        <v>9492</v>
      </c>
      <c r="H681" s="273"/>
      <c r="I681" s="274">
        <v>45287</v>
      </c>
      <c r="J681" s="273" t="s">
        <v>9328</v>
      </c>
      <c r="K681" s="273" t="s">
        <v>9433</v>
      </c>
      <c r="L681" s="273" t="s">
        <v>422</v>
      </c>
      <c r="M681" s="275">
        <v>79536</v>
      </c>
      <c r="N681" s="273" t="s">
        <v>9481</v>
      </c>
      <c r="O681" s="273" t="s">
        <v>106</v>
      </c>
      <c r="P681" s="232">
        <v>5</v>
      </c>
    </row>
    <row r="682" spans="1:16" ht="15.75" customHeight="1" x14ac:dyDescent="0.35">
      <c r="A682" s="264">
        <v>674</v>
      </c>
      <c r="B682" s="273" t="s">
        <v>8503</v>
      </c>
      <c r="C682" s="273" t="s">
        <v>8504</v>
      </c>
      <c r="D682" s="273" t="s">
        <v>403</v>
      </c>
      <c r="E682" s="273">
        <v>1739.5</v>
      </c>
      <c r="F682" s="273">
        <v>2023</v>
      </c>
      <c r="G682" s="273" t="s">
        <v>9493</v>
      </c>
      <c r="H682" s="273"/>
      <c r="I682" s="274">
        <v>45287</v>
      </c>
      <c r="J682" s="273" t="s">
        <v>9328</v>
      </c>
      <c r="K682" s="273" t="s">
        <v>9433</v>
      </c>
      <c r="L682" s="273" t="s">
        <v>422</v>
      </c>
      <c r="M682" s="275">
        <v>83520</v>
      </c>
      <c r="N682" s="273" t="s">
        <v>9481</v>
      </c>
      <c r="O682" s="273" t="s">
        <v>106</v>
      </c>
      <c r="P682" s="232">
        <v>5</v>
      </c>
    </row>
    <row r="683" spans="1:16" ht="15.75" customHeight="1" x14ac:dyDescent="0.35">
      <c r="A683" s="258">
        <v>675</v>
      </c>
      <c r="B683" s="273" t="s">
        <v>8503</v>
      </c>
      <c r="C683" s="273" t="s">
        <v>8504</v>
      </c>
      <c r="D683" s="273" t="s">
        <v>408</v>
      </c>
      <c r="E683" s="273">
        <v>368.9</v>
      </c>
      <c r="F683" s="273">
        <v>2023</v>
      </c>
      <c r="G683" s="273" t="s">
        <v>9494</v>
      </c>
      <c r="H683" s="273"/>
      <c r="I683" s="274">
        <v>45287</v>
      </c>
      <c r="J683" s="273" t="s">
        <v>9328</v>
      </c>
      <c r="K683" s="273" t="s">
        <v>9433</v>
      </c>
      <c r="L683" s="273" t="s">
        <v>422</v>
      </c>
      <c r="M683" s="275">
        <v>17712</v>
      </c>
      <c r="N683" s="273" t="s">
        <v>9481</v>
      </c>
      <c r="O683" s="273" t="s">
        <v>106</v>
      </c>
      <c r="P683" s="232">
        <v>5</v>
      </c>
    </row>
    <row r="684" spans="1:16" ht="15.75" customHeight="1" x14ac:dyDescent="0.35">
      <c r="A684" s="264">
        <v>676</v>
      </c>
      <c r="B684" s="273" t="s">
        <v>8503</v>
      </c>
      <c r="C684" s="273" t="s">
        <v>8504</v>
      </c>
      <c r="D684" s="273" t="s">
        <v>413</v>
      </c>
      <c r="E684" s="273">
        <v>368.4</v>
      </c>
      <c r="F684" s="273">
        <v>2023</v>
      </c>
      <c r="G684" s="273" t="s">
        <v>9495</v>
      </c>
      <c r="H684" s="273"/>
      <c r="I684" s="274">
        <v>45287</v>
      </c>
      <c r="J684" s="273" t="s">
        <v>9328</v>
      </c>
      <c r="K684" s="273" t="s">
        <v>9433</v>
      </c>
      <c r="L684" s="273" t="s">
        <v>422</v>
      </c>
      <c r="M684" s="275">
        <v>17664</v>
      </c>
      <c r="N684" s="273" t="s">
        <v>9481</v>
      </c>
      <c r="O684" s="273" t="s">
        <v>106</v>
      </c>
      <c r="P684" s="232">
        <v>5</v>
      </c>
    </row>
    <row r="685" spans="1:16" ht="15.75" customHeight="1" x14ac:dyDescent="0.35">
      <c r="A685" s="258">
        <v>677</v>
      </c>
      <c r="B685" s="273" t="s">
        <v>8503</v>
      </c>
      <c r="C685" s="273" t="s">
        <v>8504</v>
      </c>
      <c r="D685" s="273" t="s">
        <v>3140</v>
      </c>
      <c r="E685" s="273">
        <v>516</v>
      </c>
      <c r="F685" s="273">
        <v>2023</v>
      </c>
      <c r="G685" s="273" t="s">
        <v>9496</v>
      </c>
      <c r="H685" s="273"/>
      <c r="I685" s="274">
        <v>45287</v>
      </c>
      <c r="J685" s="273" t="s">
        <v>9328</v>
      </c>
      <c r="K685" s="273" t="s">
        <v>9433</v>
      </c>
      <c r="L685" s="273" t="s">
        <v>422</v>
      </c>
      <c r="M685" s="275">
        <v>24768</v>
      </c>
      <c r="N685" s="273" t="s">
        <v>9481</v>
      </c>
      <c r="O685" s="273" t="s">
        <v>106</v>
      </c>
      <c r="P685" s="232">
        <v>5</v>
      </c>
    </row>
    <row r="686" spans="1:16" ht="15.75" customHeight="1" x14ac:dyDescent="0.35">
      <c r="A686" s="264">
        <v>678</v>
      </c>
      <c r="B686" s="273" t="s">
        <v>8503</v>
      </c>
      <c r="C686" s="273" t="s">
        <v>8504</v>
      </c>
      <c r="D686" s="273" t="s">
        <v>1450</v>
      </c>
      <c r="E686" s="273">
        <v>6006.6</v>
      </c>
      <c r="F686" s="273">
        <v>2023</v>
      </c>
      <c r="G686" s="273" t="s">
        <v>9497</v>
      </c>
      <c r="H686" s="273"/>
      <c r="I686" s="274">
        <v>45287</v>
      </c>
      <c r="J686" s="273" t="s">
        <v>9328</v>
      </c>
      <c r="K686" s="273" t="s">
        <v>9433</v>
      </c>
      <c r="L686" s="273" t="s">
        <v>422</v>
      </c>
      <c r="M686" s="275">
        <v>288336</v>
      </c>
      <c r="N686" s="273" t="s">
        <v>9481</v>
      </c>
      <c r="O686" s="273" t="s">
        <v>106</v>
      </c>
      <c r="P686" s="232">
        <v>5</v>
      </c>
    </row>
    <row r="687" spans="1:16" ht="15.75" customHeight="1" x14ac:dyDescent="0.35">
      <c r="A687" s="258">
        <v>679</v>
      </c>
      <c r="B687" s="273" t="s">
        <v>8503</v>
      </c>
      <c r="C687" s="273" t="s">
        <v>8504</v>
      </c>
      <c r="D687" s="273" t="s">
        <v>1456</v>
      </c>
      <c r="E687" s="273">
        <v>35099.4</v>
      </c>
      <c r="F687" s="273">
        <v>2023</v>
      </c>
      <c r="G687" s="273" t="s">
        <v>9498</v>
      </c>
      <c r="H687" s="273"/>
      <c r="I687" s="274">
        <v>45287</v>
      </c>
      <c r="J687" s="273" t="s">
        <v>9328</v>
      </c>
      <c r="K687" s="273" t="s">
        <v>9433</v>
      </c>
      <c r="L687" s="273" t="s">
        <v>422</v>
      </c>
      <c r="M687" s="275">
        <v>1684752</v>
      </c>
      <c r="N687" s="273" t="s">
        <v>9481</v>
      </c>
      <c r="O687" s="273" t="s">
        <v>106</v>
      </c>
      <c r="P687" s="232">
        <v>5</v>
      </c>
    </row>
    <row r="688" spans="1:16" ht="15.75" customHeight="1" x14ac:dyDescent="0.35">
      <c r="A688" s="264">
        <v>680</v>
      </c>
      <c r="B688" s="273" t="s">
        <v>8503</v>
      </c>
      <c r="C688" s="273" t="s">
        <v>8504</v>
      </c>
      <c r="D688" s="273" t="s">
        <v>1462</v>
      </c>
      <c r="E688" s="273">
        <v>678</v>
      </c>
      <c r="F688" s="273">
        <v>2023</v>
      </c>
      <c r="G688" s="273" t="s">
        <v>9499</v>
      </c>
      <c r="H688" s="273"/>
      <c r="I688" s="274">
        <v>45287</v>
      </c>
      <c r="J688" s="273" t="s">
        <v>9328</v>
      </c>
      <c r="K688" s="273" t="s">
        <v>9433</v>
      </c>
      <c r="L688" s="273" t="s">
        <v>422</v>
      </c>
      <c r="M688" s="275">
        <v>24408</v>
      </c>
      <c r="N688" s="273" t="s">
        <v>9500</v>
      </c>
      <c r="O688" s="273" t="s">
        <v>106</v>
      </c>
      <c r="P688" s="232">
        <v>5</v>
      </c>
    </row>
    <row r="689" spans="1:16" ht="15.75" customHeight="1" x14ac:dyDescent="0.35">
      <c r="A689" s="258">
        <v>681</v>
      </c>
      <c r="B689" s="273" t="s">
        <v>8503</v>
      </c>
      <c r="C689" s="273" t="s">
        <v>8504</v>
      </c>
      <c r="D689" s="273" t="s">
        <v>1469</v>
      </c>
      <c r="E689" s="273">
        <v>729.6</v>
      </c>
      <c r="F689" s="273">
        <v>2023</v>
      </c>
      <c r="G689" s="273" t="s">
        <v>9501</v>
      </c>
      <c r="H689" s="273"/>
      <c r="I689" s="274">
        <v>45287</v>
      </c>
      <c r="J689" s="273" t="s">
        <v>9328</v>
      </c>
      <c r="K689" s="273" t="s">
        <v>9433</v>
      </c>
      <c r="L689" s="273" t="s">
        <v>422</v>
      </c>
      <c r="M689" s="275">
        <v>59860</v>
      </c>
      <c r="N689" s="273" t="s">
        <v>9500</v>
      </c>
      <c r="O689" s="273" t="s">
        <v>106</v>
      </c>
      <c r="P689" s="232">
        <v>5</v>
      </c>
    </row>
    <row r="690" spans="1:16" ht="15.75" customHeight="1" x14ac:dyDescent="0.35">
      <c r="A690" s="264">
        <v>682</v>
      </c>
      <c r="B690" s="273" t="s">
        <v>8503</v>
      </c>
      <c r="C690" s="273" t="s">
        <v>8504</v>
      </c>
      <c r="D690" s="273" t="s">
        <v>1475</v>
      </c>
      <c r="E690" s="273">
        <v>1099</v>
      </c>
      <c r="F690" s="273">
        <v>2023</v>
      </c>
      <c r="G690" s="273" t="s">
        <v>9502</v>
      </c>
      <c r="H690" s="273"/>
      <c r="I690" s="274">
        <v>45287</v>
      </c>
      <c r="J690" s="273" t="s">
        <v>9328</v>
      </c>
      <c r="K690" s="273" t="s">
        <v>9433</v>
      </c>
      <c r="L690" s="273" t="s">
        <v>422</v>
      </c>
      <c r="M690" s="275">
        <v>90118</v>
      </c>
      <c r="N690" s="273" t="s">
        <v>9500</v>
      </c>
      <c r="O690" s="273" t="s">
        <v>106</v>
      </c>
      <c r="P690" s="232">
        <v>5</v>
      </c>
    </row>
    <row r="691" spans="1:16" ht="15.75" customHeight="1" x14ac:dyDescent="0.35">
      <c r="A691" s="258">
        <v>683</v>
      </c>
      <c r="B691" s="273" t="s">
        <v>8503</v>
      </c>
      <c r="C691" s="273" t="s">
        <v>8504</v>
      </c>
      <c r="D691" s="273" t="s">
        <v>1480</v>
      </c>
      <c r="E691" s="273">
        <v>273</v>
      </c>
      <c r="F691" s="273">
        <v>2023</v>
      </c>
      <c r="G691" s="273" t="s">
        <v>9503</v>
      </c>
      <c r="H691" s="273"/>
      <c r="I691" s="274">
        <v>45287</v>
      </c>
      <c r="J691" s="273" t="s">
        <v>9328</v>
      </c>
      <c r="K691" s="273" t="s">
        <v>9433</v>
      </c>
      <c r="L691" s="273" t="s">
        <v>422</v>
      </c>
      <c r="M691" s="275">
        <v>22386</v>
      </c>
      <c r="N691" s="273" t="s">
        <v>9500</v>
      </c>
      <c r="O691" s="273" t="s">
        <v>106</v>
      </c>
      <c r="P691" s="232">
        <v>5</v>
      </c>
    </row>
    <row r="692" spans="1:16" ht="15.75" customHeight="1" x14ac:dyDescent="0.35">
      <c r="A692" s="264">
        <v>684</v>
      </c>
      <c r="B692" s="273" t="s">
        <v>8503</v>
      </c>
      <c r="C692" s="273" t="s">
        <v>8504</v>
      </c>
      <c r="D692" s="273" t="s">
        <v>1485</v>
      </c>
      <c r="E692" s="273">
        <v>1946.5</v>
      </c>
      <c r="F692" s="273">
        <v>2023</v>
      </c>
      <c r="G692" s="273" t="s">
        <v>9504</v>
      </c>
      <c r="H692" s="273"/>
      <c r="I692" s="274">
        <v>45287</v>
      </c>
      <c r="J692" s="273" t="s">
        <v>9328</v>
      </c>
      <c r="K692" s="273" t="s">
        <v>9433</v>
      </c>
      <c r="L692" s="273" t="s">
        <v>422</v>
      </c>
      <c r="M692" s="275">
        <v>159654</v>
      </c>
      <c r="N692" s="273" t="s">
        <v>9500</v>
      </c>
      <c r="O692" s="273" t="s">
        <v>106</v>
      </c>
      <c r="P692" s="232">
        <v>5</v>
      </c>
    </row>
    <row r="693" spans="1:16" ht="15.75" customHeight="1" x14ac:dyDescent="0.35">
      <c r="A693" s="258">
        <v>685</v>
      </c>
      <c r="B693" s="273" t="s">
        <v>8503</v>
      </c>
      <c r="C693" s="273" t="s">
        <v>8504</v>
      </c>
      <c r="D693" s="273" t="s">
        <v>1490</v>
      </c>
      <c r="E693" s="273">
        <v>607.5</v>
      </c>
      <c r="F693" s="273">
        <v>2023</v>
      </c>
      <c r="G693" s="273" t="s">
        <v>9505</v>
      </c>
      <c r="H693" s="273"/>
      <c r="I693" s="274">
        <v>45287</v>
      </c>
      <c r="J693" s="273" t="s">
        <v>9328</v>
      </c>
      <c r="K693" s="273" t="s">
        <v>9433</v>
      </c>
      <c r="L693" s="273" t="s">
        <v>422</v>
      </c>
      <c r="M693" s="275">
        <v>49856</v>
      </c>
      <c r="N693" s="273" t="s">
        <v>9500</v>
      </c>
      <c r="O693" s="273" t="s">
        <v>106</v>
      </c>
      <c r="P693" s="232">
        <v>5</v>
      </c>
    </row>
    <row r="694" spans="1:16" ht="15.75" customHeight="1" x14ac:dyDescent="0.35">
      <c r="A694" s="264">
        <v>686</v>
      </c>
      <c r="B694" s="273" t="s">
        <v>8503</v>
      </c>
      <c r="C694" s="273" t="s">
        <v>8504</v>
      </c>
      <c r="D694" s="273" t="s">
        <v>1498</v>
      </c>
      <c r="E694" s="273">
        <v>230</v>
      </c>
      <c r="F694" s="273">
        <v>2023</v>
      </c>
      <c r="G694" s="273" t="s">
        <v>9506</v>
      </c>
      <c r="H694" s="273"/>
      <c r="I694" s="274">
        <v>45287</v>
      </c>
      <c r="J694" s="273" t="s">
        <v>9328</v>
      </c>
      <c r="K694" s="273" t="s">
        <v>9433</v>
      </c>
      <c r="L694" s="273" t="s">
        <v>422</v>
      </c>
      <c r="M694" s="275">
        <v>29440</v>
      </c>
      <c r="N694" s="273" t="s">
        <v>9500</v>
      </c>
      <c r="O694" s="273" t="s">
        <v>106</v>
      </c>
      <c r="P694" s="232">
        <v>5</v>
      </c>
    </row>
    <row r="695" spans="1:16" ht="15.75" customHeight="1" x14ac:dyDescent="0.35">
      <c r="A695" s="258">
        <v>687</v>
      </c>
      <c r="B695" s="273" t="s">
        <v>8503</v>
      </c>
      <c r="C695" s="273" t="s">
        <v>8504</v>
      </c>
      <c r="D695" s="273" t="s">
        <v>1506</v>
      </c>
      <c r="E695" s="273">
        <v>300</v>
      </c>
      <c r="F695" s="273">
        <v>2023</v>
      </c>
      <c r="G695" s="273" t="s">
        <v>9507</v>
      </c>
      <c r="H695" s="273"/>
      <c r="I695" s="274">
        <v>45287</v>
      </c>
      <c r="J695" s="273" t="s">
        <v>9328</v>
      </c>
      <c r="K695" s="273" t="s">
        <v>9433</v>
      </c>
      <c r="L695" s="273" t="s">
        <v>422</v>
      </c>
      <c r="M695" s="275">
        <v>38400</v>
      </c>
      <c r="N695" s="273" t="s">
        <v>9500</v>
      </c>
      <c r="O695" s="273" t="s">
        <v>106</v>
      </c>
      <c r="P695" s="232">
        <v>5</v>
      </c>
    </row>
    <row r="696" spans="1:16" ht="15.75" customHeight="1" x14ac:dyDescent="0.35">
      <c r="A696" s="264">
        <v>688</v>
      </c>
      <c r="B696" s="273" t="s">
        <v>8503</v>
      </c>
      <c r="C696" s="273" t="s">
        <v>8504</v>
      </c>
      <c r="D696" s="273" t="s">
        <v>1511</v>
      </c>
      <c r="E696" s="273">
        <v>457.8</v>
      </c>
      <c r="F696" s="273">
        <v>2023</v>
      </c>
      <c r="G696" s="273" t="s">
        <v>9508</v>
      </c>
      <c r="H696" s="273"/>
      <c r="I696" s="274">
        <v>45287</v>
      </c>
      <c r="J696" s="273" t="s">
        <v>9328</v>
      </c>
      <c r="K696" s="273" t="s">
        <v>9433</v>
      </c>
      <c r="L696" s="273" t="s">
        <v>422</v>
      </c>
      <c r="M696" s="275">
        <v>58624</v>
      </c>
      <c r="N696" s="273" t="s">
        <v>9500</v>
      </c>
      <c r="O696" s="273" t="s">
        <v>106</v>
      </c>
      <c r="P696" s="232">
        <v>5</v>
      </c>
    </row>
    <row r="697" spans="1:16" ht="15.75" customHeight="1" x14ac:dyDescent="0.35">
      <c r="A697" s="258">
        <v>689</v>
      </c>
      <c r="B697" s="273" t="s">
        <v>8503</v>
      </c>
      <c r="C697" s="273" t="s">
        <v>8504</v>
      </c>
      <c r="D697" s="273" t="s">
        <v>1520</v>
      </c>
      <c r="E697" s="273">
        <v>654</v>
      </c>
      <c r="F697" s="273">
        <v>2023</v>
      </c>
      <c r="G697" s="273" t="s">
        <v>9509</v>
      </c>
      <c r="H697" s="273"/>
      <c r="I697" s="274">
        <v>45287</v>
      </c>
      <c r="J697" s="273" t="s">
        <v>9328</v>
      </c>
      <c r="K697" s="273" t="s">
        <v>9433</v>
      </c>
      <c r="L697" s="273" t="s">
        <v>422</v>
      </c>
      <c r="M697" s="275">
        <v>83712</v>
      </c>
      <c r="N697" s="273" t="s">
        <v>9500</v>
      </c>
      <c r="O697" s="273" t="s">
        <v>106</v>
      </c>
      <c r="P697" s="232">
        <v>5</v>
      </c>
    </row>
    <row r="698" spans="1:16" ht="15.75" customHeight="1" x14ac:dyDescent="0.35">
      <c r="A698" s="264">
        <v>690</v>
      </c>
      <c r="B698" s="273" t="s">
        <v>8503</v>
      </c>
      <c r="C698" s="273" t="s">
        <v>8504</v>
      </c>
      <c r="D698" s="273" t="s">
        <v>1526</v>
      </c>
      <c r="E698" s="273">
        <v>247.5</v>
      </c>
      <c r="F698" s="273">
        <v>2023</v>
      </c>
      <c r="G698" s="273" t="s">
        <v>9510</v>
      </c>
      <c r="H698" s="273"/>
      <c r="I698" s="274">
        <v>45287</v>
      </c>
      <c r="J698" s="273" t="s">
        <v>9328</v>
      </c>
      <c r="K698" s="273" t="s">
        <v>9433</v>
      </c>
      <c r="L698" s="273" t="s">
        <v>422</v>
      </c>
      <c r="M698" s="275">
        <v>163.68</v>
      </c>
      <c r="N698" s="273" t="s">
        <v>9500</v>
      </c>
      <c r="O698" s="273" t="s">
        <v>106</v>
      </c>
      <c r="P698" s="232">
        <v>5</v>
      </c>
    </row>
    <row r="699" spans="1:16" ht="15.75" customHeight="1" x14ac:dyDescent="0.35">
      <c r="A699" s="258">
        <v>691</v>
      </c>
      <c r="B699" s="273" t="s">
        <v>8503</v>
      </c>
      <c r="C699" s="273" t="s">
        <v>8504</v>
      </c>
      <c r="D699" s="273" t="s">
        <v>1532</v>
      </c>
      <c r="E699" s="273">
        <v>1848</v>
      </c>
      <c r="F699" s="273">
        <v>2023</v>
      </c>
      <c r="G699" s="273" t="s">
        <v>9511</v>
      </c>
      <c r="H699" s="273"/>
      <c r="I699" s="274">
        <v>45287</v>
      </c>
      <c r="J699" s="273" t="s">
        <v>9328</v>
      </c>
      <c r="K699" s="273" t="s">
        <v>9433</v>
      </c>
      <c r="L699" s="273" t="s">
        <v>422</v>
      </c>
      <c r="M699" s="275">
        <v>1219.68</v>
      </c>
      <c r="N699" s="273" t="s">
        <v>9500</v>
      </c>
      <c r="O699" s="273" t="s">
        <v>106</v>
      </c>
      <c r="P699" s="232">
        <v>5</v>
      </c>
    </row>
    <row r="700" spans="1:16" ht="15.75" customHeight="1" x14ac:dyDescent="0.35">
      <c r="A700" s="264">
        <v>692</v>
      </c>
      <c r="B700" s="273" t="s">
        <v>8503</v>
      </c>
      <c r="C700" s="273" t="s">
        <v>8504</v>
      </c>
      <c r="D700" s="273" t="s">
        <v>1537</v>
      </c>
      <c r="E700" s="273">
        <v>376</v>
      </c>
      <c r="F700" s="273">
        <v>2023</v>
      </c>
      <c r="G700" s="273" t="s">
        <v>9512</v>
      </c>
      <c r="H700" s="273"/>
      <c r="I700" s="274">
        <v>45287</v>
      </c>
      <c r="J700" s="273" t="s">
        <v>9328</v>
      </c>
      <c r="K700" s="273" t="s">
        <v>9433</v>
      </c>
      <c r="L700" s="273" t="s">
        <v>422</v>
      </c>
      <c r="M700" s="275">
        <v>13536</v>
      </c>
      <c r="N700" s="273" t="s">
        <v>9500</v>
      </c>
      <c r="O700" s="273" t="s">
        <v>106</v>
      </c>
      <c r="P700" s="232">
        <v>5</v>
      </c>
    </row>
    <row r="701" spans="1:16" ht="15.75" customHeight="1" x14ac:dyDescent="0.35">
      <c r="A701" s="258">
        <v>693</v>
      </c>
      <c r="B701" s="273" t="s">
        <v>8503</v>
      </c>
      <c r="C701" s="273" t="s">
        <v>8504</v>
      </c>
      <c r="D701" s="273" t="s">
        <v>1543</v>
      </c>
      <c r="E701" s="273">
        <v>463.5</v>
      </c>
      <c r="F701" s="273">
        <v>2023</v>
      </c>
      <c r="G701" s="273" t="s">
        <v>9513</v>
      </c>
      <c r="H701" s="273"/>
      <c r="I701" s="274">
        <v>45287</v>
      </c>
      <c r="J701" s="273" t="s">
        <v>9328</v>
      </c>
      <c r="K701" s="273" t="s">
        <v>9433</v>
      </c>
      <c r="L701" s="273" t="s">
        <v>422</v>
      </c>
      <c r="M701" s="275">
        <v>16704</v>
      </c>
      <c r="N701" s="273" t="s">
        <v>9500</v>
      </c>
      <c r="O701" s="273" t="s">
        <v>106</v>
      </c>
      <c r="P701" s="232">
        <v>5</v>
      </c>
    </row>
    <row r="702" spans="1:16" ht="15.75" customHeight="1" x14ac:dyDescent="0.35">
      <c r="A702" s="264">
        <v>694</v>
      </c>
      <c r="B702" s="273" t="s">
        <v>8503</v>
      </c>
      <c r="C702" s="273" t="s">
        <v>8504</v>
      </c>
      <c r="D702" s="273" t="s">
        <v>1548</v>
      </c>
      <c r="E702" s="273">
        <v>553.5</v>
      </c>
      <c r="F702" s="273">
        <v>2023</v>
      </c>
      <c r="G702" s="273" t="s">
        <v>9514</v>
      </c>
      <c r="H702" s="273"/>
      <c r="I702" s="274">
        <v>45287</v>
      </c>
      <c r="J702" s="273" t="s">
        <v>9328</v>
      </c>
      <c r="K702" s="273" t="s">
        <v>9433</v>
      </c>
      <c r="L702" s="273" t="s">
        <v>422</v>
      </c>
      <c r="M702" s="275">
        <v>19944</v>
      </c>
      <c r="N702" s="273" t="s">
        <v>9500</v>
      </c>
      <c r="O702" s="273" t="s">
        <v>106</v>
      </c>
      <c r="P702" s="232">
        <v>5</v>
      </c>
    </row>
    <row r="703" spans="1:16" ht="15.75" customHeight="1" x14ac:dyDescent="0.35">
      <c r="A703" s="258">
        <v>695</v>
      </c>
      <c r="B703" s="273" t="s">
        <v>8503</v>
      </c>
      <c r="C703" s="273" t="s">
        <v>8504</v>
      </c>
      <c r="D703" s="273" t="s">
        <v>7325</v>
      </c>
      <c r="E703" s="273">
        <v>508</v>
      </c>
      <c r="F703" s="273">
        <v>2023</v>
      </c>
      <c r="G703" s="273" t="s">
        <v>9515</v>
      </c>
      <c r="H703" s="273"/>
      <c r="I703" s="274">
        <v>45287</v>
      </c>
      <c r="J703" s="273" t="s">
        <v>9328</v>
      </c>
      <c r="K703" s="273" t="s">
        <v>9433</v>
      </c>
      <c r="L703" s="273" t="s">
        <v>422</v>
      </c>
      <c r="M703" s="275">
        <v>13716</v>
      </c>
      <c r="N703" s="273" t="s">
        <v>9500</v>
      </c>
      <c r="O703" s="273" t="s">
        <v>106</v>
      </c>
      <c r="P703" s="232">
        <v>5</v>
      </c>
    </row>
    <row r="704" spans="1:16" ht="15.75" customHeight="1" x14ac:dyDescent="0.35">
      <c r="A704" s="264">
        <v>696</v>
      </c>
      <c r="B704" s="273" t="s">
        <v>8503</v>
      </c>
      <c r="C704" s="273" t="s">
        <v>8504</v>
      </c>
      <c r="D704" s="273" t="s">
        <v>6076</v>
      </c>
      <c r="E704" s="273">
        <v>129</v>
      </c>
      <c r="F704" s="273">
        <v>2023</v>
      </c>
      <c r="G704" s="273" t="s">
        <v>9516</v>
      </c>
      <c r="H704" s="273"/>
      <c r="I704" s="274">
        <v>45287</v>
      </c>
      <c r="J704" s="273" t="s">
        <v>9328</v>
      </c>
      <c r="K704" s="273" t="s">
        <v>9433</v>
      </c>
      <c r="L704" s="273" t="s">
        <v>422</v>
      </c>
      <c r="M704" s="275">
        <v>3483</v>
      </c>
      <c r="N704" s="273" t="s">
        <v>9500</v>
      </c>
      <c r="O704" s="273" t="s">
        <v>106</v>
      </c>
      <c r="P704" s="232">
        <v>5</v>
      </c>
    </row>
    <row r="705" spans="1:16" ht="15.75" customHeight="1" x14ac:dyDescent="0.35">
      <c r="A705" s="258">
        <v>697</v>
      </c>
      <c r="B705" s="273" t="s">
        <v>8503</v>
      </c>
      <c r="C705" s="273" t="s">
        <v>8504</v>
      </c>
      <c r="D705" s="273" t="s">
        <v>6081</v>
      </c>
      <c r="E705" s="273">
        <v>561</v>
      </c>
      <c r="F705" s="273">
        <v>2023</v>
      </c>
      <c r="G705" s="273" t="s">
        <v>9517</v>
      </c>
      <c r="H705" s="273"/>
      <c r="I705" s="274">
        <v>45287</v>
      </c>
      <c r="J705" s="273" t="s">
        <v>9328</v>
      </c>
      <c r="K705" s="273" t="s">
        <v>9433</v>
      </c>
      <c r="L705" s="273" t="s">
        <v>422</v>
      </c>
      <c r="M705" s="275">
        <v>15147</v>
      </c>
      <c r="N705" s="273" t="s">
        <v>9500</v>
      </c>
      <c r="O705" s="273" t="s">
        <v>106</v>
      </c>
      <c r="P705" s="232">
        <v>5</v>
      </c>
    </row>
    <row r="706" spans="1:16" ht="15.75" customHeight="1" x14ac:dyDescent="0.35">
      <c r="A706" s="264">
        <v>698</v>
      </c>
      <c r="B706" s="273" t="s">
        <v>8503</v>
      </c>
      <c r="C706" s="273" t="s">
        <v>8504</v>
      </c>
      <c r="D706" s="273" t="s">
        <v>6085</v>
      </c>
      <c r="E706" s="273">
        <v>10800</v>
      </c>
      <c r="F706" s="273">
        <v>2023</v>
      </c>
      <c r="G706" s="273" t="s">
        <v>9518</v>
      </c>
      <c r="H706" s="273"/>
      <c r="I706" s="274">
        <v>45287</v>
      </c>
      <c r="J706" s="273" t="s">
        <v>9328</v>
      </c>
      <c r="K706" s="273" t="s">
        <v>9433</v>
      </c>
      <c r="L706" s="273" t="s">
        <v>422</v>
      </c>
      <c r="M706" s="275">
        <v>291600</v>
      </c>
      <c r="N706" s="273" t="s">
        <v>9500</v>
      </c>
      <c r="O706" s="273" t="s">
        <v>106</v>
      </c>
      <c r="P706" s="232">
        <v>5</v>
      </c>
    </row>
    <row r="707" spans="1:16" ht="15.75" customHeight="1" x14ac:dyDescent="0.35">
      <c r="A707" s="258">
        <v>699</v>
      </c>
      <c r="B707" s="273" t="s">
        <v>8503</v>
      </c>
      <c r="C707" s="273" t="s">
        <v>8504</v>
      </c>
      <c r="D707" s="273" t="s">
        <v>6089</v>
      </c>
      <c r="E707" s="273">
        <v>750</v>
      </c>
      <c r="F707" s="273">
        <v>2023</v>
      </c>
      <c r="G707" s="273" t="s">
        <v>9519</v>
      </c>
      <c r="H707" s="273"/>
      <c r="I707" s="274">
        <v>45287</v>
      </c>
      <c r="J707" s="273" t="s">
        <v>9328</v>
      </c>
      <c r="K707" s="273" t="s">
        <v>9433</v>
      </c>
      <c r="L707" s="273" t="s">
        <v>422</v>
      </c>
      <c r="M707" s="275">
        <v>20250</v>
      </c>
      <c r="N707" s="273" t="s">
        <v>9500</v>
      </c>
      <c r="O707" s="273" t="s">
        <v>106</v>
      </c>
      <c r="P707" s="232">
        <v>5</v>
      </c>
    </row>
    <row r="708" spans="1:16" ht="15.75" customHeight="1" x14ac:dyDescent="0.35">
      <c r="A708" s="264">
        <v>700</v>
      </c>
      <c r="B708" s="273" t="s">
        <v>8503</v>
      </c>
      <c r="C708" s="273" t="s">
        <v>8504</v>
      </c>
      <c r="D708" s="273" t="s">
        <v>7341</v>
      </c>
      <c r="E708" s="273">
        <v>623</v>
      </c>
      <c r="F708" s="273">
        <v>2023</v>
      </c>
      <c r="G708" s="273" t="s">
        <v>9520</v>
      </c>
      <c r="H708" s="273"/>
      <c r="I708" s="274">
        <v>45287</v>
      </c>
      <c r="J708" s="273" t="s">
        <v>9328</v>
      </c>
      <c r="K708" s="273" t="s">
        <v>9433</v>
      </c>
      <c r="L708" s="273" t="s">
        <v>422</v>
      </c>
      <c r="M708" s="275">
        <v>16821</v>
      </c>
      <c r="N708" s="273" t="s">
        <v>9500</v>
      </c>
      <c r="O708" s="273" t="s">
        <v>106</v>
      </c>
      <c r="P708" s="232">
        <v>5</v>
      </c>
    </row>
    <row r="709" spans="1:16" ht="15.75" customHeight="1" x14ac:dyDescent="0.35">
      <c r="A709" s="258">
        <v>701</v>
      </c>
      <c r="B709" s="273" t="s">
        <v>8503</v>
      </c>
      <c r="C709" s="273" t="s">
        <v>8504</v>
      </c>
      <c r="D709" s="273" t="s">
        <v>6092</v>
      </c>
      <c r="E709" s="273">
        <v>786.5</v>
      </c>
      <c r="F709" s="273">
        <v>2023</v>
      </c>
      <c r="G709" s="273" t="s">
        <v>9521</v>
      </c>
      <c r="H709" s="273"/>
      <c r="I709" s="274">
        <v>45287</v>
      </c>
      <c r="J709" s="273" t="s">
        <v>9328</v>
      </c>
      <c r="K709" s="273" t="s">
        <v>9433</v>
      </c>
      <c r="L709" s="273" t="s">
        <v>422</v>
      </c>
      <c r="M709" s="275">
        <v>21249</v>
      </c>
      <c r="N709" s="273" t="s">
        <v>9500</v>
      </c>
      <c r="O709" s="273" t="s">
        <v>106</v>
      </c>
      <c r="P709" s="232">
        <v>5</v>
      </c>
    </row>
    <row r="710" spans="1:16" ht="15.75" customHeight="1" x14ac:dyDescent="0.35">
      <c r="A710" s="264">
        <v>702</v>
      </c>
      <c r="B710" s="273" t="s">
        <v>8503</v>
      </c>
      <c r="C710" s="273" t="s">
        <v>8504</v>
      </c>
      <c r="D710" s="273" t="s">
        <v>7348</v>
      </c>
      <c r="E710" s="273">
        <v>981</v>
      </c>
      <c r="F710" s="273">
        <v>2023</v>
      </c>
      <c r="G710" s="273" t="s">
        <v>9522</v>
      </c>
      <c r="H710" s="273"/>
      <c r="I710" s="274">
        <v>45287</v>
      </c>
      <c r="J710" s="273" t="s">
        <v>9328</v>
      </c>
      <c r="K710" s="273" t="s">
        <v>9433</v>
      </c>
      <c r="L710" s="273" t="s">
        <v>422</v>
      </c>
      <c r="M710" s="275">
        <v>26487</v>
      </c>
      <c r="N710" s="273" t="s">
        <v>9500</v>
      </c>
      <c r="O710" s="273" t="s">
        <v>106</v>
      </c>
      <c r="P710" s="232">
        <v>5</v>
      </c>
    </row>
    <row r="711" spans="1:16" ht="15.75" customHeight="1" x14ac:dyDescent="0.35">
      <c r="A711" s="258">
        <v>703</v>
      </c>
      <c r="B711" s="273" t="s">
        <v>8503</v>
      </c>
      <c r="C711" s="273" t="s">
        <v>8504</v>
      </c>
      <c r="D711" s="273" t="s">
        <v>6097</v>
      </c>
      <c r="E711" s="273">
        <v>531</v>
      </c>
      <c r="F711" s="273">
        <v>2023</v>
      </c>
      <c r="G711" s="273" t="s">
        <v>9523</v>
      </c>
      <c r="H711" s="273"/>
      <c r="I711" s="274">
        <v>45287</v>
      </c>
      <c r="J711" s="273" t="s">
        <v>9328</v>
      </c>
      <c r="K711" s="273" t="s">
        <v>9433</v>
      </c>
      <c r="L711" s="273" t="s">
        <v>422</v>
      </c>
      <c r="M711" s="275">
        <v>14337</v>
      </c>
      <c r="N711" s="273" t="s">
        <v>9500</v>
      </c>
      <c r="O711" s="273" t="s">
        <v>106</v>
      </c>
      <c r="P711" s="232">
        <v>5</v>
      </c>
    </row>
    <row r="712" spans="1:16" ht="15.75" customHeight="1" x14ac:dyDescent="0.35">
      <c r="A712" s="264">
        <v>704</v>
      </c>
      <c r="B712" s="273" t="s">
        <v>8503</v>
      </c>
      <c r="C712" s="273" t="s">
        <v>8504</v>
      </c>
      <c r="D712" s="273" t="s">
        <v>6102</v>
      </c>
      <c r="E712" s="273">
        <v>305.55</v>
      </c>
      <c r="F712" s="273">
        <v>2023</v>
      </c>
      <c r="G712" s="273" t="s">
        <v>9524</v>
      </c>
      <c r="H712" s="273"/>
      <c r="I712" s="274">
        <v>45287</v>
      </c>
      <c r="J712" s="273" t="s">
        <v>9328</v>
      </c>
      <c r="K712" s="273" t="s">
        <v>9433</v>
      </c>
      <c r="L712" s="273" t="s">
        <v>422</v>
      </c>
      <c r="M712" s="275">
        <v>31518</v>
      </c>
      <c r="N712" s="273" t="s">
        <v>9500</v>
      </c>
      <c r="O712" s="273" t="s">
        <v>106</v>
      </c>
      <c r="P712" s="232">
        <v>5</v>
      </c>
    </row>
    <row r="713" spans="1:16" ht="15.75" customHeight="1" x14ac:dyDescent="0.35">
      <c r="A713" s="258">
        <v>705</v>
      </c>
      <c r="B713" s="273" t="s">
        <v>8503</v>
      </c>
      <c r="C713" s="273" t="s">
        <v>8504</v>
      </c>
      <c r="D713" s="273" t="s">
        <v>6108</v>
      </c>
      <c r="E713" s="273">
        <v>171.6</v>
      </c>
      <c r="F713" s="273">
        <v>2023</v>
      </c>
      <c r="G713" s="273" t="s">
        <v>9525</v>
      </c>
      <c r="H713" s="273"/>
      <c r="I713" s="274">
        <v>45287</v>
      </c>
      <c r="J713" s="273" t="s">
        <v>9328</v>
      </c>
      <c r="K713" s="273" t="s">
        <v>9433</v>
      </c>
      <c r="L713" s="273" t="s">
        <v>422</v>
      </c>
      <c r="M713" s="275">
        <v>17716</v>
      </c>
      <c r="N713" s="273" t="s">
        <v>9500</v>
      </c>
      <c r="O713" s="273" t="s">
        <v>106</v>
      </c>
      <c r="P713" s="232">
        <v>5</v>
      </c>
    </row>
    <row r="714" spans="1:16" ht="15.75" customHeight="1" x14ac:dyDescent="0.35">
      <c r="A714" s="264">
        <v>706</v>
      </c>
      <c r="B714" s="273" t="s">
        <v>8503</v>
      </c>
      <c r="C714" s="273" t="s">
        <v>8504</v>
      </c>
      <c r="D714" s="273" t="s">
        <v>6114</v>
      </c>
      <c r="E714" s="273">
        <v>566.4</v>
      </c>
      <c r="F714" s="273">
        <v>2023</v>
      </c>
      <c r="G714" s="273" t="s">
        <v>9526</v>
      </c>
      <c r="H714" s="273"/>
      <c r="I714" s="274">
        <v>45287</v>
      </c>
      <c r="J714" s="273" t="s">
        <v>9328</v>
      </c>
      <c r="K714" s="273" t="s">
        <v>9433</v>
      </c>
      <c r="L714" s="273" t="s">
        <v>422</v>
      </c>
      <c r="M714" s="275">
        <v>15282</v>
      </c>
      <c r="N714" s="273" t="s">
        <v>9500</v>
      </c>
      <c r="O714" s="273" t="s">
        <v>106</v>
      </c>
      <c r="P714" s="232">
        <v>5</v>
      </c>
    </row>
    <row r="715" spans="1:16" ht="15.75" customHeight="1" x14ac:dyDescent="0.35">
      <c r="A715" s="258">
        <v>707</v>
      </c>
      <c r="B715" s="273" t="s">
        <v>8503</v>
      </c>
      <c r="C715" s="273" t="s">
        <v>8504</v>
      </c>
      <c r="D715" s="273" t="s">
        <v>6120</v>
      </c>
      <c r="E715" s="273">
        <v>373.8</v>
      </c>
      <c r="F715" s="273">
        <v>2023</v>
      </c>
      <c r="G715" s="273" t="s">
        <v>9527</v>
      </c>
      <c r="H715" s="273"/>
      <c r="I715" s="274">
        <v>45287</v>
      </c>
      <c r="J715" s="273" t="s">
        <v>9328</v>
      </c>
      <c r="K715" s="273" t="s">
        <v>9433</v>
      </c>
      <c r="L715" s="273" t="s">
        <v>422</v>
      </c>
      <c r="M715" s="275">
        <v>10098</v>
      </c>
      <c r="N715" s="273" t="s">
        <v>9500</v>
      </c>
      <c r="O715" s="273" t="s">
        <v>106</v>
      </c>
      <c r="P715" s="232">
        <v>5</v>
      </c>
    </row>
    <row r="716" spans="1:16" ht="15.75" customHeight="1" x14ac:dyDescent="0.35">
      <c r="A716" s="264">
        <v>708</v>
      </c>
      <c r="B716" s="273" t="s">
        <v>8503</v>
      </c>
      <c r="C716" s="273" t="s">
        <v>8504</v>
      </c>
      <c r="D716" s="273" t="s">
        <v>6126</v>
      </c>
      <c r="E716" s="273">
        <v>819.5</v>
      </c>
      <c r="F716" s="273">
        <v>2023</v>
      </c>
      <c r="G716" s="273" t="s">
        <v>9528</v>
      </c>
      <c r="H716" s="273"/>
      <c r="I716" s="274">
        <v>45287</v>
      </c>
      <c r="J716" s="273" t="s">
        <v>9328</v>
      </c>
      <c r="K716" s="273" t="s">
        <v>9433</v>
      </c>
      <c r="L716" s="273" t="s">
        <v>422</v>
      </c>
      <c r="M716" s="275">
        <v>22140</v>
      </c>
      <c r="N716" s="273" t="s">
        <v>9500</v>
      </c>
      <c r="O716" s="273" t="s">
        <v>106</v>
      </c>
      <c r="P716" s="232">
        <v>5</v>
      </c>
    </row>
    <row r="717" spans="1:16" ht="15.75" customHeight="1" x14ac:dyDescent="0.35">
      <c r="A717" s="258">
        <v>709</v>
      </c>
      <c r="B717" s="273" t="s">
        <v>8503</v>
      </c>
      <c r="C717" s="273" t="s">
        <v>8504</v>
      </c>
      <c r="D717" s="273" t="s">
        <v>6132</v>
      </c>
      <c r="E717" s="273">
        <v>318</v>
      </c>
      <c r="F717" s="273">
        <v>2023</v>
      </c>
      <c r="G717" s="273" t="s">
        <v>9529</v>
      </c>
      <c r="H717" s="273"/>
      <c r="I717" s="274">
        <v>45287</v>
      </c>
      <c r="J717" s="273" t="s">
        <v>9328</v>
      </c>
      <c r="K717" s="273" t="s">
        <v>9433</v>
      </c>
      <c r="L717" s="273" t="s">
        <v>422</v>
      </c>
      <c r="M717" s="275">
        <v>8586</v>
      </c>
      <c r="N717" s="273" t="s">
        <v>9500</v>
      </c>
      <c r="O717" s="273" t="s">
        <v>106</v>
      </c>
      <c r="P717" s="232">
        <v>5</v>
      </c>
    </row>
    <row r="718" spans="1:16" ht="15.75" customHeight="1" x14ac:dyDescent="0.35">
      <c r="A718" s="264">
        <v>710</v>
      </c>
      <c r="B718" s="273" t="s">
        <v>8503</v>
      </c>
      <c r="C718" s="273" t="s">
        <v>8504</v>
      </c>
      <c r="D718" s="273" t="s">
        <v>6138</v>
      </c>
      <c r="E718" s="273">
        <v>734.5</v>
      </c>
      <c r="F718" s="273">
        <v>2023</v>
      </c>
      <c r="G718" s="273" t="s">
        <v>9530</v>
      </c>
      <c r="H718" s="273"/>
      <c r="I718" s="274">
        <v>45287</v>
      </c>
      <c r="J718" s="273" t="s">
        <v>9328</v>
      </c>
      <c r="K718" s="273" t="s">
        <v>9433</v>
      </c>
      <c r="L718" s="273" t="s">
        <v>422</v>
      </c>
      <c r="M718" s="275">
        <v>26460</v>
      </c>
      <c r="N718" s="273" t="s">
        <v>9500</v>
      </c>
      <c r="O718" s="273" t="s">
        <v>106</v>
      </c>
      <c r="P718" s="232">
        <v>5</v>
      </c>
    </row>
    <row r="719" spans="1:16" ht="15.75" customHeight="1" x14ac:dyDescent="0.35">
      <c r="A719" s="258">
        <v>711</v>
      </c>
      <c r="B719" s="273" t="s">
        <v>8503</v>
      </c>
      <c r="C719" s="273" t="s">
        <v>8504</v>
      </c>
      <c r="D719" s="273" t="s">
        <v>6144</v>
      </c>
      <c r="E719" s="273">
        <v>1362.1</v>
      </c>
      <c r="F719" s="273">
        <v>2023</v>
      </c>
      <c r="G719" s="273" t="s">
        <v>9531</v>
      </c>
      <c r="H719" s="273"/>
      <c r="I719" s="274">
        <v>45287</v>
      </c>
      <c r="J719" s="273" t="s">
        <v>9328</v>
      </c>
      <c r="K719" s="273" t="s">
        <v>9433</v>
      </c>
      <c r="L719" s="273" t="s">
        <v>422</v>
      </c>
      <c r="M719" s="275">
        <v>49032</v>
      </c>
      <c r="N719" s="273" t="s">
        <v>9500</v>
      </c>
      <c r="O719" s="273" t="s">
        <v>106</v>
      </c>
      <c r="P719" s="232">
        <v>5</v>
      </c>
    </row>
    <row r="720" spans="1:16" ht="15.75" customHeight="1" x14ac:dyDescent="0.35">
      <c r="A720" s="264">
        <v>712</v>
      </c>
      <c r="B720" s="273" t="s">
        <v>8503</v>
      </c>
      <c r="C720" s="273" t="s">
        <v>8504</v>
      </c>
      <c r="D720" s="273" t="s">
        <v>6150</v>
      </c>
      <c r="E720" s="273">
        <v>436</v>
      </c>
      <c r="F720" s="273">
        <v>2023</v>
      </c>
      <c r="G720" s="273" t="s">
        <v>9532</v>
      </c>
      <c r="H720" s="273"/>
      <c r="I720" s="274">
        <v>45287</v>
      </c>
      <c r="J720" s="273" t="s">
        <v>9328</v>
      </c>
      <c r="K720" s="273" t="s">
        <v>9433</v>
      </c>
      <c r="L720" s="273" t="s">
        <v>422</v>
      </c>
      <c r="M720" s="275">
        <v>11772</v>
      </c>
      <c r="N720" s="273" t="s">
        <v>9500</v>
      </c>
      <c r="O720" s="273" t="s">
        <v>106</v>
      </c>
      <c r="P720" s="232">
        <v>5</v>
      </c>
    </row>
    <row r="721" spans="1:16" ht="15.75" customHeight="1" x14ac:dyDescent="0.35">
      <c r="A721" s="258">
        <v>713</v>
      </c>
      <c r="B721" s="273" t="s">
        <v>8503</v>
      </c>
      <c r="C721" s="273" t="s">
        <v>8504</v>
      </c>
      <c r="D721" s="273" t="s">
        <v>6156</v>
      </c>
      <c r="E721" s="273">
        <v>412.5</v>
      </c>
      <c r="F721" s="273">
        <v>2023</v>
      </c>
      <c r="G721" s="273" t="s">
        <v>9533</v>
      </c>
      <c r="H721" s="273"/>
      <c r="I721" s="274">
        <v>45287</v>
      </c>
      <c r="J721" s="273" t="s">
        <v>9328</v>
      </c>
      <c r="K721" s="273" t="s">
        <v>9433</v>
      </c>
      <c r="L721" s="273" t="s">
        <v>422</v>
      </c>
      <c r="M721" s="275">
        <v>11151</v>
      </c>
      <c r="N721" s="273" t="s">
        <v>9500</v>
      </c>
      <c r="O721" s="273" t="s">
        <v>106</v>
      </c>
      <c r="P721" s="232">
        <v>5</v>
      </c>
    </row>
    <row r="722" spans="1:16" ht="15.75" customHeight="1" x14ac:dyDescent="0.35">
      <c r="A722" s="264">
        <v>714</v>
      </c>
      <c r="B722" s="273" t="s">
        <v>8503</v>
      </c>
      <c r="C722" s="273" t="s">
        <v>8504</v>
      </c>
      <c r="D722" s="273" t="s">
        <v>6162</v>
      </c>
      <c r="E722" s="273">
        <v>412.5</v>
      </c>
      <c r="F722" s="273">
        <v>2023</v>
      </c>
      <c r="G722" s="273" t="s">
        <v>9534</v>
      </c>
      <c r="H722" s="273"/>
      <c r="I722" s="274">
        <v>45287</v>
      </c>
      <c r="J722" s="273" t="s">
        <v>9328</v>
      </c>
      <c r="K722" s="273" t="s">
        <v>9433</v>
      </c>
      <c r="L722" s="273" t="s">
        <v>422</v>
      </c>
      <c r="M722" s="275">
        <v>11151</v>
      </c>
      <c r="N722" s="273" t="s">
        <v>9500</v>
      </c>
      <c r="O722" s="273" t="s">
        <v>106</v>
      </c>
      <c r="P722" s="232">
        <v>5</v>
      </c>
    </row>
    <row r="723" spans="1:16" ht="15.75" customHeight="1" x14ac:dyDescent="0.35">
      <c r="A723" s="258">
        <v>715</v>
      </c>
      <c r="B723" s="273" t="s">
        <v>8503</v>
      </c>
      <c r="C723" s="273" t="s">
        <v>8504</v>
      </c>
      <c r="D723" s="273" t="s">
        <v>6168</v>
      </c>
      <c r="E723" s="273">
        <v>552.20000000000005</v>
      </c>
      <c r="F723" s="273">
        <v>2023</v>
      </c>
      <c r="G723" s="273" t="s">
        <v>9535</v>
      </c>
      <c r="H723" s="273"/>
      <c r="I723" s="274">
        <v>45287</v>
      </c>
      <c r="J723" s="273" t="s">
        <v>9328</v>
      </c>
      <c r="K723" s="273" t="s">
        <v>9433</v>
      </c>
      <c r="L723" s="273" t="s">
        <v>422</v>
      </c>
      <c r="M723" s="275">
        <v>14904</v>
      </c>
      <c r="N723" s="273" t="s">
        <v>9500</v>
      </c>
      <c r="O723" s="273" t="s">
        <v>106</v>
      </c>
      <c r="P723" s="232">
        <v>5</v>
      </c>
    </row>
    <row r="724" spans="1:16" ht="15.75" customHeight="1" x14ac:dyDescent="0.35">
      <c r="A724" s="264">
        <v>716</v>
      </c>
      <c r="B724" s="273" t="s">
        <v>8503</v>
      </c>
      <c r="C724" s="273" t="s">
        <v>8504</v>
      </c>
      <c r="D724" s="273" t="s">
        <v>6174</v>
      </c>
      <c r="E724" s="273">
        <v>552.20000000000005</v>
      </c>
      <c r="F724" s="273">
        <v>2023</v>
      </c>
      <c r="G724" s="273" t="s">
        <v>9536</v>
      </c>
      <c r="H724" s="273"/>
      <c r="I724" s="274">
        <v>45287</v>
      </c>
      <c r="J724" s="273" t="s">
        <v>9328</v>
      </c>
      <c r="K724" s="273" t="s">
        <v>9433</v>
      </c>
      <c r="L724" s="273" t="s">
        <v>422</v>
      </c>
      <c r="M724" s="275">
        <v>14904</v>
      </c>
      <c r="N724" s="273" t="s">
        <v>9500</v>
      </c>
      <c r="O724" s="273" t="s">
        <v>106</v>
      </c>
      <c r="P724" s="232">
        <v>5</v>
      </c>
    </row>
    <row r="725" spans="1:16" ht="15.75" customHeight="1" x14ac:dyDescent="0.35">
      <c r="A725" s="258">
        <v>717</v>
      </c>
      <c r="B725" s="273" t="s">
        <v>8503</v>
      </c>
      <c r="C725" s="273" t="s">
        <v>8504</v>
      </c>
      <c r="D725" s="273" t="s">
        <v>6180</v>
      </c>
      <c r="E725" s="273">
        <v>623</v>
      </c>
      <c r="F725" s="273">
        <v>2023</v>
      </c>
      <c r="G725" s="273" t="s">
        <v>9537</v>
      </c>
      <c r="H725" s="273"/>
      <c r="I725" s="274">
        <v>45287</v>
      </c>
      <c r="J725" s="273" t="s">
        <v>9328</v>
      </c>
      <c r="K725" s="273" t="s">
        <v>9433</v>
      </c>
      <c r="L725" s="273" t="s">
        <v>422</v>
      </c>
      <c r="M725" s="275">
        <v>16821</v>
      </c>
      <c r="N725" s="273" t="s">
        <v>9500</v>
      </c>
      <c r="O725" s="273" t="s">
        <v>106</v>
      </c>
      <c r="P725" s="232">
        <v>5</v>
      </c>
    </row>
    <row r="726" spans="1:16" ht="15.75" customHeight="1" x14ac:dyDescent="0.35">
      <c r="A726" s="264">
        <v>718</v>
      </c>
      <c r="B726" s="273" t="s">
        <v>8503</v>
      </c>
      <c r="C726" s="273" t="s">
        <v>8504</v>
      </c>
      <c r="D726" s="273" t="s">
        <v>6186</v>
      </c>
      <c r="E726" s="273">
        <v>554.9</v>
      </c>
      <c r="F726" s="273">
        <v>2023</v>
      </c>
      <c r="G726" s="273" t="s">
        <v>9538</v>
      </c>
      <c r="H726" s="273"/>
      <c r="I726" s="274">
        <v>45287</v>
      </c>
      <c r="J726" s="273" t="s">
        <v>9328</v>
      </c>
      <c r="K726" s="273" t="s">
        <v>9433</v>
      </c>
      <c r="L726" s="273" t="s">
        <v>422</v>
      </c>
      <c r="M726" s="275">
        <v>11100</v>
      </c>
      <c r="N726" s="273" t="s">
        <v>9500</v>
      </c>
      <c r="O726" s="273" t="s">
        <v>106</v>
      </c>
      <c r="P726" s="232">
        <v>5</v>
      </c>
    </row>
    <row r="727" spans="1:16" ht="15.75" customHeight="1" x14ac:dyDescent="0.35">
      <c r="A727" s="258">
        <v>719</v>
      </c>
      <c r="B727" s="273" t="s">
        <v>8503</v>
      </c>
      <c r="C727" s="273" t="s">
        <v>8504</v>
      </c>
      <c r="D727" s="273" t="s">
        <v>6192</v>
      </c>
      <c r="E727" s="273">
        <v>1109.2</v>
      </c>
      <c r="F727" s="273">
        <v>2023</v>
      </c>
      <c r="G727" s="273" t="s">
        <v>9539</v>
      </c>
      <c r="H727" s="273"/>
      <c r="I727" s="274">
        <v>45287</v>
      </c>
      <c r="J727" s="273" t="s">
        <v>9328</v>
      </c>
      <c r="K727" s="273" t="s">
        <v>9433</v>
      </c>
      <c r="L727" s="273" t="s">
        <v>422</v>
      </c>
      <c r="M727" s="275">
        <v>22180</v>
      </c>
      <c r="N727" s="273" t="s">
        <v>9500</v>
      </c>
      <c r="O727" s="273" t="s">
        <v>106</v>
      </c>
      <c r="P727" s="232">
        <v>5</v>
      </c>
    </row>
    <row r="728" spans="1:16" ht="15.75" customHeight="1" x14ac:dyDescent="0.35">
      <c r="A728" s="264">
        <v>720</v>
      </c>
      <c r="B728" s="273" t="s">
        <v>8503</v>
      </c>
      <c r="C728" s="273" t="s">
        <v>8504</v>
      </c>
      <c r="D728" s="273" t="s">
        <v>7400</v>
      </c>
      <c r="E728" s="273">
        <v>976</v>
      </c>
      <c r="F728" s="273">
        <v>2023</v>
      </c>
      <c r="G728" s="273" t="s">
        <v>9540</v>
      </c>
      <c r="H728" s="273"/>
      <c r="I728" s="274">
        <v>45287</v>
      </c>
      <c r="J728" s="273" t="s">
        <v>9328</v>
      </c>
      <c r="K728" s="273" t="s">
        <v>9433</v>
      </c>
      <c r="L728" s="273" t="s">
        <v>422</v>
      </c>
      <c r="M728" s="275">
        <v>19520</v>
      </c>
      <c r="N728" s="273" t="s">
        <v>9500</v>
      </c>
      <c r="O728" s="273" t="s">
        <v>106</v>
      </c>
      <c r="P728" s="232">
        <v>5</v>
      </c>
    </row>
    <row r="729" spans="1:16" ht="15.75" customHeight="1" x14ac:dyDescent="0.35">
      <c r="A729" s="258">
        <v>721</v>
      </c>
      <c r="B729" s="273" t="s">
        <v>8503</v>
      </c>
      <c r="C729" s="273" t="s">
        <v>8504</v>
      </c>
      <c r="D729" s="273" t="s">
        <v>7406</v>
      </c>
      <c r="E729" s="273">
        <v>630</v>
      </c>
      <c r="F729" s="273">
        <v>2023</v>
      </c>
      <c r="G729" s="273" t="s">
        <v>9541</v>
      </c>
      <c r="H729" s="273"/>
      <c r="I729" s="274">
        <v>45287</v>
      </c>
      <c r="J729" s="273" t="s">
        <v>9328</v>
      </c>
      <c r="K729" s="273" t="s">
        <v>9433</v>
      </c>
      <c r="L729" s="273" t="s">
        <v>422</v>
      </c>
      <c r="M729" s="275">
        <v>12600</v>
      </c>
      <c r="N729" s="273" t="s">
        <v>9500</v>
      </c>
      <c r="O729" s="273" t="s">
        <v>106</v>
      </c>
      <c r="P729" s="232">
        <v>5</v>
      </c>
    </row>
    <row r="730" spans="1:16" ht="15.75" customHeight="1" x14ac:dyDescent="0.35">
      <c r="A730" s="264">
        <v>722</v>
      </c>
      <c r="B730" s="273" t="s">
        <v>8503</v>
      </c>
      <c r="C730" s="273" t="s">
        <v>8504</v>
      </c>
      <c r="D730" s="273" t="s">
        <v>7410</v>
      </c>
      <c r="E730" s="273">
        <v>976</v>
      </c>
      <c r="F730" s="273">
        <v>2023</v>
      </c>
      <c r="G730" s="273" t="s">
        <v>9542</v>
      </c>
      <c r="H730" s="273"/>
      <c r="I730" s="274">
        <v>45287</v>
      </c>
      <c r="J730" s="273" t="s">
        <v>9328</v>
      </c>
      <c r="K730" s="273" t="s">
        <v>9433</v>
      </c>
      <c r="L730" s="273" t="s">
        <v>422</v>
      </c>
      <c r="M730" s="275">
        <v>19520</v>
      </c>
      <c r="N730" s="273" t="s">
        <v>9500</v>
      </c>
      <c r="O730" s="273" t="s">
        <v>106</v>
      </c>
      <c r="P730" s="232">
        <v>5</v>
      </c>
    </row>
    <row r="731" spans="1:16" ht="15.75" customHeight="1" x14ac:dyDescent="0.35">
      <c r="A731" s="258">
        <v>723</v>
      </c>
      <c r="B731" s="273" t="s">
        <v>8503</v>
      </c>
      <c r="C731" s="273" t="s">
        <v>8504</v>
      </c>
      <c r="D731" s="273" t="s">
        <v>6198</v>
      </c>
      <c r="E731" s="273">
        <v>1099.8</v>
      </c>
      <c r="F731" s="273">
        <v>2023</v>
      </c>
      <c r="G731" s="273" t="s">
        <v>9543</v>
      </c>
      <c r="H731" s="273"/>
      <c r="I731" s="274">
        <v>45287</v>
      </c>
      <c r="J731" s="273" t="s">
        <v>9328</v>
      </c>
      <c r="K731" s="273" t="s">
        <v>9433</v>
      </c>
      <c r="L731" s="273" t="s">
        <v>422</v>
      </c>
      <c r="M731" s="275">
        <v>22000</v>
      </c>
      <c r="N731" s="273" t="s">
        <v>9500</v>
      </c>
      <c r="O731" s="273" t="s">
        <v>106</v>
      </c>
      <c r="P731" s="232">
        <v>5</v>
      </c>
    </row>
    <row r="732" spans="1:16" ht="15.75" customHeight="1" x14ac:dyDescent="0.35">
      <c r="A732" s="264">
        <v>724</v>
      </c>
      <c r="B732" s="273" t="s">
        <v>8503</v>
      </c>
      <c r="C732" s="273" t="s">
        <v>8504</v>
      </c>
      <c r="D732" s="273" t="s">
        <v>6204</v>
      </c>
      <c r="E732" s="273">
        <v>1125</v>
      </c>
      <c r="F732" s="273">
        <v>2023</v>
      </c>
      <c r="G732" s="273" t="s">
        <v>9544</v>
      </c>
      <c r="H732" s="273"/>
      <c r="I732" s="274">
        <v>45287</v>
      </c>
      <c r="J732" s="273" t="s">
        <v>9328</v>
      </c>
      <c r="K732" s="273" t="s">
        <v>9433</v>
      </c>
      <c r="L732" s="273" t="s">
        <v>422</v>
      </c>
      <c r="M732" s="275">
        <v>15750</v>
      </c>
      <c r="N732" s="273" t="s">
        <v>9500</v>
      </c>
      <c r="O732" s="273" t="s">
        <v>106</v>
      </c>
      <c r="P732" s="232">
        <v>5</v>
      </c>
    </row>
    <row r="733" spans="1:16" ht="15.75" customHeight="1" x14ac:dyDescent="0.35">
      <c r="A733" s="258">
        <v>725</v>
      </c>
      <c r="B733" s="273" t="s">
        <v>8503</v>
      </c>
      <c r="C733" s="273" t="s">
        <v>8504</v>
      </c>
      <c r="D733" s="273" t="s">
        <v>6210</v>
      </c>
      <c r="E733" s="273">
        <v>1125</v>
      </c>
      <c r="F733" s="273">
        <v>2023</v>
      </c>
      <c r="G733" s="273" t="s">
        <v>9545</v>
      </c>
      <c r="H733" s="273"/>
      <c r="I733" s="274">
        <v>45287</v>
      </c>
      <c r="J733" s="273" t="s">
        <v>9328</v>
      </c>
      <c r="K733" s="273" t="s">
        <v>9433</v>
      </c>
      <c r="L733" s="273" t="s">
        <v>422</v>
      </c>
      <c r="M733" s="275">
        <v>15750</v>
      </c>
      <c r="N733" s="273" t="s">
        <v>9500</v>
      </c>
      <c r="O733" s="273" t="s">
        <v>106</v>
      </c>
      <c r="P733" s="232">
        <v>5</v>
      </c>
    </row>
    <row r="734" spans="1:16" ht="15.75" customHeight="1" x14ac:dyDescent="0.35">
      <c r="A734" s="264">
        <v>726</v>
      </c>
      <c r="B734" s="273" t="s">
        <v>8503</v>
      </c>
      <c r="C734" s="273" t="s">
        <v>8504</v>
      </c>
      <c r="D734" s="273" t="s">
        <v>6216</v>
      </c>
      <c r="E734" s="273">
        <v>750</v>
      </c>
      <c r="F734" s="273">
        <v>2023</v>
      </c>
      <c r="G734" s="273" t="s">
        <v>9546</v>
      </c>
      <c r="H734" s="273"/>
      <c r="I734" s="274">
        <v>45287</v>
      </c>
      <c r="J734" s="273" t="s">
        <v>9328</v>
      </c>
      <c r="K734" s="273" t="s">
        <v>9433</v>
      </c>
      <c r="L734" s="273" t="s">
        <v>422</v>
      </c>
      <c r="M734" s="275">
        <v>27000</v>
      </c>
      <c r="N734" s="273" t="s">
        <v>9500</v>
      </c>
      <c r="O734" s="273" t="s">
        <v>106</v>
      </c>
      <c r="P734" s="232">
        <v>5</v>
      </c>
    </row>
    <row r="735" spans="1:16" ht="15.75" customHeight="1" x14ac:dyDescent="0.35">
      <c r="A735" s="258">
        <v>727</v>
      </c>
      <c r="B735" s="273" t="s">
        <v>8503</v>
      </c>
      <c r="C735" s="273" t="s">
        <v>8504</v>
      </c>
      <c r="D735" s="273" t="s">
        <v>6222</v>
      </c>
      <c r="E735" s="273">
        <v>1185</v>
      </c>
      <c r="F735" s="273">
        <v>2023</v>
      </c>
      <c r="G735" s="273" t="s">
        <v>9547</v>
      </c>
      <c r="H735" s="273"/>
      <c r="I735" s="274">
        <v>45287</v>
      </c>
      <c r="J735" s="273" t="s">
        <v>9328</v>
      </c>
      <c r="K735" s="273" t="s">
        <v>9433</v>
      </c>
      <c r="L735" s="273" t="s">
        <v>422</v>
      </c>
      <c r="M735" s="275">
        <v>42660</v>
      </c>
      <c r="N735" s="273" t="s">
        <v>9500</v>
      </c>
      <c r="O735" s="273" t="s">
        <v>106</v>
      </c>
      <c r="P735" s="232">
        <v>5</v>
      </c>
    </row>
    <row r="736" spans="1:16" ht="15.75" customHeight="1" x14ac:dyDescent="0.35">
      <c r="A736" s="264">
        <v>728</v>
      </c>
      <c r="B736" s="273" t="s">
        <v>8503</v>
      </c>
      <c r="C736" s="273" t="s">
        <v>8504</v>
      </c>
      <c r="D736" s="273" t="s">
        <v>6228</v>
      </c>
      <c r="E736" s="273">
        <v>895</v>
      </c>
      <c r="F736" s="273">
        <v>2023</v>
      </c>
      <c r="G736" s="273" t="s">
        <v>9548</v>
      </c>
      <c r="H736" s="273"/>
      <c r="I736" s="274">
        <v>45287</v>
      </c>
      <c r="J736" s="273" t="s">
        <v>9328</v>
      </c>
      <c r="K736" s="273" t="s">
        <v>9433</v>
      </c>
      <c r="L736" s="273" t="s">
        <v>422</v>
      </c>
      <c r="M736" s="275">
        <v>12530</v>
      </c>
      <c r="N736" s="273" t="s">
        <v>9500</v>
      </c>
      <c r="O736" s="273" t="s">
        <v>106</v>
      </c>
      <c r="P736" s="232">
        <v>5</v>
      </c>
    </row>
    <row r="737" spans="1:16" ht="15.75" customHeight="1" x14ac:dyDescent="0.35">
      <c r="A737" s="258">
        <v>729</v>
      </c>
      <c r="B737" s="273" t="s">
        <v>8503</v>
      </c>
      <c r="C737" s="273" t="s">
        <v>8504</v>
      </c>
      <c r="D737" s="273" t="s">
        <v>6234</v>
      </c>
      <c r="E737" s="273">
        <v>760</v>
      </c>
      <c r="F737" s="273">
        <v>2023</v>
      </c>
      <c r="G737" s="273" t="s">
        <v>9549</v>
      </c>
      <c r="H737" s="273"/>
      <c r="I737" s="274">
        <v>45287</v>
      </c>
      <c r="J737" s="273" t="s">
        <v>9328</v>
      </c>
      <c r="K737" s="273" t="s">
        <v>9433</v>
      </c>
      <c r="L737" s="273" t="s">
        <v>422</v>
      </c>
      <c r="M737" s="275">
        <v>10640</v>
      </c>
      <c r="N737" s="273" t="s">
        <v>9500</v>
      </c>
      <c r="O737" s="273" t="s">
        <v>106</v>
      </c>
      <c r="P737" s="232">
        <v>5</v>
      </c>
    </row>
    <row r="738" spans="1:16" ht="15.75" customHeight="1" x14ac:dyDescent="0.35">
      <c r="A738" s="264">
        <v>730</v>
      </c>
      <c r="B738" s="273" t="s">
        <v>8503</v>
      </c>
      <c r="C738" s="273" t="s">
        <v>8504</v>
      </c>
      <c r="D738" s="273" t="s">
        <v>6240</v>
      </c>
      <c r="E738" s="273">
        <v>276</v>
      </c>
      <c r="F738" s="273">
        <v>2023</v>
      </c>
      <c r="G738" s="273" t="s">
        <v>9550</v>
      </c>
      <c r="H738" s="273"/>
      <c r="I738" s="274">
        <v>45287</v>
      </c>
      <c r="J738" s="273" t="s">
        <v>9328</v>
      </c>
      <c r="K738" s="273" t="s">
        <v>9433</v>
      </c>
      <c r="L738" s="273" t="s">
        <v>422</v>
      </c>
      <c r="M738" s="275">
        <v>9936</v>
      </c>
      <c r="N738" s="273" t="s">
        <v>9500</v>
      </c>
      <c r="O738" s="273" t="s">
        <v>106</v>
      </c>
      <c r="P738" s="232">
        <v>5</v>
      </c>
    </row>
    <row r="739" spans="1:16" ht="15.75" customHeight="1" x14ac:dyDescent="0.35">
      <c r="A739" s="258">
        <v>731</v>
      </c>
      <c r="B739" s="273" t="s">
        <v>8503</v>
      </c>
      <c r="C739" s="273" t="s">
        <v>8504</v>
      </c>
      <c r="D739" s="273" t="s">
        <v>6246</v>
      </c>
      <c r="E739" s="273">
        <v>939</v>
      </c>
      <c r="F739" s="273">
        <v>2023</v>
      </c>
      <c r="G739" s="273" t="s">
        <v>9551</v>
      </c>
      <c r="H739" s="273"/>
      <c r="I739" s="274">
        <v>45287</v>
      </c>
      <c r="J739" s="273" t="s">
        <v>9328</v>
      </c>
      <c r="K739" s="273" t="s">
        <v>9433</v>
      </c>
      <c r="L739" s="273" t="s">
        <v>422</v>
      </c>
      <c r="M739" s="275">
        <v>13146</v>
      </c>
      <c r="N739" s="273" t="s">
        <v>9500</v>
      </c>
      <c r="O739" s="273" t="s">
        <v>106</v>
      </c>
      <c r="P739" s="232">
        <v>5</v>
      </c>
    </row>
    <row r="740" spans="1:16" ht="15.75" customHeight="1" x14ac:dyDescent="0.35">
      <c r="A740" s="264">
        <v>732</v>
      </c>
      <c r="B740" s="273" t="s">
        <v>8503</v>
      </c>
      <c r="C740" s="273" t="s">
        <v>8504</v>
      </c>
      <c r="D740" s="273" t="s">
        <v>6252</v>
      </c>
      <c r="E740" s="273">
        <v>610.5</v>
      </c>
      <c r="F740" s="273">
        <v>2023</v>
      </c>
      <c r="G740" s="273" t="s">
        <v>9552</v>
      </c>
      <c r="H740" s="273"/>
      <c r="I740" s="274">
        <v>45287</v>
      </c>
      <c r="J740" s="273" t="s">
        <v>9328</v>
      </c>
      <c r="K740" s="273" t="s">
        <v>9433</v>
      </c>
      <c r="L740" s="273" t="s">
        <v>422</v>
      </c>
      <c r="M740" s="275">
        <v>8554</v>
      </c>
      <c r="N740" s="273" t="s">
        <v>9500</v>
      </c>
      <c r="O740" s="273" t="s">
        <v>106</v>
      </c>
      <c r="P740" s="232">
        <v>5</v>
      </c>
    </row>
    <row r="741" spans="1:16" ht="15.75" customHeight="1" x14ac:dyDescent="0.35">
      <c r="A741" s="258">
        <v>733</v>
      </c>
      <c r="B741" s="273" t="s">
        <v>8503</v>
      </c>
      <c r="C741" s="273" t="s">
        <v>8504</v>
      </c>
      <c r="D741" s="273" t="s">
        <v>6258</v>
      </c>
      <c r="E741" s="273">
        <v>1688</v>
      </c>
      <c r="F741" s="273">
        <v>2023</v>
      </c>
      <c r="G741" s="273" t="s">
        <v>9553</v>
      </c>
      <c r="H741" s="273"/>
      <c r="I741" s="274">
        <v>45287</v>
      </c>
      <c r="J741" s="273" t="s">
        <v>9328</v>
      </c>
      <c r="K741" s="273" t="s">
        <v>9433</v>
      </c>
      <c r="L741" s="273" t="s">
        <v>422</v>
      </c>
      <c r="M741" s="275">
        <v>23632</v>
      </c>
      <c r="N741" s="273" t="s">
        <v>9500</v>
      </c>
      <c r="O741" s="273" t="s">
        <v>106</v>
      </c>
      <c r="P741" s="232">
        <v>5</v>
      </c>
    </row>
    <row r="742" spans="1:16" ht="15.75" customHeight="1" x14ac:dyDescent="0.35">
      <c r="A742" s="264">
        <v>734</v>
      </c>
      <c r="B742" s="273" t="s">
        <v>8503</v>
      </c>
      <c r="C742" s="273" t="s">
        <v>8504</v>
      </c>
      <c r="D742" s="273" t="s">
        <v>7448</v>
      </c>
      <c r="E742" s="273">
        <v>792</v>
      </c>
      <c r="F742" s="273">
        <v>2023</v>
      </c>
      <c r="G742" s="273" t="s">
        <v>9554</v>
      </c>
      <c r="H742" s="273"/>
      <c r="I742" s="274">
        <v>45287</v>
      </c>
      <c r="J742" s="273" t="s">
        <v>9328</v>
      </c>
      <c r="K742" s="273" t="s">
        <v>9433</v>
      </c>
      <c r="L742" s="273" t="s">
        <v>422</v>
      </c>
      <c r="M742" s="275">
        <v>11088</v>
      </c>
      <c r="N742" s="273" t="s">
        <v>9500</v>
      </c>
      <c r="O742" s="273" t="s">
        <v>106</v>
      </c>
      <c r="P742" s="232">
        <v>5</v>
      </c>
    </row>
    <row r="743" spans="1:16" ht="15.75" customHeight="1" x14ac:dyDescent="0.35">
      <c r="A743" s="258">
        <v>735</v>
      </c>
      <c r="B743" s="273" t="s">
        <v>8503</v>
      </c>
      <c r="C743" s="273" t="s">
        <v>8504</v>
      </c>
      <c r="D743" s="273" t="s">
        <v>6263</v>
      </c>
      <c r="E743" s="273">
        <v>2191.5</v>
      </c>
      <c r="F743" s="273">
        <v>2023</v>
      </c>
      <c r="G743" s="273" t="s">
        <v>9555</v>
      </c>
      <c r="H743" s="273"/>
      <c r="I743" s="274">
        <v>45287</v>
      </c>
      <c r="J743" s="273" t="s">
        <v>9328</v>
      </c>
      <c r="K743" s="273" t="s">
        <v>9433</v>
      </c>
      <c r="L743" s="273" t="s">
        <v>422</v>
      </c>
      <c r="M743" s="275">
        <v>30688</v>
      </c>
      <c r="N743" s="273" t="s">
        <v>9500</v>
      </c>
      <c r="O743" s="273" t="s">
        <v>106</v>
      </c>
      <c r="P743" s="232">
        <v>5</v>
      </c>
    </row>
    <row r="744" spans="1:16" ht="15.75" customHeight="1" x14ac:dyDescent="0.35">
      <c r="A744" s="264">
        <v>736</v>
      </c>
      <c r="B744" s="273" t="s">
        <v>8503</v>
      </c>
      <c r="C744" s="273" t="s">
        <v>8504</v>
      </c>
      <c r="D744" s="273" t="s">
        <v>7455</v>
      </c>
      <c r="E744" s="273">
        <v>258</v>
      </c>
      <c r="F744" s="273">
        <v>2023</v>
      </c>
      <c r="G744" s="273" t="s">
        <v>9556</v>
      </c>
      <c r="H744" s="273"/>
      <c r="I744" s="274">
        <v>45287</v>
      </c>
      <c r="J744" s="273" t="s">
        <v>9328</v>
      </c>
      <c r="K744" s="273" t="s">
        <v>9433</v>
      </c>
      <c r="L744" s="273" t="s">
        <v>422</v>
      </c>
      <c r="M744" s="275">
        <v>1290</v>
      </c>
      <c r="N744" s="273" t="s">
        <v>9500</v>
      </c>
      <c r="O744" s="273" t="s">
        <v>106</v>
      </c>
      <c r="P744" s="232">
        <v>5</v>
      </c>
    </row>
    <row r="745" spans="1:16" ht="15.75" customHeight="1" x14ac:dyDescent="0.35">
      <c r="A745" s="258">
        <v>737</v>
      </c>
      <c r="B745" s="273" t="s">
        <v>8503</v>
      </c>
      <c r="C745" s="273" t="s">
        <v>8504</v>
      </c>
      <c r="D745" s="273" t="s">
        <v>6271</v>
      </c>
      <c r="E745" s="273">
        <v>270</v>
      </c>
      <c r="F745" s="273">
        <v>2023</v>
      </c>
      <c r="G745" s="273" t="s">
        <v>9557</v>
      </c>
      <c r="H745" s="273"/>
      <c r="I745" s="274">
        <v>45287</v>
      </c>
      <c r="J745" s="273" t="s">
        <v>9328</v>
      </c>
      <c r="K745" s="273" t="s">
        <v>9433</v>
      </c>
      <c r="L745" s="273" t="s">
        <v>422</v>
      </c>
      <c r="M745" s="275">
        <v>1350</v>
      </c>
      <c r="N745" s="273" t="s">
        <v>9500</v>
      </c>
      <c r="O745" s="273" t="s">
        <v>106</v>
      </c>
      <c r="P745" s="232">
        <v>5</v>
      </c>
    </row>
    <row r="746" spans="1:16" ht="15.75" customHeight="1" x14ac:dyDescent="0.35">
      <c r="A746" s="264">
        <v>738</v>
      </c>
      <c r="B746" s="273" t="s">
        <v>8503</v>
      </c>
      <c r="C746" s="273" t="s">
        <v>8504</v>
      </c>
      <c r="D746" s="273" t="s">
        <v>2766</v>
      </c>
      <c r="E746" s="273">
        <v>1688</v>
      </c>
      <c r="F746" s="273">
        <v>2023</v>
      </c>
      <c r="G746" s="273" t="s">
        <v>9558</v>
      </c>
      <c r="H746" s="273"/>
      <c r="I746" s="274">
        <v>45287</v>
      </c>
      <c r="J746" s="273" t="s">
        <v>9328</v>
      </c>
      <c r="K746" s="273" t="s">
        <v>9433</v>
      </c>
      <c r="L746" s="273" t="s">
        <v>422</v>
      </c>
      <c r="M746" s="275">
        <v>8440</v>
      </c>
      <c r="N746" s="273" t="s">
        <v>9500</v>
      </c>
      <c r="O746" s="273" t="s">
        <v>106</v>
      </c>
      <c r="P746" s="232">
        <v>5</v>
      </c>
    </row>
    <row r="747" spans="1:16" ht="15.75" customHeight="1" x14ac:dyDescent="0.35">
      <c r="A747" s="258">
        <v>739</v>
      </c>
      <c r="B747" s="273" t="s">
        <v>8503</v>
      </c>
      <c r="C747" s="273" t="s">
        <v>8504</v>
      </c>
      <c r="D747" s="273" t="s">
        <v>6284</v>
      </c>
      <c r="E747" s="273">
        <v>981</v>
      </c>
      <c r="F747" s="273">
        <v>2023</v>
      </c>
      <c r="G747" s="273" t="s">
        <v>9559</v>
      </c>
      <c r="H747" s="273"/>
      <c r="I747" s="274">
        <v>45287</v>
      </c>
      <c r="J747" s="273" t="s">
        <v>9328</v>
      </c>
      <c r="K747" s="273" t="s">
        <v>9433</v>
      </c>
      <c r="L747" s="273" t="s">
        <v>422</v>
      </c>
      <c r="M747" s="275">
        <v>35316</v>
      </c>
      <c r="N747" s="273" t="s">
        <v>9500</v>
      </c>
      <c r="O747" s="273" t="s">
        <v>106</v>
      </c>
      <c r="P747" s="232">
        <v>5</v>
      </c>
    </row>
    <row r="748" spans="1:16" ht="15.75" customHeight="1" x14ac:dyDescent="0.35">
      <c r="A748" s="264">
        <v>740</v>
      </c>
      <c r="B748" s="273" t="s">
        <v>8503</v>
      </c>
      <c r="C748" s="273" t="s">
        <v>8504</v>
      </c>
      <c r="D748" s="273" t="s">
        <v>6290</v>
      </c>
      <c r="E748" s="273">
        <v>1148</v>
      </c>
      <c r="F748" s="273">
        <v>2023</v>
      </c>
      <c r="G748" s="273" t="s">
        <v>9560</v>
      </c>
      <c r="H748" s="273"/>
      <c r="I748" s="274">
        <v>45287</v>
      </c>
      <c r="J748" s="273" t="s">
        <v>9328</v>
      </c>
      <c r="K748" s="273" t="s">
        <v>9433</v>
      </c>
      <c r="L748" s="273" t="s">
        <v>422</v>
      </c>
      <c r="M748" s="275">
        <v>41328</v>
      </c>
      <c r="N748" s="273" t="s">
        <v>9500</v>
      </c>
      <c r="O748" s="273" t="s">
        <v>106</v>
      </c>
      <c r="P748" s="232">
        <v>5</v>
      </c>
    </row>
    <row r="749" spans="1:16" ht="15.75" customHeight="1" x14ac:dyDescent="0.35">
      <c r="A749" s="258">
        <v>741</v>
      </c>
      <c r="B749" s="273" t="s">
        <v>8503</v>
      </c>
      <c r="C749" s="273" t="s">
        <v>8504</v>
      </c>
      <c r="D749" s="273" t="s">
        <v>6296</v>
      </c>
      <c r="E749" s="273">
        <v>280</v>
      </c>
      <c r="F749" s="273">
        <v>2023</v>
      </c>
      <c r="G749" s="273" t="s">
        <v>9561</v>
      </c>
      <c r="H749" s="273"/>
      <c r="I749" s="274">
        <v>45287</v>
      </c>
      <c r="J749" s="273" t="s">
        <v>9328</v>
      </c>
      <c r="K749" s="273" t="s">
        <v>9433</v>
      </c>
      <c r="L749" s="273" t="s">
        <v>422</v>
      </c>
      <c r="M749" s="275">
        <v>10080</v>
      </c>
      <c r="N749" s="273" t="s">
        <v>9500</v>
      </c>
      <c r="O749" s="273" t="s">
        <v>106</v>
      </c>
      <c r="P749" s="232">
        <v>5</v>
      </c>
    </row>
    <row r="750" spans="1:16" ht="15.75" customHeight="1" x14ac:dyDescent="0.35">
      <c r="A750" s="264">
        <v>742</v>
      </c>
      <c r="B750" s="273" t="s">
        <v>8503</v>
      </c>
      <c r="C750" s="273" t="s">
        <v>8504</v>
      </c>
      <c r="D750" s="273" t="s">
        <v>6302</v>
      </c>
      <c r="E750" s="273">
        <v>260.5</v>
      </c>
      <c r="F750" s="273">
        <v>2023</v>
      </c>
      <c r="G750" s="273" t="s">
        <v>9562</v>
      </c>
      <c r="H750" s="273"/>
      <c r="I750" s="274">
        <v>45287</v>
      </c>
      <c r="J750" s="273" t="s">
        <v>9328</v>
      </c>
      <c r="K750" s="273" t="s">
        <v>9433</v>
      </c>
      <c r="L750" s="273" t="s">
        <v>422</v>
      </c>
      <c r="M750" s="275">
        <v>9396</v>
      </c>
      <c r="N750" s="273" t="s">
        <v>9500</v>
      </c>
      <c r="O750" s="273" t="s">
        <v>106</v>
      </c>
      <c r="P750" s="232">
        <v>5</v>
      </c>
    </row>
    <row r="751" spans="1:16" ht="15.75" customHeight="1" x14ac:dyDescent="0.35">
      <c r="A751" s="258">
        <v>743</v>
      </c>
      <c r="B751" s="273" t="s">
        <v>8503</v>
      </c>
      <c r="C751" s="273" t="s">
        <v>8504</v>
      </c>
      <c r="D751" s="273" t="s">
        <v>6307</v>
      </c>
      <c r="E751" s="273">
        <v>318</v>
      </c>
      <c r="F751" s="273">
        <v>2023</v>
      </c>
      <c r="G751" s="273" t="s">
        <v>9563</v>
      </c>
      <c r="H751" s="273"/>
      <c r="I751" s="274">
        <v>45287</v>
      </c>
      <c r="J751" s="273" t="s">
        <v>9328</v>
      </c>
      <c r="K751" s="273" t="s">
        <v>9433</v>
      </c>
      <c r="L751" s="273" t="s">
        <v>422</v>
      </c>
      <c r="M751" s="275">
        <v>11448</v>
      </c>
      <c r="N751" s="273" t="s">
        <v>9500</v>
      </c>
      <c r="O751" s="273" t="s">
        <v>106</v>
      </c>
      <c r="P751" s="232">
        <v>5</v>
      </c>
    </row>
    <row r="752" spans="1:16" ht="15.75" customHeight="1" x14ac:dyDescent="0.35">
      <c r="A752" s="264">
        <v>744</v>
      </c>
      <c r="B752" s="273" t="s">
        <v>8503</v>
      </c>
      <c r="C752" s="273" t="s">
        <v>8504</v>
      </c>
      <c r="D752" s="273" t="s">
        <v>6313</v>
      </c>
      <c r="E752" s="273">
        <v>369</v>
      </c>
      <c r="F752" s="273">
        <v>2023</v>
      </c>
      <c r="G752" s="273" t="s">
        <v>9564</v>
      </c>
      <c r="H752" s="273"/>
      <c r="I752" s="274">
        <v>45287</v>
      </c>
      <c r="J752" s="273" t="s">
        <v>9328</v>
      </c>
      <c r="K752" s="273" t="s">
        <v>9433</v>
      </c>
      <c r="L752" s="273" t="s">
        <v>422</v>
      </c>
      <c r="M752" s="275">
        <v>13284</v>
      </c>
      <c r="N752" s="273" t="s">
        <v>9500</v>
      </c>
      <c r="O752" s="273" t="s">
        <v>106</v>
      </c>
      <c r="P752" s="232">
        <v>5</v>
      </c>
    </row>
    <row r="753" spans="1:16" ht="15.75" customHeight="1" x14ac:dyDescent="0.35">
      <c r="A753" s="258">
        <v>745</v>
      </c>
      <c r="B753" s="273" t="s">
        <v>8503</v>
      </c>
      <c r="C753" s="273" t="s">
        <v>8504</v>
      </c>
      <c r="D753" s="273" t="s">
        <v>6319</v>
      </c>
      <c r="E753" s="273">
        <v>354</v>
      </c>
      <c r="F753" s="273">
        <v>2023</v>
      </c>
      <c r="G753" s="273" t="s">
        <v>9565</v>
      </c>
      <c r="H753" s="273"/>
      <c r="I753" s="274">
        <v>45287</v>
      </c>
      <c r="J753" s="273" t="s">
        <v>9328</v>
      </c>
      <c r="K753" s="273" t="s">
        <v>9433</v>
      </c>
      <c r="L753" s="273" t="s">
        <v>422</v>
      </c>
      <c r="M753" s="275">
        <v>12744</v>
      </c>
      <c r="N753" s="273" t="s">
        <v>9500</v>
      </c>
      <c r="O753" s="273" t="s">
        <v>106</v>
      </c>
      <c r="P753" s="232">
        <v>5</v>
      </c>
    </row>
    <row r="754" spans="1:16" ht="15.75" customHeight="1" x14ac:dyDescent="0.35">
      <c r="A754" s="264">
        <v>746</v>
      </c>
      <c r="B754" s="273" t="s">
        <v>8503</v>
      </c>
      <c r="C754" s="273" t="s">
        <v>8504</v>
      </c>
      <c r="D754" s="273" t="s">
        <v>6325</v>
      </c>
      <c r="E754" s="273">
        <v>520</v>
      </c>
      <c r="F754" s="273">
        <v>2023</v>
      </c>
      <c r="G754" s="273" t="s">
        <v>9566</v>
      </c>
      <c r="H754" s="273"/>
      <c r="I754" s="274">
        <v>45287</v>
      </c>
      <c r="J754" s="273" t="s">
        <v>9328</v>
      </c>
      <c r="K754" s="273" t="s">
        <v>9433</v>
      </c>
      <c r="L754" s="273" t="s">
        <v>422</v>
      </c>
      <c r="M754" s="275">
        <v>18720</v>
      </c>
      <c r="N754" s="273" t="s">
        <v>9500</v>
      </c>
      <c r="O754" s="273" t="s">
        <v>106</v>
      </c>
      <c r="P754" s="232">
        <v>5</v>
      </c>
    </row>
    <row r="755" spans="1:16" ht="15.75" customHeight="1" x14ac:dyDescent="0.35">
      <c r="A755" s="258">
        <v>747</v>
      </c>
      <c r="B755" s="273" t="s">
        <v>8503</v>
      </c>
      <c r="C755" s="273" t="s">
        <v>8504</v>
      </c>
      <c r="D755" s="273" t="s">
        <v>6332</v>
      </c>
      <c r="E755" s="273">
        <v>480</v>
      </c>
      <c r="F755" s="273">
        <v>2023</v>
      </c>
      <c r="G755" s="273" t="s">
        <v>9567</v>
      </c>
      <c r="H755" s="273"/>
      <c r="I755" s="274">
        <v>45287</v>
      </c>
      <c r="J755" s="273" t="s">
        <v>9328</v>
      </c>
      <c r="K755" s="273" t="s">
        <v>9433</v>
      </c>
      <c r="L755" s="273" t="s">
        <v>422</v>
      </c>
      <c r="M755" s="275">
        <v>17280</v>
      </c>
      <c r="N755" s="273" t="s">
        <v>9500</v>
      </c>
      <c r="O755" s="273" t="s">
        <v>106</v>
      </c>
      <c r="P755" s="232">
        <v>5</v>
      </c>
    </row>
    <row r="756" spans="1:16" ht="15.75" customHeight="1" x14ac:dyDescent="0.35">
      <c r="A756" s="264">
        <v>748</v>
      </c>
      <c r="B756" s="273" t="s">
        <v>8503</v>
      </c>
      <c r="C756" s="273" t="s">
        <v>8504</v>
      </c>
      <c r="D756" s="273" t="s">
        <v>6337</v>
      </c>
      <c r="E756" s="273">
        <v>380</v>
      </c>
      <c r="F756" s="273">
        <v>2023</v>
      </c>
      <c r="G756" s="273" t="s">
        <v>9568</v>
      </c>
      <c r="H756" s="273"/>
      <c r="I756" s="274">
        <v>45287</v>
      </c>
      <c r="J756" s="273" t="s">
        <v>9328</v>
      </c>
      <c r="K756" s="273" t="s">
        <v>9433</v>
      </c>
      <c r="L756" s="273" t="s">
        <v>422</v>
      </c>
      <c r="M756" s="275">
        <v>13680</v>
      </c>
      <c r="N756" s="273" t="s">
        <v>9500</v>
      </c>
      <c r="O756" s="273" t="s">
        <v>106</v>
      </c>
      <c r="P756" s="232">
        <v>5</v>
      </c>
    </row>
    <row r="757" spans="1:16" ht="15.75" customHeight="1" x14ac:dyDescent="0.35">
      <c r="A757" s="258">
        <v>749</v>
      </c>
      <c r="B757" s="273" t="s">
        <v>8503</v>
      </c>
      <c r="C757" s="273" t="s">
        <v>8504</v>
      </c>
      <c r="D757" s="273" t="s">
        <v>7494</v>
      </c>
      <c r="E757" s="273">
        <v>520</v>
      </c>
      <c r="F757" s="273">
        <v>2023</v>
      </c>
      <c r="G757" s="273" t="s">
        <v>9569</v>
      </c>
      <c r="H757" s="273"/>
      <c r="I757" s="274">
        <v>45287</v>
      </c>
      <c r="J757" s="273" t="s">
        <v>9328</v>
      </c>
      <c r="K757" s="273" t="s">
        <v>9433</v>
      </c>
      <c r="L757" s="273" t="s">
        <v>422</v>
      </c>
      <c r="M757" s="275">
        <v>18720</v>
      </c>
      <c r="N757" s="273" t="s">
        <v>9500</v>
      </c>
      <c r="O757" s="273" t="s">
        <v>106</v>
      </c>
      <c r="P757" s="232">
        <v>5</v>
      </c>
    </row>
    <row r="758" spans="1:16" ht="15.75" customHeight="1" x14ac:dyDescent="0.35">
      <c r="A758" s="264">
        <v>750</v>
      </c>
      <c r="B758" s="273" t="s">
        <v>8503</v>
      </c>
      <c r="C758" s="273" t="s">
        <v>8504</v>
      </c>
      <c r="D758" s="273" t="s">
        <v>7498</v>
      </c>
      <c r="E758" s="273">
        <v>260.5</v>
      </c>
      <c r="F758" s="273">
        <v>2023</v>
      </c>
      <c r="G758" s="273" t="s">
        <v>9570</v>
      </c>
      <c r="H758" s="273"/>
      <c r="I758" s="274">
        <v>45287</v>
      </c>
      <c r="J758" s="273" t="s">
        <v>9328</v>
      </c>
      <c r="K758" s="273" t="s">
        <v>9433</v>
      </c>
      <c r="L758" s="273" t="s">
        <v>422</v>
      </c>
      <c r="M758" s="275">
        <v>9396</v>
      </c>
      <c r="N758" s="273" t="s">
        <v>9500</v>
      </c>
      <c r="O758" s="273" t="s">
        <v>106</v>
      </c>
      <c r="P758" s="232">
        <v>5</v>
      </c>
    </row>
    <row r="759" spans="1:16" ht="15.75" customHeight="1" x14ac:dyDescent="0.35">
      <c r="A759" s="258">
        <v>751</v>
      </c>
      <c r="B759" s="273" t="s">
        <v>8503</v>
      </c>
      <c r="C759" s="273" t="s">
        <v>8504</v>
      </c>
      <c r="D759" s="273" t="s">
        <v>7502</v>
      </c>
      <c r="E759" s="273">
        <v>678</v>
      </c>
      <c r="F759" s="273">
        <v>2023</v>
      </c>
      <c r="G759" s="273" t="s">
        <v>9571</v>
      </c>
      <c r="H759" s="273"/>
      <c r="I759" s="274">
        <v>45287</v>
      </c>
      <c r="J759" s="273" t="s">
        <v>9328</v>
      </c>
      <c r="K759" s="273" t="s">
        <v>9433</v>
      </c>
      <c r="L759" s="273" t="s">
        <v>422</v>
      </c>
      <c r="M759" s="275">
        <v>24408</v>
      </c>
      <c r="N759" s="273" t="s">
        <v>9500</v>
      </c>
      <c r="O759" s="273" t="s">
        <v>106</v>
      </c>
      <c r="P759" s="232">
        <v>5</v>
      </c>
    </row>
    <row r="760" spans="1:16" ht="15.75" customHeight="1" x14ac:dyDescent="0.35">
      <c r="A760" s="264">
        <v>752</v>
      </c>
      <c r="B760" s="273" t="s">
        <v>8503</v>
      </c>
      <c r="C760" s="273" t="s">
        <v>8504</v>
      </c>
      <c r="D760" s="273" t="s">
        <v>7506</v>
      </c>
      <c r="E760" s="273">
        <v>678</v>
      </c>
      <c r="F760" s="273">
        <v>2023</v>
      </c>
      <c r="G760" s="273" t="s">
        <v>9572</v>
      </c>
      <c r="H760" s="273"/>
      <c r="I760" s="274">
        <v>45287</v>
      </c>
      <c r="J760" s="273" t="s">
        <v>9328</v>
      </c>
      <c r="K760" s="273" t="s">
        <v>9433</v>
      </c>
      <c r="L760" s="273" t="s">
        <v>422</v>
      </c>
      <c r="M760" s="275">
        <v>24408</v>
      </c>
      <c r="N760" s="273" t="s">
        <v>9500</v>
      </c>
      <c r="O760" s="273" t="s">
        <v>106</v>
      </c>
      <c r="P760" s="232">
        <v>5</v>
      </c>
    </row>
    <row r="761" spans="1:16" ht="15.75" customHeight="1" x14ac:dyDescent="0.35">
      <c r="A761" s="258">
        <v>753</v>
      </c>
      <c r="B761" s="273" t="s">
        <v>8503</v>
      </c>
      <c r="C761" s="273" t="s">
        <v>8504</v>
      </c>
      <c r="D761" s="273" t="s">
        <v>7510</v>
      </c>
      <c r="E761" s="273">
        <v>565</v>
      </c>
      <c r="F761" s="273">
        <v>2025</v>
      </c>
      <c r="G761" s="273" t="s">
        <v>9573</v>
      </c>
      <c r="H761" s="273" t="s">
        <v>7938</v>
      </c>
      <c r="I761" s="274">
        <v>45827</v>
      </c>
      <c r="J761" s="273" t="s">
        <v>9100</v>
      </c>
      <c r="K761" s="273" t="s">
        <v>9574</v>
      </c>
      <c r="L761" s="273" t="s">
        <v>422</v>
      </c>
      <c r="M761" s="275">
        <v>90400</v>
      </c>
      <c r="N761" s="273" t="s">
        <v>9573</v>
      </c>
      <c r="O761" s="273" t="s">
        <v>106</v>
      </c>
      <c r="P761" s="232">
        <v>5</v>
      </c>
    </row>
    <row r="762" spans="1:16" ht="15.75" customHeight="1" x14ac:dyDescent="0.35">
      <c r="A762" s="264">
        <v>754</v>
      </c>
      <c r="B762" s="273" t="s">
        <v>8503</v>
      </c>
      <c r="C762" s="273" t="s">
        <v>8504</v>
      </c>
      <c r="D762" s="273" t="s">
        <v>7514</v>
      </c>
      <c r="E762" s="273">
        <v>2216</v>
      </c>
      <c r="F762" s="273">
        <v>2025</v>
      </c>
      <c r="G762" s="273" t="s">
        <v>9575</v>
      </c>
      <c r="H762" s="273" t="s">
        <v>7938</v>
      </c>
      <c r="I762" s="274">
        <v>45827</v>
      </c>
      <c r="J762" s="273" t="s">
        <v>9100</v>
      </c>
      <c r="K762" s="273" t="s">
        <v>9576</v>
      </c>
      <c r="L762" s="273" t="s">
        <v>422</v>
      </c>
      <c r="M762" s="275">
        <v>141824</v>
      </c>
      <c r="N762" s="273" t="s">
        <v>9575</v>
      </c>
      <c r="O762" s="273" t="s">
        <v>106</v>
      </c>
      <c r="P762" s="232">
        <v>5</v>
      </c>
    </row>
    <row r="763" spans="1:16" ht="15.75" customHeight="1" x14ac:dyDescent="0.35">
      <c r="A763" s="258">
        <v>755</v>
      </c>
      <c r="B763" s="273" t="s">
        <v>8503</v>
      </c>
      <c r="C763" s="273" t="s">
        <v>8504</v>
      </c>
      <c r="D763" s="273" t="s">
        <v>7518</v>
      </c>
      <c r="E763" s="273">
        <v>3140</v>
      </c>
      <c r="F763" s="273">
        <v>2025</v>
      </c>
      <c r="G763" s="273" t="s">
        <v>9577</v>
      </c>
      <c r="H763" s="273" t="s">
        <v>7938</v>
      </c>
      <c r="I763" s="274">
        <v>45827</v>
      </c>
      <c r="J763" s="273" t="s">
        <v>9100</v>
      </c>
      <c r="K763" s="273" t="s">
        <v>9578</v>
      </c>
      <c r="L763" s="273" t="s">
        <v>422</v>
      </c>
      <c r="M763" s="275">
        <v>200960</v>
      </c>
      <c r="N763" s="273" t="s">
        <v>9577</v>
      </c>
      <c r="O763" s="273" t="s">
        <v>106</v>
      </c>
      <c r="P763" s="232">
        <v>5</v>
      </c>
    </row>
    <row r="764" spans="1:16" ht="15.75" customHeight="1" x14ac:dyDescent="0.35">
      <c r="A764" s="264">
        <v>756</v>
      </c>
      <c r="B764" s="273" t="s">
        <v>8503</v>
      </c>
      <c r="C764" s="273" t="s">
        <v>8504</v>
      </c>
      <c r="D764" s="273" t="s">
        <v>7522</v>
      </c>
      <c r="E764" s="273">
        <v>3800</v>
      </c>
      <c r="F764" s="273">
        <v>2025</v>
      </c>
      <c r="G764" s="273" t="s">
        <v>9579</v>
      </c>
      <c r="H764" s="273" t="s">
        <v>7938</v>
      </c>
      <c r="I764" s="274">
        <v>45827</v>
      </c>
      <c r="J764" s="273" t="s">
        <v>9100</v>
      </c>
      <c r="K764" s="273" t="s">
        <v>9580</v>
      </c>
      <c r="L764" s="273" t="s">
        <v>422</v>
      </c>
      <c r="M764" s="275">
        <v>182400</v>
      </c>
      <c r="N764" s="273" t="s">
        <v>9579</v>
      </c>
      <c r="O764" s="273" t="s">
        <v>106</v>
      </c>
      <c r="P764" s="232">
        <v>5</v>
      </c>
    </row>
    <row r="765" spans="1:16" ht="15.75" customHeight="1" x14ac:dyDescent="0.35">
      <c r="A765" s="258">
        <v>757</v>
      </c>
      <c r="B765" s="273" t="s">
        <v>8503</v>
      </c>
      <c r="C765" s="273" t="s">
        <v>8504</v>
      </c>
      <c r="D765" s="273" t="s">
        <v>7526</v>
      </c>
      <c r="E765" s="273">
        <v>1440</v>
      </c>
      <c r="F765" s="273">
        <v>2025</v>
      </c>
      <c r="G765" s="273" t="s">
        <v>9581</v>
      </c>
      <c r="H765" s="273" t="s">
        <v>7938</v>
      </c>
      <c r="I765" s="274">
        <v>45827</v>
      </c>
      <c r="J765" s="273" t="s">
        <v>9100</v>
      </c>
      <c r="K765" s="273" t="s">
        <v>9582</v>
      </c>
      <c r="L765" s="273" t="s">
        <v>422</v>
      </c>
      <c r="M765" s="275">
        <v>69120</v>
      </c>
      <c r="N765" s="273" t="s">
        <v>9581</v>
      </c>
      <c r="O765" s="273" t="s">
        <v>106</v>
      </c>
      <c r="P765" s="232">
        <v>5</v>
      </c>
    </row>
    <row r="766" spans="1:16" ht="15.75" customHeight="1" x14ac:dyDescent="0.35">
      <c r="A766" s="264">
        <v>758</v>
      </c>
      <c r="B766" s="273" t="s">
        <v>8503</v>
      </c>
      <c r="C766" s="273" t="s">
        <v>8504</v>
      </c>
      <c r="D766" s="273" t="s">
        <v>7530</v>
      </c>
      <c r="E766" s="273">
        <v>1584</v>
      </c>
      <c r="F766" s="273">
        <v>2025</v>
      </c>
      <c r="G766" s="273" t="s">
        <v>9583</v>
      </c>
      <c r="H766" s="273" t="s">
        <v>7938</v>
      </c>
      <c r="I766" s="274">
        <v>45827</v>
      </c>
      <c r="J766" s="273" t="s">
        <v>9100</v>
      </c>
      <c r="K766" s="273" t="s">
        <v>9584</v>
      </c>
      <c r="L766" s="273" t="s">
        <v>422</v>
      </c>
      <c r="M766" s="275">
        <v>76032</v>
      </c>
      <c r="N766" s="273" t="s">
        <v>9583</v>
      </c>
      <c r="O766" s="273" t="s">
        <v>106</v>
      </c>
      <c r="P766" s="232">
        <v>5</v>
      </c>
    </row>
    <row r="767" spans="1:16" ht="15.75" customHeight="1" x14ac:dyDescent="0.35">
      <c r="A767" s="258">
        <v>759</v>
      </c>
      <c r="B767" s="273" t="s">
        <v>8503</v>
      </c>
      <c r="C767" s="273" t="s">
        <v>8504</v>
      </c>
      <c r="D767" s="273" t="s">
        <v>7534</v>
      </c>
      <c r="E767" s="273">
        <v>572</v>
      </c>
      <c r="F767" s="273">
        <v>2025</v>
      </c>
      <c r="G767" s="273" t="s">
        <v>9585</v>
      </c>
      <c r="H767" s="273" t="s">
        <v>7938</v>
      </c>
      <c r="I767" s="274">
        <v>45827</v>
      </c>
      <c r="J767" s="273" t="s">
        <v>9100</v>
      </c>
      <c r="K767" s="273" t="s">
        <v>9586</v>
      </c>
      <c r="L767" s="273" t="s">
        <v>422</v>
      </c>
      <c r="M767" s="275">
        <v>58916</v>
      </c>
      <c r="N767" s="273" t="s">
        <v>9585</v>
      </c>
      <c r="O767" s="273" t="s">
        <v>106</v>
      </c>
      <c r="P767" s="232">
        <v>5</v>
      </c>
    </row>
    <row r="768" spans="1:16" ht="15.75" customHeight="1" x14ac:dyDescent="0.35">
      <c r="A768" s="264">
        <v>760</v>
      </c>
      <c r="B768" s="273" t="s">
        <v>8503</v>
      </c>
      <c r="C768" s="273" t="s">
        <v>8504</v>
      </c>
      <c r="D768" s="273" t="s">
        <v>7538</v>
      </c>
      <c r="E768" s="273">
        <v>2255</v>
      </c>
      <c r="F768" s="273">
        <v>2025</v>
      </c>
      <c r="G768" s="273" t="s">
        <v>9587</v>
      </c>
      <c r="H768" s="273" t="s">
        <v>7938</v>
      </c>
      <c r="I768" s="274">
        <v>45827</v>
      </c>
      <c r="J768" s="273" t="s">
        <v>9100</v>
      </c>
      <c r="K768" s="273" t="s">
        <v>9588</v>
      </c>
      <c r="L768" s="273" t="s">
        <v>422</v>
      </c>
      <c r="M768" s="275">
        <v>288640</v>
      </c>
      <c r="N768" s="273" t="s">
        <v>9587</v>
      </c>
      <c r="O768" s="273" t="s">
        <v>106</v>
      </c>
      <c r="P768" s="232">
        <v>5</v>
      </c>
    </row>
    <row r="769" spans="1:16" ht="15.75" customHeight="1" x14ac:dyDescent="0.35">
      <c r="A769" s="258">
        <v>761</v>
      </c>
      <c r="B769" s="273" t="s">
        <v>9589</v>
      </c>
      <c r="C769" s="273" t="s">
        <v>9590</v>
      </c>
      <c r="D769" s="273" t="s">
        <v>51</v>
      </c>
      <c r="E769" s="273">
        <v>2700</v>
      </c>
      <c r="F769" s="273">
        <v>2015</v>
      </c>
      <c r="G769" s="273" t="s">
        <v>9591</v>
      </c>
      <c r="H769" s="273" t="s">
        <v>7938</v>
      </c>
      <c r="I769" s="274">
        <v>42537</v>
      </c>
      <c r="J769" s="273" t="s">
        <v>9592</v>
      </c>
      <c r="K769" s="273" t="s">
        <v>9593</v>
      </c>
      <c r="L769" s="273" t="s">
        <v>422</v>
      </c>
      <c r="M769" s="275">
        <v>378</v>
      </c>
      <c r="N769" s="273"/>
      <c r="O769" s="273" t="s">
        <v>106</v>
      </c>
      <c r="P769" s="232">
        <v>5</v>
      </c>
    </row>
    <row r="770" spans="1:16" ht="15.75" customHeight="1" x14ac:dyDescent="0.35">
      <c r="A770" s="264">
        <v>762</v>
      </c>
      <c r="B770" s="273" t="s">
        <v>9589</v>
      </c>
      <c r="C770" s="273" t="s">
        <v>9590</v>
      </c>
      <c r="D770" s="273" t="s">
        <v>59</v>
      </c>
      <c r="E770" s="273">
        <v>2760</v>
      </c>
      <c r="F770" s="273">
        <v>2015</v>
      </c>
      <c r="G770" s="273" t="s">
        <v>9594</v>
      </c>
      <c r="H770" s="273" t="s">
        <v>7938</v>
      </c>
      <c r="I770" s="274">
        <v>42537</v>
      </c>
      <c r="J770" s="273" t="s">
        <v>9592</v>
      </c>
      <c r="K770" s="273" t="s">
        <v>9595</v>
      </c>
      <c r="L770" s="273" t="s">
        <v>422</v>
      </c>
      <c r="M770" s="275">
        <v>386.4</v>
      </c>
      <c r="N770" s="273"/>
      <c r="O770" s="273" t="s">
        <v>106</v>
      </c>
      <c r="P770" s="232">
        <v>5</v>
      </c>
    </row>
    <row r="771" spans="1:16" ht="15.75" customHeight="1" x14ac:dyDescent="0.35">
      <c r="A771" s="258">
        <v>763</v>
      </c>
      <c r="B771" s="273" t="s">
        <v>9589</v>
      </c>
      <c r="C771" s="273" t="s">
        <v>9590</v>
      </c>
      <c r="D771" s="273" t="s">
        <v>97</v>
      </c>
      <c r="E771" s="273">
        <v>3560</v>
      </c>
      <c r="F771" s="273">
        <v>2015</v>
      </c>
      <c r="G771" s="273" t="s">
        <v>9596</v>
      </c>
      <c r="H771" s="273" t="s">
        <v>7938</v>
      </c>
      <c r="I771" s="274">
        <v>42537</v>
      </c>
      <c r="J771" s="273" t="s">
        <v>9592</v>
      </c>
      <c r="K771" s="273" t="s">
        <v>9597</v>
      </c>
      <c r="L771" s="273" t="s">
        <v>422</v>
      </c>
      <c r="M771" s="275">
        <v>498.4</v>
      </c>
      <c r="N771" s="273"/>
      <c r="O771" s="273" t="s">
        <v>106</v>
      </c>
      <c r="P771" s="232">
        <v>5</v>
      </c>
    </row>
    <row r="772" spans="1:16" ht="15.75" customHeight="1" x14ac:dyDescent="0.35">
      <c r="A772" s="264">
        <v>764</v>
      </c>
      <c r="B772" s="273" t="s">
        <v>9589</v>
      </c>
      <c r="C772" s="273" t="s">
        <v>9590</v>
      </c>
      <c r="D772" s="273" t="s">
        <v>101</v>
      </c>
      <c r="E772" s="273">
        <v>3760</v>
      </c>
      <c r="F772" s="273">
        <v>2015</v>
      </c>
      <c r="G772" s="273" t="s">
        <v>9591</v>
      </c>
      <c r="H772" s="273" t="s">
        <v>7938</v>
      </c>
      <c r="I772" s="274">
        <v>42537</v>
      </c>
      <c r="J772" s="273" t="s">
        <v>9592</v>
      </c>
      <c r="K772" s="273" t="s">
        <v>9598</v>
      </c>
      <c r="L772" s="273" t="s">
        <v>422</v>
      </c>
      <c r="M772" s="275">
        <v>526.4</v>
      </c>
      <c r="N772" s="273"/>
      <c r="O772" s="273" t="s">
        <v>106</v>
      </c>
      <c r="P772" s="232">
        <v>5</v>
      </c>
    </row>
    <row r="773" spans="1:16" ht="15.75" customHeight="1" x14ac:dyDescent="0.35">
      <c r="A773" s="258">
        <v>765</v>
      </c>
      <c r="B773" s="273" t="s">
        <v>9589</v>
      </c>
      <c r="C773" s="273" t="s">
        <v>9590</v>
      </c>
      <c r="D773" s="273" t="s">
        <v>107</v>
      </c>
      <c r="E773" s="273">
        <v>6800</v>
      </c>
      <c r="F773" s="273">
        <v>2015</v>
      </c>
      <c r="G773" s="273" t="s">
        <v>9594</v>
      </c>
      <c r="H773" s="273" t="s">
        <v>7938</v>
      </c>
      <c r="I773" s="274">
        <v>42537</v>
      </c>
      <c r="J773" s="273" t="s">
        <v>9592</v>
      </c>
      <c r="K773" s="273" t="s">
        <v>9599</v>
      </c>
      <c r="L773" s="273" t="s">
        <v>422</v>
      </c>
      <c r="M773" s="275">
        <v>952</v>
      </c>
      <c r="N773" s="273"/>
      <c r="O773" s="273" t="s">
        <v>106</v>
      </c>
      <c r="P773" s="232">
        <v>5</v>
      </c>
    </row>
    <row r="774" spans="1:16" ht="15.75" customHeight="1" x14ac:dyDescent="0.35">
      <c r="A774" s="264">
        <v>766</v>
      </c>
      <c r="B774" s="273" t="s">
        <v>9589</v>
      </c>
      <c r="C774" s="273" t="s">
        <v>9590</v>
      </c>
      <c r="D774" s="273" t="s">
        <v>112</v>
      </c>
      <c r="E774" s="273">
        <v>4275</v>
      </c>
      <c r="F774" s="273">
        <v>2015</v>
      </c>
      <c r="G774" s="273" t="s">
        <v>9600</v>
      </c>
      <c r="H774" s="273" t="s">
        <v>7938</v>
      </c>
      <c r="I774" s="274">
        <v>42537</v>
      </c>
      <c r="J774" s="273" t="s">
        <v>9592</v>
      </c>
      <c r="K774" s="273" t="s">
        <v>9601</v>
      </c>
      <c r="L774" s="273" t="s">
        <v>422</v>
      </c>
      <c r="M774" s="275">
        <v>1154.25</v>
      </c>
      <c r="N774" s="273"/>
      <c r="O774" s="273" t="s">
        <v>106</v>
      </c>
      <c r="P774" s="232">
        <v>5</v>
      </c>
    </row>
    <row r="775" spans="1:16" ht="15.75" customHeight="1" x14ac:dyDescent="0.35">
      <c r="A775" s="258">
        <v>767</v>
      </c>
      <c r="B775" s="273" t="s">
        <v>9589</v>
      </c>
      <c r="C775" s="273" t="s">
        <v>9590</v>
      </c>
      <c r="D775" s="273" t="s">
        <v>116</v>
      </c>
      <c r="E775" s="273">
        <v>8640</v>
      </c>
      <c r="F775" s="273">
        <v>2015</v>
      </c>
      <c r="G775" s="273" t="s">
        <v>9594</v>
      </c>
      <c r="H775" s="273" t="s">
        <v>7938</v>
      </c>
      <c r="I775" s="274">
        <v>42537</v>
      </c>
      <c r="J775" s="273" t="s">
        <v>9592</v>
      </c>
      <c r="K775" s="273" t="s">
        <v>9602</v>
      </c>
      <c r="L775" s="273" t="s">
        <v>422</v>
      </c>
      <c r="M775" s="275">
        <v>1209.5999999999999</v>
      </c>
      <c r="N775" s="273"/>
      <c r="O775" s="273" t="s">
        <v>106</v>
      </c>
      <c r="P775" s="232">
        <v>5</v>
      </c>
    </row>
    <row r="776" spans="1:16" ht="15.75" customHeight="1" x14ac:dyDescent="0.35">
      <c r="A776" s="264">
        <v>768</v>
      </c>
      <c r="B776" s="273" t="s">
        <v>9589</v>
      </c>
      <c r="C776" s="273" t="s">
        <v>9590</v>
      </c>
      <c r="D776" s="273" t="s">
        <v>841</v>
      </c>
      <c r="E776" s="273">
        <v>9150</v>
      </c>
      <c r="F776" s="273">
        <v>2015</v>
      </c>
      <c r="G776" s="273" t="s">
        <v>9596</v>
      </c>
      <c r="H776" s="273" t="s">
        <v>7938</v>
      </c>
      <c r="I776" s="274">
        <v>42537</v>
      </c>
      <c r="J776" s="273" t="s">
        <v>9592</v>
      </c>
      <c r="K776" s="273" t="s">
        <v>9603</v>
      </c>
      <c r="L776" s="273" t="s">
        <v>422</v>
      </c>
      <c r="M776" s="275">
        <v>1281</v>
      </c>
      <c r="N776" s="273"/>
      <c r="O776" s="273" t="s">
        <v>106</v>
      </c>
      <c r="P776" s="232">
        <v>5</v>
      </c>
    </row>
    <row r="777" spans="1:16" ht="15.75" customHeight="1" x14ac:dyDescent="0.35">
      <c r="A777" s="258">
        <v>769</v>
      </c>
      <c r="B777" s="273" t="s">
        <v>9589</v>
      </c>
      <c r="C777" s="273" t="s">
        <v>9590</v>
      </c>
      <c r="D777" s="273" t="s">
        <v>904</v>
      </c>
      <c r="E777" s="273">
        <v>6750</v>
      </c>
      <c r="F777" s="273">
        <v>2015</v>
      </c>
      <c r="G777" s="273" t="s">
        <v>9604</v>
      </c>
      <c r="H777" s="273" t="s">
        <v>7938</v>
      </c>
      <c r="I777" s="274">
        <v>42537</v>
      </c>
      <c r="J777" s="273" t="s">
        <v>9592</v>
      </c>
      <c r="K777" s="273" t="s">
        <v>9605</v>
      </c>
      <c r="L777" s="273" t="s">
        <v>422</v>
      </c>
      <c r="M777" s="275">
        <v>1350</v>
      </c>
      <c r="N777" s="273"/>
      <c r="O777" s="273" t="s">
        <v>106</v>
      </c>
      <c r="P777" s="232">
        <v>5</v>
      </c>
    </row>
    <row r="778" spans="1:16" ht="15.75" customHeight="1" x14ac:dyDescent="0.35">
      <c r="A778" s="264">
        <v>770</v>
      </c>
      <c r="B778" s="273" t="s">
        <v>9589</v>
      </c>
      <c r="C778" s="273" t="s">
        <v>9590</v>
      </c>
      <c r="D778" s="273" t="s">
        <v>122</v>
      </c>
      <c r="E778" s="273">
        <v>11040</v>
      </c>
      <c r="F778" s="273">
        <v>2015</v>
      </c>
      <c r="G778" s="273" t="s">
        <v>9596</v>
      </c>
      <c r="H778" s="273" t="s">
        <v>7938</v>
      </c>
      <c r="I778" s="274">
        <v>42537</v>
      </c>
      <c r="J778" s="273" t="s">
        <v>9592</v>
      </c>
      <c r="K778" s="273" t="s">
        <v>9606</v>
      </c>
      <c r="L778" s="273" t="s">
        <v>422</v>
      </c>
      <c r="M778" s="275">
        <v>1545.6</v>
      </c>
      <c r="N778" s="273"/>
      <c r="O778" s="273" t="s">
        <v>106</v>
      </c>
      <c r="P778" s="232">
        <v>5</v>
      </c>
    </row>
    <row r="779" spans="1:16" ht="15.75" customHeight="1" x14ac:dyDescent="0.35">
      <c r="A779" s="258">
        <v>771</v>
      </c>
      <c r="B779" s="273" t="s">
        <v>9589</v>
      </c>
      <c r="C779" s="273" t="s">
        <v>9590</v>
      </c>
      <c r="D779" s="273" t="s">
        <v>126</v>
      </c>
      <c r="E779" s="273">
        <v>6000</v>
      </c>
      <c r="F779" s="273">
        <v>2015</v>
      </c>
      <c r="G779" s="273" t="s">
        <v>9607</v>
      </c>
      <c r="H779" s="273" t="s">
        <v>7938</v>
      </c>
      <c r="I779" s="274">
        <v>42537</v>
      </c>
      <c r="J779" s="273" t="s">
        <v>9592</v>
      </c>
      <c r="K779" s="273" t="s">
        <v>9608</v>
      </c>
      <c r="L779" s="273" t="s">
        <v>422</v>
      </c>
      <c r="M779" s="275">
        <v>1620</v>
      </c>
      <c r="N779" s="273"/>
      <c r="O779" s="273" t="s">
        <v>106</v>
      </c>
      <c r="P779" s="232">
        <v>5</v>
      </c>
    </row>
    <row r="780" spans="1:16" ht="15.75" customHeight="1" x14ac:dyDescent="0.35">
      <c r="A780" s="264">
        <v>772</v>
      </c>
      <c r="B780" s="273" t="s">
        <v>9589</v>
      </c>
      <c r="C780" s="273" t="s">
        <v>9590</v>
      </c>
      <c r="D780" s="273" t="s">
        <v>132</v>
      </c>
      <c r="E780" s="273">
        <v>9000</v>
      </c>
      <c r="F780" s="273">
        <v>2015</v>
      </c>
      <c r="G780" s="273" t="s">
        <v>9591</v>
      </c>
      <c r="H780" s="273" t="s">
        <v>7938</v>
      </c>
      <c r="I780" s="274">
        <v>42537</v>
      </c>
      <c r="J780" s="273" t="s">
        <v>9592</v>
      </c>
      <c r="K780" s="273" t="s">
        <v>9609</v>
      </c>
      <c r="L780" s="273" t="s">
        <v>422</v>
      </c>
      <c r="M780" s="275">
        <v>1800</v>
      </c>
      <c r="N780" s="273"/>
      <c r="O780" s="273" t="s">
        <v>106</v>
      </c>
      <c r="P780" s="232">
        <v>5</v>
      </c>
    </row>
    <row r="781" spans="1:16" ht="15.75" customHeight="1" x14ac:dyDescent="0.35">
      <c r="A781" s="258">
        <v>773</v>
      </c>
      <c r="B781" s="273" t="s">
        <v>9589</v>
      </c>
      <c r="C781" s="273" t="s">
        <v>9590</v>
      </c>
      <c r="D781" s="273" t="s">
        <v>137</v>
      </c>
      <c r="E781" s="273">
        <v>7275</v>
      </c>
      <c r="F781" s="273">
        <v>2015</v>
      </c>
      <c r="G781" s="273" t="s">
        <v>9607</v>
      </c>
      <c r="H781" s="273" t="s">
        <v>7938</v>
      </c>
      <c r="I781" s="274">
        <v>42537</v>
      </c>
      <c r="J781" s="273" t="s">
        <v>9592</v>
      </c>
      <c r="K781" s="273" t="s">
        <v>9610</v>
      </c>
      <c r="L781" s="273" t="s">
        <v>422</v>
      </c>
      <c r="M781" s="275">
        <v>1964.25</v>
      </c>
      <c r="N781" s="273"/>
      <c r="O781" s="273" t="s">
        <v>106</v>
      </c>
      <c r="P781" s="232">
        <v>5</v>
      </c>
    </row>
    <row r="782" spans="1:16" ht="15.75" customHeight="1" x14ac:dyDescent="0.35">
      <c r="A782" s="264">
        <v>774</v>
      </c>
      <c r="B782" s="273" t="s">
        <v>9589</v>
      </c>
      <c r="C782" s="273" t="s">
        <v>9590</v>
      </c>
      <c r="D782" s="273" t="s">
        <v>146</v>
      </c>
      <c r="E782" s="273">
        <v>12000</v>
      </c>
      <c r="F782" s="273">
        <v>2015</v>
      </c>
      <c r="G782" s="273" t="s">
        <v>9591</v>
      </c>
      <c r="H782" s="273" t="s">
        <v>7938</v>
      </c>
      <c r="I782" s="274">
        <v>42537</v>
      </c>
      <c r="J782" s="273" t="s">
        <v>9592</v>
      </c>
      <c r="K782" s="273" t="s">
        <v>9611</v>
      </c>
      <c r="L782" s="273" t="s">
        <v>422</v>
      </c>
      <c r="M782" s="275">
        <v>2400</v>
      </c>
      <c r="N782" s="273"/>
      <c r="O782" s="273" t="s">
        <v>106</v>
      </c>
      <c r="P782" s="232">
        <v>5</v>
      </c>
    </row>
    <row r="783" spans="1:16" ht="15.75" customHeight="1" x14ac:dyDescent="0.35">
      <c r="A783" s="258">
        <v>775</v>
      </c>
      <c r="B783" s="273" t="s">
        <v>9589</v>
      </c>
      <c r="C783" s="273" t="s">
        <v>9590</v>
      </c>
      <c r="D783" s="273" t="s">
        <v>154</v>
      </c>
      <c r="E783" s="273">
        <v>10000</v>
      </c>
      <c r="F783" s="273">
        <v>2015</v>
      </c>
      <c r="G783" s="273" t="s">
        <v>9596</v>
      </c>
      <c r="H783" s="273" t="s">
        <v>7938</v>
      </c>
      <c r="I783" s="274">
        <v>42537</v>
      </c>
      <c r="J783" s="273" t="s">
        <v>9592</v>
      </c>
      <c r="K783" s="273" t="s">
        <v>9612</v>
      </c>
      <c r="L783" s="273" t="s">
        <v>422</v>
      </c>
      <c r="M783" s="275">
        <v>2700</v>
      </c>
      <c r="N783" s="273"/>
      <c r="O783" s="273" t="s">
        <v>106</v>
      </c>
      <c r="P783" s="232">
        <v>5</v>
      </c>
    </row>
    <row r="784" spans="1:16" ht="15.75" customHeight="1" x14ac:dyDescent="0.35">
      <c r="A784" s="264">
        <v>776</v>
      </c>
      <c r="B784" s="273" t="s">
        <v>9589</v>
      </c>
      <c r="C784" s="273" t="s">
        <v>9590</v>
      </c>
      <c r="D784" s="273" t="s">
        <v>161</v>
      </c>
      <c r="E784" s="273">
        <v>20000</v>
      </c>
      <c r="F784" s="273">
        <v>2015</v>
      </c>
      <c r="G784" s="273" t="s">
        <v>9596</v>
      </c>
      <c r="H784" s="273" t="s">
        <v>7938</v>
      </c>
      <c r="I784" s="274">
        <v>42537</v>
      </c>
      <c r="J784" s="273" t="s">
        <v>9592</v>
      </c>
      <c r="K784" s="273" t="s">
        <v>9613</v>
      </c>
      <c r="L784" s="273" t="s">
        <v>422</v>
      </c>
      <c r="M784" s="275">
        <v>2800</v>
      </c>
      <c r="N784" s="273"/>
      <c r="O784" s="273" t="s">
        <v>106</v>
      </c>
      <c r="P784" s="232">
        <v>5</v>
      </c>
    </row>
    <row r="785" spans="1:16" ht="15.75" customHeight="1" x14ac:dyDescent="0.35">
      <c r="A785" s="258">
        <v>777</v>
      </c>
      <c r="B785" s="273" t="s">
        <v>9589</v>
      </c>
      <c r="C785" s="273" t="s">
        <v>9590</v>
      </c>
      <c r="D785" s="273" t="s">
        <v>169</v>
      </c>
      <c r="E785" s="273">
        <v>5400</v>
      </c>
      <c r="F785" s="273">
        <v>2015</v>
      </c>
      <c r="G785" s="273" t="s">
        <v>9594</v>
      </c>
      <c r="H785" s="273" t="s">
        <v>7938</v>
      </c>
      <c r="I785" s="274">
        <v>42537</v>
      </c>
      <c r="J785" s="273" t="s">
        <v>9592</v>
      </c>
      <c r="K785" s="273" t="s">
        <v>9614</v>
      </c>
      <c r="L785" s="273" t="s">
        <v>422</v>
      </c>
      <c r="M785" s="275">
        <v>3564</v>
      </c>
      <c r="N785" s="273"/>
      <c r="O785" s="273" t="s">
        <v>106</v>
      </c>
      <c r="P785" s="232">
        <v>5</v>
      </c>
    </row>
    <row r="786" spans="1:16" ht="15.75" customHeight="1" x14ac:dyDescent="0.35">
      <c r="A786" s="264">
        <v>778</v>
      </c>
      <c r="B786" s="273" t="s">
        <v>9589</v>
      </c>
      <c r="C786" s="273" t="s">
        <v>9590</v>
      </c>
      <c r="D786" s="273" t="s">
        <v>176</v>
      </c>
      <c r="E786" s="273">
        <v>6000</v>
      </c>
      <c r="F786" s="273">
        <v>2015</v>
      </c>
      <c r="G786" s="273" t="s">
        <v>9615</v>
      </c>
      <c r="H786" s="273" t="s">
        <v>7938</v>
      </c>
      <c r="I786" s="274">
        <v>42537</v>
      </c>
      <c r="J786" s="273" t="s">
        <v>9592</v>
      </c>
      <c r="K786" s="273" t="s">
        <v>9616</v>
      </c>
      <c r="L786" s="273" t="s">
        <v>422</v>
      </c>
      <c r="M786" s="275">
        <v>3960</v>
      </c>
      <c r="N786" s="273"/>
      <c r="O786" s="273" t="s">
        <v>106</v>
      </c>
      <c r="P786" s="232">
        <v>5</v>
      </c>
    </row>
    <row r="787" spans="1:16" ht="15.75" customHeight="1" x14ac:dyDescent="0.35">
      <c r="A787" s="258">
        <v>779</v>
      </c>
      <c r="B787" s="273" t="s">
        <v>9589</v>
      </c>
      <c r="C787" s="273" t="s">
        <v>9590</v>
      </c>
      <c r="D787" s="273" t="s">
        <v>1236</v>
      </c>
      <c r="E787" s="273">
        <v>6000</v>
      </c>
      <c r="F787" s="273">
        <v>2015</v>
      </c>
      <c r="G787" s="273" t="s">
        <v>9615</v>
      </c>
      <c r="H787" s="273" t="s">
        <v>7938</v>
      </c>
      <c r="I787" s="274">
        <v>42537</v>
      </c>
      <c r="J787" s="273" t="s">
        <v>9592</v>
      </c>
      <c r="K787" s="273" t="s">
        <v>9617</v>
      </c>
      <c r="L787" s="273" t="s">
        <v>422</v>
      </c>
      <c r="M787" s="275">
        <v>3960</v>
      </c>
      <c r="N787" s="273"/>
      <c r="O787" s="273" t="s">
        <v>106</v>
      </c>
      <c r="P787" s="232">
        <v>5</v>
      </c>
    </row>
    <row r="788" spans="1:16" ht="15.75" customHeight="1" x14ac:dyDescent="0.35">
      <c r="A788" s="264">
        <v>780</v>
      </c>
      <c r="B788" s="273" t="s">
        <v>9589</v>
      </c>
      <c r="C788" s="273" t="s">
        <v>9590</v>
      </c>
      <c r="D788" s="273" t="s">
        <v>181</v>
      </c>
      <c r="E788" s="273">
        <v>3000</v>
      </c>
      <c r="F788" s="273">
        <v>2015</v>
      </c>
      <c r="G788" s="273" t="s">
        <v>9618</v>
      </c>
      <c r="H788" s="273" t="s">
        <v>7938</v>
      </c>
      <c r="I788" s="274">
        <v>42537</v>
      </c>
      <c r="J788" s="273" t="s">
        <v>9592</v>
      </c>
      <c r="K788" s="273" t="s">
        <v>9619</v>
      </c>
      <c r="L788" s="273" t="s">
        <v>422</v>
      </c>
      <c r="M788" s="275">
        <v>4200</v>
      </c>
      <c r="N788" s="273"/>
      <c r="O788" s="273" t="s">
        <v>106</v>
      </c>
      <c r="P788" s="232">
        <v>5</v>
      </c>
    </row>
    <row r="789" spans="1:16" ht="15.75" customHeight="1" x14ac:dyDescent="0.35">
      <c r="A789" s="258">
        <v>781</v>
      </c>
      <c r="B789" s="273" t="s">
        <v>9589</v>
      </c>
      <c r="C789" s="273" t="s">
        <v>9590</v>
      </c>
      <c r="D789" s="273" t="s">
        <v>187</v>
      </c>
      <c r="E789" s="273">
        <v>15600</v>
      </c>
      <c r="F789" s="273">
        <v>2015</v>
      </c>
      <c r="G789" s="273" t="s">
        <v>9607</v>
      </c>
      <c r="H789" s="273" t="s">
        <v>7938</v>
      </c>
      <c r="I789" s="274">
        <v>42537</v>
      </c>
      <c r="J789" s="273" t="s">
        <v>9592</v>
      </c>
      <c r="K789" s="273" t="s">
        <v>9620</v>
      </c>
      <c r="L789" s="273" t="s">
        <v>422</v>
      </c>
      <c r="M789" s="275">
        <v>4212</v>
      </c>
      <c r="N789" s="273"/>
      <c r="O789" s="273" t="s">
        <v>106</v>
      </c>
      <c r="P789" s="232">
        <v>5</v>
      </c>
    </row>
    <row r="790" spans="1:16" ht="15.75" customHeight="1" x14ac:dyDescent="0.35">
      <c r="A790" s="264">
        <v>782</v>
      </c>
      <c r="B790" s="273" t="s">
        <v>9589</v>
      </c>
      <c r="C790" s="273" t="s">
        <v>9590</v>
      </c>
      <c r="D790" s="273" t="s">
        <v>190</v>
      </c>
      <c r="E790" s="273">
        <v>8000</v>
      </c>
      <c r="F790" s="273">
        <v>2015</v>
      </c>
      <c r="G790" s="273" t="s">
        <v>9615</v>
      </c>
      <c r="H790" s="273" t="s">
        <v>7938</v>
      </c>
      <c r="I790" s="274">
        <v>42537</v>
      </c>
      <c r="J790" s="273" t="s">
        <v>9592</v>
      </c>
      <c r="K790" s="273" t="s">
        <v>9621</v>
      </c>
      <c r="L790" s="273" t="s">
        <v>422</v>
      </c>
      <c r="M790" s="275">
        <v>5280</v>
      </c>
      <c r="N790" s="273"/>
      <c r="O790" s="273" t="s">
        <v>106</v>
      </c>
      <c r="P790" s="232">
        <v>5</v>
      </c>
    </row>
    <row r="791" spans="1:16" ht="15.75" customHeight="1" x14ac:dyDescent="0.35">
      <c r="A791" s="258">
        <v>783</v>
      </c>
      <c r="B791" s="273" t="s">
        <v>9589</v>
      </c>
      <c r="C791" s="273" t="s">
        <v>9590</v>
      </c>
      <c r="D791" s="273" t="s">
        <v>192</v>
      </c>
      <c r="E791" s="273">
        <v>20250</v>
      </c>
      <c r="F791" s="273">
        <v>2015</v>
      </c>
      <c r="G791" s="273" t="s">
        <v>9596</v>
      </c>
      <c r="H791" s="273" t="s">
        <v>7938</v>
      </c>
      <c r="I791" s="274">
        <v>42537</v>
      </c>
      <c r="J791" s="273" t="s">
        <v>9592</v>
      </c>
      <c r="K791" s="273" t="s">
        <v>9622</v>
      </c>
      <c r="L791" s="273" t="s">
        <v>422</v>
      </c>
      <c r="M791" s="275">
        <v>5467.5</v>
      </c>
      <c r="N791" s="273"/>
      <c r="O791" s="273" t="s">
        <v>106</v>
      </c>
      <c r="P791" s="232">
        <v>5</v>
      </c>
    </row>
    <row r="792" spans="1:16" ht="15.75" customHeight="1" x14ac:dyDescent="0.35">
      <c r="A792" s="264">
        <v>784</v>
      </c>
      <c r="B792" s="273" t="s">
        <v>9589</v>
      </c>
      <c r="C792" s="273" t="s">
        <v>9590</v>
      </c>
      <c r="D792" s="273" t="s">
        <v>194</v>
      </c>
      <c r="E792" s="273">
        <v>3400</v>
      </c>
      <c r="F792" s="273">
        <v>2015</v>
      </c>
      <c r="G792" s="273" t="s">
        <v>9607</v>
      </c>
      <c r="H792" s="273" t="s">
        <v>7938</v>
      </c>
      <c r="I792" s="274">
        <v>42537</v>
      </c>
      <c r="J792" s="273" t="s">
        <v>9592</v>
      </c>
      <c r="K792" s="273" t="s">
        <v>9623</v>
      </c>
      <c r="L792" s="273" t="s">
        <v>422</v>
      </c>
      <c r="M792" s="275">
        <v>5780</v>
      </c>
      <c r="N792" s="273"/>
      <c r="O792" s="273" t="s">
        <v>106</v>
      </c>
      <c r="P792" s="232">
        <v>5</v>
      </c>
    </row>
    <row r="793" spans="1:16" ht="15.75" customHeight="1" x14ac:dyDescent="0.35">
      <c r="A793" s="258">
        <v>785</v>
      </c>
      <c r="B793" s="273" t="s">
        <v>9589</v>
      </c>
      <c r="C793" s="273" t="s">
        <v>9590</v>
      </c>
      <c r="D793" s="273" t="s">
        <v>195</v>
      </c>
      <c r="E793" s="273">
        <v>22500</v>
      </c>
      <c r="F793" s="273">
        <v>2015</v>
      </c>
      <c r="G793" s="273" t="s">
        <v>9596</v>
      </c>
      <c r="H793" s="273" t="s">
        <v>7938</v>
      </c>
      <c r="I793" s="274">
        <v>42537</v>
      </c>
      <c r="J793" s="273" t="s">
        <v>9592</v>
      </c>
      <c r="K793" s="273" t="s">
        <v>9624</v>
      </c>
      <c r="L793" s="273" t="s">
        <v>422</v>
      </c>
      <c r="M793" s="275">
        <v>6075</v>
      </c>
      <c r="N793" s="273"/>
      <c r="O793" s="273" t="s">
        <v>106</v>
      </c>
      <c r="P793" s="232">
        <v>5</v>
      </c>
    </row>
    <row r="794" spans="1:16" ht="15.75" customHeight="1" x14ac:dyDescent="0.35">
      <c r="A794" s="264">
        <v>786</v>
      </c>
      <c r="B794" s="273" t="s">
        <v>9589</v>
      </c>
      <c r="C794" s="273" t="s">
        <v>9590</v>
      </c>
      <c r="D794" s="273" t="s">
        <v>199</v>
      </c>
      <c r="E794" s="273">
        <v>4000</v>
      </c>
      <c r="F794" s="273">
        <v>2015</v>
      </c>
      <c r="G794" s="273" t="s">
        <v>9607</v>
      </c>
      <c r="H794" s="273" t="s">
        <v>7938</v>
      </c>
      <c r="I794" s="274">
        <v>42537</v>
      </c>
      <c r="J794" s="273" t="s">
        <v>9592</v>
      </c>
      <c r="K794" s="273" t="s">
        <v>9625</v>
      </c>
      <c r="L794" s="273" t="s">
        <v>422</v>
      </c>
      <c r="M794" s="275">
        <v>6800</v>
      </c>
      <c r="N794" s="273"/>
      <c r="O794" s="273" t="s">
        <v>106</v>
      </c>
      <c r="P794" s="232">
        <v>5</v>
      </c>
    </row>
    <row r="795" spans="1:16" ht="15.75" customHeight="1" x14ac:dyDescent="0.35">
      <c r="A795" s="258">
        <v>787</v>
      </c>
      <c r="B795" s="273" t="s">
        <v>9589</v>
      </c>
      <c r="C795" s="273" t="s">
        <v>9590</v>
      </c>
      <c r="D795" s="273" t="s">
        <v>200</v>
      </c>
      <c r="E795" s="273">
        <v>2850</v>
      </c>
      <c r="F795" s="273">
        <v>2015</v>
      </c>
      <c r="G795" s="273" t="s">
        <v>9600</v>
      </c>
      <c r="H795" s="273" t="s">
        <v>7938</v>
      </c>
      <c r="I795" s="274">
        <v>42537</v>
      </c>
      <c r="J795" s="273" t="s">
        <v>9592</v>
      </c>
      <c r="K795" s="273" t="s">
        <v>9626</v>
      </c>
      <c r="L795" s="273" t="s">
        <v>422</v>
      </c>
      <c r="M795" s="275">
        <v>6982.5</v>
      </c>
      <c r="N795" s="273"/>
      <c r="O795" s="273" t="s">
        <v>106</v>
      </c>
      <c r="P795" s="232">
        <v>5</v>
      </c>
    </row>
    <row r="796" spans="1:16" ht="15.75" customHeight="1" x14ac:dyDescent="0.35">
      <c r="A796" s="264">
        <v>788</v>
      </c>
      <c r="B796" s="273" t="s">
        <v>9589</v>
      </c>
      <c r="C796" s="273" t="s">
        <v>9590</v>
      </c>
      <c r="D796" s="273" t="s">
        <v>209</v>
      </c>
      <c r="E796" s="273">
        <v>36900</v>
      </c>
      <c r="F796" s="273">
        <v>2015</v>
      </c>
      <c r="G796" s="273" t="s">
        <v>9591</v>
      </c>
      <c r="H796" s="273" t="s">
        <v>7938</v>
      </c>
      <c r="I796" s="274">
        <v>42537</v>
      </c>
      <c r="J796" s="273" t="s">
        <v>9592</v>
      </c>
      <c r="K796" s="273" t="s">
        <v>9627</v>
      </c>
      <c r="L796" s="273" t="s">
        <v>422</v>
      </c>
      <c r="M796" s="275">
        <v>7380</v>
      </c>
      <c r="N796" s="273"/>
      <c r="O796" s="273" t="s">
        <v>106</v>
      </c>
      <c r="P796" s="232">
        <v>5</v>
      </c>
    </row>
    <row r="797" spans="1:16" ht="15.75" customHeight="1" x14ac:dyDescent="0.35">
      <c r="A797" s="258">
        <v>789</v>
      </c>
      <c r="B797" s="273" t="s">
        <v>9589</v>
      </c>
      <c r="C797" s="273" t="s">
        <v>9590</v>
      </c>
      <c r="D797" s="273" t="s">
        <v>215</v>
      </c>
      <c r="E797" s="273">
        <v>5640</v>
      </c>
      <c r="F797" s="273">
        <v>2015</v>
      </c>
      <c r="G797" s="273" t="s">
        <v>9618</v>
      </c>
      <c r="H797" s="273" t="s">
        <v>7938</v>
      </c>
      <c r="I797" s="274">
        <v>42537</v>
      </c>
      <c r="J797" s="273" t="s">
        <v>9592</v>
      </c>
      <c r="K797" s="273" t="s">
        <v>9628</v>
      </c>
      <c r="L797" s="273" t="s">
        <v>422</v>
      </c>
      <c r="M797" s="275">
        <v>7896</v>
      </c>
      <c r="N797" s="273"/>
      <c r="O797" s="273" t="s">
        <v>106</v>
      </c>
      <c r="P797" s="232">
        <v>5</v>
      </c>
    </row>
    <row r="798" spans="1:16" ht="15.75" customHeight="1" x14ac:dyDescent="0.35">
      <c r="A798" s="264">
        <v>790</v>
      </c>
      <c r="B798" s="273" t="s">
        <v>9589</v>
      </c>
      <c r="C798" s="273" t="s">
        <v>9590</v>
      </c>
      <c r="D798" s="273" t="s">
        <v>223</v>
      </c>
      <c r="E798" s="273">
        <v>6000</v>
      </c>
      <c r="F798" s="273">
        <v>2015</v>
      </c>
      <c r="G798" s="273" t="s">
        <v>9618</v>
      </c>
      <c r="H798" s="273" t="s">
        <v>7938</v>
      </c>
      <c r="I798" s="274">
        <v>42537</v>
      </c>
      <c r="J798" s="273" t="s">
        <v>9592</v>
      </c>
      <c r="K798" s="273" t="s">
        <v>9629</v>
      </c>
      <c r="L798" s="273" t="s">
        <v>422</v>
      </c>
      <c r="M798" s="275">
        <v>8400</v>
      </c>
      <c r="N798" s="273"/>
      <c r="O798" s="273" t="s">
        <v>106</v>
      </c>
      <c r="P798" s="232">
        <v>5</v>
      </c>
    </row>
    <row r="799" spans="1:16" ht="15.75" customHeight="1" x14ac:dyDescent="0.35">
      <c r="A799" s="258">
        <v>791</v>
      </c>
      <c r="B799" s="273" t="s">
        <v>9589</v>
      </c>
      <c r="C799" s="273" t="s">
        <v>9590</v>
      </c>
      <c r="D799" s="273" t="s">
        <v>229</v>
      </c>
      <c r="E799" s="273">
        <v>3930</v>
      </c>
      <c r="F799" s="273">
        <v>2015</v>
      </c>
      <c r="G799" s="273" t="s">
        <v>9596</v>
      </c>
      <c r="H799" s="273" t="s">
        <v>7938</v>
      </c>
      <c r="I799" s="274">
        <v>42537</v>
      </c>
      <c r="J799" s="273" t="s">
        <v>9592</v>
      </c>
      <c r="K799" s="273" t="s">
        <v>9630</v>
      </c>
      <c r="L799" s="273" t="s">
        <v>422</v>
      </c>
      <c r="M799" s="275">
        <v>9628.5</v>
      </c>
      <c r="N799" s="273"/>
      <c r="O799" s="273" t="s">
        <v>106</v>
      </c>
      <c r="P799" s="232">
        <v>5</v>
      </c>
    </row>
    <row r="800" spans="1:16" ht="15.75" customHeight="1" x14ac:dyDescent="0.35">
      <c r="A800" s="264">
        <v>792</v>
      </c>
      <c r="B800" s="273" t="s">
        <v>9589</v>
      </c>
      <c r="C800" s="273" t="s">
        <v>9590</v>
      </c>
      <c r="D800" s="273" t="s">
        <v>238</v>
      </c>
      <c r="E800" s="273">
        <v>2850</v>
      </c>
      <c r="F800" s="273">
        <v>2015</v>
      </c>
      <c r="G800" s="273" t="s">
        <v>9615</v>
      </c>
      <c r="H800" s="273" t="s">
        <v>7938</v>
      </c>
      <c r="I800" s="274">
        <v>42537</v>
      </c>
      <c r="J800" s="273" t="s">
        <v>9592</v>
      </c>
      <c r="K800" s="273" t="s">
        <v>9631</v>
      </c>
      <c r="L800" s="273" t="s">
        <v>422</v>
      </c>
      <c r="M800" s="275">
        <v>9975</v>
      </c>
      <c r="N800" s="273"/>
      <c r="O800" s="273" t="s">
        <v>106</v>
      </c>
      <c r="P800" s="232">
        <v>5</v>
      </c>
    </row>
    <row r="801" spans="1:16" ht="15.75" customHeight="1" x14ac:dyDescent="0.35">
      <c r="A801" s="258">
        <v>793</v>
      </c>
      <c r="B801" s="273" t="s">
        <v>9589</v>
      </c>
      <c r="C801" s="273" t="s">
        <v>9590</v>
      </c>
      <c r="D801" s="273" t="s">
        <v>244</v>
      </c>
      <c r="E801" s="273">
        <v>4275</v>
      </c>
      <c r="F801" s="273">
        <v>2015</v>
      </c>
      <c r="G801" s="273" t="s">
        <v>9600</v>
      </c>
      <c r="H801" s="273" t="s">
        <v>7938</v>
      </c>
      <c r="I801" s="274">
        <v>42537</v>
      </c>
      <c r="J801" s="273" t="s">
        <v>9592</v>
      </c>
      <c r="K801" s="273" t="s">
        <v>9632</v>
      </c>
      <c r="L801" s="273" t="s">
        <v>422</v>
      </c>
      <c r="M801" s="275">
        <v>10473.75</v>
      </c>
      <c r="N801" s="273"/>
      <c r="O801" s="273" t="s">
        <v>106</v>
      </c>
      <c r="P801" s="232">
        <v>5</v>
      </c>
    </row>
    <row r="802" spans="1:16" ht="15.75" customHeight="1" x14ac:dyDescent="0.35">
      <c r="A802" s="264">
        <v>794</v>
      </c>
      <c r="B802" s="273" t="s">
        <v>9589</v>
      </c>
      <c r="C802" s="273" t="s">
        <v>9590</v>
      </c>
      <c r="D802" s="273" t="s">
        <v>253</v>
      </c>
      <c r="E802" s="273">
        <v>30000</v>
      </c>
      <c r="F802" s="273">
        <v>2015</v>
      </c>
      <c r="G802" s="273" t="s">
        <v>9607</v>
      </c>
      <c r="H802" s="273" t="s">
        <v>7938</v>
      </c>
      <c r="I802" s="274">
        <v>42537</v>
      </c>
      <c r="J802" s="273" t="s">
        <v>9592</v>
      </c>
      <c r="K802" s="273" t="s">
        <v>9633</v>
      </c>
      <c r="L802" s="273" t="s">
        <v>422</v>
      </c>
      <c r="M802" s="275">
        <v>10500</v>
      </c>
      <c r="N802" s="273"/>
      <c r="O802" s="273" t="s">
        <v>106</v>
      </c>
      <c r="P802" s="232">
        <v>5</v>
      </c>
    </row>
    <row r="803" spans="1:16" ht="15.75" customHeight="1" x14ac:dyDescent="0.35">
      <c r="A803" s="258">
        <v>795</v>
      </c>
      <c r="B803" s="273" t="s">
        <v>9589</v>
      </c>
      <c r="C803" s="273" t="s">
        <v>9590</v>
      </c>
      <c r="D803" s="273" t="s">
        <v>259</v>
      </c>
      <c r="E803" s="273">
        <v>39800</v>
      </c>
      <c r="F803" s="273">
        <v>2015</v>
      </c>
      <c r="G803" s="273" t="s">
        <v>9596</v>
      </c>
      <c r="H803" s="273" t="s">
        <v>7938</v>
      </c>
      <c r="I803" s="274">
        <v>42537</v>
      </c>
      <c r="J803" s="273" t="s">
        <v>9592</v>
      </c>
      <c r="K803" s="273" t="s">
        <v>9634</v>
      </c>
      <c r="L803" s="273" t="s">
        <v>422</v>
      </c>
      <c r="M803" s="275">
        <v>10746</v>
      </c>
      <c r="N803" s="273"/>
      <c r="O803" s="273" t="s">
        <v>106</v>
      </c>
      <c r="P803" s="232">
        <v>5</v>
      </c>
    </row>
    <row r="804" spans="1:16" ht="15.75" customHeight="1" x14ac:dyDescent="0.35">
      <c r="A804" s="264">
        <v>796</v>
      </c>
      <c r="B804" s="273" t="s">
        <v>9589</v>
      </c>
      <c r="C804" s="273" t="s">
        <v>9590</v>
      </c>
      <c r="D804" s="273" t="s">
        <v>264</v>
      </c>
      <c r="E804" s="273">
        <v>8000</v>
      </c>
      <c r="F804" s="273">
        <v>2015</v>
      </c>
      <c r="G804" s="273" t="s">
        <v>9618</v>
      </c>
      <c r="H804" s="273" t="s">
        <v>7938</v>
      </c>
      <c r="I804" s="274">
        <v>42537</v>
      </c>
      <c r="J804" s="273" t="s">
        <v>9592</v>
      </c>
      <c r="K804" s="273" t="s">
        <v>9635</v>
      </c>
      <c r="L804" s="273" t="s">
        <v>422</v>
      </c>
      <c r="M804" s="275">
        <v>11200</v>
      </c>
      <c r="N804" s="273"/>
      <c r="O804" s="273" t="s">
        <v>106</v>
      </c>
      <c r="P804" s="232">
        <v>5</v>
      </c>
    </row>
    <row r="805" spans="1:16" ht="15.75" customHeight="1" x14ac:dyDescent="0.35">
      <c r="A805" s="258">
        <v>797</v>
      </c>
      <c r="B805" s="273" t="s">
        <v>9589</v>
      </c>
      <c r="C805" s="273" t="s">
        <v>9590</v>
      </c>
      <c r="D805" s="273" t="s">
        <v>269</v>
      </c>
      <c r="E805" s="273">
        <v>32000</v>
      </c>
      <c r="F805" s="273">
        <v>2015</v>
      </c>
      <c r="G805" s="273" t="s">
        <v>9607</v>
      </c>
      <c r="H805" s="273" t="s">
        <v>7938</v>
      </c>
      <c r="I805" s="274">
        <v>42537</v>
      </c>
      <c r="J805" s="273" t="s">
        <v>9592</v>
      </c>
      <c r="K805" s="273" t="s">
        <v>9636</v>
      </c>
      <c r="L805" s="273" t="s">
        <v>422</v>
      </c>
      <c r="M805" s="275">
        <v>11200</v>
      </c>
      <c r="N805" s="273"/>
      <c r="O805" s="273" t="s">
        <v>106</v>
      </c>
      <c r="P805" s="232">
        <v>5</v>
      </c>
    </row>
    <row r="806" spans="1:16" ht="15.75" customHeight="1" x14ac:dyDescent="0.35">
      <c r="A806" s="264">
        <v>798</v>
      </c>
      <c r="B806" s="273" t="s">
        <v>9589</v>
      </c>
      <c r="C806" s="273" t="s">
        <v>9590</v>
      </c>
      <c r="D806" s="273" t="s">
        <v>274</v>
      </c>
      <c r="E806" s="273">
        <v>46090</v>
      </c>
      <c r="F806" s="273">
        <v>2015</v>
      </c>
      <c r="G806" s="273" t="s">
        <v>9594</v>
      </c>
      <c r="H806" s="273" t="s">
        <v>7938</v>
      </c>
      <c r="I806" s="274">
        <v>42537</v>
      </c>
      <c r="J806" s="273" t="s">
        <v>9592</v>
      </c>
      <c r="K806" s="273" t="s">
        <v>9637</v>
      </c>
      <c r="L806" s="273" t="s">
        <v>422</v>
      </c>
      <c r="M806" s="275">
        <v>12444.3</v>
      </c>
      <c r="N806" s="273"/>
      <c r="O806" s="273" t="s">
        <v>106</v>
      </c>
      <c r="P806" s="232">
        <v>5</v>
      </c>
    </row>
    <row r="807" spans="1:16" ht="15.75" customHeight="1" x14ac:dyDescent="0.35">
      <c r="A807" s="258">
        <v>799</v>
      </c>
      <c r="B807" s="273" t="s">
        <v>9589</v>
      </c>
      <c r="C807" s="273" t="s">
        <v>9590</v>
      </c>
      <c r="D807" s="273" t="s">
        <v>280</v>
      </c>
      <c r="E807" s="273">
        <v>49500</v>
      </c>
      <c r="F807" s="273">
        <v>2015</v>
      </c>
      <c r="G807" s="273" t="s">
        <v>9594</v>
      </c>
      <c r="H807" s="273" t="s">
        <v>7938</v>
      </c>
      <c r="I807" s="274">
        <v>42537</v>
      </c>
      <c r="J807" s="273" t="s">
        <v>9592</v>
      </c>
      <c r="K807" s="273" t="s">
        <v>9638</v>
      </c>
      <c r="L807" s="273" t="s">
        <v>422</v>
      </c>
      <c r="M807" s="275">
        <v>13365</v>
      </c>
      <c r="N807" s="273"/>
      <c r="O807" s="273" t="s">
        <v>106</v>
      </c>
      <c r="P807" s="232">
        <v>5</v>
      </c>
    </row>
    <row r="808" spans="1:16" ht="15.75" customHeight="1" x14ac:dyDescent="0.35">
      <c r="A808" s="264">
        <v>800</v>
      </c>
      <c r="B808" s="273" t="s">
        <v>9589</v>
      </c>
      <c r="C808" s="273" t="s">
        <v>9590</v>
      </c>
      <c r="D808" s="273" t="s">
        <v>286</v>
      </c>
      <c r="E808" s="273">
        <v>10500</v>
      </c>
      <c r="F808" s="273">
        <v>2015</v>
      </c>
      <c r="G808" s="273" t="s">
        <v>9618</v>
      </c>
      <c r="H808" s="273" t="s">
        <v>7938</v>
      </c>
      <c r="I808" s="274">
        <v>42537</v>
      </c>
      <c r="J808" s="273" t="s">
        <v>9592</v>
      </c>
      <c r="K808" s="273" t="s">
        <v>9639</v>
      </c>
      <c r="L808" s="273" t="s">
        <v>422</v>
      </c>
      <c r="M808" s="275">
        <v>14700</v>
      </c>
      <c r="N808" s="273"/>
      <c r="O808" s="273" t="s">
        <v>106</v>
      </c>
      <c r="P808" s="232">
        <v>5</v>
      </c>
    </row>
    <row r="809" spans="1:16" ht="15.75" customHeight="1" x14ac:dyDescent="0.35">
      <c r="A809" s="258">
        <v>801</v>
      </c>
      <c r="B809" s="273" t="s">
        <v>9589</v>
      </c>
      <c r="C809" s="273" t="s">
        <v>9590</v>
      </c>
      <c r="D809" s="273" t="s">
        <v>291</v>
      </c>
      <c r="E809" s="273">
        <v>8920</v>
      </c>
      <c r="F809" s="273">
        <v>2015</v>
      </c>
      <c r="G809" s="273" t="s">
        <v>9607</v>
      </c>
      <c r="H809" s="273" t="s">
        <v>7938</v>
      </c>
      <c r="I809" s="274">
        <v>42537</v>
      </c>
      <c r="J809" s="273" t="s">
        <v>9592</v>
      </c>
      <c r="K809" s="273" t="s">
        <v>9640</v>
      </c>
      <c r="L809" s="273" t="s">
        <v>422</v>
      </c>
      <c r="M809" s="275">
        <v>15164</v>
      </c>
      <c r="N809" s="273"/>
      <c r="O809" s="273" t="s">
        <v>106</v>
      </c>
      <c r="P809" s="232">
        <v>5</v>
      </c>
    </row>
    <row r="810" spans="1:16" ht="15.75" customHeight="1" x14ac:dyDescent="0.35">
      <c r="A810" s="264">
        <v>802</v>
      </c>
      <c r="B810" s="273" t="s">
        <v>9589</v>
      </c>
      <c r="C810" s="273" t="s">
        <v>9590</v>
      </c>
      <c r="D810" s="273" t="s">
        <v>298</v>
      </c>
      <c r="E810" s="273">
        <v>58500</v>
      </c>
      <c r="F810" s="273">
        <v>2015</v>
      </c>
      <c r="G810" s="273" t="s">
        <v>9596</v>
      </c>
      <c r="H810" s="273" t="s">
        <v>7938</v>
      </c>
      <c r="I810" s="274">
        <v>42537</v>
      </c>
      <c r="J810" s="273" t="s">
        <v>9592</v>
      </c>
      <c r="K810" s="273" t="s">
        <v>9641</v>
      </c>
      <c r="L810" s="273" t="s">
        <v>422</v>
      </c>
      <c r="M810" s="275">
        <v>15795</v>
      </c>
      <c r="N810" s="273"/>
      <c r="O810" s="273" t="s">
        <v>106</v>
      </c>
      <c r="P810" s="232">
        <v>5</v>
      </c>
    </row>
    <row r="811" spans="1:16" ht="15.75" customHeight="1" x14ac:dyDescent="0.35">
      <c r="A811" s="258">
        <v>803</v>
      </c>
      <c r="B811" s="273" t="s">
        <v>9589</v>
      </c>
      <c r="C811" s="273" t="s">
        <v>9590</v>
      </c>
      <c r="D811" s="273" t="s">
        <v>304</v>
      </c>
      <c r="E811" s="273">
        <v>60000</v>
      </c>
      <c r="F811" s="273">
        <v>2015</v>
      </c>
      <c r="G811" s="273" t="s">
        <v>9596</v>
      </c>
      <c r="H811" s="273" t="s">
        <v>7938</v>
      </c>
      <c r="I811" s="274">
        <v>42537</v>
      </c>
      <c r="J811" s="273" t="s">
        <v>9592</v>
      </c>
      <c r="K811" s="273" t="s">
        <v>9642</v>
      </c>
      <c r="L811" s="273" t="s">
        <v>422</v>
      </c>
      <c r="M811" s="275">
        <v>16200</v>
      </c>
      <c r="N811" s="273"/>
      <c r="O811" s="273" t="s">
        <v>106</v>
      </c>
      <c r="P811" s="232">
        <v>5</v>
      </c>
    </row>
    <row r="812" spans="1:16" ht="15.75" customHeight="1" x14ac:dyDescent="0.35">
      <c r="A812" s="264">
        <v>804</v>
      </c>
      <c r="B812" s="273" t="s">
        <v>9589</v>
      </c>
      <c r="C812" s="273" t="s">
        <v>9590</v>
      </c>
      <c r="D812" s="273" t="s">
        <v>310</v>
      </c>
      <c r="E812" s="273">
        <v>12000</v>
      </c>
      <c r="F812" s="273">
        <v>2015</v>
      </c>
      <c r="G812" s="273" t="s">
        <v>9618</v>
      </c>
      <c r="H812" s="273" t="s">
        <v>7938</v>
      </c>
      <c r="I812" s="274">
        <v>42537</v>
      </c>
      <c r="J812" s="273" t="s">
        <v>9592</v>
      </c>
      <c r="K812" s="273" t="s">
        <v>9643</v>
      </c>
      <c r="L812" s="273" t="s">
        <v>422</v>
      </c>
      <c r="M812" s="275">
        <v>16800</v>
      </c>
      <c r="N812" s="273"/>
      <c r="O812" s="273" t="s">
        <v>106</v>
      </c>
      <c r="P812" s="232">
        <v>5</v>
      </c>
    </row>
    <row r="813" spans="1:16" ht="15.75" customHeight="1" x14ac:dyDescent="0.35">
      <c r="A813" s="258">
        <v>805</v>
      </c>
      <c r="B813" s="273" t="s">
        <v>9589</v>
      </c>
      <c r="C813" s="273" t="s">
        <v>9590</v>
      </c>
      <c r="D813" s="273" t="s">
        <v>319</v>
      </c>
      <c r="E813" s="273">
        <v>68000</v>
      </c>
      <c r="F813" s="273">
        <v>2015</v>
      </c>
      <c r="G813" s="273" t="s">
        <v>9596</v>
      </c>
      <c r="H813" s="273" t="s">
        <v>7938</v>
      </c>
      <c r="I813" s="274">
        <v>42537</v>
      </c>
      <c r="J813" s="273" t="s">
        <v>9592</v>
      </c>
      <c r="K813" s="273" t="s">
        <v>9644</v>
      </c>
      <c r="L813" s="273" t="s">
        <v>422</v>
      </c>
      <c r="M813" s="275">
        <v>18360</v>
      </c>
      <c r="N813" s="273"/>
      <c r="O813" s="273" t="s">
        <v>106</v>
      </c>
      <c r="P813" s="232">
        <v>5</v>
      </c>
    </row>
    <row r="814" spans="1:16" ht="15.75" customHeight="1" x14ac:dyDescent="0.35">
      <c r="A814" s="264">
        <v>806</v>
      </c>
      <c r="B814" s="273" t="s">
        <v>9589</v>
      </c>
      <c r="C814" s="273" t="s">
        <v>9590</v>
      </c>
      <c r="D814" s="273" t="s">
        <v>325</v>
      </c>
      <c r="E814" s="273">
        <v>74400</v>
      </c>
      <c r="F814" s="273">
        <v>2015</v>
      </c>
      <c r="G814" s="273" t="s">
        <v>9607</v>
      </c>
      <c r="H814" s="273" t="s">
        <v>7938</v>
      </c>
      <c r="I814" s="274">
        <v>42537</v>
      </c>
      <c r="J814" s="273" t="s">
        <v>9592</v>
      </c>
      <c r="K814" s="273" t="s">
        <v>9645</v>
      </c>
      <c r="L814" s="273" t="s">
        <v>422</v>
      </c>
      <c r="M814" s="275">
        <v>20088</v>
      </c>
      <c r="N814" s="273"/>
      <c r="O814" s="273" t="s">
        <v>106</v>
      </c>
      <c r="P814" s="232">
        <v>5</v>
      </c>
    </row>
    <row r="815" spans="1:16" ht="15.75" customHeight="1" x14ac:dyDescent="0.35">
      <c r="A815" s="258">
        <v>807</v>
      </c>
      <c r="B815" s="273" t="s">
        <v>9589</v>
      </c>
      <c r="C815" s="273" t="s">
        <v>9590</v>
      </c>
      <c r="D815" s="273" t="s">
        <v>332</v>
      </c>
      <c r="E815" s="273">
        <v>75000</v>
      </c>
      <c r="F815" s="273">
        <v>2015</v>
      </c>
      <c r="G815" s="273" t="s">
        <v>9596</v>
      </c>
      <c r="H815" s="273" t="s">
        <v>7938</v>
      </c>
      <c r="I815" s="274">
        <v>42537</v>
      </c>
      <c r="J815" s="273" t="s">
        <v>9592</v>
      </c>
      <c r="K815" s="273" t="s">
        <v>9646</v>
      </c>
      <c r="L815" s="273" t="s">
        <v>422</v>
      </c>
      <c r="M815" s="275">
        <v>20250</v>
      </c>
      <c r="N815" s="273"/>
      <c r="O815" s="273" t="s">
        <v>106</v>
      </c>
      <c r="P815" s="232">
        <v>5</v>
      </c>
    </row>
    <row r="816" spans="1:16" ht="15.75" customHeight="1" x14ac:dyDescent="0.35">
      <c r="A816" s="264">
        <v>808</v>
      </c>
      <c r="B816" s="273" t="s">
        <v>9589</v>
      </c>
      <c r="C816" s="273" t="s">
        <v>9590</v>
      </c>
      <c r="D816" s="273" t="s">
        <v>338</v>
      </c>
      <c r="E816" s="273">
        <v>16000</v>
      </c>
      <c r="F816" s="273">
        <v>2015</v>
      </c>
      <c r="G816" s="273" t="s">
        <v>9618</v>
      </c>
      <c r="H816" s="273" t="s">
        <v>7938</v>
      </c>
      <c r="I816" s="274">
        <v>42537</v>
      </c>
      <c r="J816" s="273" t="s">
        <v>9592</v>
      </c>
      <c r="K816" s="273" t="s">
        <v>9647</v>
      </c>
      <c r="L816" s="273" t="s">
        <v>422</v>
      </c>
      <c r="M816" s="275">
        <v>22400</v>
      </c>
      <c r="N816" s="273"/>
      <c r="O816" s="273" t="s">
        <v>106</v>
      </c>
      <c r="P816" s="232">
        <v>5</v>
      </c>
    </row>
    <row r="817" spans="1:16" ht="15.75" customHeight="1" x14ac:dyDescent="0.35">
      <c r="A817" s="258">
        <v>809</v>
      </c>
      <c r="B817" s="273" t="s">
        <v>9589</v>
      </c>
      <c r="C817" s="273" t="s">
        <v>9590</v>
      </c>
      <c r="D817" s="273" t="s">
        <v>343</v>
      </c>
      <c r="E817" s="273">
        <v>16875</v>
      </c>
      <c r="F817" s="273">
        <v>2015</v>
      </c>
      <c r="G817" s="273" t="s">
        <v>9618</v>
      </c>
      <c r="H817" s="273" t="s">
        <v>7938</v>
      </c>
      <c r="I817" s="274">
        <v>42537</v>
      </c>
      <c r="J817" s="273" t="s">
        <v>9592</v>
      </c>
      <c r="K817" s="273" t="s">
        <v>9648</v>
      </c>
      <c r="L817" s="273" t="s">
        <v>422</v>
      </c>
      <c r="M817" s="275">
        <v>23625</v>
      </c>
      <c r="N817" s="273"/>
      <c r="O817" s="273" t="s">
        <v>106</v>
      </c>
      <c r="P817" s="232">
        <v>5</v>
      </c>
    </row>
    <row r="818" spans="1:16" ht="15.75" customHeight="1" x14ac:dyDescent="0.35">
      <c r="A818" s="264">
        <v>810</v>
      </c>
      <c r="B818" s="273" t="s">
        <v>9589</v>
      </c>
      <c r="C818" s="273" t="s">
        <v>9590</v>
      </c>
      <c r="D818" s="273" t="s">
        <v>348</v>
      </c>
      <c r="E818" s="273">
        <v>88000</v>
      </c>
      <c r="F818" s="273">
        <v>2015</v>
      </c>
      <c r="G818" s="273" t="s">
        <v>9596</v>
      </c>
      <c r="H818" s="273" t="s">
        <v>7938</v>
      </c>
      <c r="I818" s="274">
        <v>42537</v>
      </c>
      <c r="J818" s="273" t="s">
        <v>9592</v>
      </c>
      <c r="K818" s="273" t="s">
        <v>9649</v>
      </c>
      <c r="L818" s="273" t="s">
        <v>422</v>
      </c>
      <c r="M818" s="275">
        <v>23760</v>
      </c>
      <c r="N818" s="273"/>
      <c r="O818" s="273" t="s">
        <v>106</v>
      </c>
      <c r="P818" s="232">
        <v>5</v>
      </c>
    </row>
    <row r="819" spans="1:16" ht="15.75" customHeight="1" x14ac:dyDescent="0.35">
      <c r="A819" s="258">
        <v>811</v>
      </c>
      <c r="B819" s="273" t="s">
        <v>9589</v>
      </c>
      <c r="C819" s="273" t="s">
        <v>9590</v>
      </c>
      <c r="D819" s="273" t="s">
        <v>353</v>
      </c>
      <c r="E819" s="273">
        <v>16725</v>
      </c>
      <c r="F819" s="273">
        <v>2015</v>
      </c>
      <c r="G819" s="273" t="s">
        <v>9607</v>
      </c>
      <c r="H819" s="273" t="s">
        <v>7938</v>
      </c>
      <c r="I819" s="274">
        <v>42537</v>
      </c>
      <c r="J819" s="273" t="s">
        <v>9592</v>
      </c>
      <c r="K819" s="273" t="s">
        <v>9650</v>
      </c>
      <c r="L819" s="273" t="s">
        <v>422</v>
      </c>
      <c r="M819" s="275">
        <v>28432.5</v>
      </c>
      <c r="N819" s="273"/>
      <c r="O819" s="273" t="s">
        <v>106</v>
      </c>
      <c r="P819" s="232">
        <v>5</v>
      </c>
    </row>
    <row r="820" spans="1:16" ht="15.75" customHeight="1" x14ac:dyDescent="0.35">
      <c r="A820" s="264">
        <v>812</v>
      </c>
      <c r="B820" s="273" t="s">
        <v>9589</v>
      </c>
      <c r="C820" s="273" t="s">
        <v>9590</v>
      </c>
      <c r="D820" s="273" t="s">
        <v>359</v>
      </c>
      <c r="E820" s="273">
        <v>13400</v>
      </c>
      <c r="F820" s="273">
        <v>2015</v>
      </c>
      <c r="G820" s="273" t="s">
        <v>9596</v>
      </c>
      <c r="H820" s="273" t="s">
        <v>7938</v>
      </c>
      <c r="I820" s="274">
        <v>42537</v>
      </c>
      <c r="J820" s="273" t="s">
        <v>9592</v>
      </c>
      <c r="K820" s="273" t="s">
        <v>9651</v>
      </c>
      <c r="L820" s="273" t="s">
        <v>422</v>
      </c>
      <c r="M820" s="275">
        <v>32830</v>
      </c>
      <c r="N820" s="273"/>
      <c r="O820" s="273" t="s">
        <v>106</v>
      </c>
      <c r="P820" s="232">
        <v>5</v>
      </c>
    </row>
    <row r="821" spans="1:16" ht="15.75" customHeight="1" x14ac:dyDescent="0.35">
      <c r="A821" s="258">
        <v>813</v>
      </c>
      <c r="B821" s="273" t="s">
        <v>9589</v>
      </c>
      <c r="C821" s="273" t="s">
        <v>9590</v>
      </c>
      <c r="D821" s="273" t="s">
        <v>366</v>
      </c>
      <c r="E821" s="273">
        <v>69000</v>
      </c>
      <c r="F821" s="273">
        <v>2015</v>
      </c>
      <c r="G821" s="273" t="s">
        <v>9596</v>
      </c>
      <c r="H821" s="273" t="s">
        <v>7938</v>
      </c>
      <c r="I821" s="274">
        <v>42537</v>
      </c>
      <c r="J821" s="273" t="s">
        <v>9592</v>
      </c>
      <c r="K821" s="273" t="s">
        <v>9652</v>
      </c>
      <c r="L821" s="273" t="s">
        <v>422</v>
      </c>
      <c r="M821" s="275">
        <v>33120</v>
      </c>
      <c r="N821" s="273"/>
      <c r="O821" s="273" t="s">
        <v>106</v>
      </c>
      <c r="P821" s="232">
        <v>5</v>
      </c>
    </row>
    <row r="822" spans="1:16" ht="15.75" customHeight="1" x14ac:dyDescent="0.35">
      <c r="A822" s="264">
        <v>814</v>
      </c>
      <c r="B822" s="273" t="s">
        <v>9589</v>
      </c>
      <c r="C822" s="273" t="s">
        <v>9590</v>
      </c>
      <c r="D822" s="273" t="s">
        <v>371</v>
      </c>
      <c r="E822" s="273">
        <v>138000</v>
      </c>
      <c r="F822" s="273">
        <v>2015</v>
      </c>
      <c r="G822" s="273" t="s">
        <v>9596</v>
      </c>
      <c r="H822" s="273" t="s">
        <v>7938</v>
      </c>
      <c r="I822" s="274">
        <v>42537</v>
      </c>
      <c r="J822" s="273" t="s">
        <v>9592</v>
      </c>
      <c r="K822" s="273" t="s">
        <v>9653</v>
      </c>
      <c r="L822" s="273" t="s">
        <v>422</v>
      </c>
      <c r="M822" s="275">
        <v>37260</v>
      </c>
      <c r="N822" s="273"/>
      <c r="O822" s="273" t="s">
        <v>106</v>
      </c>
      <c r="P822" s="232">
        <v>5</v>
      </c>
    </row>
    <row r="823" spans="1:16" ht="15.75" customHeight="1" x14ac:dyDescent="0.35">
      <c r="A823" s="258">
        <v>815</v>
      </c>
      <c r="B823" s="273" t="s">
        <v>9589</v>
      </c>
      <c r="C823" s="273" t="s">
        <v>9590</v>
      </c>
      <c r="D823" s="273" t="s">
        <v>376</v>
      </c>
      <c r="E823" s="273">
        <v>146000</v>
      </c>
      <c r="F823" s="273">
        <v>2015</v>
      </c>
      <c r="G823" s="273" t="s">
        <v>9596</v>
      </c>
      <c r="H823" s="273" t="s">
        <v>7938</v>
      </c>
      <c r="I823" s="274">
        <v>42537</v>
      </c>
      <c r="J823" s="273" t="s">
        <v>9592</v>
      </c>
      <c r="K823" s="273" t="s">
        <v>9654</v>
      </c>
      <c r="L823" s="273" t="s">
        <v>422</v>
      </c>
      <c r="M823" s="275">
        <v>39420</v>
      </c>
      <c r="N823" s="273"/>
      <c r="O823" s="273" t="s">
        <v>106</v>
      </c>
      <c r="P823" s="232">
        <v>5</v>
      </c>
    </row>
    <row r="824" spans="1:16" ht="15.75" customHeight="1" x14ac:dyDescent="0.35">
      <c r="A824" s="264">
        <v>816</v>
      </c>
      <c r="B824" s="273" t="s">
        <v>9589</v>
      </c>
      <c r="C824" s="273" t="s">
        <v>9590</v>
      </c>
      <c r="D824" s="273" t="s">
        <v>382</v>
      </c>
      <c r="E824" s="273">
        <v>160000</v>
      </c>
      <c r="F824" s="273">
        <v>2015</v>
      </c>
      <c r="G824" s="273" t="s">
        <v>9596</v>
      </c>
      <c r="H824" s="273" t="s">
        <v>7938</v>
      </c>
      <c r="I824" s="274">
        <v>42537</v>
      </c>
      <c r="J824" s="273" t="s">
        <v>9592</v>
      </c>
      <c r="K824" s="273" t="s">
        <v>9655</v>
      </c>
      <c r="L824" s="273" t="s">
        <v>422</v>
      </c>
      <c r="M824" s="275">
        <v>43200</v>
      </c>
      <c r="N824" s="273"/>
      <c r="O824" s="273" t="s">
        <v>106</v>
      </c>
      <c r="P824" s="232">
        <v>5</v>
      </c>
    </row>
    <row r="825" spans="1:16" ht="15.75" customHeight="1" x14ac:dyDescent="0.35">
      <c r="A825" s="258">
        <v>817</v>
      </c>
      <c r="B825" s="273" t="s">
        <v>9589</v>
      </c>
      <c r="C825" s="273" t="s">
        <v>9590</v>
      </c>
      <c r="D825" s="273" t="s">
        <v>387</v>
      </c>
      <c r="E825" s="273">
        <v>184600</v>
      </c>
      <c r="F825" s="273">
        <v>2015</v>
      </c>
      <c r="G825" s="273" t="s">
        <v>9596</v>
      </c>
      <c r="H825" s="273" t="s">
        <v>7938</v>
      </c>
      <c r="I825" s="274">
        <v>42537</v>
      </c>
      <c r="J825" s="273" t="s">
        <v>9592</v>
      </c>
      <c r="K825" s="273" t="s">
        <v>9656</v>
      </c>
      <c r="L825" s="273" t="s">
        <v>422</v>
      </c>
      <c r="M825" s="275">
        <v>49842</v>
      </c>
      <c r="N825" s="273"/>
      <c r="O825" s="273" t="s">
        <v>106</v>
      </c>
      <c r="P825" s="232">
        <v>5</v>
      </c>
    </row>
    <row r="826" spans="1:16" ht="15.75" customHeight="1" x14ac:dyDescent="0.35">
      <c r="A826" s="264">
        <v>818</v>
      </c>
      <c r="B826" s="273" t="s">
        <v>9589</v>
      </c>
      <c r="C826" s="273" t="s">
        <v>9590</v>
      </c>
      <c r="D826" s="273" t="s">
        <v>392</v>
      </c>
      <c r="E826" s="273">
        <v>192600</v>
      </c>
      <c r="F826" s="273">
        <v>2015</v>
      </c>
      <c r="G826" s="273" t="s">
        <v>9596</v>
      </c>
      <c r="H826" s="273" t="s">
        <v>7938</v>
      </c>
      <c r="I826" s="274">
        <v>42537</v>
      </c>
      <c r="J826" s="273" t="s">
        <v>9592</v>
      </c>
      <c r="K826" s="273" t="s">
        <v>9657</v>
      </c>
      <c r="L826" s="273" t="s">
        <v>422</v>
      </c>
      <c r="M826" s="275">
        <v>52002</v>
      </c>
      <c r="N826" s="273"/>
      <c r="O826" s="273" t="s">
        <v>106</v>
      </c>
      <c r="P826" s="232">
        <v>5</v>
      </c>
    </row>
    <row r="827" spans="1:16" ht="15.75" customHeight="1" x14ac:dyDescent="0.35">
      <c r="A827" s="258">
        <v>819</v>
      </c>
      <c r="B827" s="273" t="s">
        <v>9589</v>
      </c>
      <c r="C827" s="273" t="s">
        <v>9590</v>
      </c>
      <c r="D827" s="273" t="s">
        <v>398</v>
      </c>
      <c r="E827" s="273">
        <v>197200</v>
      </c>
      <c r="F827" s="273">
        <v>2015</v>
      </c>
      <c r="G827" s="273" t="s">
        <v>9596</v>
      </c>
      <c r="H827" s="273" t="s">
        <v>7938</v>
      </c>
      <c r="I827" s="274">
        <v>42537</v>
      </c>
      <c r="J827" s="273" t="s">
        <v>9592</v>
      </c>
      <c r="K827" s="273" t="s">
        <v>9658</v>
      </c>
      <c r="L827" s="273" t="s">
        <v>422</v>
      </c>
      <c r="M827" s="275">
        <v>53244</v>
      </c>
      <c r="N827" s="273"/>
      <c r="O827" s="273" t="s">
        <v>106</v>
      </c>
      <c r="P827" s="232">
        <v>5</v>
      </c>
    </row>
    <row r="828" spans="1:16" ht="15.75" customHeight="1" x14ac:dyDescent="0.35">
      <c r="A828" s="264">
        <v>820</v>
      </c>
      <c r="B828" s="273" t="s">
        <v>9589</v>
      </c>
      <c r="C828" s="273" t="s">
        <v>9590</v>
      </c>
      <c r="D828" s="273" t="s">
        <v>403</v>
      </c>
      <c r="E828" s="273">
        <v>113160</v>
      </c>
      <c r="F828" s="273">
        <v>2015</v>
      </c>
      <c r="G828" s="273" t="s">
        <v>9596</v>
      </c>
      <c r="H828" s="273" t="s">
        <v>7938</v>
      </c>
      <c r="I828" s="274">
        <v>42537</v>
      </c>
      <c r="J828" s="273" t="s">
        <v>9592</v>
      </c>
      <c r="K828" s="273" t="s">
        <v>9659</v>
      </c>
      <c r="L828" s="273" t="s">
        <v>422</v>
      </c>
      <c r="M828" s="275">
        <v>54316.800000000003</v>
      </c>
      <c r="N828" s="273"/>
      <c r="O828" s="273" t="s">
        <v>106</v>
      </c>
      <c r="P828" s="232">
        <v>5</v>
      </c>
    </row>
    <row r="829" spans="1:16" ht="15.75" customHeight="1" x14ac:dyDescent="0.35">
      <c r="A829" s="258">
        <v>821</v>
      </c>
      <c r="B829" s="273" t="s">
        <v>9589</v>
      </c>
      <c r="C829" s="273" t="s">
        <v>9590</v>
      </c>
      <c r="D829" s="273" t="s">
        <v>408</v>
      </c>
      <c r="E829" s="273">
        <v>211400</v>
      </c>
      <c r="F829" s="273">
        <v>2015</v>
      </c>
      <c r="G829" s="273" t="s">
        <v>9596</v>
      </c>
      <c r="H829" s="273" t="s">
        <v>7938</v>
      </c>
      <c r="I829" s="274">
        <v>42537</v>
      </c>
      <c r="J829" s="273" t="s">
        <v>9592</v>
      </c>
      <c r="K829" s="273" t="s">
        <v>9660</v>
      </c>
      <c r="L829" s="273" t="s">
        <v>422</v>
      </c>
      <c r="M829" s="275">
        <v>57078</v>
      </c>
      <c r="N829" s="273"/>
      <c r="O829" s="273" t="s">
        <v>106</v>
      </c>
      <c r="P829" s="232">
        <v>5</v>
      </c>
    </row>
    <row r="830" spans="1:16" ht="15.75" customHeight="1" x14ac:dyDescent="0.35">
      <c r="A830" s="264">
        <v>822</v>
      </c>
      <c r="B830" s="273" t="s">
        <v>9589</v>
      </c>
      <c r="C830" s="273" t="s">
        <v>9590</v>
      </c>
      <c r="D830" s="273" t="s">
        <v>413</v>
      </c>
      <c r="E830" s="273">
        <v>37200</v>
      </c>
      <c r="F830" s="273">
        <v>2015</v>
      </c>
      <c r="G830" s="273" t="s">
        <v>9607</v>
      </c>
      <c r="H830" s="273" t="s">
        <v>7938</v>
      </c>
      <c r="I830" s="274">
        <v>42537</v>
      </c>
      <c r="J830" s="273" t="s">
        <v>9592</v>
      </c>
      <c r="K830" s="273" t="s">
        <v>9661</v>
      </c>
      <c r="L830" s="273" t="s">
        <v>422</v>
      </c>
      <c r="M830" s="275">
        <v>63240</v>
      </c>
      <c r="N830" s="273"/>
      <c r="O830" s="273" t="s">
        <v>106</v>
      </c>
      <c r="P830" s="232">
        <v>5</v>
      </c>
    </row>
    <row r="831" spans="1:16" ht="15.75" customHeight="1" x14ac:dyDescent="0.35">
      <c r="A831" s="258">
        <v>823</v>
      </c>
      <c r="B831" s="273" t="s">
        <v>9589</v>
      </c>
      <c r="C831" s="273" t="s">
        <v>9590</v>
      </c>
      <c r="D831" s="273" t="s">
        <v>3140</v>
      </c>
      <c r="E831" s="273">
        <v>4534</v>
      </c>
      <c r="F831" s="273">
        <v>2015</v>
      </c>
      <c r="G831" s="273" t="s">
        <v>9594</v>
      </c>
      <c r="H831" s="273" t="s">
        <v>7938</v>
      </c>
      <c r="I831" s="274">
        <v>42537</v>
      </c>
      <c r="J831" s="273" t="s">
        <v>9592</v>
      </c>
      <c r="K831" s="273" t="s">
        <v>9662</v>
      </c>
      <c r="L831" s="273" t="s">
        <v>422</v>
      </c>
      <c r="M831" s="275">
        <v>63478.239999999998</v>
      </c>
      <c r="N831" s="273"/>
      <c r="O831" s="273" t="s">
        <v>106</v>
      </c>
      <c r="P831" s="232">
        <v>5</v>
      </c>
    </row>
    <row r="832" spans="1:16" ht="15.75" customHeight="1" x14ac:dyDescent="0.35">
      <c r="A832" s="264">
        <v>824</v>
      </c>
      <c r="B832" s="273" t="s">
        <v>9589</v>
      </c>
      <c r="C832" s="273" t="s">
        <v>9590</v>
      </c>
      <c r="D832" s="273" t="s">
        <v>1450</v>
      </c>
      <c r="E832" s="273">
        <v>232000</v>
      </c>
      <c r="F832" s="273">
        <v>2015</v>
      </c>
      <c r="G832" s="273" t="s">
        <v>9607</v>
      </c>
      <c r="H832" s="273" t="s">
        <v>7938</v>
      </c>
      <c r="I832" s="274">
        <v>42537</v>
      </c>
      <c r="J832" s="273" t="s">
        <v>9592</v>
      </c>
      <c r="K832" s="273" t="s">
        <v>9663</v>
      </c>
      <c r="L832" s="273" t="s">
        <v>422</v>
      </c>
      <c r="M832" s="275">
        <v>81200</v>
      </c>
      <c r="N832" s="273"/>
      <c r="O832" s="273" t="s">
        <v>106</v>
      </c>
      <c r="P832" s="232">
        <v>5</v>
      </c>
    </row>
    <row r="833" spans="1:16" ht="15.75" customHeight="1" x14ac:dyDescent="0.35">
      <c r="A833" s="258">
        <v>825</v>
      </c>
      <c r="B833" s="273" t="s">
        <v>9589</v>
      </c>
      <c r="C833" s="273" t="s">
        <v>9590</v>
      </c>
      <c r="D833" s="273" t="s">
        <v>1456</v>
      </c>
      <c r="E833" s="273">
        <v>238500</v>
      </c>
      <c r="F833" s="273">
        <v>2015</v>
      </c>
      <c r="G833" s="273" t="s">
        <v>9607</v>
      </c>
      <c r="H833" s="273" t="s">
        <v>7938</v>
      </c>
      <c r="I833" s="274">
        <v>42537</v>
      </c>
      <c r="J833" s="273" t="s">
        <v>9592</v>
      </c>
      <c r="K833" s="273" t="s">
        <v>9664</v>
      </c>
      <c r="L833" s="273" t="s">
        <v>422</v>
      </c>
      <c r="M833" s="275">
        <v>83475</v>
      </c>
      <c r="N833" s="273"/>
      <c r="O833" s="273" t="s">
        <v>106</v>
      </c>
      <c r="P833" s="232">
        <v>5</v>
      </c>
    </row>
    <row r="834" spans="1:16" ht="15.75" customHeight="1" x14ac:dyDescent="0.35">
      <c r="A834" s="264">
        <v>826</v>
      </c>
      <c r="B834" s="273" t="s">
        <v>9589</v>
      </c>
      <c r="C834" s="273" t="s">
        <v>9590</v>
      </c>
      <c r="D834" s="273" t="s">
        <v>1462</v>
      </c>
      <c r="E834" s="273">
        <v>8000</v>
      </c>
      <c r="F834" s="273">
        <v>2015</v>
      </c>
      <c r="G834" s="273" t="s">
        <v>9594</v>
      </c>
      <c r="H834" s="273" t="s">
        <v>7938</v>
      </c>
      <c r="I834" s="274">
        <v>45611</v>
      </c>
      <c r="J834" s="273" t="s">
        <v>9665</v>
      </c>
      <c r="K834" s="273" t="s">
        <v>9666</v>
      </c>
      <c r="L834" s="273" t="s">
        <v>422</v>
      </c>
      <c r="M834" s="275">
        <v>112000</v>
      </c>
      <c r="N834" s="273" t="s">
        <v>9667</v>
      </c>
      <c r="O834" s="273" t="s">
        <v>106</v>
      </c>
      <c r="P834" s="232">
        <v>5</v>
      </c>
    </row>
    <row r="835" spans="1:16" ht="15.75" customHeight="1" x14ac:dyDescent="0.35">
      <c r="A835" s="258">
        <v>827</v>
      </c>
      <c r="B835" s="273" t="s">
        <v>9589</v>
      </c>
      <c r="C835" s="273" t="s">
        <v>9590</v>
      </c>
      <c r="D835" s="273" t="s">
        <v>1469</v>
      </c>
      <c r="E835" s="273">
        <v>35760</v>
      </c>
      <c r="F835" s="273">
        <v>2015</v>
      </c>
      <c r="G835" s="273" t="s">
        <v>9615</v>
      </c>
      <c r="H835" s="273" t="s">
        <v>7938</v>
      </c>
      <c r="I835" s="274">
        <v>42537</v>
      </c>
      <c r="J835" s="273" t="s">
        <v>9592</v>
      </c>
      <c r="K835" s="273" t="s">
        <v>9668</v>
      </c>
      <c r="L835" s="273" t="s">
        <v>422</v>
      </c>
      <c r="M835" s="275">
        <v>125160</v>
      </c>
      <c r="N835" s="273"/>
      <c r="O835" s="273" t="s">
        <v>106</v>
      </c>
      <c r="P835" s="232">
        <v>5</v>
      </c>
    </row>
    <row r="836" spans="1:16" ht="15.75" customHeight="1" x14ac:dyDescent="0.35">
      <c r="A836" s="264">
        <v>828</v>
      </c>
      <c r="B836" s="273" t="s">
        <v>9589</v>
      </c>
      <c r="C836" s="273" t="s">
        <v>9590</v>
      </c>
      <c r="D836" s="273" t="s">
        <v>1475</v>
      </c>
      <c r="E836" s="273">
        <v>9000</v>
      </c>
      <c r="F836" s="273">
        <v>2015</v>
      </c>
      <c r="G836" s="273" t="s">
        <v>9594</v>
      </c>
      <c r="H836" s="273" t="s">
        <v>7938</v>
      </c>
      <c r="I836" s="274">
        <v>42537</v>
      </c>
      <c r="J836" s="273" t="s">
        <v>9592</v>
      </c>
      <c r="K836" s="273" t="s">
        <v>9669</v>
      </c>
      <c r="L836" s="273" t="s">
        <v>422</v>
      </c>
      <c r="M836" s="275">
        <v>126000</v>
      </c>
      <c r="N836" s="273"/>
      <c r="O836" s="273" t="s">
        <v>106</v>
      </c>
      <c r="P836" s="232">
        <v>5</v>
      </c>
    </row>
    <row r="837" spans="1:16" ht="15.75" customHeight="1" x14ac:dyDescent="0.35">
      <c r="A837" s="258">
        <v>829</v>
      </c>
      <c r="B837" s="273" t="s">
        <v>9589</v>
      </c>
      <c r="C837" s="273" t="s">
        <v>9590</v>
      </c>
      <c r="D837" s="273" t="s">
        <v>1480</v>
      </c>
      <c r="E837" s="273">
        <v>12600</v>
      </c>
      <c r="F837" s="273">
        <v>2015</v>
      </c>
      <c r="G837" s="273" t="s">
        <v>9594</v>
      </c>
      <c r="H837" s="273" t="s">
        <v>7938</v>
      </c>
      <c r="I837" s="274">
        <v>45618</v>
      </c>
      <c r="J837" s="273" t="s">
        <v>9670</v>
      </c>
      <c r="K837" s="273" t="s">
        <v>9671</v>
      </c>
      <c r="L837" s="273" t="s">
        <v>422</v>
      </c>
      <c r="M837" s="275">
        <v>176400</v>
      </c>
      <c r="N837" s="273" t="s">
        <v>9672</v>
      </c>
      <c r="O837" s="273" t="s">
        <v>106</v>
      </c>
      <c r="P837" s="232">
        <v>5</v>
      </c>
    </row>
    <row r="838" spans="1:16" ht="15.75" customHeight="1" x14ac:dyDescent="0.35">
      <c r="A838" s="264">
        <v>830</v>
      </c>
      <c r="B838" s="273" t="s">
        <v>9589</v>
      </c>
      <c r="C838" s="273" t="s">
        <v>9590</v>
      </c>
      <c r="D838" s="273" t="s">
        <v>1485</v>
      </c>
      <c r="E838" s="273">
        <v>105000</v>
      </c>
      <c r="F838" s="273">
        <v>2015</v>
      </c>
      <c r="G838" s="273" t="s">
        <v>9607</v>
      </c>
      <c r="H838" s="273" t="s">
        <v>7938</v>
      </c>
      <c r="I838" s="274">
        <v>42537</v>
      </c>
      <c r="J838" s="273" t="s">
        <v>9592</v>
      </c>
      <c r="K838" s="273" t="s">
        <v>9673</v>
      </c>
      <c r="L838" s="273" t="s">
        <v>422</v>
      </c>
      <c r="M838" s="275">
        <v>178500</v>
      </c>
      <c r="N838" s="273"/>
      <c r="O838" s="273" t="s">
        <v>106</v>
      </c>
      <c r="P838" s="232">
        <v>5</v>
      </c>
    </row>
    <row r="839" spans="1:16" ht="15.75" customHeight="1" x14ac:dyDescent="0.35">
      <c r="A839" s="258">
        <v>831</v>
      </c>
      <c r="B839" s="273" t="s">
        <v>9589</v>
      </c>
      <c r="C839" s="273" t="s">
        <v>9590</v>
      </c>
      <c r="D839" s="273" t="s">
        <v>1490</v>
      </c>
      <c r="E839" s="273">
        <v>22320</v>
      </c>
      <c r="F839" s="273">
        <v>2015</v>
      </c>
      <c r="G839" s="273" t="s">
        <v>9594</v>
      </c>
      <c r="H839" s="273" t="s">
        <v>7938</v>
      </c>
      <c r="I839" s="274">
        <v>42537</v>
      </c>
      <c r="J839" s="273" t="s">
        <v>9592</v>
      </c>
      <c r="K839" s="273" t="s">
        <v>9674</v>
      </c>
      <c r="L839" s="273" t="s">
        <v>422</v>
      </c>
      <c r="M839" s="275">
        <v>312480</v>
      </c>
      <c r="N839" s="273"/>
      <c r="O839" s="273" t="s">
        <v>106</v>
      </c>
      <c r="P839" s="232">
        <v>5</v>
      </c>
    </row>
    <row r="840" spans="1:16" ht="15.75" customHeight="1" x14ac:dyDescent="0.35">
      <c r="A840" s="264">
        <v>832</v>
      </c>
      <c r="B840" s="273" t="s">
        <v>9589</v>
      </c>
      <c r="C840" s="273" t="s">
        <v>9590</v>
      </c>
      <c r="D840" s="273" t="s">
        <v>1498</v>
      </c>
      <c r="E840" s="273">
        <v>24600</v>
      </c>
      <c r="F840" s="273">
        <v>2015</v>
      </c>
      <c r="G840" s="273" t="s">
        <v>9594</v>
      </c>
      <c r="H840" s="273" t="s">
        <v>7938</v>
      </c>
      <c r="I840" s="274">
        <v>42537</v>
      </c>
      <c r="J840" s="273" t="s">
        <v>9592</v>
      </c>
      <c r="K840" s="273" t="s">
        <v>9675</v>
      </c>
      <c r="L840" s="273" t="s">
        <v>422</v>
      </c>
      <c r="M840" s="275">
        <v>344400</v>
      </c>
      <c r="N840" s="273"/>
      <c r="O840" s="273" t="s">
        <v>106</v>
      </c>
      <c r="P840" s="232">
        <v>5</v>
      </c>
    </row>
    <row r="841" spans="1:16" ht="15.75" customHeight="1" x14ac:dyDescent="0.35">
      <c r="A841" s="258">
        <v>833</v>
      </c>
      <c r="B841" s="273" t="s">
        <v>9676</v>
      </c>
      <c r="C841" s="273" t="s">
        <v>9677</v>
      </c>
      <c r="D841" s="273" t="s">
        <v>51</v>
      </c>
      <c r="E841" s="273">
        <v>16310</v>
      </c>
      <c r="F841" s="273">
        <v>2021</v>
      </c>
      <c r="G841" s="273" t="s">
        <v>9678</v>
      </c>
      <c r="H841" s="273" t="s">
        <v>7938</v>
      </c>
      <c r="I841" s="274">
        <v>44581</v>
      </c>
      <c r="J841" s="273" t="s">
        <v>9679</v>
      </c>
      <c r="K841" s="273" t="s">
        <v>63</v>
      </c>
      <c r="L841" s="273" t="s">
        <v>8782</v>
      </c>
      <c r="M841" s="275">
        <v>44100</v>
      </c>
      <c r="N841" s="273" t="s">
        <v>9680</v>
      </c>
      <c r="O841" s="273" t="s">
        <v>9681</v>
      </c>
      <c r="P841" s="232">
        <v>6</v>
      </c>
    </row>
    <row r="842" spans="1:16" ht="15.75" customHeight="1" x14ac:dyDescent="0.35">
      <c r="A842" s="264">
        <v>834</v>
      </c>
      <c r="B842" s="273" t="s">
        <v>9676</v>
      </c>
      <c r="C842" s="273" t="s">
        <v>9677</v>
      </c>
      <c r="D842" s="273" t="s">
        <v>59</v>
      </c>
      <c r="E842" s="273">
        <v>20120</v>
      </c>
      <c r="F842" s="273">
        <v>2021</v>
      </c>
      <c r="G842" s="273" t="s">
        <v>9682</v>
      </c>
      <c r="H842" s="273" t="s">
        <v>7938</v>
      </c>
      <c r="I842" s="274">
        <v>44581</v>
      </c>
      <c r="J842" s="273" t="s">
        <v>9683</v>
      </c>
      <c r="K842" s="273" t="s">
        <v>63</v>
      </c>
      <c r="L842" s="273" t="s">
        <v>8782</v>
      </c>
      <c r="M842" s="275">
        <v>50347.5</v>
      </c>
      <c r="N842" s="273" t="s">
        <v>9684</v>
      </c>
      <c r="O842" s="273" t="s">
        <v>9681</v>
      </c>
      <c r="P842" s="232">
        <v>6</v>
      </c>
    </row>
    <row r="843" spans="1:16" ht="15.75" customHeight="1" x14ac:dyDescent="0.35">
      <c r="A843" s="258">
        <v>835</v>
      </c>
      <c r="B843" s="273" t="s">
        <v>9676</v>
      </c>
      <c r="C843" s="273" t="s">
        <v>9677</v>
      </c>
      <c r="D843" s="273" t="s">
        <v>97</v>
      </c>
      <c r="E843" s="273">
        <v>27000</v>
      </c>
      <c r="F843" s="273">
        <v>2022</v>
      </c>
      <c r="G843" s="273" t="s">
        <v>9685</v>
      </c>
      <c r="H843" s="273" t="s">
        <v>7938</v>
      </c>
      <c r="I843" s="274">
        <v>44501</v>
      </c>
      <c r="J843" s="273" t="s">
        <v>9686</v>
      </c>
      <c r="K843" s="273"/>
      <c r="L843" s="273" t="s">
        <v>422</v>
      </c>
      <c r="M843" s="275">
        <v>17820</v>
      </c>
      <c r="N843" s="273" t="s">
        <v>9687</v>
      </c>
      <c r="O843" s="273" t="s">
        <v>9681</v>
      </c>
      <c r="P843" s="232">
        <v>6</v>
      </c>
    </row>
    <row r="844" spans="1:16" ht="15.75" customHeight="1" x14ac:dyDescent="0.35">
      <c r="A844" s="264">
        <v>836</v>
      </c>
      <c r="B844" s="273" t="s">
        <v>7935</v>
      </c>
      <c r="C844" s="273" t="s">
        <v>7936</v>
      </c>
      <c r="D844" s="273" t="s">
        <v>51</v>
      </c>
      <c r="E844" s="273">
        <v>200000</v>
      </c>
      <c r="F844" s="273">
        <v>2025</v>
      </c>
      <c r="G844" s="273" t="s">
        <v>8162</v>
      </c>
      <c r="H844" s="273" t="s">
        <v>7938</v>
      </c>
      <c r="I844" s="274">
        <v>45827</v>
      </c>
      <c r="J844" s="273" t="s">
        <v>9688</v>
      </c>
      <c r="K844" s="273" t="s">
        <v>9689</v>
      </c>
      <c r="L844" s="273" t="s">
        <v>422</v>
      </c>
      <c r="M844" s="275">
        <v>1000000</v>
      </c>
      <c r="N844" s="273" t="s">
        <v>9689</v>
      </c>
      <c r="O844" s="273" t="s">
        <v>193</v>
      </c>
      <c r="P844" s="232">
        <v>9</v>
      </c>
    </row>
    <row r="845" spans="1:16" ht="15.75" customHeight="1" x14ac:dyDescent="0.35">
      <c r="A845" s="258">
        <v>837</v>
      </c>
      <c r="B845" s="273" t="s">
        <v>9690</v>
      </c>
      <c r="C845" s="273" t="s">
        <v>9691</v>
      </c>
      <c r="D845" s="273" t="s">
        <v>51</v>
      </c>
      <c r="E845" s="273">
        <v>11250</v>
      </c>
      <c r="F845" s="273">
        <v>2006</v>
      </c>
      <c r="G845" s="273" t="s">
        <v>9089</v>
      </c>
      <c r="H845" s="273" t="s">
        <v>7938</v>
      </c>
      <c r="I845" s="274">
        <v>38785</v>
      </c>
      <c r="J845" s="273" t="s">
        <v>9692</v>
      </c>
      <c r="K845" s="273" t="s">
        <v>9693</v>
      </c>
      <c r="L845" s="273" t="s">
        <v>57</v>
      </c>
      <c r="M845" s="275">
        <v>245813</v>
      </c>
      <c r="N845" s="273" t="s">
        <v>9694</v>
      </c>
      <c r="O845" s="273" t="s">
        <v>193</v>
      </c>
      <c r="P845" s="232">
        <v>9</v>
      </c>
    </row>
    <row r="846" spans="1:16" ht="15.75" customHeight="1" x14ac:dyDescent="0.35">
      <c r="A846" s="264">
        <v>838</v>
      </c>
      <c r="B846" s="273" t="s">
        <v>9690</v>
      </c>
      <c r="C846" s="273" t="s">
        <v>9691</v>
      </c>
      <c r="D846" s="273" t="s">
        <v>59</v>
      </c>
      <c r="E846" s="273">
        <v>422</v>
      </c>
      <c r="F846" s="273">
        <v>2021</v>
      </c>
      <c r="G846" s="273" t="s">
        <v>9695</v>
      </c>
      <c r="H846" s="273" t="s">
        <v>7938</v>
      </c>
      <c r="I846" s="274">
        <v>44581</v>
      </c>
      <c r="J846" s="273" t="s">
        <v>9696</v>
      </c>
      <c r="K846" s="273" t="s">
        <v>9697</v>
      </c>
      <c r="L846" s="273" t="s">
        <v>57</v>
      </c>
      <c r="M846" s="275">
        <v>27951</v>
      </c>
      <c r="N846" s="273" t="s">
        <v>9698</v>
      </c>
      <c r="O846" s="273" t="s">
        <v>193</v>
      </c>
      <c r="P846" s="232">
        <v>9</v>
      </c>
    </row>
    <row r="847" spans="1:16" ht="15.75" customHeight="1" x14ac:dyDescent="0.35">
      <c r="A847" s="258">
        <v>839</v>
      </c>
      <c r="B847" s="273" t="s">
        <v>9690</v>
      </c>
      <c r="C847" s="273" t="s">
        <v>9691</v>
      </c>
      <c r="D847" s="273" t="s">
        <v>97</v>
      </c>
      <c r="E847" s="273">
        <v>229</v>
      </c>
      <c r="F847" s="273">
        <v>2021</v>
      </c>
      <c r="G847" s="273" t="s">
        <v>9699</v>
      </c>
      <c r="H847" s="273" t="s">
        <v>7938</v>
      </c>
      <c r="I847" s="274">
        <v>44525</v>
      </c>
      <c r="J847" s="273" t="s">
        <v>9700</v>
      </c>
      <c r="K847" s="273" t="s">
        <v>9701</v>
      </c>
      <c r="L847" s="273" t="s">
        <v>8782</v>
      </c>
      <c r="M847" s="275">
        <v>10881</v>
      </c>
      <c r="N847" s="273" t="s">
        <v>9702</v>
      </c>
      <c r="O847" s="273" t="s">
        <v>193</v>
      </c>
      <c r="P847" s="232">
        <v>9</v>
      </c>
    </row>
    <row r="848" spans="1:16" ht="15.75" customHeight="1" x14ac:dyDescent="0.35">
      <c r="A848" s="264">
        <v>840</v>
      </c>
      <c r="B848" s="273" t="s">
        <v>9690</v>
      </c>
      <c r="C848" s="273" t="s">
        <v>9691</v>
      </c>
      <c r="D848" s="273" t="s">
        <v>101</v>
      </c>
      <c r="E848" s="273">
        <v>1049</v>
      </c>
      <c r="F848" s="273">
        <v>2021</v>
      </c>
      <c r="G848" s="273" t="s">
        <v>9703</v>
      </c>
      <c r="H848" s="273" t="s">
        <v>7938</v>
      </c>
      <c r="I848" s="274">
        <v>44532</v>
      </c>
      <c r="J848" s="273" t="s">
        <v>9704</v>
      </c>
      <c r="K848" s="273" t="s">
        <v>9701</v>
      </c>
      <c r="L848" s="273" t="s">
        <v>8782</v>
      </c>
      <c r="M848" s="275">
        <v>3349.5</v>
      </c>
      <c r="N848" s="273" t="s">
        <v>9705</v>
      </c>
      <c r="O848" s="273" t="s">
        <v>193</v>
      </c>
      <c r="P848" s="232">
        <v>9</v>
      </c>
    </row>
    <row r="849" spans="1:16" ht="15.75" customHeight="1" x14ac:dyDescent="0.35">
      <c r="A849" s="258">
        <v>841</v>
      </c>
      <c r="B849" s="273" t="s">
        <v>8237</v>
      </c>
      <c r="C849" s="273" t="s">
        <v>8238</v>
      </c>
      <c r="D849" s="273" t="s">
        <v>51</v>
      </c>
      <c r="E849" s="273">
        <v>2984</v>
      </c>
      <c r="F849" s="273">
        <v>2017</v>
      </c>
      <c r="G849" s="273" t="s">
        <v>9706</v>
      </c>
      <c r="H849" s="273" t="s">
        <v>7938</v>
      </c>
      <c r="I849" s="274"/>
      <c r="J849" s="273"/>
      <c r="K849" s="273"/>
      <c r="L849" s="273" t="s">
        <v>422</v>
      </c>
      <c r="M849" s="275">
        <v>107424</v>
      </c>
      <c r="N849" s="273"/>
      <c r="O849" s="273" t="s">
        <v>41</v>
      </c>
      <c r="P849" s="232">
        <v>2</v>
      </c>
    </row>
    <row r="850" spans="1:16" ht="15.75" customHeight="1" x14ac:dyDescent="0.35">
      <c r="A850" s="264">
        <v>842</v>
      </c>
      <c r="B850" s="273" t="s">
        <v>8002</v>
      </c>
      <c r="C850" s="273" t="s">
        <v>8003</v>
      </c>
      <c r="D850" s="273" t="s">
        <v>51</v>
      </c>
      <c r="E850" s="273">
        <v>0</v>
      </c>
      <c r="F850" s="273">
        <v>2010</v>
      </c>
      <c r="G850" s="273" t="s">
        <v>9707</v>
      </c>
      <c r="H850" s="273" t="s">
        <v>7938</v>
      </c>
      <c r="I850" s="274"/>
      <c r="J850" s="273"/>
      <c r="K850" s="273" t="s">
        <v>63</v>
      </c>
      <c r="L850" s="273" t="s">
        <v>57</v>
      </c>
      <c r="M850" s="275">
        <v>113020</v>
      </c>
      <c r="N850" s="273"/>
      <c r="O850" s="273" t="s">
        <v>41</v>
      </c>
      <c r="P850" s="232">
        <v>2</v>
      </c>
    </row>
    <row r="851" spans="1:16" ht="15.75" customHeight="1" x14ac:dyDescent="0.35">
      <c r="A851" s="258">
        <v>843</v>
      </c>
      <c r="B851" s="273" t="s">
        <v>8598</v>
      </c>
      <c r="C851" s="273" t="s">
        <v>8599</v>
      </c>
      <c r="D851" s="273" t="s">
        <v>51</v>
      </c>
      <c r="E851" s="273">
        <v>604</v>
      </c>
      <c r="F851" s="273">
        <v>1992</v>
      </c>
      <c r="G851" s="273" t="s">
        <v>9708</v>
      </c>
      <c r="H851" s="273" t="s">
        <v>7938</v>
      </c>
      <c r="I851" s="274">
        <v>33693</v>
      </c>
      <c r="J851" s="273" t="s">
        <v>9709</v>
      </c>
      <c r="K851" s="273" t="s">
        <v>9710</v>
      </c>
      <c r="L851" s="273" t="s">
        <v>422</v>
      </c>
      <c r="M851" s="275">
        <v>30873</v>
      </c>
      <c r="N851" s="273" t="s">
        <v>8603</v>
      </c>
      <c r="O851" s="273" t="s">
        <v>41</v>
      </c>
      <c r="P851" s="232">
        <v>2</v>
      </c>
    </row>
    <row r="852" spans="1:16" ht="15.75" customHeight="1" x14ac:dyDescent="0.35">
      <c r="A852" s="264">
        <v>844</v>
      </c>
      <c r="B852" s="273" t="s">
        <v>8598</v>
      </c>
      <c r="C852" s="273" t="s">
        <v>8599</v>
      </c>
      <c r="D852" s="273" t="s">
        <v>59</v>
      </c>
      <c r="E852" s="273">
        <v>3099</v>
      </c>
      <c r="F852" s="273">
        <v>1992</v>
      </c>
      <c r="G852" s="273" t="s">
        <v>9711</v>
      </c>
      <c r="H852" s="273" t="s">
        <v>7938</v>
      </c>
      <c r="I852" s="274">
        <v>33693</v>
      </c>
      <c r="J852" s="273" t="s">
        <v>9712</v>
      </c>
      <c r="K852" s="273" t="s">
        <v>9713</v>
      </c>
      <c r="L852" s="273" t="s">
        <v>422</v>
      </c>
      <c r="M852" s="275">
        <v>158405</v>
      </c>
      <c r="N852" s="273" t="s">
        <v>8603</v>
      </c>
      <c r="O852" s="273" t="s">
        <v>41</v>
      </c>
      <c r="P852" s="232">
        <v>2</v>
      </c>
    </row>
    <row r="853" spans="1:16" ht="15.75" customHeight="1" x14ac:dyDescent="0.35">
      <c r="A853" s="258">
        <v>845</v>
      </c>
      <c r="B853" s="273" t="s">
        <v>8598</v>
      </c>
      <c r="C853" s="273" t="s">
        <v>8599</v>
      </c>
      <c r="D853" s="273" t="s">
        <v>97</v>
      </c>
      <c r="E853" s="273">
        <v>422</v>
      </c>
      <c r="F853" s="273">
        <v>1992</v>
      </c>
      <c r="G853" s="273" t="s">
        <v>9714</v>
      </c>
      <c r="H853" s="273" t="s">
        <v>7938</v>
      </c>
      <c r="I853" s="274">
        <v>33693</v>
      </c>
      <c r="J853" s="273" t="s">
        <v>9715</v>
      </c>
      <c r="K853" s="273" t="s">
        <v>9716</v>
      </c>
      <c r="L853" s="273" t="s">
        <v>422</v>
      </c>
      <c r="M853" s="275">
        <v>21571</v>
      </c>
      <c r="N853" s="273" t="s">
        <v>8603</v>
      </c>
      <c r="O853" s="273" t="s">
        <v>41</v>
      </c>
      <c r="P853" s="232">
        <v>2</v>
      </c>
    </row>
    <row r="854" spans="1:16" ht="15.75" customHeight="1" x14ac:dyDescent="0.35">
      <c r="A854" s="264">
        <v>846</v>
      </c>
      <c r="B854" s="273" t="s">
        <v>8598</v>
      </c>
      <c r="C854" s="273" t="s">
        <v>8599</v>
      </c>
      <c r="D854" s="273" t="s">
        <v>101</v>
      </c>
      <c r="E854" s="273">
        <v>493</v>
      </c>
      <c r="F854" s="273">
        <v>1992</v>
      </c>
      <c r="G854" s="273" t="s">
        <v>9714</v>
      </c>
      <c r="H854" s="273" t="s">
        <v>7938</v>
      </c>
      <c r="I854" s="274">
        <v>33693</v>
      </c>
      <c r="J854" s="273" t="s">
        <v>9717</v>
      </c>
      <c r="K854" s="273" t="s">
        <v>9718</v>
      </c>
      <c r="L854" s="273" t="s">
        <v>57</v>
      </c>
      <c r="M854" s="275">
        <v>25200</v>
      </c>
      <c r="N854" s="273" t="s">
        <v>8603</v>
      </c>
      <c r="O854" s="273" t="s">
        <v>41</v>
      </c>
      <c r="P854" s="232">
        <v>2</v>
      </c>
    </row>
    <row r="855" spans="1:16" ht="15.75" customHeight="1" x14ac:dyDescent="0.35">
      <c r="A855" s="258">
        <v>847</v>
      </c>
      <c r="B855" s="273" t="s">
        <v>8467</v>
      </c>
      <c r="C855" s="273" t="s">
        <v>8468</v>
      </c>
      <c r="D855" s="273" t="s">
        <v>51</v>
      </c>
      <c r="E855" s="273">
        <v>10000</v>
      </c>
      <c r="F855" s="273">
        <v>2017</v>
      </c>
      <c r="G855" s="273" t="s">
        <v>9719</v>
      </c>
      <c r="H855" s="273" t="s">
        <v>7938</v>
      </c>
      <c r="I855" s="274">
        <v>44301</v>
      </c>
      <c r="J855" s="273" t="s">
        <v>63</v>
      </c>
      <c r="K855" s="273" t="s">
        <v>9720</v>
      </c>
      <c r="L855" s="273" t="s">
        <v>422</v>
      </c>
      <c r="M855" s="275">
        <v>17000</v>
      </c>
      <c r="N855" s="273" t="s">
        <v>9721</v>
      </c>
      <c r="O855" s="273" t="s">
        <v>41</v>
      </c>
      <c r="P855" s="232">
        <v>2</v>
      </c>
    </row>
    <row r="856" spans="1:16" ht="15.75" customHeight="1" x14ac:dyDescent="0.35">
      <c r="A856" s="264">
        <v>848</v>
      </c>
      <c r="B856" s="273" t="s">
        <v>8467</v>
      </c>
      <c r="C856" s="273" t="s">
        <v>8468</v>
      </c>
      <c r="D856" s="273" t="s">
        <v>59</v>
      </c>
      <c r="E856" s="273">
        <v>0</v>
      </c>
      <c r="F856" s="273">
        <v>2017</v>
      </c>
      <c r="G856" s="273" t="s">
        <v>9722</v>
      </c>
      <c r="H856" s="273" t="s">
        <v>7938</v>
      </c>
      <c r="I856" s="274"/>
      <c r="J856" s="273"/>
      <c r="K856" s="273"/>
      <c r="L856" s="273" t="s">
        <v>422</v>
      </c>
      <c r="M856" s="275">
        <v>358308</v>
      </c>
      <c r="N856" s="273"/>
      <c r="O856" s="273" t="s">
        <v>41</v>
      </c>
      <c r="P856" s="232">
        <v>2</v>
      </c>
    </row>
    <row r="857" spans="1:16" ht="15.75" customHeight="1" x14ac:dyDescent="0.35">
      <c r="A857" s="258">
        <v>849</v>
      </c>
      <c r="B857" s="273" t="s">
        <v>8002</v>
      </c>
      <c r="C857" s="273" t="s">
        <v>8003</v>
      </c>
      <c r="D857" s="273" t="s">
        <v>51</v>
      </c>
      <c r="E857" s="273">
        <v>292</v>
      </c>
      <c r="F857" s="273">
        <v>2008</v>
      </c>
      <c r="G857" s="273" t="s">
        <v>9723</v>
      </c>
      <c r="H857" s="273" t="s">
        <v>7938</v>
      </c>
      <c r="I857" s="274">
        <v>39476</v>
      </c>
      <c r="J857" s="273" t="s">
        <v>8053</v>
      </c>
      <c r="K857" s="273" t="s">
        <v>9724</v>
      </c>
      <c r="L857" s="273" t="s">
        <v>57</v>
      </c>
      <c r="M857" s="275">
        <v>203539</v>
      </c>
      <c r="N857" s="273" t="s">
        <v>9725</v>
      </c>
      <c r="O857" s="273" t="s">
        <v>16</v>
      </c>
      <c r="P857" s="232">
        <v>1</v>
      </c>
    </row>
    <row r="858" spans="1:16" ht="15.75" customHeight="1" x14ac:dyDescent="0.35">
      <c r="A858" s="264">
        <v>850</v>
      </c>
      <c r="B858" s="273" t="s">
        <v>7935</v>
      </c>
      <c r="C858" s="273" t="s">
        <v>7936</v>
      </c>
      <c r="D858" s="273" t="s">
        <v>51</v>
      </c>
      <c r="E858" s="273">
        <v>960</v>
      </c>
      <c r="F858" s="273">
        <v>1992</v>
      </c>
      <c r="G858" s="273" t="s">
        <v>8600</v>
      </c>
      <c r="H858" s="273" t="s">
        <v>7938</v>
      </c>
      <c r="I858" s="274">
        <v>33693</v>
      </c>
      <c r="J858" s="273" t="s">
        <v>9726</v>
      </c>
      <c r="K858" s="273" t="s">
        <v>9727</v>
      </c>
      <c r="L858" s="273" t="s">
        <v>422</v>
      </c>
      <c r="M858" s="275">
        <v>49070</v>
      </c>
      <c r="N858" s="273"/>
      <c r="O858" s="273" t="s">
        <v>16</v>
      </c>
      <c r="P858" s="232">
        <v>1</v>
      </c>
    </row>
    <row r="859" spans="1:16" ht="15.75" customHeight="1" x14ac:dyDescent="0.35">
      <c r="A859" s="258">
        <v>851</v>
      </c>
      <c r="B859" s="273" t="s">
        <v>7935</v>
      </c>
      <c r="C859" s="273" t="s">
        <v>7936</v>
      </c>
      <c r="D859" s="273" t="s">
        <v>59</v>
      </c>
      <c r="E859" s="273">
        <v>16170</v>
      </c>
      <c r="F859" s="273">
        <v>2009</v>
      </c>
      <c r="G859" s="273" t="s">
        <v>9728</v>
      </c>
      <c r="H859" s="273" t="s">
        <v>7938</v>
      </c>
      <c r="I859" s="274"/>
      <c r="J859" s="273"/>
      <c r="K859" s="273" t="s">
        <v>9729</v>
      </c>
      <c r="L859" s="273" t="s">
        <v>57</v>
      </c>
      <c r="M859" s="275">
        <v>185697.75</v>
      </c>
      <c r="N859" s="273" t="s">
        <v>9730</v>
      </c>
      <c r="O859" s="273" t="s">
        <v>16</v>
      </c>
      <c r="P859" s="232">
        <v>1</v>
      </c>
    </row>
    <row r="860" spans="1:16" ht="15.75" customHeight="1" x14ac:dyDescent="0.35">
      <c r="A860" s="264">
        <v>852</v>
      </c>
      <c r="B860" s="273" t="s">
        <v>7935</v>
      </c>
      <c r="C860" s="273" t="s">
        <v>7936</v>
      </c>
      <c r="D860" s="273" t="s">
        <v>97</v>
      </c>
      <c r="E860" s="273">
        <v>2464</v>
      </c>
      <c r="F860" s="273">
        <v>2003</v>
      </c>
      <c r="G860" s="273" t="s">
        <v>9731</v>
      </c>
      <c r="H860" s="273" t="s">
        <v>7938</v>
      </c>
      <c r="I860" s="274"/>
      <c r="J860" s="273"/>
      <c r="K860" s="273" t="s">
        <v>9732</v>
      </c>
      <c r="L860" s="273" t="s">
        <v>57</v>
      </c>
      <c r="M860" s="275">
        <v>565509</v>
      </c>
      <c r="N860" s="273" t="s">
        <v>7940</v>
      </c>
      <c r="O860" s="273" t="s">
        <v>16</v>
      </c>
      <c r="P860" s="232">
        <v>1</v>
      </c>
    </row>
    <row r="861" spans="1:16" ht="15.75" customHeight="1" x14ac:dyDescent="0.35">
      <c r="A861" s="258">
        <v>853</v>
      </c>
      <c r="B861" s="273" t="s">
        <v>8598</v>
      </c>
      <c r="C861" s="273" t="s">
        <v>8599</v>
      </c>
      <c r="D861" s="273" t="s">
        <v>51</v>
      </c>
      <c r="E861" s="273">
        <v>292</v>
      </c>
      <c r="F861" s="273">
        <v>1992</v>
      </c>
      <c r="G861" s="273" t="s">
        <v>9708</v>
      </c>
      <c r="H861" s="273" t="s">
        <v>7938</v>
      </c>
      <c r="I861" s="274">
        <v>33693</v>
      </c>
      <c r="J861" s="273" t="s">
        <v>9733</v>
      </c>
      <c r="K861" s="273" t="s">
        <v>9734</v>
      </c>
      <c r="L861" s="273" t="s">
        <v>57</v>
      </c>
      <c r="M861" s="275">
        <v>14926</v>
      </c>
      <c r="N861" s="273" t="s">
        <v>8603</v>
      </c>
      <c r="O861" s="273" t="s">
        <v>16</v>
      </c>
      <c r="P861" s="232">
        <v>1</v>
      </c>
    </row>
    <row r="862" spans="1:16" ht="15.75" customHeight="1" x14ac:dyDescent="0.35">
      <c r="A862" s="264">
        <v>854</v>
      </c>
      <c r="B862" s="273" t="s">
        <v>8598</v>
      </c>
      <c r="C862" s="273" t="s">
        <v>8599</v>
      </c>
      <c r="D862" s="273" t="s">
        <v>59</v>
      </c>
      <c r="E862" s="273">
        <v>360</v>
      </c>
      <c r="F862" s="273">
        <v>1992</v>
      </c>
      <c r="G862" s="273" t="s">
        <v>9708</v>
      </c>
      <c r="H862" s="273" t="s">
        <v>7938</v>
      </c>
      <c r="I862" s="274">
        <v>33693</v>
      </c>
      <c r="J862" s="273" t="s">
        <v>9735</v>
      </c>
      <c r="K862" s="273" t="s">
        <v>9736</v>
      </c>
      <c r="L862" s="273" t="s">
        <v>422</v>
      </c>
      <c r="M862" s="275">
        <v>18401</v>
      </c>
      <c r="N862" s="273" t="s">
        <v>8603</v>
      </c>
      <c r="O862" s="273" t="s">
        <v>16</v>
      </c>
      <c r="P862" s="232">
        <v>1</v>
      </c>
    </row>
    <row r="863" spans="1:16" ht="15.75" customHeight="1" x14ac:dyDescent="0.35">
      <c r="A863" s="258">
        <v>855</v>
      </c>
      <c r="B863" s="273" t="s">
        <v>8598</v>
      </c>
      <c r="C863" s="273" t="s">
        <v>8599</v>
      </c>
      <c r="D863" s="273" t="s">
        <v>97</v>
      </c>
      <c r="E863" s="273">
        <v>577</v>
      </c>
      <c r="F863" s="273">
        <v>1992</v>
      </c>
      <c r="G863" s="273" t="s">
        <v>8600</v>
      </c>
      <c r="H863" s="273" t="s">
        <v>7938</v>
      </c>
      <c r="I863" s="274">
        <v>33693</v>
      </c>
      <c r="J863" s="273" t="s">
        <v>9737</v>
      </c>
      <c r="K863" s="273" t="s">
        <v>9738</v>
      </c>
      <c r="L863" s="273" t="s">
        <v>422</v>
      </c>
      <c r="M863" s="275">
        <v>29493</v>
      </c>
      <c r="N863" s="273" t="s">
        <v>8603</v>
      </c>
      <c r="O863" s="273" t="s">
        <v>16</v>
      </c>
      <c r="P863" s="232">
        <v>1</v>
      </c>
    </row>
    <row r="864" spans="1:16" ht="15.75" customHeight="1" x14ac:dyDescent="0.35">
      <c r="A864" s="264">
        <v>856</v>
      </c>
      <c r="B864" s="273" t="s">
        <v>8598</v>
      </c>
      <c r="C864" s="273" t="s">
        <v>8599</v>
      </c>
      <c r="D864" s="273" t="s">
        <v>101</v>
      </c>
      <c r="E864" s="273">
        <v>766</v>
      </c>
      <c r="F864" s="273">
        <v>1992</v>
      </c>
      <c r="G864" s="273" t="s">
        <v>8883</v>
      </c>
      <c r="H864" s="273" t="s">
        <v>7938</v>
      </c>
      <c r="I864" s="274">
        <v>33693</v>
      </c>
      <c r="J864" s="273" t="s">
        <v>9739</v>
      </c>
      <c r="K864" s="273" t="s">
        <v>9740</v>
      </c>
      <c r="L864" s="273" t="s">
        <v>422</v>
      </c>
      <c r="M864" s="275">
        <v>39154</v>
      </c>
      <c r="N864" s="273" t="s">
        <v>8603</v>
      </c>
      <c r="O864" s="273" t="s">
        <v>16</v>
      </c>
      <c r="P864" s="232">
        <v>1</v>
      </c>
    </row>
    <row r="865" spans="1:16" ht="15.75" customHeight="1" x14ac:dyDescent="0.35">
      <c r="A865" s="258">
        <v>857</v>
      </c>
      <c r="B865" s="273" t="s">
        <v>8598</v>
      </c>
      <c r="C865" s="273" t="s">
        <v>8599</v>
      </c>
      <c r="D865" s="273" t="s">
        <v>107</v>
      </c>
      <c r="E865" s="273">
        <v>878</v>
      </c>
      <c r="F865" s="273">
        <v>1992</v>
      </c>
      <c r="G865" s="273" t="s">
        <v>9741</v>
      </c>
      <c r="H865" s="273" t="s">
        <v>7938</v>
      </c>
      <c r="I865" s="274">
        <v>33693</v>
      </c>
      <c r="J865" s="273" t="s">
        <v>9742</v>
      </c>
      <c r="K865" s="273" t="s">
        <v>9743</v>
      </c>
      <c r="L865" s="273" t="s">
        <v>422</v>
      </c>
      <c r="M865" s="275">
        <v>44879</v>
      </c>
      <c r="N865" s="273" t="s">
        <v>8603</v>
      </c>
      <c r="O865" s="273" t="s">
        <v>16</v>
      </c>
      <c r="P865" s="232">
        <v>1</v>
      </c>
    </row>
    <row r="866" spans="1:16" ht="15.75" customHeight="1" x14ac:dyDescent="0.35">
      <c r="A866" s="264">
        <v>858</v>
      </c>
      <c r="B866" s="273" t="s">
        <v>8598</v>
      </c>
      <c r="C866" s="273" t="s">
        <v>8599</v>
      </c>
      <c r="D866" s="273" t="s">
        <v>112</v>
      </c>
      <c r="E866" s="273">
        <v>970</v>
      </c>
      <c r="F866" s="273">
        <v>1992</v>
      </c>
      <c r="G866" s="273" t="s">
        <v>9744</v>
      </c>
      <c r="H866" s="273" t="s">
        <v>7938</v>
      </c>
      <c r="I866" s="274">
        <v>33693</v>
      </c>
      <c r="J866" s="273" t="s">
        <v>9745</v>
      </c>
      <c r="K866" s="273" t="s">
        <v>9746</v>
      </c>
      <c r="L866" s="273" t="s">
        <v>422</v>
      </c>
      <c r="M866" s="275">
        <v>49582</v>
      </c>
      <c r="N866" s="273" t="s">
        <v>8603</v>
      </c>
      <c r="O866" s="273" t="s">
        <v>16</v>
      </c>
      <c r="P866" s="232">
        <v>1</v>
      </c>
    </row>
    <row r="867" spans="1:16" ht="15.75" customHeight="1" x14ac:dyDescent="0.35">
      <c r="A867" s="258">
        <v>859</v>
      </c>
      <c r="B867" s="273" t="s">
        <v>8598</v>
      </c>
      <c r="C867" s="273" t="s">
        <v>8599</v>
      </c>
      <c r="D867" s="273" t="s">
        <v>116</v>
      </c>
      <c r="E867" s="273">
        <v>979</v>
      </c>
      <c r="F867" s="273">
        <v>1992</v>
      </c>
      <c r="G867" s="273" t="s">
        <v>8946</v>
      </c>
      <c r="H867" s="273" t="s">
        <v>7938</v>
      </c>
      <c r="I867" s="274">
        <v>33693</v>
      </c>
      <c r="J867" s="273" t="s">
        <v>9747</v>
      </c>
      <c r="K867" s="273" t="s">
        <v>9748</v>
      </c>
      <c r="L867" s="273" t="s">
        <v>422</v>
      </c>
      <c r="M867" s="275">
        <v>50042</v>
      </c>
      <c r="N867" s="273" t="s">
        <v>8603</v>
      </c>
      <c r="O867" s="273" t="s">
        <v>16</v>
      </c>
      <c r="P867" s="232">
        <v>1</v>
      </c>
    </row>
    <row r="868" spans="1:16" ht="15.75" customHeight="1" x14ac:dyDescent="0.35">
      <c r="A868" s="264">
        <v>860</v>
      </c>
      <c r="B868" s="273" t="s">
        <v>8598</v>
      </c>
      <c r="C868" s="273" t="s">
        <v>8599</v>
      </c>
      <c r="D868" s="273" t="s">
        <v>841</v>
      </c>
      <c r="E868" s="273">
        <v>1804</v>
      </c>
      <c r="F868" s="273">
        <v>1992</v>
      </c>
      <c r="G868" s="273" t="s">
        <v>9744</v>
      </c>
      <c r="H868" s="273" t="s">
        <v>7938</v>
      </c>
      <c r="I868" s="274">
        <v>33693</v>
      </c>
      <c r="J868" s="273" t="s">
        <v>9749</v>
      </c>
      <c r="K868" s="273" t="s">
        <v>9750</v>
      </c>
      <c r="L868" s="273" t="s">
        <v>422</v>
      </c>
      <c r="M868" s="275">
        <v>92211</v>
      </c>
      <c r="N868" s="273" t="s">
        <v>8603</v>
      </c>
      <c r="O868" s="273" t="s">
        <v>16</v>
      </c>
      <c r="P868" s="232">
        <v>1</v>
      </c>
    </row>
    <row r="869" spans="1:16" ht="15.75" customHeight="1" x14ac:dyDescent="0.35">
      <c r="A869" s="258">
        <v>861</v>
      </c>
      <c r="B869" s="273" t="s">
        <v>8598</v>
      </c>
      <c r="C869" s="273" t="s">
        <v>8599</v>
      </c>
      <c r="D869" s="273" t="s">
        <v>122</v>
      </c>
      <c r="E869" s="273">
        <v>2341</v>
      </c>
      <c r="F869" s="273">
        <v>1992</v>
      </c>
      <c r="G869" s="273" t="s">
        <v>8600</v>
      </c>
      <c r="H869" s="273" t="s">
        <v>7938</v>
      </c>
      <c r="I869" s="274">
        <v>33693</v>
      </c>
      <c r="J869" s="273" t="s">
        <v>9751</v>
      </c>
      <c r="K869" s="273" t="s">
        <v>9738</v>
      </c>
      <c r="L869" s="273" t="s">
        <v>422</v>
      </c>
      <c r="M869" s="275">
        <v>119660</v>
      </c>
      <c r="N869" s="273" t="s">
        <v>8603</v>
      </c>
      <c r="O869" s="273" t="s">
        <v>16</v>
      </c>
      <c r="P869" s="232">
        <v>1</v>
      </c>
    </row>
    <row r="870" spans="1:16" ht="15.75" customHeight="1" x14ac:dyDescent="0.35">
      <c r="A870" s="264">
        <v>862</v>
      </c>
      <c r="B870" s="273" t="s">
        <v>8598</v>
      </c>
      <c r="C870" s="273" t="s">
        <v>8599</v>
      </c>
      <c r="D870" s="273" t="s">
        <v>126</v>
      </c>
      <c r="E870" s="273">
        <v>339</v>
      </c>
      <c r="F870" s="273">
        <v>2008</v>
      </c>
      <c r="G870" s="273" t="s">
        <v>9752</v>
      </c>
      <c r="H870" s="273" t="s">
        <v>7938</v>
      </c>
      <c r="I870" s="274">
        <v>39476</v>
      </c>
      <c r="J870" s="273" t="s">
        <v>9753</v>
      </c>
      <c r="K870" s="273" t="s">
        <v>9754</v>
      </c>
      <c r="L870" s="273" t="s">
        <v>57</v>
      </c>
      <c r="M870" s="275">
        <v>353945</v>
      </c>
      <c r="N870" s="273" t="s">
        <v>9725</v>
      </c>
      <c r="O870" s="273" t="s">
        <v>16</v>
      </c>
      <c r="P870" s="232">
        <v>1</v>
      </c>
    </row>
    <row r="871" spans="1:16" ht="15.75" customHeight="1" x14ac:dyDescent="0.35">
      <c r="A871" s="258">
        <v>863</v>
      </c>
      <c r="B871" s="273" t="s">
        <v>8598</v>
      </c>
      <c r="C871" s="273" t="s">
        <v>8599</v>
      </c>
      <c r="D871" s="273" t="s">
        <v>132</v>
      </c>
      <c r="E871" s="273">
        <v>342</v>
      </c>
      <c r="F871" s="273">
        <v>1992</v>
      </c>
      <c r="G871" s="273" t="s">
        <v>9708</v>
      </c>
      <c r="H871" s="273" t="s">
        <v>7938</v>
      </c>
      <c r="I871" s="274">
        <v>33693</v>
      </c>
      <c r="J871" s="273" t="s">
        <v>9755</v>
      </c>
      <c r="K871" s="273" t="s">
        <v>9756</v>
      </c>
      <c r="L871" s="273" t="s">
        <v>422</v>
      </c>
      <c r="M871" s="275">
        <v>17328</v>
      </c>
      <c r="N871" s="273" t="s">
        <v>8603</v>
      </c>
      <c r="O871" s="273" t="s">
        <v>16</v>
      </c>
      <c r="P871" s="232">
        <v>1</v>
      </c>
    </row>
    <row r="872" spans="1:16" ht="15.75" customHeight="1" x14ac:dyDescent="0.35">
      <c r="A872" s="264">
        <v>864</v>
      </c>
      <c r="B872" s="273" t="s">
        <v>8598</v>
      </c>
      <c r="C872" s="273" t="s">
        <v>8599</v>
      </c>
      <c r="D872" s="273" t="s">
        <v>137</v>
      </c>
      <c r="E872" s="273">
        <v>295</v>
      </c>
      <c r="F872" s="273">
        <v>1992</v>
      </c>
      <c r="G872" s="273" t="s">
        <v>9741</v>
      </c>
      <c r="H872" s="273" t="s">
        <v>7938</v>
      </c>
      <c r="I872" s="274">
        <v>33693</v>
      </c>
      <c r="J872" s="273" t="s">
        <v>9757</v>
      </c>
      <c r="K872" s="273" t="s">
        <v>9756</v>
      </c>
      <c r="L872" s="273" t="s">
        <v>422</v>
      </c>
      <c r="M872" s="275">
        <v>17481</v>
      </c>
      <c r="N872" s="273" t="s">
        <v>8603</v>
      </c>
      <c r="O872" s="273" t="s">
        <v>16</v>
      </c>
      <c r="P872" s="232">
        <v>1</v>
      </c>
    </row>
    <row r="873" spans="1:16" ht="15.75" customHeight="1" x14ac:dyDescent="0.35">
      <c r="A873" s="258">
        <v>865</v>
      </c>
      <c r="B873" s="273" t="s">
        <v>8598</v>
      </c>
      <c r="C873" s="273" t="s">
        <v>8599</v>
      </c>
      <c r="D873" s="273" t="s">
        <v>146</v>
      </c>
      <c r="E873" s="273">
        <v>334</v>
      </c>
      <c r="F873" s="273">
        <v>1992</v>
      </c>
      <c r="G873" s="273" t="s">
        <v>8600</v>
      </c>
      <c r="H873" s="273" t="s">
        <v>7938</v>
      </c>
      <c r="I873" s="274">
        <v>33693</v>
      </c>
      <c r="J873" s="273" t="s">
        <v>9758</v>
      </c>
      <c r="K873" s="273" t="s">
        <v>9738</v>
      </c>
      <c r="L873" s="273" t="s">
        <v>422</v>
      </c>
      <c r="M873" s="275">
        <v>15079</v>
      </c>
      <c r="N873" s="273" t="s">
        <v>8603</v>
      </c>
      <c r="O873" s="273" t="s">
        <v>16</v>
      </c>
      <c r="P873" s="232">
        <v>1</v>
      </c>
    </row>
    <row r="874" spans="1:16" ht="15.75" customHeight="1" x14ac:dyDescent="0.35">
      <c r="A874" s="264">
        <v>866</v>
      </c>
      <c r="B874" s="273" t="s">
        <v>8598</v>
      </c>
      <c r="C874" s="273" t="s">
        <v>8599</v>
      </c>
      <c r="D874" s="273" t="s">
        <v>154</v>
      </c>
      <c r="E874" s="273">
        <v>99</v>
      </c>
      <c r="F874" s="273">
        <v>1992</v>
      </c>
      <c r="G874" s="273" t="s">
        <v>8600</v>
      </c>
      <c r="H874" s="273" t="s">
        <v>7938</v>
      </c>
      <c r="I874" s="274">
        <v>33693</v>
      </c>
      <c r="J874" s="273" t="s">
        <v>9759</v>
      </c>
      <c r="K874" s="273" t="s">
        <v>9760</v>
      </c>
      <c r="L874" s="273" t="s">
        <v>422</v>
      </c>
      <c r="M874" s="275">
        <v>17072</v>
      </c>
      <c r="N874" s="273" t="s">
        <v>8603</v>
      </c>
      <c r="O874" s="273" t="s">
        <v>16</v>
      </c>
      <c r="P874" s="232">
        <v>1</v>
      </c>
    </row>
    <row r="875" spans="1:16" ht="15.75" customHeight="1" x14ac:dyDescent="0.35">
      <c r="A875" s="258">
        <v>867</v>
      </c>
      <c r="B875" s="273" t="s">
        <v>8598</v>
      </c>
      <c r="C875" s="273" t="s">
        <v>8599</v>
      </c>
      <c r="D875" s="273" t="s">
        <v>161</v>
      </c>
      <c r="E875" s="273">
        <v>90</v>
      </c>
      <c r="F875" s="273">
        <v>1992</v>
      </c>
      <c r="G875" s="273" t="s">
        <v>9761</v>
      </c>
      <c r="H875" s="273" t="s">
        <v>7938</v>
      </c>
      <c r="I875" s="274">
        <v>33693</v>
      </c>
      <c r="J875" s="273" t="s">
        <v>9762</v>
      </c>
      <c r="K875" s="273" t="s">
        <v>9763</v>
      </c>
      <c r="L875" s="273" t="s">
        <v>422</v>
      </c>
      <c r="M875" s="275">
        <v>5060</v>
      </c>
      <c r="N875" s="273" t="s">
        <v>8603</v>
      </c>
      <c r="O875" s="273" t="s">
        <v>16</v>
      </c>
      <c r="P875" s="232">
        <v>1</v>
      </c>
    </row>
    <row r="876" spans="1:16" ht="15.75" customHeight="1" x14ac:dyDescent="0.35">
      <c r="A876" s="264">
        <v>868</v>
      </c>
      <c r="B876" s="273" t="s">
        <v>8598</v>
      </c>
      <c r="C876" s="273" t="s">
        <v>8599</v>
      </c>
      <c r="D876" s="273" t="s">
        <v>169</v>
      </c>
      <c r="E876" s="273">
        <v>90</v>
      </c>
      <c r="F876" s="273">
        <v>1992</v>
      </c>
      <c r="G876" s="273" t="s">
        <v>9761</v>
      </c>
      <c r="H876" s="273" t="s">
        <v>7938</v>
      </c>
      <c r="I876" s="274">
        <v>33693</v>
      </c>
      <c r="J876" s="273" t="s">
        <v>9764</v>
      </c>
      <c r="K876" s="273" t="s">
        <v>9765</v>
      </c>
      <c r="L876" s="273" t="s">
        <v>422</v>
      </c>
      <c r="M876" s="275">
        <v>4600</v>
      </c>
      <c r="N876" s="273" t="s">
        <v>8603</v>
      </c>
      <c r="O876" s="273" t="s">
        <v>16</v>
      </c>
      <c r="P876" s="232">
        <v>1</v>
      </c>
    </row>
    <row r="877" spans="1:16" ht="15.75" customHeight="1" x14ac:dyDescent="0.35">
      <c r="A877" s="258">
        <v>869</v>
      </c>
      <c r="B877" s="273" t="s">
        <v>8598</v>
      </c>
      <c r="C877" s="273" t="s">
        <v>8599</v>
      </c>
      <c r="D877" s="273" t="s">
        <v>176</v>
      </c>
      <c r="E877" s="273">
        <v>960</v>
      </c>
      <c r="F877" s="273">
        <v>1992</v>
      </c>
      <c r="G877" s="273" t="s">
        <v>9761</v>
      </c>
      <c r="H877" s="273" t="s">
        <v>7938</v>
      </c>
      <c r="I877" s="274">
        <v>33693</v>
      </c>
      <c r="J877" s="273" t="s">
        <v>9766</v>
      </c>
      <c r="K877" s="273" t="s">
        <v>9767</v>
      </c>
      <c r="L877" s="273" t="s">
        <v>422</v>
      </c>
      <c r="M877" s="275">
        <v>4600</v>
      </c>
      <c r="N877" s="273" t="s">
        <v>8603</v>
      </c>
      <c r="O877" s="273" t="s">
        <v>16</v>
      </c>
      <c r="P877" s="232">
        <v>1</v>
      </c>
    </row>
    <row r="878" spans="1:16" ht="15.75" customHeight="1" x14ac:dyDescent="0.35">
      <c r="A878" s="264">
        <v>870</v>
      </c>
      <c r="B878" s="273" t="s">
        <v>8206</v>
      </c>
      <c r="C878" s="273" t="s">
        <v>8207</v>
      </c>
      <c r="D878" s="273" t="s">
        <v>51</v>
      </c>
      <c r="E878" s="273">
        <v>750</v>
      </c>
      <c r="F878" s="273">
        <v>2014</v>
      </c>
      <c r="G878" s="273" t="s">
        <v>9768</v>
      </c>
      <c r="H878" s="273" t="s">
        <v>7938</v>
      </c>
      <c r="I878" s="274">
        <v>38719</v>
      </c>
      <c r="J878" s="273"/>
      <c r="K878" s="273" t="s">
        <v>9769</v>
      </c>
      <c r="L878" s="273" t="s">
        <v>422</v>
      </c>
      <c r="M878" s="275">
        <v>900</v>
      </c>
      <c r="N878" s="273" t="s">
        <v>9770</v>
      </c>
      <c r="O878" s="273" t="s">
        <v>9771</v>
      </c>
      <c r="P878" s="232">
        <v>2</v>
      </c>
    </row>
    <row r="879" spans="1:16" ht="15.75" customHeight="1" x14ac:dyDescent="0.35">
      <c r="A879" s="258">
        <v>871</v>
      </c>
      <c r="B879" s="273" t="s">
        <v>8206</v>
      </c>
      <c r="C879" s="273" t="s">
        <v>8207</v>
      </c>
      <c r="D879" s="273" t="s">
        <v>59</v>
      </c>
      <c r="E879" s="273">
        <v>522</v>
      </c>
      <c r="F879" s="273">
        <v>2014</v>
      </c>
      <c r="G879" s="273" t="s">
        <v>9772</v>
      </c>
      <c r="H879" s="273" t="s">
        <v>7938</v>
      </c>
      <c r="I879" s="274">
        <v>37203</v>
      </c>
      <c r="J879" s="273" t="s">
        <v>9773</v>
      </c>
      <c r="K879" s="273" t="s">
        <v>8261</v>
      </c>
      <c r="L879" s="273" t="s">
        <v>422</v>
      </c>
      <c r="M879" s="275">
        <v>5220</v>
      </c>
      <c r="N879" s="273" t="s">
        <v>9774</v>
      </c>
      <c r="O879" s="273" t="s">
        <v>9771</v>
      </c>
      <c r="P879" s="232">
        <v>2</v>
      </c>
    </row>
    <row r="880" spans="1:16" ht="15.75" customHeight="1" x14ac:dyDescent="0.35">
      <c r="A880" s="264">
        <v>872</v>
      </c>
      <c r="B880" s="273" t="s">
        <v>8206</v>
      </c>
      <c r="C880" s="273" t="s">
        <v>8207</v>
      </c>
      <c r="D880" s="273" t="s">
        <v>97</v>
      </c>
      <c r="E880" s="273">
        <v>2856</v>
      </c>
      <c r="F880" s="273">
        <v>2014</v>
      </c>
      <c r="G880" s="273" t="s">
        <v>9775</v>
      </c>
      <c r="H880" s="273" t="s">
        <v>7938</v>
      </c>
      <c r="I880" s="274">
        <v>41354</v>
      </c>
      <c r="J880" s="273" t="s">
        <v>9776</v>
      </c>
      <c r="K880" s="273" t="s">
        <v>9777</v>
      </c>
      <c r="L880" s="273" t="s">
        <v>422</v>
      </c>
      <c r="M880" s="275">
        <v>53750</v>
      </c>
      <c r="N880" s="273" t="s">
        <v>9778</v>
      </c>
      <c r="O880" s="273" t="s">
        <v>9771</v>
      </c>
      <c r="P880" s="232">
        <v>2</v>
      </c>
    </row>
    <row r="881" spans="1:16" ht="15.75" customHeight="1" x14ac:dyDescent="0.35">
      <c r="A881" s="258">
        <v>873</v>
      </c>
      <c r="B881" s="273" t="s">
        <v>8206</v>
      </c>
      <c r="C881" s="273" t="s">
        <v>8207</v>
      </c>
      <c r="D881" s="273" t="s">
        <v>101</v>
      </c>
      <c r="E881" s="273">
        <v>510</v>
      </c>
      <c r="F881" s="273">
        <v>2015</v>
      </c>
      <c r="G881" s="273" t="s">
        <v>9779</v>
      </c>
      <c r="H881" s="273" t="s">
        <v>7938</v>
      </c>
      <c r="I881" s="274">
        <v>41891</v>
      </c>
      <c r="J881" s="273" t="s">
        <v>9780</v>
      </c>
      <c r="K881" s="273" t="s">
        <v>9781</v>
      </c>
      <c r="L881" s="273" t="s">
        <v>422</v>
      </c>
      <c r="M881" s="275">
        <v>2550</v>
      </c>
      <c r="N881" s="273" t="s">
        <v>9782</v>
      </c>
      <c r="O881" s="273" t="s">
        <v>9771</v>
      </c>
      <c r="P881" s="232">
        <v>2</v>
      </c>
    </row>
    <row r="882" spans="1:16" ht="15.75" customHeight="1" x14ac:dyDescent="0.35">
      <c r="A882" s="264">
        <v>874</v>
      </c>
      <c r="B882" s="273" t="s">
        <v>8206</v>
      </c>
      <c r="C882" s="273" t="s">
        <v>8207</v>
      </c>
      <c r="D882" s="273" t="s">
        <v>107</v>
      </c>
      <c r="E882" s="273">
        <v>775</v>
      </c>
      <c r="F882" s="273">
        <v>2017</v>
      </c>
      <c r="G882" s="273" t="s">
        <v>9783</v>
      </c>
      <c r="H882" s="273" t="s">
        <v>7938</v>
      </c>
      <c r="I882" s="274">
        <v>44302</v>
      </c>
      <c r="J882" s="273" t="s">
        <v>9784</v>
      </c>
      <c r="K882" s="273" t="s">
        <v>8261</v>
      </c>
      <c r="L882" s="273" t="s">
        <v>422</v>
      </c>
      <c r="M882" s="275">
        <v>511.5</v>
      </c>
      <c r="N882" s="273" t="s">
        <v>9785</v>
      </c>
      <c r="O882" s="273" t="s">
        <v>9771</v>
      </c>
      <c r="P882" s="232">
        <v>2</v>
      </c>
    </row>
    <row r="883" spans="1:16" ht="15.75" customHeight="1" x14ac:dyDescent="0.35">
      <c r="A883" s="258">
        <v>875</v>
      </c>
      <c r="B883" s="273" t="s">
        <v>8237</v>
      </c>
      <c r="C883" s="273" t="s">
        <v>8238</v>
      </c>
      <c r="D883" s="273" t="s">
        <v>51</v>
      </c>
      <c r="E883" s="273">
        <v>660</v>
      </c>
      <c r="F883" s="273">
        <v>2014</v>
      </c>
      <c r="G883" s="273" t="s">
        <v>9786</v>
      </c>
      <c r="H883" s="273" t="s">
        <v>7938</v>
      </c>
      <c r="I883" s="274">
        <v>39558</v>
      </c>
      <c r="J883" s="273" t="s">
        <v>9787</v>
      </c>
      <c r="K883" s="273" t="s">
        <v>9788</v>
      </c>
      <c r="L883" s="273" t="s">
        <v>57</v>
      </c>
      <c r="M883" s="275">
        <v>20000</v>
      </c>
      <c r="N883" s="273" t="s">
        <v>9789</v>
      </c>
      <c r="O883" s="273" t="s">
        <v>9710</v>
      </c>
      <c r="P883" s="232">
        <v>2</v>
      </c>
    </row>
    <row r="884" spans="1:16" ht="15.75" customHeight="1" x14ac:dyDescent="0.35">
      <c r="A884" s="264">
        <v>876</v>
      </c>
      <c r="B884" s="273" t="s">
        <v>9676</v>
      </c>
      <c r="C884" s="273" t="s">
        <v>9677</v>
      </c>
      <c r="D884" s="273" t="s">
        <v>51</v>
      </c>
      <c r="E884" s="273">
        <v>1000</v>
      </c>
      <c r="F884" s="273">
        <v>2009</v>
      </c>
      <c r="G884" s="273" t="s">
        <v>9790</v>
      </c>
      <c r="H884" s="273" t="s">
        <v>7938</v>
      </c>
      <c r="I884" s="274"/>
      <c r="J884" s="273"/>
      <c r="K884" s="273" t="s">
        <v>9791</v>
      </c>
      <c r="L884" s="273" t="s">
        <v>57</v>
      </c>
      <c r="M884" s="275">
        <v>40000</v>
      </c>
      <c r="N884" s="273" t="s">
        <v>9792</v>
      </c>
      <c r="O884" s="273" t="s">
        <v>9710</v>
      </c>
      <c r="P884" s="232">
        <v>2</v>
      </c>
    </row>
    <row r="885" spans="1:16" ht="15.75" customHeight="1" x14ac:dyDescent="0.35">
      <c r="A885" s="258">
        <v>877</v>
      </c>
      <c r="B885" s="273" t="s">
        <v>8206</v>
      </c>
      <c r="C885" s="273" t="s">
        <v>8207</v>
      </c>
      <c r="D885" s="273" t="s">
        <v>51</v>
      </c>
      <c r="E885" s="273">
        <v>426</v>
      </c>
      <c r="F885" s="273">
        <v>2014</v>
      </c>
      <c r="G885" s="273" t="s">
        <v>9793</v>
      </c>
      <c r="H885" s="273" t="s">
        <v>7938</v>
      </c>
      <c r="I885" s="274">
        <v>40550</v>
      </c>
      <c r="J885" s="273" t="s">
        <v>9794</v>
      </c>
      <c r="K885" s="273" t="s">
        <v>9795</v>
      </c>
      <c r="L885" s="273" t="s">
        <v>422</v>
      </c>
      <c r="M885" s="275">
        <v>204.48</v>
      </c>
      <c r="N885" s="273" t="s">
        <v>9796</v>
      </c>
      <c r="O885" s="273" t="s">
        <v>9710</v>
      </c>
      <c r="P885" s="232">
        <v>2</v>
      </c>
    </row>
    <row r="886" spans="1:16" ht="15.75" customHeight="1" x14ac:dyDescent="0.35">
      <c r="A886" s="264">
        <v>878</v>
      </c>
      <c r="B886" s="273" t="s">
        <v>8206</v>
      </c>
      <c r="C886" s="273" t="s">
        <v>8207</v>
      </c>
      <c r="D886" s="273" t="s">
        <v>59</v>
      </c>
      <c r="E886" s="273">
        <v>400</v>
      </c>
      <c r="F886" s="273">
        <v>2014</v>
      </c>
      <c r="G886" s="273" t="s">
        <v>9797</v>
      </c>
      <c r="H886" s="273" t="s">
        <v>7938</v>
      </c>
      <c r="I886" s="274">
        <v>39098</v>
      </c>
      <c r="J886" s="273" t="s">
        <v>9798</v>
      </c>
      <c r="K886" s="273" t="s">
        <v>9799</v>
      </c>
      <c r="L886" s="273" t="s">
        <v>422</v>
      </c>
      <c r="M886" s="275">
        <v>6000</v>
      </c>
      <c r="N886" s="273" t="s">
        <v>9800</v>
      </c>
      <c r="O886" s="273" t="s">
        <v>9710</v>
      </c>
      <c r="P886" s="232">
        <v>2</v>
      </c>
    </row>
    <row r="887" spans="1:16" ht="15.75" customHeight="1" x14ac:dyDescent="0.35">
      <c r="A887" s="258">
        <v>879</v>
      </c>
      <c r="B887" s="273" t="s">
        <v>8206</v>
      </c>
      <c r="C887" s="273" t="s">
        <v>8207</v>
      </c>
      <c r="D887" s="273" t="s">
        <v>97</v>
      </c>
      <c r="E887" s="273">
        <v>604</v>
      </c>
      <c r="F887" s="273">
        <v>2015</v>
      </c>
      <c r="G887" s="273" t="s">
        <v>9801</v>
      </c>
      <c r="H887" s="273" t="s">
        <v>7938</v>
      </c>
      <c r="I887" s="274">
        <v>33693</v>
      </c>
      <c r="J887" s="273" t="s">
        <v>9709</v>
      </c>
      <c r="K887" s="273" t="s">
        <v>9802</v>
      </c>
      <c r="L887" s="273" t="s">
        <v>422</v>
      </c>
      <c r="M887" s="275">
        <v>8456</v>
      </c>
      <c r="N887" s="273" t="s">
        <v>9803</v>
      </c>
      <c r="O887" s="273" t="s">
        <v>9710</v>
      </c>
      <c r="P887" s="232">
        <v>2</v>
      </c>
    </row>
    <row r="888" spans="1:16" ht="15.75" customHeight="1" x14ac:dyDescent="0.35">
      <c r="A888" s="264">
        <v>880</v>
      </c>
      <c r="B888" s="273" t="s">
        <v>8206</v>
      </c>
      <c r="C888" s="273" t="s">
        <v>8207</v>
      </c>
      <c r="D888" s="273" t="s">
        <v>101</v>
      </c>
      <c r="E888" s="273">
        <v>1360</v>
      </c>
      <c r="F888" s="273">
        <v>2014</v>
      </c>
      <c r="G888" s="273" t="s">
        <v>9804</v>
      </c>
      <c r="H888" s="273" t="s">
        <v>7938</v>
      </c>
      <c r="I888" s="274">
        <v>44301</v>
      </c>
      <c r="J888" s="273" t="s">
        <v>63</v>
      </c>
      <c r="K888" s="273" t="s">
        <v>8261</v>
      </c>
      <c r="L888" s="273" t="s">
        <v>57</v>
      </c>
      <c r="M888" s="275">
        <v>182</v>
      </c>
      <c r="N888" s="273" t="s">
        <v>9805</v>
      </c>
      <c r="O888" s="273" t="s">
        <v>9710</v>
      </c>
      <c r="P888" s="232">
        <v>2</v>
      </c>
    </row>
    <row r="889" spans="1:16" ht="15.75" customHeight="1" x14ac:dyDescent="0.35">
      <c r="A889" s="258">
        <v>881</v>
      </c>
      <c r="B889" s="273" t="s">
        <v>8206</v>
      </c>
      <c r="C889" s="273" t="s">
        <v>8207</v>
      </c>
      <c r="D889" s="273" t="s">
        <v>107</v>
      </c>
      <c r="E889" s="273">
        <v>300</v>
      </c>
      <c r="F889" s="273">
        <v>2014</v>
      </c>
      <c r="G889" s="273" t="s">
        <v>9806</v>
      </c>
      <c r="H889" s="273" t="s">
        <v>7938</v>
      </c>
      <c r="I889" s="274">
        <v>38353</v>
      </c>
      <c r="J889" s="273"/>
      <c r="K889" s="273" t="s">
        <v>9807</v>
      </c>
      <c r="L889" s="273" t="s">
        <v>422</v>
      </c>
      <c r="M889" s="275">
        <v>45</v>
      </c>
      <c r="N889" s="273" t="s">
        <v>9808</v>
      </c>
      <c r="O889" s="273" t="s">
        <v>9710</v>
      </c>
      <c r="P889" s="232">
        <v>2</v>
      </c>
    </row>
    <row r="890" spans="1:16" ht="15.75" customHeight="1" x14ac:dyDescent="0.35">
      <c r="A890" s="264">
        <v>882</v>
      </c>
      <c r="B890" s="273" t="s">
        <v>8206</v>
      </c>
      <c r="C890" s="273" t="s">
        <v>8207</v>
      </c>
      <c r="D890" s="273" t="s">
        <v>112</v>
      </c>
      <c r="E890" s="273">
        <v>150</v>
      </c>
      <c r="F890" s="273">
        <v>2014</v>
      </c>
      <c r="G890" s="273" t="s">
        <v>9809</v>
      </c>
      <c r="H890" s="273" t="s">
        <v>7938</v>
      </c>
      <c r="I890" s="274">
        <v>38838</v>
      </c>
      <c r="J890" s="273"/>
      <c r="K890" s="273" t="s">
        <v>9810</v>
      </c>
      <c r="L890" s="273" t="s">
        <v>422</v>
      </c>
      <c r="M890" s="275">
        <v>30</v>
      </c>
      <c r="N890" s="273" t="s">
        <v>9811</v>
      </c>
      <c r="O890" s="273" t="s">
        <v>9710</v>
      </c>
      <c r="P890" s="232">
        <v>2</v>
      </c>
    </row>
    <row r="891" spans="1:16" ht="15.75" customHeight="1" x14ac:dyDescent="0.35">
      <c r="A891" s="258">
        <v>883</v>
      </c>
      <c r="B891" s="273" t="s">
        <v>8206</v>
      </c>
      <c r="C891" s="273" t="s">
        <v>8207</v>
      </c>
      <c r="D891" s="273" t="s">
        <v>51</v>
      </c>
      <c r="E891" s="273">
        <v>555</v>
      </c>
      <c r="F891" s="273">
        <v>2014</v>
      </c>
      <c r="G891" s="273" t="s">
        <v>9812</v>
      </c>
      <c r="H891" s="273" t="s">
        <v>7938</v>
      </c>
      <c r="I891" s="274">
        <v>44062</v>
      </c>
      <c r="J891" s="273" t="s">
        <v>9813</v>
      </c>
      <c r="K891" s="273" t="s">
        <v>9814</v>
      </c>
      <c r="L891" s="273" t="s">
        <v>422</v>
      </c>
      <c r="M891" s="275">
        <v>170.1</v>
      </c>
      <c r="N891" s="273" t="s">
        <v>9815</v>
      </c>
      <c r="O891" s="273" t="s">
        <v>9816</v>
      </c>
      <c r="P891" s="232">
        <v>2</v>
      </c>
    </row>
    <row r="892" spans="1:16" ht="15.75" customHeight="1" x14ac:dyDescent="0.35">
      <c r="A892" s="264">
        <v>884</v>
      </c>
      <c r="B892" s="273" t="s">
        <v>8206</v>
      </c>
      <c r="C892" s="273" t="s">
        <v>8207</v>
      </c>
      <c r="D892" s="273" t="s">
        <v>59</v>
      </c>
      <c r="E892" s="273">
        <v>1577</v>
      </c>
      <c r="F892" s="273">
        <v>2014</v>
      </c>
      <c r="G892" s="273" t="s">
        <v>9817</v>
      </c>
      <c r="H892" s="273" t="s">
        <v>7938</v>
      </c>
      <c r="I892" s="274">
        <v>44062</v>
      </c>
      <c r="J892" s="273" t="s">
        <v>9818</v>
      </c>
      <c r="K892" s="273" t="s">
        <v>9819</v>
      </c>
      <c r="L892" s="273" t="s">
        <v>422</v>
      </c>
      <c r="M892" s="275">
        <v>280</v>
      </c>
      <c r="N892" s="273" t="s">
        <v>9820</v>
      </c>
      <c r="O892" s="273" t="s">
        <v>9816</v>
      </c>
      <c r="P892" s="232">
        <v>2</v>
      </c>
    </row>
    <row r="893" spans="1:16" ht="15.75" customHeight="1" x14ac:dyDescent="0.35">
      <c r="A893" s="258">
        <v>885</v>
      </c>
      <c r="B893" s="273" t="s">
        <v>8206</v>
      </c>
      <c r="C893" s="273" t="s">
        <v>8207</v>
      </c>
      <c r="D893" s="273" t="s">
        <v>97</v>
      </c>
      <c r="E893" s="273">
        <v>657</v>
      </c>
      <c r="F893" s="273">
        <v>2014</v>
      </c>
      <c r="G893" s="273" t="s">
        <v>9821</v>
      </c>
      <c r="H893" s="273" t="s">
        <v>7938</v>
      </c>
      <c r="I893" s="274">
        <v>44062</v>
      </c>
      <c r="J893" s="273" t="s">
        <v>9822</v>
      </c>
      <c r="K893" s="273" t="s">
        <v>9823</v>
      </c>
      <c r="L893" s="273" t="s">
        <v>422</v>
      </c>
      <c r="M893" s="275">
        <v>364.5</v>
      </c>
      <c r="N893" s="273" t="s">
        <v>9824</v>
      </c>
      <c r="O893" s="273" t="s">
        <v>9816</v>
      </c>
      <c r="P893" s="232">
        <v>2</v>
      </c>
    </row>
    <row r="894" spans="1:16" ht="15.75" customHeight="1" x14ac:dyDescent="0.35">
      <c r="A894" s="264">
        <v>886</v>
      </c>
      <c r="B894" s="273" t="s">
        <v>8206</v>
      </c>
      <c r="C894" s="273" t="s">
        <v>8207</v>
      </c>
      <c r="D894" s="273" t="s">
        <v>101</v>
      </c>
      <c r="E894" s="273">
        <v>1007.25</v>
      </c>
      <c r="F894" s="273">
        <v>2014</v>
      </c>
      <c r="G894" s="273" t="s">
        <v>9825</v>
      </c>
      <c r="H894" s="273" t="s">
        <v>7938</v>
      </c>
      <c r="I894" s="274"/>
      <c r="J894" s="273"/>
      <c r="K894" s="273" t="s">
        <v>9826</v>
      </c>
      <c r="L894" s="273" t="s">
        <v>422</v>
      </c>
      <c r="M894" s="275">
        <v>10072.5</v>
      </c>
      <c r="N894" s="273" t="s">
        <v>9827</v>
      </c>
      <c r="O894" s="273" t="s">
        <v>9816</v>
      </c>
      <c r="P894" s="232">
        <v>2</v>
      </c>
    </row>
    <row r="895" spans="1:16" ht="15.75" customHeight="1" x14ac:dyDescent="0.35">
      <c r="A895" s="258">
        <v>887</v>
      </c>
      <c r="B895" s="273" t="s">
        <v>8206</v>
      </c>
      <c r="C895" s="273" t="s">
        <v>8207</v>
      </c>
      <c r="D895" s="273" t="s">
        <v>107</v>
      </c>
      <c r="E895" s="273">
        <v>1200</v>
      </c>
      <c r="F895" s="273">
        <v>2014</v>
      </c>
      <c r="G895" s="273" t="s">
        <v>9828</v>
      </c>
      <c r="H895" s="273" t="s">
        <v>7938</v>
      </c>
      <c r="I895" s="274">
        <v>39386</v>
      </c>
      <c r="J895" s="273" t="s">
        <v>9829</v>
      </c>
      <c r="K895" s="273" t="s">
        <v>9830</v>
      </c>
      <c r="L895" s="273" t="s">
        <v>422</v>
      </c>
      <c r="M895" s="275">
        <v>18000</v>
      </c>
      <c r="N895" s="273" t="s">
        <v>9831</v>
      </c>
      <c r="O895" s="273" t="s">
        <v>9816</v>
      </c>
      <c r="P895" s="232">
        <v>2</v>
      </c>
    </row>
    <row r="896" spans="1:16" ht="15.75" customHeight="1" x14ac:dyDescent="0.35">
      <c r="A896" s="264">
        <v>888</v>
      </c>
      <c r="B896" s="273" t="s">
        <v>8206</v>
      </c>
      <c r="C896" s="273" t="s">
        <v>8207</v>
      </c>
      <c r="D896" s="273" t="s">
        <v>112</v>
      </c>
      <c r="E896" s="273">
        <v>54</v>
      </c>
      <c r="F896" s="273">
        <v>2015</v>
      </c>
      <c r="G896" s="273" t="s">
        <v>9832</v>
      </c>
      <c r="H896" s="273" t="s">
        <v>7938</v>
      </c>
      <c r="I896" s="274">
        <v>39981</v>
      </c>
      <c r="J896" s="273"/>
      <c r="K896" s="273" t="s">
        <v>8261</v>
      </c>
      <c r="L896" s="273" t="s">
        <v>422</v>
      </c>
      <c r="M896" s="275">
        <v>7.56</v>
      </c>
      <c r="N896" s="273" t="s">
        <v>9833</v>
      </c>
      <c r="O896" s="273" t="s">
        <v>9816</v>
      </c>
      <c r="P896" s="232">
        <v>2</v>
      </c>
    </row>
    <row r="897" spans="1:16" ht="15.75" customHeight="1" x14ac:dyDescent="0.35">
      <c r="A897" s="258">
        <v>889</v>
      </c>
      <c r="B897" s="273" t="s">
        <v>8206</v>
      </c>
      <c r="C897" s="273" t="s">
        <v>8207</v>
      </c>
      <c r="D897" s="273" t="s">
        <v>116</v>
      </c>
      <c r="E897" s="273">
        <v>460</v>
      </c>
      <c r="F897" s="273">
        <v>2014</v>
      </c>
      <c r="G897" s="273" t="s">
        <v>9834</v>
      </c>
      <c r="H897" s="273" t="s">
        <v>7938</v>
      </c>
      <c r="I897" s="274">
        <v>39902</v>
      </c>
      <c r="J897" s="273" t="s">
        <v>63</v>
      </c>
      <c r="K897" s="273" t="s">
        <v>9835</v>
      </c>
      <c r="L897" s="273" t="s">
        <v>422</v>
      </c>
      <c r="M897" s="275">
        <v>4600</v>
      </c>
      <c r="N897" s="273" t="s">
        <v>9836</v>
      </c>
      <c r="O897" s="273" t="s">
        <v>9816</v>
      </c>
      <c r="P897" s="232">
        <v>2</v>
      </c>
    </row>
    <row r="898" spans="1:16" ht="15.75" customHeight="1" x14ac:dyDescent="0.35">
      <c r="A898" s="264">
        <v>890</v>
      </c>
      <c r="B898" s="273" t="s">
        <v>8206</v>
      </c>
      <c r="C898" s="273" t="s">
        <v>8207</v>
      </c>
      <c r="D898" s="273" t="s">
        <v>841</v>
      </c>
      <c r="E898" s="273">
        <v>648</v>
      </c>
      <c r="F898" s="273">
        <v>2014</v>
      </c>
      <c r="G898" s="273" t="s">
        <v>9837</v>
      </c>
      <c r="H898" s="273" t="s">
        <v>7938</v>
      </c>
      <c r="I898" s="274">
        <v>39393</v>
      </c>
      <c r="J898" s="273" t="s">
        <v>63</v>
      </c>
      <c r="K898" s="273" t="s">
        <v>9838</v>
      </c>
      <c r="L898" s="273" t="s">
        <v>422</v>
      </c>
      <c r="M898" s="275">
        <v>9072</v>
      </c>
      <c r="N898" s="273" t="s">
        <v>9839</v>
      </c>
      <c r="O898" s="273" t="s">
        <v>9816</v>
      </c>
      <c r="P898" s="232">
        <v>2</v>
      </c>
    </row>
    <row r="899" spans="1:16" ht="15.75" customHeight="1" x14ac:dyDescent="0.35">
      <c r="A899" s="258">
        <v>891</v>
      </c>
      <c r="B899" s="273" t="s">
        <v>8206</v>
      </c>
      <c r="C899" s="273" t="s">
        <v>8207</v>
      </c>
      <c r="D899" s="273" t="s">
        <v>904</v>
      </c>
      <c r="E899" s="273">
        <v>584</v>
      </c>
      <c r="F899" s="273">
        <v>2015</v>
      </c>
      <c r="G899" s="273" t="s">
        <v>9840</v>
      </c>
      <c r="H899" s="273" t="s">
        <v>7938</v>
      </c>
      <c r="I899" s="274">
        <v>44035</v>
      </c>
      <c r="J899" s="273" t="s">
        <v>9841</v>
      </c>
      <c r="K899" s="273" t="s">
        <v>8261</v>
      </c>
      <c r="L899" s="273" t="s">
        <v>422</v>
      </c>
      <c r="M899" s="275">
        <v>420</v>
      </c>
      <c r="N899" s="273" t="s">
        <v>9842</v>
      </c>
      <c r="O899" s="273" t="s">
        <v>9816</v>
      </c>
      <c r="P899" s="232">
        <v>2</v>
      </c>
    </row>
    <row r="900" spans="1:16" ht="15.75" customHeight="1" x14ac:dyDescent="0.35">
      <c r="A900" s="264">
        <v>892</v>
      </c>
      <c r="B900" s="273" t="s">
        <v>8206</v>
      </c>
      <c r="C900" s="273" t="s">
        <v>8207</v>
      </c>
      <c r="D900" s="273" t="s">
        <v>122</v>
      </c>
      <c r="E900" s="273">
        <v>3305</v>
      </c>
      <c r="F900" s="273">
        <v>2015</v>
      </c>
      <c r="G900" s="273" t="s">
        <v>9843</v>
      </c>
      <c r="H900" s="273" t="s">
        <v>7938</v>
      </c>
      <c r="I900" s="274">
        <v>44047</v>
      </c>
      <c r="J900" s="273" t="s">
        <v>9844</v>
      </c>
      <c r="K900" s="273" t="s">
        <v>8261</v>
      </c>
      <c r="L900" s="273" t="s">
        <v>57</v>
      </c>
      <c r="M900" s="275">
        <v>2880</v>
      </c>
      <c r="N900" s="273" t="s">
        <v>9845</v>
      </c>
      <c r="O900" s="273" t="s">
        <v>9816</v>
      </c>
      <c r="P900" s="232">
        <v>2</v>
      </c>
    </row>
    <row r="901" spans="1:16" ht="15.75" customHeight="1" x14ac:dyDescent="0.35">
      <c r="A901" s="258">
        <v>893</v>
      </c>
      <c r="B901" s="273" t="s">
        <v>8206</v>
      </c>
      <c r="C901" s="273" t="s">
        <v>8207</v>
      </c>
      <c r="D901" s="273" t="s">
        <v>126</v>
      </c>
      <c r="E901" s="273">
        <v>8652</v>
      </c>
      <c r="F901" s="273">
        <v>2015</v>
      </c>
      <c r="G901" s="273" t="s">
        <v>9846</v>
      </c>
      <c r="H901" s="273" t="s">
        <v>7938</v>
      </c>
      <c r="I901" s="274">
        <v>44054</v>
      </c>
      <c r="J901" s="273" t="s">
        <v>9847</v>
      </c>
      <c r="K901" s="273" t="s">
        <v>8271</v>
      </c>
      <c r="L901" s="273" t="s">
        <v>422</v>
      </c>
      <c r="M901" s="275">
        <v>12000</v>
      </c>
      <c r="N901" s="273" t="s">
        <v>9848</v>
      </c>
      <c r="O901" s="273" t="s">
        <v>9816</v>
      </c>
      <c r="P901" s="232">
        <v>2</v>
      </c>
    </row>
    <row r="902" spans="1:16" ht="15.75" customHeight="1" x14ac:dyDescent="0.35">
      <c r="A902" s="264">
        <v>894</v>
      </c>
      <c r="B902" s="273" t="s">
        <v>8206</v>
      </c>
      <c r="C902" s="273" t="s">
        <v>8207</v>
      </c>
      <c r="D902" s="273" t="s">
        <v>132</v>
      </c>
      <c r="E902" s="273">
        <v>150</v>
      </c>
      <c r="F902" s="273">
        <v>2015</v>
      </c>
      <c r="G902" s="273" t="s">
        <v>9849</v>
      </c>
      <c r="H902" s="273" t="s">
        <v>7938</v>
      </c>
      <c r="I902" s="274">
        <v>41582</v>
      </c>
      <c r="J902" s="273" t="s">
        <v>9850</v>
      </c>
      <c r="K902" s="273" t="s">
        <v>8261</v>
      </c>
      <c r="L902" s="273" t="s">
        <v>422</v>
      </c>
      <c r="M902" s="275">
        <v>21</v>
      </c>
      <c r="N902" s="273" t="s">
        <v>9851</v>
      </c>
      <c r="O902" s="273" t="s">
        <v>9816</v>
      </c>
      <c r="P902" s="232">
        <v>2</v>
      </c>
    </row>
    <row r="903" spans="1:16" ht="15.75" customHeight="1" x14ac:dyDescent="0.35">
      <c r="A903" s="258">
        <v>895</v>
      </c>
      <c r="B903" s="273" t="s">
        <v>8206</v>
      </c>
      <c r="C903" s="273" t="s">
        <v>8207</v>
      </c>
      <c r="D903" s="273" t="s">
        <v>137</v>
      </c>
      <c r="E903" s="273">
        <v>863</v>
      </c>
      <c r="F903" s="273">
        <v>2015</v>
      </c>
      <c r="G903" s="273" t="s">
        <v>9840</v>
      </c>
      <c r="H903" s="273" t="s">
        <v>7938</v>
      </c>
      <c r="I903" s="274">
        <v>44035</v>
      </c>
      <c r="J903" s="273" t="s">
        <v>9852</v>
      </c>
      <c r="K903" s="273" t="s">
        <v>8217</v>
      </c>
      <c r="L903" s="273" t="s">
        <v>422</v>
      </c>
      <c r="M903" s="275">
        <v>300</v>
      </c>
      <c r="N903" s="273" t="s">
        <v>9853</v>
      </c>
      <c r="O903" s="273" t="s">
        <v>9816</v>
      </c>
      <c r="P903" s="232">
        <v>2</v>
      </c>
    </row>
    <row r="904" spans="1:16" ht="15.75" customHeight="1" x14ac:dyDescent="0.35">
      <c r="A904" s="264">
        <v>896</v>
      </c>
      <c r="B904" s="273" t="s">
        <v>9854</v>
      </c>
      <c r="C904" s="273" t="s">
        <v>9855</v>
      </c>
      <c r="D904" s="273" t="s">
        <v>51</v>
      </c>
      <c r="E904" s="273">
        <v>4200</v>
      </c>
      <c r="F904" s="273">
        <v>2008</v>
      </c>
      <c r="G904" s="273" t="s">
        <v>9856</v>
      </c>
      <c r="H904" s="273" t="s">
        <v>7938</v>
      </c>
      <c r="I904" s="274"/>
      <c r="J904" s="273"/>
      <c r="K904" s="273" t="s">
        <v>9857</v>
      </c>
      <c r="L904" s="273" t="s">
        <v>422</v>
      </c>
      <c r="M904" s="275">
        <v>42000</v>
      </c>
      <c r="N904" s="273" t="s">
        <v>9858</v>
      </c>
      <c r="O904" s="273" t="s">
        <v>9859</v>
      </c>
      <c r="P904" s="232">
        <v>2</v>
      </c>
    </row>
    <row r="905" spans="1:16" ht="15.75" customHeight="1" x14ac:dyDescent="0.35">
      <c r="A905" s="258">
        <v>897</v>
      </c>
      <c r="B905" s="273" t="s">
        <v>8206</v>
      </c>
      <c r="C905" s="273" t="s">
        <v>8207</v>
      </c>
      <c r="D905" s="273" t="s">
        <v>51</v>
      </c>
      <c r="E905" s="273">
        <v>2500</v>
      </c>
      <c r="F905" s="273">
        <v>2017</v>
      </c>
      <c r="G905" s="273" t="s">
        <v>9860</v>
      </c>
      <c r="H905" s="273" t="s">
        <v>7938</v>
      </c>
      <c r="I905" s="274"/>
      <c r="J905" s="273"/>
      <c r="K905" s="273" t="s">
        <v>8209</v>
      </c>
      <c r="L905" s="273" t="s">
        <v>422</v>
      </c>
      <c r="M905" s="275">
        <v>350</v>
      </c>
      <c r="N905" s="273" t="s">
        <v>9861</v>
      </c>
      <c r="O905" s="273" t="s">
        <v>9859</v>
      </c>
      <c r="P905" s="232">
        <v>2</v>
      </c>
    </row>
    <row r="906" spans="1:16" ht="15.75" customHeight="1" x14ac:dyDescent="0.35">
      <c r="A906" s="264">
        <v>898</v>
      </c>
      <c r="B906" s="273" t="s">
        <v>8206</v>
      </c>
      <c r="C906" s="273" t="s">
        <v>8207</v>
      </c>
      <c r="D906" s="273" t="s">
        <v>59</v>
      </c>
      <c r="E906" s="273">
        <v>300</v>
      </c>
      <c r="F906" s="273">
        <v>2008</v>
      </c>
      <c r="G906" s="273" t="s">
        <v>9862</v>
      </c>
      <c r="H906" s="273" t="s">
        <v>7938</v>
      </c>
      <c r="I906" s="274">
        <v>39097</v>
      </c>
      <c r="J906" s="273"/>
      <c r="K906" s="273" t="s">
        <v>9863</v>
      </c>
      <c r="L906" s="273" t="s">
        <v>422</v>
      </c>
      <c r="M906" s="275">
        <v>720</v>
      </c>
      <c r="N906" s="273" t="s">
        <v>9864</v>
      </c>
      <c r="O906" s="273" t="s">
        <v>9859</v>
      </c>
      <c r="P906" s="232">
        <v>2</v>
      </c>
    </row>
    <row r="907" spans="1:16" ht="15.75" customHeight="1" x14ac:dyDescent="0.35">
      <c r="A907" s="258">
        <v>899</v>
      </c>
      <c r="B907" s="273" t="s">
        <v>8206</v>
      </c>
      <c r="C907" s="273" t="s">
        <v>8207</v>
      </c>
      <c r="D907" s="273" t="s">
        <v>97</v>
      </c>
      <c r="E907" s="273">
        <v>120</v>
      </c>
      <c r="F907" s="273">
        <v>2008</v>
      </c>
      <c r="G907" s="273" t="s">
        <v>9865</v>
      </c>
      <c r="H907" s="273" t="s">
        <v>7938</v>
      </c>
      <c r="I907" s="274"/>
      <c r="J907" s="273"/>
      <c r="K907" s="273" t="s">
        <v>9866</v>
      </c>
      <c r="L907" s="273" t="s">
        <v>422</v>
      </c>
      <c r="M907" s="275">
        <v>1860</v>
      </c>
      <c r="N907" s="273" t="s">
        <v>9867</v>
      </c>
      <c r="O907" s="273" t="s">
        <v>9859</v>
      </c>
      <c r="P907" s="232">
        <v>2</v>
      </c>
    </row>
    <row r="908" spans="1:16" ht="15.75" customHeight="1" x14ac:dyDescent="0.35">
      <c r="A908" s="264">
        <v>900</v>
      </c>
      <c r="B908" s="273" t="s">
        <v>8206</v>
      </c>
      <c r="C908" s="273" t="s">
        <v>8207</v>
      </c>
      <c r="D908" s="273" t="s">
        <v>101</v>
      </c>
      <c r="E908" s="273">
        <v>300</v>
      </c>
      <c r="F908" s="273">
        <v>2008</v>
      </c>
      <c r="G908" s="273" t="s">
        <v>9868</v>
      </c>
      <c r="H908" s="273" t="s">
        <v>7938</v>
      </c>
      <c r="I908" s="274"/>
      <c r="J908" s="273"/>
      <c r="K908" s="273" t="s">
        <v>9866</v>
      </c>
      <c r="L908" s="273" t="s">
        <v>422</v>
      </c>
      <c r="M908" s="275">
        <v>3000</v>
      </c>
      <c r="N908" s="273" t="s">
        <v>9869</v>
      </c>
      <c r="O908" s="273" t="s">
        <v>9859</v>
      </c>
      <c r="P908" s="232">
        <v>2</v>
      </c>
    </row>
    <row r="909" spans="1:16" ht="15.75" customHeight="1" x14ac:dyDescent="0.35">
      <c r="A909" s="258">
        <v>901</v>
      </c>
      <c r="B909" s="273" t="s">
        <v>8206</v>
      </c>
      <c r="C909" s="273" t="s">
        <v>8207</v>
      </c>
      <c r="D909" s="273" t="s">
        <v>107</v>
      </c>
      <c r="E909" s="273">
        <v>600</v>
      </c>
      <c r="F909" s="273">
        <v>2008</v>
      </c>
      <c r="G909" s="273" t="s">
        <v>9870</v>
      </c>
      <c r="H909" s="273" t="s">
        <v>7938</v>
      </c>
      <c r="I909" s="274"/>
      <c r="J909" s="273"/>
      <c r="K909" s="273" t="s">
        <v>9866</v>
      </c>
      <c r="L909" s="273" t="s">
        <v>422</v>
      </c>
      <c r="M909" s="275">
        <v>6000</v>
      </c>
      <c r="N909" s="273" t="s">
        <v>9871</v>
      </c>
      <c r="O909" s="273" t="s">
        <v>9859</v>
      </c>
      <c r="P909" s="232">
        <v>2</v>
      </c>
    </row>
    <row r="910" spans="1:16" ht="15.75" customHeight="1" x14ac:dyDescent="0.35">
      <c r="A910" s="264">
        <v>902</v>
      </c>
      <c r="B910" s="273" t="s">
        <v>8206</v>
      </c>
      <c r="C910" s="273" t="s">
        <v>8207</v>
      </c>
      <c r="D910" s="273" t="s">
        <v>112</v>
      </c>
      <c r="E910" s="273">
        <v>1250</v>
      </c>
      <c r="F910" s="273">
        <v>2008</v>
      </c>
      <c r="G910" s="273" t="s">
        <v>9856</v>
      </c>
      <c r="H910" s="273" t="s">
        <v>7938</v>
      </c>
      <c r="I910" s="274"/>
      <c r="J910" s="273"/>
      <c r="K910" s="273" t="s">
        <v>8312</v>
      </c>
      <c r="L910" s="273" t="s">
        <v>422</v>
      </c>
      <c r="M910" s="275">
        <v>12500</v>
      </c>
      <c r="N910" s="273" t="s">
        <v>9872</v>
      </c>
      <c r="O910" s="273" t="s">
        <v>9859</v>
      </c>
      <c r="P910" s="232">
        <v>2</v>
      </c>
    </row>
    <row r="911" spans="1:16" ht="15.75" customHeight="1" x14ac:dyDescent="0.35">
      <c r="A911" s="258">
        <v>903</v>
      </c>
      <c r="B911" s="273" t="s">
        <v>8206</v>
      </c>
      <c r="C911" s="273" t="s">
        <v>8207</v>
      </c>
      <c r="D911" s="273" t="s">
        <v>116</v>
      </c>
      <c r="E911" s="273">
        <v>10000</v>
      </c>
      <c r="F911" s="273">
        <v>2008</v>
      </c>
      <c r="G911" s="273" t="s">
        <v>9873</v>
      </c>
      <c r="H911" s="273" t="s">
        <v>7938</v>
      </c>
      <c r="I911" s="274"/>
      <c r="J911" s="273"/>
      <c r="K911" s="273" t="s">
        <v>8312</v>
      </c>
      <c r="L911" s="273" t="s">
        <v>422</v>
      </c>
      <c r="M911" s="275">
        <v>100000</v>
      </c>
      <c r="N911" s="273" t="s">
        <v>9874</v>
      </c>
      <c r="O911" s="273" t="s">
        <v>9859</v>
      </c>
      <c r="P911" s="232">
        <v>2</v>
      </c>
    </row>
    <row r="912" spans="1:16" ht="15.75" customHeight="1" x14ac:dyDescent="0.35">
      <c r="A912" s="264">
        <v>904</v>
      </c>
      <c r="B912" s="273" t="s">
        <v>8206</v>
      </c>
      <c r="C912" s="273" t="s">
        <v>8207</v>
      </c>
      <c r="D912" s="273" t="s">
        <v>51</v>
      </c>
      <c r="E912" s="273">
        <v>300</v>
      </c>
      <c r="F912" s="273">
        <v>2015</v>
      </c>
      <c r="G912" s="273" t="s">
        <v>9875</v>
      </c>
      <c r="H912" s="273" t="s">
        <v>7938</v>
      </c>
      <c r="I912" s="274">
        <v>41120</v>
      </c>
      <c r="J912" s="273"/>
      <c r="K912" s="273" t="s">
        <v>8217</v>
      </c>
      <c r="L912" s="273" t="s">
        <v>422</v>
      </c>
      <c r="M912" s="275">
        <v>1500</v>
      </c>
      <c r="N912" s="273" t="s">
        <v>9876</v>
      </c>
      <c r="O912" s="273" t="s">
        <v>9877</v>
      </c>
      <c r="P912" s="232">
        <v>2</v>
      </c>
    </row>
    <row r="913" spans="1:16" ht="15.75" customHeight="1" x14ac:dyDescent="0.35">
      <c r="A913" s="258">
        <v>905</v>
      </c>
      <c r="B913" s="273" t="s">
        <v>8206</v>
      </c>
      <c r="C913" s="273" t="s">
        <v>8207</v>
      </c>
      <c r="D913" s="273" t="s">
        <v>59</v>
      </c>
      <c r="E913" s="273">
        <v>800</v>
      </c>
      <c r="F913" s="273">
        <v>2015</v>
      </c>
      <c r="G913" s="273" t="s">
        <v>9878</v>
      </c>
      <c r="H913" s="273" t="s">
        <v>7938</v>
      </c>
      <c r="I913" s="274">
        <v>41932</v>
      </c>
      <c r="J913" s="273" t="s">
        <v>9879</v>
      </c>
      <c r="K913" s="273" t="s">
        <v>8261</v>
      </c>
      <c r="L913" s="273" t="s">
        <v>422</v>
      </c>
      <c r="M913" s="275">
        <v>2800</v>
      </c>
      <c r="N913" s="273" t="s">
        <v>9880</v>
      </c>
      <c r="O913" s="273" t="s">
        <v>9877</v>
      </c>
      <c r="P913" s="232">
        <v>2</v>
      </c>
    </row>
    <row r="914" spans="1:16" ht="15.75" customHeight="1" x14ac:dyDescent="0.35">
      <c r="A914" s="264">
        <v>906</v>
      </c>
      <c r="B914" s="273" t="s">
        <v>8206</v>
      </c>
      <c r="C914" s="273" t="s">
        <v>8207</v>
      </c>
      <c r="D914" s="273" t="s">
        <v>97</v>
      </c>
      <c r="E914" s="273">
        <v>54</v>
      </c>
      <c r="F914" s="273">
        <v>2014</v>
      </c>
      <c r="G914" s="273" t="s">
        <v>9881</v>
      </c>
      <c r="H914" s="273" t="s">
        <v>7938</v>
      </c>
      <c r="I914" s="274">
        <v>39846</v>
      </c>
      <c r="J914" s="273" t="s">
        <v>9882</v>
      </c>
      <c r="K914" s="273" t="s">
        <v>9883</v>
      </c>
      <c r="L914" s="273" t="s">
        <v>422</v>
      </c>
      <c r="M914" s="275">
        <v>189</v>
      </c>
      <c r="N914" s="273" t="s">
        <v>9884</v>
      </c>
      <c r="O914" s="273" t="s">
        <v>9877</v>
      </c>
      <c r="P914" s="232">
        <v>2</v>
      </c>
    </row>
    <row r="915" spans="1:16" ht="15.75" customHeight="1" x14ac:dyDescent="0.35">
      <c r="A915" s="258">
        <v>907</v>
      </c>
      <c r="B915" s="273" t="s">
        <v>8206</v>
      </c>
      <c r="C915" s="273" t="s">
        <v>8207</v>
      </c>
      <c r="D915" s="273" t="s">
        <v>101</v>
      </c>
      <c r="E915" s="273">
        <v>5000</v>
      </c>
      <c r="F915" s="273">
        <v>2008</v>
      </c>
      <c r="G915" s="273" t="s">
        <v>9885</v>
      </c>
      <c r="H915" s="273" t="s">
        <v>7938</v>
      </c>
      <c r="I915" s="274">
        <v>44551</v>
      </c>
      <c r="J915" s="273" t="s">
        <v>9886</v>
      </c>
      <c r="K915" s="273" t="s">
        <v>9887</v>
      </c>
      <c r="L915" s="273" t="s">
        <v>422</v>
      </c>
      <c r="M915" s="275">
        <v>25000</v>
      </c>
      <c r="N915" s="273" t="s">
        <v>9888</v>
      </c>
      <c r="O915" s="273" t="s">
        <v>9877</v>
      </c>
      <c r="P915" s="232">
        <v>2</v>
      </c>
    </row>
    <row r="916" spans="1:16" ht="15.75" customHeight="1" x14ac:dyDescent="0.35">
      <c r="A916" s="264">
        <v>908</v>
      </c>
      <c r="B916" s="273" t="s">
        <v>8002</v>
      </c>
      <c r="C916" s="273" t="s">
        <v>8003</v>
      </c>
      <c r="D916" s="273" t="s">
        <v>51</v>
      </c>
      <c r="E916" s="273">
        <v>496</v>
      </c>
      <c r="F916" s="273">
        <v>2005</v>
      </c>
      <c r="G916" s="273" t="s">
        <v>9889</v>
      </c>
      <c r="H916" s="273" t="s">
        <v>7938</v>
      </c>
      <c r="I916" s="274">
        <v>39437</v>
      </c>
      <c r="J916" s="273" t="s">
        <v>9890</v>
      </c>
      <c r="K916" s="273" t="s">
        <v>8385</v>
      </c>
      <c r="L916" s="273" t="s">
        <v>57</v>
      </c>
      <c r="M916" s="275">
        <v>22500</v>
      </c>
      <c r="N916" s="273" t="s">
        <v>9891</v>
      </c>
      <c r="O916" s="273" t="s">
        <v>9892</v>
      </c>
      <c r="P916" s="232">
        <v>3</v>
      </c>
    </row>
    <row r="917" spans="1:16" ht="15.75" customHeight="1" x14ac:dyDescent="0.35">
      <c r="A917" s="258">
        <v>909</v>
      </c>
      <c r="B917" s="273" t="s">
        <v>8002</v>
      </c>
      <c r="C917" s="273" t="s">
        <v>8003</v>
      </c>
      <c r="D917" s="273" t="s">
        <v>59</v>
      </c>
      <c r="E917" s="273">
        <v>480</v>
      </c>
      <c r="F917" s="273">
        <v>2007</v>
      </c>
      <c r="G917" s="273" t="s">
        <v>9103</v>
      </c>
      <c r="H917" s="273" t="s">
        <v>7938</v>
      </c>
      <c r="I917" s="274">
        <v>39288</v>
      </c>
      <c r="J917" s="273" t="s">
        <v>9893</v>
      </c>
      <c r="K917" s="273" t="s">
        <v>9894</v>
      </c>
      <c r="L917" s="273" t="s">
        <v>57</v>
      </c>
      <c r="M917" s="275">
        <v>29688</v>
      </c>
      <c r="N917" s="273" t="s">
        <v>8978</v>
      </c>
      <c r="O917" s="273" t="s">
        <v>9892</v>
      </c>
      <c r="P917" s="232">
        <v>3</v>
      </c>
    </row>
    <row r="918" spans="1:16" ht="15.75" customHeight="1" x14ac:dyDescent="0.35">
      <c r="A918" s="264">
        <v>910</v>
      </c>
      <c r="B918" s="273" t="s">
        <v>9895</v>
      </c>
      <c r="C918" s="273" t="s">
        <v>9896</v>
      </c>
      <c r="D918" s="273" t="s">
        <v>51</v>
      </c>
      <c r="E918" s="273">
        <v>10961</v>
      </c>
      <c r="F918" s="273">
        <v>2004</v>
      </c>
      <c r="G918" s="273" t="s">
        <v>9897</v>
      </c>
      <c r="H918" s="273" t="s">
        <v>7938</v>
      </c>
      <c r="I918" s="274">
        <v>45799</v>
      </c>
      <c r="J918" s="273" t="s">
        <v>9898</v>
      </c>
      <c r="K918" s="273" t="s">
        <v>9899</v>
      </c>
      <c r="L918" s="273" t="s">
        <v>57</v>
      </c>
      <c r="M918" s="275">
        <v>911750</v>
      </c>
      <c r="N918" s="273" t="s">
        <v>9900</v>
      </c>
      <c r="O918" s="273" t="s">
        <v>9892</v>
      </c>
      <c r="P918" s="232">
        <v>3</v>
      </c>
    </row>
    <row r="919" spans="1:16" ht="15.75" customHeight="1" x14ac:dyDescent="0.35">
      <c r="A919" s="258">
        <v>911</v>
      </c>
      <c r="B919" s="273" t="s">
        <v>8598</v>
      </c>
      <c r="C919" s="273" t="s">
        <v>8599</v>
      </c>
      <c r="D919" s="273" t="s">
        <v>51</v>
      </c>
      <c r="E919" s="273">
        <v>273</v>
      </c>
      <c r="F919" s="273">
        <v>1992</v>
      </c>
      <c r="G919" s="273" t="s">
        <v>8600</v>
      </c>
      <c r="H919" s="273" t="s">
        <v>7938</v>
      </c>
      <c r="I919" s="274">
        <v>33693</v>
      </c>
      <c r="J919" s="273" t="s">
        <v>9901</v>
      </c>
      <c r="K919" s="273" t="s">
        <v>9902</v>
      </c>
      <c r="L919" s="273" t="s">
        <v>422</v>
      </c>
      <c r="M919" s="275">
        <v>13954</v>
      </c>
      <c r="N919" s="273" t="s">
        <v>8603</v>
      </c>
      <c r="O919" s="273" t="s">
        <v>9892</v>
      </c>
      <c r="P919" s="232">
        <v>3</v>
      </c>
    </row>
    <row r="920" spans="1:16" ht="15.75" customHeight="1" x14ac:dyDescent="0.35">
      <c r="A920" s="264">
        <v>912</v>
      </c>
      <c r="B920" s="273" t="s">
        <v>8598</v>
      </c>
      <c r="C920" s="273" t="s">
        <v>8599</v>
      </c>
      <c r="D920" s="273" t="s">
        <v>59</v>
      </c>
      <c r="E920" s="273">
        <v>375</v>
      </c>
      <c r="F920" s="273">
        <v>1992</v>
      </c>
      <c r="G920" s="273" t="s">
        <v>8600</v>
      </c>
      <c r="H920" s="273" t="s">
        <v>7938</v>
      </c>
      <c r="I920" s="274">
        <v>33693</v>
      </c>
      <c r="J920" s="273" t="s">
        <v>9903</v>
      </c>
      <c r="K920" s="273" t="s">
        <v>9902</v>
      </c>
      <c r="L920" s="273" t="s">
        <v>422</v>
      </c>
      <c r="M920" s="275">
        <v>19168</v>
      </c>
      <c r="N920" s="273" t="s">
        <v>8603</v>
      </c>
      <c r="O920" s="273" t="s">
        <v>9892</v>
      </c>
      <c r="P920" s="232">
        <v>3</v>
      </c>
    </row>
    <row r="921" spans="1:16" ht="15.75" customHeight="1" x14ac:dyDescent="0.35">
      <c r="A921" s="258">
        <v>913</v>
      </c>
      <c r="B921" s="273" t="s">
        <v>8598</v>
      </c>
      <c r="C921" s="273" t="s">
        <v>8599</v>
      </c>
      <c r="D921" s="273" t="s">
        <v>97</v>
      </c>
      <c r="E921" s="273">
        <v>340</v>
      </c>
      <c r="F921" s="273">
        <v>1992</v>
      </c>
      <c r="G921" s="273" t="s">
        <v>9103</v>
      </c>
      <c r="H921" s="273" t="s">
        <v>7938</v>
      </c>
      <c r="I921" s="274">
        <v>33693</v>
      </c>
      <c r="J921" s="273" t="s">
        <v>9904</v>
      </c>
      <c r="K921" s="273" t="s">
        <v>9905</v>
      </c>
      <c r="L921" s="273" t="s">
        <v>422</v>
      </c>
      <c r="M921" s="275">
        <v>17379</v>
      </c>
      <c r="N921" s="273" t="s">
        <v>8603</v>
      </c>
      <c r="O921" s="273" t="s">
        <v>9892</v>
      </c>
      <c r="P921" s="232">
        <v>3</v>
      </c>
    </row>
    <row r="922" spans="1:16" ht="15.75" customHeight="1" x14ac:dyDescent="0.35">
      <c r="A922" s="264">
        <v>914</v>
      </c>
      <c r="B922" s="273" t="s">
        <v>8598</v>
      </c>
      <c r="C922" s="273" t="s">
        <v>8599</v>
      </c>
      <c r="D922" s="273" t="s">
        <v>101</v>
      </c>
      <c r="E922" s="273">
        <v>493</v>
      </c>
      <c r="F922" s="273">
        <v>1992</v>
      </c>
      <c r="G922" s="273" t="s">
        <v>8600</v>
      </c>
      <c r="H922" s="273" t="s">
        <v>7938</v>
      </c>
      <c r="I922" s="274">
        <v>33693</v>
      </c>
      <c r="J922" s="273" t="s">
        <v>9906</v>
      </c>
      <c r="K922" s="273" t="s">
        <v>9902</v>
      </c>
      <c r="L922" s="273" t="s">
        <v>422</v>
      </c>
      <c r="M922" s="275">
        <v>25200</v>
      </c>
      <c r="N922" s="273" t="s">
        <v>8603</v>
      </c>
      <c r="O922" s="273" t="s">
        <v>9892</v>
      </c>
      <c r="P922" s="232">
        <v>3</v>
      </c>
    </row>
    <row r="923" spans="1:16" ht="15.75" customHeight="1" x14ac:dyDescent="0.35">
      <c r="A923" s="258">
        <v>915</v>
      </c>
      <c r="B923" s="273" t="s">
        <v>8598</v>
      </c>
      <c r="C923" s="273" t="s">
        <v>8599</v>
      </c>
      <c r="D923" s="273" t="s">
        <v>107</v>
      </c>
      <c r="E923" s="273">
        <v>598</v>
      </c>
      <c r="F923" s="273">
        <v>1992</v>
      </c>
      <c r="G923" s="273" t="s">
        <v>9103</v>
      </c>
      <c r="H923" s="273" t="s">
        <v>7938</v>
      </c>
      <c r="I923" s="274">
        <v>33693</v>
      </c>
      <c r="J923" s="273" t="s">
        <v>9907</v>
      </c>
      <c r="K923" s="273" t="s">
        <v>9905</v>
      </c>
      <c r="L923" s="273" t="s">
        <v>422</v>
      </c>
      <c r="M923" s="275">
        <v>30567</v>
      </c>
      <c r="N923" s="273" t="s">
        <v>8603</v>
      </c>
      <c r="O923" s="273" t="s">
        <v>9892</v>
      </c>
      <c r="P923" s="232">
        <v>3</v>
      </c>
    </row>
    <row r="924" spans="1:16" ht="15.75" customHeight="1" x14ac:dyDescent="0.35">
      <c r="A924" s="264">
        <v>916</v>
      </c>
      <c r="B924" s="273" t="s">
        <v>8598</v>
      </c>
      <c r="C924" s="273" t="s">
        <v>8599</v>
      </c>
      <c r="D924" s="273" t="s">
        <v>112</v>
      </c>
      <c r="E924" s="273">
        <v>622</v>
      </c>
      <c r="F924" s="273">
        <v>1992</v>
      </c>
      <c r="G924" s="273" t="s">
        <v>8600</v>
      </c>
      <c r="H924" s="273" t="s">
        <v>7938</v>
      </c>
      <c r="I924" s="274">
        <v>33693</v>
      </c>
      <c r="J924" s="273" t="s">
        <v>9908</v>
      </c>
      <c r="K924" s="273" t="s">
        <v>9905</v>
      </c>
      <c r="L924" s="273" t="s">
        <v>422</v>
      </c>
      <c r="M924" s="275">
        <v>31794</v>
      </c>
      <c r="N924" s="273" t="s">
        <v>8603</v>
      </c>
      <c r="O924" s="273" t="s">
        <v>9892</v>
      </c>
      <c r="P924" s="232">
        <v>3</v>
      </c>
    </row>
    <row r="925" spans="1:16" ht="15.75" customHeight="1" x14ac:dyDescent="0.35">
      <c r="A925" s="258">
        <v>917</v>
      </c>
      <c r="B925" s="273" t="s">
        <v>8598</v>
      </c>
      <c r="C925" s="273" t="s">
        <v>8599</v>
      </c>
      <c r="D925" s="273" t="s">
        <v>116</v>
      </c>
      <c r="E925" s="273">
        <v>1026</v>
      </c>
      <c r="F925" s="273">
        <v>1992</v>
      </c>
      <c r="G925" s="273" t="s">
        <v>9909</v>
      </c>
      <c r="H925" s="273" t="s">
        <v>7938</v>
      </c>
      <c r="I925" s="274">
        <v>33693</v>
      </c>
      <c r="J925" s="273" t="s">
        <v>9910</v>
      </c>
      <c r="K925" s="273" t="s">
        <v>9911</v>
      </c>
      <c r="L925" s="273" t="s">
        <v>422</v>
      </c>
      <c r="M925" s="275">
        <v>52444</v>
      </c>
      <c r="N925" s="273" t="s">
        <v>3059</v>
      </c>
      <c r="O925" s="273" t="s">
        <v>9892</v>
      </c>
      <c r="P925" s="232">
        <v>3</v>
      </c>
    </row>
    <row r="926" spans="1:16" ht="15.75" customHeight="1" x14ac:dyDescent="0.35">
      <c r="A926" s="264">
        <v>918</v>
      </c>
      <c r="B926" s="273" t="s">
        <v>8598</v>
      </c>
      <c r="C926" s="273" t="s">
        <v>8599</v>
      </c>
      <c r="D926" s="273" t="s">
        <v>841</v>
      </c>
      <c r="E926" s="273">
        <v>2644</v>
      </c>
      <c r="F926" s="273">
        <v>1992</v>
      </c>
      <c r="G926" s="273" t="s">
        <v>8600</v>
      </c>
      <c r="H926" s="273" t="s">
        <v>7938</v>
      </c>
      <c r="I926" s="274">
        <v>33693</v>
      </c>
      <c r="J926" s="273" t="s">
        <v>9912</v>
      </c>
      <c r="K926" s="273" t="s">
        <v>9902</v>
      </c>
      <c r="L926" s="273" t="s">
        <v>422</v>
      </c>
      <c r="M926" s="275">
        <v>135148</v>
      </c>
      <c r="N926" s="273" t="s">
        <v>8603</v>
      </c>
      <c r="O926" s="273" t="s">
        <v>9892</v>
      </c>
      <c r="P926" s="232">
        <v>3</v>
      </c>
    </row>
    <row r="927" spans="1:16" ht="15.75" customHeight="1" x14ac:dyDescent="0.35">
      <c r="A927" s="258">
        <v>919</v>
      </c>
      <c r="B927" s="273" t="s">
        <v>7935</v>
      </c>
      <c r="C927" s="273" t="s">
        <v>7936</v>
      </c>
      <c r="D927" s="273" t="s">
        <v>51</v>
      </c>
      <c r="E927" s="273">
        <v>5000</v>
      </c>
      <c r="F927" s="273">
        <v>2014</v>
      </c>
      <c r="G927" s="273" t="s">
        <v>9913</v>
      </c>
      <c r="H927" s="273" t="s">
        <v>7938</v>
      </c>
      <c r="I927" s="274"/>
      <c r="J927" s="273"/>
      <c r="K927" s="273" t="s">
        <v>7942</v>
      </c>
      <c r="L927" s="273" t="s">
        <v>422</v>
      </c>
      <c r="M927" s="275">
        <v>25000</v>
      </c>
      <c r="N927" s="273" t="s">
        <v>3059</v>
      </c>
      <c r="O927" s="273" t="s">
        <v>9914</v>
      </c>
      <c r="P927" s="232">
        <v>1</v>
      </c>
    </row>
    <row r="928" spans="1:16" ht="15.75" customHeight="1" x14ac:dyDescent="0.35">
      <c r="A928" s="264">
        <v>920</v>
      </c>
      <c r="B928" s="273" t="s">
        <v>7935</v>
      </c>
      <c r="C928" s="273" t="s">
        <v>7936</v>
      </c>
      <c r="D928" s="273" t="s">
        <v>51</v>
      </c>
      <c r="E928" s="273">
        <v>2880</v>
      </c>
      <c r="F928" s="273">
        <v>2014</v>
      </c>
      <c r="G928" s="273" t="s">
        <v>9915</v>
      </c>
      <c r="H928" s="273" t="s">
        <v>7938</v>
      </c>
      <c r="I928" s="274"/>
      <c r="J928" s="273"/>
      <c r="K928" s="273" t="s">
        <v>7942</v>
      </c>
      <c r="L928" s="273" t="s">
        <v>422</v>
      </c>
      <c r="M928" s="275">
        <v>34650</v>
      </c>
      <c r="N928" s="273" t="s">
        <v>3059</v>
      </c>
      <c r="O928" s="273" t="s">
        <v>9916</v>
      </c>
      <c r="P928" s="232">
        <v>1</v>
      </c>
    </row>
    <row r="929" spans="1:16" ht="15.75" customHeight="1" x14ac:dyDescent="0.35">
      <c r="A929" s="258">
        <v>921</v>
      </c>
      <c r="B929" s="273" t="s">
        <v>7935</v>
      </c>
      <c r="C929" s="273" t="s">
        <v>7936</v>
      </c>
      <c r="D929" s="273" t="s">
        <v>59</v>
      </c>
      <c r="E929" s="273">
        <v>2280</v>
      </c>
      <c r="F929" s="273">
        <v>2003</v>
      </c>
      <c r="G929" s="273" t="s">
        <v>9915</v>
      </c>
      <c r="H929" s="273" t="s">
        <v>7938</v>
      </c>
      <c r="I929" s="274"/>
      <c r="J929" s="273"/>
      <c r="K929" s="273" t="s">
        <v>7939</v>
      </c>
      <c r="L929" s="273" t="s">
        <v>57</v>
      </c>
      <c r="M929" s="275">
        <v>8436</v>
      </c>
      <c r="N929" s="273" t="s">
        <v>7940</v>
      </c>
      <c r="O929" s="273" t="s">
        <v>9916</v>
      </c>
      <c r="P929" s="232">
        <v>1</v>
      </c>
    </row>
    <row r="930" spans="1:16" ht="15.75" customHeight="1" x14ac:dyDescent="0.35">
      <c r="A930" s="264">
        <v>922</v>
      </c>
      <c r="B930" s="273" t="s">
        <v>7935</v>
      </c>
      <c r="C930" s="273" t="s">
        <v>7936</v>
      </c>
      <c r="D930" s="273" t="s">
        <v>51</v>
      </c>
      <c r="E930" s="273">
        <v>1800</v>
      </c>
      <c r="F930" s="273">
        <v>2014</v>
      </c>
      <c r="G930" s="273" t="s">
        <v>9917</v>
      </c>
      <c r="H930" s="273" t="s">
        <v>7938</v>
      </c>
      <c r="I930" s="274"/>
      <c r="J930" s="273"/>
      <c r="K930" s="273" t="s">
        <v>7942</v>
      </c>
      <c r="L930" s="273" t="s">
        <v>422</v>
      </c>
      <c r="M930" s="275">
        <v>15000</v>
      </c>
      <c r="N930" s="273" t="s">
        <v>3059</v>
      </c>
      <c r="O930" s="273" t="s">
        <v>9918</v>
      </c>
      <c r="P930" s="232">
        <v>1</v>
      </c>
    </row>
    <row r="931" spans="1:16" ht="15.75" customHeight="1" x14ac:dyDescent="0.35">
      <c r="A931" s="258">
        <v>923</v>
      </c>
      <c r="B931" s="273" t="s">
        <v>7935</v>
      </c>
      <c r="C931" s="273" t="s">
        <v>7936</v>
      </c>
      <c r="D931" s="273" t="s">
        <v>51</v>
      </c>
      <c r="E931" s="273">
        <v>25000</v>
      </c>
      <c r="F931" s="273">
        <v>2003</v>
      </c>
      <c r="G931" s="273" t="s">
        <v>9919</v>
      </c>
      <c r="H931" s="273" t="s">
        <v>7938</v>
      </c>
      <c r="I931" s="274"/>
      <c r="J931" s="273"/>
      <c r="K931" s="273" t="s">
        <v>7939</v>
      </c>
      <c r="L931" s="273" t="s">
        <v>57</v>
      </c>
      <c r="M931" s="275">
        <v>85000</v>
      </c>
      <c r="N931" s="273" t="s">
        <v>7940</v>
      </c>
      <c r="O931" s="273" t="s">
        <v>9920</v>
      </c>
      <c r="P931" s="232">
        <v>1</v>
      </c>
    </row>
    <row r="932" spans="1:16" ht="15.75" customHeight="1" x14ac:dyDescent="0.35">
      <c r="A932" s="264">
        <v>924</v>
      </c>
      <c r="B932" s="273" t="s">
        <v>7935</v>
      </c>
      <c r="C932" s="273" t="s">
        <v>7936</v>
      </c>
      <c r="D932" s="273" t="s">
        <v>59</v>
      </c>
      <c r="E932" s="273">
        <v>1365</v>
      </c>
      <c r="F932" s="273">
        <v>2014</v>
      </c>
      <c r="G932" s="273" t="s">
        <v>9919</v>
      </c>
      <c r="H932" s="273" t="s">
        <v>7938</v>
      </c>
      <c r="I932" s="274"/>
      <c r="J932" s="273"/>
      <c r="K932" s="273" t="s">
        <v>7942</v>
      </c>
      <c r="L932" s="273" t="s">
        <v>422</v>
      </c>
      <c r="M932" s="275">
        <v>23130</v>
      </c>
      <c r="N932" s="273" t="s">
        <v>3059</v>
      </c>
      <c r="O932" s="273" t="s">
        <v>9920</v>
      </c>
      <c r="P932" s="232">
        <v>1</v>
      </c>
    </row>
    <row r="933" spans="1:16" ht="15.75" customHeight="1" x14ac:dyDescent="0.35">
      <c r="A933" s="258">
        <v>925</v>
      </c>
      <c r="B933" s="273" t="s">
        <v>7935</v>
      </c>
      <c r="C933" s="273" t="s">
        <v>7936</v>
      </c>
      <c r="D933" s="273" t="s">
        <v>51</v>
      </c>
      <c r="E933" s="273">
        <v>2313</v>
      </c>
      <c r="F933" s="273">
        <v>2014</v>
      </c>
      <c r="G933" s="273" t="s">
        <v>9921</v>
      </c>
      <c r="H933" s="273" t="s">
        <v>7938</v>
      </c>
      <c r="I933" s="274"/>
      <c r="J933" s="273"/>
      <c r="K933" s="273" t="s">
        <v>7942</v>
      </c>
      <c r="L933" s="273" t="s">
        <v>422</v>
      </c>
      <c r="M933" s="275">
        <v>23130</v>
      </c>
      <c r="N933" s="273" t="s">
        <v>3059</v>
      </c>
      <c r="O933" s="273" t="s">
        <v>9922</v>
      </c>
      <c r="P933" s="232">
        <v>1</v>
      </c>
    </row>
    <row r="934" spans="1:16" ht="15.75" customHeight="1" x14ac:dyDescent="0.35">
      <c r="A934" s="264">
        <v>926</v>
      </c>
      <c r="B934" s="273" t="s">
        <v>7935</v>
      </c>
      <c r="C934" s="273" t="s">
        <v>7936</v>
      </c>
      <c r="D934" s="273" t="s">
        <v>51</v>
      </c>
      <c r="E934" s="273">
        <v>3740</v>
      </c>
      <c r="F934" s="273">
        <v>2003</v>
      </c>
      <c r="G934" s="273" t="s">
        <v>8130</v>
      </c>
      <c r="H934" s="273" t="s">
        <v>7938</v>
      </c>
      <c r="I934" s="274"/>
      <c r="J934" s="273"/>
      <c r="K934" s="273" t="s">
        <v>7939</v>
      </c>
      <c r="L934" s="273" t="s">
        <v>57</v>
      </c>
      <c r="M934" s="275">
        <v>14493</v>
      </c>
      <c r="N934" s="273" t="s">
        <v>7940</v>
      </c>
      <c r="O934" s="273" t="s">
        <v>9923</v>
      </c>
      <c r="P934" s="232">
        <v>1</v>
      </c>
    </row>
    <row r="935" spans="1:16" ht="15.75" customHeight="1" x14ac:dyDescent="0.35">
      <c r="A935" s="258">
        <v>927</v>
      </c>
      <c r="B935" s="273" t="s">
        <v>7935</v>
      </c>
      <c r="C935" s="273" t="s">
        <v>7936</v>
      </c>
      <c r="D935" s="273" t="s">
        <v>59</v>
      </c>
      <c r="E935" s="273">
        <v>2880</v>
      </c>
      <c r="F935" s="273">
        <v>2014</v>
      </c>
      <c r="G935" s="273" t="s">
        <v>8130</v>
      </c>
      <c r="H935" s="273" t="s">
        <v>7938</v>
      </c>
      <c r="I935" s="274"/>
      <c r="J935" s="273"/>
      <c r="K935" s="273" t="s">
        <v>7942</v>
      </c>
      <c r="L935" s="273" t="s">
        <v>422</v>
      </c>
      <c r="M935" s="275">
        <v>23130</v>
      </c>
      <c r="N935" s="273" t="s">
        <v>3059</v>
      </c>
      <c r="O935" s="273" t="s">
        <v>9923</v>
      </c>
      <c r="P935" s="232">
        <v>1</v>
      </c>
    </row>
    <row r="936" spans="1:16" ht="15.75" customHeight="1" x14ac:dyDescent="0.35">
      <c r="A936" s="264">
        <v>928</v>
      </c>
      <c r="B936" s="273" t="s">
        <v>7935</v>
      </c>
      <c r="C936" s="273" t="s">
        <v>7936</v>
      </c>
      <c r="D936" s="273" t="s">
        <v>51</v>
      </c>
      <c r="E936" s="273">
        <v>2280</v>
      </c>
      <c r="F936" s="273">
        <v>2003</v>
      </c>
      <c r="G936" s="273" t="s">
        <v>9924</v>
      </c>
      <c r="H936" s="273" t="s">
        <v>7938</v>
      </c>
      <c r="I936" s="274"/>
      <c r="J936" s="273"/>
      <c r="K936" s="273" t="s">
        <v>7939</v>
      </c>
      <c r="L936" s="273" t="s">
        <v>57</v>
      </c>
      <c r="M936" s="275">
        <v>8379</v>
      </c>
      <c r="N936" s="273" t="s">
        <v>7940</v>
      </c>
      <c r="O936" s="273" t="s">
        <v>9925</v>
      </c>
      <c r="P936" s="232">
        <v>1</v>
      </c>
    </row>
    <row r="937" spans="1:16" ht="15.75" customHeight="1" x14ac:dyDescent="0.35">
      <c r="A937" s="258">
        <v>929</v>
      </c>
      <c r="B937" s="273" t="s">
        <v>7935</v>
      </c>
      <c r="C937" s="273" t="s">
        <v>7936</v>
      </c>
      <c r="D937" s="273" t="s">
        <v>59</v>
      </c>
      <c r="E937" s="273">
        <v>2000</v>
      </c>
      <c r="F937" s="273">
        <v>2014</v>
      </c>
      <c r="G937" s="273" t="s">
        <v>9924</v>
      </c>
      <c r="H937" s="273" t="s">
        <v>7938</v>
      </c>
      <c r="I937" s="274"/>
      <c r="J937" s="273"/>
      <c r="K937" s="273" t="s">
        <v>7942</v>
      </c>
      <c r="L937" s="273" t="s">
        <v>422</v>
      </c>
      <c r="M937" s="275">
        <v>10000</v>
      </c>
      <c r="N937" s="273" t="s">
        <v>3059</v>
      </c>
      <c r="O937" s="273" t="s">
        <v>9925</v>
      </c>
      <c r="P937" s="232">
        <v>1</v>
      </c>
    </row>
    <row r="938" spans="1:16" ht="15.75" customHeight="1" x14ac:dyDescent="0.35">
      <c r="A938" s="264">
        <v>930</v>
      </c>
      <c r="B938" s="273" t="s">
        <v>7935</v>
      </c>
      <c r="C938" s="273" t="s">
        <v>7936</v>
      </c>
      <c r="D938" s="273" t="s">
        <v>51</v>
      </c>
      <c r="E938" s="273">
        <v>5000</v>
      </c>
      <c r="F938" s="273">
        <v>2014</v>
      </c>
      <c r="G938" s="273" t="s">
        <v>9926</v>
      </c>
      <c r="H938" s="273" t="s">
        <v>7938</v>
      </c>
      <c r="I938" s="274"/>
      <c r="J938" s="273"/>
      <c r="K938" s="273" t="s">
        <v>7942</v>
      </c>
      <c r="L938" s="273" t="s">
        <v>422</v>
      </c>
      <c r="M938" s="275">
        <v>10000</v>
      </c>
      <c r="N938" s="273" t="s">
        <v>3059</v>
      </c>
      <c r="O938" s="273" t="s">
        <v>9927</v>
      </c>
      <c r="P938" s="232">
        <v>1</v>
      </c>
    </row>
    <row r="939" spans="1:16" ht="15.75" customHeight="1" x14ac:dyDescent="0.35">
      <c r="A939" s="258">
        <v>931</v>
      </c>
      <c r="B939" s="273" t="s">
        <v>7935</v>
      </c>
      <c r="C939" s="273" t="s">
        <v>7936</v>
      </c>
      <c r="D939" s="273" t="s">
        <v>51</v>
      </c>
      <c r="E939" s="273">
        <v>2313</v>
      </c>
      <c r="F939" s="273">
        <v>2014</v>
      </c>
      <c r="G939" s="273" t="s">
        <v>9928</v>
      </c>
      <c r="H939" s="273" t="s">
        <v>7938</v>
      </c>
      <c r="I939" s="274"/>
      <c r="J939" s="273"/>
      <c r="K939" s="273" t="s">
        <v>7942</v>
      </c>
      <c r="L939" s="273" t="s">
        <v>422</v>
      </c>
      <c r="M939" s="275">
        <v>23130</v>
      </c>
      <c r="N939" s="273" t="s">
        <v>3059</v>
      </c>
      <c r="O939" s="273" t="s">
        <v>9929</v>
      </c>
      <c r="P939" s="232">
        <v>1</v>
      </c>
    </row>
    <row r="940" spans="1:16" ht="15.75" customHeight="1" x14ac:dyDescent="0.35">
      <c r="A940" s="264">
        <v>932</v>
      </c>
      <c r="B940" s="273" t="s">
        <v>7935</v>
      </c>
      <c r="C940" s="273" t="s">
        <v>7936</v>
      </c>
      <c r="D940" s="273" t="s">
        <v>51</v>
      </c>
      <c r="E940" s="273">
        <v>500</v>
      </c>
      <c r="F940" s="273">
        <v>2014</v>
      </c>
      <c r="G940" s="273" t="s">
        <v>8130</v>
      </c>
      <c r="H940" s="273" t="s">
        <v>7938</v>
      </c>
      <c r="I940" s="274"/>
      <c r="J940" s="273"/>
      <c r="K940" s="273" t="s">
        <v>7942</v>
      </c>
      <c r="L940" s="273" t="s">
        <v>422</v>
      </c>
      <c r="M940" s="275">
        <v>10000</v>
      </c>
      <c r="N940" s="273" t="s">
        <v>3059</v>
      </c>
      <c r="O940" s="273" t="s">
        <v>9930</v>
      </c>
      <c r="P940" s="232">
        <v>1</v>
      </c>
    </row>
    <row r="941" spans="1:16" ht="15.75" customHeight="1" x14ac:dyDescent="0.35">
      <c r="A941" s="258">
        <v>933</v>
      </c>
      <c r="B941" s="273" t="s">
        <v>7935</v>
      </c>
      <c r="C941" s="273" t="s">
        <v>7936</v>
      </c>
      <c r="D941" s="273" t="s">
        <v>59</v>
      </c>
      <c r="E941" s="273">
        <v>3485</v>
      </c>
      <c r="F941" s="273">
        <v>2003</v>
      </c>
      <c r="G941" s="273" t="s">
        <v>8130</v>
      </c>
      <c r="H941" s="273" t="s">
        <v>7938</v>
      </c>
      <c r="I941" s="274"/>
      <c r="J941" s="273"/>
      <c r="K941" s="273" t="s">
        <v>7939</v>
      </c>
      <c r="L941" s="273" t="s">
        <v>57</v>
      </c>
      <c r="M941" s="275">
        <v>12633</v>
      </c>
      <c r="N941" s="273" t="s">
        <v>7940</v>
      </c>
      <c r="O941" s="273" t="s">
        <v>9930</v>
      </c>
      <c r="P941" s="232">
        <v>1</v>
      </c>
    </row>
    <row r="942" spans="1:16" ht="15.75" customHeight="1" x14ac:dyDescent="0.35">
      <c r="A942" s="264">
        <v>934</v>
      </c>
      <c r="B942" s="273" t="s">
        <v>7935</v>
      </c>
      <c r="C942" s="273" t="s">
        <v>7936</v>
      </c>
      <c r="D942" s="273" t="s">
        <v>51</v>
      </c>
      <c r="E942" s="273">
        <v>6785</v>
      </c>
      <c r="F942" s="273">
        <v>2003</v>
      </c>
      <c r="G942" s="273" t="s">
        <v>9926</v>
      </c>
      <c r="H942" s="273" t="s">
        <v>7938</v>
      </c>
      <c r="I942" s="274"/>
      <c r="J942" s="273"/>
      <c r="K942" s="273" t="s">
        <v>7939</v>
      </c>
      <c r="L942" s="273" t="s">
        <v>57</v>
      </c>
      <c r="M942" s="275">
        <v>25274</v>
      </c>
      <c r="N942" s="273" t="s">
        <v>7940</v>
      </c>
      <c r="O942" s="273" t="s">
        <v>9931</v>
      </c>
      <c r="P942" s="232">
        <v>1</v>
      </c>
    </row>
    <row r="943" spans="1:16" ht="15.75" customHeight="1" x14ac:dyDescent="0.35">
      <c r="A943" s="258">
        <v>935</v>
      </c>
      <c r="B943" s="273" t="s">
        <v>7935</v>
      </c>
      <c r="C943" s="273" t="s">
        <v>7936</v>
      </c>
      <c r="D943" s="273" t="s">
        <v>59</v>
      </c>
      <c r="E943" s="273">
        <v>2747</v>
      </c>
      <c r="F943" s="273">
        <v>2014</v>
      </c>
      <c r="G943" s="273" t="s">
        <v>9926</v>
      </c>
      <c r="H943" s="273" t="s">
        <v>7938</v>
      </c>
      <c r="I943" s="274"/>
      <c r="J943" s="273"/>
      <c r="K943" s="273" t="s">
        <v>7942</v>
      </c>
      <c r="L943" s="273" t="s">
        <v>422</v>
      </c>
      <c r="M943" s="275">
        <v>15000</v>
      </c>
      <c r="N943" s="273" t="s">
        <v>3059</v>
      </c>
      <c r="O943" s="273" t="s">
        <v>9931</v>
      </c>
      <c r="P943" s="232">
        <v>1</v>
      </c>
    </row>
    <row r="944" spans="1:16" ht="15.75" customHeight="1" x14ac:dyDescent="0.35">
      <c r="A944" s="264">
        <v>936</v>
      </c>
      <c r="B944" s="273" t="s">
        <v>8002</v>
      </c>
      <c r="C944" s="273" t="s">
        <v>8003</v>
      </c>
      <c r="D944" s="273" t="s">
        <v>51</v>
      </c>
      <c r="E944" s="273">
        <v>1648</v>
      </c>
      <c r="F944" s="273">
        <v>2014</v>
      </c>
      <c r="G944" s="273" t="s">
        <v>9932</v>
      </c>
      <c r="H944" s="273" t="s">
        <v>7938</v>
      </c>
      <c r="I944" s="274">
        <v>42004</v>
      </c>
      <c r="J944" s="273"/>
      <c r="K944" s="273" t="s">
        <v>9933</v>
      </c>
      <c r="L944" s="273" t="s">
        <v>422</v>
      </c>
      <c r="M944" s="275">
        <v>15000</v>
      </c>
      <c r="N944" s="273" t="s">
        <v>3059</v>
      </c>
      <c r="O944" s="273" t="s">
        <v>9934</v>
      </c>
      <c r="P944" s="232">
        <v>1</v>
      </c>
    </row>
    <row r="945" spans="1:16" ht="15.75" customHeight="1" x14ac:dyDescent="0.35">
      <c r="A945" s="258">
        <v>937</v>
      </c>
      <c r="B945" s="273" t="s">
        <v>7935</v>
      </c>
      <c r="C945" s="273" t="s">
        <v>7936</v>
      </c>
      <c r="D945" s="273" t="s">
        <v>51</v>
      </c>
      <c r="E945" s="273">
        <v>2898</v>
      </c>
      <c r="F945" s="273">
        <v>2003</v>
      </c>
      <c r="G945" s="273" t="s">
        <v>9932</v>
      </c>
      <c r="H945" s="273" t="s">
        <v>7938</v>
      </c>
      <c r="I945" s="274">
        <v>31140</v>
      </c>
      <c r="J945" s="273" t="s">
        <v>9935</v>
      </c>
      <c r="K945" s="273" t="s">
        <v>8007</v>
      </c>
      <c r="L945" s="273" t="s">
        <v>57</v>
      </c>
      <c r="M945" s="275">
        <v>75000</v>
      </c>
      <c r="N945" s="273" t="s">
        <v>7940</v>
      </c>
      <c r="O945" s="273" t="s">
        <v>9934</v>
      </c>
      <c r="P945" s="232">
        <v>1</v>
      </c>
    </row>
    <row r="946" spans="1:16" ht="15.75" customHeight="1" x14ac:dyDescent="0.35">
      <c r="A946" s="264">
        <v>938</v>
      </c>
      <c r="B946" s="273" t="s">
        <v>7935</v>
      </c>
      <c r="C946" s="273" t="s">
        <v>7936</v>
      </c>
      <c r="D946" s="273" t="s">
        <v>51</v>
      </c>
      <c r="E946" s="273">
        <v>2500</v>
      </c>
      <c r="F946" s="273">
        <v>2003</v>
      </c>
      <c r="G946" s="273" t="s">
        <v>9936</v>
      </c>
      <c r="H946" s="273" t="s">
        <v>7938</v>
      </c>
      <c r="I946" s="274"/>
      <c r="J946" s="273"/>
      <c r="K946" s="273" t="s">
        <v>7939</v>
      </c>
      <c r="L946" s="273" t="s">
        <v>57</v>
      </c>
      <c r="M946" s="275">
        <v>10125</v>
      </c>
      <c r="N946" s="273" t="s">
        <v>7940</v>
      </c>
      <c r="O946" s="273" t="s">
        <v>9937</v>
      </c>
      <c r="P946" s="232">
        <v>1</v>
      </c>
    </row>
    <row r="947" spans="1:16" ht="15.75" customHeight="1" x14ac:dyDescent="0.35">
      <c r="A947" s="258">
        <v>939</v>
      </c>
      <c r="B947" s="273" t="s">
        <v>7935</v>
      </c>
      <c r="C947" s="273" t="s">
        <v>7936</v>
      </c>
      <c r="D947" s="273" t="s">
        <v>59</v>
      </c>
      <c r="E947" s="273">
        <v>3825</v>
      </c>
      <c r="F947" s="273">
        <v>2014</v>
      </c>
      <c r="G947" s="273" t="s">
        <v>9936</v>
      </c>
      <c r="H947" s="273" t="s">
        <v>7938</v>
      </c>
      <c r="I947" s="274"/>
      <c r="J947" s="273"/>
      <c r="K947" s="273" t="s">
        <v>7942</v>
      </c>
      <c r="L947" s="273" t="s">
        <v>422</v>
      </c>
      <c r="M947" s="275">
        <v>15000</v>
      </c>
      <c r="N947" s="273" t="s">
        <v>3059</v>
      </c>
      <c r="O947" s="273" t="s">
        <v>9937</v>
      </c>
      <c r="P947" s="232">
        <v>1</v>
      </c>
    </row>
    <row r="948" spans="1:16" ht="15.75" customHeight="1" x14ac:dyDescent="0.35">
      <c r="A948" s="264">
        <v>940</v>
      </c>
      <c r="B948" s="273" t="s">
        <v>7935</v>
      </c>
      <c r="C948" s="273" t="s">
        <v>7936</v>
      </c>
      <c r="D948" s="273" t="s">
        <v>51</v>
      </c>
      <c r="E948" s="273">
        <v>795</v>
      </c>
      <c r="F948" s="273">
        <v>2014</v>
      </c>
      <c r="G948" s="273" t="s">
        <v>9938</v>
      </c>
      <c r="H948" s="273" t="s">
        <v>7938</v>
      </c>
      <c r="I948" s="274"/>
      <c r="J948" s="273"/>
      <c r="K948" s="273" t="s">
        <v>7942</v>
      </c>
      <c r="L948" s="273" t="s">
        <v>422</v>
      </c>
      <c r="M948" s="275">
        <v>80500</v>
      </c>
      <c r="N948" s="273" t="s">
        <v>3059</v>
      </c>
      <c r="O948" s="273" t="s">
        <v>9939</v>
      </c>
      <c r="P948" s="232">
        <v>1</v>
      </c>
    </row>
    <row r="949" spans="1:16" ht="15.75" customHeight="1" x14ac:dyDescent="0.35">
      <c r="A949" s="258">
        <v>941</v>
      </c>
      <c r="B949" s="273" t="s">
        <v>7935</v>
      </c>
      <c r="C949" s="273" t="s">
        <v>7936</v>
      </c>
      <c r="D949" s="273" t="s">
        <v>59</v>
      </c>
      <c r="E949" s="273">
        <v>2250</v>
      </c>
      <c r="F949" s="273">
        <v>2003</v>
      </c>
      <c r="G949" s="273" t="s">
        <v>9938</v>
      </c>
      <c r="H949" s="273" t="s">
        <v>7938</v>
      </c>
      <c r="I949" s="274"/>
      <c r="J949" s="273"/>
      <c r="K949" s="273" t="s">
        <v>7939</v>
      </c>
      <c r="L949" s="273" t="s">
        <v>57</v>
      </c>
      <c r="M949" s="275">
        <v>9338</v>
      </c>
      <c r="N949" s="273" t="s">
        <v>7940</v>
      </c>
      <c r="O949" s="273" t="s">
        <v>9939</v>
      </c>
      <c r="P949" s="232">
        <v>1</v>
      </c>
    </row>
    <row r="950" spans="1:16" ht="15.75" customHeight="1" x14ac:dyDescent="0.35">
      <c r="A950" s="264">
        <v>942</v>
      </c>
      <c r="B950" s="273" t="s">
        <v>7964</v>
      </c>
      <c r="C950" s="273" t="s">
        <v>7965</v>
      </c>
      <c r="D950" s="273" t="s">
        <v>51</v>
      </c>
      <c r="E950" s="273">
        <v>603</v>
      </c>
      <c r="F950" s="273">
        <v>2025</v>
      </c>
      <c r="G950" s="273" t="s">
        <v>9940</v>
      </c>
      <c r="H950" s="273" t="s">
        <v>7938</v>
      </c>
      <c r="I950" s="274">
        <v>45827</v>
      </c>
      <c r="J950" s="273" t="s">
        <v>8009</v>
      </c>
      <c r="K950" s="273" t="s">
        <v>9941</v>
      </c>
      <c r="L950" s="273" t="s">
        <v>422</v>
      </c>
      <c r="M950" s="275">
        <v>77184</v>
      </c>
      <c r="N950" s="273" t="s">
        <v>9942</v>
      </c>
      <c r="O950" s="273" t="s">
        <v>9943</v>
      </c>
      <c r="P950" s="232">
        <v>1</v>
      </c>
    </row>
    <row r="951" spans="1:16" ht="15.75" customHeight="1" x14ac:dyDescent="0.35">
      <c r="A951" s="258">
        <v>943</v>
      </c>
      <c r="B951" s="273" t="s">
        <v>7935</v>
      </c>
      <c r="C951" s="273" t="s">
        <v>7936</v>
      </c>
      <c r="D951" s="273" t="s">
        <v>51</v>
      </c>
      <c r="E951" s="273">
        <v>5608</v>
      </c>
      <c r="F951" s="273">
        <v>2014</v>
      </c>
      <c r="G951" s="273" t="s">
        <v>9944</v>
      </c>
      <c r="H951" s="273" t="s">
        <v>7938</v>
      </c>
      <c r="I951" s="274"/>
      <c r="J951" s="273"/>
      <c r="K951" s="273" t="s">
        <v>7942</v>
      </c>
      <c r="L951" s="273" t="s">
        <v>422</v>
      </c>
      <c r="M951" s="275">
        <v>15000</v>
      </c>
      <c r="N951" s="273" t="s">
        <v>3059</v>
      </c>
      <c r="O951" s="273" t="s">
        <v>9943</v>
      </c>
      <c r="P951" s="232">
        <v>1</v>
      </c>
    </row>
    <row r="952" spans="1:16" ht="15.75" customHeight="1" x14ac:dyDescent="0.35">
      <c r="A952" s="264">
        <v>944</v>
      </c>
      <c r="B952" s="273" t="s">
        <v>7935</v>
      </c>
      <c r="C952" s="273" t="s">
        <v>7936</v>
      </c>
      <c r="D952" s="273" t="s">
        <v>51</v>
      </c>
      <c r="E952" s="273">
        <v>20000</v>
      </c>
      <c r="F952" s="273">
        <v>2014</v>
      </c>
      <c r="G952" s="273" t="s">
        <v>9945</v>
      </c>
      <c r="H952" s="273" t="s">
        <v>7938</v>
      </c>
      <c r="I952" s="274"/>
      <c r="J952" s="273"/>
      <c r="K952" s="273" t="s">
        <v>7942</v>
      </c>
      <c r="L952" s="273" t="s">
        <v>422</v>
      </c>
      <c r="M952" s="275">
        <v>15000</v>
      </c>
      <c r="N952" s="273" t="s">
        <v>3059</v>
      </c>
      <c r="O952" s="273" t="s">
        <v>9946</v>
      </c>
      <c r="P952" s="232">
        <v>1</v>
      </c>
    </row>
    <row r="953" spans="1:16" ht="15.75" customHeight="1" x14ac:dyDescent="0.35">
      <c r="A953" s="258">
        <v>945</v>
      </c>
      <c r="B953" s="273" t="s">
        <v>7935</v>
      </c>
      <c r="C953" s="273" t="s">
        <v>7936</v>
      </c>
      <c r="D953" s="273" t="s">
        <v>51</v>
      </c>
      <c r="E953" s="273">
        <v>3350</v>
      </c>
      <c r="F953" s="273">
        <v>2014</v>
      </c>
      <c r="G953" s="273" t="s">
        <v>9947</v>
      </c>
      <c r="H953" s="273" t="s">
        <v>7938</v>
      </c>
      <c r="I953" s="274"/>
      <c r="J953" s="273"/>
      <c r="K953" s="273" t="s">
        <v>7942</v>
      </c>
      <c r="L953" s="273" t="s">
        <v>422</v>
      </c>
      <c r="M953" s="275">
        <v>80500</v>
      </c>
      <c r="N953" s="273" t="s">
        <v>3059</v>
      </c>
      <c r="O953" s="273" t="s">
        <v>9948</v>
      </c>
      <c r="P953" s="232">
        <v>1</v>
      </c>
    </row>
    <row r="954" spans="1:16" ht="15.75" customHeight="1" x14ac:dyDescent="0.35">
      <c r="A954" s="264">
        <v>946</v>
      </c>
      <c r="B954" s="273" t="s">
        <v>7935</v>
      </c>
      <c r="C954" s="273" t="s">
        <v>7936</v>
      </c>
      <c r="D954" s="273" t="s">
        <v>51</v>
      </c>
      <c r="E954" s="273">
        <v>2918</v>
      </c>
      <c r="F954" s="273">
        <v>2014</v>
      </c>
      <c r="G954" s="273" t="s">
        <v>9949</v>
      </c>
      <c r="H954" s="273" t="s">
        <v>7938</v>
      </c>
      <c r="I954" s="274"/>
      <c r="J954" s="273"/>
      <c r="K954" s="273" t="s">
        <v>7942</v>
      </c>
      <c r="L954" s="273" t="s">
        <v>422</v>
      </c>
      <c r="M954" s="275">
        <v>15000</v>
      </c>
      <c r="N954" s="273" t="s">
        <v>3059</v>
      </c>
      <c r="O954" s="273" t="s">
        <v>9950</v>
      </c>
      <c r="P954" s="232">
        <v>1</v>
      </c>
    </row>
    <row r="955" spans="1:16" ht="15.75" customHeight="1" x14ac:dyDescent="0.35">
      <c r="A955" s="258">
        <v>947</v>
      </c>
      <c r="B955" s="273" t="s">
        <v>7935</v>
      </c>
      <c r="C955" s="273" t="s">
        <v>7936</v>
      </c>
      <c r="D955" s="273" t="s">
        <v>59</v>
      </c>
      <c r="E955" s="273">
        <v>3550</v>
      </c>
      <c r="F955" s="273">
        <v>2003</v>
      </c>
      <c r="G955" s="273" t="s">
        <v>9949</v>
      </c>
      <c r="H955" s="273" t="s">
        <v>7938</v>
      </c>
      <c r="I955" s="274"/>
      <c r="J955" s="273"/>
      <c r="K955" s="273" t="s">
        <v>7939</v>
      </c>
      <c r="L955" s="273" t="s">
        <v>57</v>
      </c>
      <c r="M955" s="275">
        <v>17573</v>
      </c>
      <c r="N955" s="273" t="s">
        <v>7940</v>
      </c>
      <c r="O955" s="273" t="s">
        <v>9950</v>
      </c>
      <c r="P955" s="232">
        <v>1</v>
      </c>
    </row>
    <row r="956" spans="1:16" ht="15.75" customHeight="1" x14ac:dyDescent="0.35">
      <c r="A956" s="264">
        <v>948</v>
      </c>
      <c r="B956" s="273" t="s">
        <v>7935</v>
      </c>
      <c r="C956" s="273" t="s">
        <v>7936</v>
      </c>
      <c r="D956" s="273" t="s">
        <v>51</v>
      </c>
      <c r="E956" s="273">
        <v>20000</v>
      </c>
      <c r="F956" s="273">
        <v>2014</v>
      </c>
      <c r="G956" s="273" t="s">
        <v>9945</v>
      </c>
      <c r="H956" s="273" t="s">
        <v>7938</v>
      </c>
      <c r="I956" s="274"/>
      <c r="J956" s="273"/>
      <c r="K956" s="273" t="s">
        <v>7942</v>
      </c>
      <c r="L956" s="273" t="s">
        <v>422</v>
      </c>
      <c r="M956" s="275">
        <v>20000</v>
      </c>
      <c r="N956" s="273" t="s">
        <v>3059</v>
      </c>
      <c r="O956" s="273" t="s">
        <v>9951</v>
      </c>
      <c r="P956" s="232">
        <v>1</v>
      </c>
    </row>
    <row r="957" spans="1:16" ht="15.75" customHeight="1" x14ac:dyDescent="0.35">
      <c r="A957" s="258">
        <v>949</v>
      </c>
      <c r="B957" s="273" t="s">
        <v>7935</v>
      </c>
      <c r="C957" s="273" t="s">
        <v>7936</v>
      </c>
      <c r="D957" s="273" t="s">
        <v>51</v>
      </c>
      <c r="E957" s="273">
        <v>2000</v>
      </c>
      <c r="F957" s="273">
        <v>2003</v>
      </c>
      <c r="G957" s="273" t="s">
        <v>9952</v>
      </c>
      <c r="H957" s="273" t="s">
        <v>7938</v>
      </c>
      <c r="I957" s="274"/>
      <c r="J957" s="273"/>
      <c r="K957" s="273" t="s">
        <v>7939</v>
      </c>
      <c r="L957" s="273" t="s">
        <v>57</v>
      </c>
      <c r="M957" s="275">
        <v>7500</v>
      </c>
      <c r="N957" s="273" t="s">
        <v>7940</v>
      </c>
      <c r="O957" s="273" t="s">
        <v>9953</v>
      </c>
      <c r="P957" s="232">
        <v>1</v>
      </c>
    </row>
    <row r="958" spans="1:16" ht="15.75" customHeight="1" x14ac:dyDescent="0.35">
      <c r="A958" s="264">
        <v>950</v>
      </c>
      <c r="B958" s="273" t="s">
        <v>7935</v>
      </c>
      <c r="C958" s="273" t="s">
        <v>7936</v>
      </c>
      <c r="D958" s="273" t="s">
        <v>51</v>
      </c>
      <c r="E958" s="273">
        <v>2918</v>
      </c>
      <c r="F958" s="273">
        <v>2014</v>
      </c>
      <c r="G958" s="273" t="s">
        <v>9945</v>
      </c>
      <c r="H958" s="273" t="s">
        <v>7938</v>
      </c>
      <c r="I958" s="274"/>
      <c r="J958" s="273"/>
      <c r="K958" s="273" t="s">
        <v>7942</v>
      </c>
      <c r="L958" s="273" t="s">
        <v>422</v>
      </c>
      <c r="M958" s="275">
        <v>662608</v>
      </c>
      <c r="N958" s="273" t="s">
        <v>3059</v>
      </c>
      <c r="O958" s="273" t="s">
        <v>9954</v>
      </c>
      <c r="P958" s="232">
        <v>1</v>
      </c>
    </row>
    <row r="959" spans="1:16" ht="15.75" customHeight="1" x14ac:dyDescent="0.35">
      <c r="A959" s="258">
        <v>951</v>
      </c>
      <c r="B959" s="273" t="s">
        <v>7935</v>
      </c>
      <c r="C959" s="273" t="s">
        <v>7936</v>
      </c>
      <c r="D959" s="273" t="s">
        <v>51</v>
      </c>
      <c r="E959" s="273">
        <v>5220</v>
      </c>
      <c r="F959" s="273">
        <v>2014</v>
      </c>
      <c r="G959" s="273" t="s">
        <v>9955</v>
      </c>
      <c r="H959" s="273" t="s">
        <v>7938</v>
      </c>
      <c r="I959" s="274"/>
      <c r="J959" s="273"/>
      <c r="K959" s="273" t="s">
        <v>7942</v>
      </c>
      <c r="L959" s="273" t="s">
        <v>422</v>
      </c>
      <c r="M959" s="275">
        <v>15000</v>
      </c>
      <c r="N959" s="273" t="s">
        <v>3059</v>
      </c>
      <c r="O959" s="273" t="s">
        <v>9956</v>
      </c>
      <c r="P959" s="232">
        <v>1</v>
      </c>
    </row>
    <row r="960" spans="1:16" ht="15.75" customHeight="1" x14ac:dyDescent="0.35">
      <c r="A960" s="264">
        <v>952</v>
      </c>
      <c r="B960" s="273" t="s">
        <v>7935</v>
      </c>
      <c r="C960" s="273" t="s">
        <v>7936</v>
      </c>
      <c r="D960" s="273" t="s">
        <v>51</v>
      </c>
      <c r="E960" s="273">
        <v>9378</v>
      </c>
      <c r="F960" s="273">
        <v>2014</v>
      </c>
      <c r="G960" s="273" t="s">
        <v>9944</v>
      </c>
      <c r="H960" s="273" t="s">
        <v>7938</v>
      </c>
      <c r="I960" s="274"/>
      <c r="J960" s="273"/>
      <c r="K960" s="273" t="s">
        <v>7942</v>
      </c>
      <c r="L960" s="273" t="s">
        <v>422</v>
      </c>
      <c r="M960" s="275">
        <v>45000</v>
      </c>
      <c r="N960" s="273" t="s">
        <v>3059</v>
      </c>
      <c r="O960" s="273" t="s">
        <v>9957</v>
      </c>
      <c r="P960" s="232">
        <v>1</v>
      </c>
    </row>
    <row r="961" spans="1:16" ht="15.75" customHeight="1" x14ac:dyDescent="0.35">
      <c r="A961" s="258">
        <v>953</v>
      </c>
      <c r="B961" s="273" t="s">
        <v>7935</v>
      </c>
      <c r="C961" s="273" t="s">
        <v>7936</v>
      </c>
      <c r="D961" s="273" t="s">
        <v>51</v>
      </c>
      <c r="E961" s="273">
        <v>1364</v>
      </c>
      <c r="F961" s="273">
        <v>2003</v>
      </c>
      <c r="G961" s="273" t="s">
        <v>9945</v>
      </c>
      <c r="H961" s="273" t="s">
        <v>7938</v>
      </c>
      <c r="I961" s="274">
        <v>44301</v>
      </c>
      <c r="J961" s="273" t="s">
        <v>9958</v>
      </c>
      <c r="K961" s="273" t="s">
        <v>7939</v>
      </c>
      <c r="L961" s="273" t="s">
        <v>57</v>
      </c>
      <c r="M961" s="275">
        <v>234678</v>
      </c>
      <c r="N961" s="273" t="s">
        <v>7940</v>
      </c>
      <c r="O961" s="273" t="s">
        <v>9959</v>
      </c>
      <c r="P961" s="232">
        <v>1</v>
      </c>
    </row>
    <row r="962" spans="1:16" ht="15.75" customHeight="1" x14ac:dyDescent="0.35">
      <c r="A962" s="264">
        <v>954</v>
      </c>
      <c r="B962" s="273" t="s">
        <v>7935</v>
      </c>
      <c r="C962" s="273" t="s">
        <v>7936</v>
      </c>
      <c r="D962" s="273" t="s">
        <v>59</v>
      </c>
      <c r="E962" s="273">
        <v>2485</v>
      </c>
      <c r="F962" s="273">
        <v>2014</v>
      </c>
      <c r="G962" s="273" t="s">
        <v>9945</v>
      </c>
      <c r="H962" s="273" t="s">
        <v>7938</v>
      </c>
      <c r="I962" s="274"/>
      <c r="J962" s="273"/>
      <c r="K962" s="273" t="s">
        <v>7942</v>
      </c>
      <c r="L962" s="273" t="s">
        <v>422</v>
      </c>
      <c r="M962" s="275">
        <v>10000</v>
      </c>
      <c r="N962" s="273" t="s">
        <v>3059</v>
      </c>
      <c r="O962" s="273" t="s">
        <v>9959</v>
      </c>
      <c r="P962" s="232">
        <v>1</v>
      </c>
    </row>
    <row r="963" spans="1:16" ht="15.75" customHeight="1" x14ac:dyDescent="0.35">
      <c r="A963" s="258">
        <v>955</v>
      </c>
      <c r="B963" s="273" t="s">
        <v>7935</v>
      </c>
      <c r="C963" s="273" t="s">
        <v>7936</v>
      </c>
      <c r="D963" s="273" t="s">
        <v>51</v>
      </c>
      <c r="E963" s="273">
        <v>2550</v>
      </c>
      <c r="F963" s="273">
        <v>2003</v>
      </c>
      <c r="G963" s="273" t="s">
        <v>9960</v>
      </c>
      <c r="H963" s="273" t="s">
        <v>7938</v>
      </c>
      <c r="I963" s="274"/>
      <c r="J963" s="273"/>
      <c r="K963" s="273" t="s">
        <v>7939</v>
      </c>
      <c r="L963" s="273" t="s">
        <v>57</v>
      </c>
      <c r="M963" s="275">
        <v>9690</v>
      </c>
      <c r="N963" s="273" t="s">
        <v>7940</v>
      </c>
      <c r="O963" s="273" t="s">
        <v>9961</v>
      </c>
      <c r="P963" s="232">
        <v>1</v>
      </c>
    </row>
    <row r="964" spans="1:16" ht="15.75" customHeight="1" x14ac:dyDescent="0.35">
      <c r="A964" s="264">
        <v>956</v>
      </c>
      <c r="B964" s="273" t="s">
        <v>7935</v>
      </c>
      <c r="C964" s="273" t="s">
        <v>7936</v>
      </c>
      <c r="D964" s="273" t="s">
        <v>51</v>
      </c>
      <c r="E964" s="273">
        <v>1911</v>
      </c>
      <c r="F964" s="273">
        <v>2014</v>
      </c>
      <c r="G964" s="273" t="s">
        <v>9962</v>
      </c>
      <c r="H964" s="273" t="s">
        <v>7938</v>
      </c>
      <c r="I964" s="274"/>
      <c r="J964" s="273"/>
      <c r="K964" s="273" t="s">
        <v>7942</v>
      </c>
      <c r="L964" s="273" t="s">
        <v>422</v>
      </c>
      <c r="M964" s="275">
        <v>15000</v>
      </c>
      <c r="N964" s="273" t="s">
        <v>3059</v>
      </c>
      <c r="O964" s="273" t="s">
        <v>9963</v>
      </c>
      <c r="P964" s="232">
        <v>1</v>
      </c>
    </row>
    <row r="965" spans="1:16" ht="15.75" customHeight="1" x14ac:dyDescent="0.35">
      <c r="A965" s="258">
        <v>957</v>
      </c>
      <c r="B965" s="273" t="s">
        <v>7935</v>
      </c>
      <c r="C965" s="273" t="s">
        <v>7936</v>
      </c>
      <c r="D965" s="273" t="s">
        <v>51</v>
      </c>
      <c r="E965" s="273">
        <v>2918</v>
      </c>
      <c r="F965" s="273">
        <v>2014</v>
      </c>
      <c r="G965" s="273" t="s">
        <v>9964</v>
      </c>
      <c r="H965" s="273" t="s">
        <v>7938</v>
      </c>
      <c r="I965" s="274">
        <v>44162</v>
      </c>
      <c r="J965" s="273" t="s">
        <v>9965</v>
      </c>
      <c r="K965" s="273" t="s">
        <v>7942</v>
      </c>
      <c r="L965" s="273" t="s">
        <v>422</v>
      </c>
      <c r="M965" s="275">
        <v>30000</v>
      </c>
      <c r="N965" s="273" t="s">
        <v>3059</v>
      </c>
      <c r="O965" s="273" t="s">
        <v>9966</v>
      </c>
      <c r="P965" s="232">
        <v>1</v>
      </c>
    </row>
    <row r="966" spans="1:16" ht="15.75" customHeight="1" x14ac:dyDescent="0.35">
      <c r="A966" s="264">
        <v>958</v>
      </c>
      <c r="B966" s="273" t="s">
        <v>7935</v>
      </c>
      <c r="C966" s="273" t="s">
        <v>7936</v>
      </c>
      <c r="D966" s="273" t="s">
        <v>51</v>
      </c>
      <c r="E966" s="273">
        <v>20000</v>
      </c>
      <c r="F966" s="273">
        <v>2014</v>
      </c>
      <c r="G966" s="273" t="s">
        <v>9944</v>
      </c>
      <c r="H966" s="273" t="s">
        <v>7938</v>
      </c>
      <c r="I966" s="274"/>
      <c r="J966" s="273"/>
      <c r="K966" s="273" t="s">
        <v>7942</v>
      </c>
      <c r="L966" s="273" t="s">
        <v>422</v>
      </c>
      <c r="M966" s="275">
        <v>20000</v>
      </c>
      <c r="N966" s="273" t="s">
        <v>3059</v>
      </c>
      <c r="O966" s="273" t="s">
        <v>9738</v>
      </c>
      <c r="P966" s="232">
        <v>1</v>
      </c>
    </row>
    <row r="967" spans="1:16" ht="15.75" customHeight="1" x14ac:dyDescent="0.35">
      <c r="A967" s="258">
        <v>959</v>
      </c>
      <c r="B967" s="273" t="s">
        <v>7935</v>
      </c>
      <c r="C967" s="273" t="s">
        <v>7936</v>
      </c>
      <c r="D967" s="273" t="s">
        <v>59</v>
      </c>
      <c r="E967" s="273">
        <v>3250</v>
      </c>
      <c r="F967" s="273">
        <v>2003</v>
      </c>
      <c r="G967" s="273" t="s">
        <v>9944</v>
      </c>
      <c r="H967" s="273" t="s">
        <v>7938</v>
      </c>
      <c r="I967" s="274"/>
      <c r="J967" s="273"/>
      <c r="K967" s="273" t="s">
        <v>7939</v>
      </c>
      <c r="L967" s="273" t="s">
        <v>57</v>
      </c>
      <c r="M967" s="275">
        <v>19988</v>
      </c>
      <c r="N967" s="273" t="s">
        <v>7940</v>
      </c>
      <c r="O967" s="273" t="s">
        <v>9738</v>
      </c>
      <c r="P967" s="232">
        <v>1</v>
      </c>
    </row>
    <row r="968" spans="1:16" ht="15.75" customHeight="1" x14ac:dyDescent="0.35">
      <c r="A968" s="264">
        <v>960</v>
      </c>
      <c r="B968" s="273" t="s">
        <v>7935</v>
      </c>
      <c r="C968" s="273" t="s">
        <v>7936</v>
      </c>
      <c r="D968" s="273" t="s">
        <v>51</v>
      </c>
      <c r="E968" s="273">
        <v>2485</v>
      </c>
      <c r="F968" s="273">
        <v>2014</v>
      </c>
      <c r="G968" s="273" t="s">
        <v>9945</v>
      </c>
      <c r="H968" s="273" t="s">
        <v>7938</v>
      </c>
      <c r="I968" s="274"/>
      <c r="J968" s="273"/>
      <c r="K968" s="273" t="s">
        <v>7942</v>
      </c>
      <c r="L968" s="273" t="s">
        <v>422</v>
      </c>
      <c r="M968" s="275">
        <v>15000</v>
      </c>
      <c r="N968" s="273" t="s">
        <v>7942</v>
      </c>
      <c r="O968" s="273" t="s">
        <v>9740</v>
      </c>
      <c r="P968" s="232">
        <v>1</v>
      </c>
    </row>
    <row r="969" spans="1:16" ht="15.75" customHeight="1" x14ac:dyDescent="0.35">
      <c r="A969" s="258">
        <v>961</v>
      </c>
      <c r="B969" s="273" t="s">
        <v>7935</v>
      </c>
      <c r="C969" s="273" t="s">
        <v>7936</v>
      </c>
      <c r="D969" s="273" t="s">
        <v>59</v>
      </c>
      <c r="E969" s="273">
        <v>2320</v>
      </c>
      <c r="F969" s="273">
        <v>2003</v>
      </c>
      <c r="G969" s="273" t="s">
        <v>9945</v>
      </c>
      <c r="H969" s="273" t="s">
        <v>7938</v>
      </c>
      <c r="I969" s="274"/>
      <c r="J969" s="273"/>
      <c r="K969" s="273" t="s">
        <v>7939</v>
      </c>
      <c r="L969" s="273" t="s">
        <v>57</v>
      </c>
      <c r="M969" s="275">
        <v>11252</v>
      </c>
      <c r="N969" s="273" t="s">
        <v>7940</v>
      </c>
      <c r="O969" s="273" t="s">
        <v>9740</v>
      </c>
      <c r="P969" s="232">
        <v>1</v>
      </c>
    </row>
    <row r="970" spans="1:16" ht="15.75" customHeight="1" x14ac:dyDescent="0.35">
      <c r="A970" s="264">
        <v>962</v>
      </c>
      <c r="B970" s="273" t="s">
        <v>7935</v>
      </c>
      <c r="C970" s="273" t="s">
        <v>7936</v>
      </c>
      <c r="D970" s="273" t="s">
        <v>51</v>
      </c>
      <c r="E970" s="273">
        <v>4020</v>
      </c>
      <c r="F970" s="273">
        <v>2003</v>
      </c>
      <c r="G970" s="273" t="s">
        <v>9945</v>
      </c>
      <c r="H970" s="273" t="s">
        <v>7938</v>
      </c>
      <c r="I970" s="274"/>
      <c r="J970" s="273"/>
      <c r="K970" s="273" t="s">
        <v>7939</v>
      </c>
      <c r="L970" s="273" t="s">
        <v>57</v>
      </c>
      <c r="M970" s="275">
        <v>19296</v>
      </c>
      <c r="N970" s="273" t="s">
        <v>7940</v>
      </c>
      <c r="O970" s="273" t="s">
        <v>9743</v>
      </c>
      <c r="P970" s="232">
        <v>1</v>
      </c>
    </row>
    <row r="971" spans="1:16" ht="15.75" customHeight="1" x14ac:dyDescent="0.35">
      <c r="A971" s="258">
        <v>963</v>
      </c>
      <c r="B971" s="273" t="s">
        <v>7935</v>
      </c>
      <c r="C971" s="273" t="s">
        <v>7936</v>
      </c>
      <c r="D971" s="273" t="s">
        <v>59</v>
      </c>
      <c r="E971" s="273">
        <v>2760</v>
      </c>
      <c r="F971" s="273">
        <v>2014</v>
      </c>
      <c r="G971" s="273" t="s">
        <v>9945</v>
      </c>
      <c r="H971" s="273" t="s">
        <v>7938</v>
      </c>
      <c r="I971" s="274"/>
      <c r="J971" s="273"/>
      <c r="K971" s="273" t="s">
        <v>7942</v>
      </c>
      <c r="L971" s="273" t="s">
        <v>422</v>
      </c>
      <c r="M971" s="275">
        <v>15000</v>
      </c>
      <c r="N971" s="273" t="s">
        <v>7942</v>
      </c>
      <c r="O971" s="273" t="s">
        <v>9743</v>
      </c>
      <c r="P971" s="232">
        <v>1</v>
      </c>
    </row>
    <row r="972" spans="1:16" ht="15.75" customHeight="1" x14ac:dyDescent="0.35">
      <c r="A972" s="264">
        <v>964</v>
      </c>
      <c r="B972" s="273" t="s">
        <v>7935</v>
      </c>
      <c r="C972" s="273" t="s">
        <v>7936</v>
      </c>
      <c r="D972" s="273" t="s">
        <v>51</v>
      </c>
      <c r="E972" s="273">
        <v>10000</v>
      </c>
      <c r="F972" s="273">
        <v>2003</v>
      </c>
      <c r="G972" s="273" t="s">
        <v>9967</v>
      </c>
      <c r="H972" s="273" t="s">
        <v>7938</v>
      </c>
      <c r="I972" s="274"/>
      <c r="J972" s="273"/>
      <c r="K972" s="273" t="s">
        <v>7939</v>
      </c>
      <c r="L972" s="273" t="s">
        <v>57</v>
      </c>
      <c r="M972" s="275">
        <v>62500</v>
      </c>
      <c r="N972" s="273" t="s">
        <v>7940</v>
      </c>
      <c r="O972" s="273" t="s">
        <v>9968</v>
      </c>
      <c r="P972" s="232">
        <v>1</v>
      </c>
    </row>
    <row r="973" spans="1:16" ht="15.75" customHeight="1" x14ac:dyDescent="0.35">
      <c r="A973" s="258">
        <v>965</v>
      </c>
      <c r="B973" s="273" t="s">
        <v>7964</v>
      </c>
      <c r="C973" s="273" t="s">
        <v>7965</v>
      </c>
      <c r="D973" s="273" t="s">
        <v>51</v>
      </c>
      <c r="E973" s="273">
        <v>157</v>
      </c>
      <c r="F973" s="273">
        <v>2025</v>
      </c>
      <c r="G973" s="273" t="s">
        <v>9969</v>
      </c>
      <c r="H973" s="273" t="s">
        <v>7938</v>
      </c>
      <c r="I973" s="274">
        <v>45827</v>
      </c>
      <c r="J973" s="273" t="s">
        <v>8009</v>
      </c>
      <c r="K973" s="273" t="s">
        <v>9970</v>
      </c>
      <c r="L973" s="273" t="s">
        <v>44</v>
      </c>
      <c r="M973" s="275">
        <v>2198</v>
      </c>
      <c r="N973" s="273" t="s">
        <v>9971</v>
      </c>
      <c r="O973" s="273" t="s">
        <v>9972</v>
      </c>
      <c r="P973" s="232">
        <v>1</v>
      </c>
    </row>
    <row r="974" spans="1:16" ht="15.75" customHeight="1" x14ac:dyDescent="0.35">
      <c r="A974" s="264">
        <v>966</v>
      </c>
      <c r="B974" s="273" t="s">
        <v>7935</v>
      </c>
      <c r="C974" s="273" t="s">
        <v>7936</v>
      </c>
      <c r="D974" s="273" t="s">
        <v>51</v>
      </c>
      <c r="E974" s="273">
        <v>40000</v>
      </c>
      <c r="F974" s="273">
        <v>2003</v>
      </c>
      <c r="G974" s="273" t="s">
        <v>9973</v>
      </c>
      <c r="H974" s="273" t="s">
        <v>7938</v>
      </c>
      <c r="I974" s="274"/>
      <c r="J974" s="273"/>
      <c r="K974" s="273" t="s">
        <v>7939</v>
      </c>
      <c r="L974" s="273" t="s">
        <v>57</v>
      </c>
      <c r="M974" s="275">
        <v>146000</v>
      </c>
      <c r="N974" s="273" t="s">
        <v>7940</v>
      </c>
      <c r="O974" s="273" t="s">
        <v>9974</v>
      </c>
      <c r="P974" s="232">
        <v>1</v>
      </c>
    </row>
    <row r="975" spans="1:16" ht="15.75" customHeight="1" x14ac:dyDescent="0.35">
      <c r="A975" s="258">
        <v>967</v>
      </c>
      <c r="B975" s="273" t="s">
        <v>7935</v>
      </c>
      <c r="C975" s="273" t="s">
        <v>7936</v>
      </c>
      <c r="D975" s="273" t="s">
        <v>51</v>
      </c>
      <c r="E975" s="273">
        <v>15349</v>
      </c>
      <c r="F975" s="273">
        <v>2006</v>
      </c>
      <c r="G975" s="273" t="s">
        <v>9975</v>
      </c>
      <c r="H975" s="273" t="s">
        <v>7938</v>
      </c>
      <c r="I975" s="274">
        <v>38705</v>
      </c>
      <c r="J975" s="273" t="s">
        <v>9976</v>
      </c>
      <c r="K975" s="273" t="s">
        <v>7939</v>
      </c>
      <c r="L975" s="273" t="s">
        <v>57</v>
      </c>
      <c r="M975" s="275">
        <v>230910</v>
      </c>
      <c r="N975" s="273" t="s">
        <v>7940</v>
      </c>
      <c r="O975" s="273" t="s">
        <v>9977</v>
      </c>
      <c r="P975" s="232">
        <v>1</v>
      </c>
    </row>
    <row r="976" spans="1:16" ht="15.75" customHeight="1" x14ac:dyDescent="0.35">
      <c r="A976" s="264">
        <v>968</v>
      </c>
      <c r="B976" s="273" t="s">
        <v>7935</v>
      </c>
      <c r="C976" s="273" t="s">
        <v>7936</v>
      </c>
      <c r="D976" s="273" t="s">
        <v>51</v>
      </c>
      <c r="E976" s="273">
        <v>2000</v>
      </c>
      <c r="F976" s="273">
        <v>2014</v>
      </c>
      <c r="G976" s="273" t="s">
        <v>9978</v>
      </c>
      <c r="H976" s="273" t="s">
        <v>7938</v>
      </c>
      <c r="I976" s="274"/>
      <c r="J976" s="273"/>
      <c r="K976" s="273" t="s">
        <v>7942</v>
      </c>
      <c r="L976" s="273" t="s">
        <v>422</v>
      </c>
      <c r="M976" s="275">
        <v>5000</v>
      </c>
      <c r="N976" s="273" t="s">
        <v>3059</v>
      </c>
      <c r="O976" s="273" t="s">
        <v>9979</v>
      </c>
      <c r="P976" s="232">
        <v>1</v>
      </c>
    </row>
    <row r="977" spans="1:16" ht="15.75" customHeight="1" x14ac:dyDescent="0.35">
      <c r="A977" s="258">
        <v>969</v>
      </c>
      <c r="B977" s="273" t="s">
        <v>7935</v>
      </c>
      <c r="C977" s="273" t="s">
        <v>7936</v>
      </c>
      <c r="D977" s="273" t="s">
        <v>59</v>
      </c>
      <c r="E977" s="273">
        <v>25000</v>
      </c>
      <c r="F977" s="273">
        <v>2003</v>
      </c>
      <c r="G977" s="273" t="s">
        <v>9978</v>
      </c>
      <c r="H977" s="273" t="s">
        <v>7938</v>
      </c>
      <c r="I977" s="274"/>
      <c r="J977" s="273"/>
      <c r="K977" s="273" t="s">
        <v>7939</v>
      </c>
      <c r="L977" s="273" t="s">
        <v>57</v>
      </c>
      <c r="M977" s="275">
        <v>106250</v>
      </c>
      <c r="N977" s="273" t="s">
        <v>7940</v>
      </c>
      <c r="O977" s="273" t="s">
        <v>9979</v>
      </c>
      <c r="P977" s="232">
        <v>1</v>
      </c>
    </row>
    <row r="978" spans="1:16" ht="15.75" customHeight="1" x14ac:dyDescent="0.35">
      <c r="A978" s="264">
        <v>970</v>
      </c>
      <c r="B978" s="273" t="s">
        <v>7935</v>
      </c>
      <c r="C978" s="273" t="s">
        <v>7936</v>
      </c>
      <c r="D978" s="273" t="s">
        <v>51</v>
      </c>
      <c r="E978" s="273">
        <v>28313</v>
      </c>
      <c r="F978" s="273">
        <v>2003</v>
      </c>
      <c r="G978" s="273" t="s">
        <v>9980</v>
      </c>
      <c r="H978" s="273" t="s">
        <v>7938</v>
      </c>
      <c r="I978" s="274"/>
      <c r="J978" s="273"/>
      <c r="K978" s="273" t="s">
        <v>7939</v>
      </c>
      <c r="L978" s="273" t="s">
        <v>57</v>
      </c>
      <c r="M978" s="275">
        <v>109005</v>
      </c>
      <c r="N978" s="273" t="s">
        <v>7940</v>
      </c>
      <c r="O978" s="273" t="s">
        <v>9981</v>
      </c>
      <c r="P978" s="232">
        <v>1</v>
      </c>
    </row>
    <row r="979" spans="1:16" ht="15.75" customHeight="1" x14ac:dyDescent="0.35">
      <c r="A979" s="258">
        <v>971</v>
      </c>
      <c r="B979" s="273" t="s">
        <v>7935</v>
      </c>
      <c r="C979" s="273" t="s">
        <v>7936</v>
      </c>
      <c r="D979" s="273" t="s">
        <v>51</v>
      </c>
      <c r="E979" s="273">
        <v>3000</v>
      </c>
      <c r="F979" s="273">
        <v>2014</v>
      </c>
      <c r="G979" s="273" t="s">
        <v>9982</v>
      </c>
      <c r="H979" s="273" t="s">
        <v>7938</v>
      </c>
      <c r="I979" s="274"/>
      <c r="J979" s="273"/>
      <c r="K979" s="273" t="s">
        <v>7942</v>
      </c>
      <c r="L979" s="273" t="s">
        <v>422</v>
      </c>
      <c r="M979" s="275">
        <v>6000</v>
      </c>
      <c r="N979" s="273" t="s">
        <v>3059</v>
      </c>
      <c r="O979" s="273" t="s">
        <v>9983</v>
      </c>
      <c r="P979" s="232">
        <v>1</v>
      </c>
    </row>
    <row r="980" spans="1:16" ht="15.75" customHeight="1" x14ac:dyDescent="0.35">
      <c r="A980" s="264">
        <v>972</v>
      </c>
      <c r="B980" s="273" t="s">
        <v>7935</v>
      </c>
      <c r="C980" s="273" t="s">
        <v>7936</v>
      </c>
      <c r="D980" s="273" t="s">
        <v>59</v>
      </c>
      <c r="E980" s="273">
        <v>22360</v>
      </c>
      <c r="F980" s="273">
        <v>2003</v>
      </c>
      <c r="G980" s="273" t="s">
        <v>9982</v>
      </c>
      <c r="H980" s="273" t="s">
        <v>7938</v>
      </c>
      <c r="I980" s="274"/>
      <c r="J980" s="273"/>
      <c r="K980" s="273" t="s">
        <v>7939</v>
      </c>
      <c r="L980" s="273" t="s">
        <v>57</v>
      </c>
      <c r="M980" s="275">
        <v>549698</v>
      </c>
      <c r="N980" s="273" t="s">
        <v>7940</v>
      </c>
      <c r="O980" s="273" t="s">
        <v>9983</v>
      </c>
      <c r="P980" s="232">
        <v>1</v>
      </c>
    </row>
    <row r="981" spans="1:16" ht="15.75" customHeight="1" x14ac:dyDescent="0.35">
      <c r="A981" s="258">
        <v>973</v>
      </c>
      <c r="B981" s="273" t="s">
        <v>7935</v>
      </c>
      <c r="C981" s="273" t="s">
        <v>7936</v>
      </c>
      <c r="D981" s="273" t="s">
        <v>51</v>
      </c>
      <c r="E981" s="273">
        <v>20000</v>
      </c>
      <c r="F981" s="273">
        <v>2003</v>
      </c>
      <c r="G981" s="273" t="s">
        <v>9984</v>
      </c>
      <c r="H981" s="273" t="s">
        <v>7938</v>
      </c>
      <c r="I981" s="274"/>
      <c r="J981" s="273"/>
      <c r="K981" s="273" t="s">
        <v>7939</v>
      </c>
      <c r="L981" s="273" t="s">
        <v>57</v>
      </c>
      <c r="M981" s="275">
        <v>77000</v>
      </c>
      <c r="N981" s="273" t="s">
        <v>7940</v>
      </c>
      <c r="O981" s="273" t="s">
        <v>9985</v>
      </c>
      <c r="P981" s="232">
        <v>1</v>
      </c>
    </row>
    <row r="982" spans="1:16" ht="15.75" customHeight="1" x14ac:dyDescent="0.35">
      <c r="A982" s="264">
        <v>974</v>
      </c>
      <c r="B982" s="273" t="s">
        <v>7935</v>
      </c>
      <c r="C982" s="273" t="s">
        <v>7936</v>
      </c>
      <c r="D982" s="273" t="s">
        <v>59</v>
      </c>
      <c r="E982" s="273">
        <v>3000</v>
      </c>
      <c r="F982" s="273">
        <v>2014</v>
      </c>
      <c r="G982" s="273" t="s">
        <v>9984</v>
      </c>
      <c r="H982" s="273" t="s">
        <v>7938</v>
      </c>
      <c r="I982" s="274"/>
      <c r="J982" s="273"/>
      <c r="K982" s="273" t="s">
        <v>7942</v>
      </c>
      <c r="L982" s="273" t="s">
        <v>422</v>
      </c>
      <c r="M982" s="275">
        <v>6000</v>
      </c>
      <c r="N982" s="273" t="s">
        <v>3059</v>
      </c>
      <c r="O982" s="273" t="s">
        <v>9985</v>
      </c>
      <c r="P982" s="232">
        <v>1</v>
      </c>
    </row>
    <row r="983" spans="1:16" ht="15.75" customHeight="1" x14ac:dyDescent="0.35">
      <c r="A983" s="258">
        <v>975</v>
      </c>
      <c r="B983" s="273" t="s">
        <v>7935</v>
      </c>
      <c r="C983" s="273" t="s">
        <v>7936</v>
      </c>
      <c r="D983" s="273" t="s">
        <v>51</v>
      </c>
      <c r="E983" s="273">
        <v>25300</v>
      </c>
      <c r="F983" s="273">
        <v>2003</v>
      </c>
      <c r="G983" s="273" t="s">
        <v>9986</v>
      </c>
      <c r="H983" s="273" t="s">
        <v>7938</v>
      </c>
      <c r="I983" s="274"/>
      <c r="J983" s="273"/>
      <c r="K983" s="273" t="s">
        <v>7939</v>
      </c>
      <c r="L983" s="273" t="s">
        <v>57</v>
      </c>
      <c r="M983" s="275">
        <v>92978</v>
      </c>
      <c r="N983" s="273" t="s">
        <v>7940</v>
      </c>
      <c r="O983" s="273" t="s">
        <v>9987</v>
      </c>
      <c r="P983" s="232">
        <v>1</v>
      </c>
    </row>
    <row r="984" spans="1:16" ht="15.75" customHeight="1" x14ac:dyDescent="0.35">
      <c r="A984" s="264">
        <v>976</v>
      </c>
      <c r="B984" s="273" t="s">
        <v>7935</v>
      </c>
      <c r="C984" s="273" t="s">
        <v>7936</v>
      </c>
      <c r="D984" s="273" t="s">
        <v>51</v>
      </c>
      <c r="E984" s="273">
        <v>40000</v>
      </c>
      <c r="F984" s="273">
        <v>2003</v>
      </c>
      <c r="G984" s="273" t="s">
        <v>9978</v>
      </c>
      <c r="H984" s="273" t="s">
        <v>7938</v>
      </c>
      <c r="I984" s="274"/>
      <c r="J984" s="273"/>
      <c r="K984" s="273" t="s">
        <v>7939</v>
      </c>
      <c r="L984" s="273" t="s">
        <v>57</v>
      </c>
      <c r="M984" s="275">
        <v>177000</v>
      </c>
      <c r="N984" s="273" t="s">
        <v>7940</v>
      </c>
      <c r="O984" s="273" t="s">
        <v>9988</v>
      </c>
      <c r="P984" s="232">
        <v>1</v>
      </c>
    </row>
    <row r="985" spans="1:16" ht="15.75" customHeight="1" x14ac:dyDescent="0.35">
      <c r="A985" s="258">
        <v>977</v>
      </c>
      <c r="B985" s="273" t="s">
        <v>7935</v>
      </c>
      <c r="C985" s="273" t="s">
        <v>7936</v>
      </c>
      <c r="D985" s="273" t="s">
        <v>59</v>
      </c>
      <c r="E985" s="273">
        <v>26692</v>
      </c>
      <c r="F985" s="273">
        <v>2014</v>
      </c>
      <c r="G985" s="273" t="s">
        <v>9989</v>
      </c>
      <c r="H985" s="273" t="s">
        <v>7938</v>
      </c>
      <c r="I985" s="274"/>
      <c r="J985" s="273"/>
      <c r="K985" s="273" t="s">
        <v>7942</v>
      </c>
      <c r="L985" s="273" t="s">
        <v>422</v>
      </c>
      <c r="M985" s="275">
        <v>15000</v>
      </c>
      <c r="N985" s="273" t="s">
        <v>3059</v>
      </c>
      <c r="O985" s="273" t="s">
        <v>9988</v>
      </c>
      <c r="P985" s="232">
        <v>1</v>
      </c>
    </row>
    <row r="986" spans="1:16" ht="15.75" customHeight="1" x14ac:dyDescent="0.35">
      <c r="A986" s="264">
        <v>978</v>
      </c>
      <c r="B986" s="273" t="s">
        <v>7935</v>
      </c>
      <c r="C986" s="273" t="s">
        <v>7936</v>
      </c>
      <c r="D986" s="273" t="s">
        <v>51</v>
      </c>
      <c r="E986" s="273">
        <v>25050</v>
      </c>
      <c r="F986" s="273">
        <v>2003</v>
      </c>
      <c r="G986" s="273" t="s">
        <v>9990</v>
      </c>
      <c r="H986" s="273" t="s">
        <v>7938</v>
      </c>
      <c r="I986" s="274"/>
      <c r="J986" s="273"/>
      <c r="K986" s="273" t="s">
        <v>7939</v>
      </c>
      <c r="L986" s="273" t="s">
        <v>57</v>
      </c>
      <c r="M986" s="275">
        <v>92685</v>
      </c>
      <c r="N986" s="273" t="s">
        <v>7940</v>
      </c>
      <c r="O986" s="273" t="s">
        <v>9991</v>
      </c>
      <c r="P986" s="232">
        <v>1</v>
      </c>
    </row>
    <row r="987" spans="1:16" ht="15.75" customHeight="1" x14ac:dyDescent="0.35">
      <c r="A987" s="258">
        <v>979</v>
      </c>
      <c r="B987" s="273" t="s">
        <v>7935</v>
      </c>
      <c r="C987" s="273" t="s">
        <v>7936</v>
      </c>
      <c r="D987" s="273" t="s">
        <v>59</v>
      </c>
      <c r="E987" s="273">
        <v>3080</v>
      </c>
      <c r="F987" s="273">
        <v>2014</v>
      </c>
      <c r="G987" s="273" t="s">
        <v>9990</v>
      </c>
      <c r="H987" s="273" t="s">
        <v>7938</v>
      </c>
      <c r="I987" s="274"/>
      <c r="J987" s="273"/>
      <c r="K987" s="273" t="s">
        <v>7942</v>
      </c>
      <c r="L987" s="273" t="s">
        <v>422</v>
      </c>
      <c r="M987" s="275">
        <v>9000</v>
      </c>
      <c r="N987" s="273" t="s">
        <v>3059</v>
      </c>
      <c r="O987" s="273" t="s">
        <v>9991</v>
      </c>
      <c r="P987" s="232">
        <v>1</v>
      </c>
    </row>
    <row r="988" spans="1:16" ht="15.75" customHeight="1" x14ac:dyDescent="0.35">
      <c r="A988" s="264">
        <v>980</v>
      </c>
      <c r="B988" s="273" t="s">
        <v>7935</v>
      </c>
      <c r="C988" s="273" t="s">
        <v>7936</v>
      </c>
      <c r="D988" s="273" t="s">
        <v>51</v>
      </c>
      <c r="E988" s="273">
        <v>14545</v>
      </c>
      <c r="F988" s="273">
        <v>2003</v>
      </c>
      <c r="G988" s="273" t="s">
        <v>9986</v>
      </c>
      <c r="H988" s="273" t="s">
        <v>7938</v>
      </c>
      <c r="I988" s="274"/>
      <c r="J988" s="273"/>
      <c r="K988" s="273" t="s">
        <v>7939</v>
      </c>
      <c r="L988" s="273" t="s">
        <v>57</v>
      </c>
      <c r="M988" s="275">
        <v>53453</v>
      </c>
      <c r="N988" s="273" t="s">
        <v>7940</v>
      </c>
      <c r="O988" s="273" t="s">
        <v>9992</v>
      </c>
      <c r="P988" s="232">
        <v>1</v>
      </c>
    </row>
    <row r="989" spans="1:16" ht="15.75" customHeight="1" x14ac:dyDescent="0.35">
      <c r="A989" s="258">
        <v>981</v>
      </c>
      <c r="B989" s="273" t="s">
        <v>7935</v>
      </c>
      <c r="C989" s="273" t="s">
        <v>7936</v>
      </c>
      <c r="D989" s="273" t="s">
        <v>51</v>
      </c>
      <c r="E989" s="273">
        <v>10000</v>
      </c>
      <c r="F989" s="273">
        <v>2003</v>
      </c>
      <c r="G989" s="273" t="s">
        <v>9993</v>
      </c>
      <c r="H989" s="273" t="s">
        <v>7938</v>
      </c>
      <c r="I989" s="274"/>
      <c r="J989" s="273"/>
      <c r="K989" s="273" t="s">
        <v>7939</v>
      </c>
      <c r="L989" s="273" t="s">
        <v>57</v>
      </c>
      <c r="M989" s="275">
        <v>38750</v>
      </c>
      <c r="N989" s="273" t="s">
        <v>7940</v>
      </c>
      <c r="O989" s="273" t="s">
        <v>9994</v>
      </c>
      <c r="P989" s="232">
        <v>1</v>
      </c>
    </row>
    <row r="990" spans="1:16" ht="15.75" customHeight="1" x14ac:dyDescent="0.35">
      <c r="A990" s="264">
        <v>982</v>
      </c>
      <c r="B990" s="273" t="s">
        <v>7935</v>
      </c>
      <c r="C990" s="273" t="s">
        <v>7936</v>
      </c>
      <c r="D990" s="273" t="s">
        <v>51</v>
      </c>
      <c r="E990" s="273">
        <v>20000</v>
      </c>
      <c r="F990" s="273">
        <v>2003</v>
      </c>
      <c r="G990" s="273" t="s">
        <v>9995</v>
      </c>
      <c r="H990" s="273" t="s">
        <v>7938</v>
      </c>
      <c r="I990" s="274"/>
      <c r="J990" s="273"/>
      <c r="K990" s="273" t="s">
        <v>7939</v>
      </c>
      <c r="L990" s="273" t="s">
        <v>57</v>
      </c>
      <c r="M990" s="275">
        <v>334205</v>
      </c>
      <c r="N990" s="273" t="s">
        <v>7940</v>
      </c>
      <c r="O990" s="273" t="s">
        <v>9996</v>
      </c>
      <c r="P990" s="232">
        <v>1</v>
      </c>
    </row>
    <row r="991" spans="1:16" ht="15.75" customHeight="1" x14ac:dyDescent="0.35">
      <c r="A991" s="258">
        <v>983</v>
      </c>
      <c r="B991" s="273" t="s">
        <v>7935</v>
      </c>
      <c r="C991" s="273" t="s">
        <v>7936</v>
      </c>
      <c r="D991" s="273" t="s">
        <v>51</v>
      </c>
      <c r="E991" s="273">
        <v>2500</v>
      </c>
      <c r="F991" s="273">
        <v>2014</v>
      </c>
      <c r="G991" s="273" t="s">
        <v>7001</v>
      </c>
      <c r="H991" s="273" t="s">
        <v>7938</v>
      </c>
      <c r="I991" s="274"/>
      <c r="J991" s="273"/>
      <c r="K991" s="273" t="s">
        <v>7942</v>
      </c>
      <c r="L991" s="273" t="s">
        <v>422</v>
      </c>
      <c r="M991" s="275">
        <v>15000</v>
      </c>
      <c r="N991" s="273" t="s">
        <v>3059</v>
      </c>
      <c r="O991" s="273" t="s">
        <v>9997</v>
      </c>
      <c r="P991" s="232">
        <v>1</v>
      </c>
    </row>
    <row r="992" spans="1:16" ht="15.75" customHeight="1" x14ac:dyDescent="0.35">
      <c r="A992" s="264">
        <v>984</v>
      </c>
      <c r="B992" s="273" t="s">
        <v>7935</v>
      </c>
      <c r="C992" s="273" t="s">
        <v>7936</v>
      </c>
      <c r="D992" s="273" t="s">
        <v>59</v>
      </c>
      <c r="E992" s="273">
        <v>19150</v>
      </c>
      <c r="F992" s="273">
        <v>2003</v>
      </c>
      <c r="G992" s="273" t="s">
        <v>7001</v>
      </c>
      <c r="H992" s="273" t="s">
        <v>7938</v>
      </c>
      <c r="I992" s="274">
        <v>44049</v>
      </c>
      <c r="J992" s="273" t="s">
        <v>9998</v>
      </c>
      <c r="K992" s="273" t="s">
        <v>7939</v>
      </c>
      <c r="L992" s="273" t="s">
        <v>57</v>
      </c>
      <c r="M992" s="275">
        <v>87500</v>
      </c>
      <c r="N992" s="273" t="s">
        <v>7940</v>
      </c>
      <c r="O992" s="273" t="s">
        <v>9997</v>
      </c>
      <c r="P992" s="232">
        <v>1</v>
      </c>
    </row>
    <row r="993" spans="1:16" ht="15.75" customHeight="1" x14ac:dyDescent="0.35">
      <c r="A993" s="258">
        <v>985</v>
      </c>
      <c r="B993" s="273" t="s">
        <v>7935</v>
      </c>
      <c r="C993" s="273" t="s">
        <v>7936</v>
      </c>
      <c r="D993" s="273" t="s">
        <v>51</v>
      </c>
      <c r="E993" s="273">
        <v>6220</v>
      </c>
      <c r="F993" s="273">
        <v>2003</v>
      </c>
      <c r="G993" s="273" t="s">
        <v>9986</v>
      </c>
      <c r="H993" s="273" t="s">
        <v>7938</v>
      </c>
      <c r="I993" s="274">
        <v>38720</v>
      </c>
      <c r="J993" s="273" t="s">
        <v>9999</v>
      </c>
      <c r="K993" s="273" t="s">
        <v>7939</v>
      </c>
      <c r="L993" s="273" t="s">
        <v>57</v>
      </c>
      <c r="M993" s="275">
        <v>56940</v>
      </c>
      <c r="N993" s="273" t="s">
        <v>7940</v>
      </c>
      <c r="O993" s="273" t="s">
        <v>10000</v>
      </c>
      <c r="P993" s="232">
        <v>1</v>
      </c>
    </row>
    <row r="994" spans="1:16" ht="15.75" customHeight="1" x14ac:dyDescent="0.35">
      <c r="A994" s="264">
        <v>986</v>
      </c>
      <c r="B994" s="273" t="s">
        <v>7935</v>
      </c>
      <c r="C994" s="273" t="s">
        <v>7936</v>
      </c>
      <c r="D994" s="273" t="s">
        <v>51</v>
      </c>
      <c r="E994" s="273">
        <v>40000</v>
      </c>
      <c r="F994" s="273">
        <v>2003</v>
      </c>
      <c r="G994" s="273" t="s">
        <v>9978</v>
      </c>
      <c r="H994" s="273" t="s">
        <v>7938</v>
      </c>
      <c r="I994" s="274"/>
      <c r="J994" s="273"/>
      <c r="K994" s="273" t="s">
        <v>7939</v>
      </c>
      <c r="L994" s="273" t="s">
        <v>57</v>
      </c>
      <c r="M994" s="275">
        <v>178000</v>
      </c>
      <c r="N994" s="273" t="s">
        <v>7940</v>
      </c>
      <c r="O994" s="273" t="s">
        <v>10001</v>
      </c>
      <c r="P994" s="232">
        <v>1</v>
      </c>
    </row>
    <row r="995" spans="1:16" ht="15.75" customHeight="1" x14ac:dyDescent="0.35">
      <c r="A995" s="258">
        <v>987</v>
      </c>
      <c r="B995" s="273" t="s">
        <v>7935</v>
      </c>
      <c r="C995" s="273" t="s">
        <v>7936</v>
      </c>
      <c r="D995" s="273" t="s">
        <v>51</v>
      </c>
      <c r="E995" s="273">
        <v>20000</v>
      </c>
      <c r="F995" s="273">
        <v>2003</v>
      </c>
      <c r="G995" s="273" t="s">
        <v>9973</v>
      </c>
      <c r="H995" s="273" t="s">
        <v>7938</v>
      </c>
      <c r="I995" s="274"/>
      <c r="J995" s="273"/>
      <c r="K995" s="273" t="s">
        <v>7939</v>
      </c>
      <c r="L995" s="273" t="s">
        <v>57</v>
      </c>
      <c r="M995" s="275">
        <v>73500</v>
      </c>
      <c r="N995" s="273" t="s">
        <v>7940</v>
      </c>
      <c r="O995" s="273" t="s">
        <v>10002</v>
      </c>
      <c r="P995" s="232">
        <v>1</v>
      </c>
    </row>
    <row r="996" spans="1:16" ht="15.75" customHeight="1" x14ac:dyDescent="0.35">
      <c r="A996" s="264">
        <v>988</v>
      </c>
      <c r="B996" s="273" t="s">
        <v>7935</v>
      </c>
      <c r="C996" s="273" t="s">
        <v>7936</v>
      </c>
      <c r="D996" s="273" t="s">
        <v>59</v>
      </c>
      <c r="E996" s="273">
        <v>4800</v>
      </c>
      <c r="F996" s="273">
        <v>2014</v>
      </c>
      <c r="G996" s="273" t="s">
        <v>9973</v>
      </c>
      <c r="H996" s="273" t="s">
        <v>7938</v>
      </c>
      <c r="I996" s="274"/>
      <c r="J996" s="273"/>
      <c r="K996" s="273" t="s">
        <v>7942</v>
      </c>
      <c r="L996" s="273" t="s">
        <v>422</v>
      </c>
      <c r="M996" s="275">
        <v>24000</v>
      </c>
      <c r="N996" s="273" t="s">
        <v>3059</v>
      </c>
      <c r="O996" s="273" t="s">
        <v>10002</v>
      </c>
      <c r="P996" s="232">
        <v>1</v>
      </c>
    </row>
    <row r="997" spans="1:16" ht="15.75" customHeight="1" x14ac:dyDescent="0.35">
      <c r="A997" s="258">
        <v>989</v>
      </c>
      <c r="B997" s="273" t="s">
        <v>7935</v>
      </c>
      <c r="C997" s="273" t="s">
        <v>7936</v>
      </c>
      <c r="D997" s="273" t="s">
        <v>51</v>
      </c>
      <c r="E997" s="273">
        <v>40000</v>
      </c>
      <c r="F997" s="273">
        <v>2003</v>
      </c>
      <c r="G997" s="273" t="s">
        <v>9986</v>
      </c>
      <c r="H997" s="273" t="s">
        <v>7938</v>
      </c>
      <c r="I997" s="274"/>
      <c r="J997" s="273"/>
      <c r="K997" s="273" t="s">
        <v>7939</v>
      </c>
      <c r="L997" s="273" t="s">
        <v>57</v>
      </c>
      <c r="M997" s="275">
        <v>147000</v>
      </c>
      <c r="N997" s="273" t="s">
        <v>7940</v>
      </c>
      <c r="O997" s="273" t="s">
        <v>10003</v>
      </c>
      <c r="P997" s="232">
        <v>1</v>
      </c>
    </row>
    <row r="998" spans="1:16" ht="15.75" customHeight="1" x14ac:dyDescent="0.35">
      <c r="A998" s="264">
        <v>990</v>
      </c>
      <c r="B998" s="273" t="s">
        <v>7935</v>
      </c>
      <c r="C998" s="273" t="s">
        <v>7936</v>
      </c>
      <c r="D998" s="273" t="s">
        <v>51</v>
      </c>
      <c r="E998" s="273">
        <v>8078</v>
      </c>
      <c r="F998" s="273">
        <v>2024</v>
      </c>
      <c r="G998" s="273" t="s">
        <v>8459</v>
      </c>
      <c r="H998" s="273" t="s">
        <v>7938</v>
      </c>
      <c r="I998" s="274">
        <v>44062</v>
      </c>
      <c r="J998" s="273" t="s">
        <v>8065</v>
      </c>
      <c r="K998" s="273" t="s">
        <v>10004</v>
      </c>
      <c r="L998" s="273" t="s">
        <v>422</v>
      </c>
      <c r="M998" s="275">
        <v>218106</v>
      </c>
      <c r="N998" s="273" t="s">
        <v>7969</v>
      </c>
      <c r="O998" s="273" t="s">
        <v>10005</v>
      </c>
      <c r="P998" s="232">
        <v>1</v>
      </c>
    </row>
    <row r="999" spans="1:16" ht="15.75" customHeight="1" x14ac:dyDescent="0.35">
      <c r="A999" s="258">
        <v>991</v>
      </c>
      <c r="B999" s="273" t="s">
        <v>7935</v>
      </c>
      <c r="C999" s="273" t="s">
        <v>7936</v>
      </c>
      <c r="D999" s="273" t="s">
        <v>51</v>
      </c>
      <c r="E999" s="273">
        <v>1700</v>
      </c>
      <c r="F999" s="273">
        <v>2024</v>
      </c>
      <c r="G999" s="273" t="s">
        <v>8132</v>
      </c>
      <c r="H999" s="273" t="s">
        <v>7938</v>
      </c>
      <c r="I999" s="274">
        <v>45612</v>
      </c>
      <c r="J999" s="273" t="s">
        <v>10006</v>
      </c>
      <c r="K999" s="273" t="s">
        <v>10007</v>
      </c>
      <c r="L999" s="273" t="s">
        <v>422</v>
      </c>
      <c r="M999" s="275">
        <v>23800</v>
      </c>
      <c r="N999" s="273" t="s">
        <v>7969</v>
      </c>
      <c r="O999" s="273" t="s">
        <v>10008</v>
      </c>
      <c r="P999" s="232">
        <v>1</v>
      </c>
    </row>
    <row r="1000" spans="1:16" ht="15.75" customHeight="1" x14ac:dyDescent="0.35">
      <c r="A1000" s="264">
        <v>992</v>
      </c>
      <c r="B1000" s="273" t="s">
        <v>7935</v>
      </c>
      <c r="C1000" s="273" t="s">
        <v>7936</v>
      </c>
      <c r="D1000" s="273" t="s">
        <v>51</v>
      </c>
      <c r="E1000" s="273">
        <v>18222</v>
      </c>
      <c r="F1000" s="273">
        <v>2003</v>
      </c>
      <c r="G1000" s="273" t="s">
        <v>9973</v>
      </c>
      <c r="H1000" s="273" t="s">
        <v>7938</v>
      </c>
      <c r="I1000" s="274">
        <v>44481</v>
      </c>
      <c r="J1000" s="273" t="s">
        <v>10009</v>
      </c>
      <c r="K1000" s="273" t="s">
        <v>7939</v>
      </c>
      <c r="L1000" s="273" t="s">
        <v>57</v>
      </c>
      <c r="M1000" s="275">
        <v>16699</v>
      </c>
      <c r="N1000" s="273" t="s">
        <v>7940</v>
      </c>
      <c r="O1000" s="273" t="s">
        <v>10010</v>
      </c>
      <c r="P1000" s="232">
        <v>1</v>
      </c>
    </row>
    <row r="1001" spans="1:16" ht="15.75" customHeight="1" x14ac:dyDescent="0.35">
      <c r="A1001" s="258">
        <v>993</v>
      </c>
      <c r="B1001" s="273" t="s">
        <v>7935</v>
      </c>
      <c r="C1001" s="273" t="s">
        <v>7936</v>
      </c>
      <c r="D1001" s="273" t="s">
        <v>59</v>
      </c>
      <c r="E1001" s="273">
        <v>16890</v>
      </c>
      <c r="F1001" s="273">
        <v>2014</v>
      </c>
      <c r="G1001" s="273" t="s">
        <v>9973</v>
      </c>
      <c r="H1001" s="273" t="s">
        <v>7938</v>
      </c>
      <c r="I1001" s="274">
        <v>44456</v>
      </c>
      <c r="J1001" s="273" t="s">
        <v>10011</v>
      </c>
      <c r="K1001" s="273" t="s">
        <v>7942</v>
      </c>
      <c r="L1001" s="273" t="s">
        <v>422</v>
      </c>
      <c r="M1001" s="275">
        <v>9000</v>
      </c>
      <c r="N1001" s="273" t="s">
        <v>3059</v>
      </c>
      <c r="O1001" s="273" t="s">
        <v>10010</v>
      </c>
      <c r="P1001" s="232">
        <v>1</v>
      </c>
    </row>
    <row r="1002" spans="1:16" ht="15.75" customHeight="1" x14ac:dyDescent="0.35">
      <c r="A1002" s="264">
        <v>994</v>
      </c>
      <c r="B1002" s="273" t="s">
        <v>7935</v>
      </c>
      <c r="C1002" s="273" t="s">
        <v>7936</v>
      </c>
      <c r="D1002" s="273" t="s">
        <v>51</v>
      </c>
      <c r="E1002" s="273">
        <v>40000</v>
      </c>
      <c r="F1002" s="273">
        <v>2003</v>
      </c>
      <c r="G1002" s="273" t="s">
        <v>9973</v>
      </c>
      <c r="H1002" s="273" t="s">
        <v>7938</v>
      </c>
      <c r="I1002" s="274"/>
      <c r="J1002" s="273"/>
      <c r="K1002" s="273" t="s">
        <v>7939</v>
      </c>
      <c r="L1002" s="273" t="s">
        <v>57</v>
      </c>
      <c r="M1002" s="275">
        <v>146000</v>
      </c>
      <c r="N1002" s="273" t="s">
        <v>7940</v>
      </c>
      <c r="O1002" s="273" t="s">
        <v>10012</v>
      </c>
      <c r="P1002" s="232">
        <v>1</v>
      </c>
    </row>
    <row r="1003" spans="1:16" ht="15.75" customHeight="1" x14ac:dyDescent="0.35">
      <c r="A1003" s="258">
        <v>995</v>
      </c>
      <c r="B1003" s="273" t="s">
        <v>7935</v>
      </c>
      <c r="C1003" s="273" t="s">
        <v>7936</v>
      </c>
      <c r="D1003" s="273" t="s">
        <v>51</v>
      </c>
      <c r="E1003" s="273">
        <v>40000</v>
      </c>
      <c r="F1003" s="273">
        <v>2003</v>
      </c>
      <c r="G1003" s="273" t="s">
        <v>9973</v>
      </c>
      <c r="H1003" s="273" t="s">
        <v>7938</v>
      </c>
      <c r="I1003" s="274"/>
      <c r="J1003" s="273"/>
      <c r="K1003" s="273" t="s">
        <v>7939</v>
      </c>
      <c r="L1003" s="273" t="s">
        <v>57</v>
      </c>
      <c r="M1003" s="275">
        <v>146000</v>
      </c>
      <c r="N1003" s="273" t="s">
        <v>7940</v>
      </c>
      <c r="O1003" s="273" t="s">
        <v>10013</v>
      </c>
      <c r="P1003" s="232">
        <v>1</v>
      </c>
    </row>
    <row r="1004" spans="1:16" ht="15" customHeight="1" x14ac:dyDescent="0.35">
      <c r="A1004" s="264">
        <v>996</v>
      </c>
      <c r="B1004" s="273" t="s">
        <v>7935</v>
      </c>
      <c r="C1004" s="273" t="s">
        <v>7936</v>
      </c>
      <c r="D1004" s="273" t="s">
        <v>51</v>
      </c>
      <c r="E1004" s="273">
        <v>25000</v>
      </c>
      <c r="F1004" s="273">
        <v>2003</v>
      </c>
      <c r="G1004" s="273" t="s">
        <v>9978</v>
      </c>
      <c r="H1004" s="273" t="s">
        <v>7938</v>
      </c>
      <c r="I1004" s="274"/>
      <c r="J1004" s="273"/>
      <c r="K1004" s="273" t="s">
        <v>7939</v>
      </c>
      <c r="L1004" s="273" t="s">
        <v>57</v>
      </c>
      <c r="M1004" s="275">
        <v>109375</v>
      </c>
      <c r="N1004" s="273" t="s">
        <v>7940</v>
      </c>
      <c r="O1004" s="276" t="s">
        <v>10014</v>
      </c>
      <c r="P1004" s="232">
        <v>1</v>
      </c>
    </row>
    <row r="1005" spans="1:16" ht="15.75" customHeight="1" x14ac:dyDescent="0.35">
      <c r="A1005" s="258">
        <v>997</v>
      </c>
      <c r="B1005" s="273" t="s">
        <v>7935</v>
      </c>
      <c r="C1005" s="273" t="s">
        <v>7936</v>
      </c>
      <c r="D1005" s="273" t="s">
        <v>59</v>
      </c>
      <c r="E1005" s="273">
        <v>150</v>
      </c>
      <c r="F1005" s="273">
        <v>2014</v>
      </c>
      <c r="G1005" s="273" t="s">
        <v>9978</v>
      </c>
      <c r="H1005" s="273" t="s">
        <v>7938</v>
      </c>
      <c r="I1005" s="274"/>
      <c r="J1005" s="273"/>
      <c r="K1005" s="273" t="s">
        <v>7942</v>
      </c>
      <c r="L1005" s="273" t="s">
        <v>422</v>
      </c>
      <c r="M1005" s="275">
        <v>35000</v>
      </c>
      <c r="N1005" s="273" t="s">
        <v>3059</v>
      </c>
      <c r="O1005" s="273" t="s">
        <v>10014</v>
      </c>
      <c r="P1005" s="232">
        <v>1</v>
      </c>
    </row>
    <row r="1006" spans="1:16" ht="15.75" customHeight="1" x14ac:dyDescent="0.35">
      <c r="A1006" s="264">
        <v>998</v>
      </c>
      <c r="B1006" s="273" t="s">
        <v>8206</v>
      </c>
      <c r="C1006" s="273" t="s">
        <v>8207</v>
      </c>
      <c r="D1006" s="273" t="s">
        <v>51</v>
      </c>
      <c r="E1006" s="273">
        <v>425</v>
      </c>
      <c r="F1006" s="273">
        <v>2014</v>
      </c>
      <c r="G1006" s="273" t="s">
        <v>10015</v>
      </c>
      <c r="H1006" s="273" t="s">
        <v>7938</v>
      </c>
      <c r="I1006" s="274">
        <v>40178</v>
      </c>
      <c r="J1006" s="273"/>
      <c r="K1006" s="273" t="s">
        <v>10016</v>
      </c>
      <c r="L1006" s="273" t="s">
        <v>422</v>
      </c>
      <c r="M1006" s="275">
        <v>85</v>
      </c>
      <c r="N1006" s="273" t="s">
        <v>10017</v>
      </c>
      <c r="O1006" s="273" t="s">
        <v>10018</v>
      </c>
      <c r="P1006" s="277">
        <v>2</v>
      </c>
    </row>
    <row r="1007" spans="1:16" ht="15.75" customHeight="1" x14ac:dyDescent="0.35">
      <c r="A1007" s="258">
        <v>999</v>
      </c>
      <c r="B1007" s="273" t="s">
        <v>8206</v>
      </c>
      <c r="C1007" s="273" t="s">
        <v>8207</v>
      </c>
      <c r="D1007" s="273" t="s">
        <v>59</v>
      </c>
      <c r="E1007" s="273">
        <v>89</v>
      </c>
      <c r="F1007" s="273">
        <v>2014</v>
      </c>
      <c r="G1007" s="273" t="s">
        <v>10019</v>
      </c>
      <c r="H1007" s="273" t="s">
        <v>7938</v>
      </c>
      <c r="I1007" s="274">
        <v>45603</v>
      </c>
      <c r="J1007" s="273" t="s">
        <v>10020</v>
      </c>
      <c r="K1007" s="273" t="s">
        <v>10021</v>
      </c>
      <c r="L1007" s="273" t="s">
        <v>422</v>
      </c>
      <c r="M1007" s="275">
        <v>2700</v>
      </c>
      <c r="N1007" s="273" t="s">
        <v>10022</v>
      </c>
      <c r="O1007" s="273" t="s">
        <v>10018</v>
      </c>
      <c r="P1007" s="277">
        <v>2</v>
      </c>
    </row>
    <row r="1008" spans="1:16" ht="15.75" customHeight="1" x14ac:dyDescent="0.35">
      <c r="A1008" s="264">
        <v>1000</v>
      </c>
      <c r="B1008" s="273" t="s">
        <v>8206</v>
      </c>
      <c r="C1008" s="273" t="s">
        <v>8207</v>
      </c>
      <c r="D1008" s="273" t="s">
        <v>97</v>
      </c>
      <c r="E1008" s="273">
        <v>169</v>
      </c>
      <c r="F1008" s="273">
        <v>2015</v>
      </c>
      <c r="G1008" s="273" t="s">
        <v>10023</v>
      </c>
      <c r="H1008" s="273" t="s">
        <v>7938</v>
      </c>
      <c r="I1008" s="274">
        <v>45603</v>
      </c>
      <c r="J1008" s="273" t="s">
        <v>10024</v>
      </c>
      <c r="K1008" s="273" t="s">
        <v>8217</v>
      </c>
      <c r="L1008" s="273" t="s">
        <v>422</v>
      </c>
      <c r="M1008" s="275">
        <v>2400</v>
      </c>
      <c r="N1008" s="273" t="s">
        <v>10025</v>
      </c>
      <c r="O1008" s="273" t="s">
        <v>10018</v>
      </c>
      <c r="P1008" s="277">
        <v>2</v>
      </c>
    </row>
    <row r="1009" spans="1:16" ht="15.75" customHeight="1" x14ac:dyDescent="0.35">
      <c r="A1009" s="258">
        <v>1001</v>
      </c>
      <c r="B1009" s="273" t="s">
        <v>8206</v>
      </c>
      <c r="C1009" s="273" t="s">
        <v>8207</v>
      </c>
      <c r="D1009" s="273" t="s">
        <v>101</v>
      </c>
      <c r="E1009" s="273">
        <v>450</v>
      </c>
      <c r="F1009" s="273">
        <v>2015</v>
      </c>
      <c r="G1009" s="273" t="s">
        <v>10026</v>
      </c>
      <c r="H1009" s="273" t="s">
        <v>7938</v>
      </c>
      <c r="I1009" s="274">
        <v>41256</v>
      </c>
      <c r="J1009" s="273"/>
      <c r="K1009" s="273" t="s">
        <v>8220</v>
      </c>
      <c r="L1009" s="273" t="s">
        <v>422</v>
      </c>
      <c r="M1009" s="275">
        <v>121.5</v>
      </c>
      <c r="N1009" s="273" t="s">
        <v>10027</v>
      </c>
      <c r="O1009" s="273" t="s">
        <v>10018</v>
      </c>
      <c r="P1009" s="277">
        <v>2</v>
      </c>
    </row>
    <row r="1010" spans="1:16" ht="15.75" customHeight="1" x14ac:dyDescent="0.35">
      <c r="A1010" s="264">
        <v>1002</v>
      </c>
      <c r="B1010" s="273" t="s">
        <v>8206</v>
      </c>
      <c r="C1010" s="273" t="s">
        <v>8207</v>
      </c>
      <c r="D1010" s="273" t="s">
        <v>107</v>
      </c>
      <c r="E1010" s="273">
        <v>956</v>
      </c>
      <c r="F1010" s="273">
        <v>2015</v>
      </c>
      <c r="G1010" s="273" t="s">
        <v>10028</v>
      </c>
      <c r="H1010" s="273" t="s">
        <v>7938</v>
      </c>
      <c r="I1010" s="274">
        <v>45603</v>
      </c>
      <c r="J1010" s="273" t="s">
        <v>10029</v>
      </c>
      <c r="K1010" s="273" t="s">
        <v>10030</v>
      </c>
      <c r="L1010" s="273" t="s">
        <v>422</v>
      </c>
      <c r="M1010" s="275">
        <v>25920</v>
      </c>
      <c r="N1010" s="273" t="s">
        <v>10031</v>
      </c>
      <c r="O1010" s="273" t="s">
        <v>10018</v>
      </c>
      <c r="P1010" s="277">
        <v>2</v>
      </c>
    </row>
    <row r="1011" spans="1:16" ht="15.75" customHeight="1" x14ac:dyDescent="0.35">
      <c r="A1011" s="258">
        <v>1003</v>
      </c>
      <c r="B1011" s="273" t="s">
        <v>8206</v>
      </c>
      <c r="C1011" s="273" t="s">
        <v>8207</v>
      </c>
      <c r="D1011" s="273" t="s">
        <v>112</v>
      </c>
      <c r="E1011" s="273">
        <v>240</v>
      </c>
      <c r="F1011" s="273">
        <v>2025</v>
      </c>
      <c r="G1011" s="273" t="s">
        <v>8040</v>
      </c>
      <c r="H1011" s="273" t="s">
        <v>7938</v>
      </c>
      <c r="I1011" s="274">
        <v>45827</v>
      </c>
      <c r="J1011" s="273" t="s">
        <v>8009</v>
      </c>
      <c r="K1011" s="273" t="s">
        <v>10032</v>
      </c>
      <c r="L1011" s="273" t="s">
        <v>422</v>
      </c>
      <c r="M1011" s="275">
        <v>288</v>
      </c>
      <c r="N1011" s="273" t="s">
        <v>10033</v>
      </c>
      <c r="O1011" s="273" t="s">
        <v>10018</v>
      </c>
      <c r="P1011" s="277">
        <v>2</v>
      </c>
    </row>
    <row r="1012" spans="1:16" ht="15.75" customHeight="1" x14ac:dyDescent="0.35">
      <c r="A1012" s="264">
        <v>1004</v>
      </c>
      <c r="B1012" s="273" t="s">
        <v>8206</v>
      </c>
      <c r="C1012" s="273" t="s">
        <v>8207</v>
      </c>
      <c r="D1012" s="273" t="s">
        <v>116</v>
      </c>
      <c r="E1012" s="273">
        <v>218</v>
      </c>
      <c r="F1012" s="273">
        <v>2025</v>
      </c>
      <c r="G1012" s="273" t="s">
        <v>8040</v>
      </c>
      <c r="H1012" s="273" t="s">
        <v>7938</v>
      </c>
      <c r="I1012" s="274"/>
      <c r="J1012" s="273" t="s">
        <v>8009</v>
      </c>
      <c r="K1012" s="273" t="s">
        <v>10034</v>
      </c>
      <c r="L1012" s="273" t="s">
        <v>422</v>
      </c>
      <c r="M1012" s="275">
        <v>261.60000000000002</v>
      </c>
      <c r="N1012" s="273" t="s">
        <v>10035</v>
      </c>
      <c r="O1012" s="273" t="s">
        <v>10018</v>
      </c>
      <c r="P1012" s="277">
        <v>2</v>
      </c>
    </row>
    <row r="1013" spans="1:16" ht="15.75" customHeight="1" x14ac:dyDescent="0.35">
      <c r="A1013" s="258">
        <v>1005</v>
      </c>
      <c r="B1013" s="273" t="s">
        <v>8206</v>
      </c>
      <c r="C1013" s="273" t="s">
        <v>8207</v>
      </c>
      <c r="D1013" s="273" t="s">
        <v>841</v>
      </c>
      <c r="E1013" s="273">
        <v>329</v>
      </c>
      <c r="F1013" s="273">
        <v>2025</v>
      </c>
      <c r="G1013" s="273" t="s">
        <v>10036</v>
      </c>
      <c r="H1013" s="273" t="s">
        <v>7938</v>
      </c>
      <c r="I1013" s="274">
        <v>45827</v>
      </c>
      <c r="J1013" s="273" t="s">
        <v>8009</v>
      </c>
      <c r="K1013" s="273" t="s">
        <v>10037</v>
      </c>
      <c r="L1013" s="273" t="s">
        <v>422</v>
      </c>
      <c r="M1013" s="275">
        <v>15792</v>
      </c>
      <c r="N1013" s="273" t="s">
        <v>10038</v>
      </c>
      <c r="O1013" s="273" t="s">
        <v>10018</v>
      </c>
      <c r="P1013" s="277">
        <v>2</v>
      </c>
    </row>
    <row r="1014" spans="1:16" ht="15.75" customHeight="1" x14ac:dyDescent="0.35">
      <c r="A1014" s="264">
        <v>1006</v>
      </c>
      <c r="B1014" s="273" t="s">
        <v>8206</v>
      </c>
      <c r="C1014" s="273" t="s">
        <v>8207</v>
      </c>
      <c r="D1014" s="273" t="s">
        <v>904</v>
      </c>
      <c r="E1014" s="273">
        <v>204</v>
      </c>
      <c r="F1014" s="273">
        <v>2025</v>
      </c>
      <c r="G1014" s="273" t="s">
        <v>10039</v>
      </c>
      <c r="H1014" s="273" t="s">
        <v>7938</v>
      </c>
      <c r="I1014" s="274">
        <v>45827</v>
      </c>
      <c r="J1014" s="273" t="s">
        <v>8009</v>
      </c>
      <c r="K1014" s="273" t="s">
        <v>10040</v>
      </c>
      <c r="L1014" s="273" t="s">
        <v>422</v>
      </c>
      <c r="M1014" s="275">
        <v>13056</v>
      </c>
      <c r="N1014" s="273" t="s">
        <v>10041</v>
      </c>
      <c r="O1014" s="273" t="s">
        <v>10018</v>
      </c>
      <c r="P1014" s="277">
        <v>2</v>
      </c>
    </row>
    <row r="1015" spans="1:16" ht="15.75" customHeight="1" x14ac:dyDescent="0.35">
      <c r="A1015" s="258">
        <v>1007</v>
      </c>
      <c r="B1015" s="273" t="s">
        <v>8206</v>
      </c>
      <c r="C1015" s="273" t="s">
        <v>8207</v>
      </c>
      <c r="D1015" s="273" t="s">
        <v>122</v>
      </c>
      <c r="E1015" s="273">
        <v>137</v>
      </c>
      <c r="F1015" s="273">
        <v>2025</v>
      </c>
      <c r="G1015" s="273" t="s">
        <v>9969</v>
      </c>
      <c r="H1015" s="273" t="s">
        <v>7938</v>
      </c>
      <c r="I1015" s="274">
        <v>45827</v>
      </c>
      <c r="J1015" s="273" t="s">
        <v>8009</v>
      </c>
      <c r="K1015" s="273" t="s">
        <v>10042</v>
      </c>
      <c r="L1015" s="273" t="s">
        <v>422</v>
      </c>
      <c r="M1015" s="275">
        <v>1918</v>
      </c>
      <c r="N1015" s="273" t="s">
        <v>10043</v>
      </c>
      <c r="O1015" s="273" t="s">
        <v>10018</v>
      </c>
      <c r="P1015" s="277">
        <v>2</v>
      </c>
    </row>
    <row r="1016" spans="1:16" ht="15.75" customHeight="1" x14ac:dyDescent="0.35">
      <c r="A1016" s="264">
        <v>1008</v>
      </c>
      <c r="B1016" s="273" t="s">
        <v>8206</v>
      </c>
      <c r="C1016" s="273" t="s">
        <v>8207</v>
      </c>
      <c r="D1016" s="273" t="s">
        <v>126</v>
      </c>
      <c r="E1016" s="273">
        <v>205</v>
      </c>
      <c r="F1016" s="273">
        <v>2025</v>
      </c>
      <c r="G1016" s="273" t="s">
        <v>10044</v>
      </c>
      <c r="H1016" s="273" t="s">
        <v>7938</v>
      </c>
      <c r="I1016" s="274">
        <v>45827</v>
      </c>
      <c r="J1016" s="273" t="s">
        <v>8009</v>
      </c>
      <c r="K1016" s="273" t="s">
        <v>10045</v>
      </c>
      <c r="L1016" s="273" t="s">
        <v>422</v>
      </c>
      <c r="M1016" s="275">
        <v>13312</v>
      </c>
      <c r="N1016" s="273" t="s">
        <v>10046</v>
      </c>
      <c r="O1016" s="273" t="s">
        <v>10018</v>
      </c>
      <c r="P1016" s="277">
        <v>2</v>
      </c>
    </row>
    <row r="1017" spans="1:16" ht="15.75" customHeight="1" x14ac:dyDescent="0.35">
      <c r="A1017" s="258">
        <v>1009</v>
      </c>
      <c r="B1017" s="273" t="s">
        <v>8206</v>
      </c>
      <c r="C1017" s="273" t="s">
        <v>8207</v>
      </c>
      <c r="D1017" s="273" t="s">
        <v>51</v>
      </c>
      <c r="E1017" s="273">
        <v>1600</v>
      </c>
      <c r="F1017" s="273">
        <v>2014</v>
      </c>
      <c r="G1017" s="273" t="s">
        <v>10047</v>
      </c>
      <c r="H1017" s="273" t="s">
        <v>7938</v>
      </c>
      <c r="I1017" s="274">
        <v>39488</v>
      </c>
      <c r="J1017" s="273"/>
      <c r="K1017" s="273" t="s">
        <v>10048</v>
      </c>
      <c r="L1017" s="273" t="s">
        <v>422</v>
      </c>
      <c r="M1017" s="275">
        <v>224</v>
      </c>
      <c r="N1017" s="273" t="s">
        <v>10049</v>
      </c>
      <c r="O1017" s="273" t="s">
        <v>10050</v>
      </c>
      <c r="P1017" s="277">
        <v>2</v>
      </c>
    </row>
    <row r="1018" spans="1:16" ht="15.75" customHeight="1" x14ac:dyDescent="0.35">
      <c r="A1018" s="264">
        <v>1010</v>
      </c>
      <c r="B1018" s="273" t="s">
        <v>8206</v>
      </c>
      <c r="C1018" s="273" t="s">
        <v>8207</v>
      </c>
      <c r="D1018" s="273" t="s">
        <v>59</v>
      </c>
      <c r="E1018" s="273">
        <v>2000</v>
      </c>
      <c r="F1018" s="273">
        <v>2014</v>
      </c>
      <c r="G1018" s="273" t="s">
        <v>10051</v>
      </c>
      <c r="H1018" s="273" t="s">
        <v>7938</v>
      </c>
      <c r="I1018" s="274">
        <v>39472</v>
      </c>
      <c r="J1018" s="273"/>
      <c r="K1018" s="273" t="s">
        <v>10052</v>
      </c>
      <c r="L1018" s="273" t="s">
        <v>422</v>
      </c>
      <c r="M1018" s="275">
        <v>400</v>
      </c>
      <c r="N1018" s="273" t="s">
        <v>10053</v>
      </c>
      <c r="O1018" s="273" t="s">
        <v>10050</v>
      </c>
      <c r="P1018" s="277">
        <v>2</v>
      </c>
    </row>
    <row r="1019" spans="1:16" ht="15.75" customHeight="1" x14ac:dyDescent="0.35">
      <c r="A1019" s="258">
        <v>1011</v>
      </c>
      <c r="B1019" s="273" t="s">
        <v>8206</v>
      </c>
      <c r="C1019" s="273" t="s">
        <v>8207</v>
      </c>
      <c r="D1019" s="273" t="s">
        <v>97</v>
      </c>
      <c r="E1019" s="273">
        <v>192</v>
      </c>
      <c r="F1019" s="273">
        <v>2015</v>
      </c>
      <c r="G1019" s="273" t="s">
        <v>10054</v>
      </c>
      <c r="H1019" s="273" t="s">
        <v>7938</v>
      </c>
      <c r="I1019" s="274">
        <v>41466</v>
      </c>
      <c r="J1019" s="273" t="s">
        <v>10055</v>
      </c>
      <c r="K1019" s="273" t="s">
        <v>8261</v>
      </c>
      <c r="L1019" s="273" t="s">
        <v>422</v>
      </c>
      <c r="M1019" s="275">
        <v>38.4</v>
      </c>
      <c r="N1019" s="273" t="s">
        <v>10056</v>
      </c>
      <c r="O1019" s="273" t="s">
        <v>10050</v>
      </c>
      <c r="P1019" s="277">
        <v>2</v>
      </c>
    </row>
    <row r="1020" spans="1:16" ht="15.75" customHeight="1" x14ac:dyDescent="0.35">
      <c r="A1020" s="264">
        <v>1012</v>
      </c>
      <c r="B1020" s="273" t="s">
        <v>8206</v>
      </c>
      <c r="C1020" s="273" t="s">
        <v>8207</v>
      </c>
      <c r="D1020" s="273" t="s">
        <v>101</v>
      </c>
      <c r="E1020" s="273">
        <v>9900</v>
      </c>
      <c r="F1020" s="273">
        <v>2015</v>
      </c>
      <c r="G1020" s="273" t="s">
        <v>10057</v>
      </c>
      <c r="H1020" s="273" t="s">
        <v>7938</v>
      </c>
      <c r="I1020" s="274">
        <v>41914</v>
      </c>
      <c r="J1020" s="273" t="s">
        <v>10058</v>
      </c>
      <c r="K1020" s="273" t="s">
        <v>8233</v>
      </c>
      <c r="L1020" s="273" t="s">
        <v>422</v>
      </c>
      <c r="M1020" s="275">
        <v>1980</v>
      </c>
      <c r="N1020" s="273" t="s">
        <v>10059</v>
      </c>
      <c r="O1020" s="273" t="s">
        <v>10050</v>
      </c>
      <c r="P1020" s="277">
        <v>2</v>
      </c>
    </row>
    <row r="1021" spans="1:16" ht="15.75" customHeight="1" x14ac:dyDescent="0.35">
      <c r="A1021" s="278">
        <v>1013</v>
      </c>
      <c r="B1021" s="279" t="s">
        <v>8206</v>
      </c>
      <c r="C1021" s="279" t="s">
        <v>8207</v>
      </c>
      <c r="D1021" s="279" t="s">
        <v>107</v>
      </c>
      <c r="E1021" s="279">
        <v>643</v>
      </c>
      <c r="F1021" s="279">
        <v>2024</v>
      </c>
      <c r="G1021" s="279" t="s">
        <v>10060</v>
      </c>
      <c r="H1021" s="279" t="s">
        <v>7938</v>
      </c>
      <c r="I1021" s="280">
        <v>45377</v>
      </c>
      <c r="J1021" s="279" t="s">
        <v>10061</v>
      </c>
      <c r="K1021" s="279" t="s">
        <v>10062</v>
      </c>
      <c r="L1021" s="279" t="s">
        <v>422</v>
      </c>
      <c r="M1021" s="281">
        <v>12860</v>
      </c>
      <c r="N1021" s="279" t="s">
        <v>7969</v>
      </c>
      <c r="O1021" s="279" t="s">
        <v>10050</v>
      </c>
      <c r="P1021" s="277">
        <v>2</v>
      </c>
    </row>
    <row r="1022" spans="1:16" ht="27" customHeight="1" x14ac:dyDescent="0.35">
      <c r="A1022" s="284" t="s">
        <v>12</v>
      </c>
      <c r="B1022" s="285"/>
      <c r="C1022" s="285"/>
      <c r="D1022" s="285"/>
      <c r="E1022" s="285"/>
      <c r="F1022" s="285"/>
      <c r="G1022" s="285"/>
      <c r="H1022" s="285"/>
      <c r="I1022" s="285"/>
      <c r="J1022" s="285"/>
      <c r="K1022" s="285"/>
      <c r="L1022" s="286"/>
      <c r="M1022" s="282">
        <f>SUBTOTAL(9,M9:M1021)</f>
        <v>233466403.06120005</v>
      </c>
      <c r="N1022" s="283"/>
      <c r="O1022" s="283"/>
      <c r="P1022" s="277"/>
    </row>
  </sheetData>
  <autoFilter ref="A8:Z8" xr:uid="{594669E5-9A06-4E03-A69A-321DC9E030C2}"/>
  <mergeCells count="7">
    <mergeCell ref="A1022:L1022"/>
    <mergeCell ref="M1:N1"/>
    <mergeCell ref="H2:K2"/>
    <mergeCell ref="I3:J3"/>
    <mergeCell ref="C5:D5"/>
    <mergeCell ref="H5:J5"/>
    <mergeCell ref="I6:J6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0EE0-878A-405B-8448-A1BB43935B51}">
  <dimension ref="A1:S3561"/>
  <sheetViews>
    <sheetView tabSelected="1" topLeftCell="A3530" workbookViewId="0">
      <selection activeCell="I3552" sqref="I3552"/>
    </sheetView>
  </sheetViews>
  <sheetFormatPr defaultColWidth="14.453125" defaultRowHeight="15" customHeight="1" x14ac:dyDescent="0.35"/>
  <cols>
    <col min="1" max="1" width="7.90625" style="399" customWidth="1"/>
    <col min="2" max="2" width="28.08984375" style="399" customWidth="1"/>
    <col min="3" max="3" width="20.453125" style="399" customWidth="1"/>
    <col min="4" max="4" width="13.36328125" style="400" customWidth="1"/>
    <col min="5" max="5" width="15.36328125" style="400" customWidth="1"/>
    <col min="6" max="6" width="13.453125" style="400" customWidth="1"/>
    <col min="7" max="7" width="10.90625" style="400" customWidth="1"/>
    <col min="8" max="8" width="10" style="400" customWidth="1"/>
    <col min="9" max="9" width="29.90625" style="399" customWidth="1"/>
    <col min="10" max="10" width="17.90625" style="401" customWidth="1"/>
    <col min="11" max="11" width="31.6328125" style="399" customWidth="1"/>
    <col min="12" max="12" width="17.54296875" style="399" customWidth="1"/>
    <col min="13" max="13" width="21.08984375" style="399" customWidth="1"/>
    <col min="14" max="14" width="20.6328125" style="399" customWidth="1"/>
    <col min="15" max="15" width="14" style="399" customWidth="1"/>
    <col min="16" max="16" width="25" style="403" customWidth="1"/>
    <col min="17" max="17" width="36.08984375" style="399" customWidth="1"/>
    <col min="18" max="18" width="37.453125" style="399" customWidth="1"/>
    <col min="19" max="19" width="8.54296875" style="399" customWidth="1"/>
  </cols>
  <sheetData>
    <row r="1" spans="1:19" ht="15.5" x14ac:dyDescent="0.35">
      <c r="A1" s="313"/>
      <c r="B1" s="314"/>
      <c r="C1" s="313"/>
      <c r="D1" s="315"/>
      <c r="E1" s="315"/>
      <c r="F1" s="315"/>
      <c r="G1" s="316"/>
      <c r="H1" s="317"/>
      <c r="I1" s="317"/>
      <c r="J1" s="317"/>
      <c r="K1" s="317"/>
      <c r="L1" s="317"/>
      <c r="M1" s="317"/>
      <c r="N1" s="318"/>
      <c r="O1" s="317"/>
      <c r="P1" s="317"/>
      <c r="Q1" s="317"/>
      <c r="R1" s="317"/>
      <c r="S1" s="319"/>
    </row>
    <row r="2" spans="1:19" ht="18.5" x14ac:dyDescent="0.35">
      <c r="A2" s="320" t="s">
        <v>7</v>
      </c>
      <c r="B2" s="317"/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9"/>
    </row>
    <row r="3" spans="1:19" ht="21" x14ac:dyDescent="0.35">
      <c r="A3" s="321" t="s">
        <v>10063</v>
      </c>
      <c r="B3" s="317"/>
      <c r="C3" s="317"/>
      <c r="D3" s="317"/>
      <c r="E3" s="317"/>
      <c r="F3" s="317"/>
      <c r="G3" s="317"/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9"/>
    </row>
    <row r="4" spans="1:19" ht="21" x14ac:dyDescent="0.35">
      <c r="A4" s="321" t="s">
        <v>10064</v>
      </c>
      <c r="B4" s="317"/>
      <c r="C4" s="317"/>
      <c r="D4" s="317"/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9"/>
    </row>
    <row r="5" spans="1:19" ht="15.5" x14ac:dyDescent="0.35">
      <c r="A5" s="313"/>
      <c r="B5" s="314"/>
      <c r="C5" s="313"/>
      <c r="D5" s="315"/>
      <c r="E5" s="315"/>
      <c r="F5" s="315"/>
      <c r="G5" s="315"/>
      <c r="H5" s="315"/>
      <c r="I5" s="315"/>
      <c r="J5" s="322"/>
      <c r="K5" s="315"/>
      <c r="L5" s="315"/>
      <c r="M5" s="315"/>
      <c r="N5" s="315"/>
      <c r="O5" s="315"/>
      <c r="P5" s="323"/>
      <c r="Q5" s="324"/>
      <c r="R5" s="314"/>
      <c r="S5" s="319"/>
    </row>
    <row r="6" spans="1:19" ht="15.5" x14ac:dyDescent="0.35">
      <c r="A6" s="313"/>
      <c r="B6" s="314"/>
      <c r="C6" s="313"/>
      <c r="D6" s="315"/>
      <c r="E6" s="315"/>
      <c r="F6" s="315"/>
      <c r="G6" s="315"/>
      <c r="H6" s="315"/>
      <c r="I6" s="315"/>
      <c r="J6" s="322"/>
      <c r="K6" s="315"/>
      <c r="L6" s="315"/>
      <c r="M6" s="315"/>
      <c r="N6" s="315"/>
      <c r="O6" s="315"/>
      <c r="P6" s="323"/>
      <c r="Q6" s="324"/>
      <c r="R6" s="314"/>
      <c r="S6" s="319"/>
    </row>
    <row r="7" spans="1:19" ht="12.75" customHeight="1" thickBot="1" x14ac:dyDescent="0.4">
      <c r="A7" s="325"/>
      <c r="B7" s="314"/>
      <c r="C7" s="325"/>
      <c r="D7" s="326"/>
      <c r="E7" s="326"/>
      <c r="F7" s="326"/>
      <c r="G7" s="326"/>
      <c r="H7" s="326"/>
      <c r="I7" s="327"/>
      <c r="J7" s="328"/>
      <c r="K7" s="329"/>
      <c r="L7" s="326"/>
      <c r="M7" s="326"/>
      <c r="N7" s="326"/>
      <c r="O7" s="326"/>
      <c r="P7" s="330"/>
      <c r="Q7" s="331"/>
      <c r="R7" s="327"/>
      <c r="S7" s="319"/>
    </row>
    <row r="8" spans="1:19" ht="47" customHeight="1" thickBot="1" x14ac:dyDescent="0.4">
      <c r="A8" s="332" t="s">
        <v>10065</v>
      </c>
      <c r="B8" s="332" t="s">
        <v>10066</v>
      </c>
      <c r="C8" s="333"/>
      <c r="D8" s="334"/>
      <c r="E8" s="332" t="s">
        <v>10067</v>
      </c>
      <c r="F8" s="333"/>
      <c r="G8" s="335"/>
      <c r="H8" s="332" t="s">
        <v>10068</v>
      </c>
      <c r="I8" s="332" t="s">
        <v>10069</v>
      </c>
      <c r="J8" s="333"/>
      <c r="K8" s="334"/>
      <c r="L8" s="336" t="s">
        <v>10070</v>
      </c>
      <c r="M8" s="337" t="s">
        <v>10070</v>
      </c>
      <c r="N8" s="336" t="s">
        <v>28</v>
      </c>
      <c r="O8" s="337" t="s">
        <v>10070</v>
      </c>
      <c r="P8" s="338" t="s">
        <v>34</v>
      </c>
      <c r="Q8" s="339"/>
      <c r="R8" s="339"/>
      <c r="S8" s="340"/>
    </row>
    <row r="9" spans="1:19" ht="15.5" x14ac:dyDescent="0.35">
      <c r="A9" s="341"/>
      <c r="B9" s="341"/>
      <c r="C9" s="337" t="s">
        <v>7926</v>
      </c>
      <c r="D9" s="332" t="s">
        <v>40</v>
      </c>
      <c r="E9" s="341"/>
      <c r="F9" s="342" t="s">
        <v>10071</v>
      </c>
      <c r="G9" s="342" t="s">
        <v>10072</v>
      </c>
      <c r="H9" s="341"/>
      <c r="I9" s="341"/>
      <c r="J9" s="343" t="s">
        <v>7934</v>
      </c>
      <c r="K9" s="342" t="s">
        <v>28</v>
      </c>
      <c r="L9" s="336" t="s">
        <v>7923</v>
      </c>
      <c r="M9" s="337" t="s">
        <v>10073</v>
      </c>
      <c r="N9" s="336" t="s">
        <v>10074</v>
      </c>
      <c r="O9" s="337" t="s">
        <v>10075</v>
      </c>
      <c r="P9" s="338"/>
      <c r="Q9" s="339" t="s">
        <v>10076</v>
      </c>
      <c r="R9" s="339" t="s">
        <v>36</v>
      </c>
      <c r="S9" s="340"/>
    </row>
    <row r="10" spans="1:19" ht="16" thickBot="1" x14ac:dyDescent="0.4">
      <c r="A10" s="344"/>
      <c r="B10" s="344"/>
      <c r="C10" s="345" t="s">
        <v>10077</v>
      </c>
      <c r="D10" s="344"/>
      <c r="E10" s="344"/>
      <c r="F10" s="342" t="s">
        <v>10078</v>
      </c>
      <c r="G10" s="342" t="s">
        <v>10079</v>
      </c>
      <c r="H10" s="344"/>
      <c r="I10" s="344"/>
      <c r="J10" s="343"/>
      <c r="K10" s="342" t="s">
        <v>10070</v>
      </c>
      <c r="L10" s="336" t="s">
        <v>7927</v>
      </c>
      <c r="M10" s="337"/>
      <c r="N10" s="336"/>
      <c r="O10" s="337"/>
      <c r="P10" s="338"/>
      <c r="Q10" s="339"/>
      <c r="R10" s="339"/>
      <c r="S10" s="340"/>
    </row>
    <row r="11" spans="1:19" ht="16" thickBot="1" x14ac:dyDescent="0.4">
      <c r="A11" s="346"/>
      <c r="B11" s="346"/>
      <c r="C11" s="346"/>
      <c r="D11" s="346"/>
      <c r="E11" s="346"/>
      <c r="F11" s="346"/>
      <c r="G11" s="346"/>
      <c r="H11" s="346"/>
      <c r="I11" s="346"/>
      <c r="J11" s="347"/>
      <c r="K11" s="346"/>
      <c r="L11" s="346"/>
      <c r="M11" s="346"/>
      <c r="N11" s="346"/>
      <c r="O11" s="346"/>
      <c r="P11" s="348"/>
      <c r="Q11" s="346"/>
      <c r="R11" s="346"/>
      <c r="S11" s="340"/>
    </row>
    <row r="12" spans="1:19" ht="29" x14ac:dyDescent="0.35">
      <c r="A12" s="349">
        <v>1</v>
      </c>
      <c r="B12" s="350" t="s">
        <v>10080</v>
      </c>
      <c r="C12" s="351" t="s">
        <v>10081</v>
      </c>
      <c r="D12" s="352" t="s">
        <v>51</v>
      </c>
      <c r="E12" s="352" t="s">
        <v>10082</v>
      </c>
      <c r="F12" s="352" t="s">
        <v>10078</v>
      </c>
      <c r="G12" s="352" t="s">
        <v>10078</v>
      </c>
      <c r="H12" s="352">
        <v>90</v>
      </c>
      <c r="I12" s="350" t="s">
        <v>10083</v>
      </c>
      <c r="J12" s="353"/>
      <c r="K12" s="350"/>
      <c r="L12" s="350"/>
      <c r="M12" s="352" t="s">
        <v>10084</v>
      </c>
      <c r="N12" s="350"/>
      <c r="O12" s="352" t="s">
        <v>57</v>
      </c>
      <c r="P12" s="354">
        <v>177585000</v>
      </c>
      <c r="Q12" s="355"/>
      <c r="R12" s="356" t="s">
        <v>8011</v>
      </c>
      <c r="S12" s="340">
        <v>1</v>
      </c>
    </row>
    <row r="13" spans="1:19" ht="29.5" thickBot="1" x14ac:dyDescent="0.4">
      <c r="A13" s="357">
        <v>2</v>
      </c>
      <c r="B13" s="358" t="s">
        <v>10080</v>
      </c>
      <c r="C13" s="359" t="s">
        <v>10081</v>
      </c>
      <c r="D13" s="360" t="s">
        <v>59</v>
      </c>
      <c r="E13" s="360" t="s">
        <v>10082</v>
      </c>
      <c r="F13" s="360" t="s">
        <v>10078</v>
      </c>
      <c r="G13" s="360" t="s">
        <v>10078</v>
      </c>
      <c r="H13" s="360">
        <v>135</v>
      </c>
      <c r="I13" s="358" t="s">
        <v>10083</v>
      </c>
      <c r="J13" s="361"/>
      <c r="K13" s="358"/>
      <c r="L13" s="358"/>
      <c r="M13" s="360" t="s">
        <v>10084</v>
      </c>
      <c r="N13" s="358"/>
      <c r="O13" s="360" t="s">
        <v>57</v>
      </c>
      <c r="P13" s="362">
        <v>520878000</v>
      </c>
      <c r="Q13" s="363"/>
      <c r="R13" s="364" t="s">
        <v>8011</v>
      </c>
      <c r="S13" s="340">
        <v>1</v>
      </c>
    </row>
    <row r="14" spans="1:19" ht="29" x14ac:dyDescent="0.35">
      <c r="A14" s="349">
        <v>3</v>
      </c>
      <c r="B14" s="358" t="s">
        <v>10085</v>
      </c>
      <c r="C14" s="359" t="s">
        <v>10086</v>
      </c>
      <c r="D14" s="360" t="s">
        <v>51</v>
      </c>
      <c r="E14" s="360" t="s">
        <v>10082</v>
      </c>
      <c r="F14" s="360" t="s">
        <v>10078</v>
      </c>
      <c r="G14" s="360" t="s">
        <v>10078</v>
      </c>
      <c r="H14" s="360">
        <v>56</v>
      </c>
      <c r="I14" s="358" t="s">
        <v>10083</v>
      </c>
      <c r="J14" s="361"/>
      <c r="K14" s="358"/>
      <c r="L14" s="358"/>
      <c r="M14" s="360" t="s">
        <v>10084</v>
      </c>
      <c r="N14" s="358"/>
      <c r="O14" s="360" t="s">
        <v>57</v>
      </c>
      <c r="P14" s="362">
        <v>159724000</v>
      </c>
      <c r="Q14" s="363"/>
      <c r="R14" s="364" t="s">
        <v>8011</v>
      </c>
      <c r="S14" s="340">
        <v>1</v>
      </c>
    </row>
    <row r="15" spans="1:19" ht="29.5" thickBot="1" x14ac:dyDescent="0.4">
      <c r="A15" s="357">
        <v>4</v>
      </c>
      <c r="B15" s="358" t="s">
        <v>10080</v>
      </c>
      <c r="C15" s="359" t="s">
        <v>10081</v>
      </c>
      <c r="D15" s="360" t="s">
        <v>51</v>
      </c>
      <c r="E15" s="360" t="s">
        <v>10082</v>
      </c>
      <c r="F15" s="360" t="s">
        <v>10078</v>
      </c>
      <c r="G15" s="360" t="s">
        <v>10078</v>
      </c>
      <c r="H15" s="360">
        <v>260</v>
      </c>
      <c r="I15" s="358" t="s">
        <v>10087</v>
      </c>
      <c r="J15" s="361"/>
      <c r="K15" s="358"/>
      <c r="L15" s="358"/>
      <c r="M15" s="360" t="s">
        <v>10084</v>
      </c>
      <c r="N15" s="358"/>
      <c r="O15" s="360" t="s">
        <v>422</v>
      </c>
      <c r="P15" s="362">
        <v>92000000</v>
      </c>
      <c r="Q15" s="363" t="s">
        <v>8603</v>
      </c>
      <c r="R15" s="364" t="s">
        <v>8017</v>
      </c>
      <c r="S15" s="340">
        <v>1</v>
      </c>
    </row>
    <row r="16" spans="1:19" ht="29" x14ac:dyDescent="0.35">
      <c r="A16" s="349">
        <v>5</v>
      </c>
      <c r="B16" s="358" t="s">
        <v>10080</v>
      </c>
      <c r="C16" s="359" t="s">
        <v>10081</v>
      </c>
      <c r="D16" s="360" t="s">
        <v>59</v>
      </c>
      <c r="E16" s="360" t="s">
        <v>10082</v>
      </c>
      <c r="F16" s="360" t="s">
        <v>10078</v>
      </c>
      <c r="G16" s="360" t="s">
        <v>10078</v>
      </c>
      <c r="H16" s="360">
        <v>45</v>
      </c>
      <c r="I16" s="358" t="s">
        <v>10087</v>
      </c>
      <c r="J16" s="361"/>
      <c r="K16" s="358"/>
      <c r="L16" s="358"/>
      <c r="M16" s="360" t="s">
        <v>10084</v>
      </c>
      <c r="N16" s="358"/>
      <c r="O16" s="360" t="s">
        <v>57</v>
      </c>
      <c r="P16" s="362">
        <v>85636000</v>
      </c>
      <c r="Q16" s="363"/>
      <c r="R16" s="364" t="s">
        <v>8017</v>
      </c>
      <c r="S16" s="340">
        <v>1</v>
      </c>
    </row>
    <row r="17" spans="1:19" ht="29.5" thickBot="1" x14ac:dyDescent="0.4">
      <c r="A17" s="357">
        <v>6</v>
      </c>
      <c r="B17" s="358" t="s">
        <v>10080</v>
      </c>
      <c r="C17" s="359" t="s">
        <v>10081</v>
      </c>
      <c r="D17" s="360" t="s">
        <v>97</v>
      </c>
      <c r="E17" s="360" t="s">
        <v>10082</v>
      </c>
      <c r="F17" s="360" t="s">
        <v>10078</v>
      </c>
      <c r="G17" s="360" t="s">
        <v>10078</v>
      </c>
      <c r="H17" s="360">
        <v>135</v>
      </c>
      <c r="I17" s="358" t="s">
        <v>10087</v>
      </c>
      <c r="J17" s="361"/>
      <c r="K17" s="358"/>
      <c r="L17" s="358"/>
      <c r="M17" s="360" t="s">
        <v>10084</v>
      </c>
      <c r="N17" s="358"/>
      <c r="O17" s="360" t="s">
        <v>57</v>
      </c>
      <c r="P17" s="362">
        <v>472687000</v>
      </c>
      <c r="Q17" s="363"/>
      <c r="R17" s="364" t="s">
        <v>8017</v>
      </c>
      <c r="S17" s="340">
        <v>1</v>
      </c>
    </row>
    <row r="18" spans="1:19" ht="29" x14ac:dyDescent="0.35">
      <c r="A18" s="349">
        <v>7</v>
      </c>
      <c r="B18" s="358" t="s">
        <v>10080</v>
      </c>
      <c r="C18" s="359" t="s">
        <v>10081</v>
      </c>
      <c r="D18" s="360" t="s">
        <v>101</v>
      </c>
      <c r="E18" s="360" t="s">
        <v>10082</v>
      </c>
      <c r="F18" s="360" t="s">
        <v>10078</v>
      </c>
      <c r="G18" s="360" t="s">
        <v>10078</v>
      </c>
      <c r="H18" s="360">
        <v>90</v>
      </c>
      <c r="I18" s="358" t="s">
        <v>10087</v>
      </c>
      <c r="J18" s="361"/>
      <c r="K18" s="358"/>
      <c r="L18" s="358"/>
      <c r="M18" s="360" t="s">
        <v>10084</v>
      </c>
      <c r="N18" s="358"/>
      <c r="O18" s="360" t="s">
        <v>57</v>
      </c>
      <c r="P18" s="362">
        <v>116471000</v>
      </c>
      <c r="Q18" s="363"/>
      <c r="R18" s="364" t="s">
        <v>8017</v>
      </c>
      <c r="S18" s="340">
        <v>1</v>
      </c>
    </row>
    <row r="19" spans="1:19" ht="29.5" thickBot="1" x14ac:dyDescent="0.4">
      <c r="A19" s="357">
        <v>8</v>
      </c>
      <c r="B19" s="358" t="s">
        <v>10080</v>
      </c>
      <c r="C19" s="359" t="s">
        <v>10081</v>
      </c>
      <c r="D19" s="360" t="s">
        <v>107</v>
      </c>
      <c r="E19" s="360" t="s">
        <v>10082</v>
      </c>
      <c r="F19" s="360" t="s">
        <v>10078</v>
      </c>
      <c r="G19" s="360" t="s">
        <v>10078</v>
      </c>
      <c r="H19" s="360">
        <v>90</v>
      </c>
      <c r="I19" s="358" t="s">
        <v>10087</v>
      </c>
      <c r="J19" s="361"/>
      <c r="K19" s="358"/>
      <c r="L19" s="358"/>
      <c r="M19" s="360" t="s">
        <v>10084</v>
      </c>
      <c r="N19" s="358"/>
      <c r="O19" s="360" t="s">
        <v>57</v>
      </c>
      <c r="P19" s="362">
        <v>138211972.40000001</v>
      </c>
      <c r="Q19" s="363"/>
      <c r="R19" s="364" t="s">
        <v>8017</v>
      </c>
      <c r="S19" s="340">
        <v>1</v>
      </c>
    </row>
    <row r="20" spans="1:19" ht="43.5" x14ac:dyDescent="0.35">
      <c r="A20" s="349">
        <v>9</v>
      </c>
      <c r="B20" s="358" t="s">
        <v>10080</v>
      </c>
      <c r="C20" s="359" t="s">
        <v>10081</v>
      </c>
      <c r="D20" s="360" t="s">
        <v>112</v>
      </c>
      <c r="E20" s="360" t="s">
        <v>10082</v>
      </c>
      <c r="F20" s="360" t="s">
        <v>10078</v>
      </c>
      <c r="G20" s="360" t="s">
        <v>10088</v>
      </c>
      <c r="H20" s="360">
        <v>128</v>
      </c>
      <c r="I20" s="358" t="s">
        <v>10089</v>
      </c>
      <c r="J20" s="361">
        <v>44745</v>
      </c>
      <c r="K20" s="358" t="s">
        <v>10090</v>
      </c>
      <c r="L20" s="358"/>
      <c r="M20" s="360"/>
      <c r="N20" s="358"/>
      <c r="O20" s="360" t="s">
        <v>44</v>
      </c>
      <c r="P20" s="362">
        <v>475405900</v>
      </c>
      <c r="Q20" s="363" t="s">
        <v>10091</v>
      </c>
      <c r="R20" s="364" t="s">
        <v>8017</v>
      </c>
      <c r="S20" s="340">
        <v>1</v>
      </c>
    </row>
    <row r="21" spans="1:19" ht="29.5" thickBot="1" x14ac:dyDescent="0.4">
      <c r="A21" s="357">
        <v>10</v>
      </c>
      <c r="B21" s="358" t="s">
        <v>10092</v>
      </c>
      <c r="C21" s="359" t="s">
        <v>10093</v>
      </c>
      <c r="D21" s="360" t="s">
        <v>51</v>
      </c>
      <c r="E21" s="360" t="s">
        <v>10082</v>
      </c>
      <c r="F21" s="360" t="s">
        <v>10078</v>
      </c>
      <c r="G21" s="360" t="s">
        <v>10078</v>
      </c>
      <c r="H21" s="360">
        <v>61</v>
      </c>
      <c r="I21" s="358" t="s">
        <v>10087</v>
      </c>
      <c r="J21" s="361">
        <v>40413</v>
      </c>
      <c r="K21" s="358" t="s">
        <v>10094</v>
      </c>
      <c r="L21" s="358"/>
      <c r="M21" s="360" t="s">
        <v>10084</v>
      </c>
      <c r="N21" s="358"/>
      <c r="O21" s="360" t="s">
        <v>422</v>
      </c>
      <c r="P21" s="362">
        <v>291315357</v>
      </c>
      <c r="Q21" s="363" t="s">
        <v>10095</v>
      </c>
      <c r="R21" s="364" t="s">
        <v>8017</v>
      </c>
      <c r="S21" s="340">
        <v>1</v>
      </c>
    </row>
    <row r="22" spans="1:19" ht="29" x14ac:dyDescent="0.35">
      <c r="A22" s="349">
        <v>11</v>
      </c>
      <c r="B22" s="358" t="s">
        <v>10085</v>
      </c>
      <c r="C22" s="359" t="s">
        <v>10086</v>
      </c>
      <c r="D22" s="360" t="s">
        <v>51</v>
      </c>
      <c r="E22" s="360" t="s">
        <v>10082</v>
      </c>
      <c r="F22" s="360" t="s">
        <v>10078</v>
      </c>
      <c r="G22" s="360" t="s">
        <v>10078</v>
      </c>
      <c r="H22" s="360">
        <v>60</v>
      </c>
      <c r="I22" s="358" t="s">
        <v>10087</v>
      </c>
      <c r="J22" s="361"/>
      <c r="K22" s="358"/>
      <c r="L22" s="358"/>
      <c r="M22" s="360" t="s">
        <v>10084</v>
      </c>
      <c r="N22" s="358"/>
      <c r="O22" s="360" t="s">
        <v>57</v>
      </c>
      <c r="P22" s="362">
        <v>77648000</v>
      </c>
      <c r="Q22" s="363"/>
      <c r="R22" s="364" t="s">
        <v>8017</v>
      </c>
      <c r="S22" s="340">
        <v>1</v>
      </c>
    </row>
    <row r="23" spans="1:19" ht="29.5" thickBot="1" x14ac:dyDescent="0.4">
      <c r="A23" s="357">
        <v>12</v>
      </c>
      <c r="B23" s="358" t="s">
        <v>10085</v>
      </c>
      <c r="C23" s="359" t="s">
        <v>10086</v>
      </c>
      <c r="D23" s="360" t="s">
        <v>59</v>
      </c>
      <c r="E23" s="360" t="s">
        <v>10082</v>
      </c>
      <c r="F23" s="360" t="s">
        <v>10078</v>
      </c>
      <c r="G23" s="360" t="s">
        <v>10078</v>
      </c>
      <c r="H23" s="360">
        <v>60</v>
      </c>
      <c r="I23" s="358" t="s">
        <v>10087</v>
      </c>
      <c r="J23" s="361"/>
      <c r="K23" s="358"/>
      <c r="L23" s="358"/>
      <c r="M23" s="360" t="s">
        <v>10084</v>
      </c>
      <c r="N23" s="358"/>
      <c r="O23" s="360" t="s">
        <v>57</v>
      </c>
      <c r="P23" s="362">
        <v>77648000</v>
      </c>
      <c r="Q23" s="363"/>
      <c r="R23" s="364" t="s">
        <v>8017</v>
      </c>
      <c r="S23" s="340">
        <v>1</v>
      </c>
    </row>
    <row r="24" spans="1:19" ht="29" x14ac:dyDescent="0.35">
      <c r="A24" s="349">
        <v>13</v>
      </c>
      <c r="B24" s="358" t="s">
        <v>10085</v>
      </c>
      <c r="C24" s="359" t="s">
        <v>10086</v>
      </c>
      <c r="D24" s="360" t="s">
        <v>97</v>
      </c>
      <c r="E24" s="360" t="s">
        <v>10082</v>
      </c>
      <c r="F24" s="360" t="s">
        <v>10078</v>
      </c>
      <c r="G24" s="360" t="s">
        <v>10078</v>
      </c>
      <c r="H24" s="360">
        <v>60</v>
      </c>
      <c r="I24" s="358" t="s">
        <v>10087</v>
      </c>
      <c r="J24" s="361"/>
      <c r="K24" s="358"/>
      <c r="L24" s="358"/>
      <c r="M24" s="360" t="s">
        <v>10084</v>
      </c>
      <c r="N24" s="358"/>
      <c r="O24" s="360" t="s">
        <v>57</v>
      </c>
      <c r="P24" s="362">
        <v>77648000</v>
      </c>
      <c r="Q24" s="363"/>
      <c r="R24" s="364" t="s">
        <v>8017</v>
      </c>
      <c r="S24" s="340">
        <v>1</v>
      </c>
    </row>
    <row r="25" spans="1:19" ht="29.5" thickBot="1" x14ac:dyDescent="0.4">
      <c r="A25" s="357">
        <v>14</v>
      </c>
      <c r="B25" s="358" t="s">
        <v>10085</v>
      </c>
      <c r="C25" s="359" t="s">
        <v>10086</v>
      </c>
      <c r="D25" s="360" t="s">
        <v>101</v>
      </c>
      <c r="E25" s="360" t="s">
        <v>10082</v>
      </c>
      <c r="F25" s="360" t="s">
        <v>10078</v>
      </c>
      <c r="G25" s="360" t="s">
        <v>10078</v>
      </c>
      <c r="H25" s="360">
        <v>60</v>
      </c>
      <c r="I25" s="358" t="s">
        <v>10087</v>
      </c>
      <c r="J25" s="361"/>
      <c r="K25" s="358"/>
      <c r="L25" s="358"/>
      <c r="M25" s="360" t="s">
        <v>10084</v>
      </c>
      <c r="N25" s="358"/>
      <c r="O25" s="360" t="s">
        <v>57</v>
      </c>
      <c r="P25" s="362">
        <v>77648000</v>
      </c>
      <c r="Q25" s="363"/>
      <c r="R25" s="364" t="s">
        <v>8017</v>
      </c>
      <c r="S25" s="340">
        <v>1</v>
      </c>
    </row>
    <row r="26" spans="1:19" ht="29" x14ac:dyDescent="0.35">
      <c r="A26" s="349">
        <v>15</v>
      </c>
      <c r="B26" s="358" t="s">
        <v>10096</v>
      </c>
      <c r="C26" s="359" t="s">
        <v>10097</v>
      </c>
      <c r="D26" s="360" t="s">
        <v>51</v>
      </c>
      <c r="E26" s="360" t="s">
        <v>10082</v>
      </c>
      <c r="F26" s="360" t="s">
        <v>10078</v>
      </c>
      <c r="G26" s="360" t="s">
        <v>10088</v>
      </c>
      <c r="H26" s="360">
        <v>73</v>
      </c>
      <c r="I26" s="358" t="s">
        <v>10098</v>
      </c>
      <c r="J26" s="361"/>
      <c r="K26" s="358" t="s">
        <v>10099</v>
      </c>
      <c r="L26" s="358"/>
      <c r="M26" s="360"/>
      <c r="N26" s="358"/>
      <c r="O26" s="360" t="s">
        <v>44</v>
      </c>
      <c r="P26" s="362">
        <v>199284685</v>
      </c>
      <c r="Q26" s="363" t="s">
        <v>10100</v>
      </c>
      <c r="R26" s="364" t="s">
        <v>8017</v>
      </c>
      <c r="S26" s="340">
        <v>1</v>
      </c>
    </row>
    <row r="27" spans="1:19" ht="29.5" thickBot="1" x14ac:dyDescent="0.4">
      <c r="A27" s="357">
        <v>16</v>
      </c>
      <c r="B27" s="358" t="s">
        <v>10080</v>
      </c>
      <c r="C27" s="359" t="s">
        <v>10081</v>
      </c>
      <c r="D27" s="360" t="s">
        <v>51</v>
      </c>
      <c r="E27" s="360" t="s">
        <v>10082</v>
      </c>
      <c r="F27" s="360" t="s">
        <v>10078</v>
      </c>
      <c r="G27" s="360" t="s">
        <v>10078</v>
      </c>
      <c r="H27" s="360">
        <v>145</v>
      </c>
      <c r="I27" s="358" t="s">
        <v>10101</v>
      </c>
      <c r="J27" s="361"/>
      <c r="K27" s="358"/>
      <c r="L27" s="358"/>
      <c r="M27" s="360" t="s">
        <v>10084</v>
      </c>
      <c r="N27" s="358"/>
      <c r="O27" s="360" t="s">
        <v>422</v>
      </c>
      <c r="P27" s="362">
        <v>90000000</v>
      </c>
      <c r="Q27" s="363" t="s">
        <v>8603</v>
      </c>
      <c r="R27" s="364" t="s">
        <v>8019</v>
      </c>
      <c r="S27" s="340">
        <v>1</v>
      </c>
    </row>
    <row r="28" spans="1:19" ht="29" x14ac:dyDescent="0.35">
      <c r="A28" s="349">
        <v>17</v>
      </c>
      <c r="B28" s="358" t="s">
        <v>10080</v>
      </c>
      <c r="C28" s="359" t="s">
        <v>10081</v>
      </c>
      <c r="D28" s="360" t="s">
        <v>59</v>
      </c>
      <c r="E28" s="360" t="s">
        <v>10082</v>
      </c>
      <c r="F28" s="360" t="s">
        <v>10078</v>
      </c>
      <c r="G28" s="360" t="s">
        <v>10078</v>
      </c>
      <c r="H28" s="360">
        <v>135</v>
      </c>
      <c r="I28" s="358" t="s">
        <v>10101</v>
      </c>
      <c r="J28" s="361"/>
      <c r="K28" s="358"/>
      <c r="L28" s="358"/>
      <c r="M28" s="360" t="s">
        <v>10084</v>
      </c>
      <c r="N28" s="358"/>
      <c r="O28" s="360" t="s">
        <v>57</v>
      </c>
      <c r="P28" s="362">
        <v>141927400</v>
      </c>
      <c r="Q28" s="363"/>
      <c r="R28" s="364" t="s">
        <v>8019</v>
      </c>
      <c r="S28" s="340">
        <v>1</v>
      </c>
    </row>
    <row r="29" spans="1:19" ht="29.5" thickBot="1" x14ac:dyDescent="0.4">
      <c r="A29" s="357">
        <v>18</v>
      </c>
      <c r="B29" s="358" t="s">
        <v>10080</v>
      </c>
      <c r="C29" s="359" t="s">
        <v>10081</v>
      </c>
      <c r="D29" s="360" t="s">
        <v>97</v>
      </c>
      <c r="E29" s="360" t="s">
        <v>10082</v>
      </c>
      <c r="F29" s="360" t="s">
        <v>10078</v>
      </c>
      <c r="G29" s="360" t="s">
        <v>10078</v>
      </c>
      <c r="H29" s="360">
        <v>135</v>
      </c>
      <c r="I29" s="358" t="s">
        <v>10101</v>
      </c>
      <c r="J29" s="361"/>
      <c r="K29" s="358"/>
      <c r="L29" s="358"/>
      <c r="M29" s="360" t="s">
        <v>10084</v>
      </c>
      <c r="N29" s="358"/>
      <c r="O29" s="360" t="s">
        <v>57</v>
      </c>
      <c r="P29" s="362">
        <v>114463000</v>
      </c>
      <c r="Q29" s="363"/>
      <c r="R29" s="364" t="s">
        <v>8019</v>
      </c>
      <c r="S29" s="340">
        <v>1</v>
      </c>
    </row>
    <row r="30" spans="1:19" ht="29" x14ac:dyDescent="0.35">
      <c r="A30" s="349">
        <v>19</v>
      </c>
      <c r="B30" s="358" t="s">
        <v>10092</v>
      </c>
      <c r="C30" s="359" t="s">
        <v>10093</v>
      </c>
      <c r="D30" s="360" t="s">
        <v>51</v>
      </c>
      <c r="E30" s="360" t="s">
        <v>10082</v>
      </c>
      <c r="F30" s="360" t="s">
        <v>10078</v>
      </c>
      <c r="G30" s="360" t="s">
        <v>10078</v>
      </c>
      <c r="H30" s="360">
        <v>61</v>
      </c>
      <c r="I30" s="358" t="s">
        <v>10102</v>
      </c>
      <c r="J30" s="361">
        <v>41564</v>
      </c>
      <c r="K30" s="358" t="s">
        <v>10103</v>
      </c>
      <c r="L30" s="358"/>
      <c r="M30" s="360" t="s">
        <v>10084</v>
      </c>
      <c r="N30" s="358"/>
      <c r="O30" s="360" t="s">
        <v>57</v>
      </c>
      <c r="P30" s="362">
        <v>155169520</v>
      </c>
      <c r="Q30" s="363"/>
      <c r="R30" s="364" t="s">
        <v>8019</v>
      </c>
      <c r="S30" s="340">
        <v>1</v>
      </c>
    </row>
    <row r="31" spans="1:19" ht="29.5" thickBot="1" x14ac:dyDescent="0.4">
      <c r="A31" s="357">
        <v>20</v>
      </c>
      <c r="B31" s="358" t="s">
        <v>10085</v>
      </c>
      <c r="C31" s="359" t="s">
        <v>10086</v>
      </c>
      <c r="D31" s="360" t="s">
        <v>51</v>
      </c>
      <c r="E31" s="360" t="s">
        <v>10082</v>
      </c>
      <c r="F31" s="360" t="s">
        <v>10078</v>
      </c>
      <c r="G31" s="360" t="s">
        <v>10078</v>
      </c>
      <c r="H31" s="360">
        <v>56</v>
      </c>
      <c r="I31" s="358" t="s">
        <v>10101</v>
      </c>
      <c r="J31" s="361"/>
      <c r="K31" s="358"/>
      <c r="L31" s="358"/>
      <c r="M31" s="360" t="s">
        <v>10084</v>
      </c>
      <c r="N31" s="358"/>
      <c r="O31" s="360" t="s">
        <v>57</v>
      </c>
      <c r="P31" s="362">
        <v>164774000</v>
      </c>
      <c r="Q31" s="363"/>
      <c r="R31" s="364" t="s">
        <v>8019</v>
      </c>
      <c r="S31" s="340">
        <v>1</v>
      </c>
    </row>
    <row r="32" spans="1:19" ht="43.5" x14ac:dyDescent="0.35">
      <c r="A32" s="349">
        <v>21</v>
      </c>
      <c r="B32" s="358" t="s">
        <v>10085</v>
      </c>
      <c r="C32" s="359" t="s">
        <v>10086</v>
      </c>
      <c r="D32" s="360" t="s">
        <v>59</v>
      </c>
      <c r="E32" s="360" t="s">
        <v>10082</v>
      </c>
      <c r="F32" s="360" t="s">
        <v>10078</v>
      </c>
      <c r="G32" s="360" t="s">
        <v>10078</v>
      </c>
      <c r="H32" s="360">
        <v>66</v>
      </c>
      <c r="I32" s="358" t="s">
        <v>10104</v>
      </c>
      <c r="J32" s="361">
        <v>41585</v>
      </c>
      <c r="K32" s="358" t="s">
        <v>10105</v>
      </c>
      <c r="L32" s="358"/>
      <c r="M32" s="360" t="s">
        <v>10084</v>
      </c>
      <c r="N32" s="358"/>
      <c r="O32" s="360" t="s">
        <v>57</v>
      </c>
      <c r="P32" s="362">
        <v>137500000</v>
      </c>
      <c r="Q32" s="363" t="s">
        <v>10106</v>
      </c>
      <c r="R32" s="364" t="s">
        <v>8019</v>
      </c>
      <c r="S32" s="340">
        <v>1</v>
      </c>
    </row>
    <row r="33" spans="1:19" ht="31.5" thickBot="1" x14ac:dyDescent="0.4">
      <c r="A33" s="357">
        <v>22</v>
      </c>
      <c r="B33" s="364" t="s">
        <v>10080</v>
      </c>
      <c r="C33" s="365" t="s">
        <v>10081</v>
      </c>
      <c r="D33" s="366" t="s">
        <v>51</v>
      </c>
      <c r="E33" s="366" t="s">
        <v>10082</v>
      </c>
      <c r="F33" s="366" t="s">
        <v>10078</v>
      </c>
      <c r="G33" s="366" t="s">
        <v>10078</v>
      </c>
      <c r="H33" s="366">
        <v>112</v>
      </c>
      <c r="I33" s="364" t="s">
        <v>10083</v>
      </c>
      <c r="J33" s="367"/>
      <c r="K33" s="364"/>
      <c r="L33" s="358"/>
      <c r="M33" s="366" t="s">
        <v>10084</v>
      </c>
      <c r="N33" s="358"/>
      <c r="O33" s="366" t="s">
        <v>422</v>
      </c>
      <c r="P33" s="368">
        <v>80000000</v>
      </c>
      <c r="Q33" s="369" t="s">
        <v>8603</v>
      </c>
      <c r="R33" s="364" t="s">
        <v>8021</v>
      </c>
      <c r="S33" s="340">
        <v>1</v>
      </c>
    </row>
    <row r="34" spans="1:19" ht="31" x14ac:dyDescent="0.35">
      <c r="A34" s="349">
        <v>23</v>
      </c>
      <c r="B34" s="364" t="s">
        <v>10080</v>
      </c>
      <c r="C34" s="365" t="s">
        <v>10081</v>
      </c>
      <c r="D34" s="366" t="s">
        <v>59</v>
      </c>
      <c r="E34" s="366" t="s">
        <v>10082</v>
      </c>
      <c r="F34" s="366" t="s">
        <v>10078</v>
      </c>
      <c r="G34" s="366" t="s">
        <v>10078</v>
      </c>
      <c r="H34" s="366">
        <v>135</v>
      </c>
      <c r="I34" s="364" t="s">
        <v>10083</v>
      </c>
      <c r="J34" s="367"/>
      <c r="K34" s="364"/>
      <c r="L34" s="358"/>
      <c r="M34" s="366" t="s">
        <v>10084</v>
      </c>
      <c r="N34" s="358"/>
      <c r="O34" s="366" t="s">
        <v>57</v>
      </c>
      <c r="P34" s="368">
        <v>156634000</v>
      </c>
      <c r="Q34" s="369"/>
      <c r="R34" s="364" t="s">
        <v>8021</v>
      </c>
      <c r="S34" s="340">
        <v>1</v>
      </c>
    </row>
    <row r="35" spans="1:19" ht="29.5" thickBot="1" x14ac:dyDescent="0.4">
      <c r="A35" s="357">
        <v>24</v>
      </c>
      <c r="B35" s="358" t="s">
        <v>10080</v>
      </c>
      <c r="C35" s="359" t="s">
        <v>10081</v>
      </c>
      <c r="D35" s="360" t="s">
        <v>97</v>
      </c>
      <c r="E35" s="360" t="s">
        <v>10082</v>
      </c>
      <c r="F35" s="360" t="s">
        <v>10078</v>
      </c>
      <c r="G35" s="360" t="s">
        <v>10088</v>
      </c>
      <c r="H35" s="360">
        <v>180</v>
      </c>
      <c r="I35" s="358" t="s">
        <v>10083</v>
      </c>
      <c r="J35" s="361"/>
      <c r="K35" s="358"/>
      <c r="L35" s="358"/>
      <c r="M35" s="360" t="s">
        <v>10084</v>
      </c>
      <c r="N35" s="358"/>
      <c r="O35" s="360" t="s">
        <v>422</v>
      </c>
      <c r="P35" s="362">
        <v>478485000</v>
      </c>
      <c r="Q35" s="363"/>
      <c r="R35" s="364" t="s">
        <v>8021</v>
      </c>
      <c r="S35" s="340">
        <v>1</v>
      </c>
    </row>
    <row r="36" spans="1:19" ht="29" x14ac:dyDescent="0.35">
      <c r="A36" s="349">
        <v>25</v>
      </c>
      <c r="B36" s="358" t="s">
        <v>10092</v>
      </c>
      <c r="C36" s="359" t="s">
        <v>10093</v>
      </c>
      <c r="D36" s="360" t="s">
        <v>51</v>
      </c>
      <c r="E36" s="360" t="s">
        <v>10082</v>
      </c>
      <c r="F36" s="360" t="s">
        <v>10078</v>
      </c>
      <c r="G36" s="360" t="s">
        <v>10078</v>
      </c>
      <c r="H36" s="360">
        <v>61</v>
      </c>
      <c r="I36" s="358" t="s">
        <v>10083</v>
      </c>
      <c r="J36" s="361"/>
      <c r="K36" s="358"/>
      <c r="L36" s="358"/>
      <c r="M36" s="360" t="s">
        <v>10084</v>
      </c>
      <c r="N36" s="358"/>
      <c r="O36" s="360" t="s">
        <v>57</v>
      </c>
      <c r="P36" s="362">
        <v>128143333</v>
      </c>
      <c r="Q36" s="363"/>
      <c r="R36" s="364" t="s">
        <v>8021</v>
      </c>
      <c r="S36" s="340">
        <v>1</v>
      </c>
    </row>
    <row r="37" spans="1:19" ht="29.5" thickBot="1" x14ac:dyDescent="0.4">
      <c r="A37" s="357">
        <v>26</v>
      </c>
      <c r="B37" s="358" t="s">
        <v>10085</v>
      </c>
      <c r="C37" s="359" t="s">
        <v>10086</v>
      </c>
      <c r="D37" s="360" t="s">
        <v>51</v>
      </c>
      <c r="E37" s="360" t="s">
        <v>10082</v>
      </c>
      <c r="F37" s="360" t="s">
        <v>10078</v>
      </c>
      <c r="G37" s="360" t="s">
        <v>10078</v>
      </c>
      <c r="H37" s="360">
        <v>45</v>
      </c>
      <c r="I37" s="358" t="s">
        <v>10083</v>
      </c>
      <c r="J37" s="361"/>
      <c r="K37" s="358"/>
      <c r="L37" s="358"/>
      <c r="M37" s="360" t="s">
        <v>10084</v>
      </c>
      <c r="N37" s="358"/>
      <c r="O37" s="360" t="s">
        <v>57</v>
      </c>
      <c r="P37" s="362">
        <v>319306400</v>
      </c>
      <c r="Q37" s="363"/>
      <c r="R37" s="364" t="s">
        <v>8021</v>
      </c>
      <c r="S37" s="340">
        <v>1</v>
      </c>
    </row>
    <row r="38" spans="1:19" ht="29" x14ac:dyDescent="0.35">
      <c r="A38" s="349">
        <v>27</v>
      </c>
      <c r="B38" s="358" t="s">
        <v>10080</v>
      </c>
      <c r="C38" s="359" t="s">
        <v>10081</v>
      </c>
      <c r="D38" s="360" t="s">
        <v>51</v>
      </c>
      <c r="E38" s="360" t="s">
        <v>10082</v>
      </c>
      <c r="F38" s="360" t="s">
        <v>10078</v>
      </c>
      <c r="G38" s="360" t="s">
        <v>10078</v>
      </c>
      <c r="H38" s="360">
        <v>180</v>
      </c>
      <c r="I38" s="358" t="s">
        <v>10107</v>
      </c>
      <c r="J38" s="361"/>
      <c r="K38" s="358"/>
      <c r="L38" s="358"/>
      <c r="M38" s="360" t="s">
        <v>10084</v>
      </c>
      <c r="N38" s="358"/>
      <c r="O38" s="360" t="s">
        <v>57</v>
      </c>
      <c r="P38" s="362">
        <v>232943000</v>
      </c>
      <c r="Q38" s="363"/>
      <c r="R38" s="364" t="s">
        <v>8023</v>
      </c>
      <c r="S38" s="340">
        <v>1</v>
      </c>
    </row>
    <row r="39" spans="1:19" ht="29.5" thickBot="1" x14ac:dyDescent="0.4">
      <c r="A39" s="357">
        <v>28</v>
      </c>
      <c r="B39" s="358" t="s">
        <v>10080</v>
      </c>
      <c r="C39" s="359" t="s">
        <v>10081</v>
      </c>
      <c r="D39" s="360" t="s">
        <v>59</v>
      </c>
      <c r="E39" s="360" t="s">
        <v>10082</v>
      </c>
      <c r="F39" s="360" t="s">
        <v>10078</v>
      </c>
      <c r="G39" s="360" t="s">
        <v>10078</v>
      </c>
      <c r="H39" s="360">
        <v>45</v>
      </c>
      <c r="I39" s="358" t="s">
        <v>10107</v>
      </c>
      <c r="J39" s="361"/>
      <c r="K39" s="358"/>
      <c r="L39" s="358"/>
      <c r="M39" s="360" t="s">
        <v>10084</v>
      </c>
      <c r="N39" s="358"/>
      <c r="O39" s="360" t="s">
        <v>57</v>
      </c>
      <c r="P39" s="362">
        <v>58236000</v>
      </c>
      <c r="Q39" s="363"/>
      <c r="R39" s="364" t="s">
        <v>8023</v>
      </c>
      <c r="S39" s="340">
        <v>1</v>
      </c>
    </row>
    <row r="40" spans="1:19" ht="29" x14ac:dyDescent="0.35">
      <c r="A40" s="349">
        <v>29</v>
      </c>
      <c r="B40" s="358" t="s">
        <v>10080</v>
      </c>
      <c r="C40" s="359" t="s">
        <v>10081</v>
      </c>
      <c r="D40" s="360" t="s">
        <v>97</v>
      </c>
      <c r="E40" s="360" t="s">
        <v>10082</v>
      </c>
      <c r="F40" s="360" t="s">
        <v>10078</v>
      </c>
      <c r="G40" s="360" t="s">
        <v>10078</v>
      </c>
      <c r="H40" s="360">
        <v>225</v>
      </c>
      <c r="I40" s="358" t="s">
        <v>10107</v>
      </c>
      <c r="J40" s="361"/>
      <c r="K40" s="358"/>
      <c r="L40" s="358"/>
      <c r="M40" s="360" t="s">
        <v>10084</v>
      </c>
      <c r="N40" s="358"/>
      <c r="O40" s="360" t="s">
        <v>57</v>
      </c>
      <c r="P40" s="362">
        <v>291178000</v>
      </c>
      <c r="Q40" s="363"/>
      <c r="R40" s="364" t="s">
        <v>8023</v>
      </c>
      <c r="S40" s="340">
        <v>1</v>
      </c>
    </row>
    <row r="41" spans="1:19" ht="29.5" thickBot="1" x14ac:dyDescent="0.4">
      <c r="A41" s="357">
        <v>30</v>
      </c>
      <c r="B41" s="358" t="s">
        <v>10080</v>
      </c>
      <c r="C41" s="359" t="s">
        <v>10081</v>
      </c>
      <c r="D41" s="360" t="s">
        <v>101</v>
      </c>
      <c r="E41" s="360" t="s">
        <v>10082</v>
      </c>
      <c r="F41" s="360" t="s">
        <v>10078</v>
      </c>
      <c r="G41" s="360" t="s">
        <v>10078</v>
      </c>
      <c r="H41" s="360">
        <v>112</v>
      </c>
      <c r="I41" s="358" t="s">
        <v>10107</v>
      </c>
      <c r="J41" s="361"/>
      <c r="K41" s="358"/>
      <c r="L41" s="358"/>
      <c r="M41" s="360" t="s">
        <v>10084</v>
      </c>
      <c r="N41" s="358"/>
      <c r="O41" s="360" t="s">
        <v>422</v>
      </c>
      <c r="P41" s="362">
        <v>75000000</v>
      </c>
      <c r="Q41" s="363" t="s">
        <v>8603</v>
      </c>
      <c r="R41" s="364" t="s">
        <v>8023</v>
      </c>
      <c r="S41" s="340">
        <v>1</v>
      </c>
    </row>
    <row r="42" spans="1:19" ht="29" x14ac:dyDescent="0.35">
      <c r="A42" s="349">
        <v>31</v>
      </c>
      <c r="B42" s="358" t="s">
        <v>10080</v>
      </c>
      <c r="C42" s="359" t="s">
        <v>10081</v>
      </c>
      <c r="D42" s="360" t="s">
        <v>107</v>
      </c>
      <c r="E42" s="360" t="s">
        <v>10082</v>
      </c>
      <c r="F42" s="360" t="s">
        <v>10078</v>
      </c>
      <c r="G42" s="360" t="s">
        <v>10088</v>
      </c>
      <c r="H42" s="360">
        <v>128</v>
      </c>
      <c r="I42" s="358" t="s">
        <v>10107</v>
      </c>
      <c r="J42" s="361">
        <v>42970</v>
      </c>
      <c r="K42" s="358" t="s">
        <v>10108</v>
      </c>
      <c r="L42" s="358"/>
      <c r="M42" s="360" t="s">
        <v>10084</v>
      </c>
      <c r="N42" s="358"/>
      <c r="O42" s="360" t="s">
        <v>57</v>
      </c>
      <c r="P42" s="362">
        <v>220689000</v>
      </c>
      <c r="Q42" s="363" t="s">
        <v>10109</v>
      </c>
      <c r="R42" s="364" t="s">
        <v>8023</v>
      </c>
      <c r="S42" s="340">
        <v>1</v>
      </c>
    </row>
    <row r="43" spans="1:19" ht="29.5" thickBot="1" x14ac:dyDescent="0.4">
      <c r="A43" s="357">
        <v>32</v>
      </c>
      <c r="B43" s="358" t="s">
        <v>10110</v>
      </c>
      <c r="C43" s="359" t="s">
        <v>10111</v>
      </c>
      <c r="D43" s="360" t="s">
        <v>51</v>
      </c>
      <c r="E43" s="360" t="s">
        <v>10082</v>
      </c>
      <c r="F43" s="360" t="s">
        <v>10078</v>
      </c>
      <c r="G43" s="360" t="s">
        <v>10088</v>
      </c>
      <c r="H43" s="360">
        <v>12</v>
      </c>
      <c r="I43" s="358" t="s">
        <v>10107</v>
      </c>
      <c r="J43" s="361">
        <v>42391</v>
      </c>
      <c r="K43" s="358" t="s">
        <v>10112</v>
      </c>
      <c r="L43" s="358"/>
      <c r="M43" s="360" t="s">
        <v>10084</v>
      </c>
      <c r="N43" s="358"/>
      <c r="O43" s="360" t="s">
        <v>57</v>
      </c>
      <c r="P43" s="362">
        <v>82550000</v>
      </c>
      <c r="Q43" s="363" t="s">
        <v>10113</v>
      </c>
      <c r="R43" s="364" t="s">
        <v>8023</v>
      </c>
      <c r="S43" s="340">
        <v>1</v>
      </c>
    </row>
    <row r="44" spans="1:19" ht="29" x14ac:dyDescent="0.35">
      <c r="A44" s="349">
        <v>33</v>
      </c>
      <c r="B44" s="358" t="s">
        <v>10092</v>
      </c>
      <c r="C44" s="359" t="s">
        <v>10093</v>
      </c>
      <c r="D44" s="360" t="s">
        <v>51</v>
      </c>
      <c r="E44" s="360" t="s">
        <v>10082</v>
      </c>
      <c r="F44" s="360" t="s">
        <v>10078</v>
      </c>
      <c r="G44" s="360" t="s">
        <v>10088</v>
      </c>
      <c r="H44" s="360">
        <v>61</v>
      </c>
      <c r="I44" s="358" t="s">
        <v>10107</v>
      </c>
      <c r="J44" s="361"/>
      <c r="K44" s="358"/>
      <c r="L44" s="358"/>
      <c r="M44" s="360" t="s">
        <v>10084</v>
      </c>
      <c r="N44" s="358"/>
      <c r="O44" s="360" t="s">
        <v>57</v>
      </c>
      <c r="P44" s="362">
        <v>138981955</v>
      </c>
      <c r="Q44" s="363"/>
      <c r="R44" s="364" t="s">
        <v>8023</v>
      </c>
      <c r="S44" s="340">
        <v>1</v>
      </c>
    </row>
    <row r="45" spans="1:19" ht="29.5" thickBot="1" x14ac:dyDescent="0.4">
      <c r="A45" s="357">
        <v>34</v>
      </c>
      <c r="B45" s="358" t="s">
        <v>10080</v>
      </c>
      <c r="C45" s="359" t="s">
        <v>10081</v>
      </c>
      <c r="D45" s="360" t="s">
        <v>51</v>
      </c>
      <c r="E45" s="360" t="s">
        <v>10082</v>
      </c>
      <c r="F45" s="360" t="s">
        <v>10078</v>
      </c>
      <c r="G45" s="360" t="s">
        <v>10078</v>
      </c>
      <c r="H45" s="360">
        <v>90</v>
      </c>
      <c r="I45" s="358" t="s">
        <v>10114</v>
      </c>
      <c r="J45" s="361"/>
      <c r="K45" s="358"/>
      <c r="L45" s="358"/>
      <c r="M45" s="360" t="s">
        <v>10084</v>
      </c>
      <c r="N45" s="358"/>
      <c r="O45" s="360" t="s">
        <v>57</v>
      </c>
      <c r="P45" s="362">
        <v>403173000</v>
      </c>
      <c r="Q45" s="363"/>
      <c r="R45" s="364" t="s">
        <v>8027</v>
      </c>
      <c r="S45" s="340">
        <v>1</v>
      </c>
    </row>
    <row r="46" spans="1:19" ht="29" x14ac:dyDescent="0.35">
      <c r="A46" s="349">
        <v>35</v>
      </c>
      <c r="B46" s="358" t="s">
        <v>10080</v>
      </c>
      <c r="C46" s="359" t="s">
        <v>10081</v>
      </c>
      <c r="D46" s="360" t="s">
        <v>59</v>
      </c>
      <c r="E46" s="360" t="s">
        <v>10082</v>
      </c>
      <c r="F46" s="360" t="s">
        <v>10078</v>
      </c>
      <c r="G46" s="360" t="s">
        <v>10078</v>
      </c>
      <c r="H46" s="360">
        <v>180</v>
      </c>
      <c r="I46" s="358" t="s">
        <v>10114</v>
      </c>
      <c r="J46" s="361"/>
      <c r="K46" s="358"/>
      <c r="L46" s="358"/>
      <c r="M46" s="360" t="s">
        <v>10084</v>
      </c>
      <c r="N46" s="358"/>
      <c r="O46" s="360" t="s">
        <v>57</v>
      </c>
      <c r="P46" s="362">
        <v>582807500</v>
      </c>
      <c r="Q46" s="363"/>
      <c r="R46" s="364" t="s">
        <v>8027</v>
      </c>
      <c r="S46" s="340">
        <v>1</v>
      </c>
    </row>
    <row r="47" spans="1:19" ht="29.5" thickBot="1" x14ac:dyDescent="0.4">
      <c r="A47" s="357">
        <v>36</v>
      </c>
      <c r="B47" s="358" t="s">
        <v>10080</v>
      </c>
      <c r="C47" s="359" t="s">
        <v>10081</v>
      </c>
      <c r="D47" s="360" t="s">
        <v>97</v>
      </c>
      <c r="E47" s="360" t="s">
        <v>10082</v>
      </c>
      <c r="F47" s="360" t="s">
        <v>10078</v>
      </c>
      <c r="G47" s="360" t="s">
        <v>10078</v>
      </c>
      <c r="H47" s="360">
        <v>126</v>
      </c>
      <c r="I47" s="358" t="s">
        <v>10114</v>
      </c>
      <c r="J47" s="361"/>
      <c r="K47" s="358"/>
      <c r="L47" s="358"/>
      <c r="M47" s="360" t="s">
        <v>10084</v>
      </c>
      <c r="N47" s="358"/>
      <c r="O47" s="360" t="s">
        <v>422</v>
      </c>
      <c r="P47" s="362">
        <v>90000000</v>
      </c>
      <c r="Q47" s="363" t="s">
        <v>8603</v>
      </c>
      <c r="R47" s="364" t="s">
        <v>8027</v>
      </c>
      <c r="S47" s="340">
        <v>1</v>
      </c>
    </row>
    <row r="48" spans="1:19" ht="29" x14ac:dyDescent="0.35">
      <c r="A48" s="349">
        <v>37</v>
      </c>
      <c r="B48" s="358" t="s">
        <v>10110</v>
      </c>
      <c r="C48" s="359" t="s">
        <v>10111</v>
      </c>
      <c r="D48" s="360" t="s">
        <v>51</v>
      </c>
      <c r="E48" s="360" t="s">
        <v>10082</v>
      </c>
      <c r="F48" s="360" t="s">
        <v>10078</v>
      </c>
      <c r="G48" s="360" t="s">
        <v>10088</v>
      </c>
      <c r="H48" s="360">
        <v>12</v>
      </c>
      <c r="I48" s="358" t="s">
        <v>10114</v>
      </c>
      <c r="J48" s="361">
        <v>42391</v>
      </c>
      <c r="K48" s="358" t="s">
        <v>10115</v>
      </c>
      <c r="L48" s="358"/>
      <c r="M48" s="360" t="s">
        <v>10084</v>
      </c>
      <c r="N48" s="358"/>
      <c r="O48" s="360" t="s">
        <v>57</v>
      </c>
      <c r="P48" s="362">
        <v>82597000</v>
      </c>
      <c r="Q48" s="363" t="s">
        <v>10116</v>
      </c>
      <c r="R48" s="364" t="s">
        <v>8027</v>
      </c>
      <c r="S48" s="340">
        <v>1</v>
      </c>
    </row>
    <row r="49" spans="1:19" ht="29.5" thickBot="1" x14ac:dyDescent="0.4">
      <c r="A49" s="357">
        <v>38</v>
      </c>
      <c r="B49" s="358" t="s">
        <v>10092</v>
      </c>
      <c r="C49" s="359" t="s">
        <v>10093</v>
      </c>
      <c r="D49" s="360" t="s">
        <v>51</v>
      </c>
      <c r="E49" s="360" t="s">
        <v>10082</v>
      </c>
      <c r="F49" s="360" t="s">
        <v>10078</v>
      </c>
      <c r="G49" s="360" t="s">
        <v>10088</v>
      </c>
      <c r="H49" s="360">
        <v>61</v>
      </c>
      <c r="I49" s="358" t="s">
        <v>10114</v>
      </c>
      <c r="J49" s="361"/>
      <c r="K49" s="358"/>
      <c r="L49" s="358"/>
      <c r="M49" s="360" t="s">
        <v>10084</v>
      </c>
      <c r="N49" s="358"/>
      <c r="O49" s="360" t="s">
        <v>57</v>
      </c>
      <c r="P49" s="362">
        <v>165851955</v>
      </c>
      <c r="Q49" s="363"/>
      <c r="R49" s="364" t="s">
        <v>8027</v>
      </c>
      <c r="S49" s="340">
        <v>1</v>
      </c>
    </row>
    <row r="50" spans="1:19" ht="31" x14ac:dyDescent="0.35">
      <c r="A50" s="349">
        <v>39</v>
      </c>
      <c r="B50" s="364" t="s">
        <v>10085</v>
      </c>
      <c r="C50" s="365" t="s">
        <v>10086</v>
      </c>
      <c r="D50" s="366" t="s">
        <v>51</v>
      </c>
      <c r="E50" s="366" t="s">
        <v>10082</v>
      </c>
      <c r="F50" s="366" t="s">
        <v>10078</v>
      </c>
      <c r="G50" s="366" t="s">
        <v>10078</v>
      </c>
      <c r="H50" s="366">
        <v>56</v>
      </c>
      <c r="I50" s="364" t="s">
        <v>10114</v>
      </c>
      <c r="J50" s="361"/>
      <c r="K50" s="358"/>
      <c r="L50" s="358"/>
      <c r="M50" s="366" t="s">
        <v>10084</v>
      </c>
      <c r="N50" s="358"/>
      <c r="O50" s="360" t="s">
        <v>57</v>
      </c>
      <c r="P50" s="368">
        <v>64974000</v>
      </c>
      <c r="Q50" s="369"/>
      <c r="R50" s="364" t="s">
        <v>8027</v>
      </c>
      <c r="S50" s="340">
        <v>1</v>
      </c>
    </row>
    <row r="51" spans="1:19" ht="31.5" thickBot="1" x14ac:dyDescent="0.4">
      <c r="A51" s="357">
        <v>40</v>
      </c>
      <c r="B51" s="364" t="s">
        <v>10085</v>
      </c>
      <c r="C51" s="365" t="s">
        <v>10086</v>
      </c>
      <c r="D51" s="366" t="s">
        <v>59</v>
      </c>
      <c r="E51" s="366" t="s">
        <v>10082</v>
      </c>
      <c r="F51" s="366" t="s">
        <v>10078</v>
      </c>
      <c r="G51" s="366" t="s">
        <v>10078</v>
      </c>
      <c r="H51" s="366">
        <v>56</v>
      </c>
      <c r="I51" s="364" t="s">
        <v>10114</v>
      </c>
      <c r="J51" s="367"/>
      <c r="K51" s="364"/>
      <c r="L51" s="358"/>
      <c r="M51" s="366" t="s">
        <v>10084</v>
      </c>
      <c r="N51" s="358"/>
      <c r="O51" s="360" t="s">
        <v>57</v>
      </c>
      <c r="P51" s="368">
        <v>64974000</v>
      </c>
      <c r="Q51" s="369"/>
      <c r="R51" s="364" t="s">
        <v>8027</v>
      </c>
      <c r="S51" s="340">
        <v>1</v>
      </c>
    </row>
    <row r="52" spans="1:19" ht="31" x14ac:dyDescent="0.35">
      <c r="A52" s="349">
        <v>41</v>
      </c>
      <c r="B52" s="364" t="s">
        <v>10085</v>
      </c>
      <c r="C52" s="365" t="s">
        <v>10086</v>
      </c>
      <c r="D52" s="366" t="s">
        <v>97</v>
      </c>
      <c r="E52" s="366" t="s">
        <v>10082</v>
      </c>
      <c r="F52" s="366" t="s">
        <v>10078</v>
      </c>
      <c r="G52" s="366" t="s">
        <v>10078</v>
      </c>
      <c r="H52" s="366">
        <v>56</v>
      </c>
      <c r="I52" s="364" t="s">
        <v>10114</v>
      </c>
      <c r="J52" s="367"/>
      <c r="K52" s="364"/>
      <c r="L52" s="358"/>
      <c r="M52" s="366" t="s">
        <v>10084</v>
      </c>
      <c r="N52" s="358"/>
      <c r="O52" s="360" t="s">
        <v>57</v>
      </c>
      <c r="P52" s="368">
        <v>64974000</v>
      </c>
      <c r="Q52" s="369"/>
      <c r="R52" s="364" t="s">
        <v>8027</v>
      </c>
      <c r="S52" s="340">
        <v>1</v>
      </c>
    </row>
    <row r="53" spans="1:19" ht="31.5" thickBot="1" x14ac:dyDescent="0.4">
      <c r="A53" s="357">
        <v>42</v>
      </c>
      <c r="B53" s="364" t="s">
        <v>10085</v>
      </c>
      <c r="C53" s="365" t="s">
        <v>10086</v>
      </c>
      <c r="D53" s="366" t="s">
        <v>101</v>
      </c>
      <c r="E53" s="366" t="s">
        <v>10082</v>
      </c>
      <c r="F53" s="366" t="s">
        <v>10078</v>
      </c>
      <c r="G53" s="366" t="s">
        <v>10078</v>
      </c>
      <c r="H53" s="366">
        <v>56</v>
      </c>
      <c r="I53" s="364" t="s">
        <v>10114</v>
      </c>
      <c r="J53" s="367"/>
      <c r="K53" s="364"/>
      <c r="L53" s="358"/>
      <c r="M53" s="366" t="s">
        <v>10084</v>
      </c>
      <c r="N53" s="358"/>
      <c r="O53" s="360" t="s">
        <v>57</v>
      </c>
      <c r="P53" s="368">
        <v>64974000</v>
      </c>
      <c r="Q53" s="369"/>
      <c r="R53" s="364" t="s">
        <v>8027</v>
      </c>
      <c r="S53" s="340">
        <v>1</v>
      </c>
    </row>
    <row r="54" spans="1:19" ht="31" x14ac:dyDescent="0.35">
      <c r="A54" s="349">
        <v>43</v>
      </c>
      <c r="B54" s="364" t="s">
        <v>10085</v>
      </c>
      <c r="C54" s="365" t="s">
        <v>10086</v>
      </c>
      <c r="D54" s="366" t="s">
        <v>107</v>
      </c>
      <c r="E54" s="366" t="s">
        <v>10082</v>
      </c>
      <c r="F54" s="366" t="s">
        <v>10078</v>
      </c>
      <c r="G54" s="366" t="s">
        <v>10078</v>
      </c>
      <c r="H54" s="366">
        <v>56</v>
      </c>
      <c r="I54" s="364" t="s">
        <v>10114</v>
      </c>
      <c r="J54" s="367"/>
      <c r="K54" s="364"/>
      <c r="L54" s="358"/>
      <c r="M54" s="366" t="s">
        <v>10084</v>
      </c>
      <c r="N54" s="358"/>
      <c r="O54" s="360" t="s">
        <v>57</v>
      </c>
      <c r="P54" s="368">
        <v>64974000</v>
      </c>
      <c r="Q54" s="369"/>
      <c r="R54" s="364" t="s">
        <v>8027</v>
      </c>
      <c r="S54" s="340">
        <v>1</v>
      </c>
    </row>
    <row r="55" spans="1:19" ht="31.5" thickBot="1" x14ac:dyDescent="0.4">
      <c r="A55" s="357">
        <v>44</v>
      </c>
      <c r="B55" s="364" t="s">
        <v>10085</v>
      </c>
      <c r="C55" s="365" t="s">
        <v>10086</v>
      </c>
      <c r="D55" s="366" t="s">
        <v>112</v>
      </c>
      <c r="E55" s="366" t="s">
        <v>10082</v>
      </c>
      <c r="F55" s="366" t="s">
        <v>10078</v>
      </c>
      <c r="G55" s="366" t="s">
        <v>10078</v>
      </c>
      <c r="H55" s="366">
        <v>56</v>
      </c>
      <c r="I55" s="364" t="s">
        <v>10114</v>
      </c>
      <c r="J55" s="367"/>
      <c r="K55" s="364"/>
      <c r="L55" s="358"/>
      <c r="M55" s="366" t="s">
        <v>10084</v>
      </c>
      <c r="N55" s="358"/>
      <c r="O55" s="360" t="s">
        <v>57</v>
      </c>
      <c r="P55" s="368">
        <v>64974000</v>
      </c>
      <c r="Q55" s="369"/>
      <c r="R55" s="364" t="s">
        <v>8027</v>
      </c>
      <c r="S55" s="340">
        <v>1</v>
      </c>
    </row>
    <row r="56" spans="1:19" ht="46.5" x14ac:dyDescent="0.35">
      <c r="A56" s="349">
        <v>45</v>
      </c>
      <c r="B56" s="364" t="s">
        <v>10117</v>
      </c>
      <c r="C56" s="365" t="s">
        <v>10118</v>
      </c>
      <c r="D56" s="366" t="s">
        <v>51</v>
      </c>
      <c r="E56" s="366" t="s">
        <v>10082</v>
      </c>
      <c r="F56" s="366" t="s">
        <v>10078</v>
      </c>
      <c r="G56" s="366" t="s">
        <v>10088</v>
      </c>
      <c r="H56" s="366">
        <v>30</v>
      </c>
      <c r="I56" s="364" t="s">
        <v>10119</v>
      </c>
      <c r="J56" s="367"/>
      <c r="K56" s="364" t="s">
        <v>10120</v>
      </c>
      <c r="L56" s="358"/>
      <c r="M56" s="366"/>
      <c r="N56" s="358"/>
      <c r="O56" s="360" t="s">
        <v>44</v>
      </c>
      <c r="P56" s="368">
        <v>199199825</v>
      </c>
      <c r="Q56" s="369" t="s">
        <v>10121</v>
      </c>
      <c r="R56" s="364" t="s">
        <v>8027</v>
      </c>
      <c r="S56" s="340">
        <v>1</v>
      </c>
    </row>
    <row r="57" spans="1:19" ht="31.5" thickBot="1" x14ac:dyDescent="0.4">
      <c r="A57" s="357">
        <v>46</v>
      </c>
      <c r="B57" s="364" t="s">
        <v>10096</v>
      </c>
      <c r="C57" s="365" t="s">
        <v>10097</v>
      </c>
      <c r="D57" s="366" t="s">
        <v>51</v>
      </c>
      <c r="E57" s="366" t="s">
        <v>10082</v>
      </c>
      <c r="F57" s="366" t="s">
        <v>10078</v>
      </c>
      <c r="G57" s="366" t="s">
        <v>10088</v>
      </c>
      <c r="H57" s="366">
        <v>147</v>
      </c>
      <c r="I57" s="364" t="s">
        <v>10114</v>
      </c>
      <c r="J57" s="367">
        <v>42151</v>
      </c>
      <c r="K57" s="364" t="s">
        <v>10122</v>
      </c>
      <c r="L57" s="358"/>
      <c r="M57" s="366" t="s">
        <v>10084</v>
      </c>
      <c r="N57" s="358"/>
      <c r="O57" s="360" t="s">
        <v>57</v>
      </c>
      <c r="P57" s="368">
        <v>221013000</v>
      </c>
      <c r="Q57" s="369" t="s">
        <v>10123</v>
      </c>
      <c r="R57" s="364" t="s">
        <v>8027</v>
      </c>
      <c r="S57" s="340">
        <v>1</v>
      </c>
    </row>
    <row r="58" spans="1:19" ht="31" x14ac:dyDescent="0.35">
      <c r="A58" s="349">
        <v>47</v>
      </c>
      <c r="B58" s="364" t="s">
        <v>10080</v>
      </c>
      <c r="C58" s="365" t="s">
        <v>10081</v>
      </c>
      <c r="D58" s="366" t="s">
        <v>51</v>
      </c>
      <c r="E58" s="366" t="s">
        <v>10082</v>
      </c>
      <c r="F58" s="366" t="s">
        <v>10078</v>
      </c>
      <c r="G58" s="366" t="s">
        <v>10078</v>
      </c>
      <c r="H58" s="366">
        <v>45</v>
      </c>
      <c r="I58" s="364" t="s">
        <v>10124</v>
      </c>
      <c r="J58" s="367"/>
      <c r="K58" s="364"/>
      <c r="L58" s="358"/>
      <c r="M58" s="366" t="s">
        <v>10084</v>
      </c>
      <c r="N58" s="358"/>
      <c r="O58" s="360" t="s">
        <v>57</v>
      </c>
      <c r="P58" s="368">
        <v>60244000</v>
      </c>
      <c r="Q58" s="369"/>
      <c r="R58" s="364" t="s">
        <v>8029</v>
      </c>
      <c r="S58" s="340">
        <v>1</v>
      </c>
    </row>
    <row r="59" spans="1:19" ht="31.5" thickBot="1" x14ac:dyDescent="0.4">
      <c r="A59" s="357">
        <v>48</v>
      </c>
      <c r="B59" s="364" t="s">
        <v>10080</v>
      </c>
      <c r="C59" s="365" t="s">
        <v>10081</v>
      </c>
      <c r="D59" s="366" t="s">
        <v>59</v>
      </c>
      <c r="E59" s="366" t="s">
        <v>10082</v>
      </c>
      <c r="F59" s="366" t="s">
        <v>10078</v>
      </c>
      <c r="G59" s="366" t="s">
        <v>10078</v>
      </c>
      <c r="H59" s="366">
        <v>90</v>
      </c>
      <c r="I59" s="364" t="s">
        <v>10124</v>
      </c>
      <c r="J59" s="367"/>
      <c r="K59" s="364"/>
      <c r="L59" s="358"/>
      <c r="M59" s="366" t="s">
        <v>10084</v>
      </c>
      <c r="N59" s="358"/>
      <c r="O59" s="360" t="s">
        <v>57</v>
      </c>
      <c r="P59" s="368">
        <v>120488000</v>
      </c>
      <c r="Q59" s="369"/>
      <c r="R59" s="364" t="s">
        <v>8029</v>
      </c>
      <c r="S59" s="340">
        <v>1</v>
      </c>
    </row>
    <row r="60" spans="1:19" ht="31" x14ac:dyDescent="0.35">
      <c r="A60" s="349">
        <v>49</v>
      </c>
      <c r="B60" s="364" t="s">
        <v>10080</v>
      </c>
      <c r="C60" s="365" t="s">
        <v>10081</v>
      </c>
      <c r="D60" s="366" t="s">
        <v>97</v>
      </c>
      <c r="E60" s="366" t="s">
        <v>10082</v>
      </c>
      <c r="F60" s="366" t="s">
        <v>10078</v>
      </c>
      <c r="G60" s="366" t="s">
        <v>10078</v>
      </c>
      <c r="H60" s="366">
        <v>135</v>
      </c>
      <c r="I60" s="364" t="s">
        <v>10124</v>
      </c>
      <c r="J60" s="367"/>
      <c r="K60" s="364"/>
      <c r="L60" s="358"/>
      <c r="M60" s="366" t="s">
        <v>10084</v>
      </c>
      <c r="N60" s="358"/>
      <c r="O60" s="360" t="s">
        <v>57</v>
      </c>
      <c r="P60" s="368">
        <v>180731000</v>
      </c>
      <c r="Q60" s="369"/>
      <c r="R60" s="364" t="s">
        <v>8029</v>
      </c>
      <c r="S60" s="340">
        <v>1</v>
      </c>
    </row>
    <row r="61" spans="1:19" ht="31.5" thickBot="1" x14ac:dyDescent="0.4">
      <c r="A61" s="357">
        <v>50</v>
      </c>
      <c r="B61" s="364" t="s">
        <v>10080</v>
      </c>
      <c r="C61" s="365" t="s">
        <v>10081</v>
      </c>
      <c r="D61" s="366" t="s">
        <v>101</v>
      </c>
      <c r="E61" s="366" t="s">
        <v>10082</v>
      </c>
      <c r="F61" s="366" t="s">
        <v>10078</v>
      </c>
      <c r="G61" s="366" t="s">
        <v>10078</v>
      </c>
      <c r="H61" s="366">
        <v>90</v>
      </c>
      <c r="I61" s="364" t="s">
        <v>10124</v>
      </c>
      <c r="J61" s="367"/>
      <c r="K61" s="364"/>
      <c r="L61" s="358"/>
      <c r="M61" s="366" t="s">
        <v>10084</v>
      </c>
      <c r="N61" s="358"/>
      <c r="O61" s="360" t="s">
        <v>57</v>
      </c>
      <c r="P61" s="368">
        <v>311809000</v>
      </c>
      <c r="Q61" s="369"/>
      <c r="R61" s="364" t="s">
        <v>8029</v>
      </c>
      <c r="S61" s="340">
        <v>1</v>
      </c>
    </row>
    <row r="62" spans="1:19" ht="31" x14ac:dyDescent="0.35">
      <c r="A62" s="349">
        <v>51</v>
      </c>
      <c r="B62" s="364" t="s">
        <v>10080</v>
      </c>
      <c r="C62" s="365" t="s">
        <v>10081</v>
      </c>
      <c r="D62" s="366" t="s">
        <v>107</v>
      </c>
      <c r="E62" s="366" t="s">
        <v>10082</v>
      </c>
      <c r="F62" s="366" t="s">
        <v>10078</v>
      </c>
      <c r="G62" s="366" t="s">
        <v>10078</v>
      </c>
      <c r="H62" s="366">
        <v>163</v>
      </c>
      <c r="I62" s="364" t="s">
        <v>10124</v>
      </c>
      <c r="J62" s="367"/>
      <c r="K62" s="364"/>
      <c r="L62" s="358"/>
      <c r="M62" s="366" t="s">
        <v>10084</v>
      </c>
      <c r="N62" s="358"/>
      <c r="O62" s="360" t="s">
        <v>422</v>
      </c>
      <c r="P62" s="368">
        <v>92000000</v>
      </c>
      <c r="Q62" s="369" t="s">
        <v>8603</v>
      </c>
      <c r="R62" s="364" t="s">
        <v>8029</v>
      </c>
      <c r="S62" s="340">
        <v>1</v>
      </c>
    </row>
    <row r="63" spans="1:19" ht="47" thickBot="1" x14ac:dyDescent="0.4">
      <c r="A63" s="357">
        <v>52</v>
      </c>
      <c r="B63" s="364" t="s">
        <v>10080</v>
      </c>
      <c r="C63" s="365" t="s">
        <v>10081</v>
      </c>
      <c r="D63" s="366" t="s">
        <v>112</v>
      </c>
      <c r="E63" s="366" t="s">
        <v>10082</v>
      </c>
      <c r="F63" s="366" t="s">
        <v>10078</v>
      </c>
      <c r="G63" s="366" t="s">
        <v>10078</v>
      </c>
      <c r="H63" s="366">
        <v>64</v>
      </c>
      <c r="I63" s="364" t="s">
        <v>10125</v>
      </c>
      <c r="J63" s="367"/>
      <c r="K63" s="364" t="s">
        <v>10126</v>
      </c>
      <c r="L63" s="358"/>
      <c r="M63" s="366"/>
      <c r="N63" s="358"/>
      <c r="O63" s="360" t="s">
        <v>44</v>
      </c>
      <c r="P63" s="368">
        <v>199165612</v>
      </c>
      <c r="Q63" s="369" t="s">
        <v>10127</v>
      </c>
      <c r="R63" s="364" t="s">
        <v>8029</v>
      </c>
      <c r="S63" s="340">
        <v>1</v>
      </c>
    </row>
    <row r="64" spans="1:19" ht="31" x14ac:dyDescent="0.35">
      <c r="A64" s="349">
        <v>53</v>
      </c>
      <c r="B64" s="364" t="s">
        <v>10110</v>
      </c>
      <c r="C64" s="365" t="s">
        <v>10111</v>
      </c>
      <c r="D64" s="366" t="s">
        <v>51</v>
      </c>
      <c r="E64" s="366" t="s">
        <v>10082</v>
      </c>
      <c r="F64" s="366" t="s">
        <v>10078</v>
      </c>
      <c r="G64" s="366" t="s">
        <v>10078</v>
      </c>
      <c r="H64" s="366">
        <v>8</v>
      </c>
      <c r="I64" s="364" t="s">
        <v>10124</v>
      </c>
      <c r="J64" s="367">
        <v>42149</v>
      </c>
      <c r="K64" s="364" t="s">
        <v>10128</v>
      </c>
      <c r="L64" s="358"/>
      <c r="M64" s="366" t="s">
        <v>10084</v>
      </c>
      <c r="N64" s="358"/>
      <c r="O64" s="360" t="s">
        <v>57</v>
      </c>
      <c r="P64" s="368">
        <v>82081500</v>
      </c>
      <c r="Q64" s="369" t="s">
        <v>10129</v>
      </c>
      <c r="R64" s="364" t="s">
        <v>8029</v>
      </c>
      <c r="S64" s="340">
        <v>1</v>
      </c>
    </row>
    <row r="65" spans="1:19" ht="29.5" thickBot="1" x14ac:dyDescent="0.4">
      <c r="A65" s="357">
        <v>54</v>
      </c>
      <c r="B65" s="358" t="s">
        <v>10092</v>
      </c>
      <c r="C65" s="359" t="s">
        <v>10093</v>
      </c>
      <c r="D65" s="360" t="s">
        <v>51</v>
      </c>
      <c r="E65" s="360" t="s">
        <v>10082</v>
      </c>
      <c r="F65" s="360" t="s">
        <v>10078</v>
      </c>
      <c r="G65" s="360" t="s">
        <v>10078</v>
      </c>
      <c r="H65" s="360">
        <v>61</v>
      </c>
      <c r="I65" s="358" t="s">
        <v>10130</v>
      </c>
      <c r="J65" s="361">
        <v>41564</v>
      </c>
      <c r="K65" s="358" t="s">
        <v>10131</v>
      </c>
      <c r="L65" s="358"/>
      <c r="M65" s="360" t="s">
        <v>10084</v>
      </c>
      <c r="N65" s="358"/>
      <c r="O65" s="360" t="s">
        <v>57</v>
      </c>
      <c r="P65" s="362">
        <v>155169520</v>
      </c>
      <c r="Q65" s="363"/>
      <c r="R65" s="364" t="s">
        <v>8029</v>
      </c>
      <c r="S65" s="340">
        <v>1</v>
      </c>
    </row>
    <row r="66" spans="1:19" ht="29" x14ac:dyDescent="0.35">
      <c r="A66" s="349">
        <v>55</v>
      </c>
      <c r="B66" s="358" t="s">
        <v>10085</v>
      </c>
      <c r="C66" s="359" t="s">
        <v>10086</v>
      </c>
      <c r="D66" s="360" t="s">
        <v>51</v>
      </c>
      <c r="E66" s="360" t="s">
        <v>10082</v>
      </c>
      <c r="F66" s="360" t="s">
        <v>10078</v>
      </c>
      <c r="G66" s="360" t="s">
        <v>10088</v>
      </c>
      <c r="H66" s="360">
        <v>36</v>
      </c>
      <c r="I66" s="358" t="s">
        <v>10124</v>
      </c>
      <c r="J66" s="361"/>
      <c r="K66" s="358"/>
      <c r="L66" s="358"/>
      <c r="M66" s="360" t="s">
        <v>10084</v>
      </c>
      <c r="N66" s="358"/>
      <c r="O66" s="360" t="s">
        <v>57</v>
      </c>
      <c r="P66" s="362">
        <v>321225000</v>
      </c>
      <c r="Q66" s="363"/>
      <c r="R66" s="364" t="s">
        <v>8029</v>
      </c>
      <c r="S66" s="340">
        <v>1</v>
      </c>
    </row>
    <row r="67" spans="1:19" ht="29.5" thickBot="1" x14ac:dyDescent="0.4">
      <c r="A67" s="357">
        <v>56</v>
      </c>
      <c r="B67" s="358" t="s">
        <v>10080</v>
      </c>
      <c r="C67" s="359" t="s">
        <v>10081</v>
      </c>
      <c r="D67" s="360" t="s">
        <v>51</v>
      </c>
      <c r="E67" s="360" t="s">
        <v>10082</v>
      </c>
      <c r="F67" s="360" t="s">
        <v>10078</v>
      </c>
      <c r="G67" s="360" t="s">
        <v>10078</v>
      </c>
      <c r="H67" s="360">
        <v>180</v>
      </c>
      <c r="I67" s="358" t="s">
        <v>10083</v>
      </c>
      <c r="J67" s="361"/>
      <c r="K67" s="358"/>
      <c r="L67" s="358"/>
      <c r="M67" s="360" t="s">
        <v>10084</v>
      </c>
      <c r="N67" s="358"/>
      <c r="O67" s="360" t="s">
        <v>57</v>
      </c>
      <c r="P67" s="362">
        <v>532410000</v>
      </c>
      <c r="Q67" s="363"/>
      <c r="R67" s="364" t="s">
        <v>8031</v>
      </c>
      <c r="S67" s="340">
        <v>1</v>
      </c>
    </row>
    <row r="68" spans="1:19" ht="29" x14ac:dyDescent="0.35">
      <c r="A68" s="349">
        <v>57</v>
      </c>
      <c r="B68" s="358" t="s">
        <v>10080</v>
      </c>
      <c r="C68" s="359" t="s">
        <v>10081</v>
      </c>
      <c r="D68" s="360" t="s">
        <v>59</v>
      </c>
      <c r="E68" s="360" t="s">
        <v>10082</v>
      </c>
      <c r="F68" s="360" t="s">
        <v>10078</v>
      </c>
      <c r="G68" s="360" t="s">
        <v>10078</v>
      </c>
      <c r="H68" s="360">
        <v>90</v>
      </c>
      <c r="I68" s="358" t="s">
        <v>10083</v>
      </c>
      <c r="J68" s="361"/>
      <c r="K68" s="358"/>
      <c r="L68" s="358"/>
      <c r="M68" s="360" t="s">
        <v>10084</v>
      </c>
      <c r="N68" s="358"/>
      <c r="O68" s="360" t="s">
        <v>57</v>
      </c>
      <c r="P68" s="362">
        <v>172930000</v>
      </c>
      <c r="Q68" s="363"/>
      <c r="R68" s="364" t="s">
        <v>8031</v>
      </c>
      <c r="S68" s="340">
        <v>1</v>
      </c>
    </row>
    <row r="69" spans="1:19" ht="29.5" thickBot="1" x14ac:dyDescent="0.4">
      <c r="A69" s="357">
        <v>58</v>
      </c>
      <c r="B69" s="358" t="s">
        <v>10092</v>
      </c>
      <c r="C69" s="359" t="s">
        <v>10093</v>
      </c>
      <c r="D69" s="360" t="s">
        <v>51</v>
      </c>
      <c r="E69" s="360" t="s">
        <v>10082</v>
      </c>
      <c r="F69" s="360" t="s">
        <v>10078</v>
      </c>
      <c r="G69" s="360" t="s">
        <v>10078</v>
      </c>
      <c r="H69" s="360">
        <v>61</v>
      </c>
      <c r="I69" s="358" t="s">
        <v>10083</v>
      </c>
      <c r="J69" s="361">
        <v>41564</v>
      </c>
      <c r="K69" s="358" t="s">
        <v>10132</v>
      </c>
      <c r="L69" s="358"/>
      <c r="M69" s="360" t="s">
        <v>10084</v>
      </c>
      <c r="N69" s="358"/>
      <c r="O69" s="360" t="s">
        <v>57</v>
      </c>
      <c r="P69" s="362">
        <v>155169520</v>
      </c>
      <c r="Q69" s="363"/>
      <c r="R69" s="364" t="s">
        <v>8031</v>
      </c>
      <c r="S69" s="340">
        <v>1</v>
      </c>
    </row>
    <row r="70" spans="1:19" ht="29" x14ac:dyDescent="0.35">
      <c r="A70" s="349">
        <v>59</v>
      </c>
      <c r="B70" s="358" t="s">
        <v>10085</v>
      </c>
      <c r="C70" s="359" t="s">
        <v>10086</v>
      </c>
      <c r="D70" s="360" t="s">
        <v>51</v>
      </c>
      <c r="E70" s="360" t="s">
        <v>10082</v>
      </c>
      <c r="F70" s="360" t="s">
        <v>10078</v>
      </c>
      <c r="G70" s="360" t="s">
        <v>10078</v>
      </c>
      <c r="H70" s="360">
        <v>45</v>
      </c>
      <c r="I70" s="358" t="s">
        <v>10083</v>
      </c>
      <c r="J70" s="361"/>
      <c r="K70" s="358"/>
      <c r="L70" s="358"/>
      <c r="M70" s="360" t="s">
        <v>10084</v>
      </c>
      <c r="N70" s="358"/>
      <c r="O70" s="360" t="s">
        <v>57</v>
      </c>
      <c r="P70" s="362">
        <v>122224000</v>
      </c>
      <c r="Q70" s="363"/>
      <c r="R70" s="364" t="s">
        <v>8031</v>
      </c>
      <c r="S70" s="340">
        <v>1</v>
      </c>
    </row>
    <row r="71" spans="1:19" ht="29.5" thickBot="1" x14ac:dyDescent="0.4">
      <c r="A71" s="357">
        <v>60</v>
      </c>
      <c r="B71" s="358" t="s">
        <v>10085</v>
      </c>
      <c r="C71" s="359" t="s">
        <v>10086</v>
      </c>
      <c r="D71" s="360" t="s">
        <v>59</v>
      </c>
      <c r="E71" s="360" t="s">
        <v>10082</v>
      </c>
      <c r="F71" s="360" t="s">
        <v>10078</v>
      </c>
      <c r="G71" s="360" t="s">
        <v>10078</v>
      </c>
      <c r="H71" s="360">
        <v>36</v>
      </c>
      <c r="I71" s="358" t="s">
        <v>10083</v>
      </c>
      <c r="J71" s="361"/>
      <c r="K71" s="358"/>
      <c r="L71" s="358"/>
      <c r="M71" s="360" t="s">
        <v>10084</v>
      </c>
      <c r="N71" s="358"/>
      <c r="O71" s="360" t="s">
        <v>57</v>
      </c>
      <c r="P71" s="362">
        <v>52479000</v>
      </c>
      <c r="Q71" s="363"/>
      <c r="R71" s="364" t="s">
        <v>8031</v>
      </c>
      <c r="S71" s="340">
        <v>1</v>
      </c>
    </row>
    <row r="72" spans="1:19" ht="29" x14ac:dyDescent="0.35">
      <c r="A72" s="349">
        <v>61</v>
      </c>
      <c r="B72" s="358" t="s">
        <v>10080</v>
      </c>
      <c r="C72" s="359" t="s">
        <v>10081</v>
      </c>
      <c r="D72" s="360" t="s">
        <v>51</v>
      </c>
      <c r="E72" s="360" t="s">
        <v>10082</v>
      </c>
      <c r="F72" s="360" t="s">
        <v>10078</v>
      </c>
      <c r="G72" s="360" t="s">
        <v>10078</v>
      </c>
      <c r="H72" s="360">
        <v>90</v>
      </c>
      <c r="I72" s="358" t="s">
        <v>10087</v>
      </c>
      <c r="J72" s="361"/>
      <c r="K72" s="358"/>
      <c r="L72" s="358"/>
      <c r="M72" s="360" t="s">
        <v>10084</v>
      </c>
      <c r="N72" s="358"/>
      <c r="O72" s="360" t="s">
        <v>57</v>
      </c>
      <c r="P72" s="362">
        <v>578156000</v>
      </c>
      <c r="Q72" s="363"/>
      <c r="R72" s="364" t="s">
        <v>8033</v>
      </c>
      <c r="S72" s="340">
        <v>1</v>
      </c>
    </row>
    <row r="73" spans="1:19" ht="29.5" thickBot="1" x14ac:dyDescent="0.4">
      <c r="A73" s="357">
        <v>62</v>
      </c>
      <c r="B73" s="358" t="s">
        <v>10080</v>
      </c>
      <c r="C73" s="359" t="s">
        <v>10081</v>
      </c>
      <c r="D73" s="360" t="s">
        <v>59</v>
      </c>
      <c r="E73" s="360" t="s">
        <v>10082</v>
      </c>
      <c r="F73" s="360" t="s">
        <v>10078</v>
      </c>
      <c r="G73" s="360" t="s">
        <v>10078</v>
      </c>
      <c r="H73" s="360">
        <v>180</v>
      </c>
      <c r="I73" s="358" t="s">
        <v>10087</v>
      </c>
      <c r="J73" s="361"/>
      <c r="K73" s="358"/>
      <c r="L73" s="358"/>
      <c r="M73" s="360" t="s">
        <v>10084</v>
      </c>
      <c r="N73" s="358"/>
      <c r="O73" s="360" t="s">
        <v>57</v>
      </c>
      <c r="P73" s="362">
        <v>244347500</v>
      </c>
      <c r="Q73" s="363"/>
      <c r="R73" s="364" t="s">
        <v>8033</v>
      </c>
      <c r="S73" s="340">
        <v>1</v>
      </c>
    </row>
    <row r="74" spans="1:19" ht="29" x14ac:dyDescent="0.35">
      <c r="A74" s="349">
        <v>63</v>
      </c>
      <c r="B74" s="358" t="s">
        <v>10080</v>
      </c>
      <c r="C74" s="359" t="s">
        <v>10081</v>
      </c>
      <c r="D74" s="360" t="s">
        <v>97</v>
      </c>
      <c r="E74" s="360" t="s">
        <v>10082</v>
      </c>
      <c r="F74" s="360" t="s">
        <v>10078</v>
      </c>
      <c r="G74" s="360" t="s">
        <v>10078</v>
      </c>
      <c r="H74" s="360">
        <v>260</v>
      </c>
      <c r="I74" s="358" t="s">
        <v>10087</v>
      </c>
      <c r="J74" s="361"/>
      <c r="K74" s="358"/>
      <c r="L74" s="358"/>
      <c r="M74" s="360" t="s">
        <v>10084</v>
      </c>
      <c r="N74" s="358"/>
      <c r="O74" s="360" t="s">
        <v>422</v>
      </c>
      <c r="P74" s="362">
        <v>110000000</v>
      </c>
      <c r="Q74" s="363" t="s">
        <v>8603</v>
      </c>
      <c r="R74" s="364" t="s">
        <v>8033</v>
      </c>
      <c r="S74" s="340">
        <v>1</v>
      </c>
    </row>
    <row r="75" spans="1:19" ht="47" thickBot="1" x14ac:dyDescent="0.4">
      <c r="A75" s="357">
        <v>64</v>
      </c>
      <c r="B75" s="364" t="s">
        <v>10080</v>
      </c>
      <c r="C75" s="365" t="s">
        <v>10081</v>
      </c>
      <c r="D75" s="366" t="s">
        <v>101</v>
      </c>
      <c r="E75" s="366" t="s">
        <v>10082</v>
      </c>
      <c r="F75" s="366" t="s">
        <v>10078</v>
      </c>
      <c r="G75" s="366" t="s">
        <v>10088</v>
      </c>
      <c r="H75" s="366">
        <v>64</v>
      </c>
      <c r="I75" s="364" t="s">
        <v>10133</v>
      </c>
      <c r="J75" s="361"/>
      <c r="K75" s="358" t="s">
        <v>10134</v>
      </c>
      <c r="L75" s="358"/>
      <c r="M75" s="366"/>
      <c r="N75" s="358"/>
      <c r="O75" s="366" t="s">
        <v>44</v>
      </c>
      <c r="P75" s="368">
        <v>245912175</v>
      </c>
      <c r="Q75" s="369" t="s">
        <v>10135</v>
      </c>
      <c r="R75" s="364" t="s">
        <v>8033</v>
      </c>
      <c r="S75" s="340">
        <v>1</v>
      </c>
    </row>
    <row r="76" spans="1:19" ht="46.5" x14ac:dyDescent="0.35">
      <c r="A76" s="349">
        <v>65</v>
      </c>
      <c r="B76" s="364" t="s">
        <v>10110</v>
      </c>
      <c r="C76" s="365" t="s">
        <v>10111</v>
      </c>
      <c r="D76" s="366" t="s">
        <v>51</v>
      </c>
      <c r="E76" s="366" t="s">
        <v>10082</v>
      </c>
      <c r="F76" s="366" t="s">
        <v>10078</v>
      </c>
      <c r="G76" s="366" t="s">
        <v>10088</v>
      </c>
      <c r="H76" s="366">
        <v>24</v>
      </c>
      <c r="I76" s="364" t="s">
        <v>10136</v>
      </c>
      <c r="J76" s="367"/>
      <c r="K76" s="364" t="s">
        <v>10137</v>
      </c>
      <c r="L76" s="358"/>
      <c r="M76" s="366"/>
      <c r="N76" s="358"/>
      <c r="O76" s="366" t="s">
        <v>44</v>
      </c>
      <c r="P76" s="368">
        <v>177969000</v>
      </c>
      <c r="Q76" s="369" t="s">
        <v>10138</v>
      </c>
      <c r="R76" s="364" t="s">
        <v>8033</v>
      </c>
      <c r="S76" s="340">
        <v>1</v>
      </c>
    </row>
    <row r="77" spans="1:19" ht="47" thickBot="1" x14ac:dyDescent="0.4">
      <c r="A77" s="357">
        <v>66</v>
      </c>
      <c r="B77" s="364" t="s">
        <v>10110</v>
      </c>
      <c r="C77" s="365" t="s">
        <v>10111</v>
      </c>
      <c r="D77" s="366" t="s">
        <v>59</v>
      </c>
      <c r="E77" s="366" t="s">
        <v>10082</v>
      </c>
      <c r="F77" s="366" t="s">
        <v>10078</v>
      </c>
      <c r="G77" s="366" t="s">
        <v>10088</v>
      </c>
      <c r="H77" s="366">
        <v>64</v>
      </c>
      <c r="I77" s="364" t="s">
        <v>10133</v>
      </c>
      <c r="J77" s="367"/>
      <c r="K77" s="364" t="s">
        <v>10139</v>
      </c>
      <c r="L77" s="358"/>
      <c r="M77" s="366"/>
      <c r="N77" s="358"/>
      <c r="O77" s="360" t="s">
        <v>44</v>
      </c>
      <c r="P77" s="368">
        <v>281970000</v>
      </c>
      <c r="Q77" s="369" t="s">
        <v>10140</v>
      </c>
      <c r="R77" s="364" t="s">
        <v>8033</v>
      </c>
      <c r="S77" s="340">
        <v>1</v>
      </c>
    </row>
    <row r="78" spans="1:19" ht="46.5" x14ac:dyDescent="0.35">
      <c r="A78" s="349">
        <v>67</v>
      </c>
      <c r="B78" s="364" t="s">
        <v>10110</v>
      </c>
      <c r="C78" s="365" t="s">
        <v>10111</v>
      </c>
      <c r="D78" s="366" t="s">
        <v>97</v>
      </c>
      <c r="E78" s="366" t="s">
        <v>10082</v>
      </c>
      <c r="F78" s="366" t="s">
        <v>10078</v>
      </c>
      <c r="G78" s="366" t="s">
        <v>10088</v>
      </c>
      <c r="H78" s="366">
        <v>64</v>
      </c>
      <c r="I78" s="364" t="s">
        <v>10133</v>
      </c>
      <c r="J78" s="367"/>
      <c r="K78" s="364" t="s">
        <v>10141</v>
      </c>
      <c r="L78" s="358"/>
      <c r="M78" s="366"/>
      <c r="N78" s="358"/>
      <c r="O78" s="360" t="s">
        <v>44</v>
      </c>
      <c r="P78" s="368">
        <v>284936400</v>
      </c>
      <c r="Q78" s="369" t="s">
        <v>10142</v>
      </c>
      <c r="R78" s="364" t="s">
        <v>8033</v>
      </c>
      <c r="S78" s="340">
        <v>1</v>
      </c>
    </row>
    <row r="79" spans="1:19" ht="31.5" thickBot="1" x14ac:dyDescent="0.4">
      <c r="A79" s="357">
        <v>68</v>
      </c>
      <c r="B79" s="364" t="s">
        <v>10092</v>
      </c>
      <c r="C79" s="365" t="s">
        <v>10093</v>
      </c>
      <c r="D79" s="366" t="s">
        <v>51</v>
      </c>
      <c r="E79" s="366" t="s">
        <v>10082</v>
      </c>
      <c r="F79" s="366" t="s">
        <v>10078</v>
      </c>
      <c r="G79" s="366" t="s">
        <v>10078</v>
      </c>
      <c r="H79" s="366">
        <v>61</v>
      </c>
      <c r="I79" s="364" t="s">
        <v>10087</v>
      </c>
      <c r="J79" s="367"/>
      <c r="K79" s="364"/>
      <c r="L79" s="358"/>
      <c r="M79" s="366" t="s">
        <v>10084</v>
      </c>
      <c r="N79" s="358"/>
      <c r="O79" s="360" t="s">
        <v>57</v>
      </c>
      <c r="P79" s="368">
        <v>142726954</v>
      </c>
      <c r="Q79" s="369"/>
      <c r="R79" s="364" t="s">
        <v>8033</v>
      </c>
      <c r="S79" s="340">
        <v>1</v>
      </c>
    </row>
    <row r="80" spans="1:19" ht="46.5" x14ac:dyDescent="0.35">
      <c r="A80" s="349">
        <v>69</v>
      </c>
      <c r="B80" s="364" t="s">
        <v>10085</v>
      </c>
      <c r="C80" s="365" t="s">
        <v>10086</v>
      </c>
      <c r="D80" s="366" t="s">
        <v>51</v>
      </c>
      <c r="E80" s="366" t="s">
        <v>10082</v>
      </c>
      <c r="F80" s="366" t="s">
        <v>10078</v>
      </c>
      <c r="G80" s="366" t="s">
        <v>10078</v>
      </c>
      <c r="H80" s="366">
        <v>70</v>
      </c>
      <c r="I80" s="364" t="s">
        <v>10143</v>
      </c>
      <c r="J80" s="367">
        <v>41528</v>
      </c>
      <c r="K80" s="364" t="s">
        <v>10144</v>
      </c>
      <c r="L80" s="358"/>
      <c r="M80" s="366" t="s">
        <v>10084</v>
      </c>
      <c r="N80" s="358"/>
      <c r="O80" s="360" t="s">
        <v>57</v>
      </c>
      <c r="P80" s="368">
        <v>136363000</v>
      </c>
      <c r="Q80" s="369" t="s">
        <v>10145</v>
      </c>
      <c r="R80" s="364" t="s">
        <v>8033</v>
      </c>
      <c r="S80" s="340">
        <v>1</v>
      </c>
    </row>
    <row r="81" spans="1:19" ht="31.5" thickBot="1" x14ac:dyDescent="0.4">
      <c r="A81" s="357">
        <v>70</v>
      </c>
      <c r="B81" s="364" t="s">
        <v>10146</v>
      </c>
      <c r="C81" s="365" t="s">
        <v>10147</v>
      </c>
      <c r="D81" s="366" t="s">
        <v>51</v>
      </c>
      <c r="E81" s="366" t="s">
        <v>10082</v>
      </c>
      <c r="F81" s="366" t="s">
        <v>10078</v>
      </c>
      <c r="G81" s="366" t="s">
        <v>10088</v>
      </c>
      <c r="H81" s="366">
        <v>76</v>
      </c>
      <c r="I81" s="364" t="s">
        <v>10087</v>
      </c>
      <c r="J81" s="367">
        <v>42481</v>
      </c>
      <c r="K81" s="364" t="s">
        <v>10148</v>
      </c>
      <c r="L81" s="358"/>
      <c r="M81" s="366" t="s">
        <v>10084</v>
      </c>
      <c r="N81" s="358"/>
      <c r="O81" s="360" t="s">
        <v>57</v>
      </c>
      <c r="P81" s="368">
        <v>220823000</v>
      </c>
      <c r="Q81" s="369" t="s">
        <v>10149</v>
      </c>
      <c r="R81" s="364" t="s">
        <v>8033</v>
      </c>
      <c r="S81" s="340">
        <v>1</v>
      </c>
    </row>
    <row r="82" spans="1:19" ht="31" x14ac:dyDescent="0.35">
      <c r="A82" s="349">
        <v>71</v>
      </c>
      <c r="B82" s="364" t="s">
        <v>10080</v>
      </c>
      <c r="C82" s="365" t="s">
        <v>10081</v>
      </c>
      <c r="D82" s="366" t="s">
        <v>51</v>
      </c>
      <c r="E82" s="366" t="s">
        <v>10082</v>
      </c>
      <c r="F82" s="366" t="s">
        <v>10078</v>
      </c>
      <c r="G82" s="366" t="s">
        <v>10078</v>
      </c>
      <c r="H82" s="366">
        <v>90</v>
      </c>
      <c r="I82" s="364" t="s">
        <v>10150</v>
      </c>
      <c r="J82" s="361"/>
      <c r="K82" s="358"/>
      <c r="L82" s="358"/>
      <c r="M82" s="366" t="s">
        <v>10084</v>
      </c>
      <c r="N82" s="358"/>
      <c r="O82" s="360" t="s">
        <v>57</v>
      </c>
      <c r="P82" s="368">
        <v>120488000</v>
      </c>
      <c r="Q82" s="369"/>
      <c r="R82" s="364" t="s">
        <v>8034</v>
      </c>
      <c r="S82" s="340">
        <v>1</v>
      </c>
    </row>
    <row r="83" spans="1:19" ht="31.5" thickBot="1" x14ac:dyDescent="0.4">
      <c r="A83" s="357">
        <v>72</v>
      </c>
      <c r="B83" s="364" t="s">
        <v>10080</v>
      </c>
      <c r="C83" s="365" t="s">
        <v>10081</v>
      </c>
      <c r="D83" s="366" t="s">
        <v>59</v>
      </c>
      <c r="E83" s="366" t="s">
        <v>10082</v>
      </c>
      <c r="F83" s="366" t="s">
        <v>10078</v>
      </c>
      <c r="G83" s="366" t="s">
        <v>10078</v>
      </c>
      <c r="H83" s="366">
        <v>45</v>
      </c>
      <c r="I83" s="364" t="s">
        <v>10150</v>
      </c>
      <c r="J83" s="367"/>
      <c r="K83" s="364"/>
      <c r="L83" s="358"/>
      <c r="M83" s="366" t="s">
        <v>10084</v>
      </c>
      <c r="N83" s="358"/>
      <c r="O83" s="360" t="s">
        <v>57</v>
      </c>
      <c r="P83" s="368">
        <v>60244000</v>
      </c>
      <c r="Q83" s="369"/>
      <c r="R83" s="364" t="s">
        <v>8034</v>
      </c>
      <c r="S83" s="340">
        <v>1</v>
      </c>
    </row>
    <row r="84" spans="1:19" ht="31" x14ac:dyDescent="0.35">
      <c r="A84" s="349">
        <v>73</v>
      </c>
      <c r="B84" s="364" t="s">
        <v>10080</v>
      </c>
      <c r="C84" s="365" t="s">
        <v>10081</v>
      </c>
      <c r="D84" s="366" t="s">
        <v>97</v>
      </c>
      <c r="E84" s="366" t="s">
        <v>10082</v>
      </c>
      <c r="F84" s="360" t="s">
        <v>10078</v>
      </c>
      <c r="G84" s="360" t="s">
        <v>10078</v>
      </c>
      <c r="H84" s="360">
        <v>45</v>
      </c>
      <c r="I84" s="364" t="s">
        <v>10150</v>
      </c>
      <c r="J84" s="361"/>
      <c r="K84" s="358"/>
      <c r="L84" s="358"/>
      <c r="M84" s="360" t="s">
        <v>10084</v>
      </c>
      <c r="N84" s="358"/>
      <c r="O84" s="360" t="s">
        <v>57</v>
      </c>
      <c r="P84" s="368">
        <v>51558000</v>
      </c>
      <c r="Q84" s="369"/>
      <c r="R84" s="364" t="s">
        <v>8034</v>
      </c>
      <c r="S84" s="340">
        <v>1</v>
      </c>
    </row>
    <row r="85" spans="1:19" ht="47" thickBot="1" x14ac:dyDescent="0.4">
      <c r="A85" s="357">
        <v>74</v>
      </c>
      <c r="B85" s="364" t="s">
        <v>10080</v>
      </c>
      <c r="C85" s="365" t="s">
        <v>10081</v>
      </c>
      <c r="D85" s="366" t="s">
        <v>101</v>
      </c>
      <c r="E85" s="366" t="s">
        <v>10082</v>
      </c>
      <c r="F85" s="366" t="s">
        <v>10078</v>
      </c>
      <c r="G85" s="366" t="s">
        <v>10088</v>
      </c>
      <c r="H85" s="366">
        <v>64</v>
      </c>
      <c r="I85" s="364" t="s">
        <v>10151</v>
      </c>
      <c r="J85" s="367">
        <v>44746</v>
      </c>
      <c r="K85" s="364" t="s">
        <v>10152</v>
      </c>
      <c r="L85" s="358"/>
      <c r="M85" s="366"/>
      <c r="N85" s="358"/>
      <c r="O85" s="360" t="s">
        <v>44</v>
      </c>
      <c r="P85" s="368">
        <v>235426000</v>
      </c>
      <c r="Q85" s="369" t="s">
        <v>10153</v>
      </c>
      <c r="R85" s="364" t="s">
        <v>8034</v>
      </c>
      <c r="S85" s="340">
        <v>1</v>
      </c>
    </row>
    <row r="86" spans="1:19" ht="31" x14ac:dyDescent="0.35">
      <c r="A86" s="349">
        <v>75</v>
      </c>
      <c r="B86" s="364" t="s">
        <v>10092</v>
      </c>
      <c r="C86" s="365" t="s">
        <v>10093</v>
      </c>
      <c r="D86" s="366" t="s">
        <v>51</v>
      </c>
      <c r="E86" s="366" t="s">
        <v>10082</v>
      </c>
      <c r="F86" s="366" t="s">
        <v>10078</v>
      </c>
      <c r="G86" s="366" t="s">
        <v>10078</v>
      </c>
      <c r="H86" s="366">
        <v>61</v>
      </c>
      <c r="I86" s="364" t="s">
        <v>10102</v>
      </c>
      <c r="J86" s="367">
        <v>41564</v>
      </c>
      <c r="K86" s="364" t="s">
        <v>10154</v>
      </c>
      <c r="L86" s="358"/>
      <c r="M86" s="366" t="s">
        <v>10084</v>
      </c>
      <c r="N86" s="358"/>
      <c r="O86" s="360" t="s">
        <v>57</v>
      </c>
      <c r="P86" s="368">
        <v>155169520</v>
      </c>
      <c r="Q86" s="369"/>
      <c r="R86" s="364" t="s">
        <v>8034</v>
      </c>
      <c r="S86" s="340">
        <v>1</v>
      </c>
    </row>
    <row r="87" spans="1:19" ht="31.5" thickBot="1" x14ac:dyDescent="0.4">
      <c r="A87" s="357">
        <v>76</v>
      </c>
      <c r="B87" s="364" t="s">
        <v>10085</v>
      </c>
      <c r="C87" s="365" t="s">
        <v>10086</v>
      </c>
      <c r="D87" s="366" t="s">
        <v>51</v>
      </c>
      <c r="E87" s="366" t="s">
        <v>10082</v>
      </c>
      <c r="F87" s="366" t="s">
        <v>10078</v>
      </c>
      <c r="G87" s="366" t="s">
        <v>10088</v>
      </c>
      <c r="H87" s="366">
        <v>36</v>
      </c>
      <c r="I87" s="364" t="s">
        <v>10150</v>
      </c>
      <c r="J87" s="367"/>
      <c r="K87" s="364"/>
      <c r="L87" s="358"/>
      <c r="M87" s="366" t="s">
        <v>10084</v>
      </c>
      <c r="N87" s="358"/>
      <c r="O87" s="360" t="s">
        <v>57</v>
      </c>
      <c r="P87" s="368">
        <v>265483235</v>
      </c>
      <c r="Q87" s="369"/>
      <c r="R87" s="364" t="s">
        <v>8034</v>
      </c>
      <c r="S87" s="340">
        <v>1</v>
      </c>
    </row>
    <row r="88" spans="1:19" ht="31" x14ac:dyDescent="0.35">
      <c r="A88" s="349">
        <v>77</v>
      </c>
      <c r="B88" s="364" t="s">
        <v>10155</v>
      </c>
      <c r="C88" s="365" t="s">
        <v>10156</v>
      </c>
      <c r="D88" s="366" t="s">
        <v>51</v>
      </c>
      <c r="E88" s="366" t="s">
        <v>10082</v>
      </c>
      <c r="F88" s="366" t="s">
        <v>10078</v>
      </c>
      <c r="G88" s="366" t="s">
        <v>10088</v>
      </c>
      <c r="H88" s="366">
        <v>60</v>
      </c>
      <c r="I88" s="364" t="s">
        <v>10107</v>
      </c>
      <c r="J88" s="367">
        <v>43297</v>
      </c>
      <c r="K88" s="364" t="s">
        <v>10157</v>
      </c>
      <c r="L88" s="358"/>
      <c r="M88" s="366" t="s">
        <v>10084</v>
      </c>
      <c r="N88" s="358"/>
      <c r="O88" s="360" t="s">
        <v>57</v>
      </c>
      <c r="P88" s="368">
        <v>220812000</v>
      </c>
      <c r="Q88" s="369" t="s">
        <v>10158</v>
      </c>
      <c r="R88" s="364" t="s">
        <v>8036</v>
      </c>
      <c r="S88" s="340">
        <v>1</v>
      </c>
    </row>
    <row r="89" spans="1:19" ht="44" thickBot="1" x14ac:dyDescent="0.4">
      <c r="A89" s="357">
        <v>78</v>
      </c>
      <c r="B89" s="358" t="s">
        <v>10080</v>
      </c>
      <c r="C89" s="359" t="s">
        <v>10081</v>
      </c>
      <c r="D89" s="360" t="s">
        <v>51</v>
      </c>
      <c r="E89" s="360" t="s">
        <v>10082</v>
      </c>
      <c r="F89" s="360" t="s">
        <v>10078</v>
      </c>
      <c r="G89" s="360" t="s">
        <v>10088</v>
      </c>
      <c r="H89" s="360">
        <v>216</v>
      </c>
      <c r="I89" s="358" t="s">
        <v>10159</v>
      </c>
      <c r="J89" s="361">
        <v>43588</v>
      </c>
      <c r="K89" s="358" t="s">
        <v>10160</v>
      </c>
      <c r="L89" s="358"/>
      <c r="M89" s="360" t="s">
        <v>10084</v>
      </c>
      <c r="N89" s="358"/>
      <c r="O89" s="360" t="s">
        <v>57</v>
      </c>
      <c r="P89" s="362">
        <v>381150000</v>
      </c>
      <c r="Q89" s="363" t="s">
        <v>10161</v>
      </c>
      <c r="R89" s="364" t="s">
        <v>8036</v>
      </c>
      <c r="S89" s="340">
        <v>1</v>
      </c>
    </row>
    <row r="90" spans="1:19" ht="29" x14ac:dyDescent="0.35">
      <c r="A90" s="349">
        <v>79</v>
      </c>
      <c r="B90" s="358" t="s">
        <v>10080</v>
      </c>
      <c r="C90" s="359" t="s">
        <v>10081</v>
      </c>
      <c r="D90" s="360" t="s">
        <v>59</v>
      </c>
      <c r="E90" s="360" t="s">
        <v>10082</v>
      </c>
      <c r="F90" s="360" t="s">
        <v>10078</v>
      </c>
      <c r="G90" s="360" t="s">
        <v>10078</v>
      </c>
      <c r="H90" s="360">
        <v>112</v>
      </c>
      <c r="I90" s="358" t="s">
        <v>10107</v>
      </c>
      <c r="J90" s="361"/>
      <c r="K90" s="358"/>
      <c r="L90" s="358"/>
      <c r="M90" s="360" t="s">
        <v>10084</v>
      </c>
      <c r="N90" s="358"/>
      <c r="O90" s="360" t="s">
        <v>422</v>
      </c>
      <c r="P90" s="362">
        <v>80000000</v>
      </c>
      <c r="Q90" s="363" t="s">
        <v>8603</v>
      </c>
      <c r="R90" s="364" t="s">
        <v>8036</v>
      </c>
      <c r="S90" s="340">
        <v>1</v>
      </c>
    </row>
    <row r="91" spans="1:19" ht="29.5" thickBot="1" x14ac:dyDescent="0.4">
      <c r="A91" s="357">
        <v>80</v>
      </c>
      <c r="B91" s="358" t="s">
        <v>10080</v>
      </c>
      <c r="C91" s="359" t="s">
        <v>10081</v>
      </c>
      <c r="D91" s="360" t="s">
        <v>97</v>
      </c>
      <c r="E91" s="360" t="s">
        <v>10082</v>
      </c>
      <c r="F91" s="360" t="s">
        <v>10078</v>
      </c>
      <c r="G91" s="360" t="s">
        <v>10078</v>
      </c>
      <c r="H91" s="360">
        <v>90</v>
      </c>
      <c r="I91" s="358" t="s">
        <v>10107</v>
      </c>
      <c r="J91" s="361"/>
      <c r="K91" s="358"/>
      <c r="L91" s="358"/>
      <c r="M91" s="360" t="s">
        <v>10084</v>
      </c>
      <c r="N91" s="358"/>
      <c r="O91" s="360" t="s">
        <v>57</v>
      </c>
      <c r="P91" s="362">
        <v>116471000</v>
      </c>
      <c r="Q91" s="363"/>
      <c r="R91" s="364" t="s">
        <v>8036</v>
      </c>
      <c r="S91" s="340">
        <v>1</v>
      </c>
    </row>
    <row r="92" spans="1:19" ht="29" x14ac:dyDescent="0.35">
      <c r="A92" s="349">
        <v>81</v>
      </c>
      <c r="B92" s="358" t="s">
        <v>10080</v>
      </c>
      <c r="C92" s="359" t="s">
        <v>10081</v>
      </c>
      <c r="D92" s="360" t="s">
        <v>101</v>
      </c>
      <c r="E92" s="360" t="s">
        <v>10082</v>
      </c>
      <c r="F92" s="360" t="s">
        <v>10078</v>
      </c>
      <c r="G92" s="360" t="s">
        <v>10078</v>
      </c>
      <c r="H92" s="360">
        <v>45</v>
      </c>
      <c r="I92" s="358" t="s">
        <v>10107</v>
      </c>
      <c r="J92" s="361"/>
      <c r="K92" s="358"/>
      <c r="L92" s="358"/>
      <c r="M92" s="360" t="s">
        <v>10084</v>
      </c>
      <c r="N92" s="358"/>
      <c r="O92" s="360" t="s">
        <v>57</v>
      </c>
      <c r="P92" s="362">
        <v>58236000</v>
      </c>
      <c r="Q92" s="363"/>
      <c r="R92" s="364" t="s">
        <v>8036</v>
      </c>
      <c r="S92" s="340">
        <v>1</v>
      </c>
    </row>
    <row r="93" spans="1:19" ht="29.5" thickBot="1" x14ac:dyDescent="0.4">
      <c r="A93" s="357">
        <v>82</v>
      </c>
      <c r="B93" s="358" t="s">
        <v>10080</v>
      </c>
      <c r="C93" s="359" t="s">
        <v>10081</v>
      </c>
      <c r="D93" s="360" t="s">
        <v>107</v>
      </c>
      <c r="E93" s="360" t="s">
        <v>10082</v>
      </c>
      <c r="F93" s="360" t="s">
        <v>10078</v>
      </c>
      <c r="G93" s="360" t="s">
        <v>10078</v>
      </c>
      <c r="H93" s="360">
        <v>90</v>
      </c>
      <c r="I93" s="358" t="s">
        <v>10107</v>
      </c>
      <c r="J93" s="361"/>
      <c r="K93" s="358"/>
      <c r="L93" s="358"/>
      <c r="M93" s="360" t="s">
        <v>10084</v>
      </c>
      <c r="N93" s="358"/>
      <c r="O93" s="360" t="s">
        <v>57</v>
      </c>
      <c r="P93" s="362">
        <v>116471000</v>
      </c>
      <c r="Q93" s="363"/>
      <c r="R93" s="364" t="s">
        <v>8036</v>
      </c>
      <c r="S93" s="340">
        <v>1</v>
      </c>
    </row>
    <row r="94" spans="1:19" ht="29" x14ac:dyDescent="0.35">
      <c r="A94" s="349">
        <v>83</v>
      </c>
      <c r="B94" s="358" t="s">
        <v>10110</v>
      </c>
      <c r="C94" s="359" t="s">
        <v>10111</v>
      </c>
      <c r="D94" s="360" t="s">
        <v>51</v>
      </c>
      <c r="E94" s="360" t="s">
        <v>10082</v>
      </c>
      <c r="F94" s="360" t="s">
        <v>10078</v>
      </c>
      <c r="G94" s="360" t="s">
        <v>10088</v>
      </c>
      <c r="H94" s="360">
        <v>8</v>
      </c>
      <c r="I94" s="358" t="s">
        <v>10107</v>
      </c>
      <c r="J94" s="361">
        <v>42983</v>
      </c>
      <c r="K94" s="358" t="s">
        <v>10162</v>
      </c>
      <c r="L94" s="358"/>
      <c r="M94" s="360" t="s">
        <v>10084</v>
      </c>
      <c r="N94" s="358"/>
      <c r="O94" s="360" t="s">
        <v>57</v>
      </c>
      <c r="P94" s="362">
        <v>88276000</v>
      </c>
      <c r="Q94" s="363" t="s">
        <v>10163</v>
      </c>
      <c r="R94" s="364" t="s">
        <v>8036</v>
      </c>
      <c r="S94" s="340">
        <v>1</v>
      </c>
    </row>
    <row r="95" spans="1:19" ht="44" thickBot="1" x14ac:dyDescent="0.4">
      <c r="A95" s="357">
        <v>84</v>
      </c>
      <c r="B95" s="358" t="s">
        <v>10110</v>
      </c>
      <c r="C95" s="359" t="s">
        <v>10111</v>
      </c>
      <c r="D95" s="360" t="s">
        <v>59</v>
      </c>
      <c r="E95" s="360" t="s">
        <v>10082</v>
      </c>
      <c r="F95" s="360" t="s">
        <v>10078</v>
      </c>
      <c r="G95" s="360" t="s">
        <v>10088</v>
      </c>
      <c r="H95" s="360">
        <v>24</v>
      </c>
      <c r="I95" s="358" t="s">
        <v>10164</v>
      </c>
      <c r="J95" s="361"/>
      <c r="K95" s="358" t="s">
        <v>10165</v>
      </c>
      <c r="L95" s="358"/>
      <c r="M95" s="360"/>
      <c r="N95" s="358"/>
      <c r="O95" s="360" t="s">
        <v>44</v>
      </c>
      <c r="P95" s="362">
        <v>177939000</v>
      </c>
      <c r="Q95" s="363" t="s">
        <v>10166</v>
      </c>
      <c r="R95" s="364" t="s">
        <v>8036</v>
      </c>
      <c r="S95" s="340">
        <v>1</v>
      </c>
    </row>
    <row r="96" spans="1:19" ht="43.5" x14ac:dyDescent="0.35">
      <c r="A96" s="349">
        <v>85</v>
      </c>
      <c r="B96" s="358" t="s">
        <v>10110</v>
      </c>
      <c r="C96" s="359" t="s">
        <v>10111</v>
      </c>
      <c r="D96" s="360" t="s">
        <v>97</v>
      </c>
      <c r="E96" s="360" t="s">
        <v>10082</v>
      </c>
      <c r="F96" s="360" t="s">
        <v>10078</v>
      </c>
      <c r="G96" s="360" t="s">
        <v>10088</v>
      </c>
      <c r="H96" s="360">
        <v>64</v>
      </c>
      <c r="I96" s="358" t="s">
        <v>10164</v>
      </c>
      <c r="J96" s="361"/>
      <c r="K96" s="358" t="s">
        <v>10167</v>
      </c>
      <c r="L96" s="358"/>
      <c r="M96" s="360"/>
      <c r="N96" s="358"/>
      <c r="O96" s="360" t="s">
        <v>44</v>
      </c>
      <c r="P96" s="362">
        <v>291786500</v>
      </c>
      <c r="Q96" s="363" t="s">
        <v>10168</v>
      </c>
      <c r="R96" s="364" t="s">
        <v>8036</v>
      </c>
      <c r="S96" s="340">
        <v>1</v>
      </c>
    </row>
    <row r="97" spans="1:19" ht="29.5" thickBot="1" x14ac:dyDescent="0.4">
      <c r="A97" s="357">
        <v>86</v>
      </c>
      <c r="B97" s="358" t="s">
        <v>10092</v>
      </c>
      <c r="C97" s="359" t="s">
        <v>10093</v>
      </c>
      <c r="D97" s="360" t="s">
        <v>51</v>
      </c>
      <c r="E97" s="360" t="s">
        <v>10082</v>
      </c>
      <c r="F97" s="360" t="s">
        <v>10078</v>
      </c>
      <c r="G97" s="360" t="s">
        <v>10078</v>
      </c>
      <c r="H97" s="360">
        <v>30</v>
      </c>
      <c r="I97" s="358" t="s">
        <v>10107</v>
      </c>
      <c r="J97" s="361"/>
      <c r="K97" s="358"/>
      <c r="L97" s="358"/>
      <c r="M97" s="360" t="s">
        <v>10084</v>
      </c>
      <c r="N97" s="358"/>
      <c r="O97" s="360" t="s">
        <v>57</v>
      </c>
      <c r="P97" s="362">
        <v>38824000</v>
      </c>
      <c r="Q97" s="363"/>
      <c r="R97" s="364" t="s">
        <v>8036</v>
      </c>
      <c r="S97" s="340">
        <v>1</v>
      </c>
    </row>
    <row r="98" spans="1:19" ht="29" x14ac:dyDescent="0.35">
      <c r="A98" s="349">
        <v>87</v>
      </c>
      <c r="B98" s="358" t="s">
        <v>10085</v>
      </c>
      <c r="C98" s="359" t="s">
        <v>10086</v>
      </c>
      <c r="D98" s="360" t="s">
        <v>51</v>
      </c>
      <c r="E98" s="360" t="s">
        <v>10082</v>
      </c>
      <c r="F98" s="360" t="s">
        <v>10078</v>
      </c>
      <c r="G98" s="360" t="s">
        <v>10078</v>
      </c>
      <c r="H98" s="360">
        <v>30</v>
      </c>
      <c r="I98" s="358" t="s">
        <v>10107</v>
      </c>
      <c r="J98" s="361"/>
      <c r="K98" s="358"/>
      <c r="L98" s="358"/>
      <c r="M98" s="360" t="s">
        <v>10084</v>
      </c>
      <c r="N98" s="358"/>
      <c r="O98" s="360" t="s">
        <v>57</v>
      </c>
      <c r="P98" s="362">
        <v>38824000</v>
      </c>
      <c r="Q98" s="363"/>
      <c r="R98" s="364" t="s">
        <v>8036</v>
      </c>
      <c r="S98" s="340">
        <v>1</v>
      </c>
    </row>
    <row r="99" spans="1:19" ht="47" thickBot="1" x14ac:dyDescent="0.4">
      <c r="A99" s="357">
        <v>88</v>
      </c>
      <c r="B99" s="364" t="s">
        <v>10146</v>
      </c>
      <c r="C99" s="365" t="s">
        <v>10147</v>
      </c>
      <c r="D99" s="366" t="s">
        <v>51</v>
      </c>
      <c r="E99" s="366" t="s">
        <v>10082</v>
      </c>
      <c r="F99" s="366" t="s">
        <v>10078</v>
      </c>
      <c r="G99" s="366" t="s">
        <v>10088</v>
      </c>
      <c r="H99" s="366" t="s">
        <v>10169</v>
      </c>
      <c r="I99" s="364" t="s">
        <v>10170</v>
      </c>
      <c r="J99" s="367"/>
      <c r="K99" s="364" t="s">
        <v>10171</v>
      </c>
      <c r="L99" s="358"/>
      <c r="M99" s="366"/>
      <c r="N99" s="358"/>
      <c r="O99" s="366" t="s">
        <v>44</v>
      </c>
      <c r="P99" s="368">
        <v>221534900</v>
      </c>
      <c r="Q99" s="369" t="s">
        <v>10172</v>
      </c>
      <c r="R99" s="364" t="s">
        <v>8036</v>
      </c>
      <c r="S99" s="340">
        <v>1</v>
      </c>
    </row>
    <row r="100" spans="1:19" ht="31" x14ac:dyDescent="0.35">
      <c r="A100" s="349">
        <v>89</v>
      </c>
      <c r="B100" s="364" t="s">
        <v>10096</v>
      </c>
      <c r="C100" s="365" t="s">
        <v>10097</v>
      </c>
      <c r="D100" s="366" t="s">
        <v>51</v>
      </c>
      <c r="E100" s="366" t="s">
        <v>10082</v>
      </c>
      <c r="F100" s="366" t="s">
        <v>10078</v>
      </c>
      <c r="G100" s="366" t="s">
        <v>10088</v>
      </c>
      <c r="H100" s="366">
        <v>153</v>
      </c>
      <c r="I100" s="364" t="s">
        <v>10107</v>
      </c>
      <c r="J100" s="367">
        <v>42481</v>
      </c>
      <c r="K100" s="364" t="s">
        <v>10173</v>
      </c>
      <c r="L100" s="358"/>
      <c r="M100" s="366" t="s">
        <v>10084</v>
      </c>
      <c r="N100" s="358"/>
      <c r="O100" s="366" t="s">
        <v>57</v>
      </c>
      <c r="P100" s="368">
        <v>221245000</v>
      </c>
      <c r="Q100" s="369" t="s">
        <v>10174</v>
      </c>
      <c r="R100" s="364" t="s">
        <v>8036</v>
      </c>
      <c r="S100" s="340">
        <v>1</v>
      </c>
    </row>
    <row r="101" spans="1:19" ht="31.5" thickBot="1" x14ac:dyDescent="0.4">
      <c r="A101" s="357">
        <v>90</v>
      </c>
      <c r="B101" s="364" t="s">
        <v>10080</v>
      </c>
      <c r="C101" s="365" t="s">
        <v>10081</v>
      </c>
      <c r="D101" s="366" t="s">
        <v>51</v>
      </c>
      <c r="E101" s="366" t="s">
        <v>10082</v>
      </c>
      <c r="F101" s="366" t="s">
        <v>10078</v>
      </c>
      <c r="G101" s="366" t="s">
        <v>10078</v>
      </c>
      <c r="H101" s="366">
        <v>90</v>
      </c>
      <c r="I101" s="364" t="s">
        <v>10114</v>
      </c>
      <c r="J101" s="367"/>
      <c r="K101" s="364"/>
      <c r="L101" s="358"/>
      <c r="M101" s="366" t="s">
        <v>10084</v>
      </c>
      <c r="N101" s="358"/>
      <c r="O101" s="360" t="s">
        <v>57</v>
      </c>
      <c r="P101" s="368">
        <v>418732000</v>
      </c>
      <c r="Q101" s="369"/>
      <c r="R101" s="364" t="s">
        <v>8038</v>
      </c>
      <c r="S101" s="340">
        <v>1</v>
      </c>
    </row>
    <row r="102" spans="1:19" ht="31" x14ac:dyDescent="0.35">
      <c r="A102" s="349">
        <v>91</v>
      </c>
      <c r="B102" s="364" t="s">
        <v>10080</v>
      </c>
      <c r="C102" s="365" t="s">
        <v>10081</v>
      </c>
      <c r="D102" s="366" t="s">
        <v>59</v>
      </c>
      <c r="E102" s="366" t="s">
        <v>10082</v>
      </c>
      <c r="F102" s="366" t="s">
        <v>10078</v>
      </c>
      <c r="G102" s="366" t="s">
        <v>10078</v>
      </c>
      <c r="H102" s="366">
        <v>112</v>
      </c>
      <c r="I102" s="364" t="s">
        <v>10114</v>
      </c>
      <c r="J102" s="367"/>
      <c r="K102" s="364"/>
      <c r="L102" s="358"/>
      <c r="M102" s="366" t="s">
        <v>10084</v>
      </c>
      <c r="N102" s="358"/>
      <c r="O102" s="360" t="s">
        <v>422</v>
      </c>
      <c r="P102" s="368">
        <v>110000000</v>
      </c>
      <c r="Q102" s="369" t="s">
        <v>8603</v>
      </c>
      <c r="R102" s="364" t="s">
        <v>8038</v>
      </c>
      <c r="S102" s="340">
        <v>1</v>
      </c>
    </row>
    <row r="103" spans="1:19" ht="31.5" thickBot="1" x14ac:dyDescent="0.4">
      <c r="A103" s="357">
        <v>92</v>
      </c>
      <c r="B103" s="364" t="s">
        <v>10080</v>
      </c>
      <c r="C103" s="365" t="s">
        <v>10081</v>
      </c>
      <c r="D103" s="366" t="s">
        <v>97</v>
      </c>
      <c r="E103" s="366" t="s">
        <v>10082</v>
      </c>
      <c r="F103" s="366" t="s">
        <v>10078</v>
      </c>
      <c r="G103" s="366" t="s">
        <v>10078</v>
      </c>
      <c r="H103" s="366">
        <v>180</v>
      </c>
      <c r="I103" s="364" t="s">
        <v>10114</v>
      </c>
      <c r="J103" s="367"/>
      <c r="K103" s="364"/>
      <c r="L103" s="358"/>
      <c r="M103" s="366" t="s">
        <v>10084</v>
      </c>
      <c r="N103" s="358"/>
      <c r="O103" s="360" t="s">
        <v>57</v>
      </c>
      <c r="P103" s="368">
        <v>758373172</v>
      </c>
      <c r="Q103" s="369"/>
      <c r="R103" s="364" t="s">
        <v>8038</v>
      </c>
      <c r="S103" s="340">
        <v>1</v>
      </c>
    </row>
    <row r="104" spans="1:19" ht="31" x14ac:dyDescent="0.35">
      <c r="A104" s="349">
        <v>93</v>
      </c>
      <c r="B104" s="364" t="s">
        <v>10085</v>
      </c>
      <c r="C104" s="365" t="s">
        <v>10086</v>
      </c>
      <c r="D104" s="366" t="s">
        <v>51</v>
      </c>
      <c r="E104" s="366" t="s">
        <v>10082</v>
      </c>
      <c r="F104" s="366" t="s">
        <v>10078</v>
      </c>
      <c r="G104" s="366" t="s">
        <v>10078</v>
      </c>
      <c r="H104" s="366">
        <v>30</v>
      </c>
      <c r="I104" s="364" t="s">
        <v>10114</v>
      </c>
      <c r="J104" s="361"/>
      <c r="K104" s="358"/>
      <c r="L104" s="358"/>
      <c r="M104" s="366" t="s">
        <v>10084</v>
      </c>
      <c r="N104" s="358"/>
      <c r="O104" s="360" t="s">
        <v>57</v>
      </c>
      <c r="P104" s="368">
        <v>38824000</v>
      </c>
      <c r="Q104" s="369"/>
      <c r="R104" s="364" t="s">
        <v>8038</v>
      </c>
      <c r="S104" s="340">
        <v>1</v>
      </c>
    </row>
    <row r="105" spans="1:19" ht="31.5" thickBot="1" x14ac:dyDescent="0.4">
      <c r="A105" s="357">
        <v>94</v>
      </c>
      <c r="B105" s="364" t="s">
        <v>10085</v>
      </c>
      <c r="C105" s="365" t="s">
        <v>10086</v>
      </c>
      <c r="D105" s="366" t="s">
        <v>59</v>
      </c>
      <c r="E105" s="366" t="s">
        <v>10082</v>
      </c>
      <c r="F105" s="366" t="s">
        <v>10078</v>
      </c>
      <c r="G105" s="366" t="s">
        <v>10078</v>
      </c>
      <c r="H105" s="366">
        <v>30</v>
      </c>
      <c r="I105" s="364" t="s">
        <v>10114</v>
      </c>
      <c r="J105" s="361"/>
      <c r="K105" s="358"/>
      <c r="L105" s="358"/>
      <c r="M105" s="366" t="s">
        <v>10084</v>
      </c>
      <c r="N105" s="358"/>
      <c r="O105" s="360" t="s">
        <v>57</v>
      </c>
      <c r="P105" s="368">
        <v>38824000</v>
      </c>
      <c r="Q105" s="369"/>
      <c r="R105" s="364" t="s">
        <v>8038</v>
      </c>
      <c r="S105" s="340">
        <v>1</v>
      </c>
    </row>
    <row r="106" spans="1:19" ht="31" x14ac:dyDescent="0.35">
      <c r="A106" s="349">
        <v>95</v>
      </c>
      <c r="B106" s="364" t="s">
        <v>10085</v>
      </c>
      <c r="C106" s="365" t="s">
        <v>10086</v>
      </c>
      <c r="D106" s="366" t="s">
        <v>97</v>
      </c>
      <c r="E106" s="366" t="s">
        <v>10082</v>
      </c>
      <c r="F106" s="366" t="s">
        <v>10078</v>
      </c>
      <c r="G106" s="366" t="s">
        <v>10078</v>
      </c>
      <c r="H106" s="366">
        <v>56</v>
      </c>
      <c r="I106" s="364" t="s">
        <v>10114</v>
      </c>
      <c r="J106" s="367"/>
      <c r="K106" s="364"/>
      <c r="L106" s="358"/>
      <c r="M106" s="366" t="s">
        <v>10084</v>
      </c>
      <c r="N106" s="358"/>
      <c r="O106" s="360" t="s">
        <v>57</v>
      </c>
      <c r="P106" s="368">
        <v>266971000</v>
      </c>
      <c r="Q106" s="369"/>
      <c r="R106" s="364" t="s">
        <v>8038</v>
      </c>
      <c r="S106" s="340">
        <v>1</v>
      </c>
    </row>
    <row r="107" spans="1:19" ht="31.5" thickBot="1" x14ac:dyDescent="0.4">
      <c r="A107" s="357">
        <v>96</v>
      </c>
      <c r="B107" s="364" t="s">
        <v>10085</v>
      </c>
      <c r="C107" s="365" t="s">
        <v>10086</v>
      </c>
      <c r="D107" s="366" t="s">
        <v>101</v>
      </c>
      <c r="E107" s="366" t="s">
        <v>10082</v>
      </c>
      <c r="F107" s="366" t="s">
        <v>10078</v>
      </c>
      <c r="G107" s="366" t="s">
        <v>10078</v>
      </c>
      <c r="H107" s="366">
        <v>56</v>
      </c>
      <c r="I107" s="364" t="s">
        <v>10114</v>
      </c>
      <c r="J107" s="367"/>
      <c r="K107" s="364"/>
      <c r="L107" s="358"/>
      <c r="M107" s="366" t="s">
        <v>10084</v>
      </c>
      <c r="N107" s="358"/>
      <c r="O107" s="360" t="s">
        <v>57</v>
      </c>
      <c r="P107" s="368">
        <v>293625000</v>
      </c>
      <c r="Q107" s="369"/>
      <c r="R107" s="364" t="s">
        <v>8038</v>
      </c>
      <c r="S107" s="340">
        <v>1</v>
      </c>
    </row>
    <row r="108" spans="1:19" ht="31" x14ac:dyDescent="0.35">
      <c r="A108" s="349">
        <v>97</v>
      </c>
      <c r="B108" s="364" t="s">
        <v>10085</v>
      </c>
      <c r="C108" s="365" t="s">
        <v>10086</v>
      </c>
      <c r="D108" s="366" t="s">
        <v>107</v>
      </c>
      <c r="E108" s="366" t="s">
        <v>10082</v>
      </c>
      <c r="F108" s="366" t="s">
        <v>10078</v>
      </c>
      <c r="G108" s="366" t="s">
        <v>10078</v>
      </c>
      <c r="H108" s="366">
        <v>30</v>
      </c>
      <c r="I108" s="364" t="s">
        <v>10114</v>
      </c>
      <c r="J108" s="367"/>
      <c r="K108" s="364"/>
      <c r="L108" s="358"/>
      <c r="M108" s="366" t="s">
        <v>10084</v>
      </c>
      <c r="N108" s="358"/>
      <c r="O108" s="360" t="s">
        <v>57</v>
      </c>
      <c r="P108" s="368">
        <v>38824000</v>
      </c>
      <c r="Q108" s="369"/>
      <c r="R108" s="364" t="s">
        <v>8038</v>
      </c>
      <c r="S108" s="340">
        <v>1</v>
      </c>
    </row>
    <row r="109" spans="1:19" ht="31.5" thickBot="1" x14ac:dyDescent="0.4">
      <c r="A109" s="357">
        <v>98</v>
      </c>
      <c r="B109" s="364" t="s">
        <v>10085</v>
      </c>
      <c r="C109" s="365" t="s">
        <v>10086</v>
      </c>
      <c r="D109" s="366" t="s">
        <v>112</v>
      </c>
      <c r="E109" s="366" t="s">
        <v>10082</v>
      </c>
      <c r="F109" s="366" t="s">
        <v>10078</v>
      </c>
      <c r="G109" s="366" t="s">
        <v>10078</v>
      </c>
      <c r="H109" s="366">
        <v>30</v>
      </c>
      <c r="I109" s="364" t="s">
        <v>10114</v>
      </c>
      <c r="J109" s="367"/>
      <c r="K109" s="364"/>
      <c r="L109" s="358"/>
      <c r="M109" s="366" t="s">
        <v>10084</v>
      </c>
      <c r="N109" s="358"/>
      <c r="O109" s="360" t="s">
        <v>57</v>
      </c>
      <c r="P109" s="368">
        <v>38824000</v>
      </c>
      <c r="Q109" s="369"/>
      <c r="R109" s="364" t="s">
        <v>8038</v>
      </c>
      <c r="S109" s="340">
        <v>1</v>
      </c>
    </row>
    <row r="110" spans="1:19" ht="31" x14ac:dyDescent="0.35">
      <c r="A110" s="349">
        <v>99</v>
      </c>
      <c r="B110" s="364" t="s">
        <v>10085</v>
      </c>
      <c r="C110" s="365" t="s">
        <v>10086</v>
      </c>
      <c r="D110" s="366" t="s">
        <v>116</v>
      </c>
      <c r="E110" s="366" t="s">
        <v>10082</v>
      </c>
      <c r="F110" s="366" t="s">
        <v>10078</v>
      </c>
      <c r="G110" s="366" t="s">
        <v>10078</v>
      </c>
      <c r="H110" s="366">
        <v>30</v>
      </c>
      <c r="I110" s="364" t="s">
        <v>10114</v>
      </c>
      <c r="J110" s="367"/>
      <c r="K110" s="364"/>
      <c r="L110" s="358"/>
      <c r="M110" s="366" t="s">
        <v>10084</v>
      </c>
      <c r="N110" s="358"/>
      <c r="O110" s="360" t="s">
        <v>57</v>
      </c>
      <c r="P110" s="368">
        <v>38824000</v>
      </c>
      <c r="Q110" s="369"/>
      <c r="R110" s="364" t="s">
        <v>8038</v>
      </c>
      <c r="S110" s="340">
        <v>1</v>
      </c>
    </row>
    <row r="111" spans="1:19" ht="31.5" thickBot="1" x14ac:dyDescent="0.4">
      <c r="A111" s="357">
        <v>100</v>
      </c>
      <c r="B111" s="364" t="s">
        <v>10085</v>
      </c>
      <c r="C111" s="365" t="s">
        <v>10086</v>
      </c>
      <c r="D111" s="366" t="s">
        <v>841</v>
      </c>
      <c r="E111" s="366" t="s">
        <v>10082</v>
      </c>
      <c r="F111" s="366" t="s">
        <v>10078</v>
      </c>
      <c r="G111" s="366" t="s">
        <v>10078</v>
      </c>
      <c r="H111" s="366">
        <v>30</v>
      </c>
      <c r="I111" s="364" t="s">
        <v>10114</v>
      </c>
      <c r="J111" s="367"/>
      <c r="K111" s="364"/>
      <c r="L111" s="358"/>
      <c r="M111" s="366" t="s">
        <v>10084</v>
      </c>
      <c r="N111" s="358"/>
      <c r="O111" s="360" t="s">
        <v>57</v>
      </c>
      <c r="P111" s="368">
        <v>38824000</v>
      </c>
      <c r="Q111" s="369"/>
      <c r="R111" s="364" t="s">
        <v>8038</v>
      </c>
      <c r="S111" s="340">
        <v>1</v>
      </c>
    </row>
    <row r="112" spans="1:19" ht="46.5" x14ac:dyDescent="0.35">
      <c r="A112" s="349">
        <v>101</v>
      </c>
      <c r="B112" s="364" t="s">
        <v>10146</v>
      </c>
      <c r="C112" s="365" t="s">
        <v>10147</v>
      </c>
      <c r="D112" s="366" t="s">
        <v>51</v>
      </c>
      <c r="E112" s="366" t="s">
        <v>10082</v>
      </c>
      <c r="F112" s="366" t="s">
        <v>10078</v>
      </c>
      <c r="G112" s="366" t="s">
        <v>10088</v>
      </c>
      <c r="H112" s="366">
        <v>49</v>
      </c>
      <c r="I112" s="364" t="s">
        <v>10175</v>
      </c>
      <c r="J112" s="361">
        <v>43966</v>
      </c>
      <c r="K112" s="358" t="s">
        <v>10176</v>
      </c>
      <c r="L112" s="358"/>
      <c r="M112" s="366" t="s">
        <v>10084</v>
      </c>
      <c r="N112" s="358"/>
      <c r="O112" s="360" t="s">
        <v>57</v>
      </c>
      <c r="P112" s="368">
        <v>160042000</v>
      </c>
      <c r="Q112" s="369" t="s">
        <v>10177</v>
      </c>
      <c r="R112" s="364" t="s">
        <v>8038</v>
      </c>
      <c r="S112" s="340">
        <v>1</v>
      </c>
    </row>
    <row r="113" spans="1:19" ht="31.5" thickBot="1" x14ac:dyDescent="0.4">
      <c r="A113" s="357">
        <v>102</v>
      </c>
      <c r="B113" s="364" t="s">
        <v>10096</v>
      </c>
      <c r="C113" s="365" t="s">
        <v>10097</v>
      </c>
      <c r="D113" s="366" t="s">
        <v>51</v>
      </c>
      <c r="E113" s="366" t="s">
        <v>10082</v>
      </c>
      <c r="F113" s="366" t="s">
        <v>10078</v>
      </c>
      <c r="G113" s="366" t="s">
        <v>10088</v>
      </c>
      <c r="H113" s="366">
        <v>156</v>
      </c>
      <c r="I113" s="364" t="s">
        <v>10178</v>
      </c>
      <c r="J113" s="367">
        <v>42474</v>
      </c>
      <c r="K113" s="364" t="s">
        <v>10179</v>
      </c>
      <c r="L113" s="358"/>
      <c r="M113" s="366" t="s">
        <v>10084</v>
      </c>
      <c r="N113" s="358"/>
      <c r="O113" s="360" t="s">
        <v>57</v>
      </c>
      <c r="P113" s="368">
        <v>221024000</v>
      </c>
      <c r="Q113" s="369" t="s">
        <v>10180</v>
      </c>
      <c r="R113" s="364" t="s">
        <v>8038</v>
      </c>
      <c r="S113" s="340">
        <v>1</v>
      </c>
    </row>
    <row r="114" spans="1:19" ht="31" x14ac:dyDescent="0.35">
      <c r="A114" s="349">
        <v>103</v>
      </c>
      <c r="B114" s="364" t="s">
        <v>10096</v>
      </c>
      <c r="C114" s="365" t="s">
        <v>10097</v>
      </c>
      <c r="D114" s="366" t="s">
        <v>59</v>
      </c>
      <c r="E114" s="366" t="s">
        <v>10082</v>
      </c>
      <c r="F114" s="366" t="s">
        <v>10078</v>
      </c>
      <c r="G114" s="366" t="s">
        <v>10088</v>
      </c>
      <c r="H114" s="366" t="s">
        <v>10181</v>
      </c>
      <c r="I114" s="364" t="s">
        <v>10182</v>
      </c>
      <c r="J114" s="367"/>
      <c r="K114" s="364" t="s">
        <v>10183</v>
      </c>
      <c r="L114" s="358"/>
      <c r="M114" s="366"/>
      <c r="N114" s="358"/>
      <c r="O114" s="360" t="s">
        <v>44</v>
      </c>
      <c r="P114" s="368">
        <v>165400545</v>
      </c>
      <c r="Q114" s="369" t="s">
        <v>10184</v>
      </c>
      <c r="R114" s="364" t="s">
        <v>8038</v>
      </c>
      <c r="S114" s="340">
        <v>1</v>
      </c>
    </row>
    <row r="115" spans="1:19" ht="31.5" thickBot="1" x14ac:dyDescent="0.4">
      <c r="A115" s="357">
        <v>104</v>
      </c>
      <c r="B115" s="364" t="s">
        <v>10080</v>
      </c>
      <c r="C115" s="365" t="s">
        <v>10081</v>
      </c>
      <c r="D115" s="366" t="s">
        <v>51</v>
      </c>
      <c r="E115" s="366" t="s">
        <v>10082</v>
      </c>
      <c r="F115" s="366" t="s">
        <v>10078</v>
      </c>
      <c r="G115" s="366" t="s">
        <v>10078</v>
      </c>
      <c r="H115" s="366">
        <v>90</v>
      </c>
      <c r="I115" s="364" t="s">
        <v>10185</v>
      </c>
      <c r="J115" s="361"/>
      <c r="K115" s="358"/>
      <c r="L115" s="358"/>
      <c r="M115" s="366" t="s">
        <v>10084</v>
      </c>
      <c r="N115" s="358"/>
      <c r="O115" s="360" t="s">
        <v>57</v>
      </c>
      <c r="P115" s="368">
        <v>144585000</v>
      </c>
      <c r="Q115" s="369"/>
      <c r="R115" s="364" t="s">
        <v>8043</v>
      </c>
      <c r="S115" s="340">
        <v>1</v>
      </c>
    </row>
    <row r="116" spans="1:19" ht="31" x14ac:dyDescent="0.35">
      <c r="A116" s="349">
        <v>105</v>
      </c>
      <c r="B116" s="364" t="s">
        <v>10080</v>
      </c>
      <c r="C116" s="365" t="s">
        <v>10081</v>
      </c>
      <c r="D116" s="366" t="s">
        <v>59</v>
      </c>
      <c r="E116" s="366" t="s">
        <v>10082</v>
      </c>
      <c r="F116" s="366" t="s">
        <v>10078</v>
      </c>
      <c r="G116" s="366" t="s">
        <v>10078</v>
      </c>
      <c r="H116" s="366">
        <v>90</v>
      </c>
      <c r="I116" s="364" t="s">
        <v>10186</v>
      </c>
      <c r="J116" s="367"/>
      <c r="K116" s="364"/>
      <c r="L116" s="358"/>
      <c r="M116" s="366" t="s">
        <v>10084</v>
      </c>
      <c r="N116" s="358"/>
      <c r="O116" s="366" t="s">
        <v>57</v>
      </c>
      <c r="P116" s="368">
        <v>172050000</v>
      </c>
      <c r="Q116" s="369"/>
      <c r="R116" s="364" t="s">
        <v>8043</v>
      </c>
      <c r="S116" s="340">
        <v>1</v>
      </c>
    </row>
    <row r="117" spans="1:19" ht="31.5" thickBot="1" x14ac:dyDescent="0.4">
      <c r="A117" s="357">
        <v>106</v>
      </c>
      <c r="B117" s="364" t="s">
        <v>10080</v>
      </c>
      <c r="C117" s="365" t="s">
        <v>10081</v>
      </c>
      <c r="D117" s="366" t="s">
        <v>97</v>
      </c>
      <c r="E117" s="366" t="s">
        <v>10082</v>
      </c>
      <c r="F117" s="366" t="s">
        <v>10078</v>
      </c>
      <c r="G117" s="366" t="s">
        <v>10078</v>
      </c>
      <c r="H117" s="366">
        <v>56</v>
      </c>
      <c r="I117" s="364" t="s">
        <v>10185</v>
      </c>
      <c r="J117" s="367"/>
      <c r="K117" s="364"/>
      <c r="L117" s="358"/>
      <c r="M117" s="366" t="s">
        <v>10084</v>
      </c>
      <c r="N117" s="358"/>
      <c r="O117" s="366" t="s">
        <v>422</v>
      </c>
      <c r="P117" s="368">
        <v>65000000</v>
      </c>
      <c r="Q117" s="369" t="s">
        <v>8603</v>
      </c>
      <c r="R117" s="364" t="s">
        <v>8043</v>
      </c>
      <c r="S117" s="340">
        <v>1</v>
      </c>
    </row>
    <row r="118" spans="1:19" ht="31" x14ac:dyDescent="0.35">
      <c r="A118" s="349">
        <v>107</v>
      </c>
      <c r="B118" s="364" t="s">
        <v>10080</v>
      </c>
      <c r="C118" s="365" t="s">
        <v>10081</v>
      </c>
      <c r="D118" s="366" t="s">
        <v>101</v>
      </c>
      <c r="E118" s="366" t="s">
        <v>10082</v>
      </c>
      <c r="F118" s="366" t="s">
        <v>10078</v>
      </c>
      <c r="G118" s="366" t="s">
        <v>10078</v>
      </c>
      <c r="H118" s="366">
        <v>144</v>
      </c>
      <c r="I118" s="364" t="s">
        <v>10186</v>
      </c>
      <c r="J118" s="361">
        <v>41564</v>
      </c>
      <c r="K118" s="358" t="s">
        <v>10187</v>
      </c>
      <c r="L118" s="358"/>
      <c r="M118" s="366" t="s">
        <v>10084</v>
      </c>
      <c r="N118" s="358"/>
      <c r="O118" s="366" t="s">
        <v>57</v>
      </c>
      <c r="P118" s="368">
        <v>566860680</v>
      </c>
      <c r="Q118" s="369"/>
      <c r="R118" s="364" t="s">
        <v>8043</v>
      </c>
      <c r="S118" s="340">
        <v>1</v>
      </c>
    </row>
    <row r="119" spans="1:19" ht="31.5" thickBot="1" x14ac:dyDescent="0.4">
      <c r="A119" s="357">
        <v>108</v>
      </c>
      <c r="B119" s="364" t="s">
        <v>10092</v>
      </c>
      <c r="C119" s="365" t="s">
        <v>10093</v>
      </c>
      <c r="D119" s="366" t="s">
        <v>51</v>
      </c>
      <c r="E119" s="366" t="s">
        <v>10082</v>
      </c>
      <c r="F119" s="366" t="s">
        <v>10078</v>
      </c>
      <c r="G119" s="366" t="s">
        <v>10078</v>
      </c>
      <c r="H119" s="366">
        <v>61</v>
      </c>
      <c r="I119" s="364" t="s">
        <v>10186</v>
      </c>
      <c r="J119" s="367">
        <v>41564</v>
      </c>
      <c r="K119" s="364" t="s">
        <v>10188</v>
      </c>
      <c r="L119" s="358"/>
      <c r="M119" s="366" t="s">
        <v>10084</v>
      </c>
      <c r="N119" s="358"/>
      <c r="O119" s="366" t="s">
        <v>57</v>
      </c>
      <c r="P119" s="368">
        <v>155169520</v>
      </c>
      <c r="Q119" s="369"/>
      <c r="R119" s="364" t="s">
        <v>8043</v>
      </c>
      <c r="S119" s="340">
        <v>1</v>
      </c>
    </row>
    <row r="120" spans="1:19" ht="31" x14ac:dyDescent="0.35">
      <c r="A120" s="349">
        <v>109</v>
      </c>
      <c r="B120" s="364" t="s">
        <v>10085</v>
      </c>
      <c r="C120" s="365" t="s">
        <v>10086</v>
      </c>
      <c r="D120" s="366" t="s">
        <v>51</v>
      </c>
      <c r="E120" s="366" t="s">
        <v>10082</v>
      </c>
      <c r="F120" s="366" t="s">
        <v>10078</v>
      </c>
      <c r="G120" s="366" t="s">
        <v>10078</v>
      </c>
      <c r="H120" s="366">
        <v>56</v>
      </c>
      <c r="I120" s="364" t="s">
        <v>10185</v>
      </c>
      <c r="J120" s="361"/>
      <c r="K120" s="358"/>
      <c r="L120" s="358"/>
      <c r="M120" s="366" t="s">
        <v>10084</v>
      </c>
      <c r="N120" s="358"/>
      <c r="O120" s="366" t="s">
        <v>57</v>
      </c>
      <c r="P120" s="368">
        <v>89964000</v>
      </c>
      <c r="Q120" s="369"/>
      <c r="R120" s="364" t="s">
        <v>8043</v>
      </c>
      <c r="S120" s="340">
        <v>1</v>
      </c>
    </row>
    <row r="121" spans="1:19" ht="31.5" thickBot="1" x14ac:dyDescent="0.4">
      <c r="A121" s="357">
        <v>110</v>
      </c>
      <c r="B121" s="364" t="s">
        <v>10085</v>
      </c>
      <c r="C121" s="365" t="s">
        <v>10086</v>
      </c>
      <c r="D121" s="366" t="s">
        <v>59</v>
      </c>
      <c r="E121" s="366" t="s">
        <v>10082</v>
      </c>
      <c r="F121" s="366" t="s">
        <v>10078</v>
      </c>
      <c r="G121" s="366" t="s">
        <v>10078</v>
      </c>
      <c r="H121" s="366">
        <v>56</v>
      </c>
      <c r="I121" s="364" t="s">
        <v>10185</v>
      </c>
      <c r="J121" s="361"/>
      <c r="K121" s="358"/>
      <c r="L121" s="358"/>
      <c r="M121" s="366" t="s">
        <v>10084</v>
      </c>
      <c r="N121" s="358"/>
      <c r="O121" s="366" t="s">
        <v>57</v>
      </c>
      <c r="P121" s="368">
        <v>89964000</v>
      </c>
      <c r="Q121" s="369"/>
      <c r="R121" s="364" t="s">
        <v>8043</v>
      </c>
      <c r="S121" s="340">
        <v>1</v>
      </c>
    </row>
    <row r="122" spans="1:19" ht="31" x14ac:dyDescent="0.35">
      <c r="A122" s="349">
        <v>111</v>
      </c>
      <c r="B122" s="364" t="s">
        <v>10146</v>
      </c>
      <c r="C122" s="365" t="s">
        <v>10147</v>
      </c>
      <c r="D122" s="366" t="s">
        <v>51</v>
      </c>
      <c r="E122" s="366" t="s">
        <v>10082</v>
      </c>
      <c r="F122" s="366" t="s">
        <v>10078</v>
      </c>
      <c r="G122" s="366" t="s">
        <v>10078</v>
      </c>
      <c r="H122" s="366">
        <v>62</v>
      </c>
      <c r="I122" s="364" t="s">
        <v>10185</v>
      </c>
      <c r="J122" s="367">
        <v>41906</v>
      </c>
      <c r="K122" s="364" t="s">
        <v>10189</v>
      </c>
      <c r="L122" s="358"/>
      <c r="M122" s="366" t="s">
        <v>10084</v>
      </c>
      <c r="N122" s="358"/>
      <c r="O122" s="366" t="s">
        <v>57</v>
      </c>
      <c r="P122" s="368">
        <v>183750000</v>
      </c>
      <c r="Q122" s="369" t="s">
        <v>10190</v>
      </c>
      <c r="R122" s="364" t="s">
        <v>8043</v>
      </c>
      <c r="S122" s="340">
        <v>1</v>
      </c>
    </row>
    <row r="123" spans="1:19" ht="31.5" thickBot="1" x14ac:dyDescent="0.4">
      <c r="A123" s="357">
        <v>112</v>
      </c>
      <c r="B123" s="364" t="s">
        <v>10191</v>
      </c>
      <c r="C123" s="365" t="s">
        <v>10192</v>
      </c>
      <c r="D123" s="366" t="s">
        <v>51</v>
      </c>
      <c r="E123" s="366" t="s">
        <v>10082</v>
      </c>
      <c r="F123" s="366" t="s">
        <v>10078</v>
      </c>
      <c r="G123" s="366" t="s">
        <v>10088</v>
      </c>
      <c r="H123" s="366">
        <v>72</v>
      </c>
      <c r="I123" s="364" t="s">
        <v>10185</v>
      </c>
      <c r="J123" s="367">
        <v>42937</v>
      </c>
      <c r="K123" s="364" t="s">
        <v>10193</v>
      </c>
      <c r="L123" s="358"/>
      <c r="M123" s="366" t="s">
        <v>10084</v>
      </c>
      <c r="N123" s="358"/>
      <c r="O123" s="366" t="s">
        <v>57</v>
      </c>
      <c r="P123" s="368">
        <v>221308000</v>
      </c>
      <c r="Q123" s="369" t="s">
        <v>10190</v>
      </c>
      <c r="R123" s="364" t="s">
        <v>8043</v>
      </c>
      <c r="S123" s="340">
        <v>1</v>
      </c>
    </row>
    <row r="124" spans="1:19" ht="31" x14ac:dyDescent="0.35">
      <c r="A124" s="349">
        <v>113</v>
      </c>
      <c r="B124" s="364" t="s">
        <v>10080</v>
      </c>
      <c r="C124" s="365" t="s">
        <v>10081</v>
      </c>
      <c r="D124" s="366" t="s">
        <v>51</v>
      </c>
      <c r="E124" s="366" t="s">
        <v>10082</v>
      </c>
      <c r="F124" s="366" t="s">
        <v>10078</v>
      </c>
      <c r="G124" s="366" t="s">
        <v>10078</v>
      </c>
      <c r="H124" s="366">
        <v>90</v>
      </c>
      <c r="I124" s="364" t="s">
        <v>10114</v>
      </c>
      <c r="J124" s="367"/>
      <c r="K124" s="364"/>
      <c r="L124" s="358"/>
      <c r="M124" s="366" t="s">
        <v>10084</v>
      </c>
      <c r="N124" s="358"/>
      <c r="O124" s="366" t="s">
        <v>57</v>
      </c>
      <c r="P124" s="368">
        <v>139910000</v>
      </c>
      <c r="Q124" s="369"/>
      <c r="R124" s="364" t="s">
        <v>8045</v>
      </c>
      <c r="S124" s="340">
        <v>1</v>
      </c>
    </row>
    <row r="125" spans="1:19" ht="31.5" thickBot="1" x14ac:dyDescent="0.4">
      <c r="A125" s="357">
        <v>114</v>
      </c>
      <c r="B125" s="364" t="s">
        <v>10080</v>
      </c>
      <c r="C125" s="365" t="s">
        <v>10081</v>
      </c>
      <c r="D125" s="366" t="s">
        <v>59</v>
      </c>
      <c r="E125" s="366" t="s">
        <v>10082</v>
      </c>
      <c r="F125" s="366" t="s">
        <v>10078</v>
      </c>
      <c r="G125" s="366" t="s">
        <v>10078</v>
      </c>
      <c r="H125" s="366">
        <v>60</v>
      </c>
      <c r="I125" s="364" t="s">
        <v>10114</v>
      </c>
      <c r="J125" s="367"/>
      <c r="K125" s="364"/>
      <c r="L125" s="358"/>
      <c r="M125" s="366" t="s">
        <v>10084</v>
      </c>
      <c r="N125" s="358"/>
      <c r="O125" s="366" t="s">
        <v>57</v>
      </c>
      <c r="P125" s="368">
        <v>110219700</v>
      </c>
      <c r="Q125" s="369"/>
      <c r="R125" s="364" t="s">
        <v>8045</v>
      </c>
      <c r="S125" s="340">
        <v>1</v>
      </c>
    </row>
    <row r="126" spans="1:19" ht="31" x14ac:dyDescent="0.35">
      <c r="A126" s="349">
        <v>115</v>
      </c>
      <c r="B126" s="364" t="s">
        <v>10080</v>
      </c>
      <c r="C126" s="365" t="s">
        <v>10081</v>
      </c>
      <c r="D126" s="366" t="s">
        <v>97</v>
      </c>
      <c r="E126" s="366" t="s">
        <v>10082</v>
      </c>
      <c r="F126" s="366" t="s">
        <v>10078</v>
      </c>
      <c r="G126" s="366" t="s">
        <v>10078</v>
      </c>
      <c r="H126" s="366">
        <v>225</v>
      </c>
      <c r="I126" s="364" t="s">
        <v>10114</v>
      </c>
      <c r="J126" s="367"/>
      <c r="K126" s="364"/>
      <c r="L126" s="358"/>
      <c r="M126" s="366" t="s">
        <v>10084</v>
      </c>
      <c r="N126" s="358"/>
      <c r="O126" s="366" t="s">
        <v>57</v>
      </c>
      <c r="P126" s="368">
        <v>491044000</v>
      </c>
      <c r="Q126" s="369"/>
      <c r="R126" s="364" t="s">
        <v>8045</v>
      </c>
      <c r="S126" s="340">
        <v>1</v>
      </c>
    </row>
    <row r="127" spans="1:19" ht="47" thickBot="1" x14ac:dyDescent="0.4">
      <c r="A127" s="357">
        <v>116</v>
      </c>
      <c r="B127" s="364" t="s">
        <v>10080</v>
      </c>
      <c r="C127" s="365" t="s">
        <v>10081</v>
      </c>
      <c r="D127" s="366" t="s">
        <v>101</v>
      </c>
      <c r="E127" s="366" t="s">
        <v>10082</v>
      </c>
      <c r="F127" s="366" t="s">
        <v>10078</v>
      </c>
      <c r="G127" s="366" t="s">
        <v>10088</v>
      </c>
      <c r="H127" s="366">
        <v>56</v>
      </c>
      <c r="I127" s="364" t="s">
        <v>8902</v>
      </c>
      <c r="J127" s="367">
        <v>44756</v>
      </c>
      <c r="K127" s="364" t="s">
        <v>10194</v>
      </c>
      <c r="L127" s="358"/>
      <c r="M127" s="366"/>
      <c r="N127" s="358"/>
      <c r="O127" s="366" t="s">
        <v>44</v>
      </c>
      <c r="P127" s="368">
        <v>238967000</v>
      </c>
      <c r="Q127" s="369" t="s">
        <v>10195</v>
      </c>
      <c r="R127" s="364" t="s">
        <v>8045</v>
      </c>
      <c r="S127" s="340">
        <v>1</v>
      </c>
    </row>
    <row r="128" spans="1:19" ht="62" x14ac:dyDescent="0.35">
      <c r="A128" s="349">
        <v>117</v>
      </c>
      <c r="B128" s="364" t="s">
        <v>10110</v>
      </c>
      <c r="C128" s="365" t="s">
        <v>10111</v>
      </c>
      <c r="D128" s="366" t="s">
        <v>51</v>
      </c>
      <c r="E128" s="366" t="s">
        <v>10082</v>
      </c>
      <c r="F128" s="366" t="s">
        <v>10078</v>
      </c>
      <c r="G128" s="366" t="s">
        <v>10088</v>
      </c>
      <c r="H128" s="366">
        <v>64</v>
      </c>
      <c r="I128" s="364" t="s">
        <v>8902</v>
      </c>
      <c r="J128" s="367">
        <v>44756</v>
      </c>
      <c r="K128" s="364" t="s">
        <v>10196</v>
      </c>
      <c r="L128" s="358"/>
      <c r="M128" s="366"/>
      <c r="N128" s="358"/>
      <c r="O128" s="366" t="s">
        <v>44</v>
      </c>
      <c r="P128" s="368">
        <v>243592750</v>
      </c>
      <c r="Q128" s="369" t="s">
        <v>10197</v>
      </c>
      <c r="R128" s="364" t="s">
        <v>8045</v>
      </c>
      <c r="S128" s="340">
        <v>1</v>
      </c>
    </row>
    <row r="129" spans="1:19" ht="47" thickBot="1" x14ac:dyDescent="0.4">
      <c r="A129" s="357">
        <v>118</v>
      </c>
      <c r="B129" s="364" t="s">
        <v>10110</v>
      </c>
      <c r="C129" s="365" t="s">
        <v>10111</v>
      </c>
      <c r="D129" s="366" t="s">
        <v>59</v>
      </c>
      <c r="E129" s="366" t="s">
        <v>10082</v>
      </c>
      <c r="F129" s="366" t="s">
        <v>10078</v>
      </c>
      <c r="G129" s="366" t="s">
        <v>10088</v>
      </c>
      <c r="H129" s="366">
        <v>21</v>
      </c>
      <c r="I129" s="364" t="s">
        <v>10198</v>
      </c>
      <c r="J129" s="367">
        <v>44760</v>
      </c>
      <c r="K129" s="364" t="s">
        <v>10199</v>
      </c>
      <c r="L129" s="358"/>
      <c r="M129" s="366"/>
      <c r="N129" s="358"/>
      <c r="O129" s="366" t="s">
        <v>44</v>
      </c>
      <c r="P129" s="368">
        <v>139400000</v>
      </c>
      <c r="Q129" s="369" t="s">
        <v>10200</v>
      </c>
      <c r="R129" s="364" t="s">
        <v>8045</v>
      </c>
      <c r="S129" s="340">
        <v>1</v>
      </c>
    </row>
    <row r="130" spans="1:19" ht="31" x14ac:dyDescent="0.35">
      <c r="A130" s="349">
        <v>119</v>
      </c>
      <c r="B130" s="364" t="s">
        <v>10092</v>
      </c>
      <c r="C130" s="365" t="s">
        <v>10093</v>
      </c>
      <c r="D130" s="366" t="s">
        <v>51</v>
      </c>
      <c r="E130" s="366" t="s">
        <v>10082</v>
      </c>
      <c r="F130" s="366" t="s">
        <v>10078</v>
      </c>
      <c r="G130" s="366" t="s">
        <v>10088</v>
      </c>
      <c r="H130" s="366">
        <v>61</v>
      </c>
      <c r="I130" s="364" t="s">
        <v>10201</v>
      </c>
      <c r="J130" s="367">
        <v>41564</v>
      </c>
      <c r="K130" s="364" t="s">
        <v>10202</v>
      </c>
      <c r="L130" s="358"/>
      <c r="M130" s="366" t="s">
        <v>10084</v>
      </c>
      <c r="N130" s="358"/>
      <c r="O130" s="366" t="s">
        <v>57</v>
      </c>
      <c r="P130" s="368">
        <v>155169520</v>
      </c>
      <c r="Q130" s="369"/>
      <c r="R130" s="364" t="s">
        <v>8045</v>
      </c>
      <c r="S130" s="340">
        <v>1</v>
      </c>
    </row>
    <row r="131" spans="1:19" ht="31.5" thickBot="1" x14ac:dyDescent="0.4">
      <c r="A131" s="357">
        <v>120</v>
      </c>
      <c r="B131" s="364" t="s">
        <v>10085</v>
      </c>
      <c r="C131" s="365" t="s">
        <v>10086</v>
      </c>
      <c r="D131" s="366" t="s">
        <v>51</v>
      </c>
      <c r="E131" s="366" t="s">
        <v>10082</v>
      </c>
      <c r="F131" s="366" t="s">
        <v>10078</v>
      </c>
      <c r="G131" s="366" t="s">
        <v>10078</v>
      </c>
      <c r="H131" s="366">
        <v>60</v>
      </c>
      <c r="I131" s="364" t="s">
        <v>10114</v>
      </c>
      <c r="J131" s="361"/>
      <c r="K131" s="358"/>
      <c r="L131" s="358"/>
      <c r="M131" s="366" t="s">
        <v>10084</v>
      </c>
      <c r="N131" s="358"/>
      <c r="O131" s="366" t="s">
        <v>57</v>
      </c>
      <c r="P131" s="368">
        <v>74970000</v>
      </c>
      <c r="Q131" s="369"/>
      <c r="R131" s="364" t="s">
        <v>8045</v>
      </c>
      <c r="S131" s="340">
        <v>1</v>
      </c>
    </row>
    <row r="132" spans="1:19" ht="31" x14ac:dyDescent="0.35">
      <c r="A132" s="349">
        <v>121</v>
      </c>
      <c r="B132" s="364" t="s">
        <v>10085</v>
      </c>
      <c r="C132" s="365" t="s">
        <v>10086</v>
      </c>
      <c r="D132" s="366" t="s">
        <v>59</v>
      </c>
      <c r="E132" s="366" t="s">
        <v>10082</v>
      </c>
      <c r="F132" s="366" t="s">
        <v>10078</v>
      </c>
      <c r="G132" s="366" t="s">
        <v>10078</v>
      </c>
      <c r="H132" s="366">
        <v>60</v>
      </c>
      <c r="I132" s="364" t="s">
        <v>10114</v>
      </c>
      <c r="J132" s="361"/>
      <c r="K132" s="358"/>
      <c r="L132" s="358"/>
      <c r="M132" s="366" t="s">
        <v>10084</v>
      </c>
      <c r="N132" s="358"/>
      <c r="O132" s="366" t="s">
        <v>57</v>
      </c>
      <c r="P132" s="368">
        <v>74970000</v>
      </c>
      <c r="Q132" s="369"/>
      <c r="R132" s="364" t="s">
        <v>8045</v>
      </c>
      <c r="S132" s="340">
        <v>1</v>
      </c>
    </row>
    <row r="133" spans="1:19" ht="31.5" thickBot="1" x14ac:dyDescent="0.4">
      <c r="A133" s="357">
        <v>122</v>
      </c>
      <c r="B133" s="364" t="s">
        <v>10146</v>
      </c>
      <c r="C133" s="365" t="s">
        <v>10147</v>
      </c>
      <c r="D133" s="366" t="s">
        <v>51</v>
      </c>
      <c r="E133" s="366" t="s">
        <v>10082</v>
      </c>
      <c r="F133" s="366" t="s">
        <v>10078</v>
      </c>
      <c r="G133" s="366" t="s">
        <v>10088</v>
      </c>
      <c r="H133" s="366">
        <v>62</v>
      </c>
      <c r="I133" s="364" t="s">
        <v>10203</v>
      </c>
      <c r="J133" s="361">
        <v>41906</v>
      </c>
      <c r="K133" s="364" t="s">
        <v>10204</v>
      </c>
      <c r="L133" s="358"/>
      <c r="M133" s="366" t="s">
        <v>10084</v>
      </c>
      <c r="N133" s="358"/>
      <c r="O133" s="366" t="s">
        <v>57</v>
      </c>
      <c r="P133" s="368">
        <v>183750000</v>
      </c>
      <c r="Q133" s="369" t="s">
        <v>10205</v>
      </c>
      <c r="R133" s="364" t="s">
        <v>8045</v>
      </c>
      <c r="S133" s="340">
        <v>1</v>
      </c>
    </row>
    <row r="134" spans="1:19" ht="46.5" x14ac:dyDescent="0.35">
      <c r="A134" s="349">
        <v>123</v>
      </c>
      <c r="B134" s="364" t="s">
        <v>10146</v>
      </c>
      <c r="C134" s="365" t="s">
        <v>10147</v>
      </c>
      <c r="D134" s="366" t="s">
        <v>59</v>
      </c>
      <c r="E134" s="366" t="s">
        <v>10082</v>
      </c>
      <c r="F134" s="366" t="s">
        <v>10078</v>
      </c>
      <c r="G134" s="366" t="s">
        <v>10088</v>
      </c>
      <c r="H134" s="366">
        <v>36</v>
      </c>
      <c r="I134" s="364" t="s">
        <v>8902</v>
      </c>
      <c r="J134" s="361">
        <v>44756</v>
      </c>
      <c r="K134" s="358" t="s">
        <v>10206</v>
      </c>
      <c r="L134" s="358"/>
      <c r="M134" s="366"/>
      <c r="N134" s="358"/>
      <c r="O134" s="366" t="s">
        <v>44</v>
      </c>
      <c r="P134" s="368">
        <v>192085850</v>
      </c>
      <c r="Q134" s="369" t="s">
        <v>10207</v>
      </c>
      <c r="R134" s="364" t="s">
        <v>8045</v>
      </c>
      <c r="S134" s="340">
        <v>1</v>
      </c>
    </row>
    <row r="135" spans="1:19" ht="31.5" thickBot="1" x14ac:dyDescent="0.4">
      <c r="A135" s="357">
        <v>124</v>
      </c>
      <c r="B135" s="364" t="s">
        <v>10096</v>
      </c>
      <c r="C135" s="365" t="s">
        <v>10097</v>
      </c>
      <c r="D135" s="366" t="s">
        <v>51</v>
      </c>
      <c r="E135" s="366" t="s">
        <v>10082</v>
      </c>
      <c r="F135" s="366" t="s">
        <v>10078</v>
      </c>
      <c r="G135" s="366" t="s">
        <v>10088</v>
      </c>
      <c r="H135" s="366">
        <v>191</v>
      </c>
      <c r="I135" s="364" t="s">
        <v>10114</v>
      </c>
      <c r="J135" s="361">
        <v>42151</v>
      </c>
      <c r="K135" s="358" t="s">
        <v>10208</v>
      </c>
      <c r="L135" s="358"/>
      <c r="M135" s="366" t="s">
        <v>10084</v>
      </c>
      <c r="N135" s="358"/>
      <c r="O135" s="366" t="s">
        <v>57</v>
      </c>
      <c r="P135" s="368">
        <v>220874000</v>
      </c>
      <c r="Q135" s="369" t="s">
        <v>10209</v>
      </c>
      <c r="R135" s="364" t="s">
        <v>8045</v>
      </c>
      <c r="S135" s="340">
        <v>1</v>
      </c>
    </row>
    <row r="136" spans="1:19" ht="46.5" x14ac:dyDescent="0.35">
      <c r="A136" s="349">
        <v>125</v>
      </c>
      <c r="B136" s="364" t="s">
        <v>10096</v>
      </c>
      <c r="C136" s="365" t="s">
        <v>10097</v>
      </c>
      <c r="D136" s="366" t="s">
        <v>59</v>
      </c>
      <c r="E136" s="366" t="s">
        <v>10082</v>
      </c>
      <c r="F136" s="366" t="s">
        <v>10078</v>
      </c>
      <c r="G136" s="366" t="s">
        <v>10088</v>
      </c>
      <c r="H136" s="366" t="s">
        <v>10210</v>
      </c>
      <c r="I136" s="364" t="s">
        <v>10211</v>
      </c>
      <c r="J136" s="367"/>
      <c r="K136" s="364" t="s">
        <v>10212</v>
      </c>
      <c r="L136" s="358"/>
      <c r="M136" s="366"/>
      <c r="N136" s="358"/>
      <c r="O136" s="366" t="s">
        <v>44</v>
      </c>
      <c r="P136" s="368">
        <v>220932500</v>
      </c>
      <c r="Q136" s="369" t="s">
        <v>10213</v>
      </c>
      <c r="R136" s="364" t="s">
        <v>8045</v>
      </c>
      <c r="S136" s="340">
        <v>1</v>
      </c>
    </row>
    <row r="137" spans="1:19" ht="31.5" thickBot="1" x14ac:dyDescent="0.4">
      <c r="A137" s="357">
        <v>126</v>
      </c>
      <c r="B137" s="364" t="s">
        <v>10146</v>
      </c>
      <c r="C137" s="365" t="s">
        <v>10147</v>
      </c>
      <c r="D137" s="366" t="s">
        <v>51</v>
      </c>
      <c r="E137" s="366" t="s">
        <v>10082</v>
      </c>
      <c r="F137" s="366" t="s">
        <v>10078</v>
      </c>
      <c r="G137" s="366" t="s">
        <v>10078</v>
      </c>
      <c r="H137" s="366">
        <v>72</v>
      </c>
      <c r="I137" s="364" t="s">
        <v>10214</v>
      </c>
      <c r="J137" s="367">
        <v>42881</v>
      </c>
      <c r="K137" s="364" t="s">
        <v>10215</v>
      </c>
      <c r="L137" s="358"/>
      <c r="M137" s="366" t="s">
        <v>10084</v>
      </c>
      <c r="N137" s="358"/>
      <c r="O137" s="366" t="s">
        <v>57</v>
      </c>
      <c r="P137" s="368">
        <v>221142000</v>
      </c>
      <c r="Q137" s="369" t="s">
        <v>10216</v>
      </c>
      <c r="R137" s="364" t="s">
        <v>10217</v>
      </c>
      <c r="S137" s="340">
        <v>1</v>
      </c>
    </row>
    <row r="138" spans="1:19" ht="31" x14ac:dyDescent="0.35">
      <c r="A138" s="349">
        <v>127</v>
      </c>
      <c r="B138" s="364" t="s">
        <v>10155</v>
      </c>
      <c r="C138" s="365" t="s">
        <v>10156</v>
      </c>
      <c r="D138" s="366" t="s">
        <v>51</v>
      </c>
      <c r="E138" s="366" t="s">
        <v>10082</v>
      </c>
      <c r="F138" s="366" t="s">
        <v>10078</v>
      </c>
      <c r="G138" s="366" t="s">
        <v>10078</v>
      </c>
      <c r="H138" s="366">
        <v>0</v>
      </c>
      <c r="I138" s="364" t="s">
        <v>10218</v>
      </c>
      <c r="J138" s="367">
        <v>44600</v>
      </c>
      <c r="K138" s="364" t="s">
        <v>10219</v>
      </c>
      <c r="L138" s="358"/>
      <c r="M138" s="366" t="s">
        <v>10084</v>
      </c>
      <c r="N138" s="358"/>
      <c r="O138" s="366" t="s">
        <v>57</v>
      </c>
      <c r="P138" s="368">
        <v>128525000</v>
      </c>
      <c r="Q138" s="369" t="s">
        <v>10220</v>
      </c>
      <c r="R138" s="364" t="s">
        <v>8050</v>
      </c>
      <c r="S138" s="340">
        <v>1</v>
      </c>
    </row>
    <row r="139" spans="1:19" ht="31.5" thickBot="1" x14ac:dyDescent="0.4">
      <c r="A139" s="357">
        <v>128</v>
      </c>
      <c r="B139" s="364" t="s">
        <v>10080</v>
      </c>
      <c r="C139" s="365" t="s">
        <v>10081</v>
      </c>
      <c r="D139" s="366" t="s">
        <v>51</v>
      </c>
      <c r="E139" s="366" t="s">
        <v>10082</v>
      </c>
      <c r="F139" s="366" t="s">
        <v>10078</v>
      </c>
      <c r="G139" s="366" t="s">
        <v>10088</v>
      </c>
      <c r="H139" s="366">
        <v>128</v>
      </c>
      <c r="I139" s="364" t="s">
        <v>8025</v>
      </c>
      <c r="J139" s="367">
        <v>43003</v>
      </c>
      <c r="K139" s="364" t="s">
        <v>10221</v>
      </c>
      <c r="L139" s="358"/>
      <c r="M139" s="366" t="s">
        <v>10084</v>
      </c>
      <c r="N139" s="358"/>
      <c r="O139" s="366" t="s">
        <v>57</v>
      </c>
      <c r="P139" s="368">
        <v>386817575</v>
      </c>
      <c r="Q139" s="369" t="s">
        <v>10222</v>
      </c>
      <c r="R139" s="364" t="s">
        <v>8050</v>
      </c>
      <c r="S139" s="340">
        <v>1</v>
      </c>
    </row>
    <row r="140" spans="1:19" ht="31" x14ac:dyDescent="0.35">
      <c r="A140" s="349">
        <v>129</v>
      </c>
      <c r="B140" s="364" t="s">
        <v>10110</v>
      </c>
      <c r="C140" s="365" t="s">
        <v>10111</v>
      </c>
      <c r="D140" s="366" t="s">
        <v>51</v>
      </c>
      <c r="E140" s="366" t="s">
        <v>10082</v>
      </c>
      <c r="F140" s="366" t="s">
        <v>10078</v>
      </c>
      <c r="G140" s="366" t="s">
        <v>10088</v>
      </c>
      <c r="H140" s="366">
        <v>28</v>
      </c>
      <c r="I140" s="364"/>
      <c r="J140" s="367">
        <v>44841</v>
      </c>
      <c r="K140" s="364" t="s">
        <v>10223</v>
      </c>
      <c r="L140" s="358"/>
      <c r="M140" s="366"/>
      <c r="N140" s="358"/>
      <c r="O140" s="366" t="s">
        <v>44</v>
      </c>
      <c r="P140" s="368">
        <v>107360100</v>
      </c>
      <c r="Q140" s="369" t="s">
        <v>10224</v>
      </c>
      <c r="R140" s="364" t="s">
        <v>8050</v>
      </c>
      <c r="S140" s="340">
        <v>1</v>
      </c>
    </row>
    <row r="141" spans="1:19" ht="47" thickBot="1" x14ac:dyDescent="0.4">
      <c r="A141" s="357">
        <v>130</v>
      </c>
      <c r="B141" s="364" t="s">
        <v>10110</v>
      </c>
      <c r="C141" s="365" t="s">
        <v>10111</v>
      </c>
      <c r="D141" s="366" t="s">
        <v>59</v>
      </c>
      <c r="E141" s="366" t="s">
        <v>10082</v>
      </c>
      <c r="F141" s="366" t="s">
        <v>10078</v>
      </c>
      <c r="G141" s="366" t="s">
        <v>10078</v>
      </c>
      <c r="H141" s="366">
        <v>400</v>
      </c>
      <c r="I141" s="364" t="s">
        <v>10225</v>
      </c>
      <c r="J141" s="367"/>
      <c r="K141" s="364" t="s">
        <v>10226</v>
      </c>
      <c r="L141" s="358"/>
      <c r="M141" s="366"/>
      <c r="N141" s="358"/>
      <c r="O141" s="366" t="s">
        <v>44</v>
      </c>
      <c r="P141" s="368">
        <v>199325755</v>
      </c>
      <c r="Q141" s="369" t="s">
        <v>10227</v>
      </c>
      <c r="R141" s="364" t="s">
        <v>8050</v>
      </c>
      <c r="S141" s="340">
        <v>1</v>
      </c>
    </row>
    <row r="142" spans="1:19" ht="31" x14ac:dyDescent="0.35">
      <c r="A142" s="349">
        <v>131</v>
      </c>
      <c r="B142" s="364" t="s">
        <v>10228</v>
      </c>
      <c r="C142" s="365" t="s">
        <v>10229</v>
      </c>
      <c r="D142" s="366" t="s">
        <v>51</v>
      </c>
      <c r="E142" s="366" t="s">
        <v>10082</v>
      </c>
      <c r="F142" s="366" t="s">
        <v>10078</v>
      </c>
      <c r="G142" s="366" t="s">
        <v>10078</v>
      </c>
      <c r="H142" s="366">
        <v>0</v>
      </c>
      <c r="I142" s="364" t="s">
        <v>10230</v>
      </c>
      <c r="J142" s="367">
        <v>44430</v>
      </c>
      <c r="K142" s="364" t="s">
        <v>10231</v>
      </c>
      <c r="L142" s="358"/>
      <c r="M142" s="366" t="s">
        <v>10084</v>
      </c>
      <c r="N142" s="358"/>
      <c r="O142" s="366" t="s">
        <v>57</v>
      </c>
      <c r="P142" s="368">
        <v>159421500</v>
      </c>
      <c r="Q142" s="369" t="s">
        <v>10232</v>
      </c>
      <c r="R142" s="364" t="s">
        <v>8050</v>
      </c>
      <c r="S142" s="340">
        <v>1</v>
      </c>
    </row>
    <row r="143" spans="1:19" ht="31.5" thickBot="1" x14ac:dyDescent="0.4">
      <c r="A143" s="357">
        <v>132</v>
      </c>
      <c r="B143" s="364" t="s">
        <v>10096</v>
      </c>
      <c r="C143" s="365" t="s">
        <v>10097</v>
      </c>
      <c r="D143" s="366" t="s">
        <v>51</v>
      </c>
      <c r="E143" s="366" t="s">
        <v>10082</v>
      </c>
      <c r="F143" s="366" t="s">
        <v>10078</v>
      </c>
      <c r="G143" s="366" t="s">
        <v>10078</v>
      </c>
      <c r="H143" s="366">
        <v>103</v>
      </c>
      <c r="I143" s="364" t="s">
        <v>8025</v>
      </c>
      <c r="J143" s="367">
        <v>43669</v>
      </c>
      <c r="K143" s="364" t="s">
        <v>10233</v>
      </c>
      <c r="L143" s="358"/>
      <c r="M143" s="366" t="s">
        <v>10084</v>
      </c>
      <c r="N143" s="358"/>
      <c r="O143" s="366" t="s">
        <v>57</v>
      </c>
      <c r="P143" s="368">
        <v>328213008</v>
      </c>
      <c r="Q143" s="369" t="s">
        <v>10234</v>
      </c>
      <c r="R143" s="364" t="s">
        <v>8050</v>
      </c>
      <c r="S143" s="340">
        <v>1</v>
      </c>
    </row>
    <row r="144" spans="1:19" ht="31" x14ac:dyDescent="0.35">
      <c r="A144" s="349">
        <v>133</v>
      </c>
      <c r="B144" s="364" t="s">
        <v>10155</v>
      </c>
      <c r="C144" s="365" t="s">
        <v>10156</v>
      </c>
      <c r="D144" s="366" t="s">
        <v>51</v>
      </c>
      <c r="E144" s="366" t="s">
        <v>10082</v>
      </c>
      <c r="F144" s="366" t="s">
        <v>10071</v>
      </c>
      <c r="G144" s="366" t="s">
        <v>10078</v>
      </c>
      <c r="H144" s="366">
        <v>136</v>
      </c>
      <c r="I144" s="364" t="s">
        <v>10235</v>
      </c>
      <c r="J144" s="367"/>
      <c r="K144" s="364"/>
      <c r="L144" s="358"/>
      <c r="M144" s="366" t="s">
        <v>10084</v>
      </c>
      <c r="N144" s="358"/>
      <c r="O144" s="366" t="s">
        <v>57</v>
      </c>
      <c r="P144" s="368">
        <v>291264180</v>
      </c>
      <c r="Q144" s="369"/>
      <c r="R144" s="364" t="s">
        <v>8052</v>
      </c>
      <c r="S144" s="340">
        <v>1</v>
      </c>
    </row>
    <row r="145" spans="1:19" ht="31.5" thickBot="1" x14ac:dyDescent="0.4">
      <c r="A145" s="357">
        <v>134</v>
      </c>
      <c r="B145" s="364" t="s">
        <v>10080</v>
      </c>
      <c r="C145" s="365" t="s">
        <v>10081</v>
      </c>
      <c r="D145" s="366" t="s">
        <v>51</v>
      </c>
      <c r="E145" s="366" t="s">
        <v>10082</v>
      </c>
      <c r="F145" s="366" t="s">
        <v>10078</v>
      </c>
      <c r="G145" s="366" t="s">
        <v>10078</v>
      </c>
      <c r="H145" s="366">
        <v>146</v>
      </c>
      <c r="I145" s="364" t="s">
        <v>10235</v>
      </c>
      <c r="J145" s="367"/>
      <c r="K145" s="364"/>
      <c r="L145" s="358"/>
      <c r="M145" s="366" t="s">
        <v>10084</v>
      </c>
      <c r="N145" s="358"/>
      <c r="O145" s="366" t="s">
        <v>422</v>
      </c>
      <c r="P145" s="368">
        <v>92000000</v>
      </c>
      <c r="Q145" s="369" t="s">
        <v>8603</v>
      </c>
      <c r="R145" s="364" t="s">
        <v>8052</v>
      </c>
      <c r="S145" s="340">
        <v>1</v>
      </c>
    </row>
    <row r="146" spans="1:19" ht="31" x14ac:dyDescent="0.35">
      <c r="A146" s="349">
        <v>135</v>
      </c>
      <c r="B146" s="364" t="s">
        <v>10146</v>
      </c>
      <c r="C146" s="365" t="s">
        <v>10147</v>
      </c>
      <c r="D146" s="366" t="s">
        <v>51</v>
      </c>
      <c r="E146" s="366" t="s">
        <v>10082</v>
      </c>
      <c r="F146" s="366" t="s">
        <v>10078</v>
      </c>
      <c r="G146" s="366" t="s">
        <v>10088</v>
      </c>
      <c r="H146" s="366">
        <v>44</v>
      </c>
      <c r="I146" s="364" t="s">
        <v>10235</v>
      </c>
      <c r="J146" s="367">
        <v>43328</v>
      </c>
      <c r="K146" s="364" t="s">
        <v>10236</v>
      </c>
      <c r="L146" s="358"/>
      <c r="M146" s="366" t="s">
        <v>10084</v>
      </c>
      <c r="N146" s="358"/>
      <c r="O146" s="366" t="s">
        <v>57</v>
      </c>
      <c r="P146" s="368">
        <v>221202000</v>
      </c>
      <c r="Q146" s="369" t="s">
        <v>10237</v>
      </c>
      <c r="R146" s="364" t="s">
        <v>8052</v>
      </c>
      <c r="S146" s="340">
        <v>1</v>
      </c>
    </row>
    <row r="147" spans="1:19" ht="31.5" thickBot="1" x14ac:dyDescent="0.4">
      <c r="A147" s="357">
        <v>136</v>
      </c>
      <c r="B147" s="364" t="s">
        <v>10096</v>
      </c>
      <c r="C147" s="365" t="s">
        <v>10097</v>
      </c>
      <c r="D147" s="366" t="s">
        <v>51</v>
      </c>
      <c r="E147" s="366" t="s">
        <v>10082</v>
      </c>
      <c r="F147" s="366" t="s">
        <v>10078</v>
      </c>
      <c r="G147" s="366" t="s">
        <v>10088</v>
      </c>
      <c r="H147" s="366">
        <v>71</v>
      </c>
      <c r="I147" s="364" t="s">
        <v>10238</v>
      </c>
      <c r="J147" s="367">
        <v>41526</v>
      </c>
      <c r="K147" s="364" t="s">
        <v>10239</v>
      </c>
      <c r="L147" s="358"/>
      <c r="M147" s="366" t="s">
        <v>10084</v>
      </c>
      <c r="N147" s="358"/>
      <c r="O147" s="366" t="s">
        <v>57</v>
      </c>
      <c r="P147" s="368">
        <v>134700000</v>
      </c>
      <c r="Q147" s="369" t="s">
        <v>10240</v>
      </c>
      <c r="R147" s="364" t="s">
        <v>8052</v>
      </c>
      <c r="S147" s="340">
        <v>1</v>
      </c>
    </row>
    <row r="148" spans="1:19" ht="31" x14ac:dyDescent="0.35">
      <c r="A148" s="349">
        <v>137</v>
      </c>
      <c r="B148" s="364" t="s">
        <v>10080</v>
      </c>
      <c r="C148" s="365" t="s">
        <v>10081</v>
      </c>
      <c r="D148" s="366" t="s">
        <v>51</v>
      </c>
      <c r="E148" s="366" t="s">
        <v>10082</v>
      </c>
      <c r="F148" s="366" t="s">
        <v>10078</v>
      </c>
      <c r="G148" s="366" t="s">
        <v>10078</v>
      </c>
      <c r="H148" s="366">
        <v>162</v>
      </c>
      <c r="I148" s="364" t="s">
        <v>10241</v>
      </c>
      <c r="J148" s="367"/>
      <c r="K148" s="358"/>
      <c r="L148" s="358"/>
      <c r="M148" s="366" t="s">
        <v>10084</v>
      </c>
      <c r="N148" s="358"/>
      <c r="O148" s="366" t="s">
        <v>57</v>
      </c>
      <c r="P148" s="368">
        <v>502359400</v>
      </c>
      <c r="Q148" s="369"/>
      <c r="R148" s="364" t="s">
        <v>7941</v>
      </c>
      <c r="S148" s="340">
        <v>1</v>
      </c>
    </row>
    <row r="149" spans="1:19" ht="31.5" thickBot="1" x14ac:dyDescent="0.4">
      <c r="A149" s="357">
        <v>138</v>
      </c>
      <c r="B149" s="364" t="s">
        <v>10080</v>
      </c>
      <c r="C149" s="365" t="s">
        <v>10081</v>
      </c>
      <c r="D149" s="366" t="s">
        <v>59</v>
      </c>
      <c r="E149" s="366" t="s">
        <v>10082</v>
      </c>
      <c r="F149" s="366" t="s">
        <v>10078</v>
      </c>
      <c r="G149" s="366" t="s">
        <v>10078</v>
      </c>
      <c r="H149" s="366">
        <v>162</v>
      </c>
      <c r="I149" s="358" t="s">
        <v>10241</v>
      </c>
      <c r="J149" s="361"/>
      <c r="K149" s="358"/>
      <c r="L149" s="358"/>
      <c r="M149" s="366" t="s">
        <v>10084</v>
      </c>
      <c r="N149" s="358"/>
      <c r="O149" s="366" t="s">
        <v>57</v>
      </c>
      <c r="P149" s="368">
        <v>271168000</v>
      </c>
      <c r="Q149" s="369"/>
      <c r="R149" s="364" t="s">
        <v>7941</v>
      </c>
      <c r="S149" s="340">
        <v>1</v>
      </c>
    </row>
    <row r="150" spans="1:19" ht="31" x14ac:dyDescent="0.35">
      <c r="A150" s="349">
        <v>139</v>
      </c>
      <c r="B150" s="364" t="s">
        <v>10080</v>
      </c>
      <c r="C150" s="365" t="s">
        <v>10081</v>
      </c>
      <c r="D150" s="366" t="s">
        <v>97</v>
      </c>
      <c r="E150" s="366" t="s">
        <v>10082</v>
      </c>
      <c r="F150" s="366" t="s">
        <v>10078</v>
      </c>
      <c r="G150" s="366" t="s">
        <v>10078</v>
      </c>
      <c r="H150" s="366">
        <v>100</v>
      </c>
      <c r="I150" s="358" t="s">
        <v>10241</v>
      </c>
      <c r="J150" s="361"/>
      <c r="K150" s="358"/>
      <c r="L150" s="358"/>
      <c r="M150" s="366" t="s">
        <v>10084</v>
      </c>
      <c r="N150" s="358"/>
      <c r="O150" s="366" t="s">
        <v>422</v>
      </c>
      <c r="P150" s="368">
        <v>45000000</v>
      </c>
      <c r="Q150" s="369" t="s">
        <v>8603</v>
      </c>
      <c r="R150" s="364" t="s">
        <v>7941</v>
      </c>
      <c r="S150" s="340">
        <v>1</v>
      </c>
    </row>
    <row r="151" spans="1:19" ht="31.5" thickBot="1" x14ac:dyDescent="0.4">
      <c r="A151" s="357">
        <v>140</v>
      </c>
      <c r="B151" s="364" t="s">
        <v>10080</v>
      </c>
      <c r="C151" s="365" t="s">
        <v>10081</v>
      </c>
      <c r="D151" s="366" t="s">
        <v>101</v>
      </c>
      <c r="E151" s="366" t="s">
        <v>10082</v>
      </c>
      <c r="F151" s="366" t="s">
        <v>10078</v>
      </c>
      <c r="G151" s="366" t="s">
        <v>10078</v>
      </c>
      <c r="H151" s="366">
        <v>144</v>
      </c>
      <c r="I151" s="364" t="s">
        <v>10241</v>
      </c>
      <c r="J151" s="367"/>
      <c r="K151" s="364"/>
      <c r="L151" s="358"/>
      <c r="M151" s="366" t="s">
        <v>10084</v>
      </c>
      <c r="N151" s="358"/>
      <c r="O151" s="366" t="s">
        <v>57</v>
      </c>
      <c r="P151" s="368">
        <v>268510000</v>
      </c>
      <c r="Q151" s="369"/>
      <c r="R151" s="364" t="s">
        <v>7941</v>
      </c>
      <c r="S151" s="340">
        <v>1</v>
      </c>
    </row>
    <row r="152" spans="1:19" ht="46.5" x14ac:dyDescent="0.35">
      <c r="A152" s="349">
        <v>141</v>
      </c>
      <c r="B152" s="364" t="s">
        <v>10092</v>
      </c>
      <c r="C152" s="365" t="s">
        <v>10093</v>
      </c>
      <c r="D152" s="366" t="s">
        <v>51</v>
      </c>
      <c r="E152" s="366" t="s">
        <v>10082</v>
      </c>
      <c r="F152" s="366" t="s">
        <v>10078</v>
      </c>
      <c r="G152" s="366" t="s">
        <v>10078</v>
      </c>
      <c r="H152" s="366">
        <v>62</v>
      </c>
      <c r="I152" s="364" t="s">
        <v>10242</v>
      </c>
      <c r="J152" s="367">
        <v>41564</v>
      </c>
      <c r="K152" s="364" t="s">
        <v>10243</v>
      </c>
      <c r="L152" s="358"/>
      <c r="M152" s="366" t="s">
        <v>10084</v>
      </c>
      <c r="N152" s="358"/>
      <c r="O152" s="366" t="s">
        <v>57</v>
      </c>
      <c r="P152" s="368">
        <v>146600000</v>
      </c>
      <c r="Q152" s="369"/>
      <c r="R152" s="364" t="s">
        <v>7941</v>
      </c>
      <c r="S152" s="340">
        <v>1</v>
      </c>
    </row>
    <row r="153" spans="1:19" ht="47" thickBot="1" x14ac:dyDescent="0.4">
      <c r="A153" s="357">
        <v>142</v>
      </c>
      <c r="B153" s="364" t="s">
        <v>10085</v>
      </c>
      <c r="C153" s="365" t="s">
        <v>10086</v>
      </c>
      <c r="D153" s="366" t="s">
        <v>51</v>
      </c>
      <c r="E153" s="366" t="s">
        <v>10082</v>
      </c>
      <c r="F153" s="366" t="s">
        <v>10078</v>
      </c>
      <c r="G153" s="366" t="s">
        <v>10078</v>
      </c>
      <c r="H153" s="366">
        <v>70</v>
      </c>
      <c r="I153" s="364" t="s">
        <v>10242</v>
      </c>
      <c r="J153" s="367">
        <v>41528</v>
      </c>
      <c r="K153" s="364" t="s">
        <v>10244</v>
      </c>
      <c r="L153" s="358"/>
      <c r="M153" s="366" t="s">
        <v>10084</v>
      </c>
      <c r="N153" s="358"/>
      <c r="O153" s="366" t="s">
        <v>57</v>
      </c>
      <c r="P153" s="368">
        <v>136363000</v>
      </c>
      <c r="Q153" s="369" t="s">
        <v>10245</v>
      </c>
      <c r="R153" s="364" t="s">
        <v>7941</v>
      </c>
      <c r="S153" s="340">
        <v>1</v>
      </c>
    </row>
    <row r="154" spans="1:19" ht="31" x14ac:dyDescent="0.35">
      <c r="A154" s="349">
        <v>143</v>
      </c>
      <c r="B154" s="364" t="s">
        <v>10146</v>
      </c>
      <c r="C154" s="365" t="s">
        <v>10147</v>
      </c>
      <c r="D154" s="366" t="s">
        <v>51</v>
      </c>
      <c r="E154" s="366" t="s">
        <v>10082</v>
      </c>
      <c r="F154" s="366" t="s">
        <v>10078</v>
      </c>
      <c r="G154" s="366" t="s">
        <v>10078</v>
      </c>
      <c r="H154" s="366">
        <v>51</v>
      </c>
      <c r="I154" s="364" t="s">
        <v>10241</v>
      </c>
      <c r="J154" s="367">
        <v>41906</v>
      </c>
      <c r="K154" s="364" t="s">
        <v>10246</v>
      </c>
      <c r="L154" s="358"/>
      <c r="M154" s="366" t="s">
        <v>10084</v>
      </c>
      <c r="N154" s="358"/>
      <c r="O154" s="366" t="s">
        <v>57</v>
      </c>
      <c r="P154" s="368">
        <v>172725000</v>
      </c>
      <c r="Q154" s="369" t="s">
        <v>10247</v>
      </c>
      <c r="R154" s="364" t="s">
        <v>7941</v>
      </c>
      <c r="S154" s="340">
        <v>1</v>
      </c>
    </row>
    <row r="155" spans="1:19" ht="31.5" thickBot="1" x14ac:dyDescent="0.4">
      <c r="A155" s="357">
        <v>144</v>
      </c>
      <c r="B155" s="364" t="s">
        <v>10080</v>
      </c>
      <c r="C155" s="365" t="s">
        <v>10081</v>
      </c>
      <c r="D155" s="366" t="s">
        <v>51</v>
      </c>
      <c r="E155" s="366" t="s">
        <v>10082</v>
      </c>
      <c r="F155" s="366" t="s">
        <v>10078</v>
      </c>
      <c r="G155" s="366" t="s">
        <v>10078</v>
      </c>
      <c r="H155" s="366">
        <v>120</v>
      </c>
      <c r="I155" s="364" t="s">
        <v>10248</v>
      </c>
      <c r="J155" s="367"/>
      <c r="K155" s="364"/>
      <c r="L155" s="358"/>
      <c r="M155" s="366" t="s">
        <v>10084</v>
      </c>
      <c r="N155" s="358"/>
      <c r="O155" s="366" t="s">
        <v>422</v>
      </c>
      <c r="P155" s="368">
        <v>53760000</v>
      </c>
      <c r="Q155" s="369" t="s">
        <v>8603</v>
      </c>
      <c r="R155" s="364" t="s">
        <v>7945</v>
      </c>
      <c r="S155" s="340">
        <v>1</v>
      </c>
    </row>
    <row r="156" spans="1:19" ht="31" x14ac:dyDescent="0.35">
      <c r="A156" s="349">
        <v>145</v>
      </c>
      <c r="B156" s="364" t="s">
        <v>10080</v>
      </c>
      <c r="C156" s="365" t="s">
        <v>10081</v>
      </c>
      <c r="D156" s="366" t="s">
        <v>59</v>
      </c>
      <c r="E156" s="366" t="s">
        <v>10082</v>
      </c>
      <c r="F156" s="366" t="s">
        <v>10078</v>
      </c>
      <c r="G156" s="366" t="s">
        <v>10078</v>
      </c>
      <c r="H156" s="366">
        <v>252</v>
      </c>
      <c r="I156" s="364" t="s">
        <v>10248</v>
      </c>
      <c r="J156" s="367"/>
      <c r="K156" s="364"/>
      <c r="L156" s="358"/>
      <c r="M156" s="366" t="s">
        <v>10084</v>
      </c>
      <c r="N156" s="358"/>
      <c r="O156" s="366" t="s">
        <v>57</v>
      </c>
      <c r="P156" s="368">
        <v>1183885414.8</v>
      </c>
      <c r="Q156" s="369"/>
      <c r="R156" s="364" t="s">
        <v>7945</v>
      </c>
      <c r="S156" s="340">
        <v>1</v>
      </c>
    </row>
    <row r="157" spans="1:19" ht="31.5" thickBot="1" x14ac:dyDescent="0.4">
      <c r="A157" s="357">
        <v>146</v>
      </c>
      <c r="B157" s="364" t="s">
        <v>10080</v>
      </c>
      <c r="C157" s="365" t="s">
        <v>10081</v>
      </c>
      <c r="D157" s="366" t="s">
        <v>97</v>
      </c>
      <c r="E157" s="366" t="s">
        <v>10082</v>
      </c>
      <c r="F157" s="366" t="s">
        <v>10078</v>
      </c>
      <c r="G157" s="366" t="s">
        <v>10078</v>
      </c>
      <c r="H157" s="366">
        <v>90</v>
      </c>
      <c r="I157" s="364" t="s">
        <v>10248</v>
      </c>
      <c r="J157" s="367"/>
      <c r="K157" s="364"/>
      <c r="L157" s="358"/>
      <c r="M157" s="366" t="s">
        <v>10084</v>
      </c>
      <c r="N157" s="358"/>
      <c r="O157" s="366" t="s">
        <v>57</v>
      </c>
      <c r="P157" s="368">
        <v>215353000</v>
      </c>
      <c r="Q157" s="369"/>
      <c r="R157" s="364" t="s">
        <v>7945</v>
      </c>
      <c r="S157" s="340">
        <v>1</v>
      </c>
    </row>
    <row r="158" spans="1:19" ht="31" x14ac:dyDescent="0.35">
      <c r="A158" s="349">
        <v>147</v>
      </c>
      <c r="B158" s="364" t="s">
        <v>10110</v>
      </c>
      <c r="C158" s="365" t="s">
        <v>10111</v>
      </c>
      <c r="D158" s="366" t="s">
        <v>51</v>
      </c>
      <c r="E158" s="366" t="s">
        <v>10082</v>
      </c>
      <c r="F158" s="366" t="s">
        <v>10078</v>
      </c>
      <c r="G158" s="366" t="s">
        <v>10078</v>
      </c>
      <c r="H158" s="366">
        <v>8</v>
      </c>
      <c r="I158" s="364" t="s">
        <v>10248</v>
      </c>
      <c r="J158" s="367"/>
      <c r="K158" s="364"/>
      <c r="L158" s="358"/>
      <c r="M158" s="366" t="s">
        <v>10084</v>
      </c>
      <c r="N158" s="358"/>
      <c r="O158" s="366" t="s">
        <v>57</v>
      </c>
      <c r="P158" s="368">
        <v>107757850</v>
      </c>
      <c r="Q158" s="369"/>
      <c r="R158" s="364" t="s">
        <v>7945</v>
      </c>
      <c r="S158" s="340">
        <v>1</v>
      </c>
    </row>
    <row r="159" spans="1:19" ht="31.5" thickBot="1" x14ac:dyDescent="0.4">
      <c r="A159" s="357">
        <v>148</v>
      </c>
      <c r="B159" s="364" t="s">
        <v>10085</v>
      </c>
      <c r="C159" s="365" t="s">
        <v>10086</v>
      </c>
      <c r="D159" s="366" t="s">
        <v>51</v>
      </c>
      <c r="E159" s="366" t="s">
        <v>10082</v>
      </c>
      <c r="F159" s="366" t="s">
        <v>10078</v>
      </c>
      <c r="G159" s="366" t="s">
        <v>10088</v>
      </c>
      <c r="H159" s="366">
        <v>64</v>
      </c>
      <c r="I159" s="364" t="s">
        <v>10248</v>
      </c>
      <c r="J159" s="367"/>
      <c r="K159" s="364"/>
      <c r="L159" s="358"/>
      <c r="M159" s="366" t="s">
        <v>10084</v>
      </c>
      <c r="N159" s="358"/>
      <c r="O159" s="366" t="s">
        <v>57</v>
      </c>
      <c r="P159" s="368">
        <v>333178100</v>
      </c>
      <c r="Q159" s="369"/>
      <c r="R159" s="364" t="s">
        <v>7945</v>
      </c>
      <c r="S159" s="340">
        <v>1</v>
      </c>
    </row>
    <row r="160" spans="1:19" ht="46.5" x14ac:dyDescent="0.35">
      <c r="A160" s="349">
        <v>149</v>
      </c>
      <c r="B160" s="364" t="s">
        <v>10085</v>
      </c>
      <c r="C160" s="365" t="s">
        <v>10086</v>
      </c>
      <c r="D160" s="366" t="s">
        <v>59</v>
      </c>
      <c r="E160" s="366" t="s">
        <v>10082</v>
      </c>
      <c r="F160" s="360" t="s">
        <v>10078</v>
      </c>
      <c r="G160" s="360" t="s">
        <v>10088</v>
      </c>
      <c r="H160" s="366">
        <v>39</v>
      </c>
      <c r="I160" s="364" t="s">
        <v>10248</v>
      </c>
      <c r="J160" s="361">
        <v>41585</v>
      </c>
      <c r="K160" s="358" t="s">
        <v>10249</v>
      </c>
      <c r="L160" s="358"/>
      <c r="M160" s="360" t="s">
        <v>10084</v>
      </c>
      <c r="N160" s="358"/>
      <c r="O160" s="366" t="s">
        <v>57</v>
      </c>
      <c r="P160" s="368">
        <v>242693590</v>
      </c>
      <c r="Q160" s="369" t="s">
        <v>10250</v>
      </c>
      <c r="R160" s="364" t="s">
        <v>7945</v>
      </c>
      <c r="S160" s="340">
        <v>1</v>
      </c>
    </row>
    <row r="161" spans="1:19" ht="31.5" thickBot="1" x14ac:dyDescent="0.4">
      <c r="A161" s="357">
        <v>150</v>
      </c>
      <c r="B161" s="364" t="s">
        <v>10080</v>
      </c>
      <c r="C161" s="365" t="s">
        <v>10081</v>
      </c>
      <c r="D161" s="366" t="s">
        <v>51</v>
      </c>
      <c r="E161" s="366" t="s">
        <v>10082</v>
      </c>
      <c r="F161" s="366" t="s">
        <v>10078</v>
      </c>
      <c r="G161" s="366" t="s">
        <v>10078</v>
      </c>
      <c r="H161" s="366">
        <v>144</v>
      </c>
      <c r="I161" s="364" t="s">
        <v>10251</v>
      </c>
      <c r="J161" s="361"/>
      <c r="K161" s="358"/>
      <c r="L161" s="358"/>
      <c r="M161" s="366" t="s">
        <v>10084</v>
      </c>
      <c r="N161" s="358"/>
      <c r="O161" s="366" t="s">
        <v>422</v>
      </c>
      <c r="P161" s="368">
        <v>92000000</v>
      </c>
      <c r="Q161" s="369" t="s">
        <v>8603</v>
      </c>
      <c r="R161" s="364" t="s">
        <v>7947</v>
      </c>
      <c r="S161" s="340">
        <v>1</v>
      </c>
    </row>
    <row r="162" spans="1:19" ht="31" x14ac:dyDescent="0.35">
      <c r="A162" s="349">
        <v>151</v>
      </c>
      <c r="B162" s="364" t="s">
        <v>10080</v>
      </c>
      <c r="C162" s="365" t="s">
        <v>10081</v>
      </c>
      <c r="D162" s="366" t="s">
        <v>59</v>
      </c>
      <c r="E162" s="366" t="s">
        <v>10082</v>
      </c>
      <c r="F162" s="366" t="s">
        <v>10078</v>
      </c>
      <c r="G162" s="366" t="s">
        <v>10078</v>
      </c>
      <c r="H162" s="366">
        <v>98</v>
      </c>
      <c r="I162" s="364" t="s">
        <v>10251</v>
      </c>
      <c r="J162" s="367"/>
      <c r="K162" s="364"/>
      <c r="L162" s="358"/>
      <c r="M162" s="366" t="s">
        <v>10084</v>
      </c>
      <c r="N162" s="358"/>
      <c r="O162" s="366" t="s">
        <v>57</v>
      </c>
      <c r="P162" s="368">
        <v>533106000</v>
      </c>
      <c r="Q162" s="369"/>
      <c r="R162" s="364" t="s">
        <v>7947</v>
      </c>
      <c r="S162" s="340">
        <v>1</v>
      </c>
    </row>
    <row r="163" spans="1:19" ht="31.5" thickBot="1" x14ac:dyDescent="0.4">
      <c r="A163" s="357">
        <v>152</v>
      </c>
      <c r="B163" s="364" t="s">
        <v>10110</v>
      </c>
      <c r="C163" s="365" t="s">
        <v>10111</v>
      </c>
      <c r="D163" s="366" t="s">
        <v>51</v>
      </c>
      <c r="E163" s="366" t="s">
        <v>10082</v>
      </c>
      <c r="F163" s="366" t="s">
        <v>10078</v>
      </c>
      <c r="G163" s="366" t="s">
        <v>10078</v>
      </c>
      <c r="H163" s="366">
        <v>6</v>
      </c>
      <c r="I163" s="364" t="s">
        <v>10251</v>
      </c>
      <c r="J163" s="367"/>
      <c r="K163" s="364"/>
      <c r="L163" s="358"/>
      <c r="M163" s="366" t="s">
        <v>10084</v>
      </c>
      <c r="N163" s="358"/>
      <c r="O163" s="366" t="s">
        <v>57</v>
      </c>
      <c r="P163" s="368">
        <v>10330000</v>
      </c>
      <c r="Q163" s="369"/>
      <c r="R163" s="364" t="s">
        <v>7947</v>
      </c>
      <c r="S163" s="340">
        <v>1</v>
      </c>
    </row>
    <row r="164" spans="1:19" ht="31" x14ac:dyDescent="0.35">
      <c r="A164" s="349">
        <v>153</v>
      </c>
      <c r="B164" s="364" t="s">
        <v>10092</v>
      </c>
      <c r="C164" s="365" t="s">
        <v>10093</v>
      </c>
      <c r="D164" s="366" t="s">
        <v>51</v>
      </c>
      <c r="E164" s="366" t="s">
        <v>10082</v>
      </c>
      <c r="F164" s="366" t="s">
        <v>10078</v>
      </c>
      <c r="G164" s="366" t="s">
        <v>10078</v>
      </c>
      <c r="H164" s="366">
        <v>61</v>
      </c>
      <c r="I164" s="364" t="s">
        <v>10252</v>
      </c>
      <c r="J164" s="361">
        <v>41564</v>
      </c>
      <c r="K164" s="358" t="s">
        <v>10253</v>
      </c>
      <c r="L164" s="358"/>
      <c r="M164" s="366" t="s">
        <v>10084</v>
      </c>
      <c r="N164" s="358"/>
      <c r="O164" s="366" t="s">
        <v>57</v>
      </c>
      <c r="P164" s="368">
        <v>155179520</v>
      </c>
      <c r="Q164" s="369"/>
      <c r="R164" s="364" t="s">
        <v>7947</v>
      </c>
      <c r="S164" s="340">
        <v>1</v>
      </c>
    </row>
    <row r="165" spans="1:19" ht="31.5" thickBot="1" x14ac:dyDescent="0.4">
      <c r="A165" s="357">
        <v>154</v>
      </c>
      <c r="B165" s="364" t="s">
        <v>10085</v>
      </c>
      <c r="C165" s="365" t="s">
        <v>10086</v>
      </c>
      <c r="D165" s="366" t="s">
        <v>51</v>
      </c>
      <c r="E165" s="366" t="s">
        <v>10082</v>
      </c>
      <c r="F165" s="366" t="s">
        <v>10078</v>
      </c>
      <c r="G165" s="366" t="s">
        <v>10078</v>
      </c>
      <c r="H165" s="366">
        <v>49</v>
      </c>
      <c r="I165" s="364" t="s">
        <v>10251</v>
      </c>
      <c r="J165" s="367"/>
      <c r="K165" s="364"/>
      <c r="L165" s="358"/>
      <c r="M165" s="366" t="s">
        <v>10084</v>
      </c>
      <c r="N165" s="358"/>
      <c r="O165" s="366" t="s">
        <v>57</v>
      </c>
      <c r="P165" s="368">
        <v>158927000</v>
      </c>
      <c r="Q165" s="369"/>
      <c r="R165" s="364" t="s">
        <v>7947</v>
      </c>
      <c r="S165" s="340">
        <v>1</v>
      </c>
    </row>
    <row r="166" spans="1:19" ht="31" x14ac:dyDescent="0.35">
      <c r="A166" s="349">
        <v>155</v>
      </c>
      <c r="B166" s="364" t="s">
        <v>10085</v>
      </c>
      <c r="C166" s="365" t="s">
        <v>10086</v>
      </c>
      <c r="D166" s="366" t="s">
        <v>59</v>
      </c>
      <c r="E166" s="366" t="s">
        <v>10082</v>
      </c>
      <c r="F166" s="366" t="s">
        <v>10078</v>
      </c>
      <c r="G166" s="366" t="s">
        <v>10078</v>
      </c>
      <c r="H166" s="366">
        <v>63</v>
      </c>
      <c r="I166" s="364" t="s">
        <v>10251</v>
      </c>
      <c r="J166" s="367"/>
      <c r="K166" s="364"/>
      <c r="L166" s="358"/>
      <c r="M166" s="366" t="s">
        <v>10084</v>
      </c>
      <c r="N166" s="358"/>
      <c r="O166" s="366" t="s">
        <v>57</v>
      </c>
      <c r="P166" s="368">
        <v>108467000</v>
      </c>
      <c r="Q166" s="369"/>
      <c r="R166" s="364" t="s">
        <v>7947</v>
      </c>
      <c r="S166" s="340">
        <v>1</v>
      </c>
    </row>
    <row r="167" spans="1:19" ht="31.5" thickBot="1" x14ac:dyDescent="0.4">
      <c r="A167" s="357">
        <v>156</v>
      </c>
      <c r="B167" s="364" t="s">
        <v>10085</v>
      </c>
      <c r="C167" s="365" t="s">
        <v>10086</v>
      </c>
      <c r="D167" s="366" t="s">
        <v>97</v>
      </c>
      <c r="E167" s="366" t="s">
        <v>10082</v>
      </c>
      <c r="F167" s="366" t="s">
        <v>10078</v>
      </c>
      <c r="G167" s="366" t="s">
        <v>10078</v>
      </c>
      <c r="H167" s="366">
        <v>49</v>
      </c>
      <c r="I167" s="364" t="s">
        <v>10251</v>
      </c>
      <c r="J167" s="367"/>
      <c r="K167" s="364"/>
      <c r="L167" s="358"/>
      <c r="M167" s="366" t="s">
        <v>10084</v>
      </c>
      <c r="N167" s="358"/>
      <c r="O167" s="366" t="s">
        <v>57</v>
      </c>
      <c r="P167" s="368">
        <v>84363000</v>
      </c>
      <c r="Q167" s="369"/>
      <c r="R167" s="364" t="s">
        <v>7947</v>
      </c>
      <c r="S167" s="340">
        <v>1</v>
      </c>
    </row>
    <row r="168" spans="1:19" ht="31" x14ac:dyDescent="0.35">
      <c r="A168" s="349">
        <v>157</v>
      </c>
      <c r="B168" s="364" t="s">
        <v>10146</v>
      </c>
      <c r="C168" s="365" t="s">
        <v>10147</v>
      </c>
      <c r="D168" s="366" t="s">
        <v>51</v>
      </c>
      <c r="E168" s="366" t="s">
        <v>10082</v>
      </c>
      <c r="F168" s="366" t="s">
        <v>10078</v>
      </c>
      <c r="G168" s="366" t="s">
        <v>10078</v>
      </c>
      <c r="H168" s="366">
        <v>50</v>
      </c>
      <c r="I168" s="364" t="s">
        <v>10254</v>
      </c>
      <c r="J168" s="367">
        <v>43676</v>
      </c>
      <c r="K168" s="364" t="s">
        <v>10255</v>
      </c>
      <c r="L168" s="358"/>
      <c r="M168" s="366" t="s">
        <v>10084</v>
      </c>
      <c r="N168" s="358"/>
      <c r="O168" s="366" t="s">
        <v>57</v>
      </c>
      <c r="P168" s="368">
        <v>221448000</v>
      </c>
      <c r="Q168" s="369" t="s">
        <v>10256</v>
      </c>
      <c r="R168" s="364" t="s">
        <v>7947</v>
      </c>
      <c r="S168" s="340">
        <v>1</v>
      </c>
    </row>
    <row r="169" spans="1:19" ht="31.5" thickBot="1" x14ac:dyDescent="0.4">
      <c r="A169" s="357">
        <v>158</v>
      </c>
      <c r="B169" s="364" t="s">
        <v>10080</v>
      </c>
      <c r="C169" s="365" t="s">
        <v>10081</v>
      </c>
      <c r="D169" s="366" t="s">
        <v>51</v>
      </c>
      <c r="E169" s="366" t="s">
        <v>10082</v>
      </c>
      <c r="F169" s="366" t="s">
        <v>10078</v>
      </c>
      <c r="G169" s="366" t="s">
        <v>10078</v>
      </c>
      <c r="H169" s="366">
        <v>270</v>
      </c>
      <c r="I169" s="364" t="s">
        <v>10257</v>
      </c>
      <c r="J169" s="367"/>
      <c r="K169" s="364"/>
      <c r="L169" s="358"/>
      <c r="M169" s="366" t="s">
        <v>10084</v>
      </c>
      <c r="N169" s="358"/>
      <c r="O169" s="366" t="s">
        <v>57</v>
      </c>
      <c r="P169" s="368">
        <v>709012000</v>
      </c>
      <c r="Q169" s="369"/>
      <c r="R169" s="364" t="s">
        <v>7949</v>
      </c>
      <c r="S169" s="340">
        <v>1</v>
      </c>
    </row>
    <row r="170" spans="1:19" ht="31" x14ac:dyDescent="0.35">
      <c r="A170" s="349">
        <v>159</v>
      </c>
      <c r="B170" s="364" t="s">
        <v>10080</v>
      </c>
      <c r="C170" s="365" t="s">
        <v>10081</v>
      </c>
      <c r="D170" s="366" t="s">
        <v>59</v>
      </c>
      <c r="E170" s="366" t="s">
        <v>10082</v>
      </c>
      <c r="F170" s="366" t="s">
        <v>10078</v>
      </c>
      <c r="G170" s="366" t="s">
        <v>10078</v>
      </c>
      <c r="H170" s="366">
        <v>252</v>
      </c>
      <c r="I170" s="364" t="s">
        <v>10258</v>
      </c>
      <c r="J170" s="367"/>
      <c r="K170" s="364"/>
      <c r="L170" s="358"/>
      <c r="M170" s="366" t="s">
        <v>10084</v>
      </c>
      <c r="N170" s="358"/>
      <c r="O170" s="366" t="s">
        <v>57</v>
      </c>
      <c r="P170" s="368">
        <v>445920000</v>
      </c>
      <c r="Q170" s="369"/>
      <c r="R170" s="364" t="s">
        <v>7949</v>
      </c>
      <c r="S170" s="340">
        <v>1</v>
      </c>
    </row>
    <row r="171" spans="1:19" ht="31.5" thickBot="1" x14ac:dyDescent="0.4">
      <c r="A171" s="357">
        <v>160</v>
      </c>
      <c r="B171" s="364" t="s">
        <v>10080</v>
      </c>
      <c r="C171" s="365" t="s">
        <v>10081</v>
      </c>
      <c r="D171" s="366" t="s">
        <v>97</v>
      </c>
      <c r="E171" s="366" t="s">
        <v>10082</v>
      </c>
      <c r="F171" s="366" t="s">
        <v>10078</v>
      </c>
      <c r="G171" s="366" t="s">
        <v>10078</v>
      </c>
      <c r="H171" s="366">
        <v>172</v>
      </c>
      <c r="I171" s="364" t="s">
        <v>10257</v>
      </c>
      <c r="J171" s="367"/>
      <c r="K171" s="364"/>
      <c r="L171" s="358"/>
      <c r="M171" s="366" t="s">
        <v>10084</v>
      </c>
      <c r="N171" s="358"/>
      <c r="O171" s="366" t="s">
        <v>422</v>
      </c>
      <c r="P171" s="368">
        <v>129600000</v>
      </c>
      <c r="Q171" s="369" t="s">
        <v>8603</v>
      </c>
      <c r="R171" s="364" t="s">
        <v>7949</v>
      </c>
      <c r="S171" s="340">
        <v>1</v>
      </c>
    </row>
    <row r="172" spans="1:19" ht="46.5" x14ac:dyDescent="0.35">
      <c r="A172" s="349">
        <v>161</v>
      </c>
      <c r="B172" s="364" t="s">
        <v>10092</v>
      </c>
      <c r="C172" s="365" t="s">
        <v>10093</v>
      </c>
      <c r="D172" s="366" t="s">
        <v>51</v>
      </c>
      <c r="E172" s="366" t="s">
        <v>10082</v>
      </c>
      <c r="F172" s="366" t="s">
        <v>10078</v>
      </c>
      <c r="G172" s="366" t="s">
        <v>10078</v>
      </c>
      <c r="H172" s="366">
        <v>0</v>
      </c>
      <c r="I172" s="364"/>
      <c r="J172" s="367"/>
      <c r="K172" s="364"/>
      <c r="L172" s="358"/>
      <c r="M172" s="366" t="s">
        <v>10084</v>
      </c>
      <c r="N172" s="358"/>
      <c r="O172" s="366" t="s">
        <v>57</v>
      </c>
      <c r="P172" s="368">
        <v>189642934.59999999</v>
      </c>
      <c r="Q172" s="369" t="s">
        <v>10259</v>
      </c>
      <c r="R172" s="364" t="s">
        <v>7949</v>
      </c>
      <c r="S172" s="340">
        <v>1</v>
      </c>
    </row>
    <row r="173" spans="1:19" ht="31.5" thickBot="1" x14ac:dyDescent="0.4">
      <c r="A173" s="357">
        <v>162</v>
      </c>
      <c r="B173" s="364" t="s">
        <v>10085</v>
      </c>
      <c r="C173" s="365" t="s">
        <v>10086</v>
      </c>
      <c r="D173" s="366" t="s">
        <v>51</v>
      </c>
      <c r="E173" s="366" t="s">
        <v>10082</v>
      </c>
      <c r="F173" s="366" t="s">
        <v>10078</v>
      </c>
      <c r="G173" s="366" t="s">
        <v>10078</v>
      </c>
      <c r="H173" s="366">
        <v>36</v>
      </c>
      <c r="I173" s="364" t="s">
        <v>10258</v>
      </c>
      <c r="J173" s="361"/>
      <c r="K173" s="358"/>
      <c r="L173" s="358"/>
      <c r="M173" s="366" t="s">
        <v>10084</v>
      </c>
      <c r="N173" s="358"/>
      <c r="O173" s="366" t="s">
        <v>57</v>
      </c>
      <c r="P173" s="368">
        <v>263203000</v>
      </c>
      <c r="Q173" s="369"/>
      <c r="R173" s="364" t="s">
        <v>7949</v>
      </c>
      <c r="S173" s="340">
        <v>1</v>
      </c>
    </row>
    <row r="174" spans="1:19" ht="31" x14ac:dyDescent="0.35">
      <c r="A174" s="349">
        <v>163</v>
      </c>
      <c r="B174" s="364" t="s">
        <v>10085</v>
      </c>
      <c r="C174" s="365" t="s">
        <v>10086</v>
      </c>
      <c r="D174" s="366" t="s">
        <v>59</v>
      </c>
      <c r="E174" s="366" t="s">
        <v>10082</v>
      </c>
      <c r="F174" s="366" t="s">
        <v>10078</v>
      </c>
      <c r="G174" s="366" t="s">
        <v>10078</v>
      </c>
      <c r="H174" s="366">
        <v>36</v>
      </c>
      <c r="I174" s="364" t="s">
        <v>10258</v>
      </c>
      <c r="J174" s="361"/>
      <c r="K174" s="358"/>
      <c r="L174" s="358"/>
      <c r="M174" s="366" t="s">
        <v>10084</v>
      </c>
      <c r="N174" s="358"/>
      <c r="O174" s="366" t="s">
        <v>57</v>
      </c>
      <c r="P174" s="368">
        <v>178415500</v>
      </c>
      <c r="Q174" s="369"/>
      <c r="R174" s="364" t="s">
        <v>7949</v>
      </c>
      <c r="S174" s="340">
        <v>1</v>
      </c>
    </row>
    <row r="175" spans="1:19" ht="31.5" thickBot="1" x14ac:dyDescent="0.4">
      <c r="A175" s="357">
        <v>164</v>
      </c>
      <c r="B175" s="364" t="s">
        <v>10085</v>
      </c>
      <c r="C175" s="365" t="s">
        <v>10086</v>
      </c>
      <c r="D175" s="366" t="s">
        <v>97</v>
      </c>
      <c r="E175" s="366" t="s">
        <v>10082</v>
      </c>
      <c r="F175" s="366" t="s">
        <v>10078</v>
      </c>
      <c r="G175" s="366" t="s">
        <v>10078</v>
      </c>
      <c r="H175" s="366">
        <v>54</v>
      </c>
      <c r="I175" s="364" t="s">
        <v>10258</v>
      </c>
      <c r="J175" s="361"/>
      <c r="K175" s="358"/>
      <c r="L175" s="358"/>
      <c r="M175" s="366" t="s">
        <v>10084</v>
      </c>
      <c r="N175" s="358"/>
      <c r="O175" s="366" t="s">
        <v>57</v>
      </c>
      <c r="P175" s="368">
        <v>95554000</v>
      </c>
      <c r="Q175" s="369"/>
      <c r="R175" s="364" t="s">
        <v>7949</v>
      </c>
      <c r="S175" s="340">
        <v>1</v>
      </c>
    </row>
    <row r="176" spans="1:19" ht="62" x14ac:dyDescent="0.35">
      <c r="A176" s="349">
        <v>165</v>
      </c>
      <c r="B176" s="364" t="s">
        <v>10146</v>
      </c>
      <c r="C176" s="365" t="s">
        <v>10147</v>
      </c>
      <c r="D176" s="366" t="s">
        <v>51</v>
      </c>
      <c r="E176" s="366" t="s">
        <v>10082</v>
      </c>
      <c r="F176" s="366" t="s">
        <v>10078</v>
      </c>
      <c r="G176" s="366" t="s">
        <v>10078</v>
      </c>
      <c r="H176" s="366">
        <v>49</v>
      </c>
      <c r="I176" s="364" t="s">
        <v>10260</v>
      </c>
      <c r="J176" s="361">
        <v>43966</v>
      </c>
      <c r="K176" s="358" t="s">
        <v>10261</v>
      </c>
      <c r="L176" s="358"/>
      <c r="M176" s="366" t="s">
        <v>10084</v>
      </c>
      <c r="N176" s="358"/>
      <c r="O176" s="366" t="s">
        <v>57</v>
      </c>
      <c r="P176" s="368">
        <v>160042000</v>
      </c>
      <c r="Q176" s="369" t="s">
        <v>10262</v>
      </c>
      <c r="R176" s="364" t="s">
        <v>7949</v>
      </c>
      <c r="S176" s="340">
        <v>1</v>
      </c>
    </row>
    <row r="177" spans="1:19" ht="31.5" thickBot="1" x14ac:dyDescent="0.4">
      <c r="A177" s="357">
        <v>166</v>
      </c>
      <c r="B177" s="364" t="s">
        <v>10080</v>
      </c>
      <c r="C177" s="365" t="s">
        <v>10081</v>
      </c>
      <c r="D177" s="366" t="s">
        <v>51</v>
      </c>
      <c r="E177" s="366" t="s">
        <v>10082</v>
      </c>
      <c r="F177" s="366" t="s">
        <v>10078</v>
      </c>
      <c r="G177" s="366" t="s">
        <v>10078</v>
      </c>
      <c r="H177" s="366">
        <v>306</v>
      </c>
      <c r="I177" s="364" t="s">
        <v>10263</v>
      </c>
      <c r="J177" s="361"/>
      <c r="K177" s="358"/>
      <c r="L177" s="358"/>
      <c r="M177" s="366" t="s">
        <v>10084</v>
      </c>
      <c r="N177" s="358"/>
      <c r="O177" s="366" t="s">
        <v>422</v>
      </c>
      <c r="P177" s="368">
        <v>70000000</v>
      </c>
      <c r="Q177" s="369" t="s">
        <v>8603</v>
      </c>
      <c r="R177" s="364" t="s">
        <v>7951</v>
      </c>
      <c r="S177" s="340">
        <v>1</v>
      </c>
    </row>
    <row r="178" spans="1:19" ht="31" x14ac:dyDescent="0.35">
      <c r="A178" s="349">
        <v>167</v>
      </c>
      <c r="B178" s="364" t="s">
        <v>10080</v>
      </c>
      <c r="C178" s="365" t="s">
        <v>10081</v>
      </c>
      <c r="D178" s="366" t="s">
        <v>59</v>
      </c>
      <c r="E178" s="366" t="s">
        <v>10082</v>
      </c>
      <c r="F178" s="366" t="s">
        <v>10078</v>
      </c>
      <c r="G178" s="366" t="s">
        <v>10078</v>
      </c>
      <c r="H178" s="366">
        <v>345</v>
      </c>
      <c r="I178" s="364" t="s">
        <v>10263</v>
      </c>
      <c r="J178" s="361"/>
      <c r="K178" s="358"/>
      <c r="L178" s="358"/>
      <c r="M178" s="366" t="s">
        <v>10084</v>
      </c>
      <c r="N178" s="358"/>
      <c r="O178" s="366" t="s">
        <v>57</v>
      </c>
      <c r="P178" s="368">
        <v>762087000</v>
      </c>
      <c r="Q178" s="369"/>
      <c r="R178" s="364" t="s">
        <v>7951</v>
      </c>
      <c r="S178" s="340">
        <v>1</v>
      </c>
    </row>
    <row r="179" spans="1:19" ht="47" thickBot="1" x14ac:dyDescent="0.4">
      <c r="A179" s="357">
        <v>168</v>
      </c>
      <c r="B179" s="364" t="s">
        <v>10110</v>
      </c>
      <c r="C179" s="365" t="s">
        <v>10111</v>
      </c>
      <c r="D179" s="366" t="s">
        <v>51</v>
      </c>
      <c r="E179" s="366" t="s">
        <v>10082</v>
      </c>
      <c r="F179" s="366" t="s">
        <v>10078</v>
      </c>
      <c r="G179" s="366" t="s">
        <v>10078</v>
      </c>
      <c r="H179" s="366">
        <v>24</v>
      </c>
      <c r="I179" s="364" t="s">
        <v>10264</v>
      </c>
      <c r="J179" s="361">
        <v>43966</v>
      </c>
      <c r="K179" s="364" t="s">
        <v>10265</v>
      </c>
      <c r="L179" s="358"/>
      <c r="M179" s="366" t="s">
        <v>10084</v>
      </c>
      <c r="N179" s="358"/>
      <c r="O179" s="366" t="s">
        <v>57</v>
      </c>
      <c r="P179" s="368">
        <v>76404000</v>
      </c>
      <c r="Q179" s="369" t="s">
        <v>10266</v>
      </c>
      <c r="R179" s="364" t="s">
        <v>7951</v>
      </c>
      <c r="S179" s="340">
        <v>1</v>
      </c>
    </row>
    <row r="180" spans="1:19" ht="31" x14ac:dyDescent="0.35">
      <c r="A180" s="349">
        <v>169</v>
      </c>
      <c r="B180" s="364" t="s">
        <v>10267</v>
      </c>
      <c r="C180" s="365" t="s">
        <v>10268</v>
      </c>
      <c r="D180" s="366" t="s">
        <v>51</v>
      </c>
      <c r="E180" s="366" t="s">
        <v>10082</v>
      </c>
      <c r="F180" s="366" t="s">
        <v>10078</v>
      </c>
      <c r="G180" s="366" t="s">
        <v>10078</v>
      </c>
      <c r="H180" s="366">
        <v>61</v>
      </c>
      <c r="I180" s="364" t="s">
        <v>10263</v>
      </c>
      <c r="J180" s="367"/>
      <c r="K180" s="364"/>
      <c r="L180" s="358"/>
      <c r="M180" s="366" t="s">
        <v>10084</v>
      </c>
      <c r="N180" s="358"/>
      <c r="O180" s="366" t="s">
        <v>57</v>
      </c>
      <c r="P180" s="368">
        <v>125016500</v>
      </c>
      <c r="Q180" s="369"/>
      <c r="R180" s="364" t="s">
        <v>7951</v>
      </c>
      <c r="S180" s="340">
        <v>1</v>
      </c>
    </row>
    <row r="181" spans="1:19" ht="47" thickBot="1" x14ac:dyDescent="0.4">
      <c r="A181" s="357">
        <v>170</v>
      </c>
      <c r="B181" s="364" t="s">
        <v>10146</v>
      </c>
      <c r="C181" s="365" t="s">
        <v>10147</v>
      </c>
      <c r="D181" s="366" t="s">
        <v>51</v>
      </c>
      <c r="E181" s="366" t="s">
        <v>10082</v>
      </c>
      <c r="F181" s="366" t="s">
        <v>10078</v>
      </c>
      <c r="G181" s="366" t="s">
        <v>10078</v>
      </c>
      <c r="H181" s="366">
        <v>56</v>
      </c>
      <c r="I181" s="364" t="s">
        <v>10269</v>
      </c>
      <c r="J181" s="367">
        <v>43966</v>
      </c>
      <c r="K181" s="364" t="s">
        <v>10270</v>
      </c>
      <c r="L181" s="358"/>
      <c r="M181" s="366" t="s">
        <v>10084</v>
      </c>
      <c r="N181" s="358"/>
      <c r="O181" s="366" t="s">
        <v>57</v>
      </c>
      <c r="P181" s="368">
        <v>195937000</v>
      </c>
      <c r="Q181" s="369" t="s">
        <v>10271</v>
      </c>
      <c r="R181" s="364" t="s">
        <v>7951</v>
      </c>
      <c r="S181" s="340">
        <v>1</v>
      </c>
    </row>
    <row r="182" spans="1:19" ht="31" x14ac:dyDescent="0.35">
      <c r="A182" s="349">
        <v>171</v>
      </c>
      <c r="B182" s="364" t="s">
        <v>10096</v>
      </c>
      <c r="C182" s="365" t="s">
        <v>10097</v>
      </c>
      <c r="D182" s="366" t="s">
        <v>51</v>
      </c>
      <c r="E182" s="366" t="s">
        <v>10082</v>
      </c>
      <c r="F182" s="366" t="s">
        <v>10078</v>
      </c>
      <c r="G182" s="366" t="s">
        <v>10088</v>
      </c>
      <c r="H182" s="366" t="s">
        <v>10272</v>
      </c>
      <c r="I182" s="364" t="s">
        <v>10273</v>
      </c>
      <c r="J182" s="361"/>
      <c r="K182" s="358" t="s">
        <v>10274</v>
      </c>
      <c r="L182" s="358"/>
      <c r="M182" s="366"/>
      <c r="N182" s="358"/>
      <c r="O182" s="366" t="s">
        <v>44</v>
      </c>
      <c r="P182" s="368">
        <v>220627645</v>
      </c>
      <c r="Q182" s="369" t="s">
        <v>10275</v>
      </c>
      <c r="R182" s="364" t="s">
        <v>7951</v>
      </c>
      <c r="S182" s="340">
        <v>1</v>
      </c>
    </row>
    <row r="183" spans="1:19" ht="31.5" thickBot="1" x14ac:dyDescent="0.4">
      <c r="A183" s="357">
        <v>172</v>
      </c>
      <c r="B183" s="364" t="s">
        <v>10080</v>
      </c>
      <c r="C183" s="365" t="s">
        <v>10081</v>
      </c>
      <c r="D183" s="366" t="s">
        <v>51</v>
      </c>
      <c r="E183" s="366" t="s">
        <v>10082</v>
      </c>
      <c r="F183" s="366" t="s">
        <v>10078</v>
      </c>
      <c r="G183" s="366" t="s">
        <v>10078</v>
      </c>
      <c r="H183" s="366">
        <v>120</v>
      </c>
      <c r="I183" s="364" t="s">
        <v>10276</v>
      </c>
      <c r="J183" s="367"/>
      <c r="K183" s="364"/>
      <c r="L183" s="358"/>
      <c r="M183" s="366" t="s">
        <v>10084</v>
      </c>
      <c r="N183" s="358"/>
      <c r="O183" s="366" t="s">
        <v>422</v>
      </c>
      <c r="P183" s="368">
        <v>120000000</v>
      </c>
      <c r="Q183" s="369" t="s">
        <v>8603</v>
      </c>
      <c r="R183" s="364" t="s">
        <v>7953</v>
      </c>
      <c r="S183" s="340">
        <v>1</v>
      </c>
    </row>
    <row r="184" spans="1:19" ht="31" x14ac:dyDescent="0.35">
      <c r="A184" s="349">
        <v>173</v>
      </c>
      <c r="B184" s="364" t="s">
        <v>10080</v>
      </c>
      <c r="C184" s="365" t="s">
        <v>10081</v>
      </c>
      <c r="D184" s="366" t="s">
        <v>59</v>
      </c>
      <c r="E184" s="366" t="s">
        <v>10082</v>
      </c>
      <c r="F184" s="366" t="s">
        <v>10078</v>
      </c>
      <c r="G184" s="366" t="s">
        <v>10078</v>
      </c>
      <c r="H184" s="366">
        <v>162</v>
      </c>
      <c r="I184" s="364" t="s">
        <v>10276</v>
      </c>
      <c r="J184" s="367"/>
      <c r="K184" s="364"/>
      <c r="L184" s="358"/>
      <c r="M184" s="366" t="s">
        <v>10084</v>
      </c>
      <c r="N184" s="358"/>
      <c r="O184" s="366" t="s">
        <v>57</v>
      </c>
      <c r="P184" s="368">
        <v>559672000</v>
      </c>
      <c r="Q184" s="369"/>
      <c r="R184" s="364" t="s">
        <v>7953</v>
      </c>
      <c r="S184" s="340">
        <v>1</v>
      </c>
    </row>
    <row r="185" spans="1:19" ht="31.5" thickBot="1" x14ac:dyDescent="0.4">
      <c r="A185" s="357">
        <v>174</v>
      </c>
      <c r="B185" s="364" t="s">
        <v>10080</v>
      </c>
      <c r="C185" s="365" t="s">
        <v>10081</v>
      </c>
      <c r="D185" s="366" t="s">
        <v>97</v>
      </c>
      <c r="E185" s="366" t="s">
        <v>10082</v>
      </c>
      <c r="F185" s="366" t="s">
        <v>10078</v>
      </c>
      <c r="G185" s="366" t="s">
        <v>10078</v>
      </c>
      <c r="H185" s="366">
        <v>108</v>
      </c>
      <c r="I185" s="364" t="s">
        <v>10276</v>
      </c>
      <c r="J185" s="367"/>
      <c r="K185" s="364"/>
      <c r="L185" s="358"/>
      <c r="M185" s="366" t="s">
        <v>10084</v>
      </c>
      <c r="N185" s="358"/>
      <c r="O185" s="366" t="s">
        <v>57</v>
      </c>
      <c r="P185" s="368">
        <v>361057900</v>
      </c>
      <c r="Q185" s="369"/>
      <c r="R185" s="364" t="s">
        <v>7953</v>
      </c>
      <c r="S185" s="340">
        <v>1</v>
      </c>
    </row>
    <row r="186" spans="1:19" ht="31" x14ac:dyDescent="0.35">
      <c r="A186" s="349">
        <v>175</v>
      </c>
      <c r="B186" s="364" t="s">
        <v>10080</v>
      </c>
      <c r="C186" s="365" t="s">
        <v>10081</v>
      </c>
      <c r="D186" s="366" t="s">
        <v>101</v>
      </c>
      <c r="E186" s="366" t="s">
        <v>10082</v>
      </c>
      <c r="F186" s="366" t="s">
        <v>10078</v>
      </c>
      <c r="G186" s="366" t="s">
        <v>10078</v>
      </c>
      <c r="H186" s="366">
        <v>108</v>
      </c>
      <c r="I186" s="358" t="s">
        <v>10276</v>
      </c>
      <c r="J186" s="361"/>
      <c r="K186" s="358"/>
      <c r="L186" s="358"/>
      <c r="M186" s="366" t="s">
        <v>10084</v>
      </c>
      <c r="N186" s="358"/>
      <c r="O186" s="366" t="s">
        <v>57</v>
      </c>
      <c r="P186" s="368">
        <v>197913000</v>
      </c>
      <c r="Q186" s="369"/>
      <c r="R186" s="364" t="s">
        <v>7953</v>
      </c>
      <c r="S186" s="340">
        <v>1</v>
      </c>
    </row>
    <row r="187" spans="1:19" ht="31.5" thickBot="1" x14ac:dyDescent="0.4">
      <c r="A187" s="357">
        <v>176</v>
      </c>
      <c r="B187" s="364" t="s">
        <v>10110</v>
      </c>
      <c r="C187" s="365" t="s">
        <v>10111</v>
      </c>
      <c r="D187" s="366" t="s">
        <v>51</v>
      </c>
      <c r="E187" s="366" t="s">
        <v>10082</v>
      </c>
      <c r="F187" s="366" t="s">
        <v>10078</v>
      </c>
      <c r="G187" s="366" t="s">
        <v>10078</v>
      </c>
      <c r="H187" s="366">
        <v>8</v>
      </c>
      <c r="I187" s="364" t="s">
        <v>10276</v>
      </c>
      <c r="J187" s="361"/>
      <c r="K187" s="358"/>
      <c r="L187" s="358"/>
      <c r="M187" s="366" t="s">
        <v>10084</v>
      </c>
      <c r="N187" s="358"/>
      <c r="O187" s="366" t="s">
        <v>57</v>
      </c>
      <c r="P187" s="368">
        <v>12626000</v>
      </c>
      <c r="Q187" s="369"/>
      <c r="R187" s="364" t="s">
        <v>7953</v>
      </c>
      <c r="S187" s="340">
        <v>1</v>
      </c>
    </row>
    <row r="188" spans="1:19" ht="46.5" x14ac:dyDescent="0.35">
      <c r="A188" s="349">
        <v>177</v>
      </c>
      <c r="B188" s="364" t="s">
        <v>10085</v>
      </c>
      <c r="C188" s="365" t="s">
        <v>10086</v>
      </c>
      <c r="D188" s="366" t="s">
        <v>51</v>
      </c>
      <c r="E188" s="366" t="s">
        <v>10082</v>
      </c>
      <c r="F188" s="366" t="s">
        <v>10078</v>
      </c>
      <c r="G188" s="366" t="s">
        <v>10078</v>
      </c>
      <c r="H188" s="366">
        <v>70</v>
      </c>
      <c r="I188" s="364" t="s">
        <v>10277</v>
      </c>
      <c r="J188" s="367">
        <v>41528</v>
      </c>
      <c r="K188" s="364" t="s">
        <v>10278</v>
      </c>
      <c r="L188" s="358"/>
      <c r="M188" s="366" t="s">
        <v>10084</v>
      </c>
      <c r="N188" s="358"/>
      <c r="O188" s="366" t="s">
        <v>57</v>
      </c>
      <c r="P188" s="368">
        <v>136393000</v>
      </c>
      <c r="Q188" s="369" t="s">
        <v>10279</v>
      </c>
      <c r="R188" s="364" t="s">
        <v>7953</v>
      </c>
      <c r="S188" s="340">
        <v>1</v>
      </c>
    </row>
    <row r="189" spans="1:19" ht="31.5" thickBot="1" x14ac:dyDescent="0.4">
      <c r="A189" s="357">
        <v>178</v>
      </c>
      <c r="B189" s="364" t="s">
        <v>10085</v>
      </c>
      <c r="C189" s="365" t="s">
        <v>10086</v>
      </c>
      <c r="D189" s="366" t="s">
        <v>59</v>
      </c>
      <c r="E189" s="366" t="s">
        <v>10082</v>
      </c>
      <c r="F189" s="366" t="s">
        <v>10078</v>
      </c>
      <c r="G189" s="366" t="s">
        <v>10088</v>
      </c>
      <c r="H189" s="366">
        <v>64</v>
      </c>
      <c r="I189" s="364" t="s">
        <v>10276</v>
      </c>
      <c r="J189" s="367"/>
      <c r="K189" s="364"/>
      <c r="L189" s="358"/>
      <c r="M189" s="366" t="s">
        <v>10084</v>
      </c>
      <c r="N189" s="358"/>
      <c r="O189" s="366" t="s">
        <v>57</v>
      </c>
      <c r="P189" s="368">
        <v>99630000</v>
      </c>
      <c r="Q189" s="369"/>
      <c r="R189" s="364" t="s">
        <v>7953</v>
      </c>
      <c r="S189" s="340">
        <v>1</v>
      </c>
    </row>
    <row r="190" spans="1:19" ht="31" x14ac:dyDescent="0.35">
      <c r="A190" s="349">
        <v>179</v>
      </c>
      <c r="B190" s="364" t="s">
        <v>10146</v>
      </c>
      <c r="C190" s="365" t="s">
        <v>10147</v>
      </c>
      <c r="D190" s="366" t="s">
        <v>51</v>
      </c>
      <c r="E190" s="366" t="s">
        <v>10082</v>
      </c>
      <c r="F190" s="366" t="s">
        <v>10078</v>
      </c>
      <c r="G190" s="366" t="s">
        <v>10078</v>
      </c>
      <c r="H190" s="366">
        <v>48</v>
      </c>
      <c r="I190" s="364" t="s">
        <v>10280</v>
      </c>
      <c r="J190" s="367">
        <v>43676</v>
      </c>
      <c r="K190" s="364" t="s">
        <v>10281</v>
      </c>
      <c r="L190" s="358"/>
      <c r="M190" s="366" t="s">
        <v>10084</v>
      </c>
      <c r="N190" s="358"/>
      <c r="O190" s="366" t="s">
        <v>57</v>
      </c>
      <c r="P190" s="368">
        <v>221418000</v>
      </c>
      <c r="Q190" s="369" t="s">
        <v>10282</v>
      </c>
      <c r="R190" s="364" t="s">
        <v>7953</v>
      </c>
      <c r="S190" s="340">
        <v>1</v>
      </c>
    </row>
    <row r="191" spans="1:19" ht="31.5" thickBot="1" x14ac:dyDescent="0.4">
      <c r="A191" s="357">
        <v>180</v>
      </c>
      <c r="B191" s="364" t="s">
        <v>10096</v>
      </c>
      <c r="C191" s="365" t="s">
        <v>10097</v>
      </c>
      <c r="D191" s="366" t="s">
        <v>59</v>
      </c>
      <c r="E191" s="366" t="s">
        <v>10082</v>
      </c>
      <c r="F191" s="366" t="s">
        <v>10078</v>
      </c>
      <c r="G191" s="366" t="s">
        <v>10088</v>
      </c>
      <c r="H191" s="366">
        <v>62</v>
      </c>
      <c r="I191" s="364" t="s">
        <v>10283</v>
      </c>
      <c r="J191" s="367"/>
      <c r="K191" s="364" t="s">
        <v>10284</v>
      </c>
      <c r="L191" s="358"/>
      <c r="M191" s="366"/>
      <c r="N191" s="358"/>
      <c r="O191" s="366" t="s">
        <v>44</v>
      </c>
      <c r="P191" s="368">
        <v>166039200</v>
      </c>
      <c r="Q191" s="369" t="s">
        <v>10285</v>
      </c>
      <c r="R191" s="364" t="s">
        <v>7953</v>
      </c>
      <c r="S191" s="340">
        <v>1</v>
      </c>
    </row>
    <row r="192" spans="1:19" ht="31" x14ac:dyDescent="0.35">
      <c r="A192" s="349">
        <v>181</v>
      </c>
      <c r="B192" s="364" t="s">
        <v>10080</v>
      </c>
      <c r="C192" s="365" t="s">
        <v>10081</v>
      </c>
      <c r="D192" s="366" t="s">
        <v>51</v>
      </c>
      <c r="E192" s="366" t="s">
        <v>10082</v>
      </c>
      <c r="F192" s="366" t="s">
        <v>10078</v>
      </c>
      <c r="G192" s="366" t="s">
        <v>10078</v>
      </c>
      <c r="H192" s="366">
        <v>216</v>
      </c>
      <c r="I192" s="364" t="s">
        <v>10286</v>
      </c>
      <c r="J192" s="367"/>
      <c r="K192" s="364"/>
      <c r="L192" s="358"/>
      <c r="M192" s="366" t="s">
        <v>10084</v>
      </c>
      <c r="N192" s="358"/>
      <c r="O192" s="366" t="s">
        <v>57</v>
      </c>
      <c r="P192" s="368">
        <v>358235000</v>
      </c>
      <c r="Q192" s="369"/>
      <c r="R192" s="364" t="s">
        <v>7955</v>
      </c>
      <c r="S192" s="340">
        <v>1</v>
      </c>
    </row>
    <row r="193" spans="1:19" ht="31.5" thickBot="1" x14ac:dyDescent="0.4">
      <c r="A193" s="357">
        <v>182</v>
      </c>
      <c r="B193" s="364" t="s">
        <v>10080</v>
      </c>
      <c r="C193" s="365" t="s">
        <v>10081</v>
      </c>
      <c r="D193" s="366" t="s">
        <v>59</v>
      </c>
      <c r="E193" s="366" t="s">
        <v>10082</v>
      </c>
      <c r="F193" s="366" t="s">
        <v>10078</v>
      </c>
      <c r="G193" s="366" t="s">
        <v>10078</v>
      </c>
      <c r="H193" s="366">
        <v>120</v>
      </c>
      <c r="I193" s="364" t="s">
        <v>10286</v>
      </c>
      <c r="J193" s="367"/>
      <c r="K193" s="364"/>
      <c r="L193" s="358"/>
      <c r="M193" s="366" t="s">
        <v>10084</v>
      </c>
      <c r="N193" s="358"/>
      <c r="O193" s="366" t="s">
        <v>422</v>
      </c>
      <c r="P193" s="368">
        <v>80000000</v>
      </c>
      <c r="Q193" s="369" t="s">
        <v>8603</v>
      </c>
      <c r="R193" s="364" t="s">
        <v>7955</v>
      </c>
      <c r="S193" s="340">
        <v>1</v>
      </c>
    </row>
    <row r="194" spans="1:19" ht="31" x14ac:dyDescent="0.35">
      <c r="A194" s="349">
        <v>183</v>
      </c>
      <c r="B194" s="364" t="s">
        <v>10080</v>
      </c>
      <c r="C194" s="365" t="s">
        <v>10081</v>
      </c>
      <c r="D194" s="366" t="s">
        <v>97</v>
      </c>
      <c r="E194" s="366" t="s">
        <v>10082</v>
      </c>
      <c r="F194" s="366" t="s">
        <v>10078</v>
      </c>
      <c r="G194" s="366" t="s">
        <v>10078</v>
      </c>
      <c r="H194" s="366">
        <v>90</v>
      </c>
      <c r="I194" s="364" t="s">
        <v>10286</v>
      </c>
      <c r="J194" s="367"/>
      <c r="K194" s="364"/>
      <c r="L194" s="358"/>
      <c r="M194" s="366" t="s">
        <v>10084</v>
      </c>
      <c r="N194" s="358"/>
      <c r="O194" s="366" t="s">
        <v>57</v>
      </c>
      <c r="P194" s="368">
        <v>412045500</v>
      </c>
      <c r="Q194" s="369"/>
      <c r="R194" s="364" t="s">
        <v>7955</v>
      </c>
      <c r="S194" s="340">
        <v>1</v>
      </c>
    </row>
    <row r="195" spans="1:19" ht="47" thickBot="1" x14ac:dyDescent="0.4">
      <c r="A195" s="357">
        <v>184</v>
      </c>
      <c r="B195" s="364" t="s">
        <v>10110</v>
      </c>
      <c r="C195" s="365" t="s">
        <v>10111</v>
      </c>
      <c r="D195" s="366" t="s">
        <v>51</v>
      </c>
      <c r="E195" s="366" t="s">
        <v>10082</v>
      </c>
      <c r="F195" s="366" t="s">
        <v>10078</v>
      </c>
      <c r="G195" s="366" t="s">
        <v>10078</v>
      </c>
      <c r="H195" s="366">
        <v>24</v>
      </c>
      <c r="I195" s="364" t="s">
        <v>10287</v>
      </c>
      <c r="J195" s="367">
        <v>43966</v>
      </c>
      <c r="K195" s="364" t="s">
        <v>10288</v>
      </c>
      <c r="L195" s="358"/>
      <c r="M195" s="366" t="s">
        <v>10084</v>
      </c>
      <c r="N195" s="358"/>
      <c r="O195" s="366" t="s">
        <v>57</v>
      </c>
      <c r="P195" s="368">
        <v>76300000</v>
      </c>
      <c r="Q195" s="369" t="s">
        <v>10289</v>
      </c>
      <c r="R195" s="364" t="s">
        <v>7955</v>
      </c>
      <c r="S195" s="340">
        <v>1</v>
      </c>
    </row>
    <row r="196" spans="1:19" ht="31" x14ac:dyDescent="0.35">
      <c r="A196" s="349">
        <v>185</v>
      </c>
      <c r="B196" s="364" t="s">
        <v>10110</v>
      </c>
      <c r="C196" s="365" t="s">
        <v>10111</v>
      </c>
      <c r="D196" s="366" t="s">
        <v>59</v>
      </c>
      <c r="E196" s="366" t="s">
        <v>10082</v>
      </c>
      <c r="F196" s="366" t="s">
        <v>10078</v>
      </c>
      <c r="G196" s="366" t="s">
        <v>10078</v>
      </c>
      <c r="H196" s="366">
        <v>14</v>
      </c>
      <c r="I196" s="364" t="s">
        <v>10286</v>
      </c>
      <c r="J196" s="361">
        <v>42391</v>
      </c>
      <c r="K196" s="358" t="s">
        <v>10290</v>
      </c>
      <c r="L196" s="358"/>
      <c r="M196" s="366" t="s">
        <v>10084</v>
      </c>
      <c r="N196" s="358"/>
      <c r="O196" s="366" t="s">
        <v>57</v>
      </c>
      <c r="P196" s="368">
        <v>82695000</v>
      </c>
      <c r="Q196" s="369" t="s">
        <v>10291</v>
      </c>
      <c r="R196" s="364" t="s">
        <v>7955</v>
      </c>
      <c r="S196" s="340">
        <v>1</v>
      </c>
    </row>
    <row r="197" spans="1:19" ht="31.5" thickBot="1" x14ac:dyDescent="0.4">
      <c r="A197" s="357">
        <v>186</v>
      </c>
      <c r="B197" s="364" t="s">
        <v>10085</v>
      </c>
      <c r="C197" s="365" t="s">
        <v>10086</v>
      </c>
      <c r="D197" s="366" t="s">
        <v>51</v>
      </c>
      <c r="E197" s="366" t="s">
        <v>10082</v>
      </c>
      <c r="F197" s="366" t="s">
        <v>10078</v>
      </c>
      <c r="G197" s="366" t="s">
        <v>10078</v>
      </c>
      <c r="H197" s="366">
        <v>36</v>
      </c>
      <c r="I197" s="364" t="s">
        <v>10286</v>
      </c>
      <c r="J197" s="361">
        <v>40178</v>
      </c>
      <c r="K197" s="358"/>
      <c r="L197" s="358"/>
      <c r="M197" s="366" t="s">
        <v>10084</v>
      </c>
      <c r="N197" s="358"/>
      <c r="O197" s="366" t="s">
        <v>57</v>
      </c>
      <c r="P197" s="368">
        <v>331325000</v>
      </c>
      <c r="Q197" s="369"/>
      <c r="R197" s="364" t="s">
        <v>7955</v>
      </c>
      <c r="S197" s="340">
        <v>1</v>
      </c>
    </row>
    <row r="198" spans="1:19" ht="31" x14ac:dyDescent="0.35">
      <c r="A198" s="349">
        <v>187</v>
      </c>
      <c r="B198" s="364" t="s">
        <v>10146</v>
      </c>
      <c r="C198" s="365" t="s">
        <v>10147</v>
      </c>
      <c r="D198" s="366" t="s">
        <v>51</v>
      </c>
      <c r="E198" s="366" t="s">
        <v>10082</v>
      </c>
      <c r="F198" s="366" t="s">
        <v>10078</v>
      </c>
      <c r="G198" s="366" t="s">
        <v>10078</v>
      </c>
      <c r="H198" s="366">
        <v>63</v>
      </c>
      <c r="I198" s="364" t="s">
        <v>10292</v>
      </c>
      <c r="J198" s="367">
        <v>43690</v>
      </c>
      <c r="K198" s="364" t="s">
        <v>10293</v>
      </c>
      <c r="L198" s="358"/>
      <c r="M198" s="366" t="s">
        <v>10084</v>
      </c>
      <c r="N198" s="358"/>
      <c r="O198" s="366" t="s">
        <v>57</v>
      </c>
      <c r="P198" s="368">
        <v>221657500</v>
      </c>
      <c r="Q198" s="369" t="s">
        <v>10294</v>
      </c>
      <c r="R198" s="364" t="s">
        <v>7955</v>
      </c>
      <c r="S198" s="340">
        <v>1</v>
      </c>
    </row>
    <row r="199" spans="1:19" ht="47" thickBot="1" x14ac:dyDescent="0.4">
      <c r="A199" s="357">
        <v>188</v>
      </c>
      <c r="B199" s="364" t="s">
        <v>10080</v>
      </c>
      <c r="C199" s="365" t="s">
        <v>10081</v>
      </c>
      <c r="D199" s="366" t="s">
        <v>51</v>
      </c>
      <c r="E199" s="366" t="s">
        <v>10082</v>
      </c>
      <c r="F199" s="366" t="s">
        <v>10078</v>
      </c>
      <c r="G199" s="366" t="s">
        <v>10078</v>
      </c>
      <c r="H199" s="366">
        <v>90</v>
      </c>
      <c r="I199" s="364" t="s">
        <v>10295</v>
      </c>
      <c r="J199" s="367"/>
      <c r="K199" s="364"/>
      <c r="L199" s="358"/>
      <c r="M199" s="366" t="s">
        <v>10084</v>
      </c>
      <c r="N199" s="358"/>
      <c r="O199" s="366" t="s">
        <v>57</v>
      </c>
      <c r="P199" s="368">
        <v>363344000</v>
      </c>
      <c r="Q199" s="369"/>
      <c r="R199" s="364" t="s">
        <v>7957</v>
      </c>
      <c r="S199" s="340">
        <v>1</v>
      </c>
    </row>
    <row r="200" spans="1:19" ht="46.5" x14ac:dyDescent="0.35">
      <c r="A200" s="349">
        <v>189</v>
      </c>
      <c r="B200" s="364" t="s">
        <v>10080</v>
      </c>
      <c r="C200" s="365" t="s">
        <v>10081</v>
      </c>
      <c r="D200" s="366" t="s">
        <v>59</v>
      </c>
      <c r="E200" s="366" t="s">
        <v>10082</v>
      </c>
      <c r="F200" s="366" t="s">
        <v>10078</v>
      </c>
      <c r="G200" s="366" t="s">
        <v>10078</v>
      </c>
      <c r="H200" s="366">
        <v>126</v>
      </c>
      <c r="I200" s="364" t="s">
        <v>10295</v>
      </c>
      <c r="J200" s="361"/>
      <c r="K200" s="364"/>
      <c r="L200" s="358"/>
      <c r="M200" s="366" t="s">
        <v>10084</v>
      </c>
      <c r="N200" s="358"/>
      <c r="O200" s="366" t="s">
        <v>57</v>
      </c>
      <c r="P200" s="368">
        <v>514908000</v>
      </c>
      <c r="Q200" s="369"/>
      <c r="R200" s="364" t="s">
        <v>7957</v>
      </c>
      <c r="S200" s="340">
        <v>1</v>
      </c>
    </row>
    <row r="201" spans="1:19" ht="47" thickBot="1" x14ac:dyDescent="0.4">
      <c r="A201" s="357">
        <v>190</v>
      </c>
      <c r="B201" s="364" t="s">
        <v>10080</v>
      </c>
      <c r="C201" s="365" t="s">
        <v>10081</v>
      </c>
      <c r="D201" s="366" t="s">
        <v>97</v>
      </c>
      <c r="E201" s="366" t="s">
        <v>10082</v>
      </c>
      <c r="F201" s="366" t="s">
        <v>10078</v>
      </c>
      <c r="G201" s="366" t="s">
        <v>10078</v>
      </c>
      <c r="H201" s="366">
        <v>260</v>
      </c>
      <c r="I201" s="364" t="s">
        <v>10295</v>
      </c>
      <c r="J201" s="367"/>
      <c r="K201" s="364"/>
      <c r="L201" s="358"/>
      <c r="M201" s="366" t="s">
        <v>10084</v>
      </c>
      <c r="N201" s="358"/>
      <c r="O201" s="366" t="s">
        <v>422</v>
      </c>
      <c r="P201" s="368">
        <v>50000000</v>
      </c>
      <c r="Q201" s="369" t="s">
        <v>8603</v>
      </c>
      <c r="R201" s="364" t="s">
        <v>7957</v>
      </c>
      <c r="S201" s="340">
        <v>1</v>
      </c>
    </row>
    <row r="202" spans="1:19" ht="46.5" x14ac:dyDescent="0.35">
      <c r="A202" s="349">
        <v>191</v>
      </c>
      <c r="B202" s="364" t="s">
        <v>10110</v>
      </c>
      <c r="C202" s="365" t="s">
        <v>10111</v>
      </c>
      <c r="D202" s="366" t="s">
        <v>51</v>
      </c>
      <c r="E202" s="366" t="s">
        <v>10082</v>
      </c>
      <c r="F202" s="366" t="s">
        <v>10078</v>
      </c>
      <c r="G202" s="366" t="s">
        <v>10078</v>
      </c>
      <c r="H202" s="366">
        <v>8</v>
      </c>
      <c r="I202" s="364" t="s">
        <v>10295</v>
      </c>
      <c r="J202" s="367"/>
      <c r="K202" s="364"/>
      <c r="L202" s="358"/>
      <c r="M202" s="366" t="s">
        <v>10084</v>
      </c>
      <c r="N202" s="358"/>
      <c r="O202" s="366" t="s">
        <v>57</v>
      </c>
      <c r="P202" s="368">
        <v>13391000</v>
      </c>
      <c r="Q202" s="369"/>
      <c r="R202" s="364" t="s">
        <v>7957</v>
      </c>
      <c r="S202" s="340">
        <v>1</v>
      </c>
    </row>
    <row r="203" spans="1:19" ht="47" thickBot="1" x14ac:dyDescent="0.4">
      <c r="A203" s="357">
        <v>192</v>
      </c>
      <c r="B203" s="364" t="s">
        <v>10092</v>
      </c>
      <c r="C203" s="365" t="s">
        <v>10093</v>
      </c>
      <c r="D203" s="366" t="s">
        <v>51</v>
      </c>
      <c r="E203" s="366" t="s">
        <v>10082</v>
      </c>
      <c r="F203" s="366" t="s">
        <v>10078</v>
      </c>
      <c r="G203" s="366" t="s">
        <v>10088</v>
      </c>
      <c r="H203" s="366">
        <v>61</v>
      </c>
      <c r="I203" s="364" t="s">
        <v>10295</v>
      </c>
      <c r="J203" s="361">
        <v>41904</v>
      </c>
      <c r="K203" s="358" t="s">
        <v>10296</v>
      </c>
      <c r="L203" s="358"/>
      <c r="M203" s="366" t="s">
        <v>10084</v>
      </c>
      <c r="N203" s="358"/>
      <c r="O203" s="366" t="s">
        <v>57</v>
      </c>
      <c r="P203" s="368">
        <v>147500000</v>
      </c>
      <c r="Q203" s="369" t="s">
        <v>10297</v>
      </c>
      <c r="R203" s="364" t="s">
        <v>7957</v>
      </c>
      <c r="S203" s="340">
        <v>1</v>
      </c>
    </row>
    <row r="204" spans="1:19" ht="46.5" x14ac:dyDescent="0.35">
      <c r="A204" s="349">
        <v>193</v>
      </c>
      <c r="B204" s="364" t="s">
        <v>10085</v>
      </c>
      <c r="C204" s="365" t="s">
        <v>10086</v>
      </c>
      <c r="D204" s="366" t="s">
        <v>51</v>
      </c>
      <c r="E204" s="366" t="s">
        <v>10082</v>
      </c>
      <c r="F204" s="366" t="s">
        <v>10078</v>
      </c>
      <c r="G204" s="366" t="s">
        <v>10078</v>
      </c>
      <c r="H204" s="366">
        <v>54</v>
      </c>
      <c r="I204" s="364" t="s">
        <v>10295</v>
      </c>
      <c r="J204" s="367"/>
      <c r="K204" s="364"/>
      <c r="L204" s="358"/>
      <c r="M204" s="366" t="s">
        <v>10084</v>
      </c>
      <c r="N204" s="358"/>
      <c r="O204" s="366" t="s">
        <v>57</v>
      </c>
      <c r="P204" s="368">
        <v>90389000</v>
      </c>
      <c r="Q204" s="369"/>
      <c r="R204" s="364" t="s">
        <v>7957</v>
      </c>
      <c r="S204" s="340">
        <v>1</v>
      </c>
    </row>
    <row r="205" spans="1:19" ht="47" thickBot="1" x14ac:dyDescent="0.4">
      <c r="A205" s="357">
        <v>194</v>
      </c>
      <c r="B205" s="364" t="s">
        <v>10085</v>
      </c>
      <c r="C205" s="365" t="s">
        <v>10086</v>
      </c>
      <c r="D205" s="366" t="s">
        <v>59</v>
      </c>
      <c r="E205" s="366" t="s">
        <v>10082</v>
      </c>
      <c r="F205" s="366" t="s">
        <v>10078</v>
      </c>
      <c r="G205" s="366" t="s">
        <v>10078</v>
      </c>
      <c r="H205" s="366">
        <v>54</v>
      </c>
      <c r="I205" s="364" t="s">
        <v>10295</v>
      </c>
      <c r="J205" s="361"/>
      <c r="K205" s="358"/>
      <c r="L205" s="358"/>
      <c r="M205" s="366" t="s">
        <v>10084</v>
      </c>
      <c r="N205" s="358"/>
      <c r="O205" s="366" t="s">
        <v>57</v>
      </c>
      <c r="P205" s="368">
        <v>190139000</v>
      </c>
      <c r="Q205" s="369"/>
      <c r="R205" s="364" t="s">
        <v>7957</v>
      </c>
      <c r="S205" s="340">
        <v>1</v>
      </c>
    </row>
    <row r="206" spans="1:19" ht="31" x14ac:dyDescent="0.35">
      <c r="A206" s="349">
        <v>195</v>
      </c>
      <c r="B206" s="364" t="s">
        <v>10080</v>
      </c>
      <c r="C206" s="365" t="s">
        <v>10081</v>
      </c>
      <c r="D206" s="366" t="s">
        <v>51</v>
      </c>
      <c r="E206" s="366" t="s">
        <v>10082</v>
      </c>
      <c r="F206" s="366" t="s">
        <v>10078</v>
      </c>
      <c r="G206" s="366" t="s">
        <v>10078</v>
      </c>
      <c r="H206" s="366">
        <v>180</v>
      </c>
      <c r="I206" s="364" t="s">
        <v>10298</v>
      </c>
      <c r="J206" s="367"/>
      <c r="K206" s="364"/>
      <c r="L206" s="358"/>
      <c r="M206" s="366" t="s">
        <v>10084</v>
      </c>
      <c r="N206" s="358"/>
      <c r="O206" s="366" t="s">
        <v>57</v>
      </c>
      <c r="P206" s="368">
        <v>309906000</v>
      </c>
      <c r="Q206" s="369"/>
      <c r="R206" s="364" t="s">
        <v>7959</v>
      </c>
      <c r="S206" s="340">
        <v>1</v>
      </c>
    </row>
    <row r="207" spans="1:19" ht="31.5" thickBot="1" x14ac:dyDescent="0.4">
      <c r="A207" s="357">
        <v>196</v>
      </c>
      <c r="B207" s="364" t="s">
        <v>10080</v>
      </c>
      <c r="C207" s="365" t="s">
        <v>10081</v>
      </c>
      <c r="D207" s="366" t="s">
        <v>59</v>
      </c>
      <c r="E207" s="366" t="s">
        <v>10082</v>
      </c>
      <c r="F207" s="366" t="s">
        <v>10078</v>
      </c>
      <c r="G207" s="366" t="s">
        <v>10078</v>
      </c>
      <c r="H207" s="366">
        <v>108</v>
      </c>
      <c r="I207" s="364" t="s">
        <v>10298</v>
      </c>
      <c r="J207" s="367"/>
      <c r="K207" s="364"/>
      <c r="L207" s="358"/>
      <c r="M207" s="366" t="s">
        <v>10084</v>
      </c>
      <c r="N207" s="358"/>
      <c r="O207" s="366" t="s">
        <v>57</v>
      </c>
      <c r="P207" s="368">
        <v>448201500</v>
      </c>
      <c r="Q207" s="369"/>
      <c r="R207" s="364" t="s">
        <v>7959</v>
      </c>
      <c r="S207" s="340">
        <v>1</v>
      </c>
    </row>
    <row r="208" spans="1:19" ht="31" x14ac:dyDescent="0.35">
      <c r="A208" s="349">
        <v>197</v>
      </c>
      <c r="B208" s="364" t="s">
        <v>10080</v>
      </c>
      <c r="C208" s="365" t="s">
        <v>10081</v>
      </c>
      <c r="D208" s="366" t="s">
        <v>97</v>
      </c>
      <c r="E208" s="366" t="s">
        <v>10082</v>
      </c>
      <c r="F208" s="366" t="s">
        <v>10078</v>
      </c>
      <c r="G208" s="366" t="s">
        <v>10078</v>
      </c>
      <c r="H208" s="366">
        <v>108</v>
      </c>
      <c r="I208" s="364" t="s">
        <v>10298</v>
      </c>
      <c r="J208" s="361"/>
      <c r="K208" s="358"/>
      <c r="L208" s="358"/>
      <c r="M208" s="366" t="s">
        <v>10084</v>
      </c>
      <c r="N208" s="358"/>
      <c r="O208" s="366" t="s">
        <v>57</v>
      </c>
      <c r="P208" s="368">
        <v>203090000</v>
      </c>
      <c r="Q208" s="369"/>
      <c r="R208" s="364" t="s">
        <v>7959</v>
      </c>
      <c r="S208" s="340">
        <v>1</v>
      </c>
    </row>
    <row r="209" spans="1:19" ht="31.5" thickBot="1" x14ac:dyDescent="0.4">
      <c r="A209" s="357">
        <v>198</v>
      </c>
      <c r="B209" s="364" t="s">
        <v>10080</v>
      </c>
      <c r="C209" s="365" t="s">
        <v>10081</v>
      </c>
      <c r="D209" s="366" t="s">
        <v>101</v>
      </c>
      <c r="E209" s="366" t="s">
        <v>10082</v>
      </c>
      <c r="F209" s="366" t="s">
        <v>10078</v>
      </c>
      <c r="G209" s="366" t="s">
        <v>10088</v>
      </c>
      <c r="H209" s="366">
        <v>216</v>
      </c>
      <c r="I209" s="364" t="s">
        <v>10298</v>
      </c>
      <c r="J209" s="361">
        <v>40770</v>
      </c>
      <c r="K209" s="358" t="s">
        <v>10299</v>
      </c>
      <c r="L209" s="358"/>
      <c r="M209" s="366" t="s">
        <v>10084</v>
      </c>
      <c r="N209" s="358"/>
      <c r="O209" s="366" t="s">
        <v>422</v>
      </c>
      <c r="P209" s="368">
        <v>565565900</v>
      </c>
      <c r="Q209" s="369" t="s">
        <v>10300</v>
      </c>
      <c r="R209" s="364" t="s">
        <v>7959</v>
      </c>
      <c r="S209" s="340">
        <v>1</v>
      </c>
    </row>
    <row r="210" spans="1:19" ht="31" x14ac:dyDescent="0.35">
      <c r="A210" s="349">
        <v>199</v>
      </c>
      <c r="B210" s="364" t="s">
        <v>10080</v>
      </c>
      <c r="C210" s="365" t="s">
        <v>10081</v>
      </c>
      <c r="D210" s="366" t="s">
        <v>107</v>
      </c>
      <c r="E210" s="366" t="s">
        <v>10082</v>
      </c>
      <c r="F210" s="366" t="s">
        <v>10078</v>
      </c>
      <c r="G210" s="366" t="s">
        <v>10078</v>
      </c>
      <c r="H210" s="366">
        <v>206</v>
      </c>
      <c r="I210" s="364" t="s">
        <v>10298</v>
      </c>
      <c r="J210" s="367"/>
      <c r="K210" s="364"/>
      <c r="L210" s="358"/>
      <c r="M210" s="366" t="s">
        <v>10084</v>
      </c>
      <c r="N210" s="358"/>
      <c r="O210" s="366" t="s">
        <v>422</v>
      </c>
      <c r="P210" s="368">
        <v>90000000</v>
      </c>
      <c r="Q210" s="369" t="s">
        <v>8603</v>
      </c>
      <c r="R210" s="364" t="s">
        <v>7959</v>
      </c>
      <c r="S210" s="340">
        <v>1</v>
      </c>
    </row>
    <row r="211" spans="1:19" ht="31.5" thickBot="1" x14ac:dyDescent="0.4">
      <c r="A211" s="357">
        <v>200</v>
      </c>
      <c r="B211" s="364" t="s">
        <v>10110</v>
      </c>
      <c r="C211" s="365" t="s">
        <v>10111</v>
      </c>
      <c r="D211" s="366" t="s">
        <v>51</v>
      </c>
      <c r="E211" s="366" t="s">
        <v>10082</v>
      </c>
      <c r="F211" s="366" t="s">
        <v>10078</v>
      </c>
      <c r="G211" s="366" t="s">
        <v>10078</v>
      </c>
      <c r="H211" s="366">
        <v>8</v>
      </c>
      <c r="I211" s="364" t="s">
        <v>10298</v>
      </c>
      <c r="J211" s="361"/>
      <c r="K211" s="358"/>
      <c r="L211" s="358"/>
      <c r="M211" s="366" t="s">
        <v>10084</v>
      </c>
      <c r="N211" s="358"/>
      <c r="O211" s="366" t="s">
        <v>57</v>
      </c>
      <c r="P211" s="368">
        <v>13008000</v>
      </c>
      <c r="Q211" s="369"/>
      <c r="R211" s="364" t="s">
        <v>7959</v>
      </c>
      <c r="S211" s="340">
        <v>1</v>
      </c>
    </row>
    <row r="212" spans="1:19" ht="31" x14ac:dyDescent="0.35">
      <c r="A212" s="349">
        <v>201</v>
      </c>
      <c r="B212" s="364" t="s">
        <v>10092</v>
      </c>
      <c r="C212" s="365" t="s">
        <v>10093</v>
      </c>
      <c r="D212" s="366" t="s">
        <v>51</v>
      </c>
      <c r="E212" s="366" t="s">
        <v>10082</v>
      </c>
      <c r="F212" s="366" t="s">
        <v>10078</v>
      </c>
      <c r="G212" s="366" t="s">
        <v>10078</v>
      </c>
      <c r="H212" s="366">
        <v>61</v>
      </c>
      <c r="I212" s="364" t="s">
        <v>10298</v>
      </c>
      <c r="J212" s="361"/>
      <c r="K212" s="358"/>
      <c r="L212" s="358"/>
      <c r="M212" s="366" t="s">
        <v>10084</v>
      </c>
      <c r="N212" s="358"/>
      <c r="O212" s="366" t="s">
        <v>57</v>
      </c>
      <c r="P212" s="368">
        <v>136552955</v>
      </c>
      <c r="Q212" s="369"/>
      <c r="R212" s="364" t="s">
        <v>7959</v>
      </c>
      <c r="S212" s="340">
        <v>1</v>
      </c>
    </row>
    <row r="213" spans="1:19" ht="31.5" thickBot="1" x14ac:dyDescent="0.4">
      <c r="A213" s="357">
        <v>202</v>
      </c>
      <c r="B213" s="364" t="s">
        <v>10085</v>
      </c>
      <c r="C213" s="365" t="s">
        <v>10086</v>
      </c>
      <c r="D213" s="366" t="s">
        <v>51</v>
      </c>
      <c r="E213" s="366" t="s">
        <v>10082</v>
      </c>
      <c r="F213" s="366" t="s">
        <v>10078</v>
      </c>
      <c r="G213" s="366" t="s">
        <v>10078</v>
      </c>
      <c r="H213" s="366">
        <v>36</v>
      </c>
      <c r="I213" s="364" t="s">
        <v>10298</v>
      </c>
      <c r="J213" s="367"/>
      <c r="K213" s="364"/>
      <c r="L213" s="358"/>
      <c r="M213" s="366" t="s">
        <v>10084</v>
      </c>
      <c r="N213" s="358"/>
      <c r="O213" s="366" t="s">
        <v>57</v>
      </c>
      <c r="P213" s="368">
        <v>169515000</v>
      </c>
      <c r="Q213" s="369"/>
      <c r="R213" s="364" t="s">
        <v>7959</v>
      </c>
      <c r="S213" s="340">
        <v>1</v>
      </c>
    </row>
    <row r="214" spans="1:19" ht="31" x14ac:dyDescent="0.35">
      <c r="A214" s="349">
        <v>203</v>
      </c>
      <c r="B214" s="364" t="s">
        <v>10301</v>
      </c>
      <c r="C214" s="365" t="s">
        <v>10302</v>
      </c>
      <c r="D214" s="366" t="s">
        <v>51</v>
      </c>
      <c r="E214" s="366" t="s">
        <v>10082</v>
      </c>
      <c r="F214" s="366" t="s">
        <v>10078</v>
      </c>
      <c r="G214" s="366" t="s">
        <v>10078</v>
      </c>
      <c r="H214" s="366">
        <v>0</v>
      </c>
      <c r="I214" s="364" t="s">
        <v>10303</v>
      </c>
      <c r="J214" s="367">
        <v>43294</v>
      </c>
      <c r="K214" s="364" t="s">
        <v>10304</v>
      </c>
      <c r="L214" s="358"/>
      <c r="M214" s="366" t="s">
        <v>10084</v>
      </c>
      <c r="N214" s="358"/>
      <c r="O214" s="366" t="s">
        <v>57</v>
      </c>
      <c r="P214" s="368">
        <v>221212000</v>
      </c>
      <c r="Q214" s="369" t="s">
        <v>10305</v>
      </c>
      <c r="R214" s="364" t="s">
        <v>7962</v>
      </c>
      <c r="S214" s="340">
        <v>1</v>
      </c>
    </row>
    <row r="215" spans="1:19" ht="31.5" thickBot="1" x14ac:dyDescent="0.4">
      <c r="A215" s="357">
        <v>204</v>
      </c>
      <c r="B215" s="364" t="s">
        <v>10080</v>
      </c>
      <c r="C215" s="365" t="s">
        <v>10081</v>
      </c>
      <c r="D215" s="366" t="s">
        <v>51</v>
      </c>
      <c r="E215" s="366" t="s">
        <v>10082</v>
      </c>
      <c r="F215" s="366" t="s">
        <v>10078</v>
      </c>
      <c r="G215" s="366" t="s">
        <v>10078</v>
      </c>
      <c r="H215" s="366">
        <v>306</v>
      </c>
      <c r="I215" s="364" t="s">
        <v>10303</v>
      </c>
      <c r="J215" s="367"/>
      <c r="K215" s="364"/>
      <c r="L215" s="358"/>
      <c r="M215" s="366" t="s">
        <v>10084</v>
      </c>
      <c r="N215" s="358"/>
      <c r="O215" s="366" t="s">
        <v>422</v>
      </c>
      <c r="P215" s="368">
        <v>533267250</v>
      </c>
      <c r="Q215" s="369" t="s">
        <v>8603</v>
      </c>
      <c r="R215" s="364" t="s">
        <v>7962</v>
      </c>
      <c r="S215" s="340">
        <v>1</v>
      </c>
    </row>
    <row r="216" spans="1:19" ht="31" x14ac:dyDescent="0.35">
      <c r="A216" s="349">
        <v>205</v>
      </c>
      <c r="B216" s="364" t="s">
        <v>10080</v>
      </c>
      <c r="C216" s="365" t="s">
        <v>10081</v>
      </c>
      <c r="D216" s="366" t="s">
        <v>59</v>
      </c>
      <c r="E216" s="366" t="s">
        <v>10082</v>
      </c>
      <c r="F216" s="366" t="s">
        <v>10078</v>
      </c>
      <c r="G216" s="366" t="s">
        <v>10078</v>
      </c>
      <c r="H216" s="366">
        <v>120</v>
      </c>
      <c r="I216" s="364" t="s">
        <v>10303</v>
      </c>
      <c r="J216" s="361"/>
      <c r="K216" s="358"/>
      <c r="L216" s="358"/>
      <c r="M216" s="366" t="s">
        <v>10084</v>
      </c>
      <c r="N216" s="358"/>
      <c r="O216" s="366" t="s">
        <v>57</v>
      </c>
      <c r="P216" s="368">
        <v>206604000</v>
      </c>
      <c r="Q216" s="369"/>
      <c r="R216" s="364" t="s">
        <v>7962</v>
      </c>
      <c r="S216" s="340">
        <v>1</v>
      </c>
    </row>
    <row r="217" spans="1:19" ht="31.5" thickBot="1" x14ac:dyDescent="0.4">
      <c r="A217" s="357">
        <v>206</v>
      </c>
      <c r="B217" s="364" t="s">
        <v>10080</v>
      </c>
      <c r="C217" s="365" t="s">
        <v>10081</v>
      </c>
      <c r="D217" s="366" t="s">
        <v>97</v>
      </c>
      <c r="E217" s="366" t="s">
        <v>10082</v>
      </c>
      <c r="F217" s="366" t="s">
        <v>10078</v>
      </c>
      <c r="G217" s="366" t="s">
        <v>10078</v>
      </c>
      <c r="H217" s="366">
        <v>90</v>
      </c>
      <c r="I217" s="364" t="s">
        <v>10303</v>
      </c>
      <c r="J217" s="361"/>
      <c r="K217" s="358"/>
      <c r="L217" s="358"/>
      <c r="M217" s="366" t="s">
        <v>10084</v>
      </c>
      <c r="N217" s="358"/>
      <c r="O217" s="366" t="s">
        <v>57</v>
      </c>
      <c r="P217" s="368">
        <v>154953000</v>
      </c>
      <c r="Q217" s="369"/>
      <c r="R217" s="364" t="s">
        <v>7962</v>
      </c>
      <c r="S217" s="340">
        <v>1</v>
      </c>
    </row>
    <row r="218" spans="1:19" ht="31" x14ac:dyDescent="0.35">
      <c r="A218" s="349">
        <v>207</v>
      </c>
      <c r="B218" s="364" t="s">
        <v>10092</v>
      </c>
      <c r="C218" s="365" t="s">
        <v>10093</v>
      </c>
      <c r="D218" s="366" t="s">
        <v>51</v>
      </c>
      <c r="E218" s="366" t="s">
        <v>10082</v>
      </c>
      <c r="F218" s="366" t="s">
        <v>10078</v>
      </c>
      <c r="G218" s="366" t="s">
        <v>10078</v>
      </c>
      <c r="H218" s="366">
        <v>61</v>
      </c>
      <c r="I218" s="364" t="s">
        <v>10306</v>
      </c>
      <c r="J218" s="367">
        <v>41564</v>
      </c>
      <c r="K218" s="364" t="s">
        <v>10307</v>
      </c>
      <c r="L218" s="358"/>
      <c r="M218" s="366" t="s">
        <v>10084</v>
      </c>
      <c r="N218" s="358"/>
      <c r="O218" s="366" t="s">
        <v>57</v>
      </c>
      <c r="P218" s="368">
        <v>155179520</v>
      </c>
      <c r="Q218" s="369"/>
      <c r="R218" s="364" t="s">
        <v>7962</v>
      </c>
      <c r="S218" s="340">
        <v>1</v>
      </c>
    </row>
    <row r="219" spans="1:19" ht="31.5" thickBot="1" x14ac:dyDescent="0.4">
      <c r="A219" s="357">
        <v>208</v>
      </c>
      <c r="B219" s="364" t="s">
        <v>10085</v>
      </c>
      <c r="C219" s="365" t="s">
        <v>10086</v>
      </c>
      <c r="D219" s="366" t="s">
        <v>51</v>
      </c>
      <c r="E219" s="366" t="s">
        <v>10082</v>
      </c>
      <c r="F219" s="366" t="s">
        <v>10078</v>
      </c>
      <c r="G219" s="366" t="s">
        <v>10078</v>
      </c>
      <c r="H219" s="366">
        <v>64</v>
      </c>
      <c r="I219" s="364" t="s">
        <v>10303</v>
      </c>
      <c r="J219" s="367"/>
      <c r="K219" s="358"/>
      <c r="L219" s="358"/>
      <c r="M219" s="366" t="s">
        <v>10084</v>
      </c>
      <c r="N219" s="358"/>
      <c r="O219" s="366" t="s">
        <v>57</v>
      </c>
      <c r="P219" s="368">
        <v>69800000</v>
      </c>
      <c r="Q219" s="369"/>
      <c r="R219" s="364" t="s">
        <v>7962</v>
      </c>
      <c r="S219" s="340">
        <v>1</v>
      </c>
    </row>
    <row r="220" spans="1:19" ht="46.5" x14ac:dyDescent="0.35">
      <c r="A220" s="349">
        <v>209</v>
      </c>
      <c r="B220" s="364" t="s">
        <v>10085</v>
      </c>
      <c r="C220" s="365" t="s">
        <v>10086</v>
      </c>
      <c r="D220" s="366" t="s">
        <v>59</v>
      </c>
      <c r="E220" s="366" t="s">
        <v>10082</v>
      </c>
      <c r="F220" s="366" t="s">
        <v>10078</v>
      </c>
      <c r="G220" s="366" t="s">
        <v>10078</v>
      </c>
      <c r="H220" s="366">
        <v>66</v>
      </c>
      <c r="I220" s="358" t="s">
        <v>10306</v>
      </c>
      <c r="J220" s="361">
        <v>41585</v>
      </c>
      <c r="K220" s="358" t="s">
        <v>10308</v>
      </c>
      <c r="L220" s="358"/>
      <c r="M220" s="366" t="s">
        <v>10084</v>
      </c>
      <c r="N220" s="358"/>
      <c r="O220" s="366" t="s">
        <v>57</v>
      </c>
      <c r="P220" s="368">
        <v>137500000</v>
      </c>
      <c r="Q220" s="369" t="s">
        <v>10309</v>
      </c>
      <c r="R220" s="364" t="s">
        <v>7962</v>
      </c>
      <c r="S220" s="340">
        <v>1</v>
      </c>
    </row>
    <row r="221" spans="1:19" ht="31.5" thickBot="1" x14ac:dyDescent="0.4">
      <c r="A221" s="357">
        <v>210</v>
      </c>
      <c r="B221" s="364" t="s">
        <v>10080</v>
      </c>
      <c r="C221" s="365" t="s">
        <v>10081</v>
      </c>
      <c r="D221" s="366" t="s">
        <v>51</v>
      </c>
      <c r="E221" s="366" t="s">
        <v>10082</v>
      </c>
      <c r="F221" s="366" t="s">
        <v>10078</v>
      </c>
      <c r="G221" s="366" t="s">
        <v>10078</v>
      </c>
      <c r="H221" s="366">
        <v>162</v>
      </c>
      <c r="I221" s="364" t="s">
        <v>10310</v>
      </c>
      <c r="J221" s="367"/>
      <c r="K221" s="358"/>
      <c r="L221" s="358"/>
      <c r="M221" s="366" t="s">
        <v>10084</v>
      </c>
      <c r="N221" s="358"/>
      <c r="O221" s="366" t="s">
        <v>57</v>
      </c>
      <c r="P221" s="368">
        <v>278915000</v>
      </c>
      <c r="Q221" s="369"/>
      <c r="R221" s="364" t="s">
        <v>7970</v>
      </c>
      <c r="S221" s="340">
        <v>1</v>
      </c>
    </row>
    <row r="222" spans="1:19" ht="31" x14ac:dyDescent="0.35">
      <c r="A222" s="349">
        <v>211</v>
      </c>
      <c r="B222" s="364" t="s">
        <v>10080</v>
      </c>
      <c r="C222" s="365" t="s">
        <v>10081</v>
      </c>
      <c r="D222" s="366" t="s">
        <v>59</v>
      </c>
      <c r="E222" s="366" t="s">
        <v>10082</v>
      </c>
      <c r="F222" s="366" t="s">
        <v>10078</v>
      </c>
      <c r="G222" s="366" t="s">
        <v>10088</v>
      </c>
      <c r="H222" s="366">
        <v>162</v>
      </c>
      <c r="I222" s="364" t="s">
        <v>10310</v>
      </c>
      <c r="J222" s="367"/>
      <c r="K222" s="364"/>
      <c r="L222" s="358"/>
      <c r="M222" s="366" t="s">
        <v>10084</v>
      </c>
      <c r="N222" s="358"/>
      <c r="O222" s="366" t="s">
        <v>57</v>
      </c>
      <c r="P222" s="368">
        <v>278915000</v>
      </c>
      <c r="Q222" s="369"/>
      <c r="R222" s="364" t="s">
        <v>7970</v>
      </c>
      <c r="S222" s="340">
        <v>1</v>
      </c>
    </row>
    <row r="223" spans="1:19" ht="31.5" thickBot="1" x14ac:dyDescent="0.4">
      <c r="A223" s="357">
        <v>212</v>
      </c>
      <c r="B223" s="364" t="s">
        <v>10080</v>
      </c>
      <c r="C223" s="365" t="s">
        <v>10081</v>
      </c>
      <c r="D223" s="366" t="s">
        <v>97</v>
      </c>
      <c r="E223" s="366" t="s">
        <v>10082</v>
      </c>
      <c r="F223" s="366" t="s">
        <v>10078</v>
      </c>
      <c r="G223" s="366" t="s">
        <v>10078</v>
      </c>
      <c r="H223" s="366">
        <v>229</v>
      </c>
      <c r="I223" s="364" t="s">
        <v>10310</v>
      </c>
      <c r="J223" s="361"/>
      <c r="K223" s="364"/>
      <c r="L223" s="358"/>
      <c r="M223" s="366" t="s">
        <v>10084</v>
      </c>
      <c r="N223" s="358"/>
      <c r="O223" s="366" t="s">
        <v>422</v>
      </c>
      <c r="P223" s="368">
        <v>110000000</v>
      </c>
      <c r="Q223" s="369" t="s">
        <v>8603</v>
      </c>
      <c r="R223" s="364" t="s">
        <v>7970</v>
      </c>
      <c r="S223" s="340">
        <v>1</v>
      </c>
    </row>
    <row r="224" spans="1:19" ht="31" x14ac:dyDescent="0.35">
      <c r="A224" s="349">
        <v>213</v>
      </c>
      <c r="B224" s="364" t="s">
        <v>10080</v>
      </c>
      <c r="C224" s="365" t="s">
        <v>10081</v>
      </c>
      <c r="D224" s="366" t="s">
        <v>101</v>
      </c>
      <c r="E224" s="366" t="s">
        <v>10082</v>
      </c>
      <c r="F224" s="366" t="s">
        <v>10078</v>
      </c>
      <c r="G224" s="366" t="s">
        <v>10078</v>
      </c>
      <c r="H224" s="366">
        <v>162</v>
      </c>
      <c r="I224" s="364" t="s">
        <v>10310</v>
      </c>
      <c r="J224" s="361"/>
      <c r="K224" s="358"/>
      <c r="L224" s="358"/>
      <c r="M224" s="366" t="s">
        <v>10084</v>
      </c>
      <c r="N224" s="358"/>
      <c r="O224" s="366" t="s">
        <v>57</v>
      </c>
      <c r="P224" s="368">
        <v>286663000</v>
      </c>
      <c r="Q224" s="369"/>
      <c r="R224" s="364" t="s">
        <v>7970</v>
      </c>
      <c r="S224" s="340">
        <v>1</v>
      </c>
    </row>
    <row r="225" spans="1:19" ht="31.5" thickBot="1" x14ac:dyDescent="0.4">
      <c r="A225" s="357">
        <v>214</v>
      </c>
      <c r="B225" s="364" t="s">
        <v>10092</v>
      </c>
      <c r="C225" s="365" t="s">
        <v>10093</v>
      </c>
      <c r="D225" s="366" t="s">
        <v>51</v>
      </c>
      <c r="E225" s="366" t="s">
        <v>10082</v>
      </c>
      <c r="F225" s="366" t="s">
        <v>10078</v>
      </c>
      <c r="G225" s="366" t="s">
        <v>10088</v>
      </c>
      <c r="H225" s="366">
        <v>61</v>
      </c>
      <c r="I225" s="364" t="s">
        <v>10311</v>
      </c>
      <c r="J225" s="367">
        <v>41564</v>
      </c>
      <c r="K225" s="364" t="s">
        <v>10312</v>
      </c>
      <c r="L225" s="358"/>
      <c r="M225" s="366" t="s">
        <v>10084</v>
      </c>
      <c r="N225" s="358"/>
      <c r="O225" s="366" t="s">
        <v>57</v>
      </c>
      <c r="P225" s="368">
        <v>155179520</v>
      </c>
      <c r="Q225" s="369"/>
      <c r="R225" s="364" t="s">
        <v>7970</v>
      </c>
      <c r="S225" s="340">
        <v>1</v>
      </c>
    </row>
    <row r="226" spans="1:19" ht="29" x14ac:dyDescent="0.35">
      <c r="A226" s="349">
        <v>215</v>
      </c>
      <c r="B226" s="358" t="s">
        <v>10085</v>
      </c>
      <c r="C226" s="359" t="s">
        <v>10086</v>
      </c>
      <c r="D226" s="360" t="s">
        <v>51</v>
      </c>
      <c r="E226" s="360" t="s">
        <v>10082</v>
      </c>
      <c r="F226" s="360" t="s">
        <v>10078</v>
      </c>
      <c r="G226" s="360" t="s">
        <v>10078</v>
      </c>
      <c r="H226" s="360">
        <v>54</v>
      </c>
      <c r="I226" s="358" t="s">
        <v>10310</v>
      </c>
      <c r="J226" s="361"/>
      <c r="K226" s="358"/>
      <c r="L226" s="358"/>
      <c r="M226" s="360" t="s">
        <v>10084</v>
      </c>
      <c r="N226" s="358"/>
      <c r="O226" s="360" t="s">
        <v>57</v>
      </c>
      <c r="P226" s="362">
        <v>162752000</v>
      </c>
      <c r="Q226" s="363"/>
      <c r="R226" s="364" t="s">
        <v>7970</v>
      </c>
      <c r="S226" s="340">
        <v>1</v>
      </c>
    </row>
    <row r="227" spans="1:19" ht="29.5" thickBot="1" x14ac:dyDescent="0.4">
      <c r="A227" s="357">
        <v>216</v>
      </c>
      <c r="B227" s="358" t="s">
        <v>10117</v>
      </c>
      <c r="C227" s="359" t="s">
        <v>10118</v>
      </c>
      <c r="D227" s="360" t="s">
        <v>51</v>
      </c>
      <c r="E227" s="360" t="s">
        <v>10082</v>
      </c>
      <c r="F227" s="360" t="s">
        <v>10078</v>
      </c>
      <c r="G227" s="360" t="s">
        <v>10088</v>
      </c>
      <c r="H227" s="360">
        <v>52</v>
      </c>
      <c r="I227" s="358" t="s">
        <v>10313</v>
      </c>
      <c r="J227" s="361"/>
      <c r="K227" s="358" t="s">
        <v>10314</v>
      </c>
      <c r="L227" s="358"/>
      <c r="M227" s="360"/>
      <c r="N227" s="358"/>
      <c r="O227" s="360" t="s">
        <v>44</v>
      </c>
      <c r="P227" s="362">
        <v>221346525</v>
      </c>
      <c r="Q227" s="363" t="s">
        <v>10315</v>
      </c>
      <c r="R227" s="364" t="s">
        <v>7970</v>
      </c>
      <c r="S227" s="340">
        <v>1</v>
      </c>
    </row>
    <row r="228" spans="1:19" ht="29" x14ac:dyDescent="0.35">
      <c r="A228" s="349">
        <v>217</v>
      </c>
      <c r="B228" s="358" t="s">
        <v>10146</v>
      </c>
      <c r="C228" s="359" t="s">
        <v>10147</v>
      </c>
      <c r="D228" s="360" t="s">
        <v>51</v>
      </c>
      <c r="E228" s="360" t="s">
        <v>10082</v>
      </c>
      <c r="F228" s="360" t="s">
        <v>10078</v>
      </c>
      <c r="G228" s="360" t="s">
        <v>10088</v>
      </c>
      <c r="H228" s="360">
        <v>52</v>
      </c>
      <c r="I228" s="358" t="s">
        <v>10310</v>
      </c>
      <c r="J228" s="361">
        <v>43248</v>
      </c>
      <c r="K228" s="358" t="s">
        <v>10316</v>
      </c>
      <c r="L228" s="358"/>
      <c r="M228" s="360" t="s">
        <v>10084</v>
      </c>
      <c r="N228" s="358"/>
      <c r="O228" s="360" t="s">
        <v>57</v>
      </c>
      <c r="P228" s="362">
        <v>221179000</v>
      </c>
      <c r="Q228" s="363" t="s">
        <v>10317</v>
      </c>
      <c r="R228" s="364" t="s">
        <v>7970</v>
      </c>
      <c r="S228" s="340">
        <v>1</v>
      </c>
    </row>
    <row r="229" spans="1:19" ht="29.5" thickBot="1" x14ac:dyDescent="0.4">
      <c r="A229" s="357">
        <v>218</v>
      </c>
      <c r="B229" s="358" t="s">
        <v>10096</v>
      </c>
      <c r="C229" s="359" t="s">
        <v>10097</v>
      </c>
      <c r="D229" s="360" t="s">
        <v>51</v>
      </c>
      <c r="E229" s="360" t="s">
        <v>10082</v>
      </c>
      <c r="F229" s="360" t="s">
        <v>10078</v>
      </c>
      <c r="G229" s="360" t="s">
        <v>10088</v>
      </c>
      <c r="H229" s="360">
        <v>107</v>
      </c>
      <c r="I229" s="358" t="s">
        <v>10310</v>
      </c>
      <c r="J229" s="361">
        <v>42151</v>
      </c>
      <c r="K229" s="358" t="s">
        <v>10318</v>
      </c>
      <c r="L229" s="358"/>
      <c r="M229" s="360" t="s">
        <v>10084</v>
      </c>
      <c r="N229" s="358"/>
      <c r="O229" s="360" t="s">
        <v>57</v>
      </c>
      <c r="P229" s="362">
        <v>220836000</v>
      </c>
      <c r="Q229" s="363" t="s">
        <v>10319</v>
      </c>
      <c r="R229" s="364" t="s">
        <v>7970</v>
      </c>
      <c r="S229" s="340">
        <v>1</v>
      </c>
    </row>
    <row r="230" spans="1:19" ht="29" x14ac:dyDescent="0.35">
      <c r="A230" s="349">
        <v>219</v>
      </c>
      <c r="B230" s="358" t="s">
        <v>10080</v>
      </c>
      <c r="C230" s="359" t="s">
        <v>10081</v>
      </c>
      <c r="D230" s="360" t="s">
        <v>51</v>
      </c>
      <c r="E230" s="360" t="s">
        <v>10082</v>
      </c>
      <c r="F230" s="360" t="s">
        <v>10078</v>
      </c>
      <c r="G230" s="360" t="s">
        <v>10078</v>
      </c>
      <c r="H230" s="360">
        <v>172</v>
      </c>
      <c r="I230" s="358" t="s">
        <v>10320</v>
      </c>
      <c r="J230" s="361"/>
      <c r="K230" s="358"/>
      <c r="L230" s="358"/>
      <c r="M230" s="360" t="s">
        <v>10084</v>
      </c>
      <c r="N230" s="358"/>
      <c r="O230" s="360" t="s">
        <v>422</v>
      </c>
      <c r="P230" s="362">
        <v>70000000</v>
      </c>
      <c r="Q230" s="363" t="s">
        <v>8603</v>
      </c>
      <c r="R230" s="364" t="s">
        <v>7976</v>
      </c>
      <c r="S230" s="340">
        <v>1</v>
      </c>
    </row>
    <row r="231" spans="1:19" ht="29.5" thickBot="1" x14ac:dyDescent="0.4">
      <c r="A231" s="357">
        <v>220</v>
      </c>
      <c r="B231" s="358" t="s">
        <v>10080</v>
      </c>
      <c r="C231" s="359" t="s">
        <v>10081</v>
      </c>
      <c r="D231" s="360" t="s">
        <v>59</v>
      </c>
      <c r="E231" s="360" t="s">
        <v>10082</v>
      </c>
      <c r="F231" s="360" t="s">
        <v>10078</v>
      </c>
      <c r="G231" s="360" t="s">
        <v>10078</v>
      </c>
      <c r="H231" s="360">
        <v>255</v>
      </c>
      <c r="I231" s="358" t="s">
        <v>10320</v>
      </c>
      <c r="J231" s="361"/>
      <c r="K231" s="358"/>
      <c r="L231" s="358"/>
      <c r="M231" s="360" t="s">
        <v>10084</v>
      </c>
      <c r="N231" s="358"/>
      <c r="O231" s="360" t="s">
        <v>57</v>
      </c>
      <c r="P231" s="362">
        <v>1085654000</v>
      </c>
      <c r="Q231" s="363"/>
      <c r="R231" s="364" t="s">
        <v>7976</v>
      </c>
      <c r="S231" s="340">
        <v>1</v>
      </c>
    </row>
    <row r="232" spans="1:19" ht="58" x14ac:dyDescent="0.35">
      <c r="A232" s="349">
        <v>221</v>
      </c>
      <c r="B232" s="358" t="s">
        <v>10110</v>
      </c>
      <c r="C232" s="359" t="s">
        <v>10111</v>
      </c>
      <c r="D232" s="360" t="s">
        <v>97</v>
      </c>
      <c r="E232" s="360" t="s">
        <v>10082</v>
      </c>
      <c r="F232" s="360" t="s">
        <v>10078</v>
      </c>
      <c r="G232" s="360" t="s">
        <v>10088</v>
      </c>
      <c r="H232" s="360">
        <v>72</v>
      </c>
      <c r="I232" s="358" t="s">
        <v>10321</v>
      </c>
      <c r="J232" s="361"/>
      <c r="K232" s="358" t="s">
        <v>10322</v>
      </c>
      <c r="L232" s="358"/>
      <c r="M232" s="360"/>
      <c r="N232" s="358"/>
      <c r="O232" s="360" t="s">
        <v>44</v>
      </c>
      <c r="P232" s="362">
        <v>257060480</v>
      </c>
      <c r="Q232" s="363" t="s">
        <v>10323</v>
      </c>
      <c r="R232" s="364" t="s">
        <v>7976</v>
      </c>
      <c r="S232" s="340">
        <v>1</v>
      </c>
    </row>
    <row r="233" spans="1:19" ht="44" thickBot="1" x14ac:dyDescent="0.4">
      <c r="A233" s="357">
        <v>222</v>
      </c>
      <c r="B233" s="358" t="s">
        <v>10110</v>
      </c>
      <c r="C233" s="359" t="s">
        <v>10111</v>
      </c>
      <c r="D233" s="360" t="s">
        <v>101</v>
      </c>
      <c r="E233" s="360" t="s">
        <v>10082</v>
      </c>
      <c r="F233" s="360" t="s">
        <v>10078</v>
      </c>
      <c r="G233" s="360" t="s">
        <v>10088</v>
      </c>
      <c r="H233" s="360">
        <v>72</v>
      </c>
      <c r="I233" s="358" t="s">
        <v>10321</v>
      </c>
      <c r="J233" s="361"/>
      <c r="K233" s="358" t="s">
        <v>10324</v>
      </c>
      <c r="L233" s="358"/>
      <c r="M233" s="360"/>
      <c r="N233" s="358"/>
      <c r="O233" s="360" t="s">
        <v>44</v>
      </c>
      <c r="P233" s="362">
        <v>237921852</v>
      </c>
      <c r="Q233" s="363" t="s">
        <v>10325</v>
      </c>
      <c r="R233" s="364" t="s">
        <v>7976</v>
      </c>
      <c r="S233" s="340">
        <v>1</v>
      </c>
    </row>
    <row r="234" spans="1:19" ht="29" x14ac:dyDescent="0.35">
      <c r="A234" s="349">
        <v>223</v>
      </c>
      <c r="B234" s="358" t="s">
        <v>10092</v>
      </c>
      <c r="C234" s="359" t="s">
        <v>10093</v>
      </c>
      <c r="D234" s="360" t="s">
        <v>51</v>
      </c>
      <c r="E234" s="360" t="s">
        <v>10082</v>
      </c>
      <c r="F234" s="360" t="s">
        <v>10078</v>
      </c>
      <c r="G234" s="360" t="s">
        <v>10088</v>
      </c>
      <c r="H234" s="360">
        <v>61</v>
      </c>
      <c r="I234" s="358" t="s">
        <v>10326</v>
      </c>
      <c r="J234" s="361">
        <v>41904</v>
      </c>
      <c r="K234" s="358" t="s">
        <v>10327</v>
      </c>
      <c r="L234" s="358"/>
      <c r="M234" s="360" t="s">
        <v>10084</v>
      </c>
      <c r="N234" s="358"/>
      <c r="O234" s="360" t="s">
        <v>57</v>
      </c>
      <c r="P234" s="362">
        <v>147500000</v>
      </c>
      <c r="Q234" s="363" t="s">
        <v>10328</v>
      </c>
      <c r="R234" s="364" t="s">
        <v>7976</v>
      </c>
      <c r="S234" s="340">
        <v>1</v>
      </c>
    </row>
    <row r="235" spans="1:19" ht="44" thickBot="1" x14ac:dyDescent="0.4">
      <c r="A235" s="357">
        <v>224</v>
      </c>
      <c r="B235" s="358" t="s">
        <v>10085</v>
      </c>
      <c r="C235" s="359" t="s">
        <v>10086</v>
      </c>
      <c r="D235" s="360" t="s">
        <v>51</v>
      </c>
      <c r="E235" s="360" t="s">
        <v>10082</v>
      </c>
      <c r="F235" s="360" t="s">
        <v>10078</v>
      </c>
      <c r="G235" s="360" t="s">
        <v>10078</v>
      </c>
      <c r="H235" s="360">
        <v>66</v>
      </c>
      <c r="I235" s="358" t="s">
        <v>10329</v>
      </c>
      <c r="J235" s="361">
        <v>41585</v>
      </c>
      <c r="K235" s="358" t="s">
        <v>10330</v>
      </c>
      <c r="L235" s="358"/>
      <c r="M235" s="360" t="s">
        <v>10084</v>
      </c>
      <c r="N235" s="358"/>
      <c r="O235" s="360" t="s">
        <v>57</v>
      </c>
      <c r="P235" s="362">
        <v>315398200</v>
      </c>
      <c r="Q235" s="363" t="s">
        <v>10331</v>
      </c>
      <c r="R235" s="364" t="s">
        <v>7976</v>
      </c>
      <c r="S235" s="340">
        <v>1</v>
      </c>
    </row>
    <row r="236" spans="1:19" ht="46.5" x14ac:dyDescent="0.35">
      <c r="A236" s="349">
        <v>225</v>
      </c>
      <c r="B236" s="364" t="s">
        <v>10146</v>
      </c>
      <c r="C236" s="365" t="s">
        <v>10147</v>
      </c>
      <c r="D236" s="366" t="s">
        <v>51</v>
      </c>
      <c r="E236" s="366" t="s">
        <v>10082</v>
      </c>
      <c r="F236" s="366" t="s">
        <v>10078</v>
      </c>
      <c r="G236" s="366" t="s">
        <v>10078</v>
      </c>
      <c r="H236" s="366">
        <v>63</v>
      </c>
      <c r="I236" s="364" t="s">
        <v>10332</v>
      </c>
      <c r="J236" s="367">
        <v>43692</v>
      </c>
      <c r="K236" s="364" t="s">
        <v>10333</v>
      </c>
      <c r="L236" s="358"/>
      <c r="M236" s="366" t="s">
        <v>10084</v>
      </c>
      <c r="N236" s="358"/>
      <c r="O236" s="366" t="s">
        <v>57</v>
      </c>
      <c r="P236" s="368">
        <v>221643500</v>
      </c>
      <c r="Q236" s="369" t="s">
        <v>10334</v>
      </c>
      <c r="R236" s="364" t="s">
        <v>7976</v>
      </c>
      <c r="S236" s="340">
        <v>1</v>
      </c>
    </row>
    <row r="237" spans="1:19" ht="47" thickBot="1" x14ac:dyDescent="0.4">
      <c r="A237" s="357">
        <v>226</v>
      </c>
      <c r="B237" s="364" t="s">
        <v>10080</v>
      </c>
      <c r="C237" s="365" t="s">
        <v>10081</v>
      </c>
      <c r="D237" s="366" t="s">
        <v>51</v>
      </c>
      <c r="E237" s="366" t="s">
        <v>10082</v>
      </c>
      <c r="F237" s="366" t="s">
        <v>10078</v>
      </c>
      <c r="G237" s="366" t="s">
        <v>10078</v>
      </c>
      <c r="H237" s="366">
        <v>198</v>
      </c>
      <c r="I237" s="364" t="s">
        <v>10335</v>
      </c>
      <c r="J237" s="367"/>
      <c r="K237" s="364"/>
      <c r="L237" s="358"/>
      <c r="M237" s="366" t="s">
        <v>10084</v>
      </c>
      <c r="N237" s="358"/>
      <c r="O237" s="366" t="s">
        <v>57</v>
      </c>
      <c r="P237" s="368">
        <v>644897000</v>
      </c>
      <c r="Q237" s="369"/>
      <c r="R237" s="364" t="s">
        <v>7978</v>
      </c>
      <c r="S237" s="340">
        <v>1</v>
      </c>
    </row>
    <row r="238" spans="1:19" ht="46.5" x14ac:dyDescent="0.35">
      <c r="A238" s="349">
        <v>227</v>
      </c>
      <c r="B238" s="364" t="s">
        <v>10080</v>
      </c>
      <c r="C238" s="365" t="s">
        <v>10081</v>
      </c>
      <c r="D238" s="366" t="s">
        <v>59</v>
      </c>
      <c r="E238" s="366" t="s">
        <v>10082</v>
      </c>
      <c r="F238" s="366" t="s">
        <v>10078</v>
      </c>
      <c r="G238" s="366" t="s">
        <v>10078</v>
      </c>
      <c r="H238" s="366">
        <v>72</v>
      </c>
      <c r="I238" s="364" t="s">
        <v>10335</v>
      </c>
      <c r="J238" s="367"/>
      <c r="K238" s="364"/>
      <c r="L238" s="358"/>
      <c r="M238" s="366" t="s">
        <v>10084</v>
      </c>
      <c r="N238" s="358"/>
      <c r="O238" s="360" t="s">
        <v>57</v>
      </c>
      <c r="P238" s="368">
        <v>454174000</v>
      </c>
      <c r="Q238" s="369"/>
      <c r="R238" s="364" t="s">
        <v>7978</v>
      </c>
      <c r="S238" s="340">
        <v>1</v>
      </c>
    </row>
    <row r="239" spans="1:19" ht="47" thickBot="1" x14ac:dyDescent="0.4">
      <c r="A239" s="357">
        <v>228</v>
      </c>
      <c r="B239" s="364" t="s">
        <v>10080</v>
      </c>
      <c r="C239" s="365" t="s">
        <v>10081</v>
      </c>
      <c r="D239" s="366" t="s">
        <v>97</v>
      </c>
      <c r="E239" s="366" t="s">
        <v>10082</v>
      </c>
      <c r="F239" s="366" t="s">
        <v>10078</v>
      </c>
      <c r="G239" s="366" t="s">
        <v>10078</v>
      </c>
      <c r="H239" s="366">
        <v>172</v>
      </c>
      <c r="I239" s="364" t="s">
        <v>10335</v>
      </c>
      <c r="J239" s="367"/>
      <c r="K239" s="364"/>
      <c r="L239" s="358"/>
      <c r="M239" s="366" t="s">
        <v>10084</v>
      </c>
      <c r="N239" s="358"/>
      <c r="O239" s="360" t="s">
        <v>422</v>
      </c>
      <c r="P239" s="368">
        <v>172800000</v>
      </c>
      <c r="Q239" s="369" t="s">
        <v>8603</v>
      </c>
      <c r="R239" s="364" t="s">
        <v>7978</v>
      </c>
      <c r="S239" s="340">
        <v>1</v>
      </c>
    </row>
    <row r="240" spans="1:19" ht="31" x14ac:dyDescent="0.35">
      <c r="A240" s="349">
        <v>229</v>
      </c>
      <c r="B240" s="364" t="s">
        <v>10110</v>
      </c>
      <c r="C240" s="365" t="s">
        <v>10111</v>
      </c>
      <c r="D240" s="366" t="s">
        <v>51</v>
      </c>
      <c r="E240" s="366" t="s">
        <v>10082</v>
      </c>
      <c r="F240" s="366" t="s">
        <v>10078</v>
      </c>
      <c r="G240" s="366" t="s">
        <v>10078</v>
      </c>
      <c r="H240" s="366">
        <v>18</v>
      </c>
      <c r="I240" s="364" t="s">
        <v>10336</v>
      </c>
      <c r="J240" s="367">
        <v>44398</v>
      </c>
      <c r="K240" s="364" t="s">
        <v>10337</v>
      </c>
      <c r="L240" s="358"/>
      <c r="M240" s="366" t="s">
        <v>10084</v>
      </c>
      <c r="N240" s="358"/>
      <c r="O240" s="360" t="s">
        <v>57</v>
      </c>
      <c r="P240" s="368">
        <v>216700374.40000001</v>
      </c>
      <c r="Q240" s="369" t="s">
        <v>10338</v>
      </c>
      <c r="R240" s="364" t="s">
        <v>7978</v>
      </c>
      <c r="S240" s="340">
        <v>1</v>
      </c>
    </row>
    <row r="241" spans="1:19" ht="47" thickBot="1" x14ac:dyDescent="0.4">
      <c r="A241" s="357">
        <v>230</v>
      </c>
      <c r="B241" s="364" t="s">
        <v>10092</v>
      </c>
      <c r="C241" s="365" t="s">
        <v>10093</v>
      </c>
      <c r="D241" s="366" t="s">
        <v>51</v>
      </c>
      <c r="E241" s="366" t="s">
        <v>10082</v>
      </c>
      <c r="F241" s="366" t="s">
        <v>10078</v>
      </c>
      <c r="G241" s="366" t="s">
        <v>10088</v>
      </c>
      <c r="H241" s="366">
        <v>61</v>
      </c>
      <c r="I241" s="364" t="s">
        <v>10335</v>
      </c>
      <c r="J241" s="367">
        <v>41904</v>
      </c>
      <c r="K241" s="364" t="s">
        <v>10339</v>
      </c>
      <c r="L241" s="358"/>
      <c r="M241" s="366" t="s">
        <v>10084</v>
      </c>
      <c r="N241" s="358"/>
      <c r="O241" s="360" t="s">
        <v>57</v>
      </c>
      <c r="P241" s="368">
        <v>147500000</v>
      </c>
      <c r="Q241" s="369" t="s">
        <v>10340</v>
      </c>
      <c r="R241" s="364" t="s">
        <v>7978</v>
      </c>
      <c r="S241" s="340">
        <v>1</v>
      </c>
    </row>
    <row r="242" spans="1:19" ht="46.5" x14ac:dyDescent="0.35">
      <c r="A242" s="349">
        <v>231</v>
      </c>
      <c r="B242" s="364" t="s">
        <v>10085</v>
      </c>
      <c r="C242" s="365" t="s">
        <v>10086</v>
      </c>
      <c r="D242" s="366" t="s">
        <v>51</v>
      </c>
      <c r="E242" s="366" t="s">
        <v>10082</v>
      </c>
      <c r="F242" s="366" t="s">
        <v>10078</v>
      </c>
      <c r="G242" s="366" t="s">
        <v>10078</v>
      </c>
      <c r="H242" s="366">
        <v>30</v>
      </c>
      <c r="I242" s="364" t="s">
        <v>10335</v>
      </c>
      <c r="J242" s="367"/>
      <c r="K242" s="364"/>
      <c r="L242" s="358"/>
      <c r="M242" s="366" t="s">
        <v>10084</v>
      </c>
      <c r="N242" s="358"/>
      <c r="O242" s="360" t="s">
        <v>57</v>
      </c>
      <c r="P242" s="368">
        <v>51651000</v>
      </c>
      <c r="Q242" s="369"/>
      <c r="R242" s="364" t="s">
        <v>7978</v>
      </c>
      <c r="S242" s="340">
        <v>1</v>
      </c>
    </row>
    <row r="243" spans="1:19" ht="47" thickBot="1" x14ac:dyDescent="0.4">
      <c r="A243" s="357">
        <v>232</v>
      </c>
      <c r="B243" s="364" t="s">
        <v>10085</v>
      </c>
      <c r="C243" s="365" t="s">
        <v>10086</v>
      </c>
      <c r="D243" s="366" t="s">
        <v>59</v>
      </c>
      <c r="E243" s="366" t="s">
        <v>10082</v>
      </c>
      <c r="F243" s="366" t="s">
        <v>10078</v>
      </c>
      <c r="G243" s="366" t="s">
        <v>10078</v>
      </c>
      <c r="H243" s="366">
        <v>30</v>
      </c>
      <c r="I243" s="364" t="s">
        <v>10335</v>
      </c>
      <c r="J243" s="367"/>
      <c r="K243" s="364"/>
      <c r="L243" s="358"/>
      <c r="M243" s="366" t="s">
        <v>10084</v>
      </c>
      <c r="N243" s="358"/>
      <c r="O243" s="360" t="s">
        <v>57</v>
      </c>
      <c r="P243" s="368">
        <v>51651000</v>
      </c>
      <c r="Q243" s="369"/>
      <c r="R243" s="364" t="s">
        <v>7978</v>
      </c>
      <c r="S243" s="340">
        <v>1</v>
      </c>
    </row>
    <row r="244" spans="1:19" ht="46.5" x14ac:dyDescent="0.35">
      <c r="A244" s="349">
        <v>233</v>
      </c>
      <c r="B244" s="364" t="s">
        <v>10085</v>
      </c>
      <c r="C244" s="365" t="s">
        <v>10086</v>
      </c>
      <c r="D244" s="366" t="s">
        <v>97</v>
      </c>
      <c r="E244" s="366" t="s">
        <v>10082</v>
      </c>
      <c r="F244" s="366" t="s">
        <v>10078</v>
      </c>
      <c r="G244" s="366" t="s">
        <v>10078</v>
      </c>
      <c r="H244" s="366">
        <v>54</v>
      </c>
      <c r="I244" s="364" t="s">
        <v>10335</v>
      </c>
      <c r="J244" s="367"/>
      <c r="K244" s="364"/>
      <c r="L244" s="358"/>
      <c r="M244" s="366" t="s">
        <v>10084</v>
      </c>
      <c r="N244" s="358"/>
      <c r="O244" s="360" t="s">
        <v>57</v>
      </c>
      <c r="P244" s="368">
        <v>92972000</v>
      </c>
      <c r="Q244" s="369"/>
      <c r="R244" s="364" t="s">
        <v>7978</v>
      </c>
      <c r="S244" s="340">
        <v>1</v>
      </c>
    </row>
    <row r="245" spans="1:19" ht="31.5" thickBot="1" x14ac:dyDescent="0.4">
      <c r="A245" s="357">
        <v>234</v>
      </c>
      <c r="B245" s="364" t="s">
        <v>10146</v>
      </c>
      <c r="C245" s="365" t="s">
        <v>10147</v>
      </c>
      <c r="D245" s="366" t="s">
        <v>51</v>
      </c>
      <c r="E245" s="366" t="s">
        <v>10082</v>
      </c>
      <c r="F245" s="366" t="s">
        <v>10078</v>
      </c>
      <c r="G245" s="366" t="s">
        <v>10078</v>
      </c>
      <c r="H245" s="366">
        <v>0</v>
      </c>
      <c r="I245" s="364" t="s">
        <v>10341</v>
      </c>
      <c r="J245" s="367">
        <v>44398</v>
      </c>
      <c r="K245" s="364" t="s">
        <v>10342</v>
      </c>
      <c r="L245" s="358"/>
      <c r="M245" s="366" t="s">
        <v>10084</v>
      </c>
      <c r="N245" s="358"/>
      <c r="O245" s="360" t="s">
        <v>57</v>
      </c>
      <c r="P245" s="368">
        <v>423521000</v>
      </c>
      <c r="Q245" s="369" t="s">
        <v>10343</v>
      </c>
      <c r="R245" s="364" t="s">
        <v>7978</v>
      </c>
      <c r="S245" s="340">
        <v>1</v>
      </c>
    </row>
    <row r="246" spans="1:19" ht="31" x14ac:dyDescent="0.35">
      <c r="A246" s="349">
        <v>235</v>
      </c>
      <c r="B246" s="364" t="s">
        <v>10096</v>
      </c>
      <c r="C246" s="365" t="s">
        <v>10097</v>
      </c>
      <c r="D246" s="366" t="s">
        <v>51</v>
      </c>
      <c r="E246" s="366" t="s">
        <v>10082</v>
      </c>
      <c r="F246" s="366" t="s">
        <v>10078</v>
      </c>
      <c r="G246" s="366" t="s">
        <v>10088</v>
      </c>
      <c r="H246" s="366" t="s">
        <v>10344</v>
      </c>
      <c r="I246" s="364" t="s">
        <v>10345</v>
      </c>
      <c r="J246" s="367"/>
      <c r="K246" s="364" t="s">
        <v>10346</v>
      </c>
      <c r="L246" s="358"/>
      <c r="M246" s="366"/>
      <c r="N246" s="358"/>
      <c r="O246" s="360" t="s">
        <v>44</v>
      </c>
      <c r="P246" s="368">
        <v>220521945</v>
      </c>
      <c r="Q246" s="369" t="s">
        <v>10347</v>
      </c>
      <c r="R246" s="364" t="s">
        <v>7978</v>
      </c>
      <c r="S246" s="340">
        <v>1</v>
      </c>
    </row>
    <row r="247" spans="1:19" ht="47" thickBot="1" x14ac:dyDescent="0.4">
      <c r="A247" s="357">
        <v>236</v>
      </c>
      <c r="B247" s="364" t="s">
        <v>10080</v>
      </c>
      <c r="C247" s="365" t="s">
        <v>10081</v>
      </c>
      <c r="D247" s="366" t="s">
        <v>51</v>
      </c>
      <c r="E247" s="366" t="s">
        <v>10082</v>
      </c>
      <c r="F247" s="366" t="s">
        <v>10078</v>
      </c>
      <c r="G247" s="366" t="s">
        <v>10078</v>
      </c>
      <c r="H247" s="366">
        <v>90</v>
      </c>
      <c r="I247" s="364" t="s">
        <v>10348</v>
      </c>
      <c r="J247" s="367"/>
      <c r="K247" s="364"/>
      <c r="L247" s="358"/>
      <c r="M247" s="366" t="s">
        <v>10084</v>
      </c>
      <c r="N247" s="358"/>
      <c r="O247" s="360" t="s">
        <v>57</v>
      </c>
      <c r="P247" s="368">
        <v>419193000</v>
      </c>
      <c r="Q247" s="369"/>
      <c r="R247" s="364" t="s">
        <v>7980</v>
      </c>
      <c r="S247" s="340">
        <v>1</v>
      </c>
    </row>
    <row r="248" spans="1:19" ht="46.5" x14ac:dyDescent="0.35">
      <c r="A248" s="349">
        <v>237</v>
      </c>
      <c r="B248" s="364" t="s">
        <v>10080</v>
      </c>
      <c r="C248" s="365" t="s">
        <v>10081</v>
      </c>
      <c r="D248" s="366" t="s">
        <v>59</v>
      </c>
      <c r="E248" s="366" t="s">
        <v>10082</v>
      </c>
      <c r="F248" s="366" t="s">
        <v>10078</v>
      </c>
      <c r="G248" s="366" t="s">
        <v>10078</v>
      </c>
      <c r="H248" s="366">
        <v>252</v>
      </c>
      <c r="I248" s="364" t="s">
        <v>10348</v>
      </c>
      <c r="J248" s="367"/>
      <c r="K248" s="364"/>
      <c r="L248" s="358"/>
      <c r="M248" s="366" t="s">
        <v>10084</v>
      </c>
      <c r="N248" s="358"/>
      <c r="O248" s="360" t="s">
        <v>57</v>
      </c>
      <c r="P248" s="368">
        <v>1035112000</v>
      </c>
      <c r="Q248" s="369"/>
      <c r="R248" s="364" t="s">
        <v>7980</v>
      </c>
      <c r="S248" s="340">
        <v>1</v>
      </c>
    </row>
    <row r="249" spans="1:19" ht="47" thickBot="1" x14ac:dyDescent="0.4">
      <c r="A249" s="357">
        <v>238</v>
      </c>
      <c r="B249" s="364" t="s">
        <v>10080</v>
      </c>
      <c r="C249" s="365" t="s">
        <v>10081</v>
      </c>
      <c r="D249" s="366" t="s">
        <v>97</v>
      </c>
      <c r="E249" s="366" t="s">
        <v>10082</v>
      </c>
      <c r="F249" s="366" t="s">
        <v>10078</v>
      </c>
      <c r="G249" s="366" t="s">
        <v>10078</v>
      </c>
      <c r="H249" s="366">
        <v>172</v>
      </c>
      <c r="I249" s="364" t="s">
        <v>10348</v>
      </c>
      <c r="J249" s="367"/>
      <c r="K249" s="364"/>
      <c r="L249" s="358"/>
      <c r="M249" s="366" t="s">
        <v>10084</v>
      </c>
      <c r="N249" s="358"/>
      <c r="O249" s="360" t="s">
        <v>422</v>
      </c>
      <c r="P249" s="368">
        <v>108000000</v>
      </c>
      <c r="Q249" s="369" t="s">
        <v>8603</v>
      </c>
      <c r="R249" s="364" t="s">
        <v>7980</v>
      </c>
      <c r="S249" s="340">
        <v>1</v>
      </c>
    </row>
    <row r="250" spans="1:19" ht="46.5" x14ac:dyDescent="0.35">
      <c r="A250" s="349">
        <v>239</v>
      </c>
      <c r="B250" s="364" t="s">
        <v>10080</v>
      </c>
      <c r="C250" s="365" t="s">
        <v>10081</v>
      </c>
      <c r="D250" s="366" t="s">
        <v>101</v>
      </c>
      <c r="E250" s="366" t="s">
        <v>10082</v>
      </c>
      <c r="F250" s="366" t="s">
        <v>10078</v>
      </c>
      <c r="G250" s="366" t="s">
        <v>10078</v>
      </c>
      <c r="H250" s="366">
        <v>64</v>
      </c>
      <c r="I250" s="364" t="s">
        <v>10349</v>
      </c>
      <c r="J250" s="367"/>
      <c r="K250" s="364" t="s">
        <v>10350</v>
      </c>
      <c r="L250" s="358"/>
      <c r="M250" s="366"/>
      <c r="N250" s="358"/>
      <c r="O250" s="360" t="s">
        <v>44</v>
      </c>
      <c r="P250" s="368">
        <v>199136300</v>
      </c>
      <c r="Q250" s="369" t="s">
        <v>10351</v>
      </c>
      <c r="R250" s="364" t="s">
        <v>7980</v>
      </c>
      <c r="S250" s="340">
        <v>1</v>
      </c>
    </row>
    <row r="251" spans="1:19" ht="31.5" thickBot="1" x14ac:dyDescent="0.4">
      <c r="A251" s="357">
        <v>240</v>
      </c>
      <c r="B251" s="364" t="s">
        <v>10080</v>
      </c>
      <c r="C251" s="365" t="s">
        <v>10081</v>
      </c>
      <c r="D251" s="366" t="s">
        <v>107</v>
      </c>
      <c r="E251" s="366" t="s">
        <v>10082</v>
      </c>
      <c r="F251" s="366" t="s">
        <v>10078</v>
      </c>
      <c r="G251" s="366" t="s">
        <v>10088</v>
      </c>
      <c r="H251" s="366">
        <v>56</v>
      </c>
      <c r="I251" s="364" t="s">
        <v>10352</v>
      </c>
      <c r="J251" s="367"/>
      <c r="K251" s="364" t="s">
        <v>10353</v>
      </c>
      <c r="L251" s="358"/>
      <c r="M251" s="366"/>
      <c r="N251" s="358"/>
      <c r="O251" s="360" t="s">
        <v>44</v>
      </c>
      <c r="P251" s="368">
        <v>110503110</v>
      </c>
      <c r="Q251" s="369" t="s">
        <v>10354</v>
      </c>
      <c r="R251" s="364" t="s">
        <v>7980</v>
      </c>
      <c r="S251" s="340">
        <v>1</v>
      </c>
    </row>
    <row r="252" spans="1:19" ht="46.5" x14ac:dyDescent="0.35">
      <c r="A252" s="349">
        <v>241</v>
      </c>
      <c r="B252" s="364" t="s">
        <v>10110</v>
      </c>
      <c r="C252" s="365" t="s">
        <v>10111</v>
      </c>
      <c r="D252" s="366" t="s">
        <v>51</v>
      </c>
      <c r="E252" s="366" t="s">
        <v>10082</v>
      </c>
      <c r="F252" s="366" t="s">
        <v>10078</v>
      </c>
      <c r="G252" s="366" t="s">
        <v>10078</v>
      </c>
      <c r="H252" s="366">
        <v>8</v>
      </c>
      <c r="I252" s="364" t="s">
        <v>10348</v>
      </c>
      <c r="J252" s="367"/>
      <c r="K252" s="364"/>
      <c r="L252" s="358"/>
      <c r="M252" s="366" t="s">
        <v>10084</v>
      </c>
      <c r="N252" s="358"/>
      <c r="O252" s="360" t="s">
        <v>57</v>
      </c>
      <c r="P252" s="368">
        <v>13774000</v>
      </c>
      <c r="Q252" s="369"/>
      <c r="R252" s="364" t="s">
        <v>7980</v>
      </c>
      <c r="S252" s="340">
        <v>1</v>
      </c>
    </row>
    <row r="253" spans="1:19" ht="47" thickBot="1" x14ac:dyDescent="0.4">
      <c r="A253" s="357">
        <v>242</v>
      </c>
      <c r="B253" s="364" t="s">
        <v>10092</v>
      </c>
      <c r="C253" s="365" t="s">
        <v>10093</v>
      </c>
      <c r="D253" s="366" t="s">
        <v>51</v>
      </c>
      <c r="E253" s="366" t="s">
        <v>10082</v>
      </c>
      <c r="F253" s="366" t="s">
        <v>10078</v>
      </c>
      <c r="G253" s="366" t="s">
        <v>10088</v>
      </c>
      <c r="H253" s="366">
        <v>61</v>
      </c>
      <c r="I253" s="364" t="s">
        <v>10348</v>
      </c>
      <c r="J253" s="367">
        <v>41904</v>
      </c>
      <c r="K253" s="364" t="s">
        <v>10355</v>
      </c>
      <c r="L253" s="358"/>
      <c r="M253" s="366" t="s">
        <v>10084</v>
      </c>
      <c r="N253" s="358"/>
      <c r="O253" s="366" t="s">
        <v>57</v>
      </c>
      <c r="P253" s="368">
        <v>147500000</v>
      </c>
      <c r="Q253" s="369" t="s">
        <v>10356</v>
      </c>
      <c r="R253" s="364" t="s">
        <v>7980</v>
      </c>
      <c r="S253" s="340">
        <v>1</v>
      </c>
    </row>
    <row r="254" spans="1:19" ht="46.5" x14ac:dyDescent="0.35">
      <c r="A254" s="349">
        <v>243</v>
      </c>
      <c r="B254" s="364" t="s">
        <v>10146</v>
      </c>
      <c r="C254" s="365" t="s">
        <v>10147</v>
      </c>
      <c r="D254" s="366" t="s">
        <v>51</v>
      </c>
      <c r="E254" s="366" t="s">
        <v>10082</v>
      </c>
      <c r="F254" s="366" t="s">
        <v>10078</v>
      </c>
      <c r="G254" s="366" t="s">
        <v>10088</v>
      </c>
      <c r="H254" s="366">
        <v>59</v>
      </c>
      <c r="I254" s="364" t="s">
        <v>10348</v>
      </c>
      <c r="J254" s="367">
        <v>41906</v>
      </c>
      <c r="K254" s="364" t="s">
        <v>10357</v>
      </c>
      <c r="L254" s="358"/>
      <c r="M254" s="366" t="s">
        <v>10084</v>
      </c>
      <c r="N254" s="358"/>
      <c r="O254" s="366" t="s">
        <v>57</v>
      </c>
      <c r="P254" s="368">
        <v>420279950</v>
      </c>
      <c r="Q254" s="369" t="s">
        <v>10358</v>
      </c>
      <c r="R254" s="364" t="s">
        <v>7980</v>
      </c>
      <c r="S254" s="340">
        <v>1</v>
      </c>
    </row>
    <row r="255" spans="1:19" ht="47" thickBot="1" x14ac:dyDescent="0.4">
      <c r="A255" s="357">
        <v>244</v>
      </c>
      <c r="B255" s="364" t="s">
        <v>10096</v>
      </c>
      <c r="C255" s="365" t="s">
        <v>10097</v>
      </c>
      <c r="D255" s="366" t="s">
        <v>51</v>
      </c>
      <c r="E255" s="366" t="s">
        <v>10082</v>
      </c>
      <c r="F255" s="366" t="s">
        <v>10078</v>
      </c>
      <c r="G255" s="366" t="s">
        <v>10088</v>
      </c>
      <c r="H255" s="366">
        <v>72</v>
      </c>
      <c r="I255" s="364" t="s">
        <v>10349</v>
      </c>
      <c r="J255" s="367"/>
      <c r="K255" s="364" t="s">
        <v>10359</v>
      </c>
      <c r="L255" s="358"/>
      <c r="M255" s="366"/>
      <c r="N255" s="358"/>
      <c r="O255" s="366" t="s">
        <v>44</v>
      </c>
      <c r="P255" s="368">
        <v>199468000</v>
      </c>
      <c r="Q255" s="369" t="s">
        <v>10360</v>
      </c>
      <c r="R255" s="364" t="s">
        <v>7980</v>
      </c>
      <c r="S255" s="340">
        <v>1</v>
      </c>
    </row>
    <row r="256" spans="1:19" ht="31" x14ac:dyDescent="0.35">
      <c r="A256" s="349">
        <v>245</v>
      </c>
      <c r="B256" s="364" t="s">
        <v>10080</v>
      </c>
      <c r="C256" s="365" t="s">
        <v>10081</v>
      </c>
      <c r="D256" s="366" t="s">
        <v>51</v>
      </c>
      <c r="E256" s="366" t="s">
        <v>10082</v>
      </c>
      <c r="F256" s="366" t="s">
        <v>10078</v>
      </c>
      <c r="G256" s="366" t="s">
        <v>10078</v>
      </c>
      <c r="H256" s="366">
        <v>270</v>
      </c>
      <c r="I256" s="364" t="s">
        <v>10361</v>
      </c>
      <c r="J256" s="367"/>
      <c r="K256" s="364"/>
      <c r="L256" s="358"/>
      <c r="M256" s="366" t="s">
        <v>10084</v>
      </c>
      <c r="N256" s="358"/>
      <c r="O256" s="366" t="s">
        <v>57</v>
      </c>
      <c r="P256" s="368">
        <v>1257224729.2</v>
      </c>
      <c r="Q256" s="369"/>
      <c r="R256" s="364" t="s">
        <v>7982</v>
      </c>
      <c r="S256" s="340">
        <v>1</v>
      </c>
    </row>
    <row r="257" spans="1:19" ht="31.5" thickBot="1" x14ac:dyDescent="0.4">
      <c r="A257" s="357">
        <v>246</v>
      </c>
      <c r="B257" s="364" t="s">
        <v>10080</v>
      </c>
      <c r="C257" s="365" t="s">
        <v>10081</v>
      </c>
      <c r="D257" s="366" t="s">
        <v>59</v>
      </c>
      <c r="E257" s="366" t="s">
        <v>10082</v>
      </c>
      <c r="F257" s="366" t="s">
        <v>10078</v>
      </c>
      <c r="G257" s="366" t="s">
        <v>10078</v>
      </c>
      <c r="H257" s="366">
        <v>260</v>
      </c>
      <c r="I257" s="364" t="s">
        <v>10361</v>
      </c>
      <c r="J257" s="367"/>
      <c r="K257" s="364"/>
      <c r="L257" s="358"/>
      <c r="M257" s="366" t="s">
        <v>10084</v>
      </c>
      <c r="N257" s="358"/>
      <c r="O257" s="366" t="s">
        <v>422</v>
      </c>
      <c r="P257" s="368">
        <v>55000000</v>
      </c>
      <c r="Q257" s="369" t="s">
        <v>8603</v>
      </c>
      <c r="R257" s="364" t="s">
        <v>7982</v>
      </c>
      <c r="S257" s="340">
        <v>1</v>
      </c>
    </row>
    <row r="258" spans="1:19" ht="31" x14ac:dyDescent="0.35">
      <c r="A258" s="349">
        <v>247</v>
      </c>
      <c r="B258" s="364" t="s">
        <v>10085</v>
      </c>
      <c r="C258" s="365" t="s">
        <v>10086</v>
      </c>
      <c r="D258" s="366" t="s">
        <v>51</v>
      </c>
      <c r="E258" s="366" t="s">
        <v>10082</v>
      </c>
      <c r="F258" s="366" t="s">
        <v>10078</v>
      </c>
      <c r="G258" s="366" t="s">
        <v>10078</v>
      </c>
      <c r="H258" s="366">
        <v>36</v>
      </c>
      <c r="I258" s="364" t="s">
        <v>10361</v>
      </c>
      <c r="J258" s="367"/>
      <c r="K258" s="364"/>
      <c r="L258" s="358"/>
      <c r="M258" s="366" t="s">
        <v>10084</v>
      </c>
      <c r="N258" s="358"/>
      <c r="O258" s="366" t="s">
        <v>57</v>
      </c>
      <c r="P258" s="368">
        <v>364257950</v>
      </c>
      <c r="Q258" s="369"/>
      <c r="R258" s="364" t="s">
        <v>7982</v>
      </c>
      <c r="S258" s="340">
        <v>1</v>
      </c>
    </row>
    <row r="259" spans="1:19" ht="31.5" thickBot="1" x14ac:dyDescent="0.4">
      <c r="A259" s="357">
        <v>248</v>
      </c>
      <c r="B259" s="364" t="s">
        <v>10085</v>
      </c>
      <c r="C259" s="365" t="s">
        <v>10086</v>
      </c>
      <c r="D259" s="366" t="s">
        <v>59</v>
      </c>
      <c r="E259" s="366" t="s">
        <v>10082</v>
      </c>
      <c r="F259" s="366" t="s">
        <v>10078</v>
      </c>
      <c r="G259" s="366" t="s">
        <v>10078</v>
      </c>
      <c r="H259" s="366">
        <v>36</v>
      </c>
      <c r="I259" s="364" t="s">
        <v>10361</v>
      </c>
      <c r="J259" s="367"/>
      <c r="K259" s="364"/>
      <c r="L259" s="358"/>
      <c r="M259" s="366" t="s">
        <v>10084</v>
      </c>
      <c r="N259" s="358"/>
      <c r="O259" s="366" t="s">
        <v>57</v>
      </c>
      <c r="P259" s="368">
        <v>60260000</v>
      </c>
      <c r="Q259" s="369"/>
      <c r="R259" s="364" t="s">
        <v>7982</v>
      </c>
      <c r="S259" s="340">
        <v>1</v>
      </c>
    </row>
    <row r="260" spans="1:19" ht="31" x14ac:dyDescent="0.35">
      <c r="A260" s="349">
        <v>249</v>
      </c>
      <c r="B260" s="364" t="s">
        <v>10146</v>
      </c>
      <c r="C260" s="365" t="s">
        <v>10147</v>
      </c>
      <c r="D260" s="366" t="s">
        <v>51</v>
      </c>
      <c r="E260" s="366" t="s">
        <v>10082</v>
      </c>
      <c r="F260" s="366" t="s">
        <v>10078</v>
      </c>
      <c r="G260" s="366" t="s">
        <v>10088</v>
      </c>
      <c r="H260" s="366">
        <v>56</v>
      </c>
      <c r="I260" s="364" t="s">
        <v>10361</v>
      </c>
      <c r="J260" s="367">
        <v>42941</v>
      </c>
      <c r="K260" s="364" t="s">
        <v>10362</v>
      </c>
      <c r="L260" s="358"/>
      <c r="M260" s="366" t="s">
        <v>10084</v>
      </c>
      <c r="N260" s="358"/>
      <c r="O260" s="366" t="s">
        <v>57</v>
      </c>
      <c r="P260" s="368">
        <v>221211000</v>
      </c>
      <c r="Q260" s="369" t="s">
        <v>10363</v>
      </c>
      <c r="R260" s="364" t="s">
        <v>7982</v>
      </c>
      <c r="S260" s="340">
        <v>1</v>
      </c>
    </row>
    <row r="261" spans="1:19" ht="31.5" thickBot="1" x14ac:dyDescent="0.4">
      <c r="A261" s="357">
        <v>250</v>
      </c>
      <c r="B261" s="364" t="s">
        <v>10080</v>
      </c>
      <c r="C261" s="365" t="s">
        <v>10081</v>
      </c>
      <c r="D261" s="366" t="s">
        <v>51</v>
      </c>
      <c r="E261" s="366" t="s">
        <v>10082</v>
      </c>
      <c r="F261" s="366" t="s">
        <v>10078</v>
      </c>
      <c r="G261" s="366" t="s">
        <v>10078</v>
      </c>
      <c r="H261" s="366">
        <v>108</v>
      </c>
      <c r="I261" s="364" t="s">
        <v>10364</v>
      </c>
      <c r="J261" s="367"/>
      <c r="K261" s="364"/>
      <c r="L261" s="358"/>
      <c r="M261" s="366" t="s">
        <v>10084</v>
      </c>
      <c r="N261" s="358"/>
      <c r="O261" s="366" t="s">
        <v>57</v>
      </c>
      <c r="P261" s="368">
        <v>185944000</v>
      </c>
      <c r="Q261" s="369"/>
      <c r="R261" s="364" t="s">
        <v>7984</v>
      </c>
      <c r="S261" s="340">
        <v>1</v>
      </c>
    </row>
    <row r="262" spans="1:19" ht="31" x14ac:dyDescent="0.35">
      <c r="A262" s="349">
        <v>251</v>
      </c>
      <c r="B262" s="364" t="s">
        <v>10080</v>
      </c>
      <c r="C262" s="365" t="s">
        <v>10081</v>
      </c>
      <c r="D262" s="366" t="s">
        <v>59</v>
      </c>
      <c r="E262" s="366" t="s">
        <v>10082</v>
      </c>
      <c r="F262" s="366" t="s">
        <v>10078</v>
      </c>
      <c r="G262" s="366" t="s">
        <v>10078</v>
      </c>
      <c r="H262" s="366">
        <v>144</v>
      </c>
      <c r="I262" s="364" t="s">
        <v>10364</v>
      </c>
      <c r="J262" s="367"/>
      <c r="K262" s="364"/>
      <c r="L262" s="358"/>
      <c r="M262" s="366" t="s">
        <v>10084</v>
      </c>
      <c r="N262" s="358"/>
      <c r="O262" s="366" t="s">
        <v>57</v>
      </c>
      <c r="P262" s="368">
        <v>469095292</v>
      </c>
      <c r="Q262" s="369"/>
      <c r="R262" s="364" t="s">
        <v>7984</v>
      </c>
      <c r="S262" s="340">
        <v>1</v>
      </c>
    </row>
    <row r="263" spans="1:19" ht="31.5" thickBot="1" x14ac:dyDescent="0.4">
      <c r="A263" s="357">
        <v>252</v>
      </c>
      <c r="B263" s="364" t="s">
        <v>10080</v>
      </c>
      <c r="C263" s="365" t="s">
        <v>10081</v>
      </c>
      <c r="D263" s="366" t="s">
        <v>97</v>
      </c>
      <c r="E263" s="366" t="s">
        <v>10082</v>
      </c>
      <c r="F263" s="366" t="s">
        <v>10078</v>
      </c>
      <c r="G263" s="366" t="s">
        <v>10078</v>
      </c>
      <c r="H263" s="366">
        <v>172</v>
      </c>
      <c r="I263" s="364" t="s">
        <v>10364</v>
      </c>
      <c r="J263" s="367"/>
      <c r="K263" s="364"/>
      <c r="L263" s="358"/>
      <c r="M263" s="366" t="s">
        <v>10084</v>
      </c>
      <c r="N263" s="358"/>
      <c r="O263" s="366" t="s">
        <v>422</v>
      </c>
      <c r="P263" s="368">
        <v>208000000</v>
      </c>
      <c r="Q263" s="369" t="s">
        <v>8603</v>
      </c>
      <c r="R263" s="364" t="s">
        <v>7984</v>
      </c>
      <c r="S263" s="340">
        <v>1</v>
      </c>
    </row>
    <row r="264" spans="1:19" ht="31" x14ac:dyDescent="0.35">
      <c r="A264" s="349">
        <v>253</v>
      </c>
      <c r="B264" s="364" t="s">
        <v>10080</v>
      </c>
      <c r="C264" s="365" t="s">
        <v>10081</v>
      </c>
      <c r="D264" s="366" t="s">
        <v>101</v>
      </c>
      <c r="E264" s="366" t="s">
        <v>10082</v>
      </c>
      <c r="F264" s="366" t="s">
        <v>10078</v>
      </c>
      <c r="G264" s="366" t="s">
        <v>10078</v>
      </c>
      <c r="H264" s="366">
        <v>144</v>
      </c>
      <c r="I264" s="364" t="s">
        <v>10326</v>
      </c>
      <c r="J264" s="367"/>
      <c r="K264" s="364"/>
      <c r="L264" s="358"/>
      <c r="M264" s="366" t="s">
        <v>10084</v>
      </c>
      <c r="N264" s="358"/>
      <c r="O264" s="366" t="s">
        <v>57</v>
      </c>
      <c r="P264" s="368">
        <v>275325000</v>
      </c>
      <c r="Q264" s="369"/>
      <c r="R264" s="364" t="s">
        <v>7984</v>
      </c>
      <c r="S264" s="340">
        <v>1</v>
      </c>
    </row>
    <row r="265" spans="1:19" ht="31.5" thickBot="1" x14ac:dyDescent="0.4">
      <c r="A265" s="357">
        <v>254</v>
      </c>
      <c r="B265" s="364" t="s">
        <v>10110</v>
      </c>
      <c r="C265" s="365" t="s">
        <v>10111</v>
      </c>
      <c r="D265" s="366" t="s">
        <v>51</v>
      </c>
      <c r="E265" s="366" t="s">
        <v>10082</v>
      </c>
      <c r="F265" s="366" t="s">
        <v>10078</v>
      </c>
      <c r="G265" s="366" t="s">
        <v>10078</v>
      </c>
      <c r="H265" s="366">
        <v>12</v>
      </c>
      <c r="I265" s="364" t="s">
        <v>10364</v>
      </c>
      <c r="J265" s="367"/>
      <c r="K265" s="364"/>
      <c r="L265" s="358"/>
      <c r="M265" s="366" t="s">
        <v>10084</v>
      </c>
      <c r="N265" s="358"/>
      <c r="O265" s="366" t="s">
        <v>57</v>
      </c>
      <c r="P265" s="368">
        <v>20660000</v>
      </c>
      <c r="Q265" s="369"/>
      <c r="R265" s="364" t="s">
        <v>7984</v>
      </c>
      <c r="S265" s="340">
        <v>1</v>
      </c>
    </row>
    <row r="266" spans="1:19" ht="31" x14ac:dyDescent="0.35">
      <c r="A266" s="349">
        <v>255</v>
      </c>
      <c r="B266" s="364" t="s">
        <v>10092</v>
      </c>
      <c r="C266" s="365" t="s">
        <v>10093</v>
      </c>
      <c r="D266" s="366" t="s">
        <v>51</v>
      </c>
      <c r="E266" s="366" t="s">
        <v>10082</v>
      </c>
      <c r="F266" s="366" t="s">
        <v>10078</v>
      </c>
      <c r="G266" s="366" t="s">
        <v>10078</v>
      </c>
      <c r="H266" s="366">
        <v>61</v>
      </c>
      <c r="I266" s="364" t="s">
        <v>10326</v>
      </c>
      <c r="J266" s="367"/>
      <c r="K266" s="364"/>
      <c r="L266" s="358"/>
      <c r="M266" s="366" t="s">
        <v>10084</v>
      </c>
      <c r="N266" s="358"/>
      <c r="O266" s="366" t="s">
        <v>57</v>
      </c>
      <c r="P266" s="368">
        <v>274960455</v>
      </c>
      <c r="Q266" s="369"/>
      <c r="R266" s="364" t="s">
        <v>7984</v>
      </c>
      <c r="S266" s="340">
        <v>1</v>
      </c>
    </row>
    <row r="267" spans="1:19" ht="31.5" thickBot="1" x14ac:dyDescent="0.4">
      <c r="A267" s="357">
        <v>256</v>
      </c>
      <c r="B267" s="364" t="s">
        <v>10085</v>
      </c>
      <c r="C267" s="365" t="s">
        <v>10086</v>
      </c>
      <c r="D267" s="366" t="s">
        <v>51</v>
      </c>
      <c r="E267" s="366" t="s">
        <v>10082</v>
      </c>
      <c r="F267" s="366" t="s">
        <v>10078</v>
      </c>
      <c r="G267" s="366" t="s">
        <v>10078</v>
      </c>
      <c r="H267" s="366">
        <v>54</v>
      </c>
      <c r="I267" s="364" t="s">
        <v>10364</v>
      </c>
      <c r="J267" s="367"/>
      <c r="K267" s="364"/>
      <c r="L267" s="358"/>
      <c r="M267" s="366" t="s">
        <v>10084</v>
      </c>
      <c r="N267" s="358"/>
      <c r="O267" s="366" t="s">
        <v>57</v>
      </c>
      <c r="P267" s="368">
        <v>92972000</v>
      </c>
      <c r="Q267" s="369"/>
      <c r="R267" s="364" t="s">
        <v>7984</v>
      </c>
      <c r="S267" s="340">
        <v>1</v>
      </c>
    </row>
    <row r="268" spans="1:19" ht="31" x14ac:dyDescent="0.35">
      <c r="A268" s="349">
        <v>257</v>
      </c>
      <c r="B268" s="364" t="s">
        <v>10146</v>
      </c>
      <c r="C268" s="365" t="s">
        <v>10147</v>
      </c>
      <c r="D268" s="366" t="s">
        <v>51</v>
      </c>
      <c r="E268" s="366" t="s">
        <v>10082</v>
      </c>
      <c r="F268" s="366" t="s">
        <v>10078</v>
      </c>
      <c r="G268" s="366" t="s">
        <v>10088</v>
      </c>
      <c r="H268" s="366">
        <v>51</v>
      </c>
      <c r="I268" s="364" t="s">
        <v>10364</v>
      </c>
      <c r="J268" s="367">
        <v>43248</v>
      </c>
      <c r="K268" s="364" t="s">
        <v>10365</v>
      </c>
      <c r="L268" s="358"/>
      <c r="M268" s="366" t="s">
        <v>10084</v>
      </c>
      <c r="N268" s="358"/>
      <c r="O268" s="366" t="s">
        <v>57</v>
      </c>
      <c r="P268" s="368">
        <v>221234000</v>
      </c>
      <c r="Q268" s="369" t="s">
        <v>10366</v>
      </c>
      <c r="R268" s="364" t="s">
        <v>7984</v>
      </c>
      <c r="S268" s="340">
        <v>1</v>
      </c>
    </row>
    <row r="269" spans="1:19" ht="31.5" thickBot="1" x14ac:dyDescent="0.4">
      <c r="A269" s="357">
        <v>258</v>
      </c>
      <c r="B269" s="364" t="s">
        <v>10080</v>
      </c>
      <c r="C269" s="365" t="s">
        <v>10081</v>
      </c>
      <c r="D269" s="366" t="s">
        <v>51</v>
      </c>
      <c r="E269" s="366" t="s">
        <v>10082</v>
      </c>
      <c r="F269" s="366" t="s">
        <v>10078</v>
      </c>
      <c r="G269" s="366" t="s">
        <v>10078</v>
      </c>
      <c r="H269" s="366">
        <v>172</v>
      </c>
      <c r="I269" s="364" t="s">
        <v>10367</v>
      </c>
      <c r="J269" s="367"/>
      <c r="K269" s="364"/>
      <c r="L269" s="358"/>
      <c r="M269" s="366" t="s">
        <v>10084</v>
      </c>
      <c r="N269" s="358"/>
      <c r="O269" s="366" t="s">
        <v>422</v>
      </c>
      <c r="P269" s="368">
        <v>120000000</v>
      </c>
      <c r="Q269" s="369" t="s">
        <v>8603</v>
      </c>
      <c r="R269" s="364" t="s">
        <v>7986</v>
      </c>
      <c r="S269" s="340">
        <v>1</v>
      </c>
    </row>
    <row r="270" spans="1:19" ht="31" x14ac:dyDescent="0.35">
      <c r="A270" s="349">
        <v>259</v>
      </c>
      <c r="B270" s="364" t="s">
        <v>10080</v>
      </c>
      <c r="C270" s="365" t="s">
        <v>10081</v>
      </c>
      <c r="D270" s="366" t="s">
        <v>59</v>
      </c>
      <c r="E270" s="366" t="s">
        <v>10082</v>
      </c>
      <c r="F270" s="366" t="s">
        <v>10078</v>
      </c>
      <c r="G270" s="366" t="s">
        <v>10078</v>
      </c>
      <c r="H270" s="366">
        <v>96</v>
      </c>
      <c r="I270" s="364" t="s">
        <v>10367</v>
      </c>
      <c r="J270" s="367"/>
      <c r="K270" s="364"/>
      <c r="L270" s="358"/>
      <c r="M270" s="366" t="s">
        <v>10084</v>
      </c>
      <c r="N270" s="358"/>
      <c r="O270" s="366" t="s">
        <v>57</v>
      </c>
      <c r="P270" s="368">
        <v>292770320</v>
      </c>
      <c r="Q270" s="369"/>
      <c r="R270" s="364" t="s">
        <v>7986</v>
      </c>
      <c r="S270" s="340">
        <v>1</v>
      </c>
    </row>
    <row r="271" spans="1:19" ht="31.5" thickBot="1" x14ac:dyDescent="0.4">
      <c r="A271" s="357">
        <v>260</v>
      </c>
      <c r="B271" s="364" t="s">
        <v>10080</v>
      </c>
      <c r="C271" s="365" t="s">
        <v>10081</v>
      </c>
      <c r="D271" s="366" t="s">
        <v>97</v>
      </c>
      <c r="E271" s="366" t="s">
        <v>10082</v>
      </c>
      <c r="F271" s="366" t="s">
        <v>10078</v>
      </c>
      <c r="G271" s="366" t="s">
        <v>10078</v>
      </c>
      <c r="H271" s="366">
        <v>234</v>
      </c>
      <c r="I271" s="364" t="s">
        <v>10367</v>
      </c>
      <c r="J271" s="367"/>
      <c r="K271" s="364"/>
      <c r="L271" s="358"/>
      <c r="M271" s="366" t="s">
        <v>10084</v>
      </c>
      <c r="N271" s="358"/>
      <c r="O271" s="366" t="s">
        <v>57</v>
      </c>
      <c r="P271" s="368">
        <v>414069000</v>
      </c>
      <c r="Q271" s="369"/>
      <c r="R271" s="364" t="s">
        <v>7986</v>
      </c>
      <c r="S271" s="340">
        <v>1</v>
      </c>
    </row>
    <row r="272" spans="1:19" ht="62" x14ac:dyDescent="0.35">
      <c r="A272" s="349">
        <v>261</v>
      </c>
      <c r="B272" s="364" t="s">
        <v>10110</v>
      </c>
      <c r="C272" s="365" t="s">
        <v>10111</v>
      </c>
      <c r="D272" s="366" t="s">
        <v>51</v>
      </c>
      <c r="E272" s="366" t="s">
        <v>10082</v>
      </c>
      <c r="F272" s="366" t="s">
        <v>10078</v>
      </c>
      <c r="G272" s="366" t="s">
        <v>10078</v>
      </c>
      <c r="H272" s="366">
        <v>15</v>
      </c>
      <c r="I272" s="364" t="s">
        <v>10368</v>
      </c>
      <c r="J272" s="367">
        <v>43966</v>
      </c>
      <c r="K272" s="364" t="s">
        <v>10369</v>
      </c>
      <c r="L272" s="358"/>
      <c r="M272" s="366" t="s">
        <v>10084</v>
      </c>
      <c r="N272" s="358"/>
      <c r="O272" s="366" t="s">
        <v>57</v>
      </c>
      <c r="P272" s="368">
        <v>109725000</v>
      </c>
      <c r="Q272" s="369" t="s">
        <v>10370</v>
      </c>
      <c r="R272" s="364" t="s">
        <v>7986</v>
      </c>
      <c r="S272" s="340">
        <v>1</v>
      </c>
    </row>
    <row r="273" spans="1:19" ht="47" thickBot="1" x14ac:dyDescent="0.4">
      <c r="A273" s="357">
        <v>262</v>
      </c>
      <c r="B273" s="364" t="s">
        <v>10110</v>
      </c>
      <c r="C273" s="365" t="s">
        <v>10111</v>
      </c>
      <c r="D273" s="366" t="s">
        <v>59</v>
      </c>
      <c r="E273" s="366" t="s">
        <v>10082</v>
      </c>
      <c r="F273" s="366" t="s">
        <v>10078</v>
      </c>
      <c r="G273" s="366" t="s">
        <v>10088</v>
      </c>
      <c r="H273" s="366">
        <v>33</v>
      </c>
      <c r="I273" s="364" t="s">
        <v>10371</v>
      </c>
      <c r="J273" s="367">
        <v>44754</v>
      </c>
      <c r="K273" s="364" t="s">
        <v>10372</v>
      </c>
      <c r="L273" s="358"/>
      <c r="M273" s="366"/>
      <c r="N273" s="358"/>
      <c r="O273" s="366" t="s">
        <v>44</v>
      </c>
      <c r="P273" s="368">
        <v>277214500</v>
      </c>
      <c r="Q273" s="369" t="s">
        <v>10373</v>
      </c>
      <c r="R273" s="364" t="s">
        <v>7986</v>
      </c>
      <c r="S273" s="340">
        <v>1</v>
      </c>
    </row>
    <row r="274" spans="1:19" ht="46.5" x14ac:dyDescent="0.35">
      <c r="A274" s="349">
        <v>263</v>
      </c>
      <c r="B274" s="364" t="s">
        <v>10110</v>
      </c>
      <c r="C274" s="365" t="s">
        <v>10111</v>
      </c>
      <c r="D274" s="366" t="s">
        <v>97</v>
      </c>
      <c r="E274" s="366" t="s">
        <v>10082</v>
      </c>
      <c r="F274" s="366" t="s">
        <v>10078</v>
      </c>
      <c r="G274" s="366" t="s">
        <v>10088</v>
      </c>
      <c r="H274" s="366">
        <v>24</v>
      </c>
      <c r="I274" s="364" t="s">
        <v>10374</v>
      </c>
      <c r="J274" s="367">
        <v>44760</v>
      </c>
      <c r="K274" s="364" t="s">
        <v>10375</v>
      </c>
      <c r="L274" s="358"/>
      <c r="M274" s="366"/>
      <c r="N274" s="358"/>
      <c r="O274" s="366" t="s">
        <v>44</v>
      </c>
      <c r="P274" s="368">
        <v>87823100</v>
      </c>
      <c r="Q274" s="369" t="s">
        <v>10376</v>
      </c>
      <c r="R274" s="364" t="s">
        <v>7986</v>
      </c>
      <c r="S274" s="340">
        <v>1</v>
      </c>
    </row>
    <row r="275" spans="1:19" ht="31.5" thickBot="1" x14ac:dyDescent="0.4">
      <c r="A275" s="357">
        <v>264</v>
      </c>
      <c r="B275" s="364" t="s">
        <v>10085</v>
      </c>
      <c r="C275" s="365" t="s">
        <v>10086</v>
      </c>
      <c r="D275" s="366" t="s">
        <v>51</v>
      </c>
      <c r="E275" s="366" t="s">
        <v>10082</v>
      </c>
      <c r="F275" s="360" t="s">
        <v>10078</v>
      </c>
      <c r="G275" s="360" t="s">
        <v>10078</v>
      </c>
      <c r="H275" s="366">
        <v>72</v>
      </c>
      <c r="I275" s="364" t="s">
        <v>10367</v>
      </c>
      <c r="J275" s="361"/>
      <c r="K275" s="358"/>
      <c r="L275" s="358"/>
      <c r="M275" s="360" t="s">
        <v>10084</v>
      </c>
      <c r="N275" s="358"/>
      <c r="O275" s="366" t="s">
        <v>57</v>
      </c>
      <c r="P275" s="368">
        <v>239065890</v>
      </c>
      <c r="Q275" s="369"/>
      <c r="R275" s="364" t="s">
        <v>7986</v>
      </c>
      <c r="S275" s="340">
        <v>1</v>
      </c>
    </row>
    <row r="276" spans="1:19" ht="31" x14ac:dyDescent="0.35">
      <c r="A276" s="349">
        <v>265</v>
      </c>
      <c r="B276" s="364" t="s">
        <v>10085</v>
      </c>
      <c r="C276" s="365" t="s">
        <v>10086</v>
      </c>
      <c r="D276" s="366" t="s">
        <v>59</v>
      </c>
      <c r="E276" s="366" t="s">
        <v>10082</v>
      </c>
      <c r="F276" s="366" t="s">
        <v>10078</v>
      </c>
      <c r="G276" s="366" t="s">
        <v>10078</v>
      </c>
      <c r="H276" s="366">
        <v>72</v>
      </c>
      <c r="I276" s="364" t="s">
        <v>10367</v>
      </c>
      <c r="J276" s="367"/>
      <c r="K276" s="364"/>
      <c r="L276" s="358"/>
      <c r="M276" s="366" t="s">
        <v>10084</v>
      </c>
      <c r="N276" s="358"/>
      <c r="O276" s="366" t="s">
        <v>57</v>
      </c>
      <c r="P276" s="368">
        <v>127406000</v>
      </c>
      <c r="Q276" s="369"/>
      <c r="R276" s="364" t="s">
        <v>7986</v>
      </c>
      <c r="S276" s="340">
        <v>1</v>
      </c>
    </row>
    <row r="277" spans="1:19" ht="31.5" thickBot="1" x14ac:dyDescent="0.4">
      <c r="A277" s="357">
        <v>266</v>
      </c>
      <c r="B277" s="364" t="s">
        <v>10085</v>
      </c>
      <c r="C277" s="365" t="s">
        <v>10086</v>
      </c>
      <c r="D277" s="366" t="s">
        <v>97</v>
      </c>
      <c r="E277" s="366" t="s">
        <v>10082</v>
      </c>
      <c r="F277" s="366" t="s">
        <v>10078</v>
      </c>
      <c r="G277" s="366" t="s">
        <v>10078</v>
      </c>
      <c r="H277" s="366">
        <v>72</v>
      </c>
      <c r="I277" s="364" t="s">
        <v>10367</v>
      </c>
      <c r="J277" s="367"/>
      <c r="K277" s="364"/>
      <c r="L277" s="358"/>
      <c r="M277" s="366" t="s">
        <v>10084</v>
      </c>
      <c r="N277" s="358"/>
      <c r="O277" s="366" t="s">
        <v>57</v>
      </c>
      <c r="P277" s="368">
        <v>127406000</v>
      </c>
      <c r="Q277" s="369"/>
      <c r="R277" s="364" t="s">
        <v>7986</v>
      </c>
      <c r="S277" s="340">
        <v>1</v>
      </c>
    </row>
    <row r="278" spans="1:19" ht="31" x14ac:dyDescent="0.35">
      <c r="A278" s="349">
        <v>267</v>
      </c>
      <c r="B278" s="364" t="s">
        <v>10085</v>
      </c>
      <c r="C278" s="365" t="s">
        <v>10086</v>
      </c>
      <c r="D278" s="366" t="s">
        <v>101</v>
      </c>
      <c r="E278" s="366" t="s">
        <v>10082</v>
      </c>
      <c r="F278" s="366" t="s">
        <v>10078</v>
      </c>
      <c r="G278" s="366" t="s">
        <v>10078</v>
      </c>
      <c r="H278" s="366">
        <v>90</v>
      </c>
      <c r="I278" s="364" t="s">
        <v>10367</v>
      </c>
      <c r="J278" s="367"/>
      <c r="K278" s="364"/>
      <c r="L278" s="358"/>
      <c r="M278" s="366" t="s">
        <v>10084</v>
      </c>
      <c r="N278" s="358"/>
      <c r="O278" s="366" t="s">
        <v>57</v>
      </c>
      <c r="P278" s="368">
        <v>356487000</v>
      </c>
      <c r="Q278" s="369"/>
      <c r="R278" s="364" t="s">
        <v>7986</v>
      </c>
      <c r="S278" s="340">
        <v>1</v>
      </c>
    </row>
    <row r="279" spans="1:19" ht="47" thickBot="1" x14ac:dyDescent="0.4">
      <c r="A279" s="357">
        <v>268</v>
      </c>
      <c r="B279" s="364" t="s">
        <v>10085</v>
      </c>
      <c r="C279" s="365" t="s">
        <v>10086</v>
      </c>
      <c r="D279" s="366" t="s">
        <v>107</v>
      </c>
      <c r="E279" s="366" t="s">
        <v>10082</v>
      </c>
      <c r="F279" s="366" t="s">
        <v>10078</v>
      </c>
      <c r="G279" s="366" t="s">
        <v>10088</v>
      </c>
      <c r="H279" s="366">
        <v>39</v>
      </c>
      <c r="I279" s="364" t="s">
        <v>10367</v>
      </c>
      <c r="J279" s="367">
        <v>41585</v>
      </c>
      <c r="K279" s="364" t="s">
        <v>10377</v>
      </c>
      <c r="L279" s="358"/>
      <c r="M279" s="366" t="s">
        <v>10084</v>
      </c>
      <c r="N279" s="358"/>
      <c r="O279" s="366" t="s">
        <v>57</v>
      </c>
      <c r="P279" s="368">
        <v>137500000</v>
      </c>
      <c r="Q279" s="369" t="s">
        <v>10378</v>
      </c>
      <c r="R279" s="364" t="s">
        <v>7986</v>
      </c>
      <c r="S279" s="340">
        <v>1</v>
      </c>
    </row>
    <row r="280" spans="1:19" ht="46.5" x14ac:dyDescent="0.35">
      <c r="A280" s="349">
        <v>269</v>
      </c>
      <c r="B280" s="364" t="s">
        <v>10146</v>
      </c>
      <c r="C280" s="365" t="s">
        <v>10147</v>
      </c>
      <c r="D280" s="366" t="s">
        <v>51</v>
      </c>
      <c r="E280" s="366" t="s">
        <v>10082</v>
      </c>
      <c r="F280" s="366" t="s">
        <v>10078</v>
      </c>
      <c r="G280" s="366" t="s">
        <v>10078</v>
      </c>
      <c r="H280" s="366">
        <v>49</v>
      </c>
      <c r="I280" s="364" t="s">
        <v>10379</v>
      </c>
      <c r="J280" s="367">
        <v>43966</v>
      </c>
      <c r="K280" s="364" t="s">
        <v>10380</v>
      </c>
      <c r="L280" s="358"/>
      <c r="M280" s="366" t="s">
        <v>10084</v>
      </c>
      <c r="N280" s="358"/>
      <c r="O280" s="366" t="s">
        <v>57</v>
      </c>
      <c r="P280" s="368">
        <v>160042000</v>
      </c>
      <c r="Q280" s="369" t="s">
        <v>10381</v>
      </c>
      <c r="R280" s="364" t="s">
        <v>7986</v>
      </c>
      <c r="S280" s="340">
        <v>1</v>
      </c>
    </row>
    <row r="281" spans="1:19" ht="31.5" thickBot="1" x14ac:dyDescent="0.4">
      <c r="A281" s="357">
        <v>270</v>
      </c>
      <c r="B281" s="364" t="s">
        <v>10080</v>
      </c>
      <c r="C281" s="365" t="s">
        <v>10081</v>
      </c>
      <c r="D281" s="366" t="s">
        <v>51</v>
      </c>
      <c r="E281" s="366" t="s">
        <v>10082</v>
      </c>
      <c r="F281" s="366" t="s">
        <v>10078</v>
      </c>
      <c r="G281" s="366" t="s">
        <v>10078</v>
      </c>
      <c r="H281" s="366">
        <v>90</v>
      </c>
      <c r="I281" s="364" t="s">
        <v>8263</v>
      </c>
      <c r="J281" s="367"/>
      <c r="K281" s="364"/>
      <c r="L281" s="358"/>
      <c r="M281" s="366" t="s">
        <v>10084</v>
      </c>
      <c r="N281" s="358"/>
      <c r="O281" s="366" t="s">
        <v>57</v>
      </c>
      <c r="P281" s="368">
        <v>183649000</v>
      </c>
      <c r="Q281" s="369"/>
      <c r="R281" s="364" t="s">
        <v>7989</v>
      </c>
      <c r="S281" s="340">
        <v>1</v>
      </c>
    </row>
    <row r="282" spans="1:19" ht="31" x14ac:dyDescent="0.35">
      <c r="A282" s="349">
        <v>271</v>
      </c>
      <c r="B282" s="364" t="s">
        <v>10080</v>
      </c>
      <c r="C282" s="365" t="s">
        <v>10081</v>
      </c>
      <c r="D282" s="366" t="s">
        <v>59</v>
      </c>
      <c r="E282" s="366" t="s">
        <v>10082</v>
      </c>
      <c r="F282" s="366" t="s">
        <v>10078</v>
      </c>
      <c r="G282" s="366" t="s">
        <v>10078</v>
      </c>
      <c r="H282" s="370">
        <v>126</v>
      </c>
      <c r="I282" s="364" t="s">
        <v>8263</v>
      </c>
      <c r="J282" s="367"/>
      <c r="K282" s="364"/>
      <c r="L282" s="358"/>
      <c r="M282" s="366" t="s">
        <v>10084</v>
      </c>
      <c r="N282" s="358"/>
      <c r="O282" s="366" t="s">
        <v>57</v>
      </c>
      <c r="P282" s="368">
        <v>599603500</v>
      </c>
      <c r="Q282" s="369"/>
      <c r="R282" s="364" t="s">
        <v>7989</v>
      </c>
      <c r="S282" s="340">
        <v>1</v>
      </c>
    </row>
    <row r="283" spans="1:19" ht="31.5" thickBot="1" x14ac:dyDescent="0.4">
      <c r="A283" s="357">
        <v>272</v>
      </c>
      <c r="B283" s="364" t="s">
        <v>10110</v>
      </c>
      <c r="C283" s="365" t="s">
        <v>10111</v>
      </c>
      <c r="D283" s="366" t="s">
        <v>51</v>
      </c>
      <c r="E283" s="366" t="s">
        <v>10082</v>
      </c>
      <c r="F283" s="366" t="s">
        <v>10078</v>
      </c>
      <c r="G283" s="366" t="s">
        <v>10078</v>
      </c>
      <c r="H283" s="366">
        <v>12</v>
      </c>
      <c r="I283" s="364" t="s">
        <v>10382</v>
      </c>
      <c r="J283" s="367">
        <v>43712</v>
      </c>
      <c r="K283" s="364" t="s">
        <v>10383</v>
      </c>
      <c r="L283" s="358"/>
      <c r="M283" s="366" t="s">
        <v>10084</v>
      </c>
      <c r="N283" s="358"/>
      <c r="O283" s="366" t="s">
        <v>57</v>
      </c>
      <c r="P283" s="368">
        <v>110545000</v>
      </c>
      <c r="Q283" s="369" t="s">
        <v>10384</v>
      </c>
      <c r="R283" s="364" t="s">
        <v>7989</v>
      </c>
      <c r="S283" s="340">
        <v>1</v>
      </c>
    </row>
    <row r="284" spans="1:19" ht="31" x14ac:dyDescent="0.35">
      <c r="A284" s="349">
        <v>273</v>
      </c>
      <c r="B284" s="364" t="s">
        <v>10110</v>
      </c>
      <c r="C284" s="365" t="s">
        <v>10111</v>
      </c>
      <c r="D284" s="366" t="s">
        <v>59</v>
      </c>
      <c r="E284" s="366" t="s">
        <v>10082</v>
      </c>
      <c r="F284" s="366" t="s">
        <v>10078</v>
      </c>
      <c r="G284" s="366" t="s">
        <v>10078</v>
      </c>
      <c r="H284" s="366">
        <v>8</v>
      </c>
      <c r="I284" s="364" t="s">
        <v>10385</v>
      </c>
      <c r="J284" s="367"/>
      <c r="K284" s="364"/>
      <c r="L284" s="358"/>
      <c r="M284" s="366" t="s">
        <v>10084</v>
      </c>
      <c r="N284" s="358"/>
      <c r="O284" s="366" t="s">
        <v>57</v>
      </c>
      <c r="P284" s="368">
        <v>13391000</v>
      </c>
      <c r="Q284" s="369"/>
      <c r="R284" s="364" t="s">
        <v>7989</v>
      </c>
      <c r="S284" s="340">
        <v>1</v>
      </c>
    </row>
    <row r="285" spans="1:19" ht="31.5" thickBot="1" x14ac:dyDescent="0.4">
      <c r="A285" s="357">
        <v>274</v>
      </c>
      <c r="B285" s="364" t="s">
        <v>10092</v>
      </c>
      <c r="C285" s="365" t="s">
        <v>10093</v>
      </c>
      <c r="D285" s="366" t="s">
        <v>51</v>
      </c>
      <c r="E285" s="366" t="s">
        <v>10082</v>
      </c>
      <c r="F285" s="366" t="s">
        <v>10078</v>
      </c>
      <c r="G285" s="366" t="s">
        <v>10078</v>
      </c>
      <c r="H285" s="366">
        <v>61</v>
      </c>
      <c r="I285" s="364" t="s">
        <v>8263</v>
      </c>
      <c r="J285" s="367"/>
      <c r="K285" s="364"/>
      <c r="L285" s="358"/>
      <c r="M285" s="366" t="s">
        <v>10084</v>
      </c>
      <c r="N285" s="358"/>
      <c r="O285" s="366" t="s">
        <v>57</v>
      </c>
      <c r="P285" s="368">
        <v>166487955</v>
      </c>
      <c r="Q285" s="369"/>
      <c r="R285" s="364" t="s">
        <v>7989</v>
      </c>
      <c r="S285" s="340">
        <v>1</v>
      </c>
    </row>
    <row r="286" spans="1:19" ht="31" x14ac:dyDescent="0.35">
      <c r="A286" s="349">
        <v>275</v>
      </c>
      <c r="B286" s="364" t="s">
        <v>10085</v>
      </c>
      <c r="C286" s="365" t="s">
        <v>10086</v>
      </c>
      <c r="D286" s="366" t="s">
        <v>51</v>
      </c>
      <c r="E286" s="366" t="s">
        <v>10082</v>
      </c>
      <c r="F286" s="366" t="s">
        <v>10078</v>
      </c>
      <c r="G286" s="366" t="s">
        <v>10078</v>
      </c>
      <c r="H286" s="366">
        <v>45</v>
      </c>
      <c r="I286" s="364" t="s">
        <v>8263</v>
      </c>
      <c r="J286" s="367"/>
      <c r="K286" s="364"/>
      <c r="L286" s="358"/>
      <c r="M286" s="366" t="s">
        <v>10084</v>
      </c>
      <c r="N286" s="358"/>
      <c r="O286" s="366" t="s">
        <v>57</v>
      </c>
      <c r="P286" s="368">
        <v>99670000</v>
      </c>
      <c r="Q286" s="369"/>
      <c r="R286" s="364" t="s">
        <v>7989</v>
      </c>
      <c r="S286" s="340">
        <v>1</v>
      </c>
    </row>
    <row r="287" spans="1:19" ht="47" thickBot="1" x14ac:dyDescent="0.4">
      <c r="A287" s="357">
        <v>276</v>
      </c>
      <c r="B287" s="364" t="s">
        <v>10085</v>
      </c>
      <c r="C287" s="365" t="s">
        <v>10086</v>
      </c>
      <c r="D287" s="366" t="s">
        <v>59</v>
      </c>
      <c r="E287" s="366" t="s">
        <v>10082</v>
      </c>
      <c r="F287" s="366" t="s">
        <v>10078</v>
      </c>
      <c r="G287" s="366" t="s">
        <v>10078</v>
      </c>
      <c r="H287" s="366">
        <v>66</v>
      </c>
      <c r="I287" s="364" t="s">
        <v>8263</v>
      </c>
      <c r="J287" s="367">
        <v>41585</v>
      </c>
      <c r="K287" s="364" t="s">
        <v>10386</v>
      </c>
      <c r="L287" s="358"/>
      <c r="M287" s="366" t="s">
        <v>10084</v>
      </c>
      <c r="N287" s="358"/>
      <c r="O287" s="366" t="s">
        <v>57</v>
      </c>
      <c r="P287" s="368">
        <v>137500000</v>
      </c>
      <c r="Q287" s="369" t="s">
        <v>10387</v>
      </c>
      <c r="R287" s="364" t="s">
        <v>7989</v>
      </c>
      <c r="S287" s="340">
        <v>1</v>
      </c>
    </row>
    <row r="288" spans="1:19" ht="31" x14ac:dyDescent="0.35">
      <c r="A288" s="349">
        <v>277</v>
      </c>
      <c r="B288" s="364" t="s">
        <v>10085</v>
      </c>
      <c r="C288" s="365" t="s">
        <v>10086</v>
      </c>
      <c r="D288" s="366" t="s">
        <v>97</v>
      </c>
      <c r="E288" s="366" t="s">
        <v>10082</v>
      </c>
      <c r="F288" s="366" t="s">
        <v>10078</v>
      </c>
      <c r="G288" s="366" t="s">
        <v>10078</v>
      </c>
      <c r="H288" s="366">
        <v>54</v>
      </c>
      <c r="I288" s="364" t="s">
        <v>8263</v>
      </c>
      <c r="J288" s="367"/>
      <c r="K288" s="364"/>
      <c r="L288" s="358"/>
      <c r="M288" s="366" t="s">
        <v>10084</v>
      </c>
      <c r="N288" s="358"/>
      <c r="O288" s="366" t="s">
        <v>57</v>
      </c>
      <c r="P288" s="368">
        <v>90389000</v>
      </c>
      <c r="Q288" s="369"/>
      <c r="R288" s="364" t="s">
        <v>7989</v>
      </c>
      <c r="S288" s="340">
        <v>1</v>
      </c>
    </row>
    <row r="289" spans="1:19" ht="31.5" thickBot="1" x14ac:dyDescent="0.4">
      <c r="A289" s="357">
        <v>278</v>
      </c>
      <c r="B289" s="364" t="s">
        <v>10085</v>
      </c>
      <c r="C289" s="365" t="s">
        <v>10086</v>
      </c>
      <c r="D289" s="366" t="s">
        <v>101</v>
      </c>
      <c r="E289" s="366" t="s">
        <v>10082</v>
      </c>
      <c r="F289" s="366" t="s">
        <v>10078</v>
      </c>
      <c r="G289" s="366" t="s">
        <v>10078</v>
      </c>
      <c r="H289" s="366">
        <v>54</v>
      </c>
      <c r="I289" s="364" t="s">
        <v>8263</v>
      </c>
      <c r="J289" s="367"/>
      <c r="K289" s="364"/>
      <c r="L289" s="358"/>
      <c r="M289" s="366" t="s">
        <v>10084</v>
      </c>
      <c r="N289" s="358"/>
      <c r="O289" s="366" t="s">
        <v>57</v>
      </c>
      <c r="P289" s="368">
        <v>275889000</v>
      </c>
      <c r="Q289" s="369"/>
      <c r="R289" s="364" t="s">
        <v>7989</v>
      </c>
      <c r="S289" s="340">
        <v>1</v>
      </c>
    </row>
    <row r="290" spans="1:19" ht="31" x14ac:dyDescent="0.35">
      <c r="A290" s="349">
        <v>279</v>
      </c>
      <c r="B290" s="364" t="s">
        <v>10080</v>
      </c>
      <c r="C290" s="365" t="s">
        <v>10081</v>
      </c>
      <c r="D290" s="366" t="s">
        <v>51</v>
      </c>
      <c r="E290" s="366" t="s">
        <v>10082</v>
      </c>
      <c r="F290" s="366" t="s">
        <v>10078</v>
      </c>
      <c r="G290" s="366" t="s">
        <v>10078</v>
      </c>
      <c r="H290" s="366">
        <v>255</v>
      </c>
      <c r="I290" s="364" t="s">
        <v>10388</v>
      </c>
      <c r="J290" s="367"/>
      <c r="K290" s="364"/>
      <c r="L290" s="358"/>
      <c r="M290" s="366" t="s">
        <v>10084</v>
      </c>
      <c r="N290" s="358"/>
      <c r="O290" s="366" t="s">
        <v>57</v>
      </c>
      <c r="P290" s="368">
        <v>510465000</v>
      </c>
      <c r="Q290" s="369"/>
      <c r="R290" s="364" t="s">
        <v>7991</v>
      </c>
      <c r="S290" s="340">
        <v>1</v>
      </c>
    </row>
    <row r="291" spans="1:19" ht="31.5" thickBot="1" x14ac:dyDescent="0.4">
      <c r="A291" s="357">
        <v>280</v>
      </c>
      <c r="B291" s="364" t="s">
        <v>10080</v>
      </c>
      <c r="C291" s="365" t="s">
        <v>10081</v>
      </c>
      <c r="D291" s="366" t="s">
        <v>59</v>
      </c>
      <c r="E291" s="366" t="s">
        <v>10082</v>
      </c>
      <c r="F291" s="366" t="s">
        <v>10078</v>
      </c>
      <c r="G291" s="366" t="s">
        <v>10078</v>
      </c>
      <c r="H291" s="366">
        <v>120</v>
      </c>
      <c r="I291" s="364" t="s">
        <v>10388</v>
      </c>
      <c r="J291" s="367"/>
      <c r="K291" s="364"/>
      <c r="L291" s="358"/>
      <c r="M291" s="366" t="s">
        <v>10084</v>
      </c>
      <c r="N291" s="358"/>
      <c r="O291" s="366" t="s">
        <v>422</v>
      </c>
      <c r="P291" s="368">
        <v>108000000</v>
      </c>
      <c r="Q291" s="369" t="s">
        <v>8603</v>
      </c>
      <c r="R291" s="364" t="s">
        <v>7991</v>
      </c>
      <c r="S291" s="340">
        <v>1</v>
      </c>
    </row>
    <row r="292" spans="1:19" ht="31" x14ac:dyDescent="0.35">
      <c r="A292" s="349">
        <v>281</v>
      </c>
      <c r="B292" s="364" t="s">
        <v>10080</v>
      </c>
      <c r="C292" s="365" t="s">
        <v>10081</v>
      </c>
      <c r="D292" s="366" t="s">
        <v>97</v>
      </c>
      <c r="E292" s="366" t="s">
        <v>10082</v>
      </c>
      <c r="F292" s="366" t="s">
        <v>10078</v>
      </c>
      <c r="G292" s="366" t="s">
        <v>10078</v>
      </c>
      <c r="H292" s="366">
        <v>72</v>
      </c>
      <c r="I292" s="364" t="s">
        <v>10389</v>
      </c>
      <c r="J292" s="367">
        <v>41904</v>
      </c>
      <c r="K292" s="364" t="s">
        <v>10390</v>
      </c>
      <c r="L292" s="358"/>
      <c r="M292" s="366" t="s">
        <v>10084</v>
      </c>
      <c r="N292" s="358"/>
      <c r="O292" s="366" t="s">
        <v>57</v>
      </c>
      <c r="P292" s="368">
        <v>138975500</v>
      </c>
      <c r="Q292" s="369" t="s">
        <v>10391</v>
      </c>
      <c r="R292" s="364" t="s">
        <v>7991</v>
      </c>
      <c r="S292" s="340">
        <v>1</v>
      </c>
    </row>
    <row r="293" spans="1:19" ht="31.5" thickBot="1" x14ac:dyDescent="0.4">
      <c r="A293" s="357">
        <v>282</v>
      </c>
      <c r="B293" s="364" t="s">
        <v>10392</v>
      </c>
      <c r="C293" s="365" t="s">
        <v>10393</v>
      </c>
      <c r="D293" s="366" t="s">
        <v>51</v>
      </c>
      <c r="E293" s="366" t="s">
        <v>10082</v>
      </c>
      <c r="F293" s="366" t="s">
        <v>10078</v>
      </c>
      <c r="G293" s="366" t="s">
        <v>10088</v>
      </c>
      <c r="H293" s="366">
        <v>72</v>
      </c>
      <c r="I293" s="364" t="s">
        <v>10388</v>
      </c>
      <c r="J293" s="367">
        <v>43231</v>
      </c>
      <c r="K293" s="364" t="s">
        <v>10394</v>
      </c>
      <c r="L293" s="358"/>
      <c r="M293" s="366" t="s">
        <v>10084</v>
      </c>
      <c r="N293" s="358"/>
      <c r="O293" s="366" t="s">
        <v>57</v>
      </c>
      <c r="P293" s="368">
        <v>221365000</v>
      </c>
      <c r="Q293" s="369" t="s">
        <v>10395</v>
      </c>
      <c r="R293" s="364" t="s">
        <v>7991</v>
      </c>
      <c r="S293" s="340">
        <v>1</v>
      </c>
    </row>
    <row r="294" spans="1:19" ht="62" x14ac:dyDescent="0.35">
      <c r="A294" s="349">
        <v>283</v>
      </c>
      <c r="B294" s="364" t="s">
        <v>10110</v>
      </c>
      <c r="C294" s="365" t="s">
        <v>10111</v>
      </c>
      <c r="D294" s="366" t="s">
        <v>107</v>
      </c>
      <c r="E294" s="366" t="s">
        <v>10082</v>
      </c>
      <c r="F294" s="366" t="s">
        <v>10078</v>
      </c>
      <c r="G294" s="366" t="s">
        <v>10088</v>
      </c>
      <c r="H294" s="366">
        <v>72</v>
      </c>
      <c r="I294" s="364" t="s">
        <v>10396</v>
      </c>
      <c r="J294" s="367"/>
      <c r="K294" s="364" t="s">
        <v>10397</v>
      </c>
      <c r="L294" s="358"/>
      <c r="M294" s="366"/>
      <c r="N294" s="358"/>
      <c r="O294" s="366" t="s">
        <v>44</v>
      </c>
      <c r="P294" s="368">
        <v>256727380</v>
      </c>
      <c r="Q294" s="369" t="s">
        <v>10398</v>
      </c>
      <c r="R294" s="364" t="s">
        <v>7991</v>
      </c>
      <c r="S294" s="340">
        <v>1</v>
      </c>
    </row>
    <row r="295" spans="1:19" ht="47" thickBot="1" x14ac:dyDescent="0.4">
      <c r="A295" s="357">
        <v>284</v>
      </c>
      <c r="B295" s="364" t="s">
        <v>10110</v>
      </c>
      <c r="C295" s="365" t="s">
        <v>10111</v>
      </c>
      <c r="D295" s="366" t="s">
        <v>112</v>
      </c>
      <c r="E295" s="366" t="s">
        <v>10082</v>
      </c>
      <c r="F295" s="366" t="s">
        <v>10078</v>
      </c>
      <c r="G295" s="366" t="s">
        <v>10088</v>
      </c>
      <c r="H295" s="366">
        <v>21</v>
      </c>
      <c r="I295" s="364" t="s">
        <v>10396</v>
      </c>
      <c r="J295" s="367"/>
      <c r="K295" s="364" t="s">
        <v>10399</v>
      </c>
      <c r="L295" s="358"/>
      <c r="M295" s="366"/>
      <c r="N295" s="358"/>
      <c r="O295" s="366" t="s">
        <v>44</v>
      </c>
      <c r="P295" s="368">
        <v>96750000</v>
      </c>
      <c r="Q295" s="369" t="s">
        <v>10400</v>
      </c>
      <c r="R295" s="364" t="s">
        <v>7991</v>
      </c>
      <c r="S295" s="340">
        <v>1</v>
      </c>
    </row>
    <row r="296" spans="1:19" ht="62" x14ac:dyDescent="0.35">
      <c r="A296" s="349">
        <v>285</v>
      </c>
      <c r="B296" s="364" t="s">
        <v>10110</v>
      </c>
      <c r="C296" s="365" t="s">
        <v>10111</v>
      </c>
      <c r="D296" s="366" t="s">
        <v>116</v>
      </c>
      <c r="E296" s="366" t="s">
        <v>10082</v>
      </c>
      <c r="F296" s="366" t="s">
        <v>10078</v>
      </c>
      <c r="G296" s="366" t="s">
        <v>10088</v>
      </c>
      <c r="H296" s="366">
        <v>63</v>
      </c>
      <c r="I296" s="364" t="s">
        <v>10396</v>
      </c>
      <c r="J296" s="367"/>
      <c r="K296" s="364" t="s">
        <v>10401</v>
      </c>
      <c r="L296" s="358"/>
      <c r="M296" s="366"/>
      <c r="N296" s="358"/>
      <c r="O296" s="366" t="s">
        <v>44</v>
      </c>
      <c r="P296" s="368">
        <v>226177897</v>
      </c>
      <c r="Q296" s="369" t="s">
        <v>10402</v>
      </c>
      <c r="R296" s="364" t="s">
        <v>7991</v>
      </c>
      <c r="S296" s="340">
        <v>1</v>
      </c>
    </row>
    <row r="297" spans="1:19" ht="47" thickBot="1" x14ac:dyDescent="0.4">
      <c r="A297" s="357">
        <v>286</v>
      </c>
      <c r="B297" s="364" t="s">
        <v>10110</v>
      </c>
      <c r="C297" s="365" t="s">
        <v>10111</v>
      </c>
      <c r="D297" s="366" t="s">
        <v>841</v>
      </c>
      <c r="E297" s="366" t="s">
        <v>10082</v>
      </c>
      <c r="F297" s="366" t="s">
        <v>10078</v>
      </c>
      <c r="G297" s="366" t="s">
        <v>10088</v>
      </c>
      <c r="H297" s="366">
        <v>72</v>
      </c>
      <c r="I297" s="364" t="s">
        <v>10396</v>
      </c>
      <c r="J297" s="367"/>
      <c r="K297" s="364" t="s">
        <v>10403</v>
      </c>
      <c r="L297" s="358"/>
      <c r="M297" s="366"/>
      <c r="N297" s="358"/>
      <c r="O297" s="366" t="s">
        <v>44</v>
      </c>
      <c r="P297" s="368">
        <v>238672852</v>
      </c>
      <c r="Q297" s="369" t="s">
        <v>10404</v>
      </c>
      <c r="R297" s="364" t="s">
        <v>7991</v>
      </c>
      <c r="S297" s="340">
        <v>1</v>
      </c>
    </row>
    <row r="298" spans="1:19" ht="31" x14ac:dyDescent="0.35">
      <c r="A298" s="349">
        <v>287</v>
      </c>
      <c r="B298" s="364" t="s">
        <v>10092</v>
      </c>
      <c r="C298" s="365" t="s">
        <v>10093</v>
      </c>
      <c r="D298" s="366" t="s">
        <v>51</v>
      </c>
      <c r="E298" s="366" t="s">
        <v>10082</v>
      </c>
      <c r="F298" s="360" t="s">
        <v>10078</v>
      </c>
      <c r="G298" s="360" t="s">
        <v>10078</v>
      </c>
      <c r="H298" s="366">
        <v>61</v>
      </c>
      <c r="I298" s="364" t="s">
        <v>10388</v>
      </c>
      <c r="J298" s="361"/>
      <c r="K298" s="358"/>
      <c r="L298" s="358"/>
      <c r="M298" s="360" t="s">
        <v>10084</v>
      </c>
      <c r="N298" s="358"/>
      <c r="O298" s="366" t="s">
        <v>57</v>
      </c>
      <c r="P298" s="368">
        <v>166487954</v>
      </c>
      <c r="Q298" s="369"/>
      <c r="R298" s="364" t="s">
        <v>7991</v>
      </c>
      <c r="S298" s="340">
        <v>1</v>
      </c>
    </row>
    <row r="299" spans="1:19" ht="47" thickBot="1" x14ac:dyDescent="0.4">
      <c r="A299" s="357">
        <v>288</v>
      </c>
      <c r="B299" s="364" t="s">
        <v>10085</v>
      </c>
      <c r="C299" s="365" t="s">
        <v>10086</v>
      </c>
      <c r="D299" s="366" t="s">
        <v>51</v>
      </c>
      <c r="E299" s="366" t="s">
        <v>10082</v>
      </c>
      <c r="F299" s="366" t="s">
        <v>10078</v>
      </c>
      <c r="G299" s="366" t="s">
        <v>10078</v>
      </c>
      <c r="H299" s="366">
        <v>66</v>
      </c>
      <c r="I299" s="364" t="s">
        <v>10389</v>
      </c>
      <c r="J299" s="367">
        <v>41585</v>
      </c>
      <c r="K299" s="364" t="s">
        <v>10405</v>
      </c>
      <c r="L299" s="358"/>
      <c r="M299" s="366" t="s">
        <v>10084</v>
      </c>
      <c r="N299" s="358"/>
      <c r="O299" s="366" t="s">
        <v>57</v>
      </c>
      <c r="P299" s="368">
        <v>137500000</v>
      </c>
      <c r="Q299" s="369" t="s">
        <v>10406</v>
      </c>
      <c r="R299" s="364" t="s">
        <v>7991</v>
      </c>
      <c r="S299" s="340">
        <v>1</v>
      </c>
    </row>
    <row r="300" spans="1:19" ht="29" x14ac:dyDescent="0.35">
      <c r="A300" s="349">
        <v>289</v>
      </c>
      <c r="B300" s="358" t="s">
        <v>10146</v>
      </c>
      <c r="C300" s="359" t="s">
        <v>10147</v>
      </c>
      <c r="D300" s="360" t="s">
        <v>51</v>
      </c>
      <c r="E300" s="360" t="s">
        <v>10082</v>
      </c>
      <c r="F300" s="360" t="s">
        <v>10078</v>
      </c>
      <c r="G300" s="360" t="s">
        <v>10078</v>
      </c>
      <c r="H300" s="360">
        <v>50</v>
      </c>
      <c r="I300" s="358" t="s">
        <v>10407</v>
      </c>
      <c r="J300" s="361">
        <v>43676</v>
      </c>
      <c r="K300" s="358" t="s">
        <v>10408</v>
      </c>
      <c r="L300" s="358"/>
      <c r="M300" s="360" t="s">
        <v>10084</v>
      </c>
      <c r="N300" s="358"/>
      <c r="O300" s="360" t="s">
        <v>57</v>
      </c>
      <c r="P300" s="362">
        <v>221407000</v>
      </c>
      <c r="Q300" s="363" t="s">
        <v>10409</v>
      </c>
      <c r="R300" s="364" t="s">
        <v>7991</v>
      </c>
      <c r="S300" s="340">
        <v>1</v>
      </c>
    </row>
    <row r="301" spans="1:19" ht="29.5" thickBot="1" x14ac:dyDescent="0.4">
      <c r="A301" s="357">
        <v>290</v>
      </c>
      <c r="B301" s="358" t="s">
        <v>10080</v>
      </c>
      <c r="C301" s="359" t="s">
        <v>10081</v>
      </c>
      <c r="D301" s="360" t="s">
        <v>51</v>
      </c>
      <c r="E301" s="360" t="s">
        <v>10082</v>
      </c>
      <c r="F301" s="360" t="s">
        <v>10078</v>
      </c>
      <c r="G301" s="360" t="s">
        <v>10078</v>
      </c>
      <c r="H301" s="360">
        <v>300</v>
      </c>
      <c r="I301" s="358" t="s">
        <v>10410</v>
      </c>
      <c r="J301" s="361"/>
      <c r="K301" s="358"/>
      <c r="L301" s="358"/>
      <c r="M301" s="360" t="s">
        <v>10084</v>
      </c>
      <c r="N301" s="358"/>
      <c r="O301" s="360" t="s">
        <v>57</v>
      </c>
      <c r="P301" s="362">
        <v>869655500</v>
      </c>
      <c r="Q301" s="363"/>
      <c r="R301" s="364" t="s">
        <v>7993</v>
      </c>
      <c r="S301" s="340">
        <v>1</v>
      </c>
    </row>
    <row r="302" spans="1:19" ht="29" x14ac:dyDescent="0.35">
      <c r="A302" s="349">
        <v>291</v>
      </c>
      <c r="B302" s="358" t="s">
        <v>10080</v>
      </c>
      <c r="C302" s="359" t="s">
        <v>10081</v>
      </c>
      <c r="D302" s="360" t="s">
        <v>59</v>
      </c>
      <c r="E302" s="360" t="s">
        <v>10082</v>
      </c>
      <c r="F302" s="360" t="s">
        <v>10078</v>
      </c>
      <c r="G302" s="360" t="s">
        <v>10078</v>
      </c>
      <c r="H302" s="360">
        <v>214</v>
      </c>
      <c r="I302" s="358" t="s">
        <v>10410</v>
      </c>
      <c r="J302" s="361"/>
      <c r="K302" s="358"/>
      <c r="L302" s="358"/>
      <c r="M302" s="360" t="s">
        <v>10084</v>
      </c>
      <c r="N302" s="358"/>
      <c r="O302" s="360" t="s">
        <v>422</v>
      </c>
      <c r="P302" s="362">
        <v>108000000</v>
      </c>
      <c r="Q302" s="363" t="s">
        <v>8603</v>
      </c>
      <c r="R302" s="364" t="s">
        <v>7993</v>
      </c>
      <c r="S302" s="340">
        <v>1</v>
      </c>
    </row>
    <row r="303" spans="1:19" ht="29.5" thickBot="1" x14ac:dyDescent="0.4">
      <c r="A303" s="357">
        <v>292</v>
      </c>
      <c r="B303" s="358" t="s">
        <v>10092</v>
      </c>
      <c r="C303" s="359" t="s">
        <v>10093</v>
      </c>
      <c r="D303" s="360" t="s">
        <v>51</v>
      </c>
      <c r="E303" s="360" t="s">
        <v>10082</v>
      </c>
      <c r="F303" s="360" t="s">
        <v>10078</v>
      </c>
      <c r="G303" s="360" t="s">
        <v>10088</v>
      </c>
      <c r="H303" s="360">
        <v>61</v>
      </c>
      <c r="I303" s="358" t="s">
        <v>10410</v>
      </c>
      <c r="J303" s="361">
        <v>41564</v>
      </c>
      <c r="K303" s="358" t="s">
        <v>10411</v>
      </c>
      <c r="L303" s="358"/>
      <c r="M303" s="360" t="s">
        <v>10084</v>
      </c>
      <c r="N303" s="358"/>
      <c r="O303" s="360" t="s">
        <v>57</v>
      </c>
      <c r="P303" s="362">
        <v>155179520</v>
      </c>
      <c r="Q303" s="363"/>
      <c r="R303" s="364" t="s">
        <v>7993</v>
      </c>
      <c r="S303" s="340">
        <v>1</v>
      </c>
    </row>
    <row r="304" spans="1:19" ht="43.5" x14ac:dyDescent="0.35">
      <c r="A304" s="349">
        <v>293</v>
      </c>
      <c r="B304" s="358" t="s">
        <v>10085</v>
      </c>
      <c r="C304" s="359" t="s">
        <v>10086</v>
      </c>
      <c r="D304" s="360" t="s">
        <v>51</v>
      </c>
      <c r="E304" s="360" t="s">
        <v>10082</v>
      </c>
      <c r="F304" s="360" t="s">
        <v>10078</v>
      </c>
      <c r="G304" s="360" t="s">
        <v>10078</v>
      </c>
      <c r="H304" s="360">
        <v>66</v>
      </c>
      <c r="I304" s="358" t="s">
        <v>10412</v>
      </c>
      <c r="J304" s="361">
        <v>41585</v>
      </c>
      <c r="K304" s="358" t="s">
        <v>10413</v>
      </c>
      <c r="L304" s="358"/>
      <c r="M304" s="360" t="s">
        <v>10084</v>
      </c>
      <c r="N304" s="358"/>
      <c r="O304" s="360" t="s">
        <v>57</v>
      </c>
      <c r="P304" s="362">
        <v>137500000</v>
      </c>
      <c r="Q304" s="363" t="s">
        <v>10414</v>
      </c>
      <c r="R304" s="364" t="s">
        <v>7993</v>
      </c>
      <c r="S304" s="340">
        <v>1</v>
      </c>
    </row>
    <row r="305" spans="1:19" ht="29.5" thickBot="1" x14ac:dyDescent="0.4">
      <c r="A305" s="357">
        <v>294</v>
      </c>
      <c r="B305" s="358" t="s">
        <v>10085</v>
      </c>
      <c r="C305" s="359" t="s">
        <v>10086</v>
      </c>
      <c r="D305" s="360" t="s">
        <v>59</v>
      </c>
      <c r="E305" s="360" t="s">
        <v>10082</v>
      </c>
      <c r="F305" s="360" t="s">
        <v>10078</v>
      </c>
      <c r="G305" s="360" t="s">
        <v>10078</v>
      </c>
      <c r="H305" s="360">
        <v>64</v>
      </c>
      <c r="I305" s="358" t="s">
        <v>10410</v>
      </c>
      <c r="J305" s="361"/>
      <c r="K305" s="358"/>
      <c r="L305" s="358"/>
      <c r="M305" s="360" t="s">
        <v>10084</v>
      </c>
      <c r="N305" s="358"/>
      <c r="O305" s="360" t="s">
        <v>57</v>
      </c>
      <c r="P305" s="362">
        <v>264358000</v>
      </c>
      <c r="Q305" s="363"/>
      <c r="R305" s="364" t="s">
        <v>7993</v>
      </c>
      <c r="S305" s="340">
        <v>1</v>
      </c>
    </row>
    <row r="306" spans="1:19" ht="29" x14ac:dyDescent="0.35">
      <c r="A306" s="349">
        <v>295</v>
      </c>
      <c r="B306" s="358" t="s">
        <v>10146</v>
      </c>
      <c r="C306" s="359" t="s">
        <v>10147</v>
      </c>
      <c r="D306" s="360" t="s">
        <v>51</v>
      </c>
      <c r="E306" s="360" t="s">
        <v>10082</v>
      </c>
      <c r="F306" s="360" t="s">
        <v>10078</v>
      </c>
      <c r="G306" s="360" t="s">
        <v>10078</v>
      </c>
      <c r="H306" s="360">
        <v>0</v>
      </c>
      <c r="I306" s="358" t="s">
        <v>10415</v>
      </c>
      <c r="J306" s="361">
        <v>43676</v>
      </c>
      <c r="K306" s="358" t="s">
        <v>10416</v>
      </c>
      <c r="L306" s="358"/>
      <c r="M306" s="360" t="s">
        <v>10084</v>
      </c>
      <c r="N306" s="358"/>
      <c r="O306" s="360" t="s">
        <v>57</v>
      </c>
      <c r="P306" s="362">
        <v>221438000</v>
      </c>
      <c r="Q306" s="363" t="s">
        <v>10417</v>
      </c>
      <c r="R306" s="364" t="s">
        <v>7993</v>
      </c>
      <c r="S306" s="340">
        <v>1</v>
      </c>
    </row>
    <row r="307" spans="1:19" ht="29.5" thickBot="1" x14ac:dyDescent="0.4">
      <c r="A307" s="357">
        <v>296</v>
      </c>
      <c r="B307" s="358" t="s">
        <v>10096</v>
      </c>
      <c r="C307" s="359" t="s">
        <v>10097</v>
      </c>
      <c r="D307" s="360" t="s">
        <v>51</v>
      </c>
      <c r="E307" s="360" t="s">
        <v>10082</v>
      </c>
      <c r="F307" s="360" t="s">
        <v>10078</v>
      </c>
      <c r="G307" s="360" t="s">
        <v>10088</v>
      </c>
      <c r="H307" s="360">
        <v>60</v>
      </c>
      <c r="I307" s="358" t="s">
        <v>10418</v>
      </c>
      <c r="J307" s="361"/>
      <c r="K307" s="358" t="s">
        <v>10419</v>
      </c>
      <c r="L307" s="358"/>
      <c r="M307" s="360"/>
      <c r="N307" s="358"/>
      <c r="O307" s="360" t="s">
        <v>44</v>
      </c>
      <c r="P307" s="362">
        <v>199055287</v>
      </c>
      <c r="Q307" s="363" t="s">
        <v>10420</v>
      </c>
      <c r="R307" s="364" t="s">
        <v>7993</v>
      </c>
      <c r="S307" s="340">
        <v>1</v>
      </c>
    </row>
    <row r="308" spans="1:19" ht="29" x14ac:dyDescent="0.35">
      <c r="A308" s="349">
        <v>297</v>
      </c>
      <c r="B308" s="358" t="s">
        <v>10080</v>
      </c>
      <c r="C308" s="359" t="s">
        <v>10081</v>
      </c>
      <c r="D308" s="360" t="s">
        <v>51</v>
      </c>
      <c r="E308" s="360" t="s">
        <v>10082</v>
      </c>
      <c r="F308" s="360" t="s">
        <v>10078</v>
      </c>
      <c r="G308" s="360" t="s">
        <v>10078</v>
      </c>
      <c r="H308" s="360">
        <v>162</v>
      </c>
      <c r="I308" s="358" t="s">
        <v>10241</v>
      </c>
      <c r="J308" s="361"/>
      <c r="K308" s="358"/>
      <c r="L308" s="358"/>
      <c r="M308" s="360" t="s">
        <v>10084</v>
      </c>
      <c r="N308" s="358"/>
      <c r="O308" s="360" t="s">
        <v>57</v>
      </c>
      <c r="P308" s="362">
        <v>563482000</v>
      </c>
      <c r="Q308" s="363"/>
      <c r="R308" s="364" t="s">
        <v>7994</v>
      </c>
      <c r="S308" s="340">
        <v>1</v>
      </c>
    </row>
    <row r="309" spans="1:19" ht="29.5" thickBot="1" x14ac:dyDescent="0.4">
      <c r="A309" s="357">
        <v>298</v>
      </c>
      <c r="B309" s="358" t="s">
        <v>10080</v>
      </c>
      <c r="C309" s="359" t="s">
        <v>10081</v>
      </c>
      <c r="D309" s="360" t="s">
        <v>59</v>
      </c>
      <c r="E309" s="360" t="s">
        <v>10082</v>
      </c>
      <c r="F309" s="360" t="s">
        <v>10078</v>
      </c>
      <c r="G309" s="360" t="s">
        <v>10078</v>
      </c>
      <c r="H309" s="360">
        <v>148</v>
      </c>
      <c r="I309" s="358" t="s">
        <v>10241</v>
      </c>
      <c r="J309" s="361"/>
      <c r="K309" s="358"/>
      <c r="L309" s="358"/>
      <c r="M309" s="360" t="s">
        <v>10084</v>
      </c>
      <c r="N309" s="358"/>
      <c r="O309" s="360" t="s">
        <v>422</v>
      </c>
      <c r="P309" s="362">
        <v>212100000</v>
      </c>
      <c r="Q309" s="363" t="s">
        <v>8603</v>
      </c>
      <c r="R309" s="364" t="s">
        <v>7994</v>
      </c>
      <c r="S309" s="340">
        <v>1</v>
      </c>
    </row>
    <row r="310" spans="1:19" ht="31" x14ac:dyDescent="0.35">
      <c r="A310" s="349">
        <v>299</v>
      </c>
      <c r="B310" s="364" t="s">
        <v>10080</v>
      </c>
      <c r="C310" s="365" t="s">
        <v>10081</v>
      </c>
      <c r="D310" s="366" t="s">
        <v>97</v>
      </c>
      <c r="E310" s="366" t="s">
        <v>10082</v>
      </c>
      <c r="F310" s="366" t="s">
        <v>10078</v>
      </c>
      <c r="G310" s="366" t="s">
        <v>10088</v>
      </c>
      <c r="H310" s="366">
        <v>180</v>
      </c>
      <c r="I310" s="364" t="s">
        <v>10241</v>
      </c>
      <c r="J310" s="367"/>
      <c r="K310" s="364"/>
      <c r="L310" s="358"/>
      <c r="M310" s="366" t="s">
        <v>10084</v>
      </c>
      <c r="N310" s="358"/>
      <c r="O310" s="366" t="s">
        <v>57</v>
      </c>
      <c r="P310" s="368">
        <v>315259500</v>
      </c>
      <c r="Q310" s="369"/>
      <c r="R310" s="364" t="s">
        <v>7994</v>
      </c>
      <c r="S310" s="340">
        <v>1</v>
      </c>
    </row>
    <row r="311" spans="1:19" ht="31.5" thickBot="1" x14ac:dyDescent="0.4">
      <c r="A311" s="357">
        <v>300</v>
      </c>
      <c r="B311" s="364" t="s">
        <v>10080</v>
      </c>
      <c r="C311" s="365" t="s">
        <v>10081</v>
      </c>
      <c r="D311" s="366" t="s">
        <v>101</v>
      </c>
      <c r="E311" s="366" t="s">
        <v>10082</v>
      </c>
      <c r="F311" s="366" t="s">
        <v>10078</v>
      </c>
      <c r="G311" s="366" t="s">
        <v>10078</v>
      </c>
      <c r="H311" s="366">
        <v>108</v>
      </c>
      <c r="I311" s="364" t="s">
        <v>10241</v>
      </c>
      <c r="J311" s="367"/>
      <c r="K311" s="364"/>
      <c r="L311" s="358"/>
      <c r="M311" s="366" t="s">
        <v>10084</v>
      </c>
      <c r="N311" s="358"/>
      <c r="O311" s="366" t="s">
        <v>57</v>
      </c>
      <c r="P311" s="368">
        <v>277631222</v>
      </c>
      <c r="Q311" s="369"/>
      <c r="R311" s="364" t="s">
        <v>7994</v>
      </c>
      <c r="S311" s="340">
        <v>1</v>
      </c>
    </row>
    <row r="312" spans="1:19" ht="31" x14ac:dyDescent="0.35">
      <c r="A312" s="349">
        <v>301</v>
      </c>
      <c r="B312" s="364" t="s">
        <v>10080</v>
      </c>
      <c r="C312" s="365" t="s">
        <v>10081</v>
      </c>
      <c r="D312" s="366" t="s">
        <v>107</v>
      </c>
      <c r="E312" s="366" t="s">
        <v>10082</v>
      </c>
      <c r="F312" s="366" t="s">
        <v>10078</v>
      </c>
      <c r="G312" s="366" t="s">
        <v>10078</v>
      </c>
      <c r="H312" s="366">
        <v>96</v>
      </c>
      <c r="I312" s="364" t="s">
        <v>10241</v>
      </c>
      <c r="J312" s="367"/>
      <c r="K312" s="364"/>
      <c r="L312" s="358"/>
      <c r="M312" s="366" t="s">
        <v>10084</v>
      </c>
      <c r="N312" s="358"/>
      <c r="O312" s="360" t="s">
        <v>57</v>
      </c>
      <c r="P312" s="368">
        <v>165283000</v>
      </c>
      <c r="Q312" s="369"/>
      <c r="R312" s="364" t="s">
        <v>7994</v>
      </c>
      <c r="S312" s="340">
        <v>1</v>
      </c>
    </row>
    <row r="313" spans="1:19" ht="31.5" thickBot="1" x14ac:dyDescent="0.4">
      <c r="A313" s="357">
        <v>302</v>
      </c>
      <c r="B313" s="364" t="s">
        <v>10110</v>
      </c>
      <c r="C313" s="365" t="s">
        <v>10111</v>
      </c>
      <c r="D313" s="366" t="s">
        <v>51</v>
      </c>
      <c r="E313" s="366" t="s">
        <v>10082</v>
      </c>
      <c r="F313" s="366" t="s">
        <v>10078</v>
      </c>
      <c r="G313" s="366" t="s">
        <v>10088</v>
      </c>
      <c r="H313" s="366">
        <v>12</v>
      </c>
      <c r="I313" s="364" t="s">
        <v>10421</v>
      </c>
      <c r="J313" s="367">
        <v>44760</v>
      </c>
      <c r="K313" s="364" t="s">
        <v>10422</v>
      </c>
      <c r="L313" s="358"/>
      <c r="M313" s="366"/>
      <c r="N313" s="358"/>
      <c r="O313" s="360" t="s">
        <v>44</v>
      </c>
      <c r="P313" s="368">
        <v>84165190</v>
      </c>
      <c r="Q313" s="369" t="s">
        <v>10423</v>
      </c>
      <c r="R313" s="364" t="s">
        <v>7994</v>
      </c>
      <c r="S313" s="340">
        <v>1</v>
      </c>
    </row>
    <row r="314" spans="1:19" ht="46.5" x14ac:dyDescent="0.35">
      <c r="A314" s="349">
        <v>303</v>
      </c>
      <c r="B314" s="364" t="s">
        <v>10110</v>
      </c>
      <c r="C314" s="365" t="s">
        <v>10111</v>
      </c>
      <c r="D314" s="366" t="s">
        <v>59</v>
      </c>
      <c r="E314" s="366" t="s">
        <v>10082</v>
      </c>
      <c r="F314" s="366" t="s">
        <v>10078</v>
      </c>
      <c r="G314" s="366" t="s">
        <v>10088</v>
      </c>
      <c r="H314" s="366">
        <v>28</v>
      </c>
      <c r="I314" s="364" t="s">
        <v>10421</v>
      </c>
      <c r="J314" s="367">
        <v>44761</v>
      </c>
      <c r="K314" s="364" t="s">
        <v>10424</v>
      </c>
      <c r="L314" s="358"/>
      <c r="M314" s="366"/>
      <c r="N314" s="358"/>
      <c r="O314" s="360" t="s">
        <v>44</v>
      </c>
      <c r="P314" s="368">
        <v>138844400</v>
      </c>
      <c r="Q314" s="369" t="s">
        <v>10425</v>
      </c>
      <c r="R314" s="364" t="s">
        <v>7994</v>
      </c>
      <c r="S314" s="340">
        <v>1</v>
      </c>
    </row>
    <row r="315" spans="1:19" ht="31.5" thickBot="1" x14ac:dyDescent="0.4">
      <c r="A315" s="357">
        <v>304</v>
      </c>
      <c r="B315" s="364" t="s">
        <v>10092</v>
      </c>
      <c r="C315" s="365" t="s">
        <v>10093</v>
      </c>
      <c r="D315" s="366" t="s">
        <v>51</v>
      </c>
      <c r="E315" s="366" t="s">
        <v>10082</v>
      </c>
      <c r="F315" s="366" t="s">
        <v>10078</v>
      </c>
      <c r="G315" s="366" t="s">
        <v>10078</v>
      </c>
      <c r="H315" s="366">
        <v>61</v>
      </c>
      <c r="I315" s="364" t="s">
        <v>10241</v>
      </c>
      <c r="J315" s="367"/>
      <c r="K315" s="364"/>
      <c r="L315" s="358"/>
      <c r="M315" s="366" t="s">
        <v>10084</v>
      </c>
      <c r="N315" s="358"/>
      <c r="O315" s="360" t="s">
        <v>57</v>
      </c>
      <c r="P315" s="368">
        <v>207789000</v>
      </c>
      <c r="Q315" s="369"/>
      <c r="R315" s="364" t="s">
        <v>7994</v>
      </c>
      <c r="S315" s="340">
        <v>1</v>
      </c>
    </row>
    <row r="316" spans="1:19" ht="46.5" x14ac:dyDescent="0.35">
      <c r="A316" s="349">
        <v>305</v>
      </c>
      <c r="B316" s="364" t="s">
        <v>10085</v>
      </c>
      <c r="C316" s="365" t="s">
        <v>10086</v>
      </c>
      <c r="D316" s="366" t="s">
        <v>51</v>
      </c>
      <c r="E316" s="366" t="s">
        <v>10082</v>
      </c>
      <c r="F316" s="366" t="s">
        <v>10078</v>
      </c>
      <c r="G316" s="366" t="s">
        <v>10078</v>
      </c>
      <c r="H316" s="360">
        <v>66</v>
      </c>
      <c r="I316" s="364" t="s">
        <v>10241</v>
      </c>
      <c r="J316" s="361">
        <v>41585</v>
      </c>
      <c r="K316" s="364" t="s">
        <v>10426</v>
      </c>
      <c r="L316" s="358"/>
      <c r="M316" s="360" t="s">
        <v>10084</v>
      </c>
      <c r="N316" s="358"/>
      <c r="O316" s="360" t="s">
        <v>57</v>
      </c>
      <c r="P316" s="368">
        <v>137500000</v>
      </c>
      <c r="Q316" s="369" t="s">
        <v>10427</v>
      </c>
      <c r="R316" s="364" t="s">
        <v>7994</v>
      </c>
      <c r="S316" s="340">
        <v>1</v>
      </c>
    </row>
    <row r="317" spans="1:19" ht="44" thickBot="1" x14ac:dyDescent="0.4">
      <c r="A317" s="357">
        <v>306</v>
      </c>
      <c r="B317" s="358" t="s">
        <v>10146</v>
      </c>
      <c r="C317" s="359" t="s">
        <v>10147</v>
      </c>
      <c r="D317" s="360" t="s">
        <v>51</v>
      </c>
      <c r="E317" s="360" t="s">
        <v>10082</v>
      </c>
      <c r="F317" s="360" t="s">
        <v>10078</v>
      </c>
      <c r="G317" s="360" t="s">
        <v>10088</v>
      </c>
      <c r="H317" s="360">
        <v>72</v>
      </c>
      <c r="I317" s="358" t="s">
        <v>10421</v>
      </c>
      <c r="J317" s="361">
        <v>44755</v>
      </c>
      <c r="K317" s="358" t="s">
        <v>10428</v>
      </c>
      <c r="L317" s="358"/>
      <c r="M317" s="360"/>
      <c r="N317" s="358"/>
      <c r="O317" s="360" t="s">
        <v>44</v>
      </c>
      <c r="P317" s="362">
        <v>383593200</v>
      </c>
      <c r="Q317" s="363" t="s">
        <v>10429</v>
      </c>
      <c r="R317" s="364" t="s">
        <v>7994</v>
      </c>
      <c r="S317" s="340">
        <v>1</v>
      </c>
    </row>
    <row r="318" spans="1:19" ht="29" x14ac:dyDescent="0.35">
      <c r="A318" s="349">
        <v>307</v>
      </c>
      <c r="B318" s="358" t="s">
        <v>10096</v>
      </c>
      <c r="C318" s="359" t="s">
        <v>10097</v>
      </c>
      <c r="D318" s="360" t="s">
        <v>59</v>
      </c>
      <c r="E318" s="360" t="s">
        <v>10082</v>
      </c>
      <c r="F318" s="360" t="s">
        <v>10078</v>
      </c>
      <c r="G318" s="360" t="s">
        <v>10088</v>
      </c>
      <c r="H318" s="360" t="s">
        <v>10430</v>
      </c>
      <c r="I318" s="358" t="s">
        <v>10431</v>
      </c>
      <c r="J318" s="361"/>
      <c r="K318" s="358" t="s">
        <v>10432</v>
      </c>
      <c r="L318" s="358"/>
      <c r="M318" s="360"/>
      <c r="N318" s="358"/>
      <c r="O318" s="360" t="s">
        <v>44</v>
      </c>
      <c r="P318" s="362">
        <v>211652700</v>
      </c>
      <c r="Q318" s="363" t="s">
        <v>10433</v>
      </c>
      <c r="R318" s="364" t="s">
        <v>7994</v>
      </c>
      <c r="S318" s="340">
        <v>1</v>
      </c>
    </row>
    <row r="319" spans="1:19" ht="29.5" thickBot="1" x14ac:dyDescent="0.4">
      <c r="A319" s="357">
        <v>308</v>
      </c>
      <c r="B319" s="358" t="s">
        <v>10080</v>
      </c>
      <c r="C319" s="359" t="s">
        <v>10081</v>
      </c>
      <c r="D319" s="360" t="s">
        <v>51</v>
      </c>
      <c r="E319" s="360" t="s">
        <v>10082</v>
      </c>
      <c r="F319" s="360" t="s">
        <v>10078</v>
      </c>
      <c r="G319" s="360" t="s">
        <v>10078</v>
      </c>
      <c r="H319" s="360">
        <v>216</v>
      </c>
      <c r="I319" s="358" t="s">
        <v>10434</v>
      </c>
      <c r="J319" s="361">
        <v>40178</v>
      </c>
      <c r="K319" s="358" t="s">
        <v>63</v>
      </c>
      <c r="L319" s="358"/>
      <c r="M319" s="360" t="s">
        <v>10084</v>
      </c>
      <c r="N319" s="358"/>
      <c r="O319" s="360" t="s">
        <v>57</v>
      </c>
      <c r="P319" s="362">
        <v>547991000</v>
      </c>
      <c r="Q319" s="363" t="s">
        <v>10435</v>
      </c>
      <c r="R319" s="364" t="s">
        <v>7997</v>
      </c>
      <c r="S319" s="340">
        <v>1</v>
      </c>
    </row>
    <row r="320" spans="1:19" ht="29" x14ac:dyDescent="0.35">
      <c r="A320" s="349">
        <v>309</v>
      </c>
      <c r="B320" s="358" t="s">
        <v>10080</v>
      </c>
      <c r="C320" s="359" t="s">
        <v>10081</v>
      </c>
      <c r="D320" s="360" t="s">
        <v>59</v>
      </c>
      <c r="E320" s="360" t="s">
        <v>10082</v>
      </c>
      <c r="F320" s="360" t="s">
        <v>10078</v>
      </c>
      <c r="G320" s="360" t="s">
        <v>10078</v>
      </c>
      <c r="H320" s="360">
        <v>153</v>
      </c>
      <c r="I320" s="358" t="s">
        <v>10310</v>
      </c>
      <c r="J320" s="361"/>
      <c r="K320" s="358"/>
      <c r="L320" s="358"/>
      <c r="M320" s="360" t="s">
        <v>10084</v>
      </c>
      <c r="N320" s="358"/>
      <c r="O320" s="360" t="s">
        <v>422</v>
      </c>
      <c r="P320" s="362">
        <v>60000000</v>
      </c>
      <c r="Q320" s="363" t="s">
        <v>8603</v>
      </c>
      <c r="R320" s="364" t="s">
        <v>7997</v>
      </c>
      <c r="S320" s="340">
        <v>1</v>
      </c>
    </row>
    <row r="321" spans="1:19" ht="29.5" thickBot="1" x14ac:dyDescent="0.4">
      <c r="A321" s="357">
        <v>310</v>
      </c>
      <c r="B321" s="358" t="s">
        <v>10080</v>
      </c>
      <c r="C321" s="359" t="s">
        <v>10081</v>
      </c>
      <c r="D321" s="360" t="s">
        <v>97</v>
      </c>
      <c r="E321" s="360" t="s">
        <v>10082</v>
      </c>
      <c r="F321" s="360" t="s">
        <v>10078</v>
      </c>
      <c r="G321" s="360" t="s">
        <v>10078</v>
      </c>
      <c r="H321" s="360">
        <v>162</v>
      </c>
      <c r="I321" s="358" t="s">
        <v>10310</v>
      </c>
      <c r="J321" s="361"/>
      <c r="K321" s="358"/>
      <c r="L321" s="358"/>
      <c r="M321" s="360" t="s">
        <v>10084</v>
      </c>
      <c r="N321" s="358"/>
      <c r="O321" s="360" t="s">
        <v>57</v>
      </c>
      <c r="P321" s="362">
        <v>370602222</v>
      </c>
      <c r="Q321" s="363"/>
      <c r="R321" s="364" t="s">
        <v>7997</v>
      </c>
      <c r="S321" s="340">
        <v>1</v>
      </c>
    </row>
    <row r="322" spans="1:19" ht="29" x14ac:dyDescent="0.35">
      <c r="A322" s="349">
        <v>311</v>
      </c>
      <c r="B322" s="358" t="s">
        <v>10080</v>
      </c>
      <c r="C322" s="359" t="s">
        <v>10081</v>
      </c>
      <c r="D322" s="360" t="s">
        <v>101</v>
      </c>
      <c r="E322" s="360" t="s">
        <v>10082</v>
      </c>
      <c r="F322" s="360" t="s">
        <v>10078</v>
      </c>
      <c r="G322" s="360" t="s">
        <v>10078</v>
      </c>
      <c r="H322" s="360">
        <v>162</v>
      </c>
      <c r="I322" s="358" t="s">
        <v>10310</v>
      </c>
      <c r="J322" s="361"/>
      <c r="K322" s="358"/>
      <c r="L322" s="358"/>
      <c r="M322" s="360" t="s">
        <v>10084</v>
      </c>
      <c r="N322" s="358"/>
      <c r="O322" s="360" t="s">
        <v>57</v>
      </c>
      <c r="P322" s="362">
        <v>372360500</v>
      </c>
      <c r="Q322" s="363"/>
      <c r="R322" s="364" t="s">
        <v>7997</v>
      </c>
      <c r="S322" s="340">
        <v>1</v>
      </c>
    </row>
    <row r="323" spans="1:19" ht="29.5" thickBot="1" x14ac:dyDescent="0.4">
      <c r="A323" s="357">
        <v>312</v>
      </c>
      <c r="B323" s="358" t="s">
        <v>10080</v>
      </c>
      <c r="C323" s="359" t="s">
        <v>10081</v>
      </c>
      <c r="D323" s="360" t="s">
        <v>107</v>
      </c>
      <c r="E323" s="360" t="s">
        <v>10082</v>
      </c>
      <c r="F323" s="360" t="s">
        <v>10078</v>
      </c>
      <c r="G323" s="360" t="s">
        <v>10078</v>
      </c>
      <c r="H323" s="360">
        <v>162</v>
      </c>
      <c r="I323" s="358" t="s">
        <v>10310</v>
      </c>
      <c r="J323" s="361"/>
      <c r="K323" s="358"/>
      <c r="L323" s="358"/>
      <c r="M323" s="360" t="s">
        <v>10084</v>
      </c>
      <c r="N323" s="358"/>
      <c r="O323" s="360" t="s">
        <v>57</v>
      </c>
      <c r="P323" s="362">
        <v>278915000</v>
      </c>
      <c r="Q323" s="363"/>
      <c r="R323" s="364" t="s">
        <v>7997</v>
      </c>
      <c r="S323" s="340">
        <v>1</v>
      </c>
    </row>
    <row r="324" spans="1:19" ht="29" x14ac:dyDescent="0.35">
      <c r="A324" s="349">
        <v>313</v>
      </c>
      <c r="B324" s="358" t="s">
        <v>10110</v>
      </c>
      <c r="C324" s="359" t="s">
        <v>10111</v>
      </c>
      <c r="D324" s="360" t="s">
        <v>51</v>
      </c>
      <c r="E324" s="360" t="s">
        <v>10082</v>
      </c>
      <c r="F324" s="360" t="s">
        <v>10078</v>
      </c>
      <c r="G324" s="360" t="s">
        <v>10088</v>
      </c>
      <c r="H324" s="360">
        <v>14</v>
      </c>
      <c r="I324" s="358" t="s">
        <v>10310</v>
      </c>
      <c r="J324" s="361">
        <v>43259</v>
      </c>
      <c r="K324" s="358" t="s">
        <v>10436</v>
      </c>
      <c r="L324" s="358"/>
      <c r="M324" s="360" t="s">
        <v>10084</v>
      </c>
      <c r="N324" s="358"/>
      <c r="O324" s="360" t="s">
        <v>57</v>
      </c>
      <c r="P324" s="362">
        <v>110353000</v>
      </c>
      <c r="Q324" s="363" t="s">
        <v>10437</v>
      </c>
      <c r="R324" s="364" t="s">
        <v>7997</v>
      </c>
      <c r="S324" s="340">
        <v>1</v>
      </c>
    </row>
    <row r="325" spans="1:19" ht="44" thickBot="1" x14ac:dyDescent="0.4">
      <c r="A325" s="357">
        <v>314</v>
      </c>
      <c r="B325" s="358" t="s">
        <v>10110</v>
      </c>
      <c r="C325" s="359" t="s">
        <v>10111</v>
      </c>
      <c r="D325" s="360" t="s">
        <v>97</v>
      </c>
      <c r="E325" s="360" t="s">
        <v>10082</v>
      </c>
      <c r="F325" s="360" t="s">
        <v>10078</v>
      </c>
      <c r="G325" s="360" t="s">
        <v>10088</v>
      </c>
      <c r="H325" s="360">
        <v>72</v>
      </c>
      <c r="I325" s="358" t="s">
        <v>10438</v>
      </c>
      <c r="J325" s="361"/>
      <c r="K325" s="358" t="s">
        <v>10439</v>
      </c>
      <c r="L325" s="358"/>
      <c r="M325" s="360"/>
      <c r="N325" s="358"/>
      <c r="O325" s="360" t="s">
        <v>44</v>
      </c>
      <c r="P325" s="362">
        <v>257223980</v>
      </c>
      <c r="Q325" s="363" t="s">
        <v>10440</v>
      </c>
      <c r="R325" s="364" t="s">
        <v>7997</v>
      </c>
      <c r="S325" s="340">
        <v>1</v>
      </c>
    </row>
    <row r="326" spans="1:19" ht="29" x14ac:dyDescent="0.35">
      <c r="A326" s="349">
        <v>315</v>
      </c>
      <c r="B326" s="358" t="s">
        <v>10092</v>
      </c>
      <c r="C326" s="359" t="s">
        <v>10093</v>
      </c>
      <c r="D326" s="360" t="s">
        <v>51</v>
      </c>
      <c r="E326" s="360" t="s">
        <v>10082</v>
      </c>
      <c r="F326" s="360" t="s">
        <v>10078</v>
      </c>
      <c r="G326" s="360" t="s">
        <v>10078</v>
      </c>
      <c r="H326" s="360">
        <v>61</v>
      </c>
      <c r="I326" s="358" t="s">
        <v>10310</v>
      </c>
      <c r="J326" s="361"/>
      <c r="K326" s="358"/>
      <c r="L326" s="358"/>
      <c r="M326" s="360" t="s">
        <v>10084</v>
      </c>
      <c r="N326" s="358"/>
      <c r="O326" s="360" t="s">
        <v>57</v>
      </c>
      <c r="P326" s="362">
        <v>232076255</v>
      </c>
      <c r="Q326" s="363"/>
      <c r="R326" s="364" t="s">
        <v>7997</v>
      </c>
      <c r="S326" s="340">
        <v>1</v>
      </c>
    </row>
    <row r="327" spans="1:19" ht="31.5" thickBot="1" x14ac:dyDescent="0.4">
      <c r="A327" s="357">
        <v>316</v>
      </c>
      <c r="B327" s="364" t="s">
        <v>10085</v>
      </c>
      <c r="C327" s="365" t="s">
        <v>10086</v>
      </c>
      <c r="D327" s="366" t="s">
        <v>51</v>
      </c>
      <c r="E327" s="366" t="s">
        <v>10082</v>
      </c>
      <c r="F327" s="366" t="s">
        <v>10078</v>
      </c>
      <c r="G327" s="366" t="s">
        <v>10078</v>
      </c>
      <c r="H327" s="366">
        <v>54</v>
      </c>
      <c r="I327" s="364" t="s">
        <v>10310</v>
      </c>
      <c r="J327" s="367"/>
      <c r="K327" s="364"/>
      <c r="L327" s="358"/>
      <c r="M327" s="366" t="s">
        <v>10084</v>
      </c>
      <c r="N327" s="358"/>
      <c r="O327" s="366" t="s">
        <v>57</v>
      </c>
      <c r="P327" s="368">
        <v>292472000</v>
      </c>
      <c r="Q327" s="369"/>
      <c r="R327" s="364" t="s">
        <v>7997</v>
      </c>
      <c r="S327" s="340">
        <v>1</v>
      </c>
    </row>
    <row r="328" spans="1:19" ht="46.5" x14ac:dyDescent="0.35">
      <c r="A328" s="349">
        <v>317</v>
      </c>
      <c r="B328" s="364" t="s">
        <v>10085</v>
      </c>
      <c r="C328" s="365" t="s">
        <v>10086</v>
      </c>
      <c r="D328" s="366" t="s">
        <v>59</v>
      </c>
      <c r="E328" s="366" t="s">
        <v>10082</v>
      </c>
      <c r="F328" s="366" t="s">
        <v>10078</v>
      </c>
      <c r="G328" s="366" t="s">
        <v>10088</v>
      </c>
      <c r="H328" s="366">
        <v>39</v>
      </c>
      <c r="I328" s="364" t="s">
        <v>10441</v>
      </c>
      <c r="J328" s="367">
        <v>41585</v>
      </c>
      <c r="K328" s="364" t="s">
        <v>10442</v>
      </c>
      <c r="L328" s="358"/>
      <c r="M328" s="360" t="s">
        <v>10084</v>
      </c>
      <c r="N328" s="358"/>
      <c r="O328" s="366" t="s">
        <v>57</v>
      </c>
      <c r="P328" s="368">
        <v>137500000</v>
      </c>
      <c r="Q328" s="369" t="s">
        <v>10443</v>
      </c>
      <c r="R328" s="364" t="s">
        <v>7997</v>
      </c>
      <c r="S328" s="340">
        <v>1</v>
      </c>
    </row>
    <row r="329" spans="1:19" ht="47" thickBot="1" x14ac:dyDescent="0.4">
      <c r="A329" s="357">
        <v>318</v>
      </c>
      <c r="B329" s="364" t="s">
        <v>10146</v>
      </c>
      <c r="C329" s="365" t="s">
        <v>10147</v>
      </c>
      <c r="D329" s="366" t="s">
        <v>51</v>
      </c>
      <c r="E329" s="366" t="s">
        <v>10082</v>
      </c>
      <c r="F329" s="366" t="s">
        <v>10078</v>
      </c>
      <c r="G329" s="366" t="s">
        <v>10078</v>
      </c>
      <c r="H329" s="366">
        <v>115</v>
      </c>
      <c r="I329" s="364" t="s">
        <v>10444</v>
      </c>
      <c r="J329" s="361">
        <v>43966</v>
      </c>
      <c r="K329" s="358" t="s">
        <v>10445</v>
      </c>
      <c r="L329" s="358"/>
      <c r="M329" s="366" t="s">
        <v>10084</v>
      </c>
      <c r="N329" s="358"/>
      <c r="O329" s="360" t="s">
        <v>57</v>
      </c>
      <c r="P329" s="368">
        <v>339592000</v>
      </c>
      <c r="Q329" s="369" t="s">
        <v>10446</v>
      </c>
      <c r="R329" s="364" t="s">
        <v>7997</v>
      </c>
      <c r="S329" s="340">
        <v>1</v>
      </c>
    </row>
    <row r="330" spans="1:19" ht="31" x14ac:dyDescent="0.35">
      <c r="A330" s="349">
        <v>319</v>
      </c>
      <c r="B330" s="364" t="s">
        <v>10146</v>
      </c>
      <c r="C330" s="365" t="s">
        <v>10147</v>
      </c>
      <c r="D330" s="366" t="s">
        <v>59</v>
      </c>
      <c r="E330" s="366" t="s">
        <v>10082</v>
      </c>
      <c r="F330" s="366" t="s">
        <v>10078</v>
      </c>
      <c r="G330" s="366" t="s">
        <v>10078</v>
      </c>
      <c r="H330" s="366">
        <v>50</v>
      </c>
      <c r="I330" s="364" t="s">
        <v>8410</v>
      </c>
      <c r="J330" s="367">
        <v>43676</v>
      </c>
      <c r="K330" s="364" t="s">
        <v>10447</v>
      </c>
      <c r="L330" s="358"/>
      <c r="M330" s="366" t="s">
        <v>10084</v>
      </c>
      <c r="N330" s="358"/>
      <c r="O330" s="360" t="s">
        <v>57</v>
      </c>
      <c r="P330" s="368">
        <v>221418000</v>
      </c>
      <c r="Q330" s="369" t="s">
        <v>10448</v>
      </c>
      <c r="R330" s="364" t="s">
        <v>7997</v>
      </c>
      <c r="S330" s="340">
        <v>1</v>
      </c>
    </row>
    <row r="331" spans="1:19" ht="31.5" thickBot="1" x14ac:dyDescent="0.4">
      <c r="A331" s="357">
        <v>320</v>
      </c>
      <c r="B331" s="364" t="s">
        <v>10096</v>
      </c>
      <c r="C331" s="365" t="s">
        <v>10097</v>
      </c>
      <c r="D331" s="366" t="s">
        <v>51</v>
      </c>
      <c r="E331" s="366" t="s">
        <v>10082</v>
      </c>
      <c r="F331" s="366" t="s">
        <v>10078</v>
      </c>
      <c r="G331" s="366" t="s">
        <v>10078</v>
      </c>
      <c r="H331" s="366">
        <v>91</v>
      </c>
      <c r="I331" s="364" t="s">
        <v>10310</v>
      </c>
      <c r="J331" s="367"/>
      <c r="K331" s="364"/>
      <c r="L331" s="358"/>
      <c r="M331" s="366" t="s">
        <v>10084</v>
      </c>
      <c r="N331" s="358"/>
      <c r="O331" s="360" t="s">
        <v>57</v>
      </c>
      <c r="P331" s="368">
        <v>199450000</v>
      </c>
      <c r="Q331" s="363" t="s">
        <v>10449</v>
      </c>
      <c r="R331" s="364" t="s">
        <v>7997</v>
      </c>
      <c r="S331" s="340">
        <v>1</v>
      </c>
    </row>
    <row r="332" spans="1:19" ht="31" x14ac:dyDescent="0.35">
      <c r="A332" s="349">
        <v>321</v>
      </c>
      <c r="B332" s="364" t="s">
        <v>10080</v>
      </c>
      <c r="C332" s="365" t="s">
        <v>10081</v>
      </c>
      <c r="D332" s="366" t="s">
        <v>51</v>
      </c>
      <c r="E332" s="366" t="s">
        <v>10082</v>
      </c>
      <c r="F332" s="366" t="s">
        <v>10078</v>
      </c>
      <c r="G332" s="366" t="s">
        <v>10078</v>
      </c>
      <c r="H332" s="366">
        <v>172</v>
      </c>
      <c r="I332" s="364" t="s">
        <v>10326</v>
      </c>
      <c r="J332" s="367"/>
      <c r="K332" s="364"/>
      <c r="L332" s="358"/>
      <c r="M332" s="366" t="s">
        <v>10084</v>
      </c>
      <c r="N332" s="358"/>
      <c r="O332" s="360" t="s">
        <v>422</v>
      </c>
      <c r="P332" s="368">
        <v>415508304</v>
      </c>
      <c r="Q332" s="369" t="s">
        <v>8603</v>
      </c>
      <c r="R332" s="364" t="s">
        <v>8001</v>
      </c>
      <c r="S332" s="340">
        <v>1</v>
      </c>
    </row>
    <row r="333" spans="1:19" ht="31.5" thickBot="1" x14ac:dyDescent="0.4">
      <c r="A333" s="357">
        <v>322</v>
      </c>
      <c r="B333" s="364" t="s">
        <v>10080</v>
      </c>
      <c r="C333" s="365" t="s">
        <v>10081</v>
      </c>
      <c r="D333" s="366" t="s">
        <v>59</v>
      </c>
      <c r="E333" s="366" t="s">
        <v>10082</v>
      </c>
      <c r="F333" s="366" t="s">
        <v>10078</v>
      </c>
      <c r="G333" s="366" t="s">
        <v>10078</v>
      </c>
      <c r="H333" s="366">
        <v>180</v>
      </c>
      <c r="I333" s="364" t="s">
        <v>10364</v>
      </c>
      <c r="J333" s="367"/>
      <c r="K333" s="364"/>
      <c r="L333" s="358"/>
      <c r="M333" s="366" t="s">
        <v>10084</v>
      </c>
      <c r="N333" s="358"/>
      <c r="O333" s="360" t="s">
        <v>57</v>
      </c>
      <c r="P333" s="368">
        <v>458737640</v>
      </c>
      <c r="Q333" s="369"/>
      <c r="R333" s="364" t="s">
        <v>8001</v>
      </c>
      <c r="S333" s="340">
        <v>1</v>
      </c>
    </row>
    <row r="334" spans="1:19" ht="31" x14ac:dyDescent="0.35">
      <c r="A334" s="349">
        <v>323</v>
      </c>
      <c r="B334" s="364" t="s">
        <v>10080</v>
      </c>
      <c r="C334" s="365" t="s">
        <v>10081</v>
      </c>
      <c r="D334" s="366" t="s">
        <v>97</v>
      </c>
      <c r="E334" s="366" t="s">
        <v>10082</v>
      </c>
      <c r="F334" s="366" t="s">
        <v>10078</v>
      </c>
      <c r="G334" s="366" t="s">
        <v>10078</v>
      </c>
      <c r="H334" s="366">
        <v>162</v>
      </c>
      <c r="I334" s="364" t="s">
        <v>10326</v>
      </c>
      <c r="J334" s="367"/>
      <c r="K334" s="364"/>
      <c r="L334" s="358"/>
      <c r="M334" s="366" t="s">
        <v>10084</v>
      </c>
      <c r="N334" s="358"/>
      <c r="O334" s="360" t="s">
        <v>57</v>
      </c>
      <c r="P334" s="368">
        <v>443307200</v>
      </c>
      <c r="Q334" s="369"/>
      <c r="R334" s="364" t="s">
        <v>8001</v>
      </c>
      <c r="S334" s="340">
        <v>1</v>
      </c>
    </row>
    <row r="335" spans="1:19" ht="29.5" thickBot="1" x14ac:dyDescent="0.4">
      <c r="A335" s="357">
        <v>324</v>
      </c>
      <c r="B335" s="358" t="s">
        <v>10110</v>
      </c>
      <c r="C335" s="359" t="s">
        <v>10111</v>
      </c>
      <c r="D335" s="360" t="s">
        <v>51</v>
      </c>
      <c r="E335" s="360" t="s">
        <v>10082</v>
      </c>
      <c r="F335" s="360" t="s">
        <v>10078</v>
      </c>
      <c r="G335" s="360" t="s">
        <v>10078</v>
      </c>
      <c r="H335" s="360">
        <v>18</v>
      </c>
      <c r="I335" s="358" t="s">
        <v>10450</v>
      </c>
      <c r="J335" s="361">
        <v>44398</v>
      </c>
      <c r="K335" s="358" t="s">
        <v>10451</v>
      </c>
      <c r="L335" s="358"/>
      <c r="M335" s="360" t="s">
        <v>10084</v>
      </c>
      <c r="N335" s="358"/>
      <c r="O335" s="360" t="s">
        <v>57</v>
      </c>
      <c r="P335" s="362">
        <v>217700500</v>
      </c>
      <c r="Q335" s="363" t="s">
        <v>10452</v>
      </c>
      <c r="R335" s="364" t="s">
        <v>8001</v>
      </c>
      <c r="S335" s="340">
        <v>1</v>
      </c>
    </row>
    <row r="336" spans="1:19" ht="29" x14ac:dyDescent="0.35">
      <c r="A336" s="349">
        <v>325</v>
      </c>
      <c r="B336" s="358" t="s">
        <v>10146</v>
      </c>
      <c r="C336" s="359" t="s">
        <v>10147</v>
      </c>
      <c r="D336" s="360" t="s">
        <v>51</v>
      </c>
      <c r="E336" s="360" t="s">
        <v>10082</v>
      </c>
      <c r="F336" s="360" t="s">
        <v>10078</v>
      </c>
      <c r="G336" s="360" t="s">
        <v>10078</v>
      </c>
      <c r="H336" s="360">
        <v>0</v>
      </c>
      <c r="I336" s="358" t="s">
        <v>10453</v>
      </c>
      <c r="J336" s="361">
        <v>44524</v>
      </c>
      <c r="K336" s="358" t="s">
        <v>10454</v>
      </c>
      <c r="L336" s="358"/>
      <c r="M336" s="360" t="s">
        <v>10084</v>
      </c>
      <c r="N336" s="358"/>
      <c r="O336" s="360" t="s">
        <v>57</v>
      </c>
      <c r="P336" s="362">
        <v>435575500</v>
      </c>
      <c r="Q336" s="363" t="s">
        <v>10455</v>
      </c>
      <c r="R336" s="364" t="s">
        <v>8001</v>
      </c>
      <c r="S336" s="340">
        <v>1</v>
      </c>
    </row>
    <row r="337" spans="1:19" ht="31.5" thickBot="1" x14ac:dyDescent="0.4">
      <c r="A337" s="357">
        <v>326</v>
      </c>
      <c r="B337" s="364" t="s">
        <v>10191</v>
      </c>
      <c r="C337" s="365" t="s">
        <v>10192</v>
      </c>
      <c r="D337" s="366" t="s">
        <v>51</v>
      </c>
      <c r="E337" s="366" t="s">
        <v>10082</v>
      </c>
      <c r="F337" s="366" t="s">
        <v>10078</v>
      </c>
      <c r="G337" s="366" t="s">
        <v>10088</v>
      </c>
      <c r="H337" s="366">
        <v>62</v>
      </c>
      <c r="I337" s="364" t="s">
        <v>10326</v>
      </c>
      <c r="J337" s="367">
        <v>42937</v>
      </c>
      <c r="K337" s="364" t="s">
        <v>10456</v>
      </c>
      <c r="L337" s="358"/>
      <c r="M337" s="366" t="s">
        <v>10084</v>
      </c>
      <c r="N337" s="358"/>
      <c r="O337" s="366" t="s">
        <v>57</v>
      </c>
      <c r="P337" s="368">
        <v>453219000</v>
      </c>
      <c r="Q337" s="369" t="s">
        <v>10457</v>
      </c>
      <c r="R337" s="364" t="s">
        <v>8001</v>
      </c>
      <c r="S337" s="340">
        <v>1</v>
      </c>
    </row>
    <row r="338" spans="1:19" ht="62" x14ac:dyDescent="0.35">
      <c r="A338" s="349">
        <v>327</v>
      </c>
      <c r="B338" s="364" t="s">
        <v>10155</v>
      </c>
      <c r="C338" s="365" t="s">
        <v>10156</v>
      </c>
      <c r="D338" s="366" t="s">
        <v>51</v>
      </c>
      <c r="E338" s="366" t="s">
        <v>10082</v>
      </c>
      <c r="F338" s="366" t="s">
        <v>10078</v>
      </c>
      <c r="G338" s="366" t="s">
        <v>10078</v>
      </c>
      <c r="H338" s="366">
        <v>64</v>
      </c>
      <c r="I338" s="364" t="s">
        <v>10458</v>
      </c>
      <c r="J338" s="367">
        <v>43966</v>
      </c>
      <c r="K338" s="364" t="s">
        <v>10459</v>
      </c>
      <c r="L338" s="358"/>
      <c r="M338" s="366" t="s">
        <v>10084</v>
      </c>
      <c r="N338" s="358"/>
      <c r="O338" s="366" t="s">
        <v>57</v>
      </c>
      <c r="P338" s="368">
        <v>197995000</v>
      </c>
      <c r="Q338" s="369" t="s">
        <v>10460</v>
      </c>
      <c r="R338" s="364" t="s">
        <v>10461</v>
      </c>
      <c r="S338" s="340">
        <v>1</v>
      </c>
    </row>
    <row r="339" spans="1:19" ht="31.5" thickBot="1" x14ac:dyDescent="0.4">
      <c r="A339" s="357">
        <v>328</v>
      </c>
      <c r="B339" s="364" t="s">
        <v>10080</v>
      </c>
      <c r="C339" s="365" t="s">
        <v>10081</v>
      </c>
      <c r="D339" s="366" t="s">
        <v>51</v>
      </c>
      <c r="E339" s="366" t="s">
        <v>10082</v>
      </c>
      <c r="F339" s="366" t="s">
        <v>10078</v>
      </c>
      <c r="G339" s="366" t="s">
        <v>10078</v>
      </c>
      <c r="H339" s="366">
        <v>136</v>
      </c>
      <c r="I339" s="364" t="s">
        <v>10462</v>
      </c>
      <c r="J339" s="367"/>
      <c r="K339" s="364"/>
      <c r="L339" s="358"/>
      <c r="M339" s="366" t="s">
        <v>10084</v>
      </c>
      <c r="N339" s="358"/>
      <c r="O339" s="366" t="s">
        <v>57</v>
      </c>
      <c r="P339" s="368">
        <v>221158000</v>
      </c>
      <c r="Q339" s="369"/>
      <c r="R339" s="364" t="s">
        <v>10461</v>
      </c>
      <c r="S339" s="340">
        <v>1</v>
      </c>
    </row>
    <row r="340" spans="1:19" ht="31" x14ac:dyDescent="0.35">
      <c r="A340" s="349">
        <v>329</v>
      </c>
      <c r="B340" s="364" t="s">
        <v>10080</v>
      </c>
      <c r="C340" s="365" t="s">
        <v>10081</v>
      </c>
      <c r="D340" s="366" t="s">
        <v>59</v>
      </c>
      <c r="E340" s="366" t="s">
        <v>10082</v>
      </c>
      <c r="F340" s="366" t="s">
        <v>10078</v>
      </c>
      <c r="G340" s="366" t="s">
        <v>10078</v>
      </c>
      <c r="H340" s="366">
        <v>180</v>
      </c>
      <c r="I340" s="364" t="s">
        <v>10462</v>
      </c>
      <c r="J340" s="367"/>
      <c r="K340" s="364"/>
      <c r="L340" s="358"/>
      <c r="M340" s="366" t="s">
        <v>10084</v>
      </c>
      <c r="N340" s="358"/>
      <c r="O340" s="366" t="s">
        <v>57</v>
      </c>
      <c r="P340" s="368">
        <v>238773000</v>
      </c>
      <c r="Q340" s="369" t="s">
        <v>10463</v>
      </c>
      <c r="R340" s="364" t="s">
        <v>10461</v>
      </c>
      <c r="S340" s="340">
        <v>1</v>
      </c>
    </row>
    <row r="341" spans="1:19" ht="31.5" thickBot="1" x14ac:dyDescent="0.4">
      <c r="A341" s="357">
        <v>330</v>
      </c>
      <c r="B341" s="364" t="s">
        <v>10092</v>
      </c>
      <c r="C341" s="365" t="s">
        <v>10093</v>
      </c>
      <c r="D341" s="366" t="s">
        <v>51</v>
      </c>
      <c r="E341" s="366" t="s">
        <v>10082</v>
      </c>
      <c r="F341" s="366" t="s">
        <v>10078</v>
      </c>
      <c r="G341" s="366" t="s">
        <v>10078</v>
      </c>
      <c r="H341" s="366">
        <v>61</v>
      </c>
      <c r="I341" s="364" t="s">
        <v>10462</v>
      </c>
      <c r="J341" s="367"/>
      <c r="K341" s="364"/>
      <c r="L341" s="358"/>
      <c r="M341" s="366" t="s">
        <v>10084</v>
      </c>
      <c r="N341" s="358"/>
      <c r="O341" s="366" t="s">
        <v>57</v>
      </c>
      <c r="P341" s="368">
        <v>126693500</v>
      </c>
      <c r="Q341" s="369"/>
      <c r="R341" s="364" t="s">
        <v>10461</v>
      </c>
      <c r="S341" s="340">
        <v>1</v>
      </c>
    </row>
    <row r="342" spans="1:19" ht="31" x14ac:dyDescent="0.35">
      <c r="A342" s="349">
        <v>331</v>
      </c>
      <c r="B342" s="364" t="s">
        <v>10085</v>
      </c>
      <c r="C342" s="365" t="s">
        <v>10086</v>
      </c>
      <c r="D342" s="366" t="s">
        <v>51</v>
      </c>
      <c r="E342" s="366" t="s">
        <v>10082</v>
      </c>
      <c r="F342" s="366" t="s">
        <v>10078</v>
      </c>
      <c r="G342" s="366" t="s">
        <v>10078</v>
      </c>
      <c r="H342" s="366">
        <v>64</v>
      </c>
      <c r="I342" s="364" t="s">
        <v>10462</v>
      </c>
      <c r="J342" s="367"/>
      <c r="K342" s="364"/>
      <c r="L342" s="358"/>
      <c r="M342" s="366" t="s">
        <v>10084</v>
      </c>
      <c r="N342" s="358"/>
      <c r="O342" s="366" t="s">
        <v>57</v>
      </c>
      <c r="P342" s="368">
        <v>185790000</v>
      </c>
      <c r="Q342" s="369"/>
      <c r="R342" s="364" t="s">
        <v>10461</v>
      </c>
      <c r="S342" s="340">
        <v>1</v>
      </c>
    </row>
    <row r="343" spans="1:19" ht="31.5" thickBot="1" x14ac:dyDescent="0.4">
      <c r="A343" s="357">
        <v>332</v>
      </c>
      <c r="B343" s="364" t="s">
        <v>10191</v>
      </c>
      <c r="C343" s="365" t="s">
        <v>10192</v>
      </c>
      <c r="D343" s="366" t="s">
        <v>51</v>
      </c>
      <c r="E343" s="366" t="s">
        <v>10082</v>
      </c>
      <c r="F343" s="366" t="s">
        <v>10078</v>
      </c>
      <c r="G343" s="366" t="s">
        <v>10088</v>
      </c>
      <c r="H343" s="366">
        <v>0</v>
      </c>
      <c r="I343" s="364" t="s">
        <v>10462</v>
      </c>
      <c r="J343" s="367">
        <v>42675</v>
      </c>
      <c r="K343" s="364" t="s">
        <v>10464</v>
      </c>
      <c r="L343" s="358"/>
      <c r="M343" s="366" t="s">
        <v>10084</v>
      </c>
      <c r="N343" s="358"/>
      <c r="O343" s="366" t="s">
        <v>57</v>
      </c>
      <c r="P343" s="368">
        <v>348150000</v>
      </c>
      <c r="Q343" s="369" t="s">
        <v>10465</v>
      </c>
      <c r="R343" s="364" t="s">
        <v>10461</v>
      </c>
      <c r="S343" s="340">
        <v>1</v>
      </c>
    </row>
    <row r="344" spans="1:19" ht="31" x14ac:dyDescent="0.35">
      <c r="A344" s="349">
        <v>333</v>
      </c>
      <c r="B344" s="364" t="s">
        <v>10155</v>
      </c>
      <c r="C344" s="365" t="s">
        <v>10156</v>
      </c>
      <c r="D344" s="366" t="s">
        <v>51</v>
      </c>
      <c r="E344" s="366" t="s">
        <v>10082</v>
      </c>
      <c r="F344" s="366" t="s">
        <v>10078</v>
      </c>
      <c r="G344" s="366" t="s">
        <v>10078</v>
      </c>
      <c r="H344" s="366">
        <v>210</v>
      </c>
      <c r="I344" s="364" t="s">
        <v>10466</v>
      </c>
      <c r="J344" s="367"/>
      <c r="K344" s="364"/>
      <c r="L344" s="358"/>
      <c r="M344" s="366" t="s">
        <v>10084</v>
      </c>
      <c r="N344" s="358"/>
      <c r="O344" s="366" t="s">
        <v>57</v>
      </c>
      <c r="P344" s="368">
        <v>492225000</v>
      </c>
      <c r="Q344" s="369"/>
      <c r="R344" s="364" t="s">
        <v>8006</v>
      </c>
      <c r="S344" s="340">
        <v>1</v>
      </c>
    </row>
    <row r="345" spans="1:19" ht="31.5" thickBot="1" x14ac:dyDescent="0.4">
      <c r="A345" s="357">
        <v>334</v>
      </c>
      <c r="B345" s="364" t="s">
        <v>10155</v>
      </c>
      <c r="C345" s="365" t="s">
        <v>10156</v>
      </c>
      <c r="D345" s="366" t="s">
        <v>59</v>
      </c>
      <c r="E345" s="366" t="s">
        <v>10082</v>
      </c>
      <c r="F345" s="366" t="s">
        <v>10078</v>
      </c>
      <c r="G345" s="366" t="s">
        <v>10078</v>
      </c>
      <c r="H345" s="366">
        <v>206</v>
      </c>
      <c r="I345" s="364" t="s">
        <v>10466</v>
      </c>
      <c r="J345" s="367"/>
      <c r="K345" s="364"/>
      <c r="L345" s="358"/>
      <c r="M345" s="366" t="s">
        <v>10084</v>
      </c>
      <c r="N345" s="358"/>
      <c r="O345" s="366" t="s">
        <v>422</v>
      </c>
      <c r="P345" s="368">
        <v>180000000</v>
      </c>
      <c r="Q345" s="369" t="s">
        <v>8603</v>
      </c>
      <c r="R345" s="364" t="s">
        <v>8006</v>
      </c>
      <c r="S345" s="340">
        <v>1</v>
      </c>
    </row>
    <row r="346" spans="1:19" ht="46.5" x14ac:dyDescent="0.35">
      <c r="A346" s="349">
        <v>335</v>
      </c>
      <c r="B346" s="364" t="s">
        <v>10155</v>
      </c>
      <c r="C346" s="365" t="s">
        <v>10156</v>
      </c>
      <c r="D346" s="366" t="s">
        <v>51</v>
      </c>
      <c r="E346" s="366" t="s">
        <v>10082</v>
      </c>
      <c r="F346" s="366" t="s">
        <v>10078</v>
      </c>
      <c r="G346" s="366" t="s">
        <v>10088</v>
      </c>
      <c r="H346" s="366">
        <v>12</v>
      </c>
      <c r="I346" s="364" t="s">
        <v>10467</v>
      </c>
      <c r="J346" s="367" t="s">
        <v>10468</v>
      </c>
      <c r="K346" s="364" t="s">
        <v>10469</v>
      </c>
      <c r="L346" s="358"/>
      <c r="M346" s="366" t="s">
        <v>10084</v>
      </c>
      <c r="N346" s="358"/>
      <c r="O346" s="366" t="s">
        <v>57</v>
      </c>
      <c r="P346" s="368">
        <v>48733000</v>
      </c>
      <c r="Q346" s="369" t="s">
        <v>10470</v>
      </c>
      <c r="R346" s="364" t="s">
        <v>605</v>
      </c>
      <c r="S346" s="340">
        <v>27</v>
      </c>
    </row>
    <row r="347" spans="1:19" ht="47" thickBot="1" x14ac:dyDescent="0.4">
      <c r="A347" s="357">
        <v>336</v>
      </c>
      <c r="B347" s="364" t="s">
        <v>10155</v>
      </c>
      <c r="C347" s="365" t="s">
        <v>10156</v>
      </c>
      <c r="D347" s="366" t="s">
        <v>59</v>
      </c>
      <c r="E347" s="366" t="s">
        <v>10082</v>
      </c>
      <c r="F347" s="366" t="s">
        <v>10071</v>
      </c>
      <c r="G347" s="366" t="s">
        <v>10088</v>
      </c>
      <c r="H347" s="366">
        <v>640</v>
      </c>
      <c r="I347" s="364" t="s">
        <v>10471</v>
      </c>
      <c r="J347" s="367" t="s">
        <v>10472</v>
      </c>
      <c r="K347" s="364" t="s">
        <v>10473</v>
      </c>
      <c r="L347" s="358"/>
      <c r="M347" s="366" t="s">
        <v>10084</v>
      </c>
      <c r="N347" s="358"/>
      <c r="O347" s="366" t="s">
        <v>57</v>
      </c>
      <c r="P347" s="368">
        <v>5217156000</v>
      </c>
      <c r="Q347" s="369" t="s">
        <v>10474</v>
      </c>
      <c r="R347" s="364" t="s">
        <v>605</v>
      </c>
      <c r="S347" s="340">
        <v>27</v>
      </c>
    </row>
    <row r="348" spans="1:19" ht="46.5" x14ac:dyDescent="0.35">
      <c r="A348" s="349">
        <v>337</v>
      </c>
      <c r="B348" s="364" t="s">
        <v>10475</v>
      </c>
      <c r="C348" s="365" t="s">
        <v>10476</v>
      </c>
      <c r="D348" s="366" t="s">
        <v>51</v>
      </c>
      <c r="E348" s="366" t="s">
        <v>10082</v>
      </c>
      <c r="F348" s="366" t="s">
        <v>10078</v>
      </c>
      <c r="G348" s="366" t="s">
        <v>10088</v>
      </c>
      <c r="H348" s="366">
        <v>48</v>
      </c>
      <c r="I348" s="364" t="s">
        <v>10477</v>
      </c>
      <c r="J348" s="367" t="s">
        <v>10478</v>
      </c>
      <c r="K348" s="364" t="s">
        <v>10479</v>
      </c>
      <c r="L348" s="358"/>
      <c r="M348" s="366" t="s">
        <v>10084</v>
      </c>
      <c r="N348" s="358"/>
      <c r="O348" s="366" t="s">
        <v>57</v>
      </c>
      <c r="P348" s="368">
        <v>495393660</v>
      </c>
      <c r="Q348" s="369" t="s">
        <v>10480</v>
      </c>
      <c r="R348" s="364" t="s">
        <v>605</v>
      </c>
      <c r="S348" s="340">
        <v>27</v>
      </c>
    </row>
    <row r="349" spans="1:19" ht="47" thickBot="1" x14ac:dyDescent="0.4">
      <c r="A349" s="357">
        <v>338</v>
      </c>
      <c r="B349" s="364" t="s">
        <v>10481</v>
      </c>
      <c r="C349" s="365" t="s">
        <v>10482</v>
      </c>
      <c r="D349" s="366" t="s">
        <v>51</v>
      </c>
      <c r="E349" s="366" t="s">
        <v>10082</v>
      </c>
      <c r="F349" s="366" t="s">
        <v>10078</v>
      </c>
      <c r="G349" s="366" t="s">
        <v>10078</v>
      </c>
      <c r="H349" s="366">
        <v>0</v>
      </c>
      <c r="I349" s="364" t="s">
        <v>10477</v>
      </c>
      <c r="J349" s="367" t="s">
        <v>10483</v>
      </c>
      <c r="K349" s="364" t="s">
        <v>10484</v>
      </c>
      <c r="L349" s="358"/>
      <c r="M349" s="366" t="s">
        <v>10084</v>
      </c>
      <c r="N349" s="358"/>
      <c r="O349" s="366" t="s">
        <v>57</v>
      </c>
      <c r="P349" s="368">
        <v>2809988190</v>
      </c>
      <c r="Q349" s="369" t="s">
        <v>10485</v>
      </c>
      <c r="R349" s="364" t="s">
        <v>605</v>
      </c>
      <c r="S349" s="340">
        <v>27</v>
      </c>
    </row>
    <row r="350" spans="1:19" ht="46.5" x14ac:dyDescent="0.35">
      <c r="A350" s="349">
        <v>339</v>
      </c>
      <c r="B350" s="364" t="s">
        <v>10486</v>
      </c>
      <c r="C350" s="365" t="s">
        <v>10487</v>
      </c>
      <c r="D350" s="366" t="s">
        <v>51</v>
      </c>
      <c r="E350" s="366" t="s">
        <v>10082</v>
      </c>
      <c r="F350" s="366" t="s">
        <v>10078</v>
      </c>
      <c r="G350" s="366" t="s">
        <v>10088</v>
      </c>
      <c r="H350" s="366">
        <v>45</v>
      </c>
      <c r="I350" s="364" t="s">
        <v>10467</v>
      </c>
      <c r="J350" s="367" t="s">
        <v>10488</v>
      </c>
      <c r="K350" s="364" t="s">
        <v>10489</v>
      </c>
      <c r="L350" s="358"/>
      <c r="M350" s="366" t="s">
        <v>10084</v>
      </c>
      <c r="N350" s="358"/>
      <c r="O350" s="366" t="s">
        <v>57</v>
      </c>
      <c r="P350" s="368">
        <v>98819000</v>
      </c>
      <c r="Q350" s="369" t="s">
        <v>10490</v>
      </c>
      <c r="R350" s="364" t="s">
        <v>605</v>
      </c>
      <c r="S350" s="340">
        <v>27</v>
      </c>
    </row>
    <row r="351" spans="1:19" ht="47" thickBot="1" x14ac:dyDescent="0.4">
      <c r="A351" s="357">
        <v>340</v>
      </c>
      <c r="B351" s="364" t="s">
        <v>10486</v>
      </c>
      <c r="C351" s="365" t="s">
        <v>10487</v>
      </c>
      <c r="D351" s="366" t="s">
        <v>59</v>
      </c>
      <c r="E351" s="366" t="s">
        <v>10082</v>
      </c>
      <c r="F351" s="366" t="s">
        <v>10078</v>
      </c>
      <c r="G351" s="366" t="s">
        <v>10088</v>
      </c>
      <c r="H351" s="366">
        <v>48</v>
      </c>
      <c r="I351" s="364" t="s">
        <v>10477</v>
      </c>
      <c r="J351" s="367" t="s">
        <v>10491</v>
      </c>
      <c r="K351" s="364" t="s">
        <v>10492</v>
      </c>
      <c r="L351" s="358"/>
      <c r="M351" s="366" t="s">
        <v>10084</v>
      </c>
      <c r="N351" s="358"/>
      <c r="O351" s="366" t="s">
        <v>57</v>
      </c>
      <c r="P351" s="368">
        <v>198013000</v>
      </c>
      <c r="Q351" s="369" t="s">
        <v>10493</v>
      </c>
      <c r="R351" s="364" t="s">
        <v>605</v>
      </c>
      <c r="S351" s="340">
        <v>27</v>
      </c>
    </row>
    <row r="352" spans="1:19" ht="46.5" x14ac:dyDescent="0.35">
      <c r="A352" s="349">
        <v>341</v>
      </c>
      <c r="B352" s="364" t="s">
        <v>10228</v>
      </c>
      <c r="C352" s="365" t="s">
        <v>10229</v>
      </c>
      <c r="D352" s="366" t="s">
        <v>51</v>
      </c>
      <c r="E352" s="366" t="s">
        <v>10082</v>
      </c>
      <c r="F352" s="366"/>
      <c r="G352" s="366"/>
      <c r="H352" s="366"/>
      <c r="I352" s="364" t="s">
        <v>63</v>
      </c>
      <c r="J352" s="367" t="s">
        <v>10494</v>
      </c>
      <c r="K352" s="364" t="s">
        <v>10495</v>
      </c>
      <c r="L352" s="358"/>
      <c r="M352" s="366"/>
      <c r="N352" s="358"/>
      <c r="O352" s="366" t="s">
        <v>44</v>
      </c>
      <c r="P352" s="368">
        <v>99399710</v>
      </c>
      <c r="Q352" s="369" t="s">
        <v>10496</v>
      </c>
      <c r="R352" s="364" t="s">
        <v>605</v>
      </c>
      <c r="S352" s="340">
        <v>27</v>
      </c>
    </row>
    <row r="353" spans="1:19" ht="47" thickBot="1" x14ac:dyDescent="0.4">
      <c r="A353" s="357">
        <v>342</v>
      </c>
      <c r="B353" s="364" t="s">
        <v>10497</v>
      </c>
      <c r="C353" s="365" t="s">
        <v>10498</v>
      </c>
      <c r="D353" s="366" t="s">
        <v>51</v>
      </c>
      <c r="E353" s="366" t="s">
        <v>10082</v>
      </c>
      <c r="F353" s="366"/>
      <c r="G353" s="366"/>
      <c r="H353" s="366"/>
      <c r="I353" s="364" t="s">
        <v>63</v>
      </c>
      <c r="J353" s="367" t="s">
        <v>10494</v>
      </c>
      <c r="K353" s="364" t="s">
        <v>10499</v>
      </c>
      <c r="L353" s="358"/>
      <c r="M353" s="366"/>
      <c r="N353" s="358"/>
      <c r="O353" s="366" t="s">
        <v>44</v>
      </c>
      <c r="P353" s="368">
        <v>198352860</v>
      </c>
      <c r="Q353" s="369" t="s">
        <v>10500</v>
      </c>
      <c r="R353" s="364" t="s">
        <v>605</v>
      </c>
      <c r="S353" s="340">
        <v>27</v>
      </c>
    </row>
    <row r="354" spans="1:19" ht="46.5" x14ac:dyDescent="0.35">
      <c r="A354" s="349">
        <v>343</v>
      </c>
      <c r="B354" s="364" t="s">
        <v>10501</v>
      </c>
      <c r="C354" s="365" t="s">
        <v>10502</v>
      </c>
      <c r="D354" s="366" t="s">
        <v>51</v>
      </c>
      <c r="E354" s="366" t="s">
        <v>10082</v>
      </c>
      <c r="F354" s="366" t="s">
        <v>10078</v>
      </c>
      <c r="G354" s="366" t="s">
        <v>10078</v>
      </c>
      <c r="H354" s="366">
        <v>50</v>
      </c>
      <c r="I354" s="364" t="s">
        <v>10503</v>
      </c>
      <c r="J354" s="367" t="s">
        <v>10504</v>
      </c>
      <c r="K354" s="364" t="s">
        <v>10505</v>
      </c>
      <c r="L354" s="358"/>
      <c r="M354" s="366" t="s">
        <v>10084</v>
      </c>
      <c r="N354" s="358"/>
      <c r="O354" s="366" t="s">
        <v>57</v>
      </c>
      <c r="P354" s="368">
        <v>309948850</v>
      </c>
      <c r="Q354" s="369" t="s">
        <v>10506</v>
      </c>
      <c r="R354" s="364" t="s">
        <v>605</v>
      </c>
      <c r="S354" s="340">
        <v>27</v>
      </c>
    </row>
    <row r="355" spans="1:19" ht="47" thickBot="1" x14ac:dyDescent="0.4">
      <c r="A355" s="357">
        <v>344</v>
      </c>
      <c r="B355" s="364" t="s">
        <v>10507</v>
      </c>
      <c r="C355" s="365" t="s">
        <v>10508</v>
      </c>
      <c r="D355" s="366" t="s">
        <v>51</v>
      </c>
      <c r="E355" s="366" t="s">
        <v>10082</v>
      </c>
      <c r="F355" s="366" t="s">
        <v>10078</v>
      </c>
      <c r="G355" s="366" t="s">
        <v>10078</v>
      </c>
      <c r="H355" s="366">
        <v>0</v>
      </c>
      <c r="I355" s="364" t="s">
        <v>10509</v>
      </c>
      <c r="J355" s="367" t="s">
        <v>10504</v>
      </c>
      <c r="K355" s="364" t="s">
        <v>10505</v>
      </c>
      <c r="L355" s="358"/>
      <c r="M355" s="366" t="s">
        <v>10084</v>
      </c>
      <c r="N355" s="358"/>
      <c r="O355" s="366" t="s">
        <v>57</v>
      </c>
      <c r="P355" s="368">
        <v>186309710</v>
      </c>
      <c r="Q355" s="369" t="s">
        <v>10510</v>
      </c>
      <c r="R355" s="364" t="s">
        <v>605</v>
      </c>
      <c r="S355" s="340">
        <v>27</v>
      </c>
    </row>
    <row r="356" spans="1:19" ht="46.5" x14ac:dyDescent="0.35">
      <c r="A356" s="349">
        <v>345</v>
      </c>
      <c r="B356" s="364" t="s">
        <v>10511</v>
      </c>
      <c r="C356" s="365" t="s">
        <v>10512</v>
      </c>
      <c r="D356" s="366" t="s">
        <v>51</v>
      </c>
      <c r="E356" s="366" t="s">
        <v>10082</v>
      </c>
      <c r="F356" s="366" t="s">
        <v>10078</v>
      </c>
      <c r="G356" s="366" t="s">
        <v>10078</v>
      </c>
      <c r="H356" s="366">
        <v>35</v>
      </c>
      <c r="I356" s="358" t="s">
        <v>10509</v>
      </c>
      <c r="J356" s="361" t="s">
        <v>10513</v>
      </c>
      <c r="K356" s="358" t="s">
        <v>10514</v>
      </c>
      <c r="L356" s="358"/>
      <c r="M356" s="366" t="s">
        <v>10084</v>
      </c>
      <c r="N356" s="358"/>
      <c r="O356" s="366" t="s">
        <v>57</v>
      </c>
      <c r="P356" s="368">
        <v>19650000</v>
      </c>
      <c r="Q356" s="369" t="s">
        <v>10515</v>
      </c>
      <c r="R356" s="364" t="s">
        <v>605</v>
      </c>
      <c r="S356" s="340">
        <v>27</v>
      </c>
    </row>
    <row r="357" spans="1:19" ht="47" thickBot="1" x14ac:dyDescent="0.4">
      <c r="A357" s="357">
        <v>346</v>
      </c>
      <c r="B357" s="364" t="s">
        <v>10096</v>
      </c>
      <c r="C357" s="365" t="s">
        <v>10097</v>
      </c>
      <c r="D357" s="366" t="s">
        <v>51</v>
      </c>
      <c r="E357" s="366" t="s">
        <v>10082</v>
      </c>
      <c r="F357" s="366" t="s">
        <v>10078</v>
      </c>
      <c r="G357" s="366" t="s">
        <v>10088</v>
      </c>
      <c r="H357" s="366">
        <v>47</v>
      </c>
      <c r="I357" s="364" t="s">
        <v>10516</v>
      </c>
      <c r="J357" s="367" t="s">
        <v>10517</v>
      </c>
      <c r="K357" s="364" t="s">
        <v>10518</v>
      </c>
      <c r="L357" s="358"/>
      <c r="M357" s="366" t="s">
        <v>10084</v>
      </c>
      <c r="N357" s="358"/>
      <c r="O357" s="366" t="s">
        <v>57</v>
      </c>
      <c r="P357" s="368">
        <v>397138000</v>
      </c>
      <c r="Q357" s="369" t="s">
        <v>10519</v>
      </c>
      <c r="R357" s="364" t="s">
        <v>605</v>
      </c>
      <c r="S357" s="340">
        <v>27</v>
      </c>
    </row>
    <row r="358" spans="1:19" ht="31" x14ac:dyDescent="0.35">
      <c r="A358" s="349">
        <v>347</v>
      </c>
      <c r="B358" s="364" t="s">
        <v>10155</v>
      </c>
      <c r="C358" s="365" t="s">
        <v>10156</v>
      </c>
      <c r="D358" s="366" t="s">
        <v>51</v>
      </c>
      <c r="E358" s="366" t="s">
        <v>10082</v>
      </c>
      <c r="F358" s="366" t="s">
        <v>10078</v>
      </c>
      <c r="G358" s="366" t="s">
        <v>10088</v>
      </c>
      <c r="H358" s="366">
        <v>600</v>
      </c>
      <c r="I358" s="364" t="s">
        <v>10520</v>
      </c>
      <c r="J358" s="367" t="s">
        <v>10521</v>
      </c>
      <c r="K358" s="364" t="s">
        <v>10522</v>
      </c>
      <c r="L358" s="358"/>
      <c r="M358" s="366" t="s">
        <v>10084</v>
      </c>
      <c r="N358" s="358"/>
      <c r="O358" s="366" t="s">
        <v>57</v>
      </c>
      <c r="P358" s="368">
        <v>1921646500</v>
      </c>
      <c r="Q358" s="369" t="s">
        <v>10523</v>
      </c>
      <c r="R358" s="364" t="s">
        <v>580</v>
      </c>
      <c r="S358" s="340">
        <v>26</v>
      </c>
    </row>
    <row r="359" spans="1:19" ht="124.5" thickBot="1" x14ac:dyDescent="0.4">
      <c r="A359" s="357">
        <v>348</v>
      </c>
      <c r="B359" s="364" t="s">
        <v>10155</v>
      </c>
      <c r="C359" s="365" t="s">
        <v>10156</v>
      </c>
      <c r="D359" s="366" t="s">
        <v>59</v>
      </c>
      <c r="E359" s="366" t="s">
        <v>10082</v>
      </c>
      <c r="F359" s="366" t="s">
        <v>10078</v>
      </c>
      <c r="G359" s="366" t="s">
        <v>10088</v>
      </c>
      <c r="H359" s="360">
        <v>242</v>
      </c>
      <c r="I359" s="364" t="s">
        <v>10524</v>
      </c>
      <c r="J359" s="361" t="s">
        <v>10525</v>
      </c>
      <c r="K359" s="358" t="s">
        <v>10526</v>
      </c>
      <c r="L359" s="358"/>
      <c r="M359" s="366" t="s">
        <v>10084</v>
      </c>
      <c r="N359" s="358"/>
      <c r="O359" s="366" t="s">
        <v>57</v>
      </c>
      <c r="P359" s="368">
        <v>885871800</v>
      </c>
      <c r="Q359" s="369" t="s">
        <v>10527</v>
      </c>
      <c r="R359" s="364" t="s">
        <v>580</v>
      </c>
      <c r="S359" s="340">
        <v>26</v>
      </c>
    </row>
    <row r="360" spans="1:19" ht="31" x14ac:dyDescent="0.35">
      <c r="A360" s="349">
        <v>349</v>
      </c>
      <c r="B360" s="364" t="s">
        <v>10155</v>
      </c>
      <c r="C360" s="365" t="s">
        <v>10156</v>
      </c>
      <c r="D360" s="366" t="s">
        <v>101</v>
      </c>
      <c r="E360" s="366" t="s">
        <v>10082</v>
      </c>
      <c r="F360" s="366" t="s">
        <v>10078</v>
      </c>
      <c r="G360" s="366" t="s">
        <v>10078</v>
      </c>
      <c r="H360" s="366">
        <v>296</v>
      </c>
      <c r="I360" s="364" t="s">
        <v>10528</v>
      </c>
      <c r="J360" s="367" t="s">
        <v>10529</v>
      </c>
      <c r="K360" s="364" t="s">
        <v>10530</v>
      </c>
      <c r="L360" s="358"/>
      <c r="M360" s="366" t="s">
        <v>10084</v>
      </c>
      <c r="N360" s="358"/>
      <c r="O360" s="366" t="s">
        <v>57</v>
      </c>
      <c r="P360" s="368">
        <v>325283240</v>
      </c>
      <c r="Q360" s="369" t="s">
        <v>10531</v>
      </c>
      <c r="R360" s="364" t="s">
        <v>580</v>
      </c>
      <c r="S360" s="340">
        <v>26</v>
      </c>
    </row>
    <row r="361" spans="1:19" ht="109" thickBot="1" x14ac:dyDescent="0.4">
      <c r="A361" s="357">
        <v>350</v>
      </c>
      <c r="B361" s="364" t="s">
        <v>10155</v>
      </c>
      <c r="C361" s="365" t="s">
        <v>10156</v>
      </c>
      <c r="D361" s="366" t="s">
        <v>107</v>
      </c>
      <c r="E361" s="366" t="s">
        <v>10082</v>
      </c>
      <c r="F361" s="366" t="s">
        <v>10078</v>
      </c>
      <c r="G361" s="366" t="s">
        <v>10088</v>
      </c>
      <c r="H361" s="366">
        <v>65</v>
      </c>
      <c r="I361" s="364" t="s">
        <v>10520</v>
      </c>
      <c r="J361" s="367" t="s">
        <v>10532</v>
      </c>
      <c r="K361" s="364" t="s">
        <v>10533</v>
      </c>
      <c r="L361" s="358"/>
      <c r="M361" s="366" t="s">
        <v>10084</v>
      </c>
      <c r="N361" s="358"/>
      <c r="O361" s="366" t="s">
        <v>57</v>
      </c>
      <c r="P361" s="368">
        <v>213108000</v>
      </c>
      <c r="Q361" s="369" t="s">
        <v>10534</v>
      </c>
      <c r="R361" s="364" t="s">
        <v>580</v>
      </c>
      <c r="S361" s="340">
        <v>26</v>
      </c>
    </row>
    <row r="362" spans="1:19" ht="31" x14ac:dyDescent="0.35">
      <c r="A362" s="349">
        <v>351</v>
      </c>
      <c r="B362" s="364" t="s">
        <v>10535</v>
      </c>
      <c r="C362" s="365" t="s">
        <v>10536</v>
      </c>
      <c r="D362" s="366" t="s">
        <v>51</v>
      </c>
      <c r="E362" s="366" t="s">
        <v>10082</v>
      </c>
      <c r="F362" s="366" t="s">
        <v>10078</v>
      </c>
      <c r="G362" s="366" t="s">
        <v>10088</v>
      </c>
      <c r="H362" s="366">
        <v>2</v>
      </c>
      <c r="I362" s="364" t="s">
        <v>10537</v>
      </c>
      <c r="J362" s="367" t="s">
        <v>10538</v>
      </c>
      <c r="K362" s="364" t="s">
        <v>10539</v>
      </c>
      <c r="L362" s="358"/>
      <c r="M362" s="366" t="s">
        <v>10084</v>
      </c>
      <c r="N362" s="358"/>
      <c r="O362" s="366" t="s">
        <v>57</v>
      </c>
      <c r="P362" s="368">
        <v>25094000</v>
      </c>
      <c r="Q362" s="369" t="s">
        <v>10540</v>
      </c>
      <c r="R362" s="364" t="s">
        <v>580</v>
      </c>
      <c r="S362" s="340">
        <v>26</v>
      </c>
    </row>
    <row r="363" spans="1:19" ht="93.5" thickBot="1" x14ac:dyDescent="0.4">
      <c r="A363" s="357">
        <v>352</v>
      </c>
      <c r="B363" s="364" t="s">
        <v>10541</v>
      </c>
      <c r="C363" s="365" t="s">
        <v>10542</v>
      </c>
      <c r="D363" s="366" t="s">
        <v>51</v>
      </c>
      <c r="E363" s="366" t="s">
        <v>10082</v>
      </c>
      <c r="F363" s="366" t="s">
        <v>10078</v>
      </c>
      <c r="G363" s="366" t="s">
        <v>10078</v>
      </c>
      <c r="H363" s="366">
        <v>100</v>
      </c>
      <c r="I363" s="364" t="s">
        <v>10543</v>
      </c>
      <c r="J363" s="367" t="s">
        <v>10544</v>
      </c>
      <c r="K363" s="364" t="s">
        <v>10533</v>
      </c>
      <c r="L363" s="358"/>
      <c r="M363" s="366" t="s">
        <v>10084</v>
      </c>
      <c r="N363" s="358"/>
      <c r="O363" s="366" t="s">
        <v>57</v>
      </c>
      <c r="P363" s="368">
        <v>205500000</v>
      </c>
      <c r="Q363" s="369" t="s">
        <v>10545</v>
      </c>
      <c r="R363" s="364" t="s">
        <v>580</v>
      </c>
      <c r="S363" s="340">
        <v>26</v>
      </c>
    </row>
    <row r="364" spans="1:19" ht="31" x14ac:dyDescent="0.35">
      <c r="A364" s="349">
        <v>353</v>
      </c>
      <c r="B364" s="364" t="s">
        <v>10546</v>
      </c>
      <c r="C364" s="365" t="s">
        <v>10547</v>
      </c>
      <c r="D364" s="366" t="s">
        <v>51</v>
      </c>
      <c r="E364" s="366" t="s">
        <v>10082</v>
      </c>
      <c r="F364" s="366" t="s">
        <v>10078</v>
      </c>
      <c r="G364" s="366" t="s">
        <v>10088</v>
      </c>
      <c r="H364" s="366">
        <v>4</v>
      </c>
      <c r="I364" s="364" t="s">
        <v>10548</v>
      </c>
      <c r="J364" s="367" t="s">
        <v>10549</v>
      </c>
      <c r="K364" s="364" t="s">
        <v>10550</v>
      </c>
      <c r="L364" s="358"/>
      <c r="M364" s="366" t="s">
        <v>10084</v>
      </c>
      <c r="N364" s="358"/>
      <c r="O364" s="366" t="s">
        <v>57</v>
      </c>
      <c r="P364" s="368">
        <v>24695900</v>
      </c>
      <c r="Q364" s="369" t="s">
        <v>10551</v>
      </c>
      <c r="R364" s="364" t="s">
        <v>580</v>
      </c>
      <c r="S364" s="340">
        <v>26</v>
      </c>
    </row>
    <row r="365" spans="1:19" ht="93.5" thickBot="1" x14ac:dyDescent="0.4">
      <c r="A365" s="357">
        <v>354</v>
      </c>
      <c r="B365" s="364" t="s">
        <v>10475</v>
      </c>
      <c r="C365" s="365" t="s">
        <v>10476</v>
      </c>
      <c r="D365" s="366" t="s">
        <v>51</v>
      </c>
      <c r="E365" s="366" t="s">
        <v>10082</v>
      </c>
      <c r="F365" s="366" t="s">
        <v>10078</v>
      </c>
      <c r="G365" s="366" t="s">
        <v>10088</v>
      </c>
      <c r="H365" s="366">
        <v>65</v>
      </c>
      <c r="I365" s="364" t="s">
        <v>10552</v>
      </c>
      <c r="J365" s="367" t="s">
        <v>10553</v>
      </c>
      <c r="K365" s="364" t="s">
        <v>10554</v>
      </c>
      <c r="L365" s="358"/>
      <c r="M365" s="366" t="s">
        <v>10084</v>
      </c>
      <c r="N365" s="358"/>
      <c r="O365" s="366" t="s">
        <v>57</v>
      </c>
      <c r="P365" s="368">
        <v>214285800</v>
      </c>
      <c r="Q365" s="369" t="s">
        <v>10555</v>
      </c>
      <c r="R365" s="364" t="s">
        <v>580</v>
      </c>
      <c r="S365" s="340">
        <v>26</v>
      </c>
    </row>
    <row r="366" spans="1:19" ht="93" x14ac:dyDescent="0.35">
      <c r="A366" s="349">
        <v>355</v>
      </c>
      <c r="B366" s="364" t="s">
        <v>10486</v>
      </c>
      <c r="C366" s="365" t="s">
        <v>10487</v>
      </c>
      <c r="D366" s="366" t="s">
        <v>51</v>
      </c>
      <c r="E366" s="366" t="s">
        <v>10082</v>
      </c>
      <c r="F366" s="366" t="s">
        <v>10078</v>
      </c>
      <c r="G366" s="366" t="s">
        <v>10088</v>
      </c>
      <c r="H366" s="366">
        <v>120</v>
      </c>
      <c r="I366" s="364" t="s">
        <v>10556</v>
      </c>
      <c r="J366" s="367" t="s">
        <v>10532</v>
      </c>
      <c r="K366" s="364" t="s">
        <v>10557</v>
      </c>
      <c r="L366" s="358"/>
      <c r="M366" s="366" t="s">
        <v>10084</v>
      </c>
      <c r="N366" s="358"/>
      <c r="O366" s="366" t="s">
        <v>57</v>
      </c>
      <c r="P366" s="368">
        <v>162500000</v>
      </c>
      <c r="Q366" s="369" t="s">
        <v>10558</v>
      </c>
      <c r="R366" s="364" t="s">
        <v>580</v>
      </c>
      <c r="S366" s="340">
        <v>26</v>
      </c>
    </row>
    <row r="367" spans="1:19" ht="62.5" thickBot="1" x14ac:dyDescent="0.4">
      <c r="A367" s="357">
        <v>356</v>
      </c>
      <c r="B367" s="364" t="s">
        <v>10559</v>
      </c>
      <c r="C367" s="365" t="s">
        <v>10560</v>
      </c>
      <c r="D367" s="366" t="s">
        <v>51</v>
      </c>
      <c r="E367" s="366" t="s">
        <v>10082</v>
      </c>
      <c r="F367" s="366" t="s">
        <v>10078</v>
      </c>
      <c r="G367" s="366" t="s">
        <v>10088</v>
      </c>
      <c r="H367" s="366">
        <v>32</v>
      </c>
      <c r="I367" s="364" t="s">
        <v>10561</v>
      </c>
      <c r="J367" s="367" t="s">
        <v>10562</v>
      </c>
      <c r="K367" s="364" t="s">
        <v>10563</v>
      </c>
      <c r="L367" s="358"/>
      <c r="M367" s="366" t="s">
        <v>10084</v>
      </c>
      <c r="N367" s="358"/>
      <c r="O367" s="366" t="s">
        <v>57</v>
      </c>
      <c r="P367" s="368">
        <v>57550000</v>
      </c>
      <c r="Q367" s="369" t="s">
        <v>10564</v>
      </c>
      <c r="R367" s="364" t="s">
        <v>580</v>
      </c>
      <c r="S367" s="340">
        <v>26</v>
      </c>
    </row>
    <row r="368" spans="1:19" ht="15.5" x14ac:dyDescent="0.35">
      <c r="A368" s="349">
        <v>357</v>
      </c>
      <c r="B368" s="364" t="s">
        <v>10501</v>
      </c>
      <c r="C368" s="365" t="s">
        <v>10502</v>
      </c>
      <c r="D368" s="366" t="s">
        <v>51</v>
      </c>
      <c r="E368" s="366" t="s">
        <v>10082</v>
      </c>
      <c r="F368" s="366" t="s">
        <v>10078</v>
      </c>
      <c r="G368" s="366" t="s">
        <v>10078</v>
      </c>
      <c r="H368" s="366">
        <v>0</v>
      </c>
      <c r="I368" s="364" t="s">
        <v>10520</v>
      </c>
      <c r="J368" s="367" t="s">
        <v>10565</v>
      </c>
      <c r="K368" s="364" t="s">
        <v>10566</v>
      </c>
      <c r="L368" s="358"/>
      <c r="M368" s="366" t="s">
        <v>10084</v>
      </c>
      <c r="N368" s="358"/>
      <c r="O368" s="366" t="s">
        <v>57</v>
      </c>
      <c r="P368" s="368">
        <v>387833000</v>
      </c>
      <c r="Q368" s="369" t="s">
        <v>10567</v>
      </c>
      <c r="R368" s="364" t="s">
        <v>580</v>
      </c>
      <c r="S368" s="340">
        <v>26</v>
      </c>
    </row>
    <row r="369" spans="1:19" ht="31.5" thickBot="1" x14ac:dyDescent="0.4">
      <c r="A369" s="357">
        <v>358</v>
      </c>
      <c r="B369" s="364" t="s">
        <v>10568</v>
      </c>
      <c r="C369" s="365" t="s">
        <v>10569</v>
      </c>
      <c r="D369" s="366" t="s">
        <v>51</v>
      </c>
      <c r="E369" s="366" t="s">
        <v>10082</v>
      </c>
      <c r="F369" s="366" t="s">
        <v>10078</v>
      </c>
      <c r="G369" s="366" t="s">
        <v>10088</v>
      </c>
      <c r="H369" s="366">
        <v>42</v>
      </c>
      <c r="I369" s="364" t="s">
        <v>10520</v>
      </c>
      <c r="J369" s="367" t="s">
        <v>10570</v>
      </c>
      <c r="K369" s="364" t="s">
        <v>10571</v>
      </c>
      <c r="L369" s="358"/>
      <c r="M369" s="366" t="s">
        <v>10084</v>
      </c>
      <c r="N369" s="358"/>
      <c r="O369" s="366" t="s">
        <v>57</v>
      </c>
      <c r="P369" s="368">
        <v>89355000</v>
      </c>
      <c r="Q369" s="369" t="s">
        <v>10572</v>
      </c>
      <c r="R369" s="364" t="s">
        <v>580</v>
      </c>
      <c r="S369" s="340">
        <v>26</v>
      </c>
    </row>
    <row r="370" spans="1:19" ht="93" x14ac:dyDescent="0.35">
      <c r="A370" s="349">
        <v>359</v>
      </c>
      <c r="B370" s="364" t="s">
        <v>10568</v>
      </c>
      <c r="C370" s="365" t="s">
        <v>10569</v>
      </c>
      <c r="D370" s="366" t="s">
        <v>59</v>
      </c>
      <c r="E370" s="366" t="s">
        <v>10082</v>
      </c>
      <c r="F370" s="366" t="s">
        <v>10078</v>
      </c>
      <c r="G370" s="366" t="s">
        <v>10088</v>
      </c>
      <c r="H370" s="366">
        <v>57</v>
      </c>
      <c r="I370" s="364" t="s">
        <v>10520</v>
      </c>
      <c r="J370" s="367" t="s">
        <v>10525</v>
      </c>
      <c r="K370" s="364" t="s">
        <v>10573</v>
      </c>
      <c r="L370" s="358"/>
      <c r="M370" s="366" t="s">
        <v>10084</v>
      </c>
      <c r="N370" s="358"/>
      <c r="O370" s="366" t="s">
        <v>57</v>
      </c>
      <c r="P370" s="368">
        <v>196465700</v>
      </c>
      <c r="Q370" s="369" t="s">
        <v>10574</v>
      </c>
      <c r="R370" s="364" t="s">
        <v>580</v>
      </c>
      <c r="S370" s="340">
        <v>26</v>
      </c>
    </row>
    <row r="371" spans="1:19" ht="47" thickBot="1" x14ac:dyDescent="0.4">
      <c r="A371" s="357">
        <v>360</v>
      </c>
      <c r="B371" s="364" t="s">
        <v>10511</v>
      </c>
      <c r="C371" s="365" t="s">
        <v>10512</v>
      </c>
      <c r="D371" s="366" t="s">
        <v>51</v>
      </c>
      <c r="E371" s="366" t="s">
        <v>10082</v>
      </c>
      <c r="F371" s="366" t="s">
        <v>10078</v>
      </c>
      <c r="G371" s="366" t="s">
        <v>10078</v>
      </c>
      <c r="H371" s="366">
        <v>0</v>
      </c>
      <c r="I371" s="364" t="s">
        <v>10575</v>
      </c>
      <c r="J371" s="367" t="s">
        <v>10576</v>
      </c>
      <c r="K371" s="364" t="s">
        <v>10577</v>
      </c>
      <c r="L371" s="358"/>
      <c r="M371" s="366" t="s">
        <v>10084</v>
      </c>
      <c r="N371" s="358"/>
      <c r="O371" s="366" t="s">
        <v>57</v>
      </c>
      <c r="P371" s="368">
        <v>4400000</v>
      </c>
      <c r="Q371" s="369" t="s">
        <v>10578</v>
      </c>
      <c r="R371" s="364" t="s">
        <v>580</v>
      </c>
      <c r="S371" s="340">
        <v>26</v>
      </c>
    </row>
    <row r="372" spans="1:19" ht="46.5" x14ac:dyDescent="0.35">
      <c r="A372" s="349">
        <v>361</v>
      </c>
      <c r="B372" s="364" t="s">
        <v>10511</v>
      </c>
      <c r="C372" s="365" t="s">
        <v>10512</v>
      </c>
      <c r="D372" s="366" t="s">
        <v>59</v>
      </c>
      <c r="E372" s="366" t="s">
        <v>10082</v>
      </c>
      <c r="F372" s="366" t="s">
        <v>10078</v>
      </c>
      <c r="G372" s="366" t="s">
        <v>10078</v>
      </c>
      <c r="H372" s="366">
        <v>0</v>
      </c>
      <c r="I372" s="364" t="s">
        <v>10575</v>
      </c>
      <c r="J372" s="367" t="s">
        <v>10576</v>
      </c>
      <c r="K372" s="364" t="s">
        <v>10577</v>
      </c>
      <c r="L372" s="358"/>
      <c r="M372" s="366" t="s">
        <v>10084</v>
      </c>
      <c r="N372" s="358"/>
      <c r="O372" s="366" t="s">
        <v>57</v>
      </c>
      <c r="P372" s="368">
        <v>4400000</v>
      </c>
      <c r="Q372" s="369" t="s">
        <v>10579</v>
      </c>
      <c r="R372" s="364" t="s">
        <v>580</v>
      </c>
      <c r="S372" s="340">
        <v>26</v>
      </c>
    </row>
    <row r="373" spans="1:19" ht="47" thickBot="1" x14ac:dyDescent="0.4">
      <c r="A373" s="357">
        <v>362</v>
      </c>
      <c r="B373" s="364" t="s">
        <v>10511</v>
      </c>
      <c r="C373" s="365" t="s">
        <v>10512</v>
      </c>
      <c r="D373" s="366" t="s">
        <v>97</v>
      </c>
      <c r="E373" s="366" t="s">
        <v>10082</v>
      </c>
      <c r="F373" s="366" t="s">
        <v>10078</v>
      </c>
      <c r="G373" s="366" t="s">
        <v>10078</v>
      </c>
      <c r="H373" s="366">
        <v>0</v>
      </c>
      <c r="I373" s="364" t="s">
        <v>10575</v>
      </c>
      <c r="J373" s="367" t="s">
        <v>10576</v>
      </c>
      <c r="K373" s="364" t="s">
        <v>10577</v>
      </c>
      <c r="L373" s="358"/>
      <c r="M373" s="366" t="s">
        <v>10084</v>
      </c>
      <c r="N373" s="358"/>
      <c r="O373" s="366" t="s">
        <v>57</v>
      </c>
      <c r="P373" s="368">
        <v>4400000</v>
      </c>
      <c r="Q373" s="369" t="s">
        <v>10579</v>
      </c>
      <c r="R373" s="364" t="s">
        <v>580</v>
      </c>
      <c r="S373" s="340">
        <v>26</v>
      </c>
    </row>
    <row r="374" spans="1:19" ht="46.5" x14ac:dyDescent="0.35">
      <c r="A374" s="349">
        <v>363</v>
      </c>
      <c r="B374" s="364" t="s">
        <v>10511</v>
      </c>
      <c r="C374" s="365" t="s">
        <v>10512</v>
      </c>
      <c r="D374" s="366" t="s">
        <v>101</v>
      </c>
      <c r="E374" s="366" t="s">
        <v>10082</v>
      </c>
      <c r="F374" s="366" t="s">
        <v>10078</v>
      </c>
      <c r="G374" s="366" t="s">
        <v>10078</v>
      </c>
      <c r="H374" s="366">
        <v>1</v>
      </c>
      <c r="I374" s="364" t="s">
        <v>10575</v>
      </c>
      <c r="J374" s="367" t="s">
        <v>10576</v>
      </c>
      <c r="K374" s="364" t="s">
        <v>10577</v>
      </c>
      <c r="L374" s="358"/>
      <c r="M374" s="366" t="s">
        <v>10084</v>
      </c>
      <c r="N374" s="358"/>
      <c r="O374" s="366" t="s">
        <v>57</v>
      </c>
      <c r="P374" s="368">
        <v>4400000</v>
      </c>
      <c r="Q374" s="369" t="s">
        <v>10579</v>
      </c>
      <c r="R374" s="364" t="s">
        <v>580</v>
      </c>
      <c r="S374" s="340">
        <v>26</v>
      </c>
    </row>
    <row r="375" spans="1:19" ht="47" thickBot="1" x14ac:dyDescent="0.4">
      <c r="A375" s="357">
        <v>364</v>
      </c>
      <c r="B375" s="364" t="s">
        <v>10511</v>
      </c>
      <c r="C375" s="365" t="s">
        <v>10512</v>
      </c>
      <c r="D375" s="366" t="s">
        <v>107</v>
      </c>
      <c r="E375" s="366" t="s">
        <v>10082</v>
      </c>
      <c r="F375" s="366" t="s">
        <v>10078</v>
      </c>
      <c r="G375" s="366" t="s">
        <v>10078</v>
      </c>
      <c r="H375" s="366">
        <v>0</v>
      </c>
      <c r="I375" s="364" t="s">
        <v>10575</v>
      </c>
      <c r="J375" s="367" t="s">
        <v>10576</v>
      </c>
      <c r="K375" s="364" t="s">
        <v>10577</v>
      </c>
      <c r="L375" s="358"/>
      <c r="M375" s="366" t="s">
        <v>10084</v>
      </c>
      <c r="N375" s="358"/>
      <c r="O375" s="366" t="s">
        <v>57</v>
      </c>
      <c r="P375" s="368">
        <v>4400000</v>
      </c>
      <c r="Q375" s="369" t="s">
        <v>10579</v>
      </c>
      <c r="R375" s="364" t="s">
        <v>580</v>
      </c>
      <c r="S375" s="340">
        <v>26</v>
      </c>
    </row>
    <row r="376" spans="1:19" ht="46.5" x14ac:dyDescent="0.35">
      <c r="A376" s="349">
        <v>365</v>
      </c>
      <c r="B376" s="364" t="s">
        <v>10511</v>
      </c>
      <c r="C376" s="365" t="s">
        <v>10512</v>
      </c>
      <c r="D376" s="366" t="s">
        <v>112</v>
      </c>
      <c r="E376" s="366" t="s">
        <v>10082</v>
      </c>
      <c r="F376" s="366" t="s">
        <v>10078</v>
      </c>
      <c r="G376" s="366" t="s">
        <v>10078</v>
      </c>
      <c r="H376" s="366">
        <v>0</v>
      </c>
      <c r="I376" s="364" t="s">
        <v>10580</v>
      </c>
      <c r="J376" s="367" t="s">
        <v>10581</v>
      </c>
      <c r="K376" s="364" t="s">
        <v>10582</v>
      </c>
      <c r="L376" s="358"/>
      <c r="M376" s="366" t="s">
        <v>10084</v>
      </c>
      <c r="N376" s="358"/>
      <c r="O376" s="366" t="s">
        <v>57</v>
      </c>
      <c r="P376" s="368">
        <v>4950000</v>
      </c>
      <c r="Q376" s="369" t="s">
        <v>10579</v>
      </c>
      <c r="R376" s="364" t="s">
        <v>580</v>
      </c>
      <c r="S376" s="340">
        <v>26</v>
      </c>
    </row>
    <row r="377" spans="1:19" ht="47" thickBot="1" x14ac:dyDescent="0.4">
      <c r="A377" s="357">
        <v>366</v>
      </c>
      <c r="B377" s="364" t="s">
        <v>10511</v>
      </c>
      <c r="C377" s="365" t="s">
        <v>10512</v>
      </c>
      <c r="D377" s="366" t="s">
        <v>116</v>
      </c>
      <c r="E377" s="366" t="s">
        <v>10082</v>
      </c>
      <c r="F377" s="366" t="s">
        <v>10078</v>
      </c>
      <c r="G377" s="366" t="s">
        <v>10078</v>
      </c>
      <c r="H377" s="366">
        <v>0</v>
      </c>
      <c r="I377" s="364" t="s">
        <v>10580</v>
      </c>
      <c r="J377" s="367" t="s">
        <v>10581</v>
      </c>
      <c r="K377" s="364" t="s">
        <v>10582</v>
      </c>
      <c r="L377" s="358"/>
      <c r="M377" s="366" t="s">
        <v>10084</v>
      </c>
      <c r="N377" s="358"/>
      <c r="O377" s="366" t="s">
        <v>57</v>
      </c>
      <c r="P377" s="368">
        <v>4950000</v>
      </c>
      <c r="Q377" s="369" t="s">
        <v>10579</v>
      </c>
      <c r="R377" s="364" t="s">
        <v>580</v>
      </c>
      <c r="S377" s="340">
        <v>26</v>
      </c>
    </row>
    <row r="378" spans="1:19" ht="31" x14ac:dyDescent="0.35">
      <c r="A378" s="349">
        <v>367</v>
      </c>
      <c r="B378" s="364" t="s">
        <v>10511</v>
      </c>
      <c r="C378" s="365" t="s">
        <v>10512</v>
      </c>
      <c r="D378" s="366" t="s">
        <v>841</v>
      </c>
      <c r="E378" s="366" t="s">
        <v>10082</v>
      </c>
      <c r="F378" s="366" t="s">
        <v>10078</v>
      </c>
      <c r="G378" s="366" t="s">
        <v>10078</v>
      </c>
      <c r="H378" s="366">
        <v>2</v>
      </c>
      <c r="I378" s="364" t="s">
        <v>10583</v>
      </c>
      <c r="J378" s="367" t="s">
        <v>10584</v>
      </c>
      <c r="K378" s="364" t="s">
        <v>10585</v>
      </c>
      <c r="L378" s="358"/>
      <c r="M378" s="366" t="s">
        <v>10084</v>
      </c>
      <c r="N378" s="358"/>
      <c r="O378" s="366" t="s">
        <v>57</v>
      </c>
      <c r="P378" s="368">
        <v>9984000</v>
      </c>
      <c r="Q378" s="369" t="s">
        <v>10586</v>
      </c>
      <c r="R378" s="364" t="s">
        <v>580</v>
      </c>
      <c r="S378" s="340">
        <v>26</v>
      </c>
    </row>
    <row r="379" spans="1:19" ht="47" thickBot="1" x14ac:dyDescent="0.4">
      <c r="A379" s="357">
        <v>368</v>
      </c>
      <c r="B379" s="364" t="s">
        <v>10511</v>
      </c>
      <c r="C379" s="365" t="s">
        <v>10512</v>
      </c>
      <c r="D379" s="366" t="s">
        <v>904</v>
      </c>
      <c r="E379" s="366" t="s">
        <v>10082</v>
      </c>
      <c r="F379" s="366" t="s">
        <v>10078</v>
      </c>
      <c r="G379" s="366" t="s">
        <v>10078</v>
      </c>
      <c r="H379" s="366">
        <v>0</v>
      </c>
      <c r="I379" s="364" t="s">
        <v>10587</v>
      </c>
      <c r="J379" s="367" t="s">
        <v>10588</v>
      </c>
      <c r="K379" s="364" t="s">
        <v>10589</v>
      </c>
      <c r="L379" s="358"/>
      <c r="M379" s="366" t="s">
        <v>10084</v>
      </c>
      <c r="N379" s="358"/>
      <c r="O379" s="366" t="s">
        <v>57</v>
      </c>
      <c r="P379" s="368">
        <v>4700000</v>
      </c>
      <c r="Q379" s="369" t="s">
        <v>10590</v>
      </c>
      <c r="R379" s="364" t="s">
        <v>580</v>
      </c>
      <c r="S379" s="340">
        <v>26</v>
      </c>
    </row>
    <row r="380" spans="1:19" ht="46.5" x14ac:dyDescent="0.35">
      <c r="A380" s="349">
        <v>369</v>
      </c>
      <c r="B380" s="364" t="s">
        <v>10511</v>
      </c>
      <c r="C380" s="365" t="s">
        <v>10512</v>
      </c>
      <c r="D380" s="366" t="s">
        <v>122</v>
      </c>
      <c r="E380" s="366" t="s">
        <v>10082</v>
      </c>
      <c r="F380" s="366" t="s">
        <v>10078</v>
      </c>
      <c r="G380" s="366" t="s">
        <v>10078</v>
      </c>
      <c r="H380" s="366">
        <v>0</v>
      </c>
      <c r="I380" s="364" t="s">
        <v>10591</v>
      </c>
      <c r="J380" s="367" t="s">
        <v>10588</v>
      </c>
      <c r="K380" s="364" t="s">
        <v>10592</v>
      </c>
      <c r="L380" s="358"/>
      <c r="M380" s="366" t="s">
        <v>10084</v>
      </c>
      <c r="N380" s="358"/>
      <c r="O380" s="366" t="s">
        <v>57</v>
      </c>
      <c r="P380" s="368">
        <v>4700000</v>
      </c>
      <c r="Q380" s="369" t="s">
        <v>10593</v>
      </c>
      <c r="R380" s="364" t="s">
        <v>580</v>
      </c>
      <c r="S380" s="340">
        <v>26</v>
      </c>
    </row>
    <row r="381" spans="1:19" ht="31.5" thickBot="1" x14ac:dyDescent="0.4">
      <c r="A381" s="357">
        <v>370</v>
      </c>
      <c r="B381" s="364" t="s">
        <v>10511</v>
      </c>
      <c r="C381" s="365" t="s">
        <v>10512</v>
      </c>
      <c r="D381" s="366" t="s">
        <v>126</v>
      </c>
      <c r="E381" s="366" t="s">
        <v>10082</v>
      </c>
      <c r="F381" s="366" t="s">
        <v>10078</v>
      </c>
      <c r="G381" s="366" t="s">
        <v>10078</v>
      </c>
      <c r="H381" s="366">
        <v>1</v>
      </c>
      <c r="I381" s="364" t="s">
        <v>10594</v>
      </c>
      <c r="J381" s="367" t="s">
        <v>10595</v>
      </c>
      <c r="K381" s="364" t="s">
        <v>10596</v>
      </c>
      <c r="L381" s="358"/>
      <c r="M381" s="366" t="s">
        <v>10084</v>
      </c>
      <c r="N381" s="358"/>
      <c r="O381" s="366" t="s">
        <v>57</v>
      </c>
      <c r="P381" s="368">
        <v>14497500</v>
      </c>
      <c r="Q381" s="369" t="s">
        <v>10597</v>
      </c>
      <c r="R381" s="364" t="s">
        <v>580</v>
      </c>
      <c r="S381" s="340">
        <v>26</v>
      </c>
    </row>
    <row r="382" spans="1:19" ht="46.5" x14ac:dyDescent="0.35">
      <c r="A382" s="349">
        <v>371</v>
      </c>
      <c r="B382" s="364" t="s">
        <v>10511</v>
      </c>
      <c r="C382" s="365" t="s">
        <v>10512</v>
      </c>
      <c r="D382" s="366" t="s">
        <v>132</v>
      </c>
      <c r="E382" s="366" t="s">
        <v>10082</v>
      </c>
      <c r="F382" s="366" t="s">
        <v>10078</v>
      </c>
      <c r="G382" s="366" t="s">
        <v>10078</v>
      </c>
      <c r="H382" s="366">
        <v>2</v>
      </c>
      <c r="I382" s="364" t="s">
        <v>10594</v>
      </c>
      <c r="J382" s="367" t="s">
        <v>10595</v>
      </c>
      <c r="K382" s="364" t="s">
        <v>10596</v>
      </c>
      <c r="L382" s="358"/>
      <c r="M382" s="366" t="s">
        <v>10084</v>
      </c>
      <c r="N382" s="358"/>
      <c r="O382" s="366" t="s">
        <v>57</v>
      </c>
      <c r="P382" s="368">
        <v>34000000</v>
      </c>
      <c r="Q382" s="369" t="s">
        <v>10598</v>
      </c>
      <c r="R382" s="364" t="s">
        <v>580</v>
      </c>
      <c r="S382" s="340">
        <v>26</v>
      </c>
    </row>
    <row r="383" spans="1:19" ht="47" thickBot="1" x14ac:dyDescent="0.4">
      <c r="A383" s="357">
        <v>372</v>
      </c>
      <c r="B383" s="364" t="s">
        <v>10511</v>
      </c>
      <c r="C383" s="365" t="s">
        <v>10512</v>
      </c>
      <c r="D383" s="366" t="s">
        <v>137</v>
      </c>
      <c r="E383" s="366" t="s">
        <v>10082</v>
      </c>
      <c r="F383" s="366" t="s">
        <v>10078</v>
      </c>
      <c r="G383" s="366" t="s">
        <v>10078</v>
      </c>
      <c r="H383" s="366">
        <v>1</v>
      </c>
      <c r="I383" s="364" t="s">
        <v>10594</v>
      </c>
      <c r="J383" s="367" t="s">
        <v>10576</v>
      </c>
      <c r="K383" s="364" t="s">
        <v>10577</v>
      </c>
      <c r="L383" s="358"/>
      <c r="M383" s="366" t="s">
        <v>10084</v>
      </c>
      <c r="N383" s="358"/>
      <c r="O383" s="366" t="s">
        <v>57</v>
      </c>
      <c r="P383" s="368">
        <v>34000000</v>
      </c>
      <c r="Q383" s="369" t="s">
        <v>10599</v>
      </c>
      <c r="R383" s="364" t="s">
        <v>580</v>
      </c>
      <c r="S383" s="340">
        <v>26</v>
      </c>
    </row>
    <row r="384" spans="1:19" ht="31" x14ac:dyDescent="0.35">
      <c r="A384" s="349">
        <v>373</v>
      </c>
      <c r="B384" s="364" t="s">
        <v>10511</v>
      </c>
      <c r="C384" s="365" t="s">
        <v>10512</v>
      </c>
      <c r="D384" s="366" t="s">
        <v>146</v>
      </c>
      <c r="E384" s="366" t="s">
        <v>10082</v>
      </c>
      <c r="F384" s="366" t="s">
        <v>10078</v>
      </c>
      <c r="G384" s="366" t="s">
        <v>10078</v>
      </c>
      <c r="H384" s="366">
        <v>1</v>
      </c>
      <c r="I384" s="364" t="s">
        <v>10520</v>
      </c>
      <c r="J384" s="367" t="s">
        <v>10600</v>
      </c>
      <c r="K384" s="364" t="s">
        <v>10601</v>
      </c>
      <c r="L384" s="358"/>
      <c r="M384" s="366" t="s">
        <v>10084</v>
      </c>
      <c r="N384" s="358"/>
      <c r="O384" s="366" t="s">
        <v>57</v>
      </c>
      <c r="P384" s="368">
        <v>14785000</v>
      </c>
      <c r="Q384" s="369" t="s">
        <v>10602</v>
      </c>
      <c r="R384" s="364" t="s">
        <v>580</v>
      </c>
      <c r="S384" s="340">
        <v>26</v>
      </c>
    </row>
    <row r="385" spans="1:19" ht="31.5" thickBot="1" x14ac:dyDescent="0.4">
      <c r="A385" s="357">
        <v>374</v>
      </c>
      <c r="B385" s="364" t="s">
        <v>10511</v>
      </c>
      <c r="C385" s="365" t="s">
        <v>10512</v>
      </c>
      <c r="D385" s="366" t="s">
        <v>154</v>
      </c>
      <c r="E385" s="366" t="s">
        <v>10082</v>
      </c>
      <c r="F385" s="366" t="s">
        <v>10078</v>
      </c>
      <c r="G385" s="366" t="s">
        <v>10078</v>
      </c>
      <c r="H385" s="366">
        <v>2</v>
      </c>
      <c r="I385" s="364" t="s">
        <v>10603</v>
      </c>
      <c r="J385" s="367" t="s">
        <v>10604</v>
      </c>
      <c r="K385" s="364" t="s">
        <v>10605</v>
      </c>
      <c r="L385" s="358"/>
      <c r="M385" s="366" t="s">
        <v>10084</v>
      </c>
      <c r="N385" s="358"/>
      <c r="O385" s="366" t="s">
        <v>57</v>
      </c>
      <c r="P385" s="368">
        <v>33550000</v>
      </c>
      <c r="Q385" s="369" t="s">
        <v>10606</v>
      </c>
      <c r="R385" s="364" t="s">
        <v>580</v>
      </c>
      <c r="S385" s="340">
        <v>26</v>
      </c>
    </row>
    <row r="386" spans="1:19" ht="46.5" x14ac:dyDescent="0.35">
      <c r="A386" s="349">
        <v>375</v>
      </c>
      <c r="B386" s="364" t="s">
        <v>10511</v>
      </c>
      <c r="C386" s="365" t="s">
        <v>10512</v>
      </c>
      <c r="D386" s="366" t="s">
        <v>161</v>
      </c>
      <c r="E386" s="366" t="s">
        <v>10082</v>
      </c>
      <c r="F386" s="366" t="s">
        <v>10078</v>
      </c>
      <c r="G386" s="366" t="s">
        <v>10078</v>
      </c>
      <c r="H386" s="366">
        <v>2</v>
      </c>
      <c r="I386" s="364" t="s">
        <v>10607</v>
      </c>
      <c r="J386" s="367" t="s">
        <v>10604</v>
      </c>
      <c r="K386" s="364" t="s">
        <v>10605</v>
      </c>
      <c r="L386" s="358"/>
      <c r="M386" s="366" t="s">
        <v>10084</v>
      </c>
      <c r="N386" s="358"/>
      <c r="O386" s="366" t="s">
        <v>57</v>
      </c>
      <c r="P386" s="368">
        <v>33550000</v>
      </c>
      <c r="Q386" s="369" t="s">
        <v>10606</v>
      </c>
      <c r="R386" s="364" t="s">
        <v>580</v>
      </c>
      <c r="S386" s="340">
        <v>26</v>
      </c>
    </row>
    <row r="387" spans="1:19" ht="31.5" thickBot="1" x14ac:dyDescent="0.4">
      <c r="A387" s="357">
        <v>376</v>
      </c>
      <c r="B387" s="364" t="s">
        <v>10511</v>
      </c>
      <c r="C387" s="365" t="s">
        <v>10512</v>
      </c>
      <c r="D387" s="366" t="s">
        <v>169</v>
      </c>
      <c r="E387" s="366" t="s">
        <v>10082</v>
      </c>
      <c r="F387" s="366" t="s">
        <v>10078</v>
      </c>
      <c r="G387" s="366" t="s">
        <v>10078</v>
      </c>
      <c r="H387" s="366">
        <v>2</v>
      </c>
      <c r="I387" s="364" t="s">
        <v>10608</v>
      </c>
      <c r="J387" s="367" t="s">
        <v>10609</v>
      </c>
      <c r="K387" s="364" t="s">
        <v>10610</v>
      </c>
      <c r="L387" s="358"/>
      <c r="M387" s="366" t="s">
        <v>10084</v>
      </c>
      <c r="N387" s="358"/>
      <c r="O387" s="366" t="s">
        <v>57</v>
      </c>
      <c r="P387" s="368">
        <v>33600000</v>
      </c>
      <c r="Q387" s="369" t="s">
        <v>10611</v>
      </c>
      <c r="R387" s="364" t="s">
        <v>580</v>
      </c>
      <c r="S387" s="340">
        <v>26</v>
      </c>
    </row>
    <row r="388" spans="1:19" ht="31" x14ac:dyDescent="0.35">
      <c r="A388" s="349">
        <v>377</v>
      </c>
      <c r="B388" s="364" t="s">
        <v>10511</v>
      </c>
      <c r="C388" s="365" t="s">
        <v>10512</v>
      </c>
      <c r="D388" s="366" t="s">
        <v>176</v>
      </c>
      <c r="E388" s="366" t="s">
        <v>10082</v>
      </c>
      <c r="F388" s="366" t="s">
        <v>10078</v>
      </c>
      <c r="G388" s="366" t="s">
        <v>10078</v>
      </c>
      <c r="H388" s="366">
        <v>1</v>
      </c>
      <c r="I388" s="364" t="s">
        <v>10580</v>
      </c>
      <c r="J388" s="367" t="s">
        <v>10600</v>
      </c>
      <c r="K388" s="364" t="s">
        <v>10601</v>
      </c>
      <c r="L388" s="358"/>
      <c r="M388" s="366" t="s">
        <v>10084</v>
      </c>
      <c r="N388" s="358"/>
      <c r="O388" s="366" t="s">
        <v>57</v>
      </c>
      <c r="P388" s="368">
        <v>14785000</v>
      </c>
      <c r="Q388" s="369" t="s">
        <v>10602</v>
      </c>
      <c r="R388" s="364" t="s">
        <v>580</v>
      </c>
      <c r="S388" s="340">
        <v>26</v>
      </c>
    </row>
    <row r="389" spans="1:19" ht="47" thickBot="1" x14ac:dyDescent="0.4">
      <c r="A389" s="357">
        <v>378</v>
      </c>
      <c r="B389" s="364" t="s">
        <v>10511</v>
      </c>
      <c r="C389" s="365" t="s">
        <v>10512</v>
      </c>
      <c r="D389" s="366" t="s">
        <v>1236</v>
      </c>
      <c r="E389" s="366" t="s">
        <v>10082</v>
      </c>
      <c r="F389" s="366" t="s">
        <v>10078</v>
      </c>
      <c r="G389" s="366" t="s">
        <v>10078</v>
      </c>
      <c r="H389" s="366">
        <v>1</v>
      </c>
      <c r="I389" s="364" t="s">
        <v>10520</v>
      </c>
      <c r="J389" s="367" t="s">
        <v>10600</v>
      </c>
      <c r="K389" s="364" t="s">
        <v>10601</v>
      </c>
      <c r="L389" s="358"/>
      <c r="M389" s="366" t="s">
        <v>10084</v>
      </c>
      <c r="N389" s="358"/>
      <c r="O389" s="366" t="s">
        <v>57</v>
      </c>
      <c r="P389" s="368">
        <v>34125000</v>
      </c>
      <c r="Q389" s="369" t="s">
        <v>10612</v>
      </c>
      <c r="R389" s="364" t="s">
        <v>580</v>
      </c>
      <c r="S389" s="340">
        <v>26</v>
      </c>
    </row>
    <row r="390" spans="1:19" ht="46.5" x14ac:dyDescent="0.35">
      <c r="A390" s="349">
        <v>379</v>
      </c>
      <c r="B390" s="364" t="s">
        <v>10511</v>
      </c>
      <c r="C390" s="365" t="s">
        <v>10512</v>
      </c>
      <c r="D390" s="366" t="s">
        <v>181</v>
      </c>
      <c r="E390" s="366" t="s">
        <v>10082</v>
      </c>
      <c r="F390" s="366" t="s">
        <v>10078</v>
      </c>
      <c r="G390" s="366" t="s">
        <v>10078</v>
      </c>
      <c r="H390" s="366">
        <v>1</v>
      </c>
      <c r="I390" s="364" t="s">
        <v>10613</v>
      </c>
      <c r="J390" s="367" t="s">
        <v>10600</v>
      </c>
      <c r="K390" s="364" t="s">
        <v>10601</v>
      </c>
      <c r="L390" s="358"/>
      <c r="M390" s="366" t="s">
        <v>10084</v>
      </c>
      <c r="N390" s="358"/>
      <c r="O390" s="366" t="s">
        <v>57</v>
      </c>
      <c r="P390" s="368">
        <v>34125000</v>
      </c>
      <c r="Q390" s="369" t="s">
        <v>10614</v>
      </c>
      <c r="R390" s="364" t="s">
        <v>580</v>
      </c>
      <c r="S390" s="340">
        <v>26</v>
      </c>
    </row>
    <row r="391" spans="1:19" ht="47" thickBot="1" x14ac:dyDescent="0.4">
      <c r="A391" s="357">
        <v>380</v>
      </c>
      <c r="B391" s="364" t="s">
        <v>10511</v>
      </c>
      <c r="C391" s="365" t="s">
        <v>10512</v>
      </c>
      <c r="D391" s="366" t="s">
        <v>187</v>
      </c>
      <c r="E391" s="366" t="s">
        <v>10082</v>
      </c>
      <c r="F391" s="366" t="s">
        <v>10078</v>
      </c>
      <c r="G391" s="366" t="s">
        <v>10078</v>
      </c>
      <c r="H391" s="366">
        <v>1</v>
      </c>
      <c r="I391" s="364" t="s">
        <v>10615</v>
      </c>
      <c r="J391" s="367" t="s">
        <v>10616</v>
      </c>
      <c r="K391" s="364" t="s">
        <v>10617</v>
      </c>
      <c r="L391" s="358"/>
      <c r="M391" s="366" t="s">
        <v>10084</v>
      </c>
      <c r="N391" s="358"/>
      <c r="O391" s="366" t="s">
        <v>57</v>
      </c>
      <c r="P391" s="368">
        <v>11800000</v>
      </c>
      <c r="Q391" s="369" t="s">
        <v>10618</v>
      </c>
      <c r="R391" s="364" t="s">
        <v>580</v>
      </c>
      <c r="S391" s="340">
        <v>26</v>
      </c>
    </row>
    <row r="392" spans="1:19" ht="46.5" x14ac:dyDescent="0.35">
      <c r="A392" s="349">
        <v>381</v>
      </c>
      <c r="B392" s="364" t="s">
        <v>10511</v>
      </c>
      <c r="C392" s="365" t="s">
        <v>10512</v>
      </c>
      <c r="D392" s="366" t="s">
        <v>190</v>
      </c>
      <c r="E392" s="366" t="s">
        <v>10082</v>
      </c>
      <c r="F392" s="366" t="s">
        <v>10078</v>
      </c>
      <c r="G392" s="366" t="s">
        <v>10078</v>
      </c>
      <c r="H392" s="366">
        <v>1</v>
      </c>
      <c r="I392" s="364" t="s">
        <v>10619</v>
      </c>
      <c r="J392" s="367" t="s">
        <v>10616</v>
      </c>
      <c r="K392" s="364" t="s">
        <v>10617</v>
      </c>
      <c r="L392" s="358"/>
      <c r="M392" s="366" t="s">
        <v>10084</v>
      </c>
      <c r="N392" s="358"/>
      <c r="O392" s="366" t="s">
        <v>57</v>
      </c>
      <c r="P392" s="368">
        <v>11800000</v>
      </c>
      <c r="Q392" s="369" t="s">
        <v>10618</v>
      </c>
      <c r="R392" s="364" t="s">
        <v>580</v>
      </c>
      <c r="S392" s="340">
        <v>26</v>
      </c>
    </row>
    <row r="393" spans="1:19" ht="47" thickBot="1" x14ac:dyDescent="0.4">
      <c r="A393" s="357">
        <v>382</v>
      </c>
      <c r="B393" s="364" t="s">
        <v>10511</v>
      </c>
      <c r="C393" s="365" t="s">
        <v>10512</v>
      </c>
      <c r="D393" s="366" t="s">
        <v>192</v>
      </c>
      <c r="E393" s="366" t="s">
        <v>10082</v>
      </c>
      <c r="F393" s="366" t="s">
        <v>10078</v>
      </c>
      <c r="G393" s="366" t="s">
        <v>10078</v>
      </c>
      <c r="H393" s="366">
        <v>1</v>
      </c>
      <c r="I393" s="364" t="s">
        <v>10520</v>
      </c>
      <c r="J393" s="367" t="s">
        <v>10616</v>
      </c>
      <c r="K393" s="364" t="s">
        <v>10617</v>
      </c>
      <c r="L393" s="358"/>
      <c r="M393" s="366" t="s">
        <v>10084</v>
      </c>
      <c r="N393" s="358"/>
      <c r="O393" s="366" t="s">
        <v>57</v>
      </c>
      <c r="P393" s="368">
        <v>11800000</v>
      </c>
      <c r="Q393" s="369" t="s">
        <v>10618</v>
      </c>
      <c r="R393" s="364" t="s">
        <v>580</v>
      </c>
      <c r="S393" s="340">
        <v>26</v>
      </c>
    </row>
    <row r="394" spans="1:19" ht="46.5" x14ac:dyDescent="0.35">
      <c r="A394" s="349">
        <v>383</v>
      </c>
      <c r="B394" s="364" t="s">
        <v>10511</v>
      </c>
      <c r="C394" s="365" t="s">
        <v>10512</v>
      </c>
      <c r="D394" s="366" t="s">
        <v>194</v>
      </c>
      <c r="E394" s="366" t="s">
        <v>10082</v>
      </c>
      <c r="F394" s="366" t="s">
        <v>10078</v>
      </c>
      <c r="G394" s="366" t="s">
        <v>10078</v>
      </c>
      <c r="H394" s="366">
        <v>2</v>
      </c>
      <c r="I394" s="364" t="s">
        <v>10620</v>
      </c>
      <c r="J394" s="367" t="s">
        <v>10616</v>
      </c>
      <c r="K394" s="364" t="s">
        <v>10617</v>
      </c>
      <c r="L394" s="358"/>
      <c r="M394" s="366" t="s">
        <v>10084</v>
      </c>
      <c r="N394" s="358"/>
      <c r="O394" s="366" t="s">
        <v>57</v>
      </c>
      <c r="P394" s="368">
        <v>28400000</v>
      </c>
      <c r="Q394" s="369" t="s">
        <v>10621</v>
      </c>
      <c r="R394" s="364" t="s">
        <v>580</v>
      </c>
      <c r="S394" s="340">
        <v>26</v>
      </c>
    </row>
    <row r="395" spans="1:19" ht="47" thickBot="1" x14ac:dyDescent="0.4">
      <c r="A395" s="357">
        <v>384</v>
      </c>
      <c r="B395" s="364" t="s">
        <v>10511</v>
      </c>
      <c r="C395" s="365" t="s">
        <v>10512</v>
      </c>
      <c r="D395" s="366" t="s">
        <v>195</v>
      </c>
      <c r="E395" s="366" t="s">
        <v>10082</v>
      </c>
      <c r="F395" s="366" t="s">
        <v>10078</v>
      </c>
      <c r="G395" s="366" t="s">
        <v>10078</v>
      </c>
      <c r="H395" s="366">
        <v>2</v>
      </c>
      <c r="I395" s="364" t="s">
        <v>10520</v>
      </c>
      <c r="J395" s="367" t="s">
        <v>10616</v>
      </c>
      <c r="K395" s="364" t="s">
        <v>10617</v>
      </c>
      <c r="L395" s="358"/>
      <c r="M395" s="366" t="s">
        <v>10084</v>
      </c>
      <c r="N395" s="358"/>
      <c r="O395" s="366" t="s">
        <v>57</v>
      </c>
      <c r="P395" s="368">
        <v>28400000</v>
      </c>
      <c r="Q395" s="369" t="s">
        <v>10621</v>
      </c>
      <c r="R395" s="364" t="s">
        <v>580</v>
      </c>
      <c r="S395" s="340">
        <v>26</v>
      </c>
    </row>
    <row r="396" spans="1:19" ht="31" x14ac:dyDescent="0.35">
      <c r="A396" s="349">
        <v>385</v>
      </c>
      <c r="B396" s="364" t="s">
        <v>10096</v>
      </c>
      <c r="C396" s="365" t="s">
        <v>10097</v>
      </c>
      <c r="D396" s="366" t="s">
        <v>51</v>
      </c>
      <c r="E396" s="366" t="s">
        <v>10082</v>
      </c>
      <c r="F396" s="366" t="s">
        <v>10078</v>
      </c>
      <c r="G396" s="366" t="s">
        <v>10088</v>
      </c>
      <c r="H396" s="366">
        <v>300</v>
      </c>
      <c r="I396" s="364" t="s">
        <v>10520</v>
      </c>
      <c r="J396" s="367" t="s">
        <v>10622</v>
      </c>
      <c r="K396" s="364" t="s">
        <v>10623</v>
      </c>
      <c r="L396" s="358"/>
      <c r="M396" s="366" t="s">
        <v>10084</v>
      </c>
      <c r="N396" s="358"/>
      <c r="O396" s="366" t="s">
        <v>57</v>
      </c>
      <c r="P396" s="368">
        <v>479490700</v>
      </c>
      <c r="Q396" s="369" t="s">
        <v>10624</v>
      </c>
      <c r="R396" s="364" t="s">
        <v>580</v>
      </c>
      <c r="S396" s="340">
        <v>26</v>
      </c>
    </row>
    <row r="397" spans="1:19" ht="31.5" thickBot="1" x14ac:dyDescent="0.4">
      <c r="A397" s="357">
        <v>386</v>
      </c>
      <c r="B397" s="364" t="s">
        <v>10155</v>
      </c>
      <c r="C397" s="365" t="s">
        <v>10156</v>
      </c>
      <c r="D397" s="366" t="s">
        <v>51</v>
      </c>
      <c r="E397" s="366" t="s">
        <v>10082</v>
      </c>
      <c r="F397" s="366" t="s">
        <v>10078</v>
      </c>
      <c r="G397" s="366" t="s">
        <v>10088</v>
      </c>
      <c r="H397" s="366">
        <v>600</v>
      </c>
      <c r="I397" s="364" t="s">
        <v>10625</v>
      </c>
      <c r="J397" s="367" t="s">
        <v>10626</v>
      </c>
      <c r="K397" s="364"/>
      <c r="L397" s="358"/>
      <c r="M397" s="366" t="s">
        <v>10084</v>
      </c>
      <c r="N397" s="358"/>
      <c r="O397" s="366" t="s">
        <v>57</v>
      </c>
      <c r="P397" s="368">
        <v>4911699772.6999998</v>
      </c>
      <c r="Q397" s="369"/>
      <c r="R397" s="364" t="s">
        <v>665</v>
      </c>
      <c r="S397" s="340">
        <v>30</v>
      </c>
    </row>
    <row r="398" spans="1:19" ht="31" x14ac:dyDescent="0.35">
      <c r="A398" s="349">
        <v>387</v>
      </c>
      <c r="B398" s="364" t="s">
        <v>10155</v>
      </c>
      <c r="C398" s="365" t="s">
        <v>10156</v>
      </c>
      <c r="D398" s="366" t="s">
        <v>59</v>
      </c>
      <c r="E398" s="366" t="s">
        <v>10082</v>
      </c>
      <c r="F398" s="360" t="s">
        <v>10078</v>
      </c>
      <c r="G398" s="366" t="s">
        <v>10088</v>
      </c>
      <c r="H398" s="360">
        <v>5</v>
      </c>
      <c r="I398" s="364" t="s">
        <v>10627</v>
      </c>
      <c r="J398" s="361" t="s">
        <v>10628</v>
      </c>
      <c r="K398" s="358" t="s">
        <v>10629</v>
      </c>
      <c r="L398" s="358"/>
      <c r="M398" s="360" t="s">
        <v>10084</v>
      </c>
      <c r="N398" s="358"/>
      <c r="O398" s="366" t="s">
        <v>57</v>
      </c>
      <c r="P398" s="368">
        <v>91252200</v>
      </c>
      <c r="Q398" s="369" t="s">
        <v>10630</v>
      </c>
      <c r="R398" s="364" t="s">
        <v>665</v>
      </c>
      <c r="S398" s="340">
        <v>30</v>
      </c>
    </row>
    <row r="399" spans="1:19" ht="31.5" thickBot="1" x14ac:dyDescent="0.4">
      <c r="A399" s="357">
        <v>388</v>
      </c>
      <c r="B399" s="364" t="s">
        <v>10535</v>
      </c>
      <c r="C399" s="365" t="s">
        <v>10536</v>
      </c>
      <c r="D399" s="366" t="s">
        <v>51</v>
      </c>
      <c r="E399" s="366" t="s">
        <v>10082</v>
      </c>
      <c r="F399" s="366" t="s">
        <v>10078</v>
      </c>
      <c r="G399" s="366" t="s">
        <v>10078</v>
      </c>
      <c r="H399" s="366">
        <v>7</v>
      </c>
      <c r="I399" s="364" t="s">
        <v>10631</v>
      </c>
      <c r="J399" s="367" t="s">
        <v>10632</v>
      </c>
      <c r="K399" s="364" t="s">
        <v>10633</v>
      </c>
      <c r="L399" s="358"/>
      <c r="M399" s="366" t="s">
        <v>10084</v>
      </c>
      <c r="N399" s="358"/>
      <c r="O399" s="366" t="s">
        <v>57</v>
      </c>
      <c r="P399" s="368">
        <v>75900000</v>
      </c>
      <c r="Q399" s="369" t="s">
        <v>10634</v>
      </c>
      <c r="R399" s="364" t="s">
        <v>665</v>
      </c>
      <c r="S399" s="340">
        <v>30</v>
      </c>
    </row>
    <row r="400" spans="1:19" ht="31" x14ac:dyDescent="0.35">
      <c r="A400" s="349">
        <v>389</v>
      </c>
      <c r="B400" s="364" t="s">
        <v>10535</v>
      </c>
      <c r="C400" s="365" t="s">
        <v>10536</v>
      </c>
      <c r="D400" s="366" t="s">
        <v>59</v>
      </c>
      <c r="E400" s="366" t="s">
        <v>10082</v>
      </c>
      <c r="F400" s="366" t="s">
        <v>10078</v>
      </c>
      <c r="G400" s="366" t="s">
        <v>10088</v>
      </c>
      <c r="H400" s="366">
        <v>78</v>
      </c>
      <c r="I400" s="364" t="s">
        <v>10635</v>
      </c>
      <c r="J400" s="367" t="s">
        <v>10636</v>
      </c>
      <c r="K400" s="364" t="s">
        <v>10637</v>
      </c>
      <c r="L400" s="358"/>
      <c r="M400" s="366" t="s">
        <v>10084</v>
      </c>
      <c r="N400" s="358"/>
      <c r="O400" s="366" t="s">
        <v>57</v>
      </c>
      <c r="P400" s="368">
        <v>663718935.5</v>
      </c>
      <c r="Q400" s="369" t="s">
        <v>10638</v>
      </c>
      <c r="R400" s="364" t="s">
        <v>665</v>
      </c>
      <c r="S400" s="340">
        <v>30</v>
      </c>
    </row>
    <row r="401" spans="1:19" ht="31.5" thickBot="1" x14ac:dyDescent="0.4">
      <c r="A401" s="357">
        <v>390</v>
      </c>
      <c r="B401" s="364" t="s">
        <v>10541</v>
      </c>
      <c r="C401" s="365" t="s">
        <v>10542</v>
      </c>
      <c r="D401" s="366" t="s">
        <v>51</v>
      </c>
      <c r="E401" s="366" t="s">
        <v>10082</v>
      </c>
      <c r="F401" s="366" t="s">
        <v>10078</v>
      </c>
      <c r="G401" s="366" t="s">
        <v>10078</v>
      </c>
      <c r="H401" s="366">
        <v>68</v>
      </c>
      <c r="I401" s="364" t="s">
        <v>10631</v>
      </c>
      <c r="J401" s="367" t="s">
        <v>10639</v>
      </c>
      <c r="K401" s="364" t="s">
        <v>10640</v>
      </c>
      <c r="L401" s="358"/>
      <c r="M401" s="366" t="s">
        <v>10084</v>
      </c>
      <c r="N401" s="358"/>
      <c r="O401" s="366" t="s">
        <v>57</v>
      </c>
      <c r="P401" s="368">
        <v>221230000</v>
      </c>
      <c r="Q401" s="369" t="s">
        <v>10641</v>
      </c>
      <c r="R401" s="364" t="s">
        <v>665</v>
      </c>
      <c r="S401" s="340">
        <v>30</v>
      </c>
    </row>
    <row r="402" spans="1:19" ht="31" x14ac:dyDescent="0.35">
      <c r="A402" s="349">
        <v>391</v>
      </c>
      <c r="B402" s="364" t="s">
        <v>10541</v>
      </c>
      <c r="C402" s="365" t="s">
        <v>10542</v>
      </c>
      <c r="D402" s="366" t="s">
        <v>59</v>
      </c>
      <c r="E402" s="366" t="s">
        <v>10082</v>
      </c>
      <c r="F402" s="366" t="s">
        <v>10078</v>
      </c>
      <c r="G402" s="366" t="s">
        <v>10088</v>
      </c>
      <c r="H402" s="366">
        <v>42</v>
      </c>
      <c r="I402" s="364" t="s">
        <v>10642</v>
      </c>
      <c r="J402" s="367" t="s">
        <v>10643</v>
      </c>
      <c r="K402" s="364" t="s">
        <v>10644</v>
      </c>
      <c r="L402" s="358"/>
      <c r="M402" s="366"/>
      <c r="N402" s="358"/>
      <c r="O402" s="366" t="s">
        <v>44</v>
      </c>
      <c r="P402" s="368">
        <v>220972300</v>
      </c>
      <c r="Q402" s="369" t="s">
        <v>10645</v>
      </c>
      <c r="R402" s="364" t="s">
        <v>665</v>
      </c>
      <c r="S402" s="340">
        <v>30</v>
      </c>
    </row>
    <row r="403" spans="1:19" ht="31.5" thickBot="1" x14ac:dyDescent="0.4">
      <c r="A403" s="357">
        <v>392</v>
      </c>
      <c r="B403" s="364" t="s">
        <v>10481</v>
      </c>
      <c r="C403" s="365" t="s">
        <v>10482</v>
      </c>
      <c r="D403" s="366" t="s">
        <v>51</v>
      </c>
      <c r="E403" s="366" t="s">
        <v>10082</v>
      </c>
      <c r="F403" s="366" t="s">
        <v>10078</v>
      </c>
      <c r="G403" s="366" t="s">
        <v>10088</v>
      </c>
      <c r="H403" s="366">
        <v>324</v>
      </c>
      <c r="I403" s="364" t="s">
        <v>10646</v>
      </c>
      <c r="J403" s="367" t="s">
        <v>10647</v>
      </c>
      <c r="K403" s="364" t="s">
        <v>10648</v>
      </c>
      <c r="L403" s="358"/>
      <c r="M403" s="366" t="s">
        <v>10084</v>
      </c>
      <c r="N403" s="358"/>
      <c r="O403" s="366" t="s">
        <v>57</v>
      </c>
      <c r="P403" s="368">
        <v>1265836700</v>
      </c>
      <c r="Q403" s="369" t="s">
        <v>10649</v>
      </c>
      <c r="R403" s="364" t="s">
        <v>665</v>
      </c>
      <c r="S403" s="340">
        <v>30</v>
      </c>
    </row>
    <row r="404" spans="1:19" ht="15.5" x14ac:dyDescent="0.35">
      <c r="A404" s="349">
        <v>393</v>
      </c>
      <c r="B404" s="364" t="s">
        <v>10650</v>
      </c>
      <c r="C404" s="365" t="s">
        <v>10651</v>
      </c>
      <c r="D404" s="366" t="s">
        <v>51</v>
      </c>
      <c r="E404" s="366" t="s">
        <v>10082</v>
      </c>
      <c r="F404" s="366" t="s">
        <v>10078</v>
      </c>
      <c r="G404" s="366" t="s">
        <v>10088</v>
      </c>
      <c r="H404" s="366" t="s">
        <v>10652</v>
      </c>
      <c r="I404" s="364" t="s">
        <v>10642</v>
      </c>
      <c r="J404" s="367" t="s">
        <v>10643</v>
      </c>
      <c r="K404" s="364" t="s">
        <v>10653</v>
      </c>
      <c r="L404" s="358"/>
      <c r="M404" s="366"/>
      <c r="N404" s="358"/>
      <c r="O404" s="366" t="s">
        <v>44</v>
      </c>
      <c r="P404" s="368">
        <v>215845800</v>
      </c>
      <c r="Q404" s="369" t="s">
        <v>10654</v>
      </c>
      <c r="R404" s="364" t="s">
        <v>665</v>
      </c>
      <c r="S404" s="340">
        <v>30</v>
      </c>
    </row>
    <row r="405" spans="1:19" ht="31.5" thickBot="1" x14ac:dyDescent="0.4">
      <c r="A405" s="357">
        <v>394</v>
      </c>
      <c r="B405" s="364" t="s">
        <v>10486</v>
      </c>
      <c r="C405" s="365" t="s">
        <v>10487</v>
      </c>
      <c r="D405" s="366" t="s">
        <v>51</v>
      </c>
      <c r="E405" s="366" t="s">
        <v>10082</v>
      </c>
      <c r="F405" s="366" t="s">
        <v>10078</v>
      </c>
      <c r="G405" s="366" t="s">
        <v>10088</v>
      </c>
      <c r="H405" s="366">
        <v>64</v>
      </c>
      <c r="I405" s="364" t="s">
        <v>10655</v>
      </c>
      <c r="J405" s="361" t="s">
        <v>10636</v>
      </c>
      <c r="K405" s="358" t="s">
        <v>10656</v>
      </c>
      <c r="L405" s="358"/>
      <c r="M405" s="366" t="s">
        <v>10084</v>
      </c>
      <c r="N405" s="358"/>
      <c r="O405" s="366" t="s">
        <v>57</v>
      </c>
      <c r="P405" s="368">
        <v>56240000</v>
      </c>
      <c r="Q405" s="369"/>
      <c r="R405" s="364" t="s">
        <v>665</v>
      </c>
      <c r="S405" s="340">
        <v>30</v>
      </c>
    </row>
    <row r="406" spans="1:19" ht="31" x14ac:dyDescent="0.35">
      <c r="A406" s="349">
        <v>395</v>
      </c>
      <c r="B406" s="364" t="s">
        <v>10486</v>
      </c>
      <c r="C406" s="365" t="s">
        <v>10487</v>
      </c>
      <c r="D406" s="366" t="s">
        <v>59</v>
      </c>
      <c r="E406" s="366" t="s">
        <v>10082</v>
      </c>
      <c r="F406" s="360" t="s">
        <v>10078</v>
      </c>
      <c r="G406" s="366" t="s">
        <v>10078</v>
      </c>
      <c r="H406" s="360">
        <v>24</v>
      </c>
      <c r="I406" s="364" t="s">
        <v>10627</v>
      </c>
      <c r="J406" s="361" t="s">
        <v>10657</v>
      </c>
      <c r="K406" s="358" t="s">
        <v>10658</v>
      </c>
      <c r="L406" s="358"/>
      <c r="M406" s="360" t="s">
        <v>10084</v>
      </c>
      <c r="N406" s="358"/>
      <c r="O406" s="366" t="s">
        <v>57</v>
      </c>
      <c r="P406" s="368">
        <v>279178000</v>
      </c>
      <c r="Q406" s="369" t="s">
        <v>10659</v>
      </c>
      <c r="R406" s="364" t="s">
        <v>665</v>
      </c>
      <c r="S406" s="340">
        <v>30</v>
      </c>
    </row>
    <row r="407" spans="1:19" ht="16" thickBot="1" x14ac:dyDescent="0.4">
      <c r="A407" s="357">
        <v>396</v>
      </c>
      <c r="B407" s="364" t="s">
        <v>10660</v>
      </c>
      <c r="C407" s="365" t="s">
        <v>10661</v>
      </c>
      <c r="D407" s="366" t="s">
        <v>51</v>
      </c>
      <c r="E407" s="366" t="s">
        <v>10082</v>
      </c>
      <c r="F407" s="366" t="s">
        <v>10078</v>
      </c>
      <c r="G407" s="366" t="s">
        <v>10088</v>
      </c>
      <c r="H407" s="360" t="s">
        <v>10662</v>
      </c>
      <c r="I407" s="364" t="s">
        <v>10642</v>
      </c>
      <c r="J407" s="361" t="s">
        <v>10663</v>
      </c>
      <c r="K407" s="358" t="s">
        <v>10664</v>
      </c>
      <c r="L407" s="358"/>
      <c r="M407" s="360"/>
      <c r="N407" s="358"/>
      <c r="O407" s="366" t="s">
        <v>44</v>
      </c>
      <c r="P407" s="368">
        <v>220949600</v>
      </c>
      <c r="Q407" s="369" t="s">
        <v>10660</v>
      </c>
      <c r="R407" s="364" t="s">
        <v>665</v>
      </c>
      <c r="S407" s="340">
        <v>30</v>
      </c>
    </row>
    <row r="408" spans="1:19" ht="31" x14ac:dyDescent="0.35">
      <c r="A408" s="349">
        <v>397</v>
      </c>
      <c r="B408" s="364" t="s">
        <v>10501</v>
      </c>
      <c r="C408" s="365" t="s">
        <v>10502</v>
      </c>
      <c r="D408" s="366" t="s">
        <v>51</v>
      </c>
      <c r="E408" s="366" t="s">
        <v>10082</v>
      </c>
      <c r="F408" s="366" t="s">
        <v>10078</v>
      </c>
      <c r="G408" s="366" t="s">
        <v>10088</v>
      </c>
      <c r="H408" s="360">
        <v>668</v>
      </c>
      <c r="I408" s="364" t="s">
        <v>10627</v>
      </c>
      <c r="J408" s="361" t="s">
        <v>10665</v>
      </c>
      <c r="K408" s="358" t="s">
        <v>10666</v>
      </c>
      <c r="L408" s="358"/>
      <c r="M408" s="366" t="s">
        <v>10084</v>
      </c>
      <c r="N408" s="358"/>
      <c r="O408" s="366" t="s">
        <v>57</v>
      </c>
      <c r="P408" s="368">
        <v>1355697685</v>
      </c>
      <c r="Q408" s="369" t="s">
        <v>10667</v>
      </c>
      <c r="R408" s="364" t="s">
        <v>665</v>
      </c>
      <c r="S408" s="340">
        <v>30</v>
      </c>
    </row>
    <row r="409" spans="1:19" ht="31.5" thickBot="1" x14ac:dyDescent="0.4">
      <c r="A409" s="357">
        <v>398</v>
      </c>
      <c r="B409" s="364" t="s">
        <v>10096</v>
      </c>
      <c r="C409" s="365" t="s">
        <v>10097</v>
      </c>
      <c r="D409" s="366" t="s">
        <v>51</v>
      </c>
      <c r="E409" s="366" t="s">
        <v>10082</v>
      </c>
      <c r="F409" s="366" t="s">
        <v>10078</v>
      </c>
      <c r="G409" s="366" t="s">
        <v>10088</v>
      </c>
      <c r="H409" s="366">
        <v>179</v>
      </c>
      <c r="I409" s="364" t="s">
        <v>10668</v>
      </c>
      <c r="J409" s="367" t="s">
        <v>10669</v>
      </c>
      <c r="K409" s="364" t="s">
        <v>10670</v>
      </c>
      <c r="L409" s="358"/>
      <c r="M409" s="366" t="s">
        <v>10084</v>
      </c>
      <c r="N409" s="358"/>
      <c r="O409" s="366" t="s">
        <v>57</v>
      </c>
      <c r="P409" s="368">
        <v>857873600</v>
      </c>
      <c r="Q409" s="369" t="s">
        <v>10671</v>
      </c>
      <c r="R409" s="364" t="s">
        <v>665</v>
      </c>
      <c r="S409" s="340">
        <v>30</v>
      </c>
    </row>
    <row r="410" spans="1:19" ht="31" x14ac:dyDescent="0.35">
      <c r="A410" s="349">
        <v>399</v>
      </c>
      <c r="B410" s="364" t="s">
        <v>10155</v>
      </c>
      <c r="C410" s="365" t="s">
        <v>10156</v>
      </c>
      <c r="D410" s="366" t="s">
        <v>51</v>
      </c>
      <c r="E410" s="366" t="s">
        <v>10082</v>
      </c>
      <c r="F410" s="366" t="s">
        <v>10078</v>
      </c>
      <c r="G410" s="366" t="s">
        <v>10078</v>
      </c>
      <c r="H410" s="366">
        <v>1099</v>
      </c>
      <c r="I410" s="364" t="s">
        <v>9020</v>
      </c>
      <c r="J410" s="367"/>
      <c r="K410" s="364"/>
      <c r="L410" s="358"/>
      <c r="M410" s="366" t="s">
        <v>10084</v>
      </c>
      <c r="N410" s="358"/>
      <c r="O410" s="366" t="s">
        <v>422</v>
      </c>
      <c r="P410" s="368">
        <v>469010000</v>
      </c>
      <c r="Q410" s="369" t="s">
        <v>10672</v>
      </c>
      <c r="R410" s="364" t="s">
        <v>712</v>
      </c>
      <c r="S410" s="340">
        <v>32</v>
      </c>
    </row>
    <row r="411" spans="1:19" ht="31.5" thickBot="1" x14ac:dyDescent="0.4">
      <c r="A411" s="357">
        <v>400</v>
      </c>
      <c r="B411" s="364" t="s">
        <v>10481</v>
      </c>
      <c r="C411" s="365" t="s">
        <v>10482</v>
      </c>
      <c r="D411" s="366" t="s">
        <v>51</v>
      </c>
      <c r="E411" s="366" t="s">
        <v>10673</v>
      </c>
      <c r="F411" s="366" t="s">
        <v>10078</v>
      </c>
      <c r="G411" s="366" t="s">
        <v>10088</v>
      </c>
      <c r="H411" s="366">
        <v>280</v>
      </c>
      <c r="I411" s="364" t="s">
        <v>9591</v>
      </c>
      <c r="J411" s="367"/>
      <c r="K411" s="364"/>
      <c r="L411" s="358"/>
      <c r="M411" s="366" t="s">
        <v>10084</v>
      </c>
      <c r="N411" s="358"/>
      <c r="O411" s="366" t="s">
        <v>57</v>
      </c>
      <c r="P411" s="368">
        <v>408981000</v>
      </c>
      <c r="Q411" s="369" t="s">
        <v>10674</v>
      </c>
      <c r="R411" s="364" t="s">
        <v>712</v>
      </c>
      <c r="S411" s="340">
        <v>32</v>
      </c>
    </row>
    <row r="412" spans="1:19" ht="31" x14ac:dyDescent="0.35">
      <c r="A412" s="349">
        <v>401</v>
      </c>
      <c r="B412" s="364" t="s">
        <v>10481</v>
      </c>
      <c r="C412" s="365" t="s">
        <v>10482</v>
      </c>
      <c r="D412" s="366" t="s">
        <v>59</v>
      </c>
      <c r="E412" s="366" t="s">
        <v>10082</v>
      </c>
      <c r="F412" s="366" t="s">
        <v>10078</v>
      </c>
      <c r="G412" s="366" t="s">
        <v>10088</v>
      </c>
      <c r="H412" s="366">
        <v>380</v>
      </c>
      <c r="I412" s="364" t="s">
        <v>10675</v>
      </c>
      <c r="J412" s="367" t="s">
        <v>10676</v>
      </c>
      <c r="K412" s="364" t="s">
        <v>10677</v>
      </c>
      <c r="L412" s="358"/>
      <c r="M412" s="366" t="s">
        <v>10084</v>
      </c>
      <c r="N412" s="358"/>
      <c r="O412" s="366" t="s">
        <v>57</v>
      </c>
      <c r="P412" s="368">
        <v>644958000</v>
      </c>
      <c r="Q412" s="369" t="s">
        <v>10678</v>
      </c>
      <c r="R412" s="364" t="s">
        <v>712</v>
      </c>
      <c r="S412" s="340">
        <v>32</v>
      </c>
    </row>
    <row r="413" spans="1:19" ht="31.5" thickBot="1" x14ac:dyDescent="0.4">
      <c r="A413" s="357">
        <v>402</v>
      </c>
      <c r="B413" s="364" t="s">
        <v>10679</v>
      </c>
      <c r="C413" s="365" t="s">
        <v>10680</v>
      </c>
      <c r="D413" s="366" t="s">
        <v>51</v>
      </c>
      <c r="E413" s="366" t="s">
        <v>10673</v>
      </c>
      <c r="F413" s="366" t="s">
        <v>10078</v>
      </c>
      <c r="G413" s="366" t="s">
        <v>10078</v>
      </c>
      <c r="H413" s="366">
        <v>3360</v>
      </c>
      <c r="I413" s="364" t="s">
        <v>9020</v>
      </c>
      <c r="J413" s="367"/>
      <c r="K413" s="364"/>
      <c r="L413" s="358"/>
      <c r="M413" s="366" t="s">
        <v>10084</v>
      </c>
      <c r="N413" s="358"/>
      <c r="O413" s="366" t="s">
        <v>422</v>
      </c>
      <c r="P413" s="368">
        <v>227500000</v>
      </c>
      <c r="Q413" s="369" t="s">
        <v>10681</v>
      </c>
      <c r="R413" s="364" t="s">
        <v>712</v>
      </c>
      <c r="S413" s="340">
        <v>32</v>
      </c>
    </row>
    <row r="414" spans="1:19" ht="31" x14ac:dyDescent="0.35">
      <c r="A414" s="349">
        <v>403</v>
      </c>
      <c r="B414" s="364" t="s">
        <v>10682</v>
      </c>
      <c r="C414" s="365" t="s">
        <v>10683</v>
      </c>
      <c r="D414" s="366" t="s">
        <v>51</v>
      </c>
      <c r="E414" s="366" t="s">
        <v>10082</v>
      </c>
      <c r="F414" s="366" t="s">
        <v>10078</v>
      </c>
      <c r="G414" s="366" t="s">
        <v>10088</v>
      </c>
      <c r="H414" s="366">
        <v>60</v>
      </c>
      <c r="I414" s="364" t="s">
        <v>9591</v>
      </c>
      <c r="J414" s="367" t="s">
        <v>10684</v>
      </c>
      <c r="K414" s="364" t="s">
        <v>10685</v>
      </c>
      <c r="L414" s="358"/>
      <c r="M414" s="366" t="s">
        <v>10084</v>
      </c>
      <c r="N414" s="358"/>
      <c r="O414" s="366" t="s">
        <v>57</v>
      </c>
      <c r="P414" s="368">
        <v>1590405000</v>
      </c>
      <c r="Q414" s="369" t="s">
        <v>10686</v>
      </c>
      <c r="R414" s="364" t="s">
        <v>712</v>
      </c>
      <c r="S414" s="340">
        <v>32</v>
      </c>
    </row>
    <row r="415" spans="1:19" ht="31.5" thickBot="1" x14ac:dyDescent="0.4">
      <c r="A415" s="357">
        <v>404</v>
      </c>
      <c r="B415" s="364" t="s">
        <v>10687</v>
      </c>
      <c r="C415" s="365" t="s">
        <v>10688</v>
      </c>
      <c r="D415" s="366" t="s">
        <v>51</v>
      </c>
      <c r="E415" s="366" t="s">
        <v>10082</v>
      </c>
      <c r="F415" s="366" t="s">
        <v>10078</v>
      </c>
      <c r="G415" s="366" t="s">
        <v>10078</v>
      </c>
      <c r="H415" s="366">
        <v>24</v>
      </c>
      <c r="I415" s="364" t="s">
        <v>10689</v>
      </c>
      <c r="J415" s="367" t="s">
        <v>10690</v>
      </c>
      <c r="K415" s="364"/>
      <c r="L415" s="358"/>
      <c r="M415" s="366" t="s">
        <v>10084</v>
      </c>
      <c r="N415" s="358"/>
      <c r="O415" s="366" t="s">
        <v>57</v>
      </c>
      <c r="P415" s="368">
        <v>8490000</v>
      </c>
      <c r="Q415" s="369"/>
      <c r="R415" s="364" t="s">
        <v>712</v>
      </c>
      <c r="S415" s="340">
        <v>32</v>
      </c>
    </row>
    <row r="416" spans="1:19" ht="31" x14ac:dyDescent="0.35">
      <c r="A416" s="349">
        <v>405</v>
      </c>
      <c r="B416" s="364" t="s">
        <v>10687</v>
      </c>
      <c r="C416" s="365" t="s">
        <v>10688</v>
      </c>
      <c r="D416" s="366" t="s">
        <v>59</v>
      </c>
      <c r="E416" s="366" t="s">
        <v>10082</v>
      </c>
      <c r="F416" s="366" t="s">
        <v>10078</v>
      </c>
      <c r="G416" s="366" t="s">
        <v>10078</v>
      </c>
      <c r="H416" s="366">
        <v>0</v>
      </c>
      <c r="I416" s="364" t="s">
        <v>10691</v>
      </c>
      <c r="J416" s="367" t="s">
        <v>10692</v>
      </c>
      <c r="K416" s="364" t="s">
        <v>10693</v>
      </c>
      <c r="L416" s="358"/>
      <c r="M416" s="366" t="s">
        <v>10084</v>
      </c>
      <c r="N416" s="358"/>
      <c r="O416" s="366" t="s">
        <v>57</v>
      </c>
      <c r="P416" s="368">
        <v>24900000</v>
      </c>
      <c r="Q416" s="369" t="s">
        <v>10694</v>
      </c>
      <c r="R416" s="364" t="s">
        <v>712</v>
      </c>
      <c r="S416" s="340">
        <v>32</v>
      </c>
    </row>
    <row r="417" spans="1:19" ht="31.5" thickBot="1" x14ac:dyDescent="0.4">
      <c r="A417" s="357">
        <v>406</v>
      </c>
      <c r="B417" s="364" t="s">
        <v>10695</v>
      </c>
      <c r="C417" s="365" t="s">
        <v>10696</v>
      </c>
      <c r="D417" s="366" t="s">
        <v>51</v>
      </c>
      <c r="E417" s="366" t="s">
        <v>10082</v>
      </c>
      <c r="F417" s="366" t="s">
        <v>10078</v>
      </c>
      <c r="G417" s="366" t="s">
        <v>10088</v>
      </c>
      <c r="H417" s="360">
        <v>1078</v>
      </c>
      <c r="I417" s="364" t="s">
        <v>9020</v>
      </c>
      <c r="J417" s="361"/>
      <c r="K417" s="358"/>
      <c r="L417" s="358"/>
      <c r="M417" s="366" t="s">
        <v>10084</v>
      </c>
      <c r="N417" s="358"/>
      <c r="O417" s="366" t="s">
        <v>422</v>
      </c>
      <c r="P417" s="368">
        <v>511479150</v>
      </c>
      <c r="Q417" s="369" t="s">
        <v>9061</v>
      </c>
      <c r="R417" s="364" t="s">
        <v>712</v>
      </c>
      <c r="S417" s="340">
        <v>32</v>
      </c>
    </row>
    <row r="418" spans="1:19" ht="31" x14ac:dyDescent="0.35">
      <c r="A418" s="349">
        <v>407</v>
      </c>
      <c r="B418" s="364" t="s">
        <v>10697</v>
      </c>
      <c r="C418" s="365" t="s">
        <v>10698</v>
      </c>
      <c r="D418" s="366" t="s">
        <v>51</v>
      </c>
      <c r="E418" s="366" t="s">
        <v>10673</v>
      </c>
      <c r="F418" s="366" t="s">
        <v>10078</v>
      </c>
      <c r="G418" s="366" t="s">
        <v>10078</v>
      </c>
      <c r="H418" s="366">
        <v>35</v>
      </c>
      <c r="I418" s="364" t="s">
        <v>9020</v>
      </c>
      <c r="J418" s="367"/>
      <c r="K418" s="364"/>
      <c r="L418" s="358"/>
      <c r="M418" s="366" t="s">
        <v>10084</v>
      </c>
      <c r="N418" s="358"/>
      <c r="O418" s="366" t="s">
        <v>422</v>
      </c>
      <c r="P418" s="368">
        <v>39813000</v>
      </c>
      <c r="Q418" s="369" t="s">
        <v>10699</v>
      </c>
      <c r="R418" s="364" t="s">
        <v>712</v>
      </c>
      <c r="S418" s="340">
        <v>32</v>
      </c>
    </row>
    <row r="419" spans="1:19" ht="31.5" thickBot="1" x14ac:dyDescent="0.4">
      <c r="A419" s="357">
        <v>408</v>
      </c>
      <c r="B419" s="364" t="s">
        <v>10697</v>
      </c>
      <c r="C419" s="365" t="s">
        <v>10698</v>
      </c>
      <c r="D419" s="366" t="s">
        <v>59</v>
      </c>
      <c r="E419" s="366" t="s">
        <v>10673</v>
      </c>
      <c r="F419" s="366" t="s">
        <v>10078</v>
      </c>
      <c r="G419" s="366" t="s">
        <v>10078</v>
      </c>
      <c r="H419" s="366">
        <v>35</v>
      </c>
      <c r="I419" s="364" t="s">
        <v>9020</v>
      </c>
      <c r="J419" s="367"/>
      <c r="K419" s="364"/>
      <c r="L419" s="358"/>
      <c r="M419" s="366" t="s">
        <v>10084</v>
      </c>
      <c r="N419" s="358"/>
      <c r="O419" s="366" t="s">
        <v>422</v>
      </c>
      <c r="P419" s="368">
        <v>39813000</v>
      </c>
      <c r="Q419" s="369" t="s">
        <v>10700</v>
      </c>
      <c r="R419" s="364" t="s">
        <v>712</v>
      </c>
      <c r="S419" s="340">
        <v>32</v>
      </c>
    </row>
    <row r="420" spans="1:19" ht="46.5" x14ac:dyDescent="0.35">
      <c r="A420" s="349">
        <v>409</v>
      </c>
      <c r="B420" s="364" t="s">
        <v>10155</v>
      </c>
      <c r="C420" s="365" t="s">
        <v>10156</v>
      </c>
      <c r="D420" s="366" t="s">
        <v>51</v>
      </c>
      <c r="E420" s="366" t="s">
        <v>10082</v>
      </c>
      <c r="F420" s="366" t="s">
        <v>10078</v>
      </c>
      <c r="G420" s="366" t="s">
        <v>10078</v>
      </c>
      <c r="H420" s="366">
        <v>74</v>
      </c>
      <c r="I420" s="364" t="s">
        <v>10701</v>
      </c>
      <c r="J420" s="367" t="s">
        <v>10702</v>
      </c>
      <c r="K420" s="364" t="s">
        <v>10703</v>
      </c>
      <c r="L420" s="366"/>
      <c r="M420" s="366" t="s">
        <v>10084</v>
      </c>
      <c r="N420" s="358"/>
      <c r="O420" s="366" t="s">
        <v>57</v>
      </c>
      <c r="P420" s="368">
        <v>44030000</v>
      </c>
      <c r="Q420" s="369" t="s">
        <v>10704</v>
      </c>
      <c r="R420" s="364" t="s">
        <v>731</v>
      </c>
      <c r="S420" s="340">
        <v>33</v>
      </c>
    </row>
    <row r="421" spans="1:19" ht="47" thickBot="1" x14ac:dyDescent="0.4">
      <c r="A421" s="357">
        <v>410</v>
      </c>
      <c r="B421" s="364" t="s">
        <v>10155</v>
      </c>
      <c r="C421" s="365" t="s">
        <v>10156</v>
      </c>
      <c r="D421" s="366" t="s">
        <v>59</v>
      </c>
      <c r="E421" s="366" t="s">
        <v>10082</v>
      </c>
      <c r="F421" s="366" t="s">
        <v>10078</v>
      </c>
      <c r="G421" s="366" t="s">
        <v>10088</v>
      </c>
      <c r="H421" s="366">
        <v>533</v>
      </c>
      <c r="I421" s="364" t="s">
        <v>10705</v>
      </c>
      <c r="J421" s="367" t="s">
        <v>10626</v>
      </c>
      <c r="K421" s="364"/>
      <c r="L421" s="366"/>
      <c r="M421" s="366"/>
      <c r="N421" s="358"/>
      <c r="O421" s="366" t="s">
        <v>44</v>
      </c>
      <c r="P421" s="368">
        <v>1019705000</v>
      </c>
      <c r="Q421" s="369" t="s">
        <v>10706</v>
      </c>
      <c r="R421" s="364" t="s">
        <v>731</v>
      </c>
      <c r="S421" s="340">
        <v>33</v>
      </c>
    </row>
    <row r="422" spans="1:19" ht="31" x14ac:dyDescent="0.35">
      <c r="A422" s="349">
        <v>411</v>
      </c>
      <c r="B422" s="364" t="s">
        <v>10481</v>
      </c>
      <c r="C422" s="365" t="s">
        <v>10482</v>
      </c>
      <c r="D422" s="366" t="s">
        <v>97</v>
      </c>
      <c r="E422" s="366" t="s">
        <v>10082</v>
      </c>
      <c r="F422" s="366" t="s">
        <v>10078</v>
      </c>
      <c r="G422" s="366" t="s">
        <v>10078</v>
      </c>
      <c r="H422" s="366">
        <v>495</v>
      </c>
      <c r="I422" s="364" t="s">
        <v>10707</v>
      </c>
      <c r="J422" s="367" t="s">
        <v>10676</v>
      </c>
      <c r="K422" s="364" t="s">
        <v>10708</v>
      </c>
      <c r="L422" s="366"/>
      <c r="M422" s="366"/>
      <c r="N422" s="358"/>
      <c r="O422" s="366" t="s">
        <v>44</v>
      </c>
      <c r="P422" s="368">
        <v>298134400</v>
      </c>
      <c r="Q422" s="369" t="s">
        <v>10709</v>
      </c>
      <c r="R422" s="364" t="s">
        <v>731</v>
      </c>
      <c r="S422" s="340">
        <v>33</v>
      </c>
    </row>
    <row r="423" spans="1:19" ht="47" thickBot="1" x14ac:dyDescent="0.4">
      <c r="A423" s="357">
        <v>412</v>
      </c>
      <c r="B423" s="364" t="s">
        <v>10481</v>
      </c>
      <c r="C423" s="365" t="s">
        <v>10482</v>
      </c>
      <c r="D423" s="366" t="s">
        <v>101</v>
      </c>
      <c r="E423" s="366" t="s">
        <v>10082</v>
      </c>
      <c r="F423" s="366" t="s">
        <v>10078</v>
      </c>
      <c r="G423" s="366" t="s">
        <v>10078</v>
      </c>
      <c r="H423" s="366">
        <v>122</v>
      </c>
      <c r="I423" s="364" t="s">
        <v>10701</v>
      </c>
      <c r="J423" s="367" t="s">
        <v>10710</v>
      </c>
      <c r="K423" s="364" t="s">
        <v>10703</v>
      </c>
      <c r="L423" s="366"/>
      <c r="M423" s="366"/>
      <c r="N423" s="358"/>
      <c r="O423" s="366" t="s">
        <v>44</v>
      </c>
      <c r="P423" s="368">
        <v>72590000</v>
      </c>
      <c r="Q423" s="369" t="s">
        <v>10711</v>
      </c>
      <c r="R423" s="364" t="s">
        <v>731</v>
      </c>
      <c r="S423" s="340">
        <v>33</v>
      </c>
    </row>
    <row r="424" spans="1:19" ht="46.5" x14ac:dyDescent="0.35">
      <c r="A424" s="349">
        <v>413</v>
      </c>
      <c r="B424" s="364" t="s">
        <v>10679</v>
      </c>
      <c r="C424" s="365" t="s">
        <v>10680</v>
      </c>
      <c r="D424" s="366" t="s">
        <v>51</v>
      </c>
      <c r="E424" s="366" t="s">
        <v>10082</v>
      </c>
      <c r="F424" s="366" t="s">
        <v>10078</v>
      </c>
      <c r="G424" s="366" t="s">
        <v>10088</v>
      </c>
      <c r="H424" s="366">
        <v>416</v>
      </c>
      <c r="I424" s="364" t="s">
        <v>10705</v>
      </c>
      <c r="J424" s="367" t="s">
        <v>10626</v>
      </c>
      <c r="K424" s="364"/>
      <c r="L424" s="366"/>
      <c r="M424" s="366"/>
      <c r="N424" s="358"/>
      <c r="O424" s="366" t="s">
        <v>44</v>
      </c>
      <c r="P424" s="368">
        <v>932474000</v>
      </c>
      <c r="Q424" s="369" t="s">
        <v>10712</v>
      </c>
      <c r="R424" s="364" t="s">
        <v>731</v>
      </c>
      <c r="S424" s="340">
        <v>33</v>
      </c>
    </row>
    <row r="425" spans="1:19" ht="31.5" thickBot="1" x14ac:dyDescent="0.4">
      <c r="A425" s="357">
        <v>414</v>
      </c>
      <c r="B425" s="364" t="s">
        <v>10682</v>
      </c>
      <c r="C425" s="365" t="s">
        <v>10683</v>
      </c>
      <c r="D425" s="366" t="s">
        <v>51</v>
      </c>
      <c r="E425" s="366" t="s">
        <v>10082</v>
      </c>
      <c r="F425" s="366" t="s">
        <v>10078</v>
      </c>
      <c r="G425" s="366" t="s">
        <v>10088</v>
      </c>
      <c r="H425" s="366">
        <v>902</v>
      </c>
      <c r="I425" s="364" t="s">
        <v>10713</v>
      </c>
      <c r="J425" s="367" t="s">
        <v>10714</v>
      </c>
      <c r="K425" s="364" t="s">
        <v>10715</v>
      </c>
      <c r="L425" s="366"/>
      <c r="M425" s="366" t="s">
        <v>10084</v>
      </c>
      <c r="N425" s="358"/>
      <c r="O425" s="366" t="s">
        <v>57</v>
      </c>
      <c r="P425" s="368">
        <v>2544319000</v>
      </c>
      <c r="Q425" s="369" t="s">
        <v>10716</v>
      </c>
      <c r="R425" s="364" t="s">
        <v>731</v>
      </c>
      <c r="S425" s="340">
        <v>33</v>
      </c>
    </row>
    <row r="426" spans="1:19" ht="46.5" x14ac:dyDescent="0.35">
      <c r="A426" s="349">
        <v>415</v>
      </c>
      <c r="B426" s="364" t="s">
        <v>10717</v>
      </c>
      <c r="C426" s="365" t="s">
        <v>10718</v>
      </c>
      <c r="D426" s="366" t="s">
        <v>51</v>
      </c>
      <c r="E426" s="366" t="s">
        <v>10082</v>
      </c>
      <c r="F426" s="366" t="s">
        <v>10078</v>
      </c>
      <c r="G426" s="366" t="s">
        <v>10078</v>
      </c>
      <c r="H426" s="366">
        <v>266</v>
      </c>
      <c r="I426" s="364" t="s">
        <v>10705</v>
      </c>
      <c r="J426" s="367"/>
      <c r="K426" s="364"/>
      <c r="L426" s="366"/>
      <c r="M426" s="366" t="s">
        <v>10084</v>
      </c>
      <c r="N426" s="358"/>
      <c r="O426" s="366" t="s">
        <v>57</v>
      </c>
      <c r="P426" s="368">
        <v>95625000</v>
      </c>
      <c r="Q426" s="369" t="s">
        <v>10719</v>
      </c>
      <c r="R426" s="364" t="s">
        <v>731</v>
      </c>
      <c r="S426" s="340">
        <v>33</v>
      </c>
    </row>
    <row r="427" spans="1:19" ht="47" thickBot="1" x14ac:dyDescent="0.4">
      <c r="A427" s="357">
        <v>416</v>
      </c>
      <c r="B427" s="364" t="s">
        <v>10720</v>
      </c>
      <c r="C427" s="365" t="s">
        <v>10721</v>
      </c>
      <c r="D427" s="366" t="s">
        <v>51</v>
      </c>
      <c r="E427" s="366" t="s">
        <v>10082</v>
      </c>
      <c r="F427" s="366" t="s">
        <v>10078</v>
      </c>
      <c r="G427" s="366" t="s">
        <v>10078</v>
      </c>
      <c r="H427" s="366">
        <v>270</v>
      </c>
      <c r="I427" s="364" t="s">
        <v>10722</v>
      </c>
      <c r="J427" s="367" t="s">
        <v>10710</v>
      </c>
      <c r="K427" s="364" t="s">
        <v>10703</v>
      </c>
      <c r="L427" s="366"/>
      <c r="M427" s="366" t="s">
        <v>10084</v>
      </c>
      <c r="N427" s="358"/>
      <c r="O427" s="366" t="s">
        <v>57</v>
      </c>
      <c r="P427" s="368">
        <v>160650000</v>
      </c>
      <c r="Q427" s="369" t="s">
        <v>10723</v>
      </c>
      <c r="R427" s="364" t="s">
        <v>731</v>
      </c>
      <c r="S427" s="340">
        <v>33</v>
      </c>
    </row>
    <row r="428" spans="1:19" ht="43.5" x14ac:dyDescent="0.35">
      <c r="A428" s="349">
        <v>417</v>
      </c>
      <c r="B428" s="358" t="s">
        <v>10720</v>
      </c>
      <c r="C428" s="359" t="s">
        <v>10721</v>
      </c>
      <c r="D428" s="360" t="s">
        <v>59</v>
      </c>
      <c r="E428" s="360" t="s">
        <v>10082</v>
      </c>
      <c r="F428" s="360" t="s">
        <v>10078</v>
      </c>
      <c r="G428" s="360" t="s">
        <v>10078</v>
      </c>
      <c r="H428" s="360">
        <v>270</v>
      </c>
      <c r="I428" s="358" t="s">
        <v>10722</v>
      </c>
      <c r="J428" s="361" t="s">
        <v>10710</v>
      </c>
      <c r="K428" s="358" t="s">
        <v>10703</v>
      </c>
      <c r="L428" s="358"/>
      <c r="M428" s="360" t="s">
        <v>10084</v>
      </c>
      <c r="N428" s="358"/>
      <c r="O428" s="360" t="s">
        <v>57</v>
      </c>
      <c r="P428" s="362">
        <v>160650000</v>
      </c>
      <c r="Q428" s="363" t="s">
        <v>10724</v>
      </c>
      <c r="R428" s="364" t="s">
        <v>731</v>
      </c>
      <c r="S428" s="340">
        <v>33</v>
      </c>
    </row>
    <row r="429" spans="1:19" ht="29.5" thickBot="1" x14ac:dyDescent="0.4">
      <c r="A429" s="357">
        <v>418</v>
      </c>
      <c r="B429" s="358" t="s">
        <v>10687</v>
      </c>
      <c r="C429" s="359" t="s">
        <v>10688</v>
      </c>
      <c r="D429" s="360" t="s">
        <v>51</v>
      </c>
      <c r="E429" s="360" t="s">
        <v>10082</v>
      </c>
      <c r="F429" s="360" t="s">
        <v>10078</v>
      </c>
      <c r="G429" s="360" t="s">
        <v>10078</v>
      </c>
      <c r="H429" s="360">
        <v>56</v>
      </c>
      <c r="I429" s="358" t="s">
        <v>10725</v>
      </c>
      <c r="J429" s="361"/>
      <c r="K429" s="358"/>
      <c r="L429" s="358"/>
      <c r="M429" s="360" t="s">
        <v>10084</v>
      </c>
      <c r="N429" s="358"/>
      <c r="O429" s="360" t="s">
        <v>57</v>
      </c>
      <c r="P429" s="362">
        <v>7000000</v>
      </c>
      <c r="Q429" s="363" t="s">
        <v>10726</v>
      </c>
      <c r="R429" s="364" t="s">
        <v>731</v>
      </c>
      <c r="S429" s="340">
        <v>33</v>
      </c>
    </row>
    <row r="430" spans="1:19" ht="43.5" x14ac:dyDescent="0.35">
      <c r="A430" s="349">
        <v>419</v>
      </c>
      <c r="B430" s="358" t="s">
        <v>10085</v>
      </c>
      <c r="C430" s="359" t="s">
        <v>10086</v>
      </c>
      <c r="D430" s="360" t="s">
        <v>51</v>
      </c>
      <c r="E430" s="360" t="s">
        <v>10673</v>
      </c>
      <c r="F430" s="360" t="s">
        <v>10078</v>
      </c>
      <c r="G430" s="360" t="s">
        <v>10078</v>
      </c>
      <c r="H430" s="360">
        <v>342</v>
      </c>
      <c r="I430" s="358" t="s">
        <v>10705</v>
      </c>
      <c r="J430" s="361"/>
      <c r="K430" s="358"/>
      <c r="L430" s="358"/>
      <c r="M430" s="360" t="s">
        <v>10084</v>
      </c>
      <c r="N430" s="358"/>
      <c r="O430" s="360" t="s">
        <v>57</v>
      </c>
      <c r="P430" s="362">
        <v>348455000</v>
      </c>
      <c r="Q430" s="363" t="s">
        <v>10727</v>
      </c>
      <c r="R430" s="364" t="s">
        <v>731</v>
      </c>
      <c r="S430" s="340">
        <v>33</v>
      </c>
    </row>
    <row r="431" spans="1:19" ht="44" thickBot="1" x14ac:dyDescent="0.4">
      <c r="A431" s="357">
        <v>420</v>
      </c>
      <c r="B431" s="358" t="s">
        <v>10085</v>
      </c>
      <c r="C431" s="359" t="s">
        <v>10086</v>
      </c>
      <c r="D431" s="360" t="s">
        <v>59</v>
      </c>
      <c r="E431" s="360" t="s">
        <v>10082</v>
      </c>
      <c r="F431" s="360" t="s">
        <v>10078</v>
      </c>
      <c r="G431" s="360" t="s">
        <v>10088</v>
      </c>
      <c r="H431" s="360">
        <v>204</v>
      </c>
      <c r="I431" s="358" t="s">
        <v>10705</v>
      </c>
      <c r="J431" s="361"/>
      <c r="K431" s="358"/>
      <c r="L431" s="358"/>
      <c r="M431" s="360" t="s">
        <v>10084</v>
      </c>
      <c r="N431" s="358"/>
      <c r="O431" s="360" t="s">
        <v>57</v>
      </c>
      <c r="P431" s="362">
        <v>457271000</v>
      </c>
      <c r="Q431" s="363" t="s">
        <v>10728</v>
      </c>
      <c r="R431" s="364" t="s">
        <v>731</v>
      </c>
      <c r="S431" s="340">
        <v>33</v>
      </c>
    </row>
    <row r="432" spans="1:19" ht="15.5" x14ac:dyDescent="0.35">
      <c r="A432" s="349">
        <v>421</v>
      </c>
      <c r="B432" s="358" t="s">
        <v>10729</v>
      </c>
      <c r="C432" s="359" t="s">
        <v>10730</v>
      </c>
      <c r="D432" s="360" t="s">
        <v>51</v>
      </c>
      <c r="E432" s="360" t="s">
        <v>10082</v>
      </c>
      <c r="F432" s="360" t="s">
        <v>10078</v>
      </c>
      <c r="G432" s="360" t="s">
        <v>10088</v>
      </c>
      <c r="H432" s="360">
        <v>265</v>
      </c>
      <c r="I432" s="358" t="s">
        <v>10713</v>
      </c>
      <c r="J432" s="361" t="s">
        <v>10731</v>
      </c>
      <c r="K432" s="358" t="s">
        <v>10732</v>
      </c>
      <c r="L432" s="358"/>
      <c r="M432" s="360" t="s">
        <v>10084</v>
      </c>
      <c r="N432" s="358"/>
      <c r="O432" s="360" t="s">
        <v>57</v>
      </c>
      <c r="P432" s="362">
        <v>979150000</v>
      </c>
      <c r="Q432" s="363" t="s">
        <v>10733</v>
      </c>
      <c r="R432" s="364" t="s">
        <v>731</v>
      </c>
      <c r="S432" s="340">
        <v>33</v>
      </c>
    </row>
    <row r="433" spans="1:19" ht="29.5" thickBot="1" x14ac:dyDescent="0.4">
      <c r="A433" s="357">
        <v>422</v>
      </c>
      <c r="B433" s="358" t="s">
        <v>10096</v>
      </c>
      <c r="C433" s="359" t="s">
        <v>10097</v>
      </c>
      <c r="D433" s="360" t="s">
        <v>51</v>
      </c>
      <c r="E433" s="360" t="s">
        <v>10082</v>
      </c>
      <c r="F433" s="360" t="s">
        <v>10078</v>
      </c>
      <c r="G433" s="360" t="s">
        <v>10078</v>
      </c>
      <c r="H433" s="360">
        <v>0</v>
      </c>
      <c r="I433" s="358" t="s">
        <v>10734</v>
      </c>
      <c r="J433" s="361" t="s">
        <v>10735</v>
      </c>
      <c r="K433" s="358" t="s">
        <v>10736</v>
      </c>
      <c r="L433" s="358"/>
      <c r="M433" s="360" t="s">
        <v>10084</v>
      </c>
      <c r="N433" s="358"/>
      <c r="O433" s="360" t="s">
        <v>57</v>
      </c>
      <c r="P433" s="362">
        <v>199100000</v>
      </c>
      <c r="Q433" s="363" t="s">
        <v>10737</v>
      </c>
      <c r="R433" s="364" t="s">
        <v>731</v>
      </c>
      <c r="S433" s="340">
        <v>33</v>
      </c>
    </row>
    <row r="434" spans="1:19" ht="43.5" x14ac:dyDescent="0.35">
      <c r="A434" s="349">
        <v>423</v>
      </c>
      <c r="B434" s="358" t="s">
        <v>10096</v>
      </c>
      <c r="C434" s="359" t="s">
        <v>10097</v>
      </c>
      <c r="D434" s="360" t="s">
        <v>59</v>
      </c>
      <c r="E434" s="360" t="s">
        <v>10082</v>
      </c>
      <c r="F434" s="360" t="s">
        <v>10078</v>
      </c>
      <c r="G434" s="360" t="s">
        <v>10088</v>
      </c>
      <c r="H434" s="360">
        <v>1275</v>
      </c>
      <c r="I434" s="358" t="s">
        <v>10738</v>
      </c>
      <c r="J434" s="361" t="s">
        <v>10739</v>
      </c>
      <c r="K434" s="358" t="s">
        <v>10740</v>
      </c>
      <c r="L434" s="358"/>
      <c r="M434" s="360" t="s">
        <v>10084</v>
      </c>
      <c r="N434" s="358"/>
      <c r="O434" s="360" t="s">
        <v>57</v>
      </c>
      <c r="P434" s="362">
        <v>99190000</v>
      </c>
      <c r="Q434" s="363" t="s">
        <v>10741</v>
      </c>
      <c r="R434" s="364" t="s">
        <v>731</v>
      </c>
      <c r="S434" s="340">
        <v>33</v>
      </c>
    </row>
    <row r="435" spans="1:19" ht="29.5" thickBot="1" x14ac:dyDescent="0.4">
      <c r="A435" s="357">
        <v>424</v>
      </c>
      <c r="B435" s="358" t="s">
        <v>10155</v>
      </c>
      <c r="C435" s="359" t="s">
        <v>10156</v>
      </c>
      <c r="D435" s="360" t="s">
        <v>51</v>
      </c>
      <c r="E435" s="360" t="s">
        <v>10082</v>
      </c>
      <c r="F435" s="360" t="s">
        <v>10078</v>
      </c>
      <c r="G435" s="360" t="s">
        <v>10088</v>
      </c>
      <c r="H435" s="360">
        <v>246</v>
      </c>
      <c r="I435" s="358" t="s">
        <v>10742</v>
      </c>
      <c r="J435" s="361" t="s">
        <v>10743</v>
      </c>
      <c r="K435" s="358"/>
      <c r="L435" s="358"/>
      <c r="M435" s="360" t="s">
        <v>10084</v>
      </c>
      <c r="N435" s="358"/>
      <c r="O435" s="360" t="s">
        <v>57</v>
      </c>
      <c r="P435" s="362">
        <v>434775000</v>
      </c>
      <c r="Q435" s="363" t="s">
        <v>10744</v>
      </c>
      <c r="R435" s="364" t="s">
        <v>758</v>
      </c>
      <c r="S435" s="340">
        <v>34</v>
      </c>
    </row>
    <row r="436" spans="1:19" ht="29" x14ac:dyDescent="0.35">
      <c r="A436" s="349">
        <v>425</v>
      </c>
      <c r="B436" s="358" t="s">
        <v>10155</v>
      </c>
      <c r="C436" s="359" t="s">
        <v>10156</v>
      </c>
      <c r="D436" s="360" t="s">
        <v>51</v>
      </c>
      <c r="E436" s="360" t="s">
        <v>10082</v>
      </c>
      <c r="F436" s="360" t="s">
        <v>10078</v>
      </c>
      <c r="G436" s="360" t="s">
        <v>10088</v>
      </c>
      <c r="H436" s="360">
        <v>1631</v>
      </c>
      <c r="I436" s="358" t="s">
        <v>10745</v>
      </c>
      <c r="J436" s="361"/>
      <c r="K436" s="358"/>
      <c r="L436" s="358"/>
      <c r="M436" s="360" t="s">
        <v>10084</v>
      </c>
      <c r="N436" s="358"/>
      <c r="O436" s="360" t="s">
        <v>57</v>
      </c>
      <c r="P436" s="362">
        <v>604944000</v>
      </c>
      <c r="Q436" s="363" t="s">
        <v>10746</v>
      </c>
      <c r="R436" s="364" t="s">
        <v>758</v>
      </c>
      <c r="S436" s="340">
        <v>34</v>
      </c>
    </row>
    <row r="437" spans="1:19" ht="29.5" thickBot="1" x14ac:dyDescent="0.4">
      <c r="A437" s="357">
        <v>426</v>
      </c>
      <c r="B437" s="358" t="s">
        <v>10155</v>
      </c>
      <c r="C437" s="359" t="s">
        <v>10156</v>
      </c>
      <c r="D437" s="360" t="s">
        <v>51</v>
      </c>
      <c r="E437" s="360" t="s">
        <v>10082</v>
      </c>
      <c r="F437" s="360" t="s">
        <v>10078</v>
      </c>
      <c r="G437" s="360" t="s">
        <v>10088</v>
      </c>
      <c r="H437" s="360">
        <v>31</v>
      </c>
      <c r="I437" s="358" t="s">
        <v>10747</v>
      </c>
      <c r="J437" s="361"/>
      <c r="K437" s="358"/>
      <c r="L437" s="358"/>
      <c r="M437" s="360" t="s">
        <v>10084</v>
      </c>
      <c r="N437" s="358"/>
      <c r="O437" s="360" t="s">
        <v>57</v>
      </c>
      <c r="P437" s="362">
        <v>1425137590</v>
      </c>
      <c r="Q437" s="363" t="s">
        <v>10748</v>
      </c>
      <c r="R437" s="364" t="s">
        <v>758</v>
      </c>
      <c r="S437" s="340">
        <v>34</v>
      </c>
    </row>
    <row r="438" spans="1:19" ht="62" x14ac:dyDescent="0.35">
      <c r="A438" s="349">
        <v>427</v>
      </c>
      <c r="B438" s="364" t="s">
        <v>10155</v>
      </c>
      <c r="C438" s="365" t="s">
        <v>10156</v>
      </c>
      <c r="D438" s="366" t="s">
        <v>59</v>
      </c>
      <c r="E438" s="366" t="s">
        <v>10082</v>
      </c>
      <c r="F438" s="366" t="s">
        <v>10078</v>
      </c>
      <c r="G438" s="366" t="s">
        <v>10078</v>
      </c>
      <c r="H438" s="366">
        <v>570</v>
      </c>
      <c r="I438" s="364" t="s">
        <v>10749</v>
      </c>
      <c r="J438" s="367" t="s">
        <v>10750</v>
      </c>
      <c r="K438" s="364" t="s">
        <v>10751</v>
      </c>
      <c r="L438" s="358"/>
      <c r="M438" s="366" t="s">
        <v>10084</v>
      </c>
      <c r="N438" s="358"/>
      <c r="O438" s="366" t="s">
        <v>57</v>
      </c>
      <c r="P438" s="368">
        <v>189000000</v>
      </c>
      <c r="Q438" s="369" t="s">
        <v>10752</v>
      </c>
      <c r="R438" s="364" t="s">
        <v>758</v>
      </c>
      <c r="S438" s="340">
        <v>34</v>
      </c>
    </row>
    <row r="439" spans="1:19" ht="62.5" thickBot="1" x14ac:dyDescent="0.4">
      <c r="A439" s="357">
        <v>428</v>
      </c>
      <c r="B439" s="364" t="s">
        <v>10155</v>
      </c>
      <c r="C439" s="365" t="s">
        <v>10156</v>
      </c>
      <c r="D439" s="366" t="s">
        <v>97</v>
      </c>
      <c r="E439" s="366" t="s">
        <v>10082</v>
      </c>
      <c r="F439" s="366" t="s">
        <v>10078</v>
      </c>
      <c r="G439" s="366" t="s">
        <v>10078</v>
      </c>
      <c r="H439" s="366">
        <v>2345</v>
      </c>
      <c r="I439" s="364" t="s">
        <v>10753</v>
      </c>
      <c r="J439" s="367" t="s">
        <v>10632</v>
      </c>
      <c r="K439" s="364" t="s">
        <v>10754</v>
      </c>
      <c r="L439" s="358"/>
      <c r="M439" s="366" t="s">
        <v>10084</v>
      </c>
      <c r="N439" s="358"/>
      <c r="O439" s="366" t="s">
        <v>57</v>
      </c>
      <c r="P439" s="368">
        <v>227345000</v>
      </c>
      <c r="Q439" s="369" t="s">
        <v>10755</v>
      </c>
      <c r="R439" s="364" t="s">
        <v>758</v>
      </c>
      <c r="S439" s="340">
        <v>34</v>
      </c>
    </row>
    <row r="440" spans="1:19" ht="46.5" x14ac:dyDescent="0.35">
      <c r="A440" s="349">
        <v>429</v>
      </c>
      <c r="B440" s="364" t="s">
        <v>10155</v>
      </c>
      <c r="C440" s="365" t="s">
        <v>10156</v>
      </c>
      <c r="D440" s="366" t="s">
        <v>101</v>
      </c>
      <c r="E440" s="366" t="s">
        <v>10082</v>
      </c>
      <c r="F440" s="366" t="s">
        <v>10078</v>
      </c>
      <c r="G440" s="366" t="s">
        <v>10078</v>
      </c>
      <c r="H440" s="366">
        <v>0</v>
      </c>
      <c r="I440" s="364" t="s">
        <v>10756</v>
      </c>
      <c r="J440" s="361" t="s">
        <v>10757</v>
      </c>
      <c r="K440" s="358" t="s">
        <v>10758</v>
      </c>
      <c r="L440" s="358"/>
      <c r="M440" s="366" t="s">
        <v>10084</v>
      </c>
      <c r="N440" s="358"/>
      <c r="O440" s="360" t="s">
        <v>57</v>
      </c>
      <c r="P440" s="368">
        <v>227376000</v>
      </c>
      <c r="Q440" s="369" t="s">
        <v>10759</v>
      </c>
      <c r="R440" s="364" t="s">
        <v>758</v>
      </c>
      <c r="S440" s="340">
        <v>34</v>
      </c>
    </row>
    <row r="441" spans="1:19" ht="16" thickBot="1" x14ac:dyDescent="0.4">
      <c r="A441" s="357">
        <v>430</v>
      </c>
      <c r="B441" s="364" t="s">
        <v>10650</v>
      </c>
      <c r="C441" s="365" t="s">
        <v>10651</v>
      </c>
      <c r="D441" s="366" t="s">
        <v>51</v>
      </c>
      <c r="E441" s="366" t="s">
        <v>10082</v>
      </c>
      <c r="F441" s="366" t="s">
        <v>10078</v>
      </c>
      <c r="G441" s="366" t="s">
        <v>10088</v>
      </c>
      <c r="H441" s="366"/>
      <c r="I441" s="364" t="s">
        <v>63</v>
      </c>
      <c r="J441" s="367" t="s">
        <v>10760</v>
      </c>
      <c r="K441" s="364" t="s">
        <v>10761</v>
      </c>
      <c r="L441" s="358"/>
      <c r="M441" s="366"/>
      <c r="N441" s="358"/>
      <c r="O441" s="360" t="s">
        <v>44</v>
      </c>
      <c r="P441" s="368">
        <v>126183000</v>
      </c>
      <c r="Q441" s="369" t="s">
        <v>10762</v>
      </c>
      <c r="R441" s="364" t="s">
        <v>758</v>
      </c>
      <c r="S441" s="340">
        <v>34</v>
      </c>
    </row>
    <row r="442" spans="1:19" ht="15.5" x14ac:dyDescent="0.35">
      <c r="A442" s="349">
        <v>431</v>
      </c>
      <c r="B442" s="364" t="s">
        <v>10650</v>
      </c>
      <c r="C442" s="365" t="s">
        <v>10651</v>
      </c>
      <c r="D442" s="366" t="s">
        <v>59</v>
      </c>
      <c r="E442" s="366" t="s">
        <v>10082</v>
      </c>
      <c r="F442" s="366"/>
      <c r="G442" s="366"/>
      <c r="H442" s="366">
        <v>30</v>
      </c>
      <c r="I442" s="364" t="s">
        <v>63</v>
      </c>
      <c r="J442" s="367" t="s">
        <v>10763</v>
      </c>
      <c r="K442" s="364" t="s">
        <v>10764</v>
      </c>
      <c r="L442" s="358"/>
      <c r="M442" s="366"/>
      <c r="N442" s="358"/>
      <c r="O442" s="360" t="s">
        <v>44</v>
      </c>
      <c r="P442" s="368">
        <v>171719100</v>
      </c>
      <c r="Q442" s="369" t="s">
        <v>10762</v>
      </c>
      <c r="R442" s="364" t="s">
        <v>758</v>
      </c>
      <c r="S442" s="340">
        <v>34</v>
      </c>
    </row>
    <row r="443" spans="1:19" ht="31.5" thickBot="1" x14ac:dyDescent="0.4">
      <c r="A443" s="357">
        <v>432</v>
      </c>
      <c r="B443" s="364" t="s">
        <v>10765</v>
      </c>
      <c r="C443" s="365" t="s">
        <v>10766</v>
      </c>
      <c r="D443" s="366" t="s">
        <v>51</v>
      </c>
      <c r="E443" s="366" t="s">
        <v>10082</v>
      </c>
      <c r="F443" s="366" t="s">
        <v>10078</v>
      </c>
      <c r="G443" s="366" t="s">
        <v>10088</v>
      </c>
      <c r="H443" s="366">
        <v>540</v>
      </c>
      <c r="I443" s="364" t="s">
        <v>10747</v>
      </c>
      <c r="J443" s="361" t="s">
        <v>10767</v>
      </c>
      <c r="K443" s="364" t="s">
        <v>10768</v>
      </c>
      <c r="L443" s="358"/>
      <c r="M443" s="366" t="s">
        <v>10084</v>
      </c>
      <c r="N443" s="358"/>
      <c r="O443" s="360" t="s">
        <v>57</v>
      </c>
      <c r="P443" s="368">
        <v>67300000</v>
      </c>
      <c r="Q443" s="369" t="s">
        <v>10769</v>
      </c>
      <c r="R443" s="364" t="s">
        <v>758</v>
      </c>
      <c r="S443" s="340">
        <v>34</v>
      </c>
    </row>
    <row r="444" spans="1:19" ht="31" x14ac:dyDescent="0.35">
      <c r="A444" s="349">
        <v>433</v>
      </c>
      <c r="B444" s="364" t="s">
        <v>10770</v>
      </c>
      <c r="C444" s="365" t="s">
        <v>10771</v>
      </c>
      <c r="D444" s="366" t="s">
        <v>51</v>
      </c>
      <c r="E444" s="366" t="s">
        <v>10082</v>
      </c>
      <c r="F444" s="366" t="s">
        <v>10078</v>
      </c>
      <c r="G444" s="366" t="s">
        <v>10078</v>
      </c>
      <c r="H444" s="366">
        <v>36</v>
      </c>
      <c r="I444" s="364" t="s">
        <v>9036</v>
      </c>
      <c r="J444" s="367" t="s">
        <v>10743</v>
      </c>
      <c r="K444" s="364" t="s">
        <v>10772</v>
      </c>
      <c r="L444" s="358"/>
      <c r="M444" s="366" t="s">
        <v>10084</v>
      </c>
      <c r="N444" s="358"/>
      <c r="O444" s="360" t="s">
        <v>422</v>
      </c>
      <c r="P444" s="368">
        <v>39600000</v>
      </c>
      <c r="Q444" s="369" t="s">
        <v>9039</v>
      </c>
      <c r="R444" s="364" t="s">
        <v>758</v>
      </c>
      <c r="S444" s="340">
        <v>34</v>
      </c>
    </row>
    <row r="445" spans="1:19" ht="31.5" thickBot="1" x14ac:dyDescent="0.4">
      <c r="A445" s="357">
        <v>434</v>
      </c>
      <c r="B445" s="364" t="s">
        <v>10096</v>
      </c>
      <c r="C445" s="365" t="s">
        <v>10097</v>
      </c>
      <c r="D445" s="366" t="s">
        <v>51</v>
      </c>
      <c r="E445" s="366" t="s">
        <v>10082</v>
      </c>
      <c r="F445" s="366" t="s">
        <v>10078</v>
      </c>
      <c r="G445" s="366" t="s">
        <v>10088</v>
      </c>
      <c r="H445" s="366">
        <v>64</v>
      </c>
      <c r="I445" s="364" t="s">
        <v>10773</v>
      </c>
      <c r="J445" s="367" t="s">
        <v>10774</v>
      </c>
      <c r="K445" s="364" t="s">
        <v>10775</v>
      </c>
      <c r="L445" s="358"/>
      <c r="M445" s="366" t="s">
        <v>10084</v>
      </c>
      <c r="N445" s="358"/>
      <c r="O445" s="360" t="s">
        <v>57</v>
      </c>
      <c r="P445" s="368">
        <v>192900000</v>
      </c>
      <c r="Q445" s="369" t="s">
        <v>10776</v>
      </c>
      <c r="R445" s="364" t="s">
        <v>758</v>
      </c>
      <c r="S445" s="340">
        <v>34</v>
      </c>
    </row>
    <row r="446" spans="1:19" ht="15.5" x14ac:dyDescent="0.35">
      <c r="A446" s="349">
        <v>435</v>
      </c>
      <c r="B446" s="364" t="s">
        <v>10096</v>
      </c>
      <c r="C446" s="365" t="s">
        <v>10097</v>
      </c>
      <c r="D446" s="366" t="s">
        <v>59</v>
      </c>
      <c r="E446" s="366" t="s">
        <v>10082</v>
      </c>
      <c r="F446" s="366" t="s">
        <v>10078</v>
      </c>
      <c r="G446" s="366" t="s">
        <v>10088</v>
      </c>
      <c r="H446" s="366">
        <v>80</v>
      </c>
      <c r="I446" s="364" t="s">
        <v>10471</v>
      </c>
      <c r="J446" s="367" t="s">
        <v>10777</v>
      </c>
      <c r="K446" s="364" t="s">
        <v>10778</v>
      </c>
      <c r="L446" s="358"/>
      <c r="M446" s="366" t="s">
        <v>10084</v>
      </c>
      <c r="N446" s="358"/>
      <c r="O446" s="360" t="s">
        <v>57</v>
      </c>
      <c r="P446" s="368">
        <v>99100000</v>
      </c>
      <c r="Q446" s="369" t="s">
        <v>10779</v>
      </c>
      <c r="R446" s="364" t="s">
        <v>758</v>
      </c>
      <c r="S446" s="340">
        <v>34</v>
      </c>
    </row>
    <row r="447" spans="1:19" ht="16" thickBot="1" x14ac:dyDescent="0.4">
      <c r="A447" s="357">
        <v>436</v>
      </c>
      <c r="B447" s="364" t="s">
        <v>10096</v>
      </c>
      <c r="C447" s="365" t="s">
        <v>10097</v>
      </c>
      <c r="D447" s="366" t="s">
        <v>97</v>
      </c>
      <c r="E447" s="366" t="s">
        <v>10082</v>
      </c>
      <c r="F447" s="366" t="s">
        <v>10078</v>
      </c>
      <c r="G447" s="366" t="s">
        <v>10088</v>
      </c>
      <c r="H447" s="366">
        <v>80</v>
      </c>
      <c r="I447" s="364" t="s">
        <v>10471</v>
      </c>
      <c r="J447" s="361" t="s">
        <v>10780</v>
      </c>
      <c r="K447" s="364" t="s">
        <v>10781</v>
      </c>
      <c r="L447" s="358"/>
      <c r="M447" s="366" t="s">
        <v>10084</v>
      </c>
      <c r="N447" s="358"/>
      <c r="O447" s="360" t="s">
        <v>57</v>
      </c>
      <c r="P447" s="368">
        <v>99250000</v>
      </c>
      <c r="Q447" s="369" t="s">
        <v>10782</v>
      </c>
      <c r="R447" s="364" t="s">
        <v>758</v>
      </c>
      <c r="S447" s="340">
        <v>34</v>
      </c>
    </row>
    <row r="448" spans="1:19" ht="15.5" x14ac:dyDescent="0.35">
      <c r="A448" s="349">
        <v>437</v>
      </c>
      <c r="B448" s="364" t="s">
        <v>10096</v>
      </c>
      <c r="C448" s="365" t="s">
        <v>10097</v>
      </c>
      <c r="D448" s="366" t="s">
        <v>101</v>
      </c>
      <c r="E448" s="366" t="s">
        <v>10082</v>
      </c>
      <c r="F448" s="366" t="s">
        <v>10078</v>
      </c>
      <c r="G448" s="366" t="s">
        <v>10088</v>
      </c>
      <c r="H448" s="366">
        <v>181</v>
      </c>
      <c r="I448" s="364" t="s">
        <v>10783</v>
      </c>
      <c r="J448" s="367" t="s">
        <v>10784</v>
      </c>
      <c r="K448" s="364" t="s">
        <v>10785</v>
      </c>
      <c r="L448" s="358"/>
      <c r="M448" s="366" t="s">
        <v>10084</v>
      </c>
      <c r="N448" s="358"/>
      <c r="O448" s="360" t="s">
        <v>57</v>
      </c>
      <c r="P448" s="368">
        <v>456671000</v>
      </c>
      <c r="Q448" s="369" t="s">
        <v>10786</v>
      </c>
      <c r="R448" s="364" t="s">
        <v>758</v>
      </c>
      <c r="S448" s="340">
        <v>34</v>
      </c>
    </row>
    <row r="449" spans="1:19" ht="16" thickBot="1" x14ac:dyDescent="0.4">
      <c r="A449" s="357">
        <v>438</v>
      </c>
      <c r="B449" s="364" t="s">
        <v>10787</v>
      </c>
      <c r="C449" s="365" t="s">
        <v>10788</v>
      </c>
      <c r="D449" s="366" t="s">
        <v>51</v>
      </c>
      <c r="E449" s="366" t="s">
        <v>10082</v>
      </c>
      <c r="F449" s="366" t="s">
        <v>10078</v>
      </c>
      <c r="G449" s="366" t="s">
        <v>10078</v>
      </c>
      <c r="H449" s="366">
        <v>0</v>
      </c>
      <c r="I449" s="364" t="s">
        <v>63</v>
      </c>
      <c r="J449" s="367" t="s">
        <v>10789</v>
      </c>
      <c r="K449" s="364" t="s">
        <v>10790</v>
      </c>
      <c r="L449" s="358"/>
      <c r="M449" s="366" t="s">
        <v>10084</v>
      </c>
      <c r="N449" s="358"/>
      <c r="O449" s="360" t="s">
        <v>57</v>
      </c>
      <c r="P449" s="368">
        <v>249500</v>
      </c>
      <c r="Q449" s="369" t="s">
        <v>10791</v>
      </c>
      <c r="R449" s="364" t="s">
        <v>758</v>
      </c>
      <c r="S449" s="340">
        <v>34</v>
      </c>
    </row>
    <row r="450" spans="1:19" ht="15.5" x14ac:dyDescent="0.35">
      <c r="A450" s="349">
        <v>439</v>
      </c>
      <c r="B450" s="364" t="s">
        <v>10787</v>
      </c>
      <c r="C450" s="365" t="s">
        <v>10788</v>
      </c>
      <c r="D450" s="366" t="s">
        <v>59</v>
      </c>
      <c r="E450" s="366" t="s">
        <v>10082</v>
      </c>
      <c r="F450" s="366" t="s">
        <v>10078</v>
      </c>
      <c r="G450" s="366" t="s">
        <v>10078</v>
      </c>
      <c r="H450" s="366">
        <v>0</v>
      </c>
      <c r="I450" s="364" t="s">
        <v>63</v>
      </c>
      <c r="J450" s="367" t="s">
        <v>10789</v>
      </c>
      <c r="K450" s="364" t="s">
        <v>10790</v>
      </c>
      <c r="L450" s="358"/>
      <c r="M450" s="366" t="s">
        <v>10084</v>
      </c>
      <c r="N450" s="358"/>
      <c r="O450" s="360" t="s">
        <v>57</v>
      </c>
      <c r="P450" s="368">
        <v>249500</v>
      </c>
      <c r="Q450" s="369" t="s">
        <v>10791</v>
      </c>
      <c r="R450" s="364" t="s">
        <v>758</v>
      </c>
      <c r="S450" s="340">
        <v>34</v>
      </c>
    </row>
    <row r="451" spans="1:19" ht="16" thickBot="1" x14ac:dyDescent="0.4">
      <c r="A451" s="357">
        <v>440</v>
      </c>
      <c r="B451" s="364" t="s">
        <v>10787</v>
      </c>
      <c r="C451" s="365" t="s">
        <v>10788</v>
      </c>
      <c r="D451" s="366" t="s">
        <v>97</v>
      </c>
      <c r="E451" s="366" t="s">
        <v>10082</v>
      </c>
      <c r="F451" s="366" t="s">
        <v>10078</v>
      </c>
      <c r="G451" s="366" t="s">
        <v>10078</v>
      </c>
      <c r="H451" s="366">
        <v>0</v>
      </c>
      <c r="I451" s="364" t="s">
        <v>63</v>
      </c>
      <c r="J451" s="367" t="s">
        <v>10789</v>
      </c>
      <c r="K451" s="364" t="s">
        <v>10790</v>
      </c>
      <c r="L451" s="358"/>
      <c r="M451" s="366" t="s">
        <v>10084</v>
      </c>
      <c r="N451" s="358"/>
      <c r="O451" s="360" t="s">
        <v>57</v>
      </c>
      <c r="P451" s="368">
        <v>249500</v>
      </c>
      <c r="Q451" s="369" t="s">
        <v>10791</v>
      </c>
      <c r="R451" s="364" t="s">
        <v>758</v>
      </c>
      <c r="S451" s="340">
        <v>34</v>
      </c>
    </row>
    <row r="452" spans="1:19" ht="15.5" x14ac:dyDescent="0.35">
      <c r="A452" s="349">
        <v>441</v>
      </c>
      <c r="B452" s="364" t="s">
        <v>10787</v>
      </c>
      <c r="C452" s="365" t="s">
        <v>10788</v>
      </c>
      <c r="D452" s="366" t="s">
        <v>101</v>
      </c>
      <c r="E452" s="366" t="s">
        <v>10082</v>
      </c>
      <c r="F452" s="366" t="s">
        <v>10078</v>
      </c>
      <c r="G452" s="366" t="s">
        <v>10078</v>
      </c>
      <c r="H452" s="366">
        <v>0</v>
      </c>
      <c r="I452" s="364" t="s">
        <v>63</v>
      </c>
      <c r="J452" s="367" t="s">
        <v>10789</v>
      </c>
      <c r="K452" s="364" t="s">
        <v>10790</v>
      </c>
      <c r="L452" s="358"/>
      <c r="M452" s="366" t="s">
        <v>10084</v>
      </c>
      <c r="N452" s="358"/>
      <c r="O452" s="360" t="s">
        <v>57</v>
      </c>
      <c r="P452" s="368">
        <v>249500</v>
      </c>
      <c r="Q452" s="369" t="s">
        <v>10791</v>
      </c>
      <c r="R452" s="364" t="s">
        <v>758</v>
      </c>
      <c r="S452" s="340">
        <v>34</v>
      </c>
    </row>
    <row r="453" spans="1:19" ht="16" thickBot="1" x14ac:dyDescent="0.4">
      <c r="A453" s="357">
        <v>442</v>
      </c>
      <c r="B453" s="364" t="s">
        <v>10787</v>
      </c>
      <c r="C453" s="365" t="s">
        <v>10788</v>
      </c>
      <c r="D453" s="366" t="s">
        <v>107</v>
      </c>
      <c r="E453" s="366" t="s">
        <v>10082</v>
      </c>
      <c r="F453" s="366" t="s">
        <v>10078</v>
      </c>
      <c r="G453" s="366" t="s">
        <v>10078</v>
      </c>
      <c r="H453" s="366">
        <v>0</v>
      </c>
      <c r="I453" s="364" t="s">
        <v>63</v>
      </c>
      <c r="J453" s="367" t="s">
        <v>10789</v>
      </c>
      <c r="K453" s="364" t="s">
        <v>10790</v>
      </c>
      <c r="L453" s="358"/>
      <c r="M453" s="366" t="s">
        <v>10084</v>
      </c>
      <c r="N453" s="358"/>
      <c r="O453" s="360" t="s">
        <v>57</v>
      </c>
      <c r="P453" s="368">
        <v>249500</v>
      </c>
      <c r="Q453" s="369" t="s">
        <v>10791</v>
      </c>
      <c r="R453" s="364" t="s">
        <v>758</v>
      </c>
      <c r="S453" s="340">
        <v>34</v>
      </c>
    </row>
    <row r="454" spans="1:19" ht="15.5" x14ac:dyDescent="0.35">
      <c r="A454" s="349">
        <v>443</v>
      </c>
      <c r="B454" s="364" t="s">
        <v>10787</v>
      </c>
      <c r="C454" s="365" t="s">
        <v>10788</v>
      </c>
      <c r="D454" s="366" t="s">
        <v>112</v>
      </c>
      <c r="E454" s="366" t="s">
        <v>10082</v>
      </c>
      <c r="F454" s="366" t="s">
        <v>10078</v>
      </c>
      <c r="G454" s="366" t="s">
        <v>10078</v>
      </c>
      <c r="H454" s="366">
        <v>0</v>
      </c>
      <c r="I454" s="364" t="s">
        <v>63</v>
      </c>
      <c r="J454" s="367" t="s">
        <v>10789</v>
      </c>
      <c r="K454" s="364" t="s">
        <v>10790</v>
      </c>
      <c r="L454" s="358"/>
      <c r="M454" s="366" t="s">
        <v>10084</v>
      </c>
      <c r="N454" s="358"/>
      <c r="O454" s="360" t="s">
        <v>57</v>
      </c>
      <c r="P454" s="368">
        <v>249500</v>
      </c>
      <c r="Q454" s="369" t="s">
        <v>10791</v>
      </c>
      <c r="R454" s="364" t="s">
        <v>758</v>
      </c>
      <c r="S454" s="340">
        <v>34</v>
      </c>
    </row>
    <row r="455" spans="1:19" ht="16" thickBot="1" x14ac:dyDescent="0.4">
      <c r="A455" s="357">
        <v>444</v>
      </c>
      <c r="B455" s="364" t="s">
        <v>10787</v>
      </c>
      <c r="C455" s="365" t="s">
        <v>10788</v>
      </c>
      <c r="D455" s="366" t="s">
        <v>116</v>
      </c>
      <c r="E455" s="366" t="s">
        <v>10082</v>
      </c>
      <c r="F455" s="366" t="s">
        <v>10078</v>
      </c>
      <c r="G455" s="366" t="s">
        <v>10078</v>
      </c>
      <c r="H455" s="366">
        <v>0</v>
      </c>
      <c r="I455" s="364" t="s">
        <v>63</v>
      </c>
      <c r="J455" s="367" t="s">
        <v>10789</v>
      </c>
      <c r="K455" s="364" t="s">
        <v>10790</v>
      </c>
      <c r="L455" s="358"/>
      <c r="M455" s="366" t="s">
        <v>10084</v>
      </c>
      <c r="N455" s="358"/>
      <c r="O455" s="366" t="s">
        <v>57</v>
      </c>
      <c r="P455" s="368">
        <v>249500</v>
      </c>
      <c r="Q455" s="369" t="s">
        <v>10791</v>
      </c>
      <c r="R455" s="364" t="s">
        <v>758</v>
      </c>
      <c r="S455" s="340">
        <v>34</v>
      </c>
    </row>
    <row r="456" spans="1:19" ht="15.5" x14ac:dyDescent="0.35">
      <c r="A456" s="349">
        <v>445</v>
      </c>
      <c r="B456" s="364" t="s">
        <v>10787</v>
      </c>
      <c r="C456" s="365" t="s">
        <v>10788</v>
      </c>
      <c r="D456" s="366" t="s">
        <v>841</v>
      </c>
      <c r="E456" s="366" t="s">
        <v>10082</v>
      </c>
      <c r="F456" s="366" t="s">
        <v>10078</v>
      </c>
      <c r="G456" s="366" t="s">
        <v>10078</v>
      </c>
      <c r="H456" s="366">
        <v>0</v>
      </c>
      <c r="I456" s="364" t="s">
        <v>63</v>
      </c>
      <c r="J456" s="367" t="s">
        <v>10789</v>
      </c>
      <c r="K456" s="364" t="s">
        <v>10790</v>
      </c>
      <c r="L456" s="358"/>
      <c r="M456" s="366" t="s">
        <v>10084</v>
      </c>
      <c r="N456" s="358"/>
      <c r="O456" s="366" t="s">
        <v>57</v>
      </c>
      <c r="P456" s="368">
        <v>249500</v>
      </c>
      <c r="Q456" s="369" t="s">
        <v>10791</v>
      </c>
      <c r="R456" s="364" t="s">
        <v>758</v>
      </c>
      <c r="S456" s="340">
        <v>34</v>
      </c>
    </row>
    <row r="457" spans="1:19" ht="16" thickBot="1" x14ac:dyDescent="0.4">
      <c r="A457" s="357">
        <v>446</v>
      </c>
      <c r="B457" s="364" t="s">
        <v>10787</v>
      </c>
      <c r="C457" s="365" t="s">
        <v>10788</v>
      </c>
      <c r="D457" s="366" t="s">
        <v>904</v>
      </c>
      <c r="E457" s="366" t="s">
        <v>10082</v>
      </c>
      <c r="F457" s="366" t="s">
        <v>10078</v>
      </c>
      <c r="G457" s="366" t="s">
        <v>10078</v>
      </c>
      <c r="H457" s="366">
        <v>0</v>
      </c>
      <c r="I457" s="364" t="s">
        <v>63</v>
      </c>
      <c r="J457" s="367" t="s">
        <v>10789</v>
      </c>
      <c r="K457" s="364" t="s">
        <v>10790</v>
      </c>
      <c r="L457" s="358"/>
      <c r="M457" s="366" t="s">
        <v>10084</v>
      </c>
      <c r="N457" s="358"/>
      <c r="O457" s="366" t="s">
        <v>57</v>
      </c>
      <c r="P457" s="368">
        <v>249500</v>
      </c>
      <c r="Q457" s="369" t="s">
        <v>10791</v>
      </c>
      <c r="R457" s="364" t="s">
        <v>758</v>
      </c>
      <c r="S457" s="340">
        <v>34</v>
      </c>
    </row>
    <row r="458" spans="1:19" ht="15.5" x14ac:dyDescent="0.35">
      <c r="A458" s="349">
        <v>447</v>
      </c>
      <c r="B458" s="364" t="s">
        <v>10787</v>
      </c>
      <c r="C458" s="365" t="s">
        <v>10788</v>
      </c>
      <c r="D458" s="366" t="s">
        <v>122</v>
      </c>
      <c r="E458" s="366" t="s">
        <v>10082</v>
      </c>
      <c r="F458" s="366" t="s">
        <v>10078</v>
      </c>
      <c r="G458" s="366" t="s">
        <v>10078</v>
      </c>
      <c r="H458" s="366">
        <v>0</v>
      </c>
      <c r="I458" s="364" t="s">
        <v>63</v>
      </c>
      <c r="J458" s="367" t="s">
        <v>10789</v>
      </c>
      <c r="K458" s="364" t="s">
        <v>10790</v>
      </c>
      <c r="L458" s="358"/>
      <c r="M458" s="366" t="s">
        <v>10084</v>
      </c>
      <c r="N458" s="358"/>
      <c r="O458" s="366" t="s">
        <v>57</v>
      </c>
      <c r="P458" s="368">
        <v>249500</v>
      </c>
      <c r="Q458" s="369" t="s">
        <v>10791</v>
      </c>
      <c r="R458" s="364" t="s">
        <v>758</v>
      </c>
      <c r="S458" s="340">
        <v>34</v>
      </c>
    </row>
    <row r="459" spans="1:19" ht="16" thickBot="1" x14ac:dyDescent="0.4">
      <c r="A459" s="357">
        <v>448</v>
      </c>
      <c r="B459" s="364" t="s">
        <v>10787</v>
      </c>
      <c r="C459" s="365" t="s">
        <v>10788</v>
      </c>
      <c r="D459" s="366" t="s">
        <v>126</v>
      </c>
      <c r="E459" s="366" t="s">
        <v>10082</v>
      </c>
      <c r="F459" s="366" t="s">
        <v>10078</v>
      </c>
      <c r="G459" s="366" t="s">
        <v>10078</v>
      </c>
      <c r="H459" s="366">
        <v>0</v>
      </c>
      <c r="I459" s="364" t="s">
        <v>63</v>
      </c>
      <c r="J459" s="367" t="s">
        <v>10789</v>
      </c>
      <c r="K459" s="364" t="s">
        <v>10790</v>
      </c>
      <c r="L459" s="358"/>
      <c r="M459" s="366" t="s">
        <v>10084</v>
      </c>
      <c r="N459" s="358"/>
      <c r="O459" s="366" t="s">
        <v>57</v>
      </c>
      <c r="P459" s="368">
        <v>249500</v>
      </c>
      <c r="Q459" s="369" t="s">
        <v>10791</v>
      </c>
      <c r="R459" s="364" t="s">
        <v>758</v>
      </c>
      <c r="S459" s="340">
        <v>34</v>
      </c>
    </row>
    <row r="460" spans="1:19" ht="15.5" x14ac:dyDescent="0.35">
      <c r="A460" s="349">
        <v>449</v>
      </c>
      <c r="B460" s="364" t="s">
        <v>10787</v>
      </c>
      <c r="C460" s="365" t="s">
        <v>10788</v>
      </c>
      <c r="D460" s="366" t="s">
        <v>132</v>
      </c>
      <c r="E460" s="366" t="s">
        <v>10082</v>
      </c>
      <c r="F460" s="366" t="s">
        <v>10078</v>
      </c>
      <c r="G460" s="366" t="s">
        <v>10078</v>
      </c>
      <c r="H460" s="366">
        <v>0</v>
      </c>
      <c r="I460" s="364" t="s">
        <v>63</v>
      </c>
      <c r="J460" s="367" t="s">
        <v>10789</v>
      </c>
      <c r="K460" s="364" t="s">
        <v>10790</v>
      </c>
      <c r="L460" s="358"/>
      <c r="M460" s="366" t="s">
        <v>10084</v>
      </c>
      <c r="N460" s="358"/>
      <c r="O460" s="366" t="s">
        <v>57</v>
      </c>
      <c r="P460" s="368">
        <v>249500</v>
      </c>
      <c r="Q460" s="369" t="s">
        <v>10791</v>
      </c>
      <c r="R460" s="364" t="s">
        <v>758</v>
      </c>
      <c r="S460" s="340">
        <v>34</v>
      </c>
    </row>
    <row r="461" spans="1:19" ht="16" thickBot="1" x14ac:dyDescent="0.4">
      <c r="A461" s="357">
        <v>450</v>
      </c>
      <c r="B461" s="364" t="s">
        <v>10787</v>
      </c>
      <c r="C461" s="365" t="s">
        <v>10788</v>
      </c>
      <c r="D461" s="366" t="s">
        <v>137</v>
      </c>
      <c r="E461" s="366" t="s">
        <v>10082</v>
      </c>
      <c r="F461" s="366" t="s">
        <v>10078</v>
      </c>
      <c r="G461" s="366" t="s">
        <v>10078</v>
      </c>
      <c r="H461" s="366">
        <v>0</v>
      </c>
      <c r="I461" s="364" t="s">
        <v>63</v>
      </c>
      <c r="J461" s="367" t="s">
        <v>10789</v>
      </c>
      <c r="K461" s="364" t="s">
        <v>10790</v>
      </c>
      <c r="L461" s="358"/>
      <c r="M461" s="366" t="s">
        <v>10084</v>
      </c>
      <c r="N461" s="358"/>
      <c r="O461" s="366" t="s">
        <v>57</v>
      </c>
      <c r="P461" s="368">
        <v>249500</v>
      </c>
      <c r="Q461" s="369" t="s">
        <v>10791</v>
      </c>
      <c r="R461" s="364" t="s">
        <v>758</v>
      </c>
      <c r="S461" s="340">
        <v>34</v>
      </c>
    </row>
    <row r="462" spans="1:19" ht="15.5" x14ac:dyDescent="0.35">
      <c r="A462" s="349">
        <v>451</v>
      </c>
      <c r="B462" s="364" t="s">
        <v>10787</v>
      </c>
      <c r="C462" s="365" t="s">
        <v>10788</v>
      </c>
      <c r="D462" s="366" t="s">
        <v>146</v>
      </c>
      <c r="E462" s="366" t="s">
        <v>10082</v>
      </c>
      <c r="F462" s="366" t="s">
        <v>10078</v>
      </c>
      <c r="G462" s="366" t="s">
        <v>10078</v>
      </c>
      <c r="H462" s="366">
        <v>0</v>
      </c>
      <c r="I462" s="364" t="s">
        <v>63</v>
      </c>
      <c r="J462" s="367" t="s">
        <v>10789</v>
      </c>
      <c r="K462" s="364" t="s">
        <v>10790</v>
      </c>
      <c r="L462" s="358"/>
      <c r="M462" s="366" t="s">
        <v>10084</v>
      </c>
      <c r="N462" s="358"/>
      <c r="O462" s="366" t="s">
        <v>57</v>
      </c>
      <c r="P462" s="368">
        <v>249500</v>
      </c>
      <c r="Q462" s="369" t="s">
        <v>10791</v>
      </c>
      <c r="R462" s="364" t="s">
        <v>758</v>
      </c>
      <c r="S462" s="340">
        <v>34</v>
      </c>
    </row>
    <row r="463" spans="1:19" ht="16" thickBot="1" x14ac:dyDescent="0.4">
      <c r="A463" s="357">
        <v>452</v>
      </c>
      <c r="B463" s="364" t="s">
        <v>10787</v>
      </c>
      <c r="C463" s="365" t="s">
        <v>10788</v>
      </c>
      <c r="D463" s="366" t="s">
        <v>154</v>
      </c>
      <c r="E463" s="366" t="s">
        <v>10082</v>
      </c>
      <c r="F463" s="366" t="s">
        <v>10078</v>
      </c>
      <c r="G463" s="366" t="s">
        <v>10078</v>
      </c>
      <c r="H463" s="366">
        <v>0</v>
      </c>
      <c r="I463" s="364" t="s">
        <v>63</v>
      </c>
      <c r="J463" s="367" t="s">
        <v>10789</v>
      </c>
      <c r="K463" s="364" t="s">
        <v>10790</v>
      </c>
      <c r="L463" s="358"/>
      <c r="M463" s="366" t="s">
        <v>10084</v>
      </c>
      <c r="N463" s="358"/>
      <c r="O463" s="366" t="s">
        <v>57</v>
      </c>
      <c r="P463" s="368">
        <v>249500</v>
      </c>
      <c r="Q463" s="369" t="s">
        <v>10791</v>
      </c>
      <c r="R463" s="364" t="s">
        <v>758</v>
      </c>
      <c r="S463" s="340">
        <v>34</v>
      </c>
    </row>
    <row r="464" spans="1:19" ht="15.5" x14ac:dyDescent="0.35">
      <c r="A464" s="349">
        <v>453</v>
      </c>
      <c r="B464" s="364" t="s">
        <v>10787</v>
      </c>
      <c r="C464" s="365" t="s">
        <v>10788</v>
      </c>
      <c r="D464" s="366" t="s">
        <v>161</v>
      </c>
      <c r="E464" s="366" t="s">
        <v>10082</v>
      </c>
      <c r="F464" s="366" t="s">
        <v>10078</v>
      </c>
      <c r="G464" s="366" t="s">
        <v>10078</v>
      </c>
      <c r="H464" s="366">
        <v>0</v>
      </c>
      <c r="I464" s="364" t="s">
        <v>63</v>
      </c>
      <c r="J464" s="367" t="s">
        <v>10789</v>
      </c>
      <c r="K464" s="364" t="s">
        <v>10790</v>
      </c>
      <c r="L464" s="358"/>
      <c r="M464" s="366" t="s">
        <v>10084</v>
      </c>
      <c r="N464" s="358"/>
      <c r="O464" s="366" t="s">
        <v>57</v>
      </c>
      <c r="P464" s="368">
        <v>249500</v>
      </c>
      <c r="Q464" s="363" t="s">
        <v>10791</v>
      </c>
      <c r="R464" s="364" t="s">
        <v>758</v>
      </c>
      <c r="S464" s="340">
        <v>34</v>
      </c>
    </row>
    <row r="465" spans="1:19" ht="16" thickBot="1" x14ac:dyDescent="0.4">
      <c r="A465" s="357">
        <v>454</v>
      </c>
      <c r="B465" s="364" t="s">
        <v>10787</v>
      </c>
      <c r="C465" s="365" t="s">
        <v>10788</v>
      </c>
      <c r="D465" s="366" t="s">
        <v>169</v>
      </c>
      <c r="E465" s="366" t="s">
        <v>10082</v>
      </c>
      <c r="F465" s="366" t="s">
        <v>10078</v>
      </c>
      <c r="G465" s="366" t="s">
        <v>10078</v>
      </c>
      <c r="H465" s="366">
        <v>0</v>
      </c>
      <c r="I465" s="364" t="s">
        <v>63</v>
      </c>
      <c r="J465" s="361" t="s">
        <v>10789</v>
      </c>
      <c r="K465" s="358" t="s">
        <v>10790</v>
      </c>
      <c r="L465" s="358"/>
      <c r="M465" s="366" t="s">
        <v>10084</v>
      </c>
      <c r="N465" s="358"/>
      <c r="O465" s="366" t="s">
        <v>57</v>
      </c>
      <c r="P465" s="368">
        <v>249500</v>
      </c>
      <c r="Q465" s="369" t="s">
        <v>10791</v>
      </c>
      <c r="R465" s="364" t="s">
        <v>758</v>
      </c>
      <c r="S465" s="340">
        <v>34</v>
      </c>
    </row>
    <row r="466" spans="1:19" ht="15.5" x14ac:dyDescent="0.35">
      <c r="A466" s="349">
        <v>455</v>
      </c>
      <c r="B466" s="364" t="s">
        <v>10787</v>
      </c>
      <c r="C466" s="365" t="s">
        <v>10788</v>
      </c>
      <c r="D466" s="366" t="s">
        <v>176</v>
      </c>
      <c r="E466" s="366" t="s">
        <v>10082</v>
      </c>
      <c r="F466" s="366" t="s">
        <v>10078</v>
      </c>
      <c r="G466" s="366" t="s">
        <v>10078</v>
      </c>
      <c r="H466" s="366">
        <v>0</v>
      </c>
      <c r="I466" s="364" t="s">
        <v>63</v>
      </c>
      <c r="J466" s="361" t="s">
        <v>10789</v>
      </c>
      <c r="K466" s="364" t="s">
        <v>10790</v>
      </c>
      <c r="L466" s="358"/>
      <c r="M466" s="366" t="s">
        <v>10084</v>
      </c>
      <c r="N466" s="358"/>
      <c r="O466" s="366" t="s">
        <v>57</v>
      </c>
      <c r="P466" s="368">
        <v>249500</v>
      </c>
      <c r="Q466" s="369" t="s">
        <v>10791</v>
      </c>
      <c r="R466" s="364" t="s">
        <v>758</v>
      </c>
      <c r="S466" s="340">
        <v>34</v>
      </c>
    </row>
    <row r="467" spans="1:19" ht="16" thickBot="1" x14ac:dyDescent="0.4">
      <c r="A467" s="357">
        <v>456</v>
      </c>
      <c r="B467" s="364" t="s">
        <v>10787</v>
      </c>
      <c r="C467" s="365" t="s">
        <v>10788</v>
      </c>
      <c r="D467" s="366" t="s">
        <v>1236</v>
      </c>
      <c r="E467" s="366" t="s">
        <v>10082</v>
      </c>
      <c r="F467" s="366" t="s">
        <v>10078</v>
      </c>
      <c r="G467" s="366" t="s">
        <v>10078</v>
      </c>
      <c r="H467" s="366">
        <v>0</v>
      </c>
      <c r="I467" s="364" t="s">
        <v>63</v>
      </c>
      <c r="J467" s="367" t="s">
        <v>10789</v>
      </c>
      <c r="K467" s="364" t="s">
        <v>10790</v>
      </c>
      <c r="L467" s="358"/>
      <c r="M467" s="366" t="s">
        <v>10084</v>
      </c>
      <c r="N467" s="358"/>
      <c r="O467" s="366" t="s">
        <v>57</v>
      </c>
      <c r="P467" s="368">
        <v>249500</v>
      </c>
      <c r="Q467" s="369" t="s">
        <v>10791</v>
      </c>
      <c r="R467" s="364" t="s">
        <v>758</v>
      </c>
      <c r="S467" s="340">
        <v>34</v>
      </c>
    </row>
    <row r="468" spans="1:19" ht="15.5" x14ac:dyDescent="0.35">
      <c r="A468" s="349">
        <v>457</v>
      </c>
      <c r="B468" s="364" t="s">
        <v>10787</v>
      </c>
      <c r="C468" s="365" t="s">
        <v>10788</v>
      </c>
      <c r="D468" s="366" t="s">
        <v>181</v>
      </c>
      <c r="E468" s="366" t="s">
        <v>10082</v>
      </c>
      <c r="F468" s="366" t="s">
        <v>10078</v>
      </c>
      <c r="G468" s="366" t="s">
        <v>10078</v>
      </c>
      <c r="H468" s="366">
        <v>0</v>
      </c>
      <c r="I468" s="364" t="s">
        <v>63</v>
      </c>
      <c r="J468" s="367" t="s">
        <v>10789</v>
      </c>
      <c r="K468" s="364" t="s">
        <v>10790</v>
      </c>
      <c r="L468" s="358"/>
      <c r="M468" s="366" t="s">
        <v>10084</v>
      </c>
      <c r="N468" s="358"/>
      <c r="O468" s="366" t="s">
        <v>57</v>
      </c>
      <c r="P468" s="368">
        <v>249500</v>
      </c>
      <c r="Q468" s="369" t="s">
        <v>10791</v>
      </c>
      <c r="R468" s="364" t="s">
        <v>758</v>
      </c>
      <c r="S468" s="340">
        <v>34</v>
      </c>
    </row>
    <row r="469" spans="1:19" ht="16" thickBot="1" x14ac:dyDescent="0.4">
      <c r="A469" s="357">
        <v>458</v>
      </c>
      <c r="B469" s="364" t="s">
        <v>10787</v>
      </c>
      <c r="C469" s="365" t="s">
        <v>10788</v>
      </c>
      <c r="D469" s="366" t="s">
        <v>187</v>
      </c>
      <c r="E469" s="366" t="s">
        <v>10082</v>
      </c>
      <c r="F469" s="366" t="s">
        <v>10078</v>
      </c>
      <c r="G469" s="366" t="s">
        <v>10078</v>
      </c>
      <c r="H469" s="366">
        <v>0</v>
      </c>
      <c r="I469" s="364" t="s">
        <v>63</v>
      </c>
      <c r="J469" s="367" t="s">
        <v>10789</v>
      </c>
      <c r="K469" s="364" t="s">
        <v>10790</v>
      </c>
      <c r="L469" s="358"/>
      <c r="M469" s="366" t="s">
        <v>10084</v>
      </c>
      <c r="N469" s="358"/>
      <c r="O469" s="366" t="s">
        <v>57</v>
      </c>
      <c r="P469" s="368">
        <v>249500</v>
      </c>
      <c r="Q469" s="369" t="s">
        <v>10791</v>
      </c>
      <c r="R469" s="364" t="s">
        <v>758</v>
      </c>
      <c r="S469" s="340">
        <v>34</v>
      </c>
    </row>
    <row r="470" spans="1:19" ht="15.5" x14ac:dyDescent="0.35">
      <c r="A470" s="349">
        <v>459</v>
      </c>
      <c r="B470" s="364" t="s">
        <v>10787</v>
      </c>
      <c r="C470" s="365" t="s">
        <v>10788</v>
      </c>
      <c r="D470" s="366" t="s">
        <v>190</v>
      </c>
      <c r="E470" s="366" t="s">
        <v>10082</v>
      </c>
      <c r="F470" s="366" t="s">
        <v>10078</v>
      </c>
      <c r="G470" s="366" t="s">
        <v>10078</v>
      </c>
      <c r="H470" s="366">
        <v>0</v>
      </c>
      <c r="I470" s="364" t="s">
        <v>63</v>
      </c>
      <c r="J470" s="361" t="s">
        <v>10789</v>
      </c>
      <c r="K470" s="364" t="s">
        <v>10790</v>
      </c>
      <c r="L470" s="358"/>
      <c r="M470" s="366" t="s">
        <v>10084</v>
      </c>
      <c r="N470" s="358"/>
      <c r="O470" s="366" t="s">
        <v>57</v>
      </c>
      <c r="P470" s="368">
        <v>249500</v>
      </c>
      <c r="Q470" s="369" t="s">
        <v>10791</v>
      </c>
      <c r="R470" s="364" t="s">
        <v>758</v>
      </c>
      <c r="S470" s="340">
        <v>34</v>
      </c>
    </row>
    <row r="471" spans="1:19" ht="16" thickBot="1" x14ac:dyDescent="0.4">
      <c r="A471" s="357">
        <v>460</v>
      </c>
      <c r="B471" s="364" t="s">
        <v>10787</v>
      </c>
      <c r="C471" s="365" t="s">
        <v>10788</v>
      </c>
      <c r="D471" s="366" t="s">
        <v>192</v>
      </c>
      <c r="E471" s="366" t="s">
        <v>10082</v>
      </c>
      <c r="F471" s="366" t="s">
        <v>10078</v>
      </c>
      <c r="G471" s="366" t="s">
        <v>10078</v>
      </c>
      <c r="H471" s="366">
        <v>0</v>
      </c>
      <c r="I471" s="364" t="s">
        <v>63</v>
      </c>
      <c r="J471" s="367" t="s">
        <v>10789</v>
      </c>
      <c r="K471" s="364" t="s">
        <v>10790</v>
      </c>
      <c r="L471" s="358"/>
      <c r="M471" s="366" t="s">
        <v>10084</v>
      </c>
      <c r="N471" s="358"/>
      <c r="O471" s="366" t="s">
        <v>57</v>
      </c>
      <c r="P471" s="368">
        <v>249500</v>
      </c>
      <c r="Q471" s="369" t="s">
        <v>10791</v>
      </c>
      <c r="R471" s="364" t="s">
        <v>758</v>
      </c>
      <c r="S471" s="340">
        <v>34</v>
      </c>
    </row>
    <row r="472" spans="1:19" ht="15.5" x14ac:dyDescent="0.35">
      <c r="A472" s="349">
        <v>461</v>
      </c>
      <c r="B472" s="364" t="s">
        <v>10787</v>
      </c>
      <c r="C472" s="365" t="s">
        <v>10788</v>
      </c>
      <c r="D472" s="366" t="s">
        <v>194</v>
      </c>
      <c r="E472" s="366" t="s">
        <v>10082</v>
      </c>
      <c r="F472" s="366" t="s">
        <v>10078</v>
      </c>
      <c r="G472" s="366" t="s">
        <v>10078</v>
      </c>
      <c r="H472" s="366">
        <v>0</v>
      </c>
      <c r="I472" s="364" t="s">
        <v>63</v>
      </c>
      <c r="J472" s="367" t="s">
        <v>10789</v>
      </c>
      <c r="K472" s="364" t="s">
        <v>10790</v>
      </c>
      <c r="L472" s="358"/>
      <c r="M472" s="366" t="s">
        <v>10084</v>
      </c>
      <c r="N472" s="358"/>
      <c r="O472" s="366" t="s">
        <v>57</v>
      </c>
      <c r="P472" s="368">
        <v>249500</v>
      </c>
      <c r="Q472" s="369" t="s">
        <v>10791</v>
      </c>
      <c r="R472" s="364" t="s">
        <v>758</v>
      </c>
      <c r="S472" s="340">
        <v>34</v>
      </c>
    </row>
    <row r="473" spans="1:19" ht="16" thickBot="1" x14ac:dyDescent="0.4">
      <c r="A473" s="357">
        <v>462</v>
      </c>
      <c r="B473" s="364" t="s">
        <v>10787</v>
      </c>
      <c r="C473" s="365" t="s">
        <v>10788</v>
      </c>
      <c r="D473" s="366" t="s">
        <v>195</v>
      </c>
      <c r="E473" s="366" t="s">
        <v>10082</v>
      </c>
      <c r="F473" s="366" t="s">
        <v>10078</v>
      </c>
      <c r="G473" s="366" t="s">
        <v>10078</v>
      </c>
      <c r="H473" s="366">
        <v>0</v>
      </c>
      <c r="I473" s="364" t="s">
        <v>63</v>
      </c>
      <c r="J473" s="367" t="s">
        <v>10789</v>
      </c>
      <c r="K473" s="364" t="s">
        <v>10790</v>
      </c>
      <c r="L473" s="358"/>
      <c r="M473" s="366" t="s">
        <v>10084</v>
      </c>
      <c r="N473" s="358"/>
      <c r="O473" s="366" t="s">
        <v>57</v>
      </c>
      <c r="P473" s="368">
        <v>249500</v>
      </c>
      <c r="Q473" s="369" t="s">
        <v>10791</v>
      </c>
      <c r="R473" s="364" t="s">
        <v>758</v>
      </c>
      <c r="S473" s="340">
        <v>34</v>
      </c>
    </row>
    <row r="474" spans="1:19" ht="15.5" x14ac:dyDescent="0.35">
      <c r="A474" s="349">
        <v>463</v>
      </c>
      <c r="B474" s="364" t="s">
        <v>10787</v>
      </c>
      <c r="C474" s="365" t="s">
        <v>10788</v>
      </c>
      <c r="D474" s="366" t="s">
        <v>199</v>
      </c>
      <c r="E474" s="366" t="s">
        <v>10082</v>
      </c>
      <c r="F474" s="366" t="s">
        <v>10078</v>
      </c>
      <c r="G474" s="366" t="s">
        <v>10078</v>
      </c>
      <c r="H474" s="366">
        <v>0</v>
      </c>
      <c r="I474" s="364" t="s">
        <v>63</v>
      </c>
      <c r="J474" s="367" t="s">
        <v>10789</v>
      </c>
      <c r="K474" s="364" t="s">
        <v>10790</v>
      </c>
      <c r="L474" s="358"/>
      <c r="M474" s="366" t="s">
        <v>10084</v>
      </c>
      <c r="N474" s="358"/>
      <c r="O474" s="366" t="s">
        <v>57</v>
      </c>
      <c r="P474" s="368">
        <v>249500</v>
      </c>
      <c r="Q474" s="369" t="s">
        <v>10791</v>
      </c>
      <c r="R474" s="364" t="s">
        <v>758</v>
      </c>
      <c r="S474" s="340">
        <v>34</v>
      </c>
    </row>
    <row r="475" spans="1:19" ht="16" thickBot="1" x14ac:dyDescent="0.4">
      <c r="A475" s="357">
        <v>464</v>
      </c>
      <c r="B475" s="364" t="s">
        <v>10787</v>
      </c>
      <c r="C475" s="365" t="s">
        <v>10788</v>
      </c>
      <c r="D475" s="366" t="s">
        <v>200</v>
      </c>
      <c r="E475" s="366" t="s">
        <v>10082</v>
      </c>
      <c r="F475" s="366" t="s">
        <v>10078</v>
      </c>
      <c r="G475" s="366" t="s">
        <v>10078</v>
      </c>
      <c r="H475" s="366">
        <v>0</v>
      </c>
      <c r="I475" s="364" t="s">
        <v>63</v>
      </c>
      <c r="J475" s="367" t="s">
        <v>10789</v>
      </c>
      <c r="K475" s="364" t="s">
        <v>10790</v>
      </c>
      <c r="L475" s="358"/>
      <c r="M475" s="366" t="s">
        <v>10084</v>
      </c>
      <c r="N475" s="358"/>
      <c r="O475" s="366" t="s">
        <v>57</v>
      </c>
      <c r="P475" s="368">
        <v>249500</v>
      </c>
      <c r="Q475" s="369" t="s">
        <v>10791</v>
      </c>
      <c r="R475" s="364" t="s">
        <v>758</v>
      </c>
      <c r="S475" s="340">
        <v>34</v>
      </c>
    </row>
    <row r="476" spans="1:19" ht="15.5" x14ac:dyDescent="0.35">
      <c r="A476" s="349">
        <v>465</v>
      </c>
      <c r="B476" s="364" t="s">
        <v>10787</v>
      </c>
      <c r="C476" s="365" t="s">
        <v>10788</v>
      </c>
      <c r="D476" s="366" t="s">
        <v>209</v>
      </c>
      <c r="E476" s="366" t="s">
        <v>10082</v>
      </c>
      <c r="F476" s="366" t="s">
        <v>10078</v>
      </c>
      <c r="G476" s="366" t="s">
        <v>10078</v>
      </c>
      <c r="H476" s="366">
        <v>0</v>
      </c>
      <c r="I476" s="364" t="s">
        <v>63</v>
      </c>
      <c r="J476" s="361" t="s">
        <v>10789</v>
      </c>
      <c r="K476" s="364" t="s">
        <v>10790</v>
      </c>
      <c r="L476" s="358"/>
      <c r="M476" s="366" t="s">
        <v>10084</v>
      </c>
      <c r="N476" s="358"/>
      <c r="O476" s="366" t="s">
        <v>57</v>
      </c>
      <c r="P476" s="368">
        <v>249500</v>
      </c>
      <c r="Q476" s="369" t="s">
        <v>10791</v>
      </c>
      <c r="R476" s="364" t="s">
        <v>758</v>
      </c>
      <c r="S476" s="340">
        <v>34</v>
      </c>
    </row>
    <row r="477" spans="1:19" ht="16" thickBot="1" x14ac:dyDescent="0.4">
      <c r="A477" s="357">
        <v>466</v>
      </c>
      <c r="B477" s="364" t="s">
        <v>10787</v>
      </c>
      <c r="C477" s="365" t="s">
        <v>10788</v>
      </c>
      <c r="D477" s="366" t="s">
        <v>215</v>
      </c>
      <c r="E477" s="366" t="s">
        <v>10082</v>
      </c>
      <c r="F477" s="366" t="s">
        <v>10078</v>
      </c>
      <c r="G477" s="366" t="s">
        <v>10078</v>
      </c>
      <c r="H477" s="366">
        <v>0</v>
      </c>
      <c r="I477" s="364" t="s">
        <v>63</v>
      </c>
      <c r="J477" s="367" t="s">
        <v>10789</v>
      </c>
      <c r="K477" s="364" t="s">
        <v>10790</v>
      </c>
      <c r="L477" s="358"/>
      <c r="M477" s="366" t="s">
        <v>10084</v>
      </c>
      <c r="N477" s="358"/>
      <c r="O477" s="366" t="s">
        <v>57</v>
      </c>
      <c r="P477" s="368">
        <v>249500</v>
      </c>
      <c r="Q477" s="369" t="s">
        <v>10791</v>
      </c>
      <c r="R477" s="364" t="s">
        <v>758</v>
      </c>
      <c r="S477" s="340">
        <v>34</v>
      </c>
    </row>
    <row r="478" spans="1:19" ht="15.5" x14ac:dyDescent="0.35">
      <c r="A478" s="349">
        <v>467</v>
      </c>
      <c r="B478" s="364" t="s">
        <v>10787</v>
      </c>
      <c r="C478" s="365" t="s">
        <v>10788</v>
      </c>
      <c r="D478" s="366" t="s">
        <v>223</v>
      </c>
      <c r="E478" s="366" t="s">
        <v>10082</v>
      </c>
      <c r="F478" s="366" t="s">
        <v>10078</v>
      </c>
      <c r="G478" s="366" t="s">
        <v>10078</v>
      </c>
      <c r="H478" s="366">
        <v>0</v>
      </c>
      <c r="I478" s="364" t="s">
        <v>63</v>
      </c>
      <c r="J478" s="367" t="s">
        <v>10789</v>
      </c>
      <c r="K478" s="364" t="s">
        <v>10790</v>
      </c>
      <c r="L478" s="358"/>
      <c r="M478" s="366" t="s">
        <v>10084</v>
      </c>
      <c r="N478" s="358"/>
      <c r="O478" s="366" t="s">
        <v>57</v>
      </c>
      <c r="P478" s="368">
        <v>249500</v>
      </c>
      <c r="Q478" s="369" t="s">
        <v>10791</v>
      </c>
      <c r="R478" s="364" t="s">
        <v>758</v>
      </c>
      <c r="S478" s="340">
        <v>34</v>
      </c>
    </row>
    <row r="479" spans="1:19" ht="16" thickBot="1" x14ac:dyDescent="0.4">
      <c r="A479" s="357">
        <v>468</v>
      </c>
      <c r="B479" s="364" t="s">
        <v>10787</v>
      </c>
      <c r="C479" s="365" t="s">
        <v>10788</v>
      </c>
      <c r="D479" s="366" t="s">
        <v>229</v>
      </c>
      <c r="E479" s="366" t="s">
        <v>10082</v>
      </c>
      <c r="F479" s="366" t="s">
        <v>10078</v>
      </c>
      <c r="G479" s="366" t="s">
        <v>10078</v>
      </c>
      <c r="H479" s="366">
        <v>0</v>
      </c>
      <c r="I479" s="364" t="s">
        <v>63</v>
      </c>
      <c r="J479" s="367" t="s">
        <v>10789</v>
      </c>
      <c r="K479" s="364" t="s">
        <v>10790</v>
      </c>
      <c r="L479" s="358"/>
      <c r="M479" s="366" t="s">
        <v>10084</v>
      </c>
      <c r="N479" s="358"/>
      <c r="O479" s="366" t="s">
        <v>57</v>
      </c>
      <c r="P479" s="368">
        <v>249500</v>
      </c>
      <c r="Q479" s="369" t="s">
        <v>10791</v>
      </c>
      <c r="R479" s="364" t="s">
        <v>758</v>
      </c>
      <c r="S479" s="340">
        <v>34</v>
      </c>
    </row>
    <row r="480" spans="1:19" ht="15.5" x14ac:dyDescent="0.35">
      <c r="A480" s="349">
        <v>469</v>
      </c>
      <c r="B480" s="364" t="s">
        <v>10787</v>
      </c>
      <c r="C480" s="365" t="s">
        <v>10788</v>
      </c>
      <c r="D480" s="366" t="s">
        <v>238</v>
      </c>
      <c r="E480" s="366" t="s">
        <v>10082</v>
      </c>
      <c r="F480" s="366" t="s">
        <v>10078</v>
      </c>
      <c r="G480" s="366" t="s">
        <v>10078</v>
      </c>
      <c r="H480" s="366">
        <v>0</v>
      </c>
      <c r="I480" s="364" t="s">
        <v>63</v>
      </c>
      <c r="J480" s="367" t="s">
        <v>10789</v>
      </c>
      <c r="K480" s="364" t="s">
        <v>10790</v>
      </c>
      <c r="L480" s="358"/>
      <c r="M480" s="366" t="s">
        <v>10084</v>
      </c>
      <c r="N480" s="358"/>
      <c r="O480" s="366" t="s">
        <v>57</v>
      </c>
      <c r="P480" s="368">
        <v>249500</v>
      </c>
      <c r="Q480" s="369" t="s">
        <v>10791</v>
      </c>
      <c r="R480" s="364" t="s">
        <v>758</v>
      </c>
      <c r="S480" s="340">
        <v>34</v>
      </c>
    </row>
    <row r="481" spans="1:19" ht="16" thickBot="1" x14ac:dyDescent="0.4">
      <c r="A481" s="357">
        <v>470</v>
      </c>
      <c r="B481" s="364" t="s">
        <v>10787</v>
      </c>
      <c r="C481" s="365" t="s">
        <v>10788</v>
      </c>
      <c r="D481" s="366" t="s">
        <v>244</v>
      </c>
      <c r="E481" s="366" t="s">
        <v>10082</v>
      </c>
      <c r="F481" s="366" t="s">
        <v>10078</v>
      </c>
      <c r="G481" s="366" t="s">
        <v>10078</v>
      </c>
      <c r="H481" s="366">
        <v>0</v>
      </c>
      <c r="I481" s="364" t="s">
        <v>63</v>
      </c>
      <c r="J481" s="361" t="s">
        <v>10789</v>
      </c>
      <c r="K481" s="364" t="s">
        <v>10790</v>
      </c>
      <c r="L481" s="358"/>
      <c r="M481" s="366" t="s">
        <v>10084</v>
      </c>
      <c r="N481" s="358"/>
      <c r="O481" s="366" t="s">
        <v>57</v>
      </c>
      <c r="P481" s="368">
        <v>249500</v>
      </c>
      <c r="Q481" s="369" t="s">
        <v>10791</v>
      </c>
      <c r="R481" s="364" t="s">
        <v>758</v>
      </c>
      <c r="S481" s="340">
        <v>34</v>
      </c>
    </row>
    <row r="482" spans="1:19" ht="15.5" x14ac:dyDescent="0.35">
      <c r="A482" s="349">
        <v>471</v>
      </c>
      <c r="B482" s="364" t="s">
        <v>10787</v>
      </c>
      <c r="C482" s="365" t="s">
        <v>10788</v>
      </c>
      <c r="D482" s="366" t="s">
        <v>253</v>
      </c>
      <c r="E482" s="366" t="s">
        <v>10082</v>
      </c>
      <c r="F482" s="366" t="s">
        <v>10078</v>
      </c>
      <c r="G482" s="366" t="s">
        <v>10078</v>
      </c>
      <c r="H482" s="366">
        <v>0</v>
      </c>
      <c r="I482" s="364" t="s">
        <v>63</v>
      </c>
      <c r="J482" s="367" t="s">
        <v>10789</v>
      </c>
      <c r="K482" s="364" t="s">
        <v>10790</v>
      </c>
      <c r="L482" s="358"/>
      <c r="M482" s="366" t="s">
        <v>10084</v>
      </c>
      <c r="N482" s="358"/>
      <c r="O482" s="366" t="s">
        <v>57</v>
      </c>
      <c r="P482" s="368">
        <v>249500</v>
      </c>
      <c r="Q482" s="369" t="s">
        <v>10791</v>
      </c>
      <c r="R482" s="364" t="s">
        <v>758</v>
      </c>
      <c r="S482" s="340">
        <v>34</v>
      </c>
    </row>
    <row r="483" spans="1:19" ht="16" thickBot="1" x14ac:dyDescent="0.4">
      <c r="A483" s="357">
        <v>472</v>
      </c>
      <c r="B483" s="364" t="s">
        <v>10787</v>
      </c>
      <c r="C483" s="365" t="s">
        <v>10788</v>
      </c>
      <c r="D483" s="366" t="s">
        <v>259</v>
      </c>
      <c r="E483" s="366" t="s">
        <v>10082</v>
      </c>
      <c r="F483" s="366" t="s">
        <v>10078</v>
      </c>
      <c r="G483" s="366" t="s">
        <v>10078</v>
      </c>
      <c r="H483" s="366">
        <v>0</v>
      </c>
      <c r="I483" s="364" t="s">
        <v>63</v>
      </c>
      <c r="J483" s="367" t="s">
        <v>10789</v>
      </c>
      <c r="K483" s="364" t="s">
        <v>10790</v>
      </c>
      <c r="L483" s="358"/>
      <c r="M483" s="366" t="s">
        <v>10084</v>
      </c>
      <c r="N483" s="358"/>
      <c r="O483" s="366" t="s">
        <v>57</v>
      </c>
      <c r="P483" s="368">
        <v>249500</v>
      </c>
      <c r="Q483" s="369" t="s">
        <v>10791</v>
      </c>
      <c r="R483" s="364" t="s">
        <v>758</v>
      </c>
      <c r="S483" s="340">
        <v>34</v>
      </c>
    </row>
    <row r="484" spans="1:19" ht="15.5" x14ac:dyDescent="0.35">
      <c r="A484" s="349">
        <v>473</v>
      </c>
      <c r="B484" s="364" t="s">
        <v>10787</v>
      </c>
      <c r="C484" s="365" t="s">
        <v>10788</v>
      </c>
      <c r="D484" s="366" t="s">
        <v>264</v>
      </c>
      <c r="E484" s="366" t="s">
        <v>10082</v>
      </c>
      <c r="F484" s="366" t="s">
        <v>10078</v>
      </c>
      <c r="G484" s="366" t="s">
        <v>10078</v>
      </c>
      <c r="H484" s="366">
        <v>0</v>
      </c>
      <c r="I484" s="364" t="s">
        <v>63</v>
      </c>
      <c r="J484" s="367" t="s">
        <v>10789</v>
      </c>
      <c r="K484" s="364" t="s">
        <v>10790</v>
      </c>
      <c r="L484" s="358"/>
      <c r="M484" s="366" t="s">
        <v>10084</v>
      </c>
      <c r="N484" s="358"/>
      <c r="O484" s="366" t="s">
        <v>57</v>
      </c>
      <c r="P484" s="368">
        <v>249500</v>
      </c>
      <c r="Q484" s="369" t="s">
        <v>10791</v>
      </c>
      <c r="R484" s="364" t="s">
        <v>758</v>
      </c>
      <c r="S484" s="340">
        <v>34</v>
      </c>
    </row>
    <row r="485" spans="1:19" ht="16" thickBot="1" x14ac:dyDescent="0.4">
      <c r="A485" s="357">
        <v>474</v>
      </c>
      <c r="B485" s="364" t="s">
        <v>10787</v>
      </c>
      <c r="C485" s="365" t="s">
        <v>10788</v>
      </c>
      <c r="D485" s="366" t="s">
        <v>269</v>
      </c>
      <c r="E485" s="366" t="s">
        <v>10082</v>
      </c>
      <c r="F485" s="366" t="s">
        <v>10078</v>
      </c>
      <c r="G485" s="366" t="s">
        <v>10078</v>
      </c>
      <c r="H485" s="366">
        <v>0</v>
      </c>
      <c r="I485" s="364" t="s">
        <v>63</v>
      </c>
      <c r="J485" s="367" t="s">
        <v>10789</v>
      </c>
      <c r="K485" s="364" t="s">
        <v>10790</v>
      </c>
      <c r="L485" s="358"/>
      <c r="M485" s="366" t="s">
        <v>10084</v>
      </c>
      <c r="N485" s="358"/>
      <c r="O485" s="366" t="s">
        <v>57</v>
      </c>
      <c r="P485" s="368">
        <v>249500</v>
      </c>
      <c r="Q485" s="369" t="s">
        <v>10791</v>
      </c>
      <c r="R485" s="364" t="s">
        <v>758</v>
      </c>
      <c r="S485" s="340">
        <v>34</v>
      </c>
    </row>
    <row r="486" spans="1:19" ht="15.5" x14ac:dyDescent="0.35">
      <c r="A486" s="349">
        <v>475</v>
      </c>
      <c r="B486" s="364" t="s">
        <v>10787</v>
      </c>
      <c r="C486" s="365" t="s">
        <v>10788</v>
      </c>
      <c r="D486" s="366" t="s">
        <v>274</v>
      </c>
      <c r="E486" s="366" t="s">
        <v>10082</v>
      </c>
      <c r="F486" s="366" t="s">
        <v>10078</v>
      </c>
      <c r="G486" s="366" t="s">
        <v>10078</v>
      </c>
      <c r="H486" s="366">
        <v>0</v>
      </c>
      <c r="I486" s="364" t="s">
        <v>63</v>
      </c>
      <c r="J486" s="367" t="s">
        <v>10789</v>
      </c>
      <c r="K486" s="364" t="s">
        <v>10790</v>
      </c>
      <c r="L486" s="358"/>
      <c r="M486" s="366" t="s">
        <v>10084</v>
      </c>
      <c r="N486" s="358"/>
      <c r="O486" s="366" t="s">
        <v>57</v>
      </c>
      <c r="P486" s="368">
        <v>249500</v>
      </c>
      <c r="Q486" s="369" t="s">
        <v>10791</v>
      </c>
      <c r="R486" s="364" t="s">
        <v>758</v>
      </c>
      <c r="S486" s="340">
        <v>34</v>
      </c>
    </row>
    <row r="487" spans="1:19" ht="16" thickBot="1" x14ac:dyDescent="0.4">
      <c r="A487" s="357">
        <v>476</v>
      </c>
      <c r="B487" s="364" t="s">
        <v>10787</v>
      </c>
      <c r="C487" s="365" t="s">
        <v>10788</v>
      </c>
      <c r="D487" s="366" t="s">
        <v>280</v>
      </c>
      <c r="E487" s="366" t="s">
        <v>10082</v>
      </c>
      <c r="F487" s="366" t="s">
        <v>10078</v>
      </c>
      <c r="G487" s="366" t="s">
        <v>10078</v>
      </c>
      <c r="H487" s="366">
        <v>0</v>
      </c>
      <c r="I487" s="364" t="s">
        <v>63</v>
      </c>
      <c r="J487" s="367" t="s">
        <v>10789</v>
      </c>
      <c r="K487" s="364" t="s">
        <v>10790</v>
      </c>
      <c r="L487" s="358"/>
      <c r="M487" s="366" t="s">
        <v>10084</v>
      </c>
      <c r="N487" s="358"/>
      <c r="O487" s="366" t="s">
        <v>57</v>
      </c>
      <c r="P487" s="368">
        <v>249500</v>
      </c>
      <c r="Q487" s="369" t="s">
        <v>10791</v>
      </c>
      <c r="R487" s="364" t="s">
        <v>758</v>
      </c>
      <c r="S487" s="340">
        <v>34</v>
      </c>
    </row>
    <row r="488" spans="1:19" ht="15.5" x14ac:dyDescent="0.35">
      <c r="A488" s="349">
        <v>477</v>
      </c>
      <c r="B488" s="364" t="s">
        <v>10787</v>
      </c>
      <c r="C488" s="365" t="s">
        <v>10788</v>
      </c>
      <c r="D488" s="366" t="s">
        <v>286</v>
      </c>
      <c r="E488" s="366" t="s">
        <v>10082</v>
      </c>
      <c r="F488" s="366" t="s">
        <v>10078</v>
      </c>
      <c r="G488" s="366" t="s">
        <v>10078</v>
      </c>
      <c r="H488" s="366">
        <v>0</v>
      </c>
      <c r="I488" s="364" t="s">
        <v>63</v>
      </c>
      <c r="J488" s="367" t="s">
        <v>10789</v>
      </c>
      <c r="K488" s="364" t="s">
        <v>10790</v>
      </c>
      <c r="L488" s="358"/>
      <c r="M488" s="366" t="s">
        <v>10084</v>
      </c>
      <c r="N488" s="358"/>
      <c r="O488" s="366" t="s">
        <v>57</v>
      </c>
      <c r="P488" s="368">
        <v>249500</v>
      </c>
      <c r="Q488" s="369" t="s">
        <v>10791</v>
      </c>
      <c r="R488" s="364" t="s">
        <v>758</v>
      </c>
      <c r="S488" s="340">
        <v>34</v>
      </c>
    </row>
    <row r="489" spans="1:19" ht="16" thickBot="1" x14ac:dyDescent="0.4">
      <c r="A489" s="357">
        <v>478</v>
      </c>
      <c r="B489" s="364" t="s">
        <v>10787</v>
      </c>
      <c r="C489" s="365" t="s">
        <v>10788</v>
      </c>
      <c r="D489" s="366" t="s">
        <v>291</v>
      </c>
      <c r="E489" s="366" t="s">
        <v>10082</v>
      </c>
      <c r="F489" s="366" t="s">
        <v>10078</v>
      </c>
      <c r="G489" s="366" t="s">
        <v>10078</v>
      </c>
      <c r="H489" s="366">
        <v>0</v>
      </c>
      <c r="I489" s="364" t="s">
        <v>63</v>
      </c>
      <c r="J489" s="367" t="s">
        <v>10789</v>
      </c>
      <c r="K489" s="364" t="s">
        <v>10790</v>
      </c>
      <c r="L489" s="358"/>
      <c r="M489" s="366" t="s">
        <v>10084</v>
      </c>
      <c r="N489" s="358"/>
      <c r="O489" s="366" t="s">
        <v>57</v>
      </c>
      <c r="P489" s="368">
        <v>249500</v>
      </c>
      <c r="Q489" s="369" t="s">
        <v>10791</v>
      </c>
      <c r="R489" s="364" t="s">
        <v>758</v>
      </c>
      <c r="S489" s="340">
        <v>34</v>
      </c>
    </row>
    <row r="490" spans="1:19" ht="15.5" x14ac:dyDescent="0.35">
      <c r="A490" s="349">
        <v>479</v>
      </c>
      <c r="B490" s="364" t="s">
        <v>10787</v>
      </c>
      <c r="C490" s="365" t="s">
        <v>10788</v>
      </c>
      <c r="D490" s="366" t="s">
        <v>298</v>
      </c>
      <c r="E490" s="366" t="s">
        <v>10082</v>
      </c>
      <c r="F490" s="366" t="s">
        <v>10078</v>
      </c>
      <c r="G490" s="366" t="s">
        <v>10078</v>
      </c>
      <c r="H490" s="366">
        <v>0</v>
      </c>
      <c r="I490" s="364" t="s">
        <v>63</v>
      </c>
      <c r="J490" s="367" t="s">
        <v>10789</v>
      </c>
      <c r="K490" s="364" t="s">
        <v>10790</v>
      </c>
      <c r="L490" s="358"/>
      <c r="M490" s="366" t="s">
        <v>10084</v>
      </c>
      <c r="N490" s="358"/>
      <c r="O490" s="366" t="s">
        <v>57</v>
      </c>
      <c r="P490" s="368">
        <v>249500</v>
      </c>
      <c r="Q490" s="369" t="s">
        <v>10791</v>
      </c>
      <c r="R490" s="364" t="s">
        <v>758</v>
      </c>
      <c r="S490" s="340">
        <v>34</v>
      </c>
    </row>
    <row r="491" spans="1:19" ht="16" thickBot="1" x14ac:dyDescent="0.4">
      <c r="A491" s="357">
        <v>480</v>
      </c>
      <c r="B491" s="364" t="s">
        <v>10787</v>
      </c>
      <c r="C491" s="365" t="s">
        <v>10788</v>
      </c>
      <c r="D491" s="366" t="s">
        <v>304</v>
      </c>
      <c r="E491" s="366" t="s">
        <v>10082</v>
      </c>
      <c r="F491" s="366" t="s">
        <v>10078</v>
      </c>
      <c r="G491" s="366" t="s">
        <v>10078</v>
      </c>
      <c r="H491" s="366">
        <v>0</v>
      </c>
      <c r="I491" s="364" t="s">
        <v>63</v>
      </c>
      <c r="J491" s="367" t="s">
        <v>10789</v>
      </c>
      <c r="K491" s="364" t="s">
        <v>10790</v>
      </c>
      <c r="L491" s="358"/>
      <c r="M491" s="366" t="s">
        <v>10084</v>
      </c>
      <c r="N491" s="358"/>
      <c r="O491" s="366" t="s">
        <v>57</v>
      </c>
      <c r="P491" s="368">
        <v>249500</v>
      </c>
      <c r="Q491" s="369" t="s">
        <v>10791</v>
      </c>
      <c r="R491" s="364" t="s">
        <v>758</v>
      </c>
      <c r="S491" s="340">
        <v>34</v>
      </c>
    </row>
    <row r="492" spans="1:19" ht="15.5" x14ac:dyDescent="0.35">
      <c r="A492" s="349">
        <v>481</v>
      </c>
      <c r="B492" s="364" t="s">
        <v>10787</v>
      </c>
      <c r="C492" s="365" t="s">
        <v>10788</v>
      </c>
      <c r="D492" s="366" t="s">
        <v>310</v>
      </c>
      <c r="E492" s="366" t="s">
        <v>10082</v>
      </c>
      <c r="F492" s="366" t="s">
        <v>10078</v>
      </c>
      <c r="G492" s="366" t="s">
        <v>10078</v>
      </c>
      <c r="H492" s="366">
        <v>0</v>
      </c>
      <c r="I492" s="364" t="s">
        <v>63</v>
      </c>
      <c r="J492" s="367" t="s">
        <v>10789</v>
      </c>
      <c r="K492" s="364" t="s">
        <v>10790</v>
      </c>
      <c r="L492" s="358"/>
      <c r="M492" s="366" t="s">
        <v>10084</v>
      </c>
      <c r="N492" s="358"/>
      <c r="O492" s="366" t="s">
        <v>57</v>
      </c>
      <c r="P492" s="368">
        <v>249500</v>
      </c>
      <c r="Q492" s="369" t="s">
        <v>10791</v>
      </c>
      <c r="R492" s="364" t="s">
        <v>758</v>
      </c>
      <c r="S492" s="340">
        <v>34</v>
      </c>
    </row>
    <row r="493" spans="1:19" ht="16" thickBot="1" x14ac:dyDescent="0.4">
      <c r="A493" s="357">
        <v>482</v>
      </c>
      <c r="B493" s="364" t="s">
        <v>10787</v>
      </c>
      <c r="C493" s="365" t="s">
        <v>10788</v>
      </c>
      <c r="D493" s="366" t="s">
        <v>319</v>
      </c>
      <c r="E493" s="366" t="s">
        <v>10082</v>
      </c>
      <c r="F493" s="366" t="s">
        <v>10078</v>
      </c>
      <c r="G493" s="366" t="s">
        <v>10078</v>
      </c>
      <c r="H493" s="366">
        <v>0</v>
      </c>
      <c r="I493" s="364" t="s">
        <v>63</v>
      </c>
      <c r="J493" s="367" t="s">
        <v>10789</v>
      </c>
      <c r="K493" s="364" t="s">
        <v>10790</v>
      </c>
      <c r="L493" s="358"/>
      <c r="M493" s="366" t="s">
        <v>10084</v>
      </c>
      <c r="N493" s="358"/>
      <c r="O493" s="366" t="s">
        <v>57</v>
      </c>
      <c r="P493" s="368">
        <v>249500</v>
      </c>
      <c r="Q493" s="369" t="s">
        <v>10791</v>
      </c>
      <c r="R493" s="364" t="s">
        <v>758</v>
      </c>
      <c r="S493" s="340">
        <v>34</v>
      </c>
    </row>
    <row r="494" spans="1:19" ht="15.5" x14ac:dyDescent="0.35">
      <c r="A494" s="349">
        <v>483</v>
      </c>
      <c r="B494" s="364" t="s">
        <v>10787</v>
      </c>
      <c r="C494" s="365" t="s">
        <v>10788</v>
      </c>
      <c r="D494" s="366" t="s">
        <v>325</v>
      </c>
      <c r="E494" s="366" t="s">
        <v>10082</v>
      </c>
      <c r="F494" s="366" t="s">
        <v>10078</v>
      </c>
      <c r="G494" s="366" t="s">
        <v>10078</v>
      </c>
      <c r="H494" s="366">
        <v>0</v>
      </c>
      <c r="I494" s="364" t="s">
        <v>63</v>
      </c>
      <c r="J494" s="367" t="s">
        <v>10789</v>
      </c>
      <c r="K494" s="364" t="s">
        <v>10790</v>
      </c>
      <c r="L494" s="358"/>
      <c r="M494" s="366" t="s">
        <v>10084</v>
      </c>
      <c r="N494" s="358"/>
      <c r="O494" s="366" t="s">
        <v>57</v>
      </c>
      <c r="P494" s="368">
        <v>249500</v>
      </c>
      <c r="Q494" s="369" t="s">
        <v>10791</v>
      </c>
      <c r="R494" s="364" t="s">
        <v>758</v>
      </c>
      <c r="S494" s="340">
        <v>34</v>
      </c>
    </row>
    <row r="495" spans="1:19" ht="16" thickBot="1" x14ac:dyDescent="0.4">
      <c r="A495" s="357">
        <v>484</v>
      </c>
      <c r="B495" s="364" t="s">
        <v>10787</v>
      </c>
      <c r="C495" s="365" t="s">
        <v>10788</v>
      </c>
      <c r="D495" s="366" t="s">
        <v>332</v>
      </c>
      <c r="E495" s="366" t="s">
        <v>10082</v>
      </c>
      <c r="F495" s="366" t="s">
        <v>10078</v>
      </c>
      <c r="G495" s="366" t="s">
        <v>10078</v>
      </c>
      <c r="H495" s="366">
        <v>0</v>
      </c>
      <c r="I495" s="364" t="s">
        <v>63</v>
      </c>
      <c r="J495" s="367" t="s">
        <v>10789</v>
      </c>
      <c r="K495" s="364" t="s">
        <v>10790</v>
      </c>
      <c r="L495" s="358"/>
      <c r="M495" s="366" t="s">
        <v>10084</v>
      </c>
      <c r="N495" s="358"/>
      <c r="O495" s="366" t="s">
        <v>57</v>
      </c>
      <c r="P495" s="368">
        <v>249500</v>
      </c>
      <c r="Q495" s="369" t="s">
        <v>10791</v>
      </c>
      <c r="R495" s="364" t="s">
        <v>758</v>
      </c>
      <c r="S495" s="340">
        <v>34</v>
      </c>
    </row>
    <row r="496" spans="1:19" ht="15.5" x14ac:dyDescent="0.35">
      <c r="A496" s="349">
        <v>485</v>
      </c>
      <c r="B496" s="364" t="s">
        <v>10787</v>
      </c>
      <c r="C496" s="365" t="s">
        <v>10788</v>
      </c>
      <c r="D496" s="366" t="s">
        <v>338</v>
      </c>
      <c r="E496" s="366" t="s">
        <v>10082</v>
      </c>
      <c r="F496" s="366" t="s">
        <v>10078</v>
      </c>
      <c r="G496" s="366" t="s">
        <v>10078</v>
      </c>
      <c r="H496" s="366">
        <v>0</v>
      </c>
      <c r="I496" s="364" t="s">
        <v>63</v>
      </c>
      <c r="J496" s="367" t="s">
        <v>10789</v>
      </c>
      <c r="K496" s="364" t="s">
        <v>10790</v>
      </c>
      <c r="L496" s="358"/>
      <c r="M496" s="366" t="s">
        <v>10084</v>
      </c>
      <c r="N496" s="358"/>
      <c r="O496" s="366" t="s">
        <v>57</v>
      </c>
      <c r="P496" s="368">
        <v>249500</v>
      </c>
      <c r="Q496" s="369" t="s">
        <v>10791</v>
      </c>
      <c r="R496" s="364" t="s">
        <v>758</v>
      </c>
      <c r="S496" s="340">
        <v>34</v>
      </c>
    </row>
    <row r="497" spans="1:19" ht="16" thickBot="1" x14ac:dyDescent="0.4">
      <c r="A497" s="357">
        <v>486</v>
      </c>
      <c r="B497" s="364" t="s">
        <v>10787</v>
      </c>
      <c r="C497" s="365" t="s">
        <v>10788</v>
      </c>
      <c r="D497" s="366" t="s">
        <v>343</v>
      </c>
      <c r="E497" s="366" t="s">
        <v>10082</v>
      </c>
      <c r="F497" s="366" t="s">
        <v>10078</v>
      </c>
      <c r="G497" s="366" t="s">
        <v>10078</v>
      </c>
      <c r="H497" s="366">
        <v>0</v>
      </c>
      <c r="I497" s="364" t="s">
        <v>63</v>
      </c>
      <c r="J497" s="367" t="s">
        <v>10789</v>
      </c>
      <c r="K497" s="364" t="s">
        <v>10790</v>
      </c>
      <c r="L497" s="358"/>
      <c r="M497" s="366" t="s">
        <v>10084</v>
      </c>
      <c r="N497" s="358"/>
      <c r="O497" s="366" t="s">
        <v>57</v>
      </c>
      <c r="P497" s="368">
        <v>249500</v>
      </c>
      <c r="Q497" s="369" t="s">
        <v>10791</v>
      </c>
      <c r="R497" s="364" t="s">
        <v>758</v>
      </c>
      <c r="S497" s="340">
        <v>34</v>
      </c>
    </row>
    <row r="498" spans="1:19" ht="15.5" x14ac:dyDescent="0.35">
      <c r="A498" s="349">
        <v>487</v>
      </c>
      <c r="B498" s="364" t="s">
        <v>10787</v>
      </c>
      <c r="C498" s="365" t="s">
        <v>10788</v>
      </c>
      <c r="D498" s="366" t="s">
        <v>348</v>
      </c>
      <c r="E498" s="366" t="s">
        <v>10082</v>
      </c>
      <c r="F498" s="366" t="s">
        <v>10078</v>
      </c>
      <c r="G498" s="366" t="s">
        <v>10078</v>
      </c>
      <c r="H498" s="366">
        <v>0</v>
      </c>
      <c r="I498" s="364" t="s">
        <v>63</v>
      </c>
      <c r="J498" s="367" t="s">
        <v>10789</v>
      </c>
      <c r="K498" s="364" t="s">
        <v>10790</v>
      </c>
      <c r="L498" s="358"/>
      <c r="M498" s="366" t="s">
        <v>10084</v>
      </c>
      <c r="N498" s="358"/>
      <c r="O498" s="366" t="s">
        <v>57</v>
      </c>
      <c r="P498" s="368">
        <v>249500</v>
      </c>
      <c r="Q498" s="369" t="s">
        <v>10791</v>
      </c>
      <c r="R498" s="364" t="s">
        <v>758</v>
      </c>
      <c r="S498" s="340">
        <v>34</v>
      </c>
    </row>
    <row r="499" spans="1:19" ht="16" thickBot="1" x14ac:dyDescent="0.4">
      <c r="A499" s="357">
        <v>488</v>
      </c>
      <c r="B499" s="364" t="s">
        <v>10787</v>
      </c>
      <c r="C499" s="365" t="s">
        <v>10788</v>
      </c>
      <c r="D499" s="366" t="s">
        <v>353</v>
      </c>
      <c r="E499" s="366" t="s">
        <v>10082</v>
      </c>
      <c r="F499" s="366" t="s">
        <v>10078</v>
      </c>
      <c r="G499" s="366" t="s">
        <v>10078</v>
      </c>
      <c r="H499" s="366">
        <v>0</v>
      </c>
      <c r="I499" s="364" t="s">
        <v>63</v>
      </c>
      <c r="J499" s="367" t="s">
        <v>10789</v>
      </c>
      <c r="K499" s="364" t="s">
        <v>10790</v>
      </c>
      <c r="L499" s="358"/>
      <c r="M499" s="366" t="s">
        <v>10084</v>
      </c>
      <c r="N499" s="358"/>
      <c r="O499" s="366" t="s">
        <v>57</v>
      </c>
      <c r="P499" s="368">
        <v>249500</v>
      </c>
      <c r="Q499" s="369" t="s">
        <v>10791</v>
      </c>
      <c r="R499" s="364" t="s">
        <v>758</v>
      </c>
      <c r="S499" s="340">
        <v>34</v>
      </c>
    </row>
    <row r="500" spans="1:19" ht="15.5" x14ac:dyDescent="0.35">
      <c r="A500" s="349">
        <v>489</v>
      </c>
      <c r="B500" s="364" t="s">
        <v>10787</v>
      </c>
      <c r="C500" s="365" t="s">
        <v>10788</v>
      </c>
      <c r="D500" s="366" t="s">
        <v>359</v>
      </c>
      <c r="E500" s="366" t="s">
        <v>10082</v>
      </c>
      <c r="F500" s="366" t="s">
        <v>10078</v>
      </c>
      <c r="G500" s="366" t="s">
        <v>10078</v>
      </c>
      <c r="H500" s="366">
        <v>0</v>
      </c>
      <c r="I500" s="364" t="s">
        <v>63</v>
      </c>
      <c r="J500" s="367" t="s">
        <v>10789</v>
      </c>
      <c r="K500" s="364" t="s">
        <v>10790</v>
      </c>
      <c r="L500" s="358"/>
      <c r="M500" s="366" t="s">
        <v>10084</v>
      </c>
      <c r="N500" s="358"/>
      <c r="O500" s="366" t="s">
        <v>57</v>
      </c>
      <c r="P500" s="368">
        <v>249500</v>
      </c>
      <c r="Q500" s="369" t="s">
        <v>10791</v>
      </c>
      <c r="R500" s="364" t="s">
        <v>758</v>
      </c>
      <c r="S500" s="340">
        <v>34</v>
      </c>
    </row>
    <row r="501" spans="1:19" ht="16" thickBot="1" x14ac:dyDescent="0.4">
      <c r="A501" s="357">
        <v>490</v>
      </c>
      <c r="B501" s="358" t="s">
        <v>10787</v>
      </c>
      <c r="C501" s="359" t="s">
        <v>10788</v>
      </c>
      <c r="D501" s="360" t="s">
        <v>366</v>
      </c>
      <c r="E501" s="360" t="s">
        <v>10082</v>
      </c>
      <c r="F501" s="360" t="s">
        <v>10078</v>
      </c>
      <c r="G501" s="360" t="s">
        <v>10078</v>
      </c>
      <c r="H501" s="360">
        <v>0</v>
      </c>
      <c r="I501" s="358" t="s">
        <v>63</v>
      </c>
      <c r="J501" s="361" t="s">
        <v>10789</v>
      </c>
      <c r="K501" s="358" t="s">
        <v>10790</v>
      </c>
      <c r="L501" s="358"/>
      <c r="M501" s="360" t="s">
        <v>10084</v>
      </c>
      <c r="N501" s="358"/>
      <c r="O501" s="360" t="s">
        <v>57</v>
      </c>
      <c r="P501" s="362">
        <v>249500</v>
      </c>
      <c r="Q501" s="363" t="s">
        <v>10791</v>
      </c>
      <c r="R501" s="364" t="s">
        <v>758</v>
      </c>
      <c r="S501" s="340">
        <v>34</v>
      </c>
    </row>
    <row r="502" spans="1:19" ht="15.5" x14ac:dyDescent="0.35">
      <c r="A502" s="349">
        <v>491</v>
      </c>
      <c r="B502" s="358" t="s">
        <v>10787</v>
      </c>
      <c r="C502" s="359" t="s">
        <v>10788</v>
      </c>
      <c r="D502" s="360" t="s">
        <v>371</v>
      </c>
      <c r="E502" s="360" t="s">
        <v>10082</v>
      </c>
      <c r="F502" s="360" t="s">
        <v>10078</v>
      </c>
      <c r="G502" s="360" t="s">
        <v>10078</v>
      </c>
      <c r="H502" s="360">
        <v>0</v>
      </c>
      <c r="I502" s="358" t="s">
        <v>63</v>
      </c>
      <c r="J502" s="361" t="s">
        <v>10789</v>
      </c>
      <c r="K502" s="358" t="s">
        <v>10790</v>
      </c>
      <c r="L502" s="358"/>
      <c r="M502" s="360" t="s">
        <v>10084</v>
      </c>
      <c r="N502" s="358"/>
      <c r="O502" s="360" t="s">
        <v>57</v>
      </c>
      <c r="P502" s="362">
        <v>249500</v>
      </c>
      <c r="Q502" s="363" t="s">
        <v>10791</v>
      </c>
      <c r="R502" s="364" t="s">
        <v>758</v>
      </c>
      <c r="S502" s="340">
        <v>34</v>
      </c>
    </row>
    <row r="503" spans="1:19" ht="16" thickBot="1" x14ac:dyDescent="0.4">
      <c r="A503" s="357">
        <v>492</v>
      </c>
      <c r="B503" s="358" t="s">
        <v>10787</v>
      </c>
      <c r="C503" s="359" t="s">
        <v>10788</v>
      </c>
      <c r="D503" s="360" t="s">
        <v>376</v>
      </c>
      <c r="E503" s="360" t="s">
        <v>10082</v>
      </c>
      <c r="F503" s="360" t="s">
        <v>10078</v>
      </c>
      <c r="G503" s="360" t="s">
        <v>10078</v>
      </c>
      <c r="H503" s="360">
        <v>0</v>
      </c>
      <c r="I503" s="358" t="s">
        <v>63</v>
      </c>
      <c r="J503" s="361" t="s">
        <v>10789</v>
      </c>
      <c r="K503" s="358" t="s">
        <v>10790</v>
      </c>
      <c r="L503" s="358"/>
      <c r="M503" s="360" t="s">
        <v>10084</v>
      </c>
      <c r="N503" s="358"/>
      <c r="O503" s="360" t="s">
        <v>57</v>
      </c>
      <c r="P503" s="362">
        <v>249500</v>
      </c>
      <c r="Q503" s="363" t="s">
        <v>10791</v>
      </c>
      <c r="R503" s="364" t="s">
        <v>758</v>
      </c>
      <c r="S503" s="340">
        <v>34</v>
      </c>
    </row>
    <row r="504" spans="1:19" ht="15.5" x14ac:dyDescent="0.35">
      <c r="A504" s="349">
        <v>493</v>
      </c>
      <c r="B504" s="358" t="s">
        <v>10787</v>
      </c>
      <c r="C504" s="359" t="s">
        <v>10788</v>
      </c>
      <c r="D504" s="360" t="s">
        <v>382</v>
      </c>
      <c r="E504" s="360" t="s">
        <v>10082</v>
      </c>
      <c r="F504" s="360" t="s">
        <v>10078</v>
      </c>
      <c r="G504" s="360" t="s">
        <v>10078</v>
      </c>
      <c r="H504" s="360">
        <v>0</v>
      </c>
      <c r="I504" s="358" t="s">
        <v>63</v>
      </c>
      <c r="J504" s="361" t="s">
        <v>10789</v>
      </c>
      <c r="K504" s="358" t="s">
        <v>10790</v>
      </c>
      <c r="L504" s="358"/>
      <c r="M504" s="360" t="s">
        <v>10084</v>
      </c>
      <c r="N504" s="358"/>
      <c r="O504" s="360" t="s">
        <v>57</v>
      </c>
      <c r="P504" s="362">
        <v>249500</v>
      </c>
      <c r="Q504" s="363" t="s">
        <v>10791</v>
      </c>
      <c r="R504" s="364" t="s">
        <v>758</v>
      </c>
      <c r="S504" s="340">
        <v>34</v>
      </c>
    </row>
    <row r="505" spans="1:19" ht="16" thickBot="1" x14ac:dyDescent="0.4">
      <c r="A505" s="357">
        <v>494</v>
      </c>
      <c r="B505" s="358" t="s">
        <v>10787</v>
      </c>
      <c r="C505" s="359" t="s">
        <v>10788</v>
      </c>
      <c r="D505" s="360" t="s">
        <v>387</v>
      </c>
      <c r="E505" s="360" t="s">
        <v>10082</v>
      </c>
      <c r="F505" s="360" t="s">
        <v>10078</v>
      </c>
      <c r="G505" s="360" t="s">
        <v>10078</v>
      </c>
      <c r="H505" s="360">
        <v>0</v>
      </c>
      <c r="I505" s="358" t="s">
        <v>63</v>
      </c>
      <c r="J505" s="361" t="s">
        <v>10789</v>
      </c>
      <c r="K505" s="358" t="s">
        <v>10790</v>
      </c>
      <c r="L505" s="358"/>
      <c r="M505" s="360" t="s">
        <v>10084</v>
      </c>
      <c r="N505" s="358"/>
      <c r="O505" s="360" t="s">
        <v>57</v>
      </c>
      <c r="P505" s="362">
        <v>249500</v>
      </c>
      <c r="Q505" s="363" t="s">
        <v>10791</v>
      </c>
      <c r="R505" s="364" t="s">
        <v>758</v>
      </c>
      <c r="S505" s="340">
        <v>34</v>
      </c>
    </row>
    <row r="506" spans="1:19" ht="15.5" x14ac:dyDescent="0.35">
      <c r="A506" s="349">
        <v>495</v>
      </c>
      <c r="B506" s="358" t="s">
        <v>10787</v>
      </c>
      <c r="C506" s="359" t="s">
        <v>10788</v>
      </c>
      <c r="D506" s="360" t="s">
        <v>392</v>
      </c>
      <c r="E506" s="360" t="s">
        <v>10082</v>
      </c>
      <c r="F506" s="360" t="s">
        <v>10078</v>
      </c>
      <c r="G506" s="360" t="s">
        <v>10078</v>
      </c>
      <c r="H506" s="360">
        <v>0</v>
      </c>
      <c r="I506" s="358" t="s">
        <v>63</v>
      </c>
      <c r="J506" s="361" t="s">
        <v>10789</v>
      </c>
      <c r="K506" s="358" t="s">
        <v>10790</v>
      </c>
      <c r="L506" s="358"/>
      <c r="M506" s="360" t="s">
        <v>10084</v>
      </c>
      <c r="N506" s="358"/>
      <c r="O506" s="360" t="s">
        <v>57</v>
      </c>
      <c r="P506" s="362">
        <v>249500</v>
      </c>
      <c r="Q506" s="363" t="s">
        <v>10791</v>
      </c>
      <c r="R506" s="364" t="s">
        <v>758</v>
      </c>
      <c r="S506" s="340">
        <v>34</v>
      </c>
    </row>
    <row r="507" spans="1:19" ht="16" thickBot="1" x14ac:dyDescent="0.4">
      <c r="A507" s="357">
        <v>496</v>
      </c>
      <c r="B507" s="358" t="s">
        <v>10787</v>
      </c>
      <c r="C507" s="359" t="s">
        <v>10788</v>
      </c>
      <c r="D507" s="360" t="s">
        <v>398</v>
      </c>
      <c r="E507" s="360" t="s">
        <v>10082</v>
      </c>
      <c r="F507" s="360" t="s">
        <v>10078</v>
      </c>
      <c r="G507" s="360" t="s">
        <v>10078</v>
      </c>
      <c r="H507" s="360">
        <v>0</v>
      </c>
      <c r="I507" s="358" t="s">
        <v>63</v>
      </c>
      <c r="J507" s="361" t="s">
        <v>10789</v>
      </c>
      <c r="K507" s="358" t="s">
        <v>10790</v>
      </c>
      <c r="L507" s="358"/>
      <c r="M507" s="360" t="s">
        <v>10084</v>
      </c>
      <c r="N507" s="358"/>
      <c r="O507" s="360" t="s">
        <v>57</v>
      </c>
      <c r="P507" s="362">
        <v>249500</v>
      </c>
      <c r="Q507" s="363" t="s">
        <v>10791</v>
      </c>
      <c r="R507" s="364" t="s">
        <v>758</v>
      </c>
      <c r="S507" s="340">
        <v>34</v>
      </c>
    </row>
    <row r="508" spans="1:19" ht="15.5" x14ac:dyDescent="0.35">
      <c r="A508" s="349">
        <v>497</v>
      </c>
      <c r="B508" s="358" t="s">
        <v>10787</v>
      </c>
      <c r="C508" s="359" t="s">
        <v>10788</v>
      </c>
      <c r="D508" s="360" t="s">
        <v>403</v>
      </c>
      <c r="E508" s="360" t="s">
        <v>10082</v>
      </c>
      <c r="F508" s="360" t="s">
        <v>10078</v>
      </c>
      <c r="G508" s="360" t="s">
        <v>10078</v>
      </c>
      <c r="H508" s="360">
        <v>0</v>
      </c>
      <c r="I508" s="358" t="s">
        <v>63</v>
      </c>
      <c r="J508" s="361" t="s">
        <v>10789</v>
      </c>
      <c r="K508" s="358" t="s">
        <v>10790</v>
      </c>
      <c r="L508" s="358"/>
      <c r="M508" s="360" t="s">
        <v>10084</v>
      </c>
      <c r="N508" s="358"/>
      <c r="O508" s="360" t="s">
        <v>57</v>
      </c>
      <c r="P508" s="362">
        <v>249500</v>
      </c>
      <c r="Q508" s="363" t="s">
        <v>10791</v>
      </c>
      <c r="R508" s="364" t="s">
        <v>758</v>
      </c>
      <c r="S508" s="340">
        <v>34</v>
      </c>
    </row>
    <row r="509" spans="1:19" ht="16" thickBot="1" x14ac:dyDescent="0.4">
      <c r="A509" s="357">
        <v>498</v>
      </c>
      <c r="B509" s="358" t="s">
        <v>10787</v>
      </c>
      <c r="C509" s="359" t="s">
        <v>10788</v>
      </c>
      <c r="D509" s="360" t="s">
        <v>408</v>
      </c>
      <c r="E509" s="360" t="s">
        <v>10082</v>
      </c>
      <c r="F509" s="360" t="s">
        <v>10078</v>
      </c>
      <c r="G509" s="360" t="s">
        <v>10078</v>
      </c>
      <c r="H509" s="360">
        <v>0</v>
      </c>
      <c r="I509" s="358" t="s">
        <v>63</v>
      </c>
      <c r="J509" s="361" t="s">
        <v>10789</v>
      </c>
      <c r="K509" s="358" t="s">
        <v>10790</v>
      </c>
      <c r="L509" s="358"/>
      <c r="M509" s="360" t="s">
        <v>10084</v>
      </c>
      <c r="N509" s="358"/>
      <c r="O509" s="360" t="s">
        <v>57</v>
      </c>
      <c r="P509" s="362">
        <v>249500</v>
      </c>
      <c r="Q509" s="363" t="s">
        <v>10791</v>
      </c>
      <c r="R509" s="364" t="s">
        <v>758</v>
      </c>
      <c r="S509" s="340">
        <v>34</v>
      </c>
    </row>
    <row r="510" spans="1:19" ht="15.5" x14ac:dyDescent="0.35">
      <c r="A510" s="349">
        <v>499</v>
      </c>
      <c r="B510" s="358" t="s">
        <v>10787</v>
      </c>
      <c r="C510" s="359" t="s">
        <v>10788</v>
      </c>
      <c r="D510" s="360" t="s">
        <v>413</v>
      </c>
      <c r="E510" s="360" t="s">
        <v>10082</v>
      </c>
      <c r="F510" s="360" t="s">
        <v>10078</v>
      </c>
      <c r="G510" s="360" t="s">
        <v>10078</v>
      </c>
      <c r="H510" s="360">
        <v>0</v>
      </c>
      <c r="I510" s="358" t="s">
        <v>63</v>
      </c>
      <c r="J510" s="361" t="s">
        <v>10789</v>
      </c>
      <c r="K510" s="358" t="s">
        <v>10790</v>
      </c>
      <c r="L510" s="358"/>
      <c r="M510" s="360" t="s">
        <v>10084</v>
      </c>
      <c r="N510" s="358"/>
      <c r="O510" s="360" t="s">
        <v>57</v>
      </c>
      <c r="P510" s="362">
        <v>249500</v>
      </c>
      <c r="Q510" s="363" t="s">
        <v>10791</v>
      </c>
      <c r="R510" s="364" t="s">
        <v>758</v>
      </c>
      <c r="S510" s="340">
        <v>34</v>
      </c>
    </row>
    <row r="511" spans="1:19" ht="16" thickBot="1" x14ac:dyDescent="0.4">
      <c r="A511" s="357">
        <v>500</v>
      </c>
      <c r="B511" s="358" t="s">
        <v>10787</v>
      </c>
      <c r="C511" s="359" t="s">
        <v>10788</v>
      </c>
      <c r="D511" s="360" t="s">
        <v>3140</v>
      </c>
      <c r="E511" s="360" t="s">
        <v>10082</v>
      </c>
      <c r="F511" s="360" t="s">
        <v>10078</v>
      </c>
      <c r="G511" s="360" t="s">
        <v>10078</v>
      </c>
      <c r="H511" s="360">
        <v>0</v>
      </c>
      <c r="I511" s="358" t="s">
        <v>63</v>
      </c>
      <c r="J511" s="361" t="s">
        <v>10789</v>
      </c>
      <c r="K511" s="358" t="s">
        <v>10790</v>
      </c>
      <c r="L511" s="358"/>
      <c r="M511" s="360" t="s">
        <v>10084</v>
      </c>
      <c r="N511" s="358"/>
      <c r="O511" s="360" t="s">
        <v>57</v>
      </c>
      <c r="P511" s="362">
        <v>249500</v>
      </c>
      <c r="Q511" s="363" t="s">
        <v>10791</v>
      </c>
      <c r="R511" s="364" t="s">
        <v>758</v>
      </c>
      <c r="S511" s="340">
        <v>34</v>
      </c>
    </row>
    <row r="512" spans="1:19" ht="15.5" x14ac:dyDescent="0.35">
      <c r="A512" s="349">
        <v>501</v>
      </c>
      <c r="B512" s="358" t="s">
        <v>10787</v>
      </c>
      <c r="C512" s="359" t="s">
        <v>10788</v>
      </c>
      <c r="D512" s="360" t="s">
        <v>1450</v>
      </c>
      <c r="E512" s="360" t="s">
        <v>10082</v>
      </c>
      <c r="F512" s="360" t="s">
        <v>10078</v>
      </c>
      <c r="G512" s="360" t="s">
        <v>10078</v>
      </c>
      <c r="H512" s="360">
        <v>0</v>
      </c>
      <c r="I512" s="358" t="s">
        <v>63</v>
      </c>
      <c r="J512" s="361" t="s">
        <v>10789</v>
      </c>
      <c r="K512" s="358" t="s">
        <v>10790</v>
      </c>
      <c r="L512" s="358"/>
      <c r="M512" s="360" t="s">
        <v>10084</v>
      </c>
      <c r="N512" s="358"/>
      <c r="O512" s="360" t="s">
        <v>57</v>
      </c>
      <c r="P512" s="362">
        <v>249500</v>
      </c>
      <c r="Q512" s="363" t="s">
        <v>10791</v>
      </c>
      <c r="R512" s="364" t="s">
        <v>758</v>
      </c>
      <c r="S512" s="340">
        <v>34</v>
      </c>
    </row>
    <row r="513" spans="1:19" ht="16" thickBot="1" x14ac:dyDescent="0.4">
      <c r="A513" s="357">
        <v>502</v>
      </c>
      <c r="B513" s="358" t="s">
        <v>10787</v>
      </c>
      <c r="C513" s="359" t="s">
        <v>10788</v>
      </c>
      <c r="D513" s="360" t="s">
        <v>1456</v>
      </c>
      <c r="E513" s="360" t="s">
        <v>10082</v>
      </c>
      <c r="F513" s="360" t="s">
        <v>10078</v>
      </c>
      <c r="G513" s="360" t="s">
        <v>10078</v>
      </c>
      <c r="H513" s="360">
        <v>0</v>
      </c>
      <c r="I513" s="358" t="s">
        <v>63</v>
      </c>
      <c r="J513" s="361" t="s">
        <v>10789</v>
      </c>
      <c r="K513" s="358" t="s">
        <v>10790</v>
      </c>
      <c r="L513" s="358"/>
      <c r="M513" s="360" t="s">
        <v>10084</v>
      </c>
      <c r="N513" s="358"/>
      <c r="O513" s="360" t="s">
        <v>57</v>
      </c>
      <c r="P513" s="362">
        <v>249500</v>
      </c>
      <c r="Q513" s="363" t="s">
        <v>10791</v>
      </c>
      <c r="R513" s="364" t="s">
        <v>758</v>
      </c>
      <c r="S513" s="340">
        <v>34</v>
      </c>
    </row>
    <row r="514" spans="1:19" ht="15.5" x14ac:dyDescent="0.35">
      <c r="A514" s="349">
        <v>503</v>
      </c>
      <c r="B514" s="364" t="s">
        <v>10787</v>
      </c>
      <c r="C514" s="365" t="s">
        <v>10788</v>
      </c>
      <c r="D514" s="366" t="s">
        <v>1462</v>
      </c>
      <c r="E514" s="366" t="s">
        <v>10082</v>
      </c>
      <c r="F514" s="366" t="s">
        <v>10078</v>
      </c>
      <c r="G514" s="366" t="s">
        <v>10078</v>
      </c>
      <c r="H514" s="366">
        <v>0</v>
      </c>
      <c r="I514" s="364" t="s">
        <v>63</v>
      </c>
      <c r="J514" s="367" t="s">
        <v>10789</v>
      </c>
      <c r="K514" s="364" t="s">
        <v>10790</v>
      </c>
      <c r="L514" s="358"/>
      <c r="M514" s="366" t="s">
        <v>10084</v>
      </c>
      <c r="N514" s="358"/>
      <c r="O514" s="366" t="s">
        <v>57</v>
      </c>
      <c r="P514" s="368">
        <v>249500</v>
      </c>
      <c r="Q514" s="369" t="s">
        <v>10791</v>
      </c>
      <c r="R514" s="364" t="s">
        <v>758</v>
      </c>
      <c r="S514" s="340">
        <v>34</v>
      </c>
    </row>
    <row r="515" spans="1:19" ht="16" thickBot="1" x14ac:dyDescent="0.4">
      <c r="A515" s="357">
        <v>504</v>
      </c>
      <c r="B515" s="364" t="s">
        <v>10787</v>
      </c>
      <c r="C515" s="365" t="s">
        <v>10788</v>
      </c>
      <c r="D515" s="366" t="s">
        <v>1469</v>
      </c>
      <c r="E515" s="366" t="s">
        <v>10082</v>
      </c>
      <c r="F515" s="366" t="s">
        <v>10078</v>
      </c>
      <c r="G515" s="366" t="s">
        <v>10078</v>
      </c>
      <c r="H515" s="366">
        <v>0</v>
      </c>
      <c r="I515" s="364" t="s">
        <v>63</v>
      </c>
      <c r="J515" s="361" t="s">
        <v>10789</v>
      </c>
      <c r="K515" s="358" t="s">
        <v>10790</v>
      </c>
      <c r="L515" s="358"/>
      <c r="M515" s="366" t="s">
        <v>10084</v>
      </c>
      <c r="N515" s="358"/>
      <c r="O515" s="366" t="s">
        <v>57</v>
      </c>
      <c r="P515" s="368">
        <v>249500</v>
      </c>
      <c r="Q515" s="369" t="s">
        <v>10791</v>
      </c>
      <c r="R515" s="364" t="s">
        <v>758</v>
      </c>
      <c r="S515" s="340">
        <v>34</v>
      </c>
    </row>
    <row r="516" spans="1:19" ht="15.5" x14ac:dyDescent="0.35">
      <c r="A516" s="349">
        <v>505</v>
      </c>
      <c r="B516" s="364" t="s">
        <v>10787</v>
      </c>
      <c r="C516" s="365" t="s">
        <v>10788</v>
      </c>
      <c r="D516" s="366" t="s">
        <v>1475</v>
      </c>
      <c r="E516" s="366" t="s">
        <v>10082</v>
      </c>
      <c r="F516" s="366" t="s">
        <v>10078</v>
      </c>
      <c r="G516" s="366" t="s">
        <v>10078</v>
      </c>
      <c r="H516" s="366">
        <v>0</v>
      </c>
      <c r="I516" s="364" t="s">
        <v>63</v>
      </c>
      <c r="J516" s="367" t="s">
        <v>10789</v>
      </c>
      <c r="K516" s="364" t="s">
        <v>10790</v>
      </c>
      <c r="L516" s="358"/>
      <c r="M516" s="366" t="s">
        <v>10084</v>
      </c>
      <c r="N516" s="358"/>
      <c r="O516" s="360" t="s">
        <v>57</v>
      </c>
      <c r="P516" s="368">
        <v>249500</v>
      </c>
      <c r="Q516" s="369" t="s">
        <v>10791</v>
      </c>
      <c r="R516" s="364" t="s">
        <v>758</v>
      </c>
      <c r="S516" s="340">
        <v>34</v>
      </c>
    </row>
    <row r="517" spans="1:19" ht="16" thickBot="1" x14ac:dyDescent="0.4">
      <c r="A517" s="357">
        <v>506</v>
      </c>
      <c r="B517" s="364" t="s">
        <v>10787</v>
      </c>
      <c r="C517" s="365" t="s">
        <v>10788</v>
      </c>
      <c r="D517" s="366" t="s">
        <v>1480</v>
      </c>
      <c r="E517" s="366" t="s">
        <v>10082</v>
      </c>
      <c r="F517" s="366" t="s">
        <v>10078</v>
      </c>
      <c r="G517" s="366" t="s">
        <v>10078</v>
      </c>
      <c r="H517" s="366">
        <v>0</v>
      </c>
      <c r="I517" s="364" t="s">
        <v>63</v>
      </c>
      <c r="J517" s="361" t="s">
        <v>10789</v>
      </c>
      <c r="K517" s="358" t="s">
        <v>10790</v>
      </c>
      <c r="L517" s="358"/>
      <c r="M517" s="366" t="s">
        <v>10084</v>
      </c>
      <c r="N517" s="358"/>
      <c r="O517" s="360" t="s">
        <v>57</v>
      </c>
      <c r="P517" s="368">
        <v>249500</v>
      </c>
      <c r="Q517" s="369" t="s">
        <v>10791</v>
      </c>
      <c r="R517" s="364" t="s">
        <v>758</v>
      </c>
      <c r="S517" s="340">
        <v>34</v>
      </c>
    </row>
    <row r="518" spans="1:19" ht="15.5" x14ac:dyDescent="0.35">
      <c r="A518" s="349">
        <v>507</v>
      </c>
      <c r="B518" s="364" t="s">
        <v>10787</v>
      </c>
      <c r="C518" s="365" t="s">
        <v>10788</v>
      </c>
      <c r="D518" s="366" t="s">
        <v>1485</v>
      </c>
      <c r="E518" s="366" t="s">
        <v>10082</v>
      </c>
      <c r="F518" s="366" t="s">
        <v>10078</v>
      </c>
      <c r="G518" s="366" t="s">
        <v>10078</v>
      </c>
      <c r="H518" s="366">
        <v>0</v>
      </c>
      <c r="I518" s="364" t="s">
        <v>63</v>
      </c>
      <c r="J518" s="361" t="s">
        <v>10789</v>
      </c>
      <c r="K518" s="358" t="s">
        <v>10790</v>
      </c>
      <c r="L518" s="358"/>
      <c r="M518" s="366" t="s">
        <v>10084</v>
      </c>
      <c r="N518" s="358"/>
      <c r="O518" s="360" t="s">
        <v>57</v>
      </c>
      <c r="P518" s="368">
        <v>249500</v>
      </c>
      <c r="Q518" s="369" t="s">
        <v>10791</v>
      </c>
      <c r="R518" s="364" t="s">
        <v>758</v>
      </c>
      <c r="S518" s="340">
        <v>34</v>
      </c>
    </row>
    <row r="519" spans="1:19" ht="16" thickBot="1" x14ac:dyDescent="0.4">
      <c r="A519" s="357">
        <v>508</v>
      </c>
      <c r="B519" s="364" t="s">
        <v>10787</v>
      </c>
      <c r="C519" s="365" t="s">
        <v>10788</v>
      </c>
      <c r="D519" s="366" t="s">
        <v>1490</v>
      </c>
      <c r="E519" s="366" t="s">
        <v>10082</v>
      </c>
      <c r="F519" s="366" t="s">
        <v>10078</v>
      </c>
      <c r="G519" s="366" t="s">
        <v>10078</v>
      </c>
      <c r="H519" s="366">
        <v>0</v>
      </c>
      <c r="I519" s="364" t="s">
        <v>63</v>
      </c>
      <c r="J519" s="367" t="s">
        <v>10789</v>
      </c>
      <c r="K519" s="364" t="s">
        <v>10790</v>
      </c>
      <c r="L519" s="358"/>
      <c r="M519" s="366" t="s">
        <v>10084</v>
      </c>
      <c r="N519" s="358"/>
      <c r="O519" s="360" t="s">
        <v>57</v>
      </c>
      <c r="P519" s="368">
        <v>249500</v>
      </c>
      <c r="Q519" s="369" t="s">
        <v>10791</v>
      </c>
      <c r="R519" s="364" t="s">
        <v>758</v>
      </c>
      <c r="S519" s="340">
        <v>34</v>
      </c>
    </row>
    <row r="520" spans="1:19" ht="15.5" x14ac:dyDescent="0.35">
      <c r="A520" s="349">
        <v>509</v>
      </c>
      <c r="B520" s="364" t="s">
        <v>10787</v>
      </c>
      <c r="C520" s="365" t="s">
        <v>10788</v>
      </c>
      <c r="D520" s="366" t="s">
        <v>1498</v>
      </c>
      <c r="E520" s="366" t="s">
        <v>10082</v>
      </c>
      <c r="F520" s="366" t="s">
        <v>10078</v>
      </c>
      <c r="G520" s="366" t="s">
        <v>10078</v>
      </c>
      <c r="H520" s="366">
        <v>0</v>
      </c>
      <c r="I520" s="364" t="s">
        <v>63</v>
      </c>
      <c r="J520" s="367" t="s">
        <v>10789</v>
      </c>
      <c r="K520" s="364" t="s">
        <v>10790</v>
      </c>
      <c r="L520" s="358"/>
      <c r="M520" s="366" t="s">
        <v>10084</v>
      </c>
      <c r="N520" s="358"/>
      <c r="O520" s="360" t="s">
        <v>57</v>
      </c>
      <c r="P520" s="368">
        <v>249500</v>
      </c>
      <c r="Q520" s="369" t="s">
        <v>10791</v>
      </c>
      <c r="R520" s="364" t="s">
        <v>758</v>
      </c>
      <c r="S520" s="340">
        <v>34</v>
      </c>
    </row>
    <row r="521" spans="1:19" ht="16" thickBot="1" x14ac:dyDescent="0.4">
      <c r="A521" s="357">
        <v>510</v>
      </c>
      <c r="B521" s="364" t="s">
        <v>10787</v>
      </c>
      <c r="C521" s="365" t="s">
        <v>10788</v>
      </c>
      <c r="D521" s="366" t="s">
        <v>1506</v>
      </c>
      <c r="E521" s="366" t="s">
        <v>10082</v>
      </c>
      <c r="F521" s="366" t="s">
        <v>10078</v>
      </c>
      <c r="G521" s="366" t="s">
        <v>10078</v>
      </c>
      <c r="H521" s="366">
        <v>0</v>
      </c>
      <c r="I521" s="364" t="s">
        <v>63</v>
      </c>
      <c r="J521" s="367" t="s">
        <v>10789</v>
      </c>
      <c r="K521" s="364" t="s">
        <v>10790</v>
      </c>
      <c r="L521" s="358"/>
      <c r="M521" s="366" t="s">
        <v>10084</v>
      </c>
      <c r="N521" s="358"/>
      <c r="O521" s="360" t="s">
        <v>57</v>
      </c>
      <c r="P521" s="368">
        <v>249500</v>
      </c>
      <c r="Q521" s="369" t="s">
        <v>10791</v>
      </c>
      <c r="R521" s="364" t="s">
        <v>758</v>
      </c>
      <c r="S521" s="340">
        <v>34</v>
      </c>
    </row>
    <row r="522" spans="1:19" ht="15.5" x14ac:dyDescent="0.35">
      <c r="A522" s="349">
        <v>511</v>
      </c>
      <c r="B522" s="364" t="s">
        <v>10787</v>
      </c>
      <c r="C522" s="365" t="s">
        <v>10788</v>
      </c>
      <c r="D522" s="366" t="s">
        <v>1511</v>
      </c>
      <c r="E522" s="366" t="s">
        <v>10082</v>
      </c>
      <c r="F522" s="366" t="s">
        <v>10078</v>
      </c>
      <c r="G522" s="366" t="s">
        <v>10078</v>
      </c>
      <c r="H522" s="366">
        <v>0</v>
      </c>
      <c r="I522" s="364" t="s">
        <v>63</v>
      </c>
      <c r="J522" s="361" t="s">
        <v>10789</v>
      </c>
      <c r="K522" s="358" t="s">
        <v>10790</v>
      </c>
      <c r="L522" s="358"/>
      <c r="M522" s="366" t="s">
        <v>10084</v>
      </c>
      <c r="N522" s="358"/>
      <c r="O522" s="360" t="s">
        <v>57</v>
      </c>
      <c r="P522" s="368">
        <v>249500</v>
      </c>
      <c r="Q522" s="369" t="s">
        <v>10791</v>
      </c>
      <c r="R522" s="364" t="s">
        <v>758</v>
      </c>
      <c r="S522" s="340">
        <v>34</v>
      </c>
    </row>
    <row r="523" spans="1:19" ht="16" thickBot="1" x14ac:dyDescent="0.4">
      <c r="A523" s="357">
        <v>512</v>
      </c>
      <c r="B523" s="364" t="s">
        <v>10787</v>
      </c>
      <c r="C523" s="365" t="s">
        <v>10788</v>
      </c>
      <c r="D523" s="366" t="s">
        <v>1520</v>
      </c>
      <c r="E523" s="366" t="s">
        <v>10082</v>
      </c>
      <c r="F523" s="366" t="s">
        <v>10078</v>
      </c>
      <c r="G523" s="366" t="s">
        <v>10078</v>
      </c>
      <c r="H523" s="366">
        <v>0</v>
      </c>
      <c r="I523" s="364" t="s">
        <v>63</v>
      </c>
      <c r="J523" s="361" t="s">
        <v>10789</v>
      </c>
      <c r="K523" s="358" t="s">
        <v>10790</v>
      </c>
      <c r="L523" s="358"/>
      <c r="M523" s="366" t="s">
        <v>10084</v>
      </c>
      <c r="N523" s="358"/>
      <c r="O523" s="360" t="s">
        <v>57</v>
      </c>
      <c r="P523" s="368">
        <v>249500</v>
      </c>
      <c r="Q523" s="369" t="s">
        <v>10791</v>
      </c>
      <c r="R523" s="364" t="s">
        <v>758</v>
      </c>
      <c r="S523" s="340">
        <v>34</v>
      </c>
    </row>
    <row r="524" spans="1:19" ht="15.5" x14ac:dyDescent="0.35">
      <c r="A524" s="349">
        <v>513</v>
      </c>
      <c r="B524" s="364" t="s">
        <v>10787</v>
      </c>
      <c r="C524" s="365" t="s">
        <v>10788</v>
      </c>
      <c r="D524" s="366" t="s">
        <v>1526</v>
      </c>
      <c r="E524" s="366" t="s">
        <v>10082</v>
      </c>
      <c r="F524" s="366" t="s">
        <v>10078</v>
      </c>
      <c r="G524" s="366" t="s">
        <v>10078</v>
      </c>
      <c r="H524" s="366">
        <v>0</v>
      </c>
      <c r="I524" s="364" t="s">
        <v>63</v>
      </c>
      <c r="J524" s="361" t="s">
        <v>10789</v>
      </c>
      <c r="K524" s="358" t="s">
        <v>10790</v>
      </c>
      <c r="L524" s="358"/>
      <c r="M524" s="366" t="s">
        <v>10084</v>
      </c>
      <c r="N524" s="358"/>
      <c r="O524" s="360" t="s">
        <v>57</v>
      </c>
      <c r="P524" s="368">
        <v>249500</v>
      </c>
      <c r="Q524" s="369" t="s">
        <v>10791</v>
      </c>
      <c r="R524" s="364" t="s">
        <v>758</v>
      </c>
      <c r="S524" s="340">
        <v>34</v>
      </c>
    </row>
    <row r="525" spans="1:19" ht="16" thickBot="1" x14ac:dyDescent="0.4">
      <c r="A525" s="357">
        <v>514</v>
      </c>
      <c r="B525" s="364" t="s">
        <v>10787</v>
      </c>
      <c r="C525" s="365" t="s">
        <v>10788</v>
      </c>
      <c r="D525" s="366" t="s">
        <v>1532</v>
      </c>
      <c r="E525" s="366" t="s">
        <v>10082</v>
      </c>
      <c r="F525" s="366" t="s">
        <v>10078</v>
      </c>
      <c r="G525" s="366" t="s">
        <v>10078</v>
      </c>
      <c r="H525" s="366">
        <v>0</v>
      </c>
      <c r="I525" s="364" t="s">
        <v>63</v>
      </c>
      <c r="J525" s="361" t="s">
        <v>10789</v>
      </c>
      <c r="K525" s="358" t="s">
        <v>10790</v>
      </c>
      <c r="L525" s="358"/>
      <c r="M525" s="366" t="s">
        <v>10084</v>
      </c>
      <c r="N525" s="358"/>
      <c r="O525" s="360" t="s">
        <v>57</v>
      </c>
      <c r="P525" s="368">
        <v>249500</v>
      </c>
      <c r="Q525" s="369" t="s">
        <v>10791</v>
      </c>
      <c r="R525" s="364" t="s">
        <v>758</v>
      </c>
      <c r="S525" s="340">
        <v>34</v>
      </c>
    </row>
    <row r="526" spans="1:19" ht="15.5" x14ac:dyDescent="0.35">
      <c r="A526" s="349">
        <v>515</v>
      </c>
      <c r="B526" s="364" t="s">
        <v>10787</v>
      </c>
      <c r="C526" s="365" t="s">
        <v>10788</v>
      </c>
      <c r="D526" s="366" t="s">
        <v>1537</v>
      </c>
      <c r="E526" s="366" t="s">
        <v>10082</v>
      </c>
      <c r="F526" s="366" t="s">
        <v>10078</v>
      </c>
      <c r="G526" s="366" t="s">
        <v>10078</v>
      </c>
      <c r="H526" s="366">
        <v>0</v>
      </c>
      <c r="I526" s="364" t="s">
        <v>63</v>
      </c>
      <c r="J526" s="361" t="s">
        <v>10789</v>
      </c>
      <c r="K526" s="358" t="s">
        <v>10790</v>
      </c>
      <c r="L526" s="358"/>
      <c r="M526" s="366" t="s">
        <v>10084</v>
      </c>
      <c r="N526" s="358"/>
      <c r="O526" s="360" t="s">
        <v>57</v>
      </c>
      <c r="P526" s="368">
        <v>249500</v>
      </c>
      <c r="Q526" s="369" t="s">
        <v>10791</v>
      </c>
      <c r="R526" s="364" t="s">
        <v>758</v>
      </c>
      <c r="S526" s="340">
        <v>34</v>
      </c>
    </row>
    <row r="527" spans="1:19" ht="16" thickBot="1" x14ac:dyDescent="0.4">
      <c r="A527" s="357">
        <v>516</v>
      </c>
      <c r="B527" s="364" t="s">
        <v>10787</v>
      </c>
      <c r="C527" s="365" t="s">
        <v>10788</v>
      </c>
      <c r="D527" s="366" t="s">
        <v>1543</v>
      </c>
      <c r="E527" s="366" t="s">
        <v>10082</v>
      </c>
      <c r="F527" s="366" t="s">
        <v>10078</v>
      </c>
      <c r="G527" s="366" t="s">
        <v>10078</v>
      </c>
      <c r="H527" s="366">
        <v>0</v>
      </c>
      <c r="I527" s="364" t="s">
        <v>63</v>
      </c>
      <c r="J527" s="361" t="s">
        <v>10789</v>
      </c>
      <c r="K527" s="358" t="s">
        <v>10790</v>
      </c>
      <c r="L527" s="358"/>
      <c r="M527" s="366" t="s">
        <v>10084</v>
      </c>
      <c r="N527" s="358"/>
      <c r="O527" s="360" t="s">
        <v>57</v>
      </c>
      <c r="P527" s="368">
        <v>249500</v>
      </c>
      <c r="Q527" s="369" t="s">
        <v>10791</v>
      </c>
      <c r="R527" s="364" t="s">
        <v>758</v>
      </c>
      <c r="S527" s="340">
        <v>34</v>
      </c>
    </row>
    <row r="528" spans="1:19" ht="15.5" x14ac:dyDescent="0.35">
      <c r="A528" s="349">
        <v>517</v>
      </c>
      <c r="B528" s="364" t="s">
        <v>10787</v>
      </c>
      <c r="C528" s="365" t="s">
        <v>10788</v>
      </c>
      <c r="D528" s="366" t="s">
        <v>1548</v>
      </c>
      <c r="E528" s="366" t="s">
        <v>10082</v>
      </c>
      <c r="F528" s="366" t="s">
        <v>10078</v>
      </c>
      <c r="G528" s="366" t="s">
        <v>10078</v>
      </c>
      <c r="H528" s="366">
        <v>0</v>
      </c>
      <c r="I528" s="364" t="s">
        <v>63</v>
      </c>
      <c r="J528" s="361" t="s">
        <v>10789</v>
      </c>
      <c r="K528" s="358" t="s">
        <v>10790</v>
      </c>
      <c r="L528" s="358"/>
      <c r="M528" s="366" t="s">
        <v>10084</v>
      </c>
      <c r="N528" s="358"/>
      <c r="O528" s="360" t="s">
        <v>57</v>
      </c>
      <c r="P528" s="368">
        <v>249500</v>
      </c>
      <c r="Q528" s="369" t="s">
        <v>10791</v>
      </c>
      <c r="R528" s="364" t="s">
        <v>758</v>
      </c>
      <c r="S528" s="340">
        <v>34</v>
      </c>
    </row>
    <row r="529" spans="1:19" ht="16" thickBot="1" x14ac:dyDescent="0.4">
      <c r="A529" s="357">
        <v>518</v>
      </c>
      <c r="B529" s="364" t="s">
        <v>10787</v>
      </c>
      <c r="C529" s="365" t="s">
        <v>10788</v>
      </c>
      <c r="D529" s="366" t="s">
        <v>7325</v>
      </c>
      <c r="E529" s="366" t="s">
        <v>10082</v>
      </c>
      <c r="F529" s="366" t="s">
        <v>10078</v>
      </c>
      <c r="G529" s="366" t="s">
        <v>10078</v>
      </c>
      <c r="H529" s="366">
        <v>0</v>
      </c>
      <c r="I529" s="364" t="s">
        <v>63</v>
      </c>
      <c r="J529" s="361" t="s">
        <v>10789</v>
      </c>
      <c r="K529" s="358" t="s">
        <v>10790</v>
      </c>
      <c r="L529" s="358"/>
      <c r="M529" s="366" t="s">
        <v>10084</v>
      </c>
      <c r="N529" s="358"/>
      <c r="O529" s="360" t="s">
        <v>57</v>
      </c>
      <c r="P529" s="368">
        <v>249500</v>
      </c>
      <c r="Q529" s="369" t="s">
        <v>10791</v>
      </c>
      <c r="R529" s="364" t="s">
        <v>758</v>
      </c>
      <c r="S529" s="340">
        <v>34</v>
      </c>
    </row>
    <row r="530" spans="1:19" ht="15.5" x14ac:dyDescent="0.35">
      <c r="A530" s="349">
        <v>519</v>
      </c>
      <c r="B530" s="364" t="s">
        <v>10787</v>
      </c>
      <c r="C530" s="365" t="s">
        <v>10788</v>
      </c>
      <c r="D530" s="366" t="s">
        <v>6076</v>
      </c>
      <c r="E530" s="366" t="s">
        <v>10082</v>
      </c>
      <c r="F530" s="366" t="s">
        <v>10078</v>
      </c>
      <c r="G530" s="366" t="s">
        <v>10078</v>
      </c>
      <c r="H530" s="366">
        <v>0</v>
      </c>
      <c r="I530" s="364" t="s">
        <v>63</v>
      </c>
      <c r="J530" s="361" t="s">
        <v>10789</v>
      </c>
      <c r="K530" s="358" t="s">
        <v>10790</v>
      </c>
      <c r="L530" s="358"/>
      <c r="M530" s="366" t="s">
        <v>10084</v>
      </c>
      <c r="N530" s="358"/>
      <c r="O530" s="360" t="s">
        <v>57</v>
      </c>
      <c r="P530" s="368">
        <v>249500</v>
      </c>
      <c r="Q530" s="369" t="s">
        <v>10791</v>
      </c>
      <c r="R530" s="364" t="s">
        <v>758</v>
      </c>
      <c r="S530" s="340">
        <v>34</v>
      </c>
    </row>
    <row r="531" spans="1:19" ht="16" thickBot="1" x14ac:dyDescent="0.4">
      <c r="A531" s="357">
        <v>520</v>
      </c>
      <c r="B531" s="364" t="s">
        <v>10787</v>
      </c>
      <c r="C531" s="365" t="s">
        <v>10788</v>
      </c>
      <c r="D531" s="366" t="s">
        <v>6081</v>
      </c>
      <c r="E531" s="366" t="s">
        <v>10082</v>
      </c>
      <c r="F531" s="366" t="s">
        <v>10078</v>
      </c>
      <c r="G531" s="366" t="s">
        <v>10078</v>
      </c>
      <c r="H531" s="366">
        <v>0</v>
      </c>
      <c r="I531" s="364" t="s">
        <v>63</v>
      </c>
      <c r="J531" s="361" t="s">
        <v>10789</v>
      </c>
      <c r="K531" s="358" t="s">
        <v>10790</v>
      </c>
      <c r="L531" s="358"/>
      <c r="M531" s="366" t="s">
        <v>10084</v>
      </c>
      <c r="N531" s="358"/>
      <c r="O531" s="366" t="s">
        <v>57</v>
      </c>
      <c r="P531" s="368">
        <v>249500</v>
      </c>
      <c r="Q531" s="369" t="s">
        <v>10791</v>
      </c>
      <c r="R531" s="364" t="s">
        <v>758</v>
      </c>
      <c r="S531" s="340">
        <v>34</v>
      </c>
    </row>
    <row r="532" spans="1:19" ht="15.5" x14ac:dyDescent="0.35">
      <c r="A532" s="349">
        <v>521</v>
      </c>
      <c r="B532" s="364" t="s">
        <v>10787</v>
      </c>
      <c r="C532" s="365" t="s">
        <v>10788</v>
      </c>
      <c r="D532" s="366" t="s">
        <v>6085</v>
      </c>
      <c r="E532" s="366" t="s">
        <v>10082</v>
      </c>
      <c r="F532" s="366" t="s">
        <v>10078</v>
      </c>
      <c r="G532" s="366" t="s">
        <v>10078</v>
      </c>
      <c r="H532" s="366">
        <v>0</v>
      </c>
      <c r="I532" s="364" t="s">
        <v>63</v>
      </c>
      <c r="J532" s="361" t="s">
        <v>10789</v>
      </c>
      <c r="K532" s="358" t="s">
        <v>10790</v>
      </c>
      <c r="L532" s="358"/>
      <c r="M532" s="366" t="s">
        <v>10084</v>
      </c>
      <c r="N532" s="358"/>
      <c r="O532" s="366" t="s">
        <v>57</v>
      </c>
      <c r="P532" s="368">
        <v>249500</v>
      </c>
      <c r="Q532" s="369" t="s">
        <v>10791</v>
      </c>
      <c r="R532" s="364" t="s">
        <v>758</v>
      </c>
      <c r="S532" s="340">
        <v>34</v>
      </c>
    </row>
    <row r="533" spans="1:19" ht="16" thickBot="1" x14ac:dyDescent="0.4">
      <c r="A533" s="357">
        <v>522</v>
      </c>
      <c r="B533" s="364" t="s">
        <v>10787</v>
      </c>
      <c r="C533" s="365" t="s">
        <v>10788</v>
      </c>
      <c r="D533" s="366" t="s">
        <v>6089</v>
      </c>
      <c r="E533" s="366" t="s">
        <v>10082</v>
      </c>
      <c r="F533" s="366" t="s">
        <v>10078</v>
      </c>
      <c r="G533" s="366" t="s">
        <v>10078</v>
      </c>
      <c r="H533" s="366">
        <v>0</v>
      </c>
      <c r="I533" s="364" t="s">
        <v>63</v>
      </c>
      <c r="J533" s="361" t="s">
        <v>10789</v>
      </c>
      <c r="K533" s="358" t="s">
        <v>10790</v>
      </c>
      <c r="L533" s="358"/>
      <c r="M533" s="366" t="s">
        <v>10084</v>
      </c>
      <c r="N533" s="358"/>
      <c r="O533" s="366" t="s">
        <v>57</v>
      </c>
      <c r="P533" s="368">
        <v>249500</v>
      </c>
      <c r="Q533" s="369" t="s">
        <v>10791</v>
      </c>
      <c r="R533" s="364" t="s">
        <v>758</v>
      </c>
      <c r="S533" s="340">
        <v>34</v>
      </c>
    </row>
    <row r="534" spans="1:19" ht="15.5" x14ac:dyDescent="0.35">
      <c r="A534" s="349">
        <v>523</v>
      </c>
      <c r="B534" s="364" t="s">
        <v>10787</v>
      </c>
      <c r="C534" s="365" t="s">
        <v>10788</v>
      </c>
      <c r="D534" s="366" t="s">
        <v>7341</v>
      </c>
      <c r="E534" s="366" t="s">
        <v>10082</v>
      </c>
      <c r="F534" s="366" t="s">
        <v>10078</v>
      </c>
      <c r="G534" s="366" t="s">
        <v>10078</v>
      </c>
      <c r="H534" s="366">
        <v>0</v>
      </c>
      <c r="I534" s="364" t="s">
        <v>63</v>
      </c>
      <c r="J534" s="361" t="s">
        <v>10789</v>
      </c>
      <c r="K534" s="358" t="s">
        <v>10790</v>
      </c>
      <c r="L534" s="358"/>
      <c r="M534" s="366" t="s">
        <v>10084</v>
      </c>
      <c r="N534" s="358"/>
      <c r="O534" s="366" t="s">
        <v>57</v>
      </c>
      <c r="P534" s="368">
        <v>249500</v>
      </c>
      <c r="Q534" s="369" t="s">
        <v>10791</v>
      </c>
      <c r="R534" s="364" t="s">
        <v>758</v>
      </c>
      <c r="S534" s="340">
        <v>34</v>
      </c>
    </row>
    <row r="535" spans="1:19" ht="16" thickBot="1" x14ac:dyDescent="0.4">
      <c r="A535" s="357">
        <v>524</v>
      </c>
      <c r="B535" s="364" t="s">
        <v>10787</v>
      </c>
      <c r="C535" s="365" t="s">
        <v>10788</v>
      </c>
      <c r="D535" s="366" t="s">
        <v>6092</v>
      </c>
      <c r="E535" s="366" t="s">
        <v>10082</v>
      </c>
      <c r="F535" s="366" t="s">
        <v>10078</v>
      </c>
      <c r="G535" s="366" t="s">
        <v>10078</v>
      </c>
      <c r="H535" s="366">
        <v>0</v>
      </c>
      <c r="I535" s="364" t="s">
        <v>63</v>
      </c>
      <c r="J535" s="361" t="s">
        <v>10789</v>
      </c>
      <c r="K535" s="358" t="s">
        <v>10790</v>
      </c>
      <c r="L535" s="358"/>
      <c r="M535" s="366" t="s">
        <v>10084</v>
      </c>
      <c r="N535" s="358"/>
      <c r="O535" s="366" t="s">
        <v>57</v>
      </c>
      <c r="P535" s="368">
        <v>249500</v>
      </c>
      <c r="Q535" s="369" t="s">
        <v>10791</v>
      </c>
      <c r="R535" s="364" t="s">
        <v>758</v>
      </c>
      <c r="S535" s="340">
        <v>34</v>
      </c>
    </row>
    <row r="536" spans="1:19" ht="15.5" x14ac:dyDescent="0.35">
      <c r="A536" s="349">
        <v>525</v>
      </c>
      <c r="B536" s="364" t="s">
        <v>10787</v>
      </c>
      <c r="C536" s="365" t="s">
        <v>10788</v>
      </c>
      <c r="D536" s="366" t="s">
        <v>7348</v>
      </c>
      <c r="E536" s="366" t="s">
        <v>10082</v>
      </c>
      <c r="F536" s="366" t="s">
        <v>10078</v>
      </c>
      <c r="G536" s="366" t="s">
        <v>10078</v>
      </c>
      <c r="H536" s="366">
        <v>0</v>
      </c>
      <c r="I536" s="364" t="s">
        <v>63</v>
      </c>
      <c r="J536" s="361" t="s">
        <v>10789</v>
      </c>
      <c r="K536" s="358" t="s">
        <v>10790</v>
      </c>
      <c r="L536" s="358"/>
      <c r="M536" s="366" t="s">
        <v>10084</v>
      </c>
      <c r="N536" s="358"/>
      <c r="O536" s="366" t="s">
        <v>57</v>
      </c>
      <c r="P536" s="368">
        <v>249500</v>
      </c>
      <c r="Q536" s="369" t="s">
        <v>10791</v>
      </c>
      <c r="R536" s="364" t="s">
        <v>758</v>
      </c>
      <c r="S536" s="340">
        <v>34</v>
      </c>
    </row>
    <row r="537" spans="1:19" ht="16" thickBot="1" x14ac:dyDescent="0.4">
      <c r="A537" s="357">
        <v>526</v>
      </c>
      <c r="B537" s="364" t="s">
        <v>10787</v>
      </c>
      <c r="C537" s="365" t="s">
        <v>10788</v>
      </c>
      <c r="D537" s="366" t="s">
        <v>6097</v>
      </c>
      <c r="E537" s="366" t="s">
        <v>10082</v>
      </c>
      <c r="F537" s="366" t="s">
        <v>10078</v>
      </c>
      <c r="G537" s="366" t="s">
        <v>10078</v>
      </c>
      <c r="H537" s="366">
        <v>0</v>
      </c>
      <c r="I537" s="364" t="s">
        <v>63</v>
      </c>
      <c r="J537" s="361" t="s">
        <v>10789</v>
      </c>
      <c r="K537" s="358" t="s">
        <v>10790</v>
      </c>
      <c r="L537" s="358"/>
      <c r="M537" s="366" t="s">
        <v>10084</v>
      </c>
      <c r="N537" s="358"/>
      <c r="O537" s="366" t="s">
        <v>57</v>
      </c>
      <c r="P537" s="368">
        <v>249500</v>
      </c>
      <c r="Q537" s="369" t="s">
        <v>10791</v>
      </c>
      <c r="R537" s="364" t="s">
        <v>758</v>
      </c>
      <c r="S537" s="340">
        <v>34</v>
      </c>
    </row>
    <row r="538" spans="1:19" ht="15.5" x14ac:dyDescent="0.35">
      <c r="A538" s="349">
        <v>527</v>
      </c>
      <c r="B538" s="364" t="s">
        <v>10787</v>
      </c>
      <c r="C538" s="365" t="s">
        <v>10788</v>
      </c>
      <c r="D538" s="366" t="s">
        <v>6102</v>
      </c>
      <c r="E538" s="366" t="s">
        <v>10082</v>
      </c>
      <c r="F538" s="366" t="s">
        <v>10078</v>
      </c>
      <c r="G538" s="366" t="s">
        <v>10078</v>
      </c>
      <c r="H538" s="366">
        <v>0</v>
      </c>
      <c r="I538" s="364" t="s">
        <v>63</v>
      </c>
      <c r="J538" s="361" t="s">
        <v>10789</v>
      </c>
      <c r="K538" s="358" t="s">
        <v>10790</v>
      </c>
      <c r="L538" s="358"/>
      <c r="M538" s="366" t="s">
        <v>10084</v>
      </c>
      <c r="N538" s="358"/>
      <c r="O538" s="366" t="s">
        <v>57</v>
      </c>
      <c r="P538" s="368">
        <v>249500</v>
      </c>
      <c r="Q538" s="369" t="s">
        <v>10791</v>
      </c>
      <c r="R538" s="364" t="s">
        <v>758</v>
      </c>
      <c r="S538" s="340">
        <v>34</v>
      </c>
    </row>
    <row r="539" spans="1:19" ht="16" thickBot="1" x14ac:dyDescent="0.4">
      <c r="A539" s="357">
        <v>528</v>
      </c>
      <c r="B539" s="364" t="s">
        <v>10787</v>
      </c>
      <c r="C539" s="365" t="s">
        <v>10788</v>
      </c>
      <c r="D539" s="366" t="s">
        <v>6108</v>
      </c>
      <c r="E539" s="366" t="s">
        <v>10082</v>
      </c>
      <c r="F539" s="366" t="s">
        <v>10078</v>
      </c>
      <c r="G539" s="366" t="s">
        <v>10078</v>
      </c>
      <c r="H539" s="366">
        <v>0</v>
      </c>
      <c r="I539" s="364" t="s">
        <v>63</v>
      </c>
      <c r="J539" s="361" t="s">
        <v>10789</v>
      </c>
      <c r="K539" s="358" t="s">
        <v>10790</v>
      </c>
      <c r="L539" s="358"/>
      <c r="M539" s="366" t="s">
        <v>10084</v>
      </c>
      <c r="N539" s="358"/>
      <c r="O539" s="366" t="s">
        <v>57</v>
      </c>
      <c r="P539" s="368">
        <v>249500</v>
      </c>
      <c r="Q539" s="369" t="s">
        <v>10791</v>
      </c>
      <c r="R539" s="364" t="s">
        <v>758</v>
      </c>
      <c r="S539" s="340">
        <v>34</v>
      </c>
    </row>
    <row r="540" spans="1:19" ht="15.5" x14ac:dyDescent="0.35">
      <c r="A540" s="349">
        <v>529</v>
      </c>
      <c r="B540" s="364" t="s">
        <v>10787</v>
      </c>
      <c r="C540" s="365" t="s">
        <v>10788</v>
      </c>
      <c r="D540" s="366" t="s">
        <v>6114</v>
      </c>
      <c r="E540" s="366" t="s">
        <v>10082</v>
      </c>
      <c r="F540" s="366" t="s">
        <v>10078</v>
      </c>
      <c r="G540" s="366" t="s">
        <v>10078</v>
      </c>
      <c r="H540" s="366">
        <v>0</v>
      </c>
      <c r="I540" s="364" t="s">
        <v>63</v>
      </c>
      <c r="J540" s="361" t="s">
        <v>10789</v>
      </c>
      <c r="K540" s="358" t="s">
        <v>10790</v>
      </c>
      <c r="L540" s="358"/>
      <c r="M540" s="366" t="s">
        <v>10084</v>
      </c>
      <c r="N540" s="358"/>
      <c r="O540" s="366" t="s">
        <v>57</v>
      </c>
      <c r="P540" s="368">
        <v>249500</v>
      </c>
      <c r="Q540" s="369" t="s">
        <v>10791</v>
      </c>
      <c r="R540" s="364" t="s">
        <v>758</v>
      </c>
      <c r="S540" s="340">
        <v>34</v>
      </c>
    </row>
    <row r="541" spans="1:19" ht="16" thickBot="1" x14ac:dyDescent="0.4">
      <c r="A541" s="357">
        <v>530</v>
      </c>
      <c r="B541" s="364" t="s">
        <v>10787</v>
      </c>
      <c r="C541" s="365" t="s">
        <v>10788</v>
      </c>
      <c r="D541" s="366" t="s">
        <v>6120</v>
      </c>
      <c r="E541" s="366" t="s">
        <v>10082</v>
      </c>
      <c r="F541" s="366" t="s">
        <v>10078</v>
      </c>
      <c r="G541" s="366" t="s">
        <v>10078</v>
      </c>
      <c r="H541" s="366">
        <v>0</v>
      </c>
      <c r="I541" s="364" t="s">
        <v>63</v>
      </c>
      <c r="J541" s="367" t="s">
        <v>10789</v>
      </c>
      <c r="K541" s="364" t="s">
        <v>10790</v>
      </c>
      <c r="L541" s="358"/>
      <c r="M541" s="366" t="s">
        <v>10084</v>
      </c>
      <c r="N541" s="358"/>
      <c r="O541" s="366" t="s">
        <v>57</v>
      </c>
      <c r="P541" s="368">
        <v>249500</v>
      </c>
      <c r="Q541" s="369" t="s">
        <v>10791</v>
      </c>
      <c r="R541" s="364" t="s">
        <v>758</v>
      </c>
      <c r="S541" s="340">
        <v>34</v>
      </c>
    </row>
    <row r="542" spans="1:19" ht="15.5" x14ac:dyDescent="0.35">
      <c r="A542" s="349">
        <v>531</v>
      </c>
      <c r="B542" s="364" t="s">
        <v>10787</v>
      </c>
      <c r="C542" s="365" t="s">
        <v>10788</v>
      </c>
      <c r="D542" s="366" t="s">
        <v>6126</v>
      </c>
      <c r="E542" s="366" t="s">
        <v>10082</v>
      </c>
      <c r="F542" s="366" t="s">
        <v>10078</v>
      </c>
      <c r="G542" s="366" t="s">
        <v>10078</v>
      </c>
      <c r="H542" s="366">
        <v>0</v>
      </c>
      <c r="I542" s="364" t="s">
        <v>63</v>
      </c>
      <c r="J542" s="361" t="s">
        <v>10789</v>
      </c>
      <c r="K542" s="364" t="s">
        <v>10790</v>
      </c>
      <c r="L542" s="358"/>
      <c r="M542" s="366" t="s">
        <v>10084</v>
      </c>
      <c r="N542" s="358"/>
      <c r="O542" s="366" t="s">
        <v>57</v>
      </c>
      <c r="P542" s="368">
        <v>249500</v>
      </c>
      <c r="Q542" s="369" t="s">
        <v>10791</v>
      </c>
      <c r="R542" s="364" t="s">
        <v>758</v>
      </c>
      <c r="S542" s="340">
        <v>34</v>
      </c>
    </row>
    <row r="543" spans="1:19" ht="16" thickBot="1" x14ac:dyDescent="0.4">
      <c r="A543" s="357">
        <v>532</v>
      </c>
      <c r="B543" s="364" t="s">
        <v>10787</v>
      </c>
      <c r="C543" s="365" t="s">
        <v>10788</v>
      </c>
      <c r="D543" s="366" t="s">
        <v>6132</v>
      </c>
      <c r="E543" s="366" t="s">
        <v>10082</v>
      </c>
      <c r="F543" s="366" t="s">
        <v>10078</v>
      </c>
      <c r="G543" s="366" t="s">
        <v>10078</v>
      </c>
      <c r="H543" s="366">
        <v>0</v>
      </c>
      <c r="I543" s="364" t="s">
        <v>63</v>
      </c>
      <c r="J543" s="367" t="s">
        <v>10789</v>
      </c>
      <c r="K543" s="364" t="s">
        <v>10790</v>
      </c>
      <c r="L543" s="358"/>
      <c r="M543" s="366" t="s">
        <v>10084</v>
      </c>
      <c r="N543" s="358"/>
      <c r="O543" s="366" t="s">
        <v>57</v>
      </c>
      <c r="P543" s="368">
        <v>249500</v>
      </c>
      <c r="Q543" s="369" t="s">
        <v>10791</v>
      </c>
      <c r="R543" s="364" t="s">
        <v>758</v>
      </c>
      <c r="S543" s="340">
        <v>34</v>
      </c>
    </row>
    <row r="544" spans="1:19" ht="15.5" x14ac:dyDescent="0.35">
      <c r="A544" s="349">
        <v>533</v>
      </c>
      <c r="B544" s="364" t="s">
        <v>10787</v>
      </c>
      <c r="C544" s="365" t="s">
        <v>10788</v>
      </c>
      <c r="D544" s="366" t="s">
        <v>6138</v>
      </c>
      <c r="E544" s="366" t="s">
        <v>10082</v>
      </c>
      <c r="F544" s="366" t="s">
        <v>10078</v>
      </c>
      <c r="G544" s="366" t="s">
        <v>10078</v>
      </c>
      <c r="H544" s="366">
        <v>0</v>
      </c>
      <c r="I544" s="364" t="s">
        <v>63</v>
      </c>
      <c r="J544" s="361" t="s">
        <v>10789</v>
      </c>
      <c r="K544" s="358" t="s">
        <v>10790</v>
      </c>
      <c r="L544" s="358"/>
      <c r="M544" s="366" t="s">
        <v>10084</v>
      </c>
      <c r="N544" s="358"/>
      <c r="O544" s="366" t="s">
        <v>57</v>
      </c>
      <c r="P544" s="368">
        <v>249500</v>
      </c>
      <c r="Q544" s="369" t="s">
        <v>10791</v>
      </c>
      <c r="R544" s="364" t="s">
        <v>758</v>
      </c>
      <c r="S544" s="340">
        <v>34</v>
      </c>
    </row>
    <row r="545" spans="1:19" ht="16" thickBot="1" x14ac:dyDescent="0.4">
      <c r="A545" s="357">
        <v>534</v>
      </c>
      <c r="B545" s="364" t="s">
        <v>10787</v>
      </c>
      <c r="C545" s="365" t="s">
        <v>10788</v>
      </c>
      <c r="D545" s="366" t="s">
        <v>6144</v>
      </c>
      <c r="E545" s="366" t="s">
        <v>10082</v>
      </c>
      <c r="F545" s="366" t="s">
        <v>10078</v>
      </c>
      <c r="G545" s="366" t="s">
        <v>10078</v>
      </c>
      <c r="H545" s="366">
        <v>0</v>
      </c>
      <c r="I545" s="364" t="s">
        <v>63</v>
      </c>
      <c r="J545" s="361" t="s">
        <v>10789</v>
      </c>
      <c r="K545" s="358" t="s">
        <v>10790</v>
      </c>
      <c r="L545" s="358"/>
      <c r="M545" s="366" t="s">
        <v>10084</v>
      </c>
      <c r="N545" s="358"/>
      <c r="O545" s="366" t="s">
        <v>57</v>
      </c>
      <c r="P545" s="368">
        <v>249500</v>
      </c>
      <c r="Q545" s="369" t="s">
        <v>10791</v>
      </c>
      <c r="R545" s="364" t="s">
        <v>758</v>
      </c>
      <c r="S545" s="340">
        <v>34</v>
      </c>
    </row>
    <row r="546" spans="1:19" ht="15.5" x14ac:dyDescent="0.35">
      <c r="A546" s="349">
        <v>535</v>
      </c>
      <c r="B546" s="364" t="s">
        <v>10787</v>
      </c>
      <c r="C546" s="365" t="s">
        <v>10788</v>
      </c>
      <c r="D546" s="366" t="s">
        <v>6150</v>
      </c>
      <c r="E546" s="366" t="s">
        <v>10082</v>
      </c>
      <c r="F546" s="366" t="s">
        <v>10078</v>
      </c>
      <c r="G546" s="366" t="s">
        <v>10078</v>
      </c>
      <c r="H546" s="366">
        <v>0</v>
      </c>
      <c r="I546" s="364" t="s">
        <v>63</v>
      </c>
      <c r="J546" s="361" t="s">
        <v>10789</v>
      </c>
      <c r="K546" s="358" t="s">
        <v>10790</v>
      </c>
      <c r="L546" s="358"/>
      <c r="M546" s="366" t="s">
        <v>10084</v>
      </c>
      <c r="N546" s="358"/>
      <c r="O546" s="366" t="s">
        <v>57</v>
      </c>
      <c r="P546" s="368">
        <v>249500</v>
      </c>
      <c r="Q546" s="369" t="s">
        <v>10791</v>
      </c>
      <c r="R546" s="364" t="s">
        <v>758</v>
      </c>
      <c r="S546" s="340">
        <v>34</v>
      </c>
    </row>
    <row r="547" spans="1:19" ht="16" thickBot="1" x14ac:dyDescent="0.4">
      <c r="A547" s="357">
        <v>536</v>
      </c>
      <c r="B547" s="364" t="s">
        <v>10787</v>
      </c>
      <c r="C547" s="365" t="s">
        <v>10788</v>
      </c>
      <c r="D547" s="366" t="s">
        <v>6156</v>
      </c>
      <c r="E547" s="366" t="s">
        <v>10082</v>
      </c>
      <c r="F547" s="366" t="s">
        <v>10078</v>
      </c>
      <c r="G547" s="366" t="s">
        <v>10078</v>
      </c>
      <c r="H547" s="366">
        <v>0</v>
      </c>
      <c r="I547" s="364" t="s">
        <v>63</v>
      </c>
      <c r="J547" s="367" t="s">
        <v>10789</v>
      </c>
      <c r="K547" s="364" t="s">
        <v>10790</v>
      </c>
      <c r="L547" s="358"/>
      <c r="M547" s="366" t="s">
        <v>10084</v>
      </c>
      <c r="N547" s="358"/>
      <c r="O547" s="366" t="s">
        <v>57</v>
      </c>
      <c r="P547" s="368">
        <v>249500</v>
      </c>
      <c r="Q547" s="369" t="s">
        <v>10791</v>
      </c>
      <c r="R547" s="364" t="s">
        <v>758</v>
      </c>
      <c r="S547" s="340">
        <v>34</v>
      </c>
    </row>
    <row r="548" spans="1:19" ht="15.5" x14ac:dyDescent="0.35">
      <c r="A548" s="349">
        <v>537</v>
      </c>
      <c r="B548" s="364" t="s">
        <v>10787</v>
      </c>
      <c r="C548" s="365" t="s">
        <v>10788</v>
      </c>
      <c r="D548" s="366" t="s">
        <v>6162</v>
      </c>
      <c r="E548" s="366" t="s">
        <v>10082</v>
      </c>
      <c r="F548" s="366" t="s">
        <v>10078</v>
      </c>
      <c r="G548" s="366" t="s">
        <v>10078</v>
      </c>
      <c r="H548" s="366">
        <v>0</v>
      </c>
      <c r="I548" s="364" t="s">
        <v>63</v>
      </c>
      <c r="J548" s="367" t="s">
        <v>10789</v>
      </c>
      <c r="K548" s="364" t="s">
        <v>10790</v>
      </c>
      <c r="L548" s="358"/>
      <c r="M548" s="366" t="s">
        <v>10084</v>
      </c>
      <c r="N548" s="358"/>
      <c r="O548" s="366" t="s">
        <v>57</v>
      </c>
      <c r="P548" s="368">
        <v>249500</v>
      </c>
      <c r="Q548" s="369" t="s">
        <v>10791</v>
      </c>
      <c r="R548" s="364" t="s">
        <v>758</v>
      </c>
      <c r="S548" s="340">
        <v>34</v>
      </c>
    </row>
    <row r="549" spans="1:19" ht="16" thickBot="1" x14ac:dyDescent="0.4">
      <c r="A549" s="357">
        <v>538</v>
      </c>
      <c r="B549" s="364" t="s">
        <v>10787</v>
      </c>
      <c r="C549" s="365" t="s">
        <v>10788</v>
      </c>
      <c r="D549" s="366" t="s">
        <v>6168</v>
      </c>
      <c r="E549" s="366" t="s">
        <v>10082</v>
      </c>
      <c r="F549" s="366" t="s">
        <v>10078</v>
      </c>
      <c r="G549" s="366" t="s">
        <v>10078</v>
      </c>
      <c r="H549" s="366">
        <v>0</v>
      </c>
      <c r="I549" s="364" t="s">
        <v>63</v>
      </c>
      <c r="J549" s="367" t="s">
        <v>10789</v>
      </c>
      <c r="K549" s="364" t="s">
        <v>10790</v>
      </c>
      <c r="L549" s="358"/>
      <c r="M549" s="366" t="s">
        <v>10084</v>
      </c>
      <c r="N549" s="358"/>
      <c r="O549" s="366" t="s">
        <v>57</v>
      </c>
      <c r="P549" s="368">
        <v>249500</v>
      </c>
      <c r="Q549" s="369" t="s">
        <v>10791</v>
      </c>
      <c r="R549" s="364" t="s">
        <v>758</v>
      </c>
      <c r="S549" s="340">
        <v>34</v>
      </c>
    </row>
    <row r="550" spans="1:19" ht="15.5" x14ac:dyDescent="0.35">
      <c r="A550" s="349">
        <v>539</v>
      </c>
      <c r="B550" s="364" t="s">
        <v>10787</v>
      </c>
      <c r="C550" s="365" t="s">
        <v>10788</v>
      </c>
      <c r="D550" s="366" t="s">
        <v>6174</v>
      </c>
      <c r="E550" s="366" t="s">
        <v>10082</v>
      </c>
      <c r="F550" s="366" t="s">
        <v>10078</v>
      </c>
      <c r="G550" s="366" t="s">
        <v>10078</v>
      </c>
      <c r="H550" s="366">
        <v>0</v>
      </c>
      <c r="I550" s="364" t="s">
        <v>63</v>
      </c>
      <c r="J550" s="367" t="s">
        <v>10789</v>
      </c>
      <c r="K550" s="364" t="s">
        <v>10790</v>
      </c>
      <c r="L550" s="358"/>
      <c r="M550" s="366" t="s">
        <v>10084</v>
      </c>
      <c r="N550" s="358"/>
      <c r="O550" s="366" t="s">
        <v>57</v>
      </c>
      <c r="P550" s="368">
        <v>249500</v>
      </c>
      <c r="Q550" s="369" t="s">
        <v>10791</v>
      </c>
      <c r="R550" s="364" t="s">
        <v>758</v>
      </c>
      <c r="S550" s="340">
        <v>34</v>
      </c>
    </row>
    <row r="551" spans="1:19" ht="16" thickBot="1" x14ac:dyDescent="0.4">
      <c r="A551" s="357">
        <v>540</v>
      </c>
      <c r="B551" s="364" t="s">
        <v>10787</v>
      </c>
      <c r="C551" s="365" t="s">
        <v>10788</v>
      </c>
      <c r="D551" s="366" t="s">
        <v>6180</v>
      </c>
      <c r="E551" s="366" t="s">
        <v>10082</v>
      </c>
      <c r="F551" s="366" t="s">
        <v>10078</v>
      </c>
      <c r="G551" s="366" t="s">
        <v>10078</v>
      </c>
      <c r="H551" s="366">
        <v>0</v>
      </c>
      <c r="I551" s="364" t="s">
        <v>63</v>
      </c>
      <c r="J551" s="367" t="s">
        <v>10789</v>
      </c>
      <c r="K551" s="364" t="s">
        <v>10790</v>
      </c>
      <c r="L551" s="358"/>
      <c r="M551" s="366" t="s">
        <v>10084</v>
      </c>
      <c r="N551" s="358"/>
      <c r="O551" s="366" t="s">
        <v>57</v>
      </c>
      <c r="P551" s="368">
        <v>249500</v>
      </c>
      <c r="Q551" s="369" t="s">
        <v>10791</v>
      </c>
      <c r="R551" s="364" t="s">
        <v>758</v>
      </c>
      <c r="S551" s="340">
        <v>34</v>
      </c>
    </row>
    <row r="552" spans="1:19" ht="15.5" x14ac:dyDescent="0.35">
      <c r="A552" s="349">
        <v>541</v>
      </c>
      <c r="B552" s="364" t="s">
        <v>10787</v>
      </c>
      <c r="C552" s="365" t="s">
        <v>10788</v>
      </c>
      <c r="D552" s="366" t="s">
        <v>6186</v>
      </c>
      <c r="E552" s="366" t="s">
        <v>10082</v>
      </c>
      <c r="F552" s="366" t="s">
        <v>10078</v>
      </c>
      <c r="G552" s="366" t="s">
        <v>10078</v>
      </c>
      <c r="H552" s="366">
        <v>0</v>
      </c>
      <c r="I552" s="364" t="s">
        <v>63</v>
      </c>
      <c r="J552" s="367" t="s">
        <v>10789</v>
      </c>
      <c r="K552" s="364" t="s">
        <v>10790</v>
      </c>
      <c r="L552" s="358"/>
      <c r="M552" s="366" t="s">
        <v>10084</v>
      </c>
      <c r="N552" s="358"/>
      <c r="O552" s="366" t="s">
        <v>57</v>
      </c>
      <c r="P552" s="368">
        <v>249500</v>
      </c>
      <c r="Q552" s="369" t="s">
        <v>10791</v>
      </c>
      <c r="R552" s="364" t="s">
        <v>758</v>
      </c>
      <c r="S552" s="340">
        <v>34</v>
      </c>
    </row>
    <row r="553" spans="1:19" ht="16" thickBot="1" x14ac:dyDescent="0.4">
      <c r="A553" s="357">
        <v>542</v>
      </c>
      <c r="B553" s="364" t="s">
        <v>10787</v>
      </c>
      <c r="C553" s="365" t="s">
        <v>10788</v>
      </c>
      <c r="D553" s="366" t="s">
        <v>6192</v>
      </c>
      <c r="E553" s="366" t="s">
        <v>10082</v>
      </c>
      <c r="F553" s="366" t="s">
        <v>10078</v>
      </c>
      <c r="G553" s="366" t="s">
        <v>10078</v>
      </c>
      <c r="H553" s="366">
        <v>0</v>
      </c>
      <c r="I553" s="364" t="s">
        <v>63</v>
      </c>
      <c r="J553" s="367" t="s">
        <v>10789</v>
      </c>
      <c r="K553" s="364" t="s">
        <v>10790</v>
      </c>
      <c r="L553" s="358"/>
      <c r="M553" s="366" t="s">
        <v>10084</v>
      </c>
      <c r="N553" s="358"/>
      <c r="O553" s="366" t="s">
        <v>57</v>
      </c>
      <c r="P553" s="368">
        <v>249500</v>
      </c>
      <c r="Q553" s="369" t="s">
        <v>10791</v>
      </c>
      <c r="R553" s="364" t="s">
        <v>758</v>
      </c>
      <c r="S553" s="340">
        <v>34</v>
      </c>
    </row>
    <row r="554" spans="1:19" ht="15.5" x14ac:dyDescent="0.35">
      <c r="A554" s="349">
        <v>543</v>
      </c>
      <c r="B554" s="358" t="s">
        <v>10787</v>
      </c>
      <c r="C554" s="359" t="s">
        <v>10788</v>
      </c>
      <c r="D554" s="360" t="s">
        <v>7400</v>
      </c>
      <c r="E554" s="360" t="s">
        <v>10082</v>
      </c>
      <c r="F554" s="360" t="s">
        <v>10078</v>
      </c>
      <c r="G554" s="360" t="s">
        <v>10078</v>
      </c>
      <c r="H554" s="360">
        <v>0</v>
      </c>
      <c r="I554" s="358" t="s">
        <v>63</v>
      </c>
      <c r="J554" s="361" t="s">
        <v>10789</v>
      </c>
      <c r="K554" s="358" t="s">
        <v>10790</v>
      </c>
      <c r="L554" s="371"/>
      <c r="M554" s="360" t="s">
        <v>10084</v>
      </c>
      <c r="N554" s="371"/>
      <c r="O554" s="360" t="s">
        <v>57</v>
      </c>
      <c r="P554" s="362">
        <v>249500</v>
      </c>
      <c r="Q554" s="363" t="s">
        <v>10791</v>
      </c>
      <c r="R554" s="364" t="s">
        <v>758</v>
      </c>
      <c r="S554" s="340">
        <v>34</v>
      </c>
    </row>
    <row r="555" spans="1:19" ht="16" thickBot="1" x14ac:dyDescent="0.4">
      <c r="A555" s="357">
        <v>544</v>
      </c>
      <c r="B555" s="358" t="s">
        <v>10787</v>
      </c>
      <c r="C555" s="359" t="s">
        <v>10788</v>
      </c>
      <c r="D555" s="360" t="s">
        <v>7406</v>
      </c>
      <c r="E555" s="360" t="s">
        <v>10082</v>
      </c>
      <c r="F555" s="360" t="s">
        <v>10078</v>
      </c>
      <c r="G555" s="360" t="s">
        <v>10078</v>
      </c>
      <c r="H555" s="360">
        <v>0</v>
      </c>
      <c r="I555" s="358" t="s">
        <v>63</v>
      </c>
      <c r="J555" s="361" t="s">
        <v>10789</v>
      </c>
      <c r="K555" s="358" t="s">
        <v>10790</v>
      </c>
      <c r="L555" s="371"/>
      <c r="M555" s="360" t="s">
        <v>10084</v>
      </c>
      <c r="N555" s="371"/>
      <c r="O555" s="360" t="s">
        <v>57</v>
      </c>
      <c r="P555" s="362">
        <v>249500</v>
      </c>
      <c r="Q555" s="363" t="s">
        <v>10791</v>
      </c>
      <c r="R555" s="364" t="s">
        <v>758</v>
      </c>
      <c r="S555" s="340">
        <v>34</v>
      </c>
    </row>
    <row r="556" spans="1:19" ht="15.5" x14ac:dyDescent="0.35">
      <c r="A556" s="349">
        <v>545</v>
      </c>
      <c r="B556" s="358" t="s">
        <v>10787</v>
      </c>
      <c r="C556" s="359" t="s">
        <v>10788</v>
      </c>
      <c r="D556" s="360" t="s">
        <v>7410</v>
      </c>
      <c r="E556" s="360" t="s">
        <v>10082</v>
      </c>
      <c r="F556" s="360" t="s">
        <v>10078</v>
      </c>
      <c r="G556" s="360" t="s">
        <v>10078</v>
      </c>
      <c r="H556" s="360">
        <v>0</v>
      </c>
      <c r="I556" s="358" t="s">
        <v>63</v>
      </c>
      <c r="J556" s="361" t="s">
        <v>10789</v>
      </c>
      <c r="K556" s="358" t="s">
        <v>10790</v>
      </c>
      <c r="L556" s="371"/>
      <c r="M556" s="360" t="s">
        <v>10084</v>
      </c>
      <c r="N556" s="371"/>
      <c r="O556" s="360" t="s">
        <v>57</v>
      </c>
      <c r="P556" s="362">
        <v>249500</v>
      </c>
      <c r="Q556" s="363" t="s">
        <v>10791</v>
      </c>
      <c r="R556" s="364" t="s">
        <v>758</v>
      </c>
      <c r="S556" s="340">
        <v>34</v>
      </c>
    </row>
    <row r="557" spans="1:19" ht="16" thickBot="1" x14ac:dyDescent="0.4">
      <c r="A557" s="357">
        <v>546</v>
      </c>
      <c r="B557" s="358" t="s">
        <v>10787</v>
      </c>
      <c r="C557" s="359" t="s">
        <v>10788</v>
      </c>
      <c r="D557" s="360" t="s">
        <v>6198</v>
      </c>
      <c r="E557" s="360" t="s">
        <v>10082</v>
      </c>
      <c r="F557" s="360" t="s">
        <v>10078</v>
      </c>
      <c r="G557" s="360" t="s">
        <v>10078</v>
      </c>
      <c r="H557" s="360">
        <v>0</v>
      </c>
      <c r="I557" s="358" t="s">
        <v>63</v>
      </c>
      <c r="J557" s="361" t="s">
        <v>10789</v>
      </c>
      <c r="K557" s="358" t="s">
        <v>10790</v>
      </c>
      <c r="L557" s="371"/>
      <c r="M557" s="360" t="s">
        <v>10084</v>
      </c>
      <c r="N557" s="371"/>
      <c r="O557" s="360" t="s">
        <v>57</v>
      </c>
      <c r="P557" s="362">
        <v>249500</v>
      </c>
      <c r="Q557" s="363" t="s">
        <v>10791</v>
      </c>
      <c r="R557" s="364" t="s">
        <v>758</v>
      </c>
      <c r="S557" s="340">
        <v>34</v>
      </c>
    </row>
    <row r="558" spans="1:19" ht="15.5" x14ac:dyDescent="0.35">
      <c r="A558" s="349">
        <v>547</v>
      </c>
      <c r="B558" s="358" t="s">
        <v>10787</v>
      </c>
      <c r="C558" s="359" t="s">
        <v>10788</v>
      </c>
      <c r="D558" s="360" t="s">
        <v>6204</v>
      </c>
      <c r="E558" s="360" t="s">
        <v>10082</v>
      </c>
      <c r="F558" s="360" t="s">
        <v>10078</v>
      </c>
      <c r="G558" s="360" t="s">
        <v>10078</v>
      </c>
      <c r="H558" s="360">
        <v>0</v>
      </c>
      <c r="I558" s="358" t="s">
        <v>63</v>
      </c>
      <c r="J558" s="361" t="s">
        <v>10789</v>
      </c>
      <c r="K558" s="358" t="s">
        <v>10790</v>
      </c>
      <c r="L558" s="371"/>
      <c r="M558" s="360" t="s">
        <v>10084</v>
      </c>
      <c r="N558" s="371"/>
      <c r="O558" s="360" t="s">
        <v>57</v>
      </c>
      <c r="P558" s="362">
        <v>249500</v>
      </c>
      <c r="Q558" s="363" t="s">
        <v>10791</v>
      </c>
      <c r="R558" s="364" t="s">
        <v>758</v>
      </c>
      <c r="S558" s="340">
        <v>34</v>
      </c>
    </row>
    <row r="559" spans="1:19" ht="16" thickBot="1" x14ac:dyDescent="0.4">
      <c r="A559" s="357">
        <v>548</v>
      </c>
      <c r="B559" s="358" t="s">
        <v>10787</v>
      </c>
      <c r="C559" s="359" t="s">
        <v>10788</v>
      </c>
      <c r="D559" s="360" t="s">
        <v>6210</v>
      </c>
      <c r="E559" s="360" t="s">
        <v>10082</v>
      </c>
      <c r="F559" s="360" t="s">
        <v>10078</v>
      </c>
      <c r="G559" s="360" t="s">
        <v>10078</v>
      </c>
      <c r="H559" s="360">
        <v>0</v>
      </c>
      <c r="I559" s="358" t="s">
        <v>63</v>
      </c>
      <c r="J559" s="361" t="s">
        <v>10789</v>
      </c>
      <c r="K559" s="358" t="s">
        <v>10790</v>
      </c>
      <c r="L559" s="371"/>
      <c r="M559" s="360" t="s">
        <v>10084</v>
      </c>
      <c r="N559" s="371"/>
      <c r="O559" s="360" t="s">
        <v>57</v>
      </c>
      <c r="P559" s="362">
        <v>249500</v>
      </c>
      <c r="Q559" s="363" t="s">
        <v>10791</v>
      </c>
      <c r="R559" s="364" t="s">
        <v>758</v>
      </c>
      <c r="S559" s="340">
        <v>34</v>
      </c>
    </row>
    <row r="560" spans="1:19" ht="15.5" x14ac:dyDescent="0.35">
      <c r="A560" s="349">
        <v>549</v>
      </c>
      <c r="B560" s="358" t="s">
        <v>10787</v>
      </c>
      <c r="C560" s="359" t="s">
        <v>10788</v>
      </c>
      <c r="D560" s="360" t="s">
        <v>6216</v>
      </c>
      <c r="E560" s="360" t="s">
        <v>10082</v>
      </c>
      <c r="F560" s="360" t="s">
        <v>10078</v>
      </c>
      <c r="G560" s="360" t="s">
        <v>10078</v>
      </c>
      <c r="H560" s="360">
        <v>0</v>
      </c>
      <c r="I560" s="358" t="s">
        <v>63</v>
      </c>
      <c r="J560" s="361" t="s">
        <v>10789</v>
      </c>
      <c r="K560" s="358" t="s">
        <v>10790</v>
      </c>
      <c r="L560" s="371"/>
      <c r="M560" s="360" t="s">
        <v>10084</v>
      </c>
      <c r="N560" s="371"/>
      <c r="O560" s="360" t="s">
        <v>57</v>
      </c>
      <c r="P560" s="362">
        <v>249500</v>
      </c>
      <c r="Q560" s="363" t="s">
        <v>10791</v>
      </c>
      <c r="R560" s="364" t="s">
        <v>758</v>
      </c>
      <c r="S560" s="340">
        <v>34</v>
      </c>
    </row>
    <row r="561" spans="1:19" ht="16" thickBot="1" x14ac:dyDescent="0.4">
      <c r="A561" s="357">
        <v>550</v>
      </c>
      <c r="B561" s="358" t="s">
        <v>10787</v>
      </c>
      <c r="C561" s="359" t="s">
        <v>10788</v>
      </c>
      <c r="D561" s="360" t="s">
        <v>6222</v>
      </c>
      <c r="E561" s="360" t="s">
        <v>10082</v>
      </c>
      <c r="F561" s="360" t="s">
        <v>10078</v>
      </c>
      <c r="G561" s="360" t="s">
        <v>10078</v>
      </c>
      <c r="H561" s="360">
        <v>0</v>
      </c>
      <c r="I561" s="358" t="s">
        <v>63</v>
      </c>
      <c r="J561" s="361" t="s">
        <v>10789</v>
      </c>
      <c r="K561" s="358" t="s">
        <v>10790</v>
      </c>
      <c r="L561" s="371"/>
      <c r="M561" s="360" t="s">
        <v>10084</v>
      </c>
      <c r="N561" s="371"/>
      <c r="O561" s="360" t="s">
        <v>57</v>
      </c>
      <c r="P561" s="362">
        <v>249500</v>
      </c>
      <c r="Q561" s="363" t="s">
        <v>10791</v>
      </c>
      <c r="R561" s="364" t="s">
        <v>758</v>
      </c>
      <c r="S561" s="340">
        <v>34</v>
      </c>
    </row>
    <row r="562" spans="1:19" ht="15.5" x14ac:dyDescent="0.35">
      <c r="A562" s="349">
        <v>551</v>
      </c>
      <c r="B562" s="358" t="s">
        <v>10787</v>
      </c>
      <c r="C562" s="359" t="s">
        <v>10788</v>
      </c>
      <c r="D562" s="360" t="s">
        <v>6228</v>
      </c>
      <c r="E562" s="360" t="s">
        <v>10082</v>
      </c>
      <c r="F562" s="360" t="s">
        <v>10078</v>
      </c>
      <c r="G562" s="360" t="s">
        <v>10078</v>
      </c>
      <c r="H562" s="360">
        <v>0</v>
      </c>
      <c r="I562" s="358" t="s">
        <v>63</v>
      </c>
      <c r="J562" s="361" t="s">
        <v>10789</v>
      </c>
      <c r="K562" s="358" t="s">
        <v>10790</v>
      </c>
      <c r="L562" s="358"/>
      <c r="M562" s="360" t="s">
        <v>10084</v>
      </c>
      <c r="N562" s="358"/>
      <c r="O562" s="360" t="s">
        <v>57</v>
      </c>
      <c r="P562" s="362">
        <v>249500</v>
      </c>
      <c r="Q562" s="363" t="s">
        <v>10791</v>
      </c>
      <c r="R562" s="364" t="s">
        <v>758</v>
      </c>
      <c r="S562" s="340">
        <v>34</v>
      </c>
    </row>
    <row r="563" spans="1:19" ht="16" thickBot="1" x14ac:dyDescent="0.4">
      <c r="A563" s="357">
        <v>552</v>
      </c>
      <c r="B563" s="358" t="s">
        <v>10787</v>
      </c>
      <c r="C563" s="359" t="s">
        <v>10788</v>
      </c>
      <c r="D563" s="360" t="s">
        <v>6234</v>
      </c>
      <c r="E563" s="360" t="s">
        <v>10082</v>
      </c>
      <c r="F563" s="360" t="s">
        <v>10078</v>
      </c>
      <c r="G563" s="360" t="s">
        <v>10078</v>
      </c>
      <c r="H563" s="360">
        <v>0</v>
      </c>
      <c r="I563" s="358" t="s">
        <v>63</v>
      </c>
      <c r="J563" s="361" t="s">
        <v>10789</v>
      </c>
      <c r="K563" s="358" t="s">
        <v>10790</v>
      </c>
      <c r="L563" s="371"/>
      <c r="M563" s="360" t="s">
        <v>10084</v>
      </c>
      <c r="N563" s="371"/>
      <c r="O563" s="360" t="s">
        <v>57</v>
      </c>
      <c r="P563" s="362">
        <v>249500</v>
      </c>
      <c r="Q563" s="363" t="s">
        <v>10791</v>
      </c>
      <c r="R563" s="364" t="s">
        <v>758</v>
      </c>
      <c r="S563" s="340">
        <v>34</v>
      </c>
    </row>
    <row r="564" spans="1:19" ht="15.5" x14ac:dyDescent="0.35">
      <c r="A564" s="349">
        <v>553</v>
      </c>
      <c r="B564" s="358" t="s">
        <v>10787</v>
      </c>
      <c r="C564" s="359" t="s">
        <v>10788</v>
      </c>
      <c r="D564" s="360" t="s">
        <v>6240</v>
      </c>
      <c r="E564" s="360" t="s">
        <v>10082</v>
      </c>
      <c r="F564" s="360" t="s">
        <v>10078</v>
      </c>
      <c r="G564" s="360" t="s">
        <v>10078</v>
      </c>
      <c r="H564" s="360">
        <v>0</v>
      </c>
      <c r="I564" s="358" t="s">
        <v>63</v>
      </c>
      <c r="J564" s="361" t="s">
        <v>10789</v>
      </c>
      <c r="K564" s="358" t="s">
        <v>10790</v>
      </c>
      <c r="L564" s="358"/>
      <c r="M564" s="360" t="s">
        <v>10084</v>
      </c>
      <c r="N564" s="358"/>
      <c r="O564" s="360" t="s">
        <v>57</v>
      </c>
      <c r="P564" s="362">
        <v>249500</v>
      </c>
      <c r="Q564" s="363" t="s">
        <v>10791</v>
      </c>
      <c r="R564" s="364" t="s">
        <v>758</v>
      </c>
      <c r="S564" s="340">
        <v>34</v>
      </c>
    </row>
    <row r="565" spans="1:19" ht="16" thickBot="1" x14ac:dyDescent="0.4">
      <c r="A565" s="357">
        <v>554</v>
      </c>
      <c r="B565" s="358" t="s">
        <v>10787</v>
      </c>
      <c r="C565" s="359" t="s">
        <v>10788</v>
      </c>
      <c r="D565" s="360" t="s">
        <v>6246</v>
      </c>
      <c r="E565" s="360" t="s">
        <v>10082</v>
      </c>
      <c r="F565" s="360" t="s">
        <v>10078</v>
      </c>
      <c r="G565" s="360" t="s">
        <v>10078</v>
      </c>
      <c r="H565" s="360">
        <v>0</v>
      </c>
      <c r="I565" s="358" t="s">
        <v>63</v>
      </c>
      <c r="J565" s="361" t="s">
        <v>10789</v>
      </c>
      <c r="K565" s="358" t="s">
        <v>10790</v>
      </c>
      <c r="L565" s="358"/>
      <c r="M565" s="360" t="s">
        <v>10084</v>
      </c>
      <c r="N565" s="358"/>
      <c r="O565" s="360" t="s">
        <v>57</v>
      </c>
      <c r="P565" s="362">
        <v>249500</v>
      </c>
      <c r="Q565" s="363" t="s">
        <v>10791</v>
      </c>
      <c r="R565" s="364" t="s">
        <v>758</v>
      </c>
      <c r="S565" s="340">
        <v>34</v>
      </c>
    </row>
    <row r="566" spans="1:19" ht="15.5" x14ac:dyDescent="0.35">
      <c r="A566" s="349">
        <v>555</v>
      </c>
      <c r="B566" s="358" t="s">
        <v>10787</v>
      </c>
      <c r="C566" s="359" t="s">
        <v>10788</v>
      </c>
      <c r="D566" s="360" t="s">
        <v>6252</v>
      </c>
      <c r="E566" s="360" t="s">
        <v>10082</v>
      </c>
      <c r="F566" s="360" t="s">
        <v>10078</v>
      </c>
      <c r="G566" s="360" t="s">
        <v>10078</v>
      </c>
      <c r="H566" s="360">
        <v>0</v>
      </c>
      <c r="I566" s="358" t="s">
        <v>63</v>
      </c>
      <c r="J566" s="361" t="s">
        <v>10789</v>
      </c>
      <c r="K566" s="358" t="s">
        <v>10790</v>
      </c>
      <c r="L566" s="358"/>
      <c r="M566" s="360" t="s">
        <v>10084</v>
      </c>
      <c r="N566" s="358"/>
      <c r="O566" s="360" t="s">
        <v>57</v>
      </c>
      <c r="P566" s="362">
        <v>249500</v>
      </c>
      <c r="Q566" s="363" t="s">
        <v>10791</v>
      </c>
      <c r="R566" s="364" t="s">
        <v>758</v>
      </c>
      <c r="S566" s="340">
        <v>34</v>
      </c>
    </row>
    <row r="567" spans="1:19" ht="16" thickBot="1" x14ac:dyDescent="0.4">
      <c r="A567" s="357">
        <v>556</v>
      </c>
      <c r="B567" s="358" t="s">
        <v>10787</v>
      </c>
      <c r="C567" s="359" t="s">
        <v>10788</v>
      </c>
      <c r="D567" s="360" t="s">
        <v>6258</v>
      </c>
      <c r="E567" s="360" t="s">
        <v>10082</v>
      </c>
      <c r="F567" s="360" t="s">
        <v>10078</v>
      </c>
      <c r="G567" s="360" t="s">
        <v>10078</v>
      </c>
      <c r="H567" s="360">
        <v>0</v>
      </c>
      <c r="I567" s="358" t="s">
        <v>63</v>
      </c>
      <c r="J567" s="361" t="s">
        <v>10789</v>
      </c>
      <c r="K567" s="358" t="s">
        <v>10790</v>
      </c>
      <c r="L567" s="358"/>
      <c r="M567" s="360" t="s">
        <v>10084</v>
      </c>
      <c r="N567" s="358"/>
      <c r="O567" s="360" t="s">
        <v>57</v>
      </c>
      <c r="P567" s="362">
        <v>249500</v>
      </c>
      <c r="Q567" s="363" t="s">
        <v>10791</v>
      </c>
      <c r="R567" s="364" t="s">
        <v>758</v>
      </c>
      <c r="S567" s="340">
        <v>34</v>
      </c>
    </row>
    <row r="568" spans="1:19" ht="15.5" x14ac:dyDescent="0.35">
      <c r="A568" s="349">
        <v>557</v>
      </c>
      <c r="B568" s="358" t="s">
        <v>10787</v>
      </c>
      <c r="C568" s="359" t="s">
        <v>10788</v>
      </c>
      <c r="D568" s="360" t="s">
        <v>7448</v>
      </c>
      <c r="E568" s="360" t="s">
        <v>10082</v>
      </c>
      <c r="F568" s="360" t="s">
        <v>10078</v>
      </c>
      <c r="G568" s="360" t="s">
        <v>10078</v>
      </c>
      <c r="H568" s="360">
        <v>0</v>
      </c>
      <c r="I568" s="358" t="s">
        <v>63</v>
      </c>
      <c r="J568" s="361" t="s">
        <v>10789</v>
      </c>
      <c r="K568" s="358" t="s">
        <v>10790</v>
      </c>
      <c r="L568" s="358"/>
      <c r="M568" s="360" t="s">
        <v>10084</v>
      </c>
      <c r="N568" s="358"/>
      <c r="O568" s="360" t="s">
        <v>57</v>
      </c>
      <c r="P568" s="362">
        <v>249500</v>
      </c>
      <c r="Q568" s="363" t="s">
        <v>10791</v>
      </c>
      <c r="R568" s="364" t="s">
        <v>758</v>
      </c>
      <c r="S568" s="340">
        <v>34</v>
      </c>
    </row>
    <row r="569" spans="1:19" ht="16" thickBot="1" x14ac:dyDescent="0.4">
      <c r="A569" s="357">
        <v>558</v>
      </c>
      <c r="B569" s="358" t="s">
        <v>10787</v>
      </c>
      <c r="C569" s="359" t="s">
        <v>10788</v>
      </c>
      <c r="D569" s="360" t="s">
        <v>6263</v>
      </c>
      <c r="E569" s="360" t="s">
        <v>10082</v>
      </c>
      <c r="F569" s="360" t="s">
        <v>10078</v>
      </c>
      <c r="G569" s="360" t="s">
        <v>10078</v>
      </c>
      <c r="H569" s="360">
        <v>0</v>
      </c>
      <c r="I569" s="358" t="s">
        <v>63</v>
      </c>
      <c r="J569" s="361" t="s">
        <v>10789</v>
      </c>
      <c r="K569" s="358" t="s">
        <v>10790</v>
      </c>
      <c r="L569" s="358"/>
      <c r="M569" s="360" t="s">
        <v>10084</v>
      </c>
      <c r="N569" s="358"/>
      <c r="O569" s="360" t="s">
        <v>57</v>
      </c>
      <c r="P569" s="362">
        <v>249500</v>
      </c>
      <c r="Q569" s="363" t="s">
        <v>10791</v>
      </c>
      <c r="R569" s="364" t="s">
        <v>758</v>
      </c>
      <c r="S569" s="340">
        <v>34</v>
      </c>
    </row>
    <row r="570" spans="1:19" ht="15.5" x14ac:dyDescent="0.35">
      <c r="A570" s="349">
        <v>559</v>
      </c>
      <c r="B570" s="358" t="s">
        <v>10787</v>
      </c>
      <c r="C570" s="359" t="s">
        <v>10788</v>
      </c>
      <c r="D570" s="360" t="s">
        <v>7455</v>
      </c>
      <c r="E570" s="360" t="s">
        <v>10082</v>
      </c>
      <c r="F570" s="360" t="s">
        <v>10078</v>
      </c>
      <c r="G570" s="360" t="s">
        <v>10078</v>
      </c>
      <c r="H570" s="360">
        <v>0</v>
      </c>
      <c r="I570" s="358" t="s">
        <v>63</v>
      </c>
      <c r="J570" s="361" t="s">
        <v>10789</v>
      </c>
      <c r="K570" s="358" t="s">
        <v>10790</v>
      </c>
      <c r="L570" s="358"/>
      <c r="M570" s="360" t="s">
        <v>10084</v>
      </c>
      <c r="N570" s="358"/>
      <c r="O570" s="360" t="s">
        <v>57</v>
      </c>
      <c r="P570" s="362">
        <v>249500</v>
      </c>
      <c r="Q570" s="363" t="s">
        <v>10791</v>
      </c>
      <c r="R570" s="364" t="s">
        <v>758</v>
      </c>
      <c r="S570" s="340">
        <v>34</v>
      </c>
    </row>
    <row r="571" spans="1:19" ht="16" thickBot="1" x14ac:dyDescent="0.4">
      <c r="A571" s="357">
        <v>560</v>
      </c>
      <c r="B571" s="358" t="s">
        <v>10787</v>
      </c>
      <c r="C571" s="359" t="s">
        <v>10788</v>
      </c>
      <c r="D571" s="360" t="s">
        <v>6271</v>
      </c>
      <c r="E571" s="360" t="s">
        <v>10082</v>
      </c>
      <c r="F571" s="360" t="s">
        <v>10078</v>
      </c>
      <c r="G571" s="360" t="s">
        <v>10078</v>
      </c>
      <c r="H571" s="360">
        <v>0</v>
      </c>
      <c r="I571" s="358" t="s">
        <v>63</v>
      </c>
      <c r="J571" s="361" t="s">
        <v>10789</v>
      </c>
      <c r="K571" s="358" t="s">
        <v>10790</v>
      </c>
      <c r="L571" s="358"/>
      <c r="M571" s="360" t="s">
        <v>10084</v>
      </c>
      <c r="N571" s="358"/>
      <c r="O571" s="360" t="s">
        <v>57</v>
      </c>
      <c r="P571" s="362">
        <v>249500</v>
      </c>
      <c r="Q571" s="363" t="s">
        <v>10791</v>
      </c>
      <c r="R571" s="364" t="s">
        <v>758</v>
      </c>
      <c r="S571" s="340">
        <v>34</v>
      </c>
    </row>
    <row r="572" spans="1:19" ht="15.5" x14ac:dyDescent="0.35">
      <c r="A572" s="349">
        <v>561</v>
      </c>
      <c r="B572" s="358" t="s">
        <v>10787</v>
      </c>
      <c r="C572" s="359" t="s">
        <v>10788</v>
      </c>
      <c r="D572" s="360" t="s">
        <v>2766</v>
      </c>
      <c r="E572" s="360" t="s">
        <v>10082</v>
      </c>
      <c r="F572" s="360" t="s">
        <v>10078</v>
      </c>
      <c r="G572" s="360" t="s">
        <v>10078</v>
      </c>
      <c r="H572" s="360">
        <v>0</v>
      </c>
      <c r="I572" s="358" t="s">
        <v>63</v>
      </c>
      <c r="J572" s="361" t="s">
        <v>10789</v>
      </c>
      <c r="K572" s="358" t="s">
        <v>10790</v>
      </c>
      <c r="L572" s="358"/>
      <c r="M572" s="360" t="s">
        <v>10084</v>
      </c>
      <c r="N572" s="358"/>
      <c r="O572" s="360" t="s">
        <v>57</v>
      </c>
      <c r="P572" s="362">
        <v>249500</v>
      </c>
      <c r="Q572" s="363" t="s">
        <v>10791</v>
      </c>
      <c r="R572" s="364" t="s">
        <v>758</v>
      </c>
      <c r="S572" s="340">
        <v>34</v>
      </c>
    </row>
    <row r="573" spans="1:19" ht="16" thickBot="1" x14ac:dyDescent="0.4">
      <c r="A573" s="357">
        <v>562</v>
      </c>
      <c r="B573" s="358" t="s">
        <v>10787</v>
      </c>
      <c r="C573" s="359" t="s">
        <v>10788</v>
      </c>
      <c r="D573" s="360" t="s">
        <v>6284</v>
      </c>
      <c r="E573" s="360" t="s">
        <v>10082</v>
      </c>
      <c r="F573" s="360" t="s">
        <v>10078</v>
      </c>
      <c r="G573" s="360" t="s">
        <v>10078</v>
      </c>
      <c r="H573" s="360">
        <v>0</v>
      </c>
      <c r="I573" s="358" t="s">
        <v>63</v>
      </c>
      <c r="J573" s="361" t="s">
        <v>10789</v>
      </c>
      <c r="K573" s="358" t="s">
        <v>10790</v>
      </c>
      <c r="L573" s="358"/>
      <c r="M573" s="360" t="s">
        <v>10084</v>
      </c>
      <c r="N573" s="358"/>
      <c r="O573" s="360" t="s">
        <v>57</v>
      </c>
      <c r="P573" s="362">
        <v>249500</v>
      </c>
      <c r="Q573" s="363" t="s">
        <v>10791</v>
      </c>
      <c r="R573" s="364" t="s">
        <v>758</v>
      </c>
      <c r="S573" s="340">
        <v>34</v>
      </c>
    </row>
    <row r="574" spans="1:19" ht="15.5" x14ac:dyDescent="0.35">
      <c r="A574" s="349">
        <v>563</v>
      </c>
      <c r="B574" s="364" t="s">
        <v>10787</v>
      </c>
      <c r="C574" s="365" t="s">
        <v>10788</v>
      </c>
      <c r="D574" s="366" t="s">
        <v>6290</v>
      </c>
      <c r="E574" s="366" t="s">
        <v>10082</v>
      </c>
      <c r="F574" s="366" t="s">
        <v>10078</v>
      </c>
      <c r="G574" s="366" t="s">
        <v>10078</v>
      </c>
      <c r="H574" s="366">
        <v>0</v>
      </c>
      <c r="I574" s="364" t="s">
        <v>63</v>
      </c>
      <c r="J574" s="367" t="s">
        <v>10789</v>
      </c>
      <c r="K574" s="364" t="s">
        <v>10790</v>
      </c>
      <c r="L574" s="358"/>
      <c r="M574" s="366" t="s">
        <v>10084</v>
      </c>
      <c r="N574" s="358"/>
      <c r="O574" s="366" t="s">
        <v>57</v>
      </c>
      <c r="P574" s="368">
        <v>249500</v>
      </c>
      <c r="Q574" s="369" t="s">
        <v>10791</v>
      </c>
      <c r="R574" s="364" t="s">
        <v>758</v>
      </c>
      <c r="S574" s="340">
        <v>34</v>
      </c>
    </row>
    <row r="575" spans="1:19" ht="16" thickBot="1" x14ac:dyDescent="0.4">
      <c r="A575" s="357">
        <v>564</v>
      </c>
      <c r="B575" s="364" t="s">
        <v>10787</v>
      </c>
      <c r="C575" s="365" t="s">
        <v>10788</v>
      </c>
      <c r="D575" s="366" t="s">
        <v>6296</v>
      </c>
      <c r="E575" s="366" t="s">
        <v>10082</v>
      </c>
      <c r="F575" s="366" t="s">
        <v>10078</v>
      </c>
      <c r="G575" s="366" t="s">
        <v>10078</v>
      </c>
      <c r="H575" s="366">
        <v>0</v>
      </c>
      <c r="I575" s="364" t="s">
        <v>63</v>
      </c>
      <c r="J575" s="367" t="s">
        <v>10789</v>
      </c>
      <c r="K575" s="358" t="s">
        <v>10790</v>
      </c>
      <c r="L575" s="358"/>
      <c r="M575" s="366" t="s">
        <v>10084</v>
      </c>
      <c r="N575" s="358"/>
      <c r="O575" s="366" t="s">
        <v>57</v>
      </c>
      <c r="P575" s="368">
        <v>249500</v>
      </c>
      <c r="Q575" s="369" t="s">
        <v>10791</v>
      </c>
      <c r="R575" s="364" t="s">
        <v>758</v>
      </c>
      <c r="S575" s="340">
        <v>34</v>
      </c>
    </row>
    <row r="576" spans="1:19" ht="15.5" x14ac:dyDescent="0.35">
      <c r="A576" s="349">
        <v>565</v>
      </c>
      <c r="B576" s="364" t="s">
        <v>10787</v>
      </c>
      <c r="C576" s="365" t="s">
        <v>10788</v>
      </c>
      <c r="D576" s="366" t="s">
        <v>6302</v>
      </c>
      <c r="E576" s="366" t="s">
        <v>10082</v>
      </c>
      <c r="F576" s="366" t="s">
        <v>10078</v>
      </c>
      <c r="G576" s="366" t="s">
        <v>10078</v>
      </c>
      <c r="H576" s="366">
        <v>0</v>
      </c>
      <c r="I576" s="364" t="s">
        <v>63</v>
      </c>
      <c r="J576" s="367" t="s">
        <v>10789</v>
      </c>
      <c r="K576" s="358" t="s">
        <v>10790</v>
      </c>
      <c r="L576" s="358"/>
      <c r="M576" s="366" t="s">
        <v>10084</v>
      </c>
      <c r="N576" s="358"/>
      <c r="O576" s="360" t="s">
        <v>57</v>
      </c>
      <c r="P576" s="368">
        <v>249500</v>
      </c>
      <c r="Q576" s="369" t="s">
        <v>10791</v>
      </c>
      <c r="R576" s="364" t="s">
        <v>758</v>
      </c>
      <c r="S576" s="340">
        <v>34</v>
      </c>
    </row>
    <row r="577" spans="1:19" ht="16" thickBot="1" x14ac:dyDescent="0.4">
      <c r="A577" s="357">
        <v>566</v>
      </c>
      <c r="B577" s="364" t="s">
        <v>10787</v>
      </c>
      <c r="C577" s="365" t="s">
        <v>10788</v>
      </c>
      <c r="D577" s="366" t="s">
        <v>6307</v>
      </c>
      <c r="E577" s="366" t="s">
        <v>10082</v>
      </c>
      <c r="F577" s="366" t="s">
        <v>10078</v>
      </c>
      <c r="G577" s="366" t="s">
        <v>10078</v>
      </c>
      <c r="H577" s="366">
        <v>0</v>
      </c>
      <c r="I577" s="364" t="s">
        <v>63</v>
      </c>
      <c r="J577" s="367" t="s">
        <v>10789</v>
      </c>
      <c r="K577" s="364" t="s">
        <v>10790</v>
      </c>
      <c r="L577" s="358"/>
      <c r="M577" s="366" t="s">
        <v>10084</v>
      </c>
      <c r="N577" s="358"/>
      <c r="O577" s="360" t="s">
        <v>57</v>
      </c>
      <c r="P577" s="368">
        <v>249500</v>
      </c>
      <c r="Q577" s="369" t="s">
        <v>10791</v>
      </c>
      <c r="R577" s="364" t="s">
        <v>758</v>
      </c>
      <c r="S577" s="340">
        <v>34</v>
      </c>
    </row>
    <row r="578" spans="1:19" ht="15.5" x14ac:dyDescent="0.35">
      <c r="A578" s="349">
        <v>567</v>
      </c>
      <c r="B578" s="364" t="s">
        <v>10787</v>
      </c>
      <c r="C578" s="365" t="s">
        <v>10788</v>
      </c>
      <c r="D578" s="366" t="s">
        <v>6313</v>
      </c>
      <c r="E578" s="366" t="s">
        <v>10082</v>
      </c>
      <c r="F578" s="366" t="s">
        <v>10078</v>
      </c>
      <c r="G578" s="366" t="s">
        <v>10078</v>
      </c>
      <c r="H578" s="366">
        <v>0</v>
      </c>
      <c r="I578" s="364" t="s">
        <v>63</v>
      </c>
      <c r="J578" s="367" t="s">
        <v>10789</v>
      </c>
      <c r="K578" s="364" t="s">
        <v>10790</v>
      </c>
      <c r="L578" s="358"/>
      <c r="M578" s="366" t="s">
        <v>10084</v>
      </c>
      <c r="N578" s="358"/>
      <c r="O578" s="360" t="s">
        <v>57</v>
      </c>
      <c r="P578" s="368">
        <v>249500</v>
      </c>
      <c r="Q578" s="369" t="s">
        <v>10791</v>
      </c>
      <c r="R578" s="364" t="s">
        <v>758</v>
      </c>
      <c r="S578" s="340">
        <v>34</v>
      </c>
    </row>
    <row r="579" spans="1:19" ht="16" thickBot="1" x14ac:dyDescent="0.4">
      <c r="A579" s="357">
        <v>568</v>
      </c>
      <c r="B579" s="358" t="s">
        <v>10787</v>
      </c>
      <c r="C579" s="359" t="s">
        <v>10788</v>
      </c>
      <c r="D579" s="360" t="s">
        <v>6319</v>
      </c>
      <c r="E579" s="360" t="s">
        <v>10082</v>
      </c>
      <c r="F579" s="360" t="s">
        <v>10078</v>
      </c>
      <c r="G579" s="360" t="s">
        <v>10078</v>
      </c>
      <c r="H579" s="360">
        <v>0</v>
      </c>
      <c r="I579" s="358" t="s">
        <v>63</v>
      </c>
      <c r="J579" s="361" t="s">
        <v>10789</v>
      </c>
      <c r="K579" s="358" t="s">
        <v>10790</v>
      </c>
      <c r="L579" s="358"/>
      <c r="M579" s="360" t="s">
        <v>10084</v>
      </c>
      <c r="N579" s="358"/>
      <c r="O579" s="360" t="s">
        <v>57</v>
      </c>
      <c r="P579" s="362">
        <v>249500</v>
      </c>
      <c r="Q579" s="363" t="s">
        <v>10791</v>
      </c>
      <c r="R579" s="364" t="s">
        <v>758</v>
      </c>
      <c r="S579" s="340">
        <v>34</v>
      </c>
    </row>
    <row r="580" spans="1:19" ht="15.5" x14ac:dyDescent="0.35">
      <c r="A580" s="349">
        <v>569</v>
      </c>
      <c r="B580" s="358" t="s">
        <v>10787</v>
      </c>
      <c r="C580" s="359" t="s">
        <v>10788</v>
      </c>
      <c r="D580" s="360" t="s">
        <v>6325</v>
      </c>
      <c r="E580" s="360" t="s">
        <v>10082</v>
      </c>
      <c r="F580" s="360" t="s">
        <v>10078</v>
      </c>
      <c r="G580" s="360" t="s">
        <v>10078</v>
      </c>
      <c r="H580" s="360">
        <v>0</v>
      </c>
      <c r="I580" s="358" t="s">
        <v>63</v>
      </c>
      <c r="J580" s="361" t="s">
        <v>10789</v>
      </c>
      <c r="K580" s="358" t="s">
        <v>10790</v>
      </c>
      <c r="L580" s="358"/>
      <c r="M580" s="360" t="s">
        <v>10084</v>
      </c>
      <c r="N580" s="358"/>
      <c r="O580" s="360" t="s">
        <v>57</v>
      </c>
      <c r="P580" s="362">
        <v>249500</v>
      </c>
      <c r="Q580" s="363" t="s">
        <v>10791</v>
      </c>
      <c r="R580" s="364" t="s">
        <v>758</v>
      </c>
      <c r="S580" s="340">
        <v>34</v>
      </c>
    </row>
    <row r="581" spans="1:19" ht="16" thickBot="1" x14ac:dyDescent="0.4">
      <c r="A581" s="357">
        <v>570</v>
      </c>
      <c r="B581" s="358" t="s">
        <v>10787</v>
      </c>
      <c r="C581" s="359" t="s">
        <v>10788</v>
      </c>
      <c r="D581" s="360" t="s">
        <v>6332</v>
      </c>
      <c r="E581" s="360" t="s">
        <v>10082</v>
      </c>
      <c r="F581" s="360" t="s">
        <v>10078</v>
      </c>
      <c r="G581" s="360" t="s">
        <v>10078</v>
      </c>
      <c r="H581" s="360">
        <v>0</v>
      </c>
      <c r="I581" s="358" t="s">
        <v>63</v>
      </c>
      <c r="J581" s="361" t="s">
        <v>10789</v>
      </c>
      <c r="K581" s="358" t="s">
        <v>10790</v>
      </c>
      <c r="L581" s="358"/>
      <c r="M581" s="360" t="s">
        <v>10084</v>
      </c>
      <c r="N581" s="358"/>
      <c r="O581" s="360" t="s">
        <v>57</v>
      </c>
      <c r="P581" s="362">
        <v>249500</v>
      </c>
      <c r="Q581" s="363" t="s">
        <v>10791</v>
      </c>
      <c r="R581" s="364" t="s">
        <v>758</v>
      </c>
      <c r="S581" s="340">
        <v>34</v>
      </c>
    </row>
    <row r="582" spans="1:19" ht="15.5" x14ac:dyDescent="0.35">
      <c r="A582" s="349">
        <v>571</v>
      </c>
      <c r="B582" s="358" t="s">
        <v>10787</v>
      </c>
      <c r="C582" s="359" t="s">
        <v>10788</v>
      </c>
      <c r="D582" s="360" t="s">
        <v>6337</v>
      </c>
      <c r="E582" s="360" t="s">
        <v>10082</v>
      </c>
      <c r="F582" s="360" t="s">
        <v>10078</v>
      </c>
      <c r="G582" s="360" t="s">
        <v>10078</v>
      </c>
      <c r="H582" s="360">
        <v>0</v>
      </c>
      <c r="I582" s="358" t="s">
        <v>63</v>
      </c>
      <c r="J582" s="361" t="s">
        <v>10789</v>
      </c>
      <c r="K582" s="358" t="s">
        <v>10790</v>
      </c>
      <c r="L582" s="358"/>
      <c r="M582" s="360" t="s">
        <v>10084</v>
      </c>
      <c r="N582" s="358"/>
      <c r="O582" s="360" t="s">
        <v>57</v>
      </c>
      <c r="P582" s="362">
        <v>249500</v>
      </c>
      <c r="Q582" s="363" t="s">
        <v>10791</v>
      </c>
      <c r="R582" s="364" t="s">
        <v>758</v>
      </c>
      <c r="S582" s="340">
        <v>34</v>
      </c>
    </row>
    <row r="583" spans="1:19" ht="16" thickBot="1" x14ac:dyDescent="0.4">
      <c r="A583" s="357">
        <v>572</v>
      </c>
      <c r="B583" s="358" t="s">
        <v>10787</v>
      </c>
      <c r="C583" s="359" t="s">
        <v>10788</v>
      </c>
      <c r="D583" s="360" t="s">
        <v>7494</v>
      </c>
      <c r="E583" s="360" t="s">
        <v>10082</v>
      </c>
      <c r="F583" s="360" t="s">
        <v>10078</v>
      </c>
      <c r="G583" s="360" t="s">
        <v>10078</v>
      </c>
      <c r="H583" s="360">
        <v>0</v>
      </c>
      <c r="I583" s="358" t="s">
        <v>63</v>
      </c>
      <c r="J583" s="361" t="s">
        <v>10789</v>
      </c>
      <c r="K583" s="358" t="s">
        <v>10790</v>
      </c>
      <c r="L583" s="358"/>
      <c r="M583" s="360" t="s">
        <v>10084</v>
      </c>
      <c r="N583" s="358"/>
      <c r="O583" s="360" t="s">
        <v>57</v>
      </c>
      <c r="P583" s="362">
        <v>249500</v>
      </c>
      <c r="Q583" s="363" t="s">
        <v>10791</v>
      </c>
      <c r="R583" s="364" t="s">
        <v>758</v>
      </c>
      <c r="S583" s="340">
        <v>34</v>
      </c>
    </row>
    <row r="584" spans="1:19" ht="15.5" x14ac:dyDescent="0.35">
      <c r="A584" s="349">
        <v>573</v>
      </c>
      <c r="B584" s="358" t="s">
        <v>10787</v>
      </c>
      <c r="C584" s="359" t="s">
        <v>10788</v>
      </c>
      <c r="D584" s="360" t="s">
        <v>7498</v>
      </c>
      <c r="E584" s="360" t="s">
        <v>10082</v>
      </c>
      <c r="F584" s="360" t="s">
        <v>10078</v>
      </c>
      <c r="G584" s="360" t="s">
        <v>10078</v>
      </c>
      <c r="H584" s="360">
        <v>0</v>
      </c>
      <c r="I584" s="358" t="s">
        <v>63</v>
      </c>
      <c r="J584" s="361" t="s">
        <v>10789</v>
      </c>
      <c r="K584" s="358" t="s">
        <v>10790</v>
      </c>
      <c r="L584" s="358"/>
      <c r="M584" s="360" t="s">
        <v>10084</v>
      </c>
      <c r="N584" s="358"/>
      <c r="O584" s="360" t="s">
        <v>57</v>
      </c>
      <c r="P584" s="362">
        <v>249500</v>
      </c>
      <c r="Q584" s="363" t="s">
        <v>10791</v>
      </c>
      <c r="R584" s="364" t="s">
        <v>758</v>
      </c>
      <c r="S584" s="340">
        <v>34</v>
      </c>
    </row>
    <row r="585" spans="1:19" ht="16" thickBot="1" x14ac:dyDescent="0.4">
      <c r="A585" s="357">
        <v>574</v>
      </c>
      <c r="B585" s="358" t="s">
        <v>10787</v>
      </c>
      <c r="C585" s="359" t="s">
        <v>10788</v>
      </c>
      <c r="D585" s="360" t="s">
        <v>7502</v>
      </c>
      <c r="E585" s="360" t="s">
        <v>10082</v>
      </c>
      <c r="F585" s="360" t="s">
        <v>10078</v>
      </c>
      <c r="G585" s="360" t="s">
        <v>10078</v>
      </c>
      <c r="H585" s="360">
        <v>0</v>
      </c>
      <c r="I585" s="358" t="s">
        <v>63</v>
      </c>
      <c r="J585" s="361" t="s">
        <v>10789</v>
      </c>
      <c r="K585" s="358" t="s">
        <v>10790</v>
      </c>
      <c r="L585" s="358"/>
      <c r="M585" s="360" t="s">
        <v>10084</v>
      </c>
      <c r="N585" s="358"/>
      <c r="O585" s="360" t="s">
        <v>57</v>
      </c>
      <c r="P585" s="362">
        <v>249500</v>
      </c>
      <c r="Q585" s="363" t="s">
        <v>10791</v>
      </c>
      <c r="R585" s="364" t="s">
        <v>758</v>
      </c>
      <c r="S585" s="340">
        <v>34</v>
      </c>
    </row>
    <row r="586" spans="1:19" ht="15.5" x14ac:dyDescent="0.35">
      <c r="A586" s="349">
        <v>575</v>
      </c>
      <c r="B586" s="358" t="s">
        <v>10787</v>
      </c>
      <c r="C586" s="359" t="s">
        <v>10788</v>
      </c>
      <c r="D586" s="360" t="s">
        <v>7506</v>
      </c>
      <c r="E586" s="360" t="s">
        <v>10082</v>
      </c>
      <c r="F586" s="360" t="s">
        <v>10078</v>
      </c>
      <c r="G586" s="360" t="s">
        <v>10078</v>
      </c>
      <c r="H586" s="360">
        <v>0</v>
      </c>
      <c r="I586" s="358" t="s">
        <v>63</v>
      </c>
      <c r="J586" s="361" t="s">
        <v>10789</v>
      </c>
      <c r="K586" s="358" t="s">
        <v>10790</v>
      </c>
      <c r="L586" s="358"/>
      <c r="M586" s="360" t="s">
        <v>10084</v>
      </c>
      <c r="N586" s="358"/>
      <c r="O586" s="360" t="s">
        <v>57</v>
      </c>
      <c r="P586" s="362">
        <v>249500</v>
      </c>
      <c r="Q586" s="363" t="s">
        <v>10791</v>
      </c>
      <c r="R586" s="364" t="s">
        <v>758</v>
      </c>
      <c r="S586" s="340">
        <v>34</v>
      </c>
    </row>
    <row r="587" spans="1:19" ht="16" thickBot="1" x14ac:dyDescent="0.4">
      <c r="A587" s="357">
        <v>576</v>
      </c>
      <c r="B587" s="358" t="s">
        <v>10787</v>
      </c>
      <c r="C587" s="359" t="s">
        <v>10788</v>
      </c>
      <c r="D587" s="360" t="s">
        <v>7510</v>
      </c>
      <c r="E587" s="360" t="s">
        <v>10082</v>
      </c>
      <c r="F587" s="360" t="s">
        <v>10078</v>
      </c>
      <c r="G587" s="360" t="s">
        <v>10078</v>
      </c>
      <c r="H587" s="360">
        <v>0</v>
      </c>
      <c r="I587" s="358" t="s">
        <v>63</v>
      </c>
      <c r="J587" s="361" t="s">
        <v>10789</v>
      </c>
      <c r="K587" s="358" t="s">
        <v>10790</v>
      </c>
      <c r="L587" s="358"/>
      <c r="M587" s="360" t="s">
        <v>10084</v>
      </c>
      <c r="N587" s="358"/>
      <c r="O587" s="360" t="s">
        <v>57</v>
      </c>
      <c r="P587" s="362">
        <v>249500</v>
      </c>
      <c r="Q587" s="363" t="s">
        <v>10791</v>
      </c>
      <c r="R587" s="364" t="s">
        <v>758</v>
      </c>
      <c r="S587" s="340">
        <v>34</v>
      </c>
    </row>
    <row r="588" spans="1:19" ht="15.5" x14ac:dyDescent="0.35">
      <c r="A588" s="349">
        <v>577</v>
      </c>
      <c r="B588" s="358" t="s">
        <v>10787</v>
      </c>
      <c r="C588" s="359" t="s">
        <v>10788</v>
      </c>
      <c r="D588" s="360" t="s">
        <v>7514</v>
      </c>
      <c r="E588" s="360" t="s">
        <v>10082</v>
      </c>
      <c r="F588" s="360" t="s">
        <v>10078</v>
      </c>
      <c r="G588" s="360" t="s">
        <v>10078</v>
      </c>
      <c r="H588" s="360">
        <v>0</v>
      </c>
      <c r="I588" s="358" t="s">
        <v>63</v>
      </c>
      <c r="J588" s="361" t="s">
        <v>10789</v>
      </c>
      <c r="K588" s="358" t="s">
        <v>10790</v>
      </c>
      <c r="L588" s="358"/>
      <c r="M588" s="360" t="s">
        <v>10084</v>
      </c>
      <c r="N588" s="358"/>
      <c r="O588" s="360" t="s">
        <v>57</v>
      </c>
      <c r="P588" s="362">
        <v>249500</v>
      </c>
      <c r="Q588" s="363" t="s">
        <v>10791</v>
      </c>
      <c r="R588" s="364" t="s">
        <v>758</v>
      </c>
      <c r="S588" s="340">
        <v>34</v>
      </c>
    </row>
    <row r="589" spans="1:19" ht="16" thickBot="1" x14ac:dyDescent="0.4">
      <c r="A589" s="357">
        <v>578</v>
      </c>
      <c r="B589" s="364" t="s">
        <v>10787</v>
      </c>
      <c r="C589" s="365" t="s">
        <v>10788</v>
      </c>
      <c r="D589" s="366" t="s">
        <v>7518</v>
      </c>
      <c r="E589" s="366" t="s">
        <v>10082</v>
      </c>
      <c r="F589" s="366" t="s">
        <v>10078</v>
      </c>
      <c r="G589" s="366" t="s">
        <v>10078</v>
      </c>
      <c r="H589" s="366">
        <v>0</v>
      </c>
      <c r="I589" s="364" t="s">
        <v>63</v>
      </c>
      <c r="J589" s="367" t="s">
        <v>10789</v>
      </c>
      <c r="K589" s="364" t="s">
        <v>10790</v>
      </c>
      <c r="L589" s="358"/>
      <c r="M589" s="366" t="s">
        <v>10084</v>
      </c>
      <c r="N589" s="358"/>
      <c r="O589" s="366" t="s">
        <v>57</v>
      </c>
      <c r="P589" s="368">
        <v>249500</v>
      </c>
      <c r="Q589" s="369" t="s">
        <v>10791</v>
      </c>
      <c r="R589" s="364" t="s">
        <v>758</v>
      </c>
      <c r="S589" s="340">
        <v>34</v>
      </c>
    </row>
    <row r="590" spans="1:19" ht="15.5" x14ac:dyDescent="0.35">
      <c r="A590" s="349">
        <v>579</v>
      </c>
      <c r="B590" s="364" t="s">
        <v>10787</v>
      </c>
      <c r="C590" s="365" t="s">
        <v>10788</v>
      </c>
      <c r="D590" s="366" t="s">
        <v>7522</v>
      </c>
      <c r="E590" s="366" t="s">
        <v>10082</v>
      </c>
      <c r="F590" s="366" t="s">
        <v>10078</v>
      </c>
      <c r="G590" s="366" t="s">
        <v>10078</v>
      </c>
      <c r="H590" s="366">
        <v>0</v>
      </c>
      <c r="I590" s="364" t="s">
        <v>63</v>
      </c>
      <c r="J590" s="367" t="s">
        <v>10789</v>
      </c>
      <c r="K590" s="358" t="s">
        <v>10790</v>
      </c>
      <c r="L590" s="358"/>
      <c r="M590" s="366" t="s">
        <v>10084</v>
      </c>
      <c r="N590" s="358"/>
      <c r="O590" s="366" t="s">
        <v>57</v>
      </c>
      <c r="P590" s="368">
        <v>249500</v>
      </c>
      <c r="Q590" s="369" t="s">
        <v>10791</v>
      </c>
      <c r="R590" s="364" t="s">
        <v>758</v>
      </c>
      <c r="S590" s="340">
        <v>34</v>
      </c>
    </row>
    <row r="591" spans="1:19" ht="16" thickBot="1" x14ac:dyDescent="0.4">
      <c r="A591" s="357">
        <v>580</v>
      </c>
      <c r="B591" s="364" t="s">
        <v>10787</v>
      </c>
      <c r="C591" s="365" t="s">
        <v>10788</v>
      </c>
      <c r="D591" s="366" t="s">
        <v>7526</v>
      </c>
      <c r="E591" s="366" t="s">
        <v>10082</v>
      </c>
      <c r="F591" s="366" t="s">
        <v>10078</v>
      </c>
      <c r="G591" s="366" t="s">
        <v>10078</v>
      </c>
      <c r="H591" s="366">
        <v>0</v>
      </c>
      <c r="I591" s="364" t="s">
        <v>63</v>
      </c>
      <c r="J591" s="367" t="s">
        <v>10789</v>
      </c>
      <c r="K591" s="358" t="s">
        <v>10790</v>
      </c>
      <c r="L591" s="358"/>
      <c r="M591" s="366" t="s">
        <v>10084</v>
      </c>
      <c r="N591" s="358"/>
      <c r="O591" s="360" t="s">
        <v>57</v>
      </c>
      <c r="P591" s="368">
        <v>249500</v>
      </c>
      <c r="Q591" s="369" t="s">
        <v>10791</v>
      </c>
      <c r="R591" s="364" t="s">
        <v>758</v>
      </c>
      <c r="S591" s="340">
        <v>34</v>
      </c>
    </row>
    <row r="592" spans="1:19" ht="15.5" x14ac:dyDescent="0.35">
      <c r="A592" s="349">
        <v>581</v>
      </c>
      <c r="B592" s="364" t="s">
        <v>10787</v>
      </c>
      <c r="C592" s="365" t="s">
        <v>10788</v>
      </c>
      <c r="D592" s="366" t="s">
        <v>7530</v>
      </c>
      <c r="E592" s="366" t="s">
        <v>10082</v>
      </c>
      <c r="F592" s="366" t="s">
        <v>10078</v>
      </c>
      <c r="G592" s="366" t="s">
        <v>10078</v>
      </c>
      <c r="H592" s="366">
        <v>0</v>
      </c>
      <c r="I592" s="364" t="s">
        <v>63</v>
      </c>
      <c r="J592" s="367" t="s">
        <v>10789</v>
      </c>
      <c r="K592" s="364" t="s">
        <v>10790</v>
      </c>
      <c r="L592" s="358"/>
      <c r="M592" s="366" t="s">
        <v>10084</v>
      </c>
      <c r="N592" s="358"/>
      <c r="O592" s="360" t="s">
        <v>57</v>
      </c>
      <c r="P592" s="368">
        <v>249500</v>
      </c>
      <c r="Q592" s="369" t="s">
        <v>10791</v>
      </c>
      <c r="R592" s="364" t="s">
        <v>758</v>
      </c>
      <c r="S592" s="340">
        <v>34</v>
      </c>
    </row>
    <row r="593" spans="1:19" ht="16" thickBot="1" x14ac:dyDescent="0.4">
      <c r="A593" s="357">
        <v>582</v>
      </c>
      <c r="B593" s="364" t="s">
        <v>10787</v>
      </c>
      <c r="C593" s="365" t="s">
        <v>10788</v>
      </c>
      <c r="D593" s="366" t="s">
        <v>7534</v>
      </c>
      <c r="E593" s="366" t="s">
        <v>10082</v>
      </c>
      <c r="F593" s="366" t="s">
        <v>10078</v>
      </c>
      <c r="G593" s="366" t="s">
        <v>10078</v>
      </c>
      <c r="H593" s="366">
        <v>0</v>
      </c>
      <c r="I593" s="364" t="s">
        <v>63</v>
      </c>
      <c r="J593" s="367" t="s">
        <v>10789</v>
      </c>
      <c r="K593" s="364" t="s">
        <v>10790</v>
      </c>
      <c r="L593" s="358"/>
      <c r="M593" s="366" t="s">
        <v>10084</v>
      </c>
      <c r="N593" s="358"/>
      <c r="O593" s="360" t="s">
        <v>57</v>
      </c>
      <c r="P593" s="368">
        <v>249500</v>
      </c>
      <c r="Q593" s="369" t="s">
        <v>10791</v>
      </c>
      <c r="R593" s="364" t="s">
        <v>758</v>
      </c>
      <c r="S593" s="340">
        <v>34</v>
      </c>
    </row>
    <row r="594" spans="1:19" ht="15.5" x14ac:dyDescent="0.35">
      <c r="A594" s="349">
        <v>583</v>
      </c>
      <c r="B594" s="358" t="s">
        <v>10787</v>
      </c>
      <c r="C594" s="359" t="s">
        <v>10788</v>
      </c>
      <c r="D594" s="360" t="s">
        <v>7538</v>
      </c>
      <c r="E594" s="360" t="s">
        <v>10082</v>
      </c>
      <c r="F594" s="360" t="s">
        <v>10078</v>
      </c>
      <c r="G594" s="360" t="s">
        <v>10078</v>
      </c>
      <c r="H594" s="360">
        <v>0</v>
      </c>
      <c r="I594" s="358" t="s">
        <v>63</v>
      </c>
      <c r="J594" s="361" t="s">
        <v>10789</v>
      </c>
      <c r="K594" s="358" t="s">
        <v>10790</v>
      </c>
      <c r="L594" s="358"/>
      <c r="M594" s="360" t="s">
        <v>10084</v>
      </c>
      <c r="N594" s="358"/>
      <c r="O594" s="360" t="s">
        <v>57</v>
      </c>
      <c r="P594" s="362">
        <v>249500</v>
      </c>
      <c r="Q594" s="363" t="s">
        <v>10791</v>
      </c>
      <c r="R594" s="364" t="s">
        <v>758</v>
      </c>
      <c r="S594" s="340">
        <v>34</v>
      </c>
    </row>
    <row r="595" spans="1:19" ht="16" thickBot="1" x14ac:dyDescent="0.4">
      <c r="A595" s="357">
        <v>584</v>
      </c>
      <c r="B595" s="358" t="s">
        <v>10787</v>
      </c>
      <c r="C595" s="359" t="s">
        <v>10788</v>
      </c>
      <c r="D595" s="360" t="s">
        <v>7543</v>
      </c>
      <c r="E595" s="360" t="s">
        <v>10082</v>
      </c>
      <c r="F595" s="360" t="s">
        <v>10078</v>
      </c>
      <c r="G595" s="360" t="s">
        <v>10078</v>
      </c>
      <c r="H595" s="360">
        <v>0</v>
      </c>
      <c r="I595" s="358" t="s">
        <v>63</v>
      </c>
      <c r="J595" s="361" t="s">
        <v>10789</v>
      </c>
      <c r="K595" s="358" t="s">
        <v>10790</v>
      </c>
      <c r="L595" s="358"/>
      <c r="M595" s="360" t="s">
        <v>10084</v>
      </c>
      <c r="N595" s="358"/>
      <c r="O595" s="360" t="s">
        <v>57</v>
      </c>
      <c r="P595" s="362">
        <v>249500</v>
      </c>
      <c r="Q595" s="363" t="s">
        <v>10791</v>
      </c>
      <c r="R595" s="364" t="s">
        <v>758</v>
      </c>
      <c r="S595" s="340">
        <v>34</v>
      </c>
    </row>
    <row r="596" spans="1:19" ht="15.5" x14ac:dyDescent="0.35">
      <c r="A596" s="349">
        <v>585</v>
      </c>
      <c r="B596" s="358" t="s">
        <v>10787</v>
      </c>
      <c r="C596" s="359" t="s">
        <v>10788</v>
      </c>
      <c r="D596" s="360" t="s">
        <v>7545</v>
      </c>
      <c r="E596" s="360" t="s">
        <v>10082</v>
      </c>
      <c r="F596" s="360" t="s">
        <v>10078</v>
      </c>
      <c r="G596" s="360" t="s">
        <v>10078</v>
      </c>
      <c r="H596" s="360">
        <v>0</v>
      </c>
      <c r="I596" s="358" t="s">
        <v>63</v>
      </c>
      <c r="J596" s="361" t="s">
        <v>10789</v>
      </c>
      <c r="K596" s="358" t="s">
        <v>10790</v>
      </c>
      <c r="L596" s="358"/>
      <c r="M596" s="360" t="s">
        <v>10084</v>
      </c>
      <c r="N596" s="358"/>
      <c r="O596" s="360" t="s">
        <v>57</v>
      </c>
      <c r="P596" s="362">
        <v>249500</v>
      </c>
      <c r="Q596" s="363" t="s">
        <v>10791</v>
      </c>
      <c r="R596" s="364" t="s">
        <v>758</v>
      </c>
      <c r="S596" s="340">
        <v>34</v>
      </c>
    </row>
    <row r="597" spans="1:19" ht="16" thickBot="1" x14ac:dyDescent="0.4">
      <c r="A597" s="357">
        <v>586</v>
      </c>
      <c r="B597" s="358" t="s">
        <v>10787</v>
      </c>
      <c r="C597" s="359" t="s">
        <v>10788</v>
      </c>
      <c r="D597" s="360" t="s">
        <v>6345</v>
      </c>
      <c r="E597" s="360" t="s">
        <v>10082</v>
      </c>
      <c r="F597" s="360" t="s">
        <v>10078</v>
      </c>
      <c r="G597" s="360" t="s">
        <v>10078</v>
      </c>
      <c r="H597" s="360">
        <v>0</v>
      </c>
      <c r="I597" s="358" t="s">
        <v>63</v>
      </c>
      <c r="J597" s="361" t="s">
        <v>10789</v>
      </c>
      <c r="K597" s="358" t="s">
        <v>10790</v>
      </c>
      <c r="L597" s="358"/>
      <c r="M597" s="360" t="s">
        <v>10084</v>
      </c>
      <c r="N597" s="358"/>
      <c r="O597" s="360" t="s">
        <v>57</v>
      </c>
      <c r="P597" s="362">
        <v>249500</v>
      </c>
      <c r="Q597" s="363" t="s">
        <v>10791</v>
      </c>
      <c r="R597" s="364" t="s">
        <v>758</v>
      </c>
      <c r="S597" s="340">
        <v>34</v>
      </c>
    </row>
    <row r="598" spans="1:19" ht="15.5" x14ac:dyDescent="0.35">
      <c r="A598" s="349">
        <v>587</v>
      </c>
      <c r="B598" s="358" t="s">
        <v>10787</v>
      </c>
      <c r="C598" s="359" t="s">
        <v>10788</v>
      </c>
      <c r="D598" s="360" t="s">
        <v>6351</v>
      </c>
      <c r="E598" s="360" t="s">
        <v>10082</v>
      </c>
      <c r="F598" s="360" t="s">
        <v>10078</v>
      </c>
      <c r="G598" s="360" t="s">
        <v>10078</v>
      </c>
      <c r="H598" s="360">
        <v>0</v>
      </c>
      <c r="I598" s="358" t="s">
        <v>63</v>
      </c>
      <c r="J598" s="361" t="s">
        <v>10789</v>
      </c>
      <c r="K598" s="358" t="s">
        <v>10790</v>
      </c>
      <c r="L598" s="358"/>
      <c r="M598" s="360" t="s">
        <v>10084</v>
      </c>
      <c r="N598" s="358"/>
      <c r="O598" s="360" t="s">
        <v>57</v>
      </c>
      <c r="P598" s="362">
        <v>249500</v>
      </c>
      <c r="Q598" s="363" t="s">
        <v>10791</v>
      </c>
      <c r="R598" s="364" t="s">
        <v>758</v>
      </c>
      <c r="S598" s="340">
        <v>34</v>
      </c>
    </row>
    <row r="599" spans="1:19" ht="16" thickBot="1" x14ac:dyDescent="0.4">
      <c r="A599" s="357">
        <v>588</v>
      </c>
      <c r="B599" s="358" t="s">
        <v>10787</v>
      </c>
      <c r="C599" s="359" t="s">
        <v>10788</v>
      </c>
      <c r="D599" s="360" t="s">
        <v>7549</v>
      </c>
      <c r="E599" s="360" t="s">
        <v>10082</v>
      </c>
      <c r="F599" s="360" t="s">
        <v>10078</v>
      </c>
      <c r="G599" s="360" t="s">
        <v>10078</v>
      </c>
      <c r="H599" s="360">
        <v>0</v>
      </c>
      <c r="I599" s="358" t="s">
        <v>63</v>
      </c>
      <c r="J599" s="361" t="s">
        <v>10789</v>
      </c>
      <c r="K599" s="358" t="s">
        <v>10790</v>
      </c>
      <c r="L599" s="358"/>
      <c r="M599" s="360" t="s">
        <v>10084</v>
      </c>
      <c r="N599" s="358"/>
      <c r="O599" s="360" t="s">
        <v>57</v>
      </c>
      <c r="P599" s="362">
        <v>249500</v>
      </c>
      <c r="Q599" s="363" t="s">
        <v>10791</v>
      </c>
      <c r="R599" s="364" t="s">
        <v>758</v>
      </c>
      <c r="S599" s="340">
        <v>34</v>
      </c>
    </row>
    <row r="600" spans="1:19" ht="15.5" x14ac:dyDescent="0.35">
      <c r="A600" s="349">
        <v>589</v>
      </c>
      <c r="B600" s="358" t="s">
        <v>10787</v>
      </c>
      <c r="C600" s="359" t="s">
        <v>10788</v>
      </c>
      <c r="D600" s="360" t="s">
        <v>7551</v>
      </c>
      <c r="E600" s="360" t="s">
        <v>10082</v>
      </c>
      <c r="F600" s="360" t="s">
        <v>10078</v>
      </c>
      <c r="G600" s="360" t="s">
        <v>10078</v>
      </c>
      <c r="H600" s="360">
        <v>0</v>
      </c>
      <c r="I600" s="358" t="s">
        <v>63</v>
      </c>
      <c r="J600" s="361" t="s">
        <v>10789</v>
      </c>
      <c r="K600" s="358" t="s">
        <v>10790</v>
      </c>
      <c r="L600" s="358"/>
      <c r="M600" s="360" t="s">
        <v>10084</v>
      </c>
      <c r="N600" s="358"/>
      <c r="O600" s="360" t="s">
        <v>57</v>
      </c>
      <c r="P600" s="362">
        <v>249500</v>
      </c>
      <c r="Q600" s="363" t="s">
        <v>10791</v>
      </c>
      <c r="R600" s="364" t="s">
        <v>758</v>
      </c>
      <c r="S600" s="340">
        <v>34</v>
      </c>
    </row>
    <row r="601" spans="1:19" ht="16" thickBot="1" x14ac:dyDescent="0.4">
      <c r="A601" s="357">
        <v>590</v>
      </c>
      <c r="B601" s="358" t="s">
        <v>10787</v>
      </c>
      <c r="C601" s="359" t="s">
        <v>10788</v>
      </c>
      <c r="D601" s="360" t="s">
        <v>7553</v>
      </c>
      <c r="E601" s="360" t="s">
        <v>10082</v>
      </c>
      <c r="F601" s="360" t="s">
        <v>10078</v>
      </c>
      <c r="G601" s="360" t="s">
        <v>10078</v>
      </c>
      <c r="H601" s="360">
        <v>0</v>
      </c>
      <c r="I601" s="358" t="s">
        <v>63</v>
      </c>
      <c r="J601" s="361" t="s">
        <v>10789</v>
      </c>
      <c r="K601" s="358" t="s">
        <v>10790</v>
      </c>
      <c r="L601" s="358"/>
      <c r="M601" s="360" t="s">
        <v>10084</v>
      </c>
      <c r="N601" s="358"/>
      <c r="O601" s="360" t="s">
        <v>57</v>
      </c>
      <c r="P601" s="362">
        <v>249500</v>
      </c>
      <c r="Q601" s="363" t="s">
        <v>10791</v>
      </c>
      <c r="R601" s="364" t="s">
        <v>758</v>
      </c>
      <c r="S601" s="340">
        <v>34</v>
      </c>
    </row>
    <row r="602" spans="1:19" ht="15.5" x14ac:dyDescent="0.35">
      <c r="A602" s="349">
        <v>591</v>
      </c>
      <c r="B602" s="358" t="s">
        <v>10787</v>
      </c>
      <c r="C602" s="359" t="s">
        <v>10788</v>
      </c>
      <c r="D602" s="360" t="s">
        <v>7555</v>
      </c>
      <c r="E602" s="360" t="s">
        <v>10082</v>
      </c>
      <c r="F602" s="360" t="s">
        <v>10078</v>
      </c>
      <c r="G602" s="360" t="s">
        <v>10078</v>
      </c>
      <c r="H602" s="360">
        <v>0</v>
      </c>
      <c r="I602" s="358" t="s">
        <v>63</v>
      </c>
      <c r="J602" s="361" t="s">
        <v>10789</v>
      </c>
      <c r="K602" s="358" t="s">
        <v>10790</v>
      </c>
      <c r="L602" s="358"/>
      <c r="M602" s="360" t="s">
        <v>10084</v>
      </c>
      <c r="N602" s="358"/>
      <c r="O602" s="360" t="s">
        <v>57</v>
      </c>
      <c r="P602" s="362">
        <v>249500</v>
      </c>
      <c r="Q602" s="363" t="s">
        <v>10791</v>
      </c>
      <c r="R602" s="364" t="s">
        <v>758</v>
      </c>
      <c r="S602" s="340">
        <v>34</v>
      </c>
    </row>
    <row r="603" spans="1:19" ht="16" thickBot="1" x14ac:dyDescent="0.4">
      <c r="A603" s="357">
        <v>592</v>
      </c>
      <c r="B603" s="358" t="s">
        <v>10787</v>
      </c>
      <c r="C603" s="359" t="s">
        <v>10788</v>
      </c>
      <c r="D603" s="360" t="s">
        <v>7557</v>
      </c>
      <c r="E603" s="360" t="s">
        <v>10082</v>
      </c>
      <c r="F603" s="360" t="s">
        <v>10078</v>
      </c>
      <c r="G603" s="360" t="s">
        <v>10078</v>
      </c>
      <c r="H603" s="360">
        <v>0</v>
      </c>
      <c r="I603" s="358" t="s">
        <v>63</v>
      </c>
      <c r="J603" s="361" t="s">
        <v>10789</v>
      </c>
      <c r="K603" s="358" t="s">
        <v>10790</v>
      </c>
      <c r="L603" s="358"/>
      <c r="M603" s="360" t="s">
        <v>10084</v>
      </c>
      <c r="N603" s="358"/>
      <c r="O603" s="360" t="s">
        <v>57</v>
      </c>
      <c r="P603" s="362">
        <v>249500</v>
      </c>
      <c r="Q603" s="363" t="s">
        <v>10791</v>
      </c>
      <c r="R603" s="364" t="s">
        <v>758</v>
      </c>
      <c r="S603" s="340">
        <v>34</v>
      </c>
    </row>
    <row r="604" spans="1:19" ht="15.5" x14ac:dyDescent="0.35">
      <c r="A604" s="349">
        <v>593</v>
      </c>
      <c r="B604" s="364" t="s">
        <v>10787</v>
      </c>
      <c r="C604" s="365" t="s">
        <v>10788</v>
      </c>
      <c r="D604" s="366" t="s">
        <v>7559</v>
      </c>
      <c r="E604" s="366" t="s">
        <v>10082</v>
      </c>
      <c r="F604" s="366" t="s">
        <v>10078</v>
      </c>
      <c r="G604" s="366" t="s">
        <v>10078</v>
      </c>
      <c r="H604" s="366">
        <v>0</v>
      </c>
      <c r="I604" s="364" t="s">
        <v>63</v>
      </c>
      <c r="J604" s="367" t="s">
        <v>10789</v>
      </c>
      <c r="K604" s="364" t="s">
        <v>10790</v>
      </c>
      <c r="L604" s="358"/>
      <c r="M604" s="366" t="s">
        <v>10084</v>
      </c>
      <c r="N604" s="358"/>
      <c r="O604" s="366" t="s">
        <v>57</v>
      </c>
      <c r="P604" s="368">
        <v>249500</v>
      </c>
      <c r="Q604" s="369" t="s">
        <v>10791</v>
      </c>
      <c r="R604" s="364" t="s">
        <v>758</v>
      </c>
      <c r="S604" s="340">
        <v>34</v>
      </c>
    </row>
    <row r="605" spans="1:19" ht="16" thickBot="1" x14ac:dyDescent="0.4">
      <c r="A605" s="357">
        <v>594</v>
      </c>
      <c r="B605" s="364" t="s">
        <v>10787</v>
      </c>
      <c r="C605" s="365" t="s">
        <v>10788</v>
      </c>
      <c r="D605" s="366" t="s">
        <v>7561</v>
      </c>
      <c r="E605" s="366" t="s">
        <v>10082</v>
      </c>
      <c r="F605" s="366" t="s">
        <v>10078</v>
      </c>
      <c r="G605" s="366" t="s">
        <v>10078</v>
      </c>
      <c r="H605" s="366">
        <v>0</v>
      </c>
      <c r="I605" s="364" t="s">
        <v>63</v>
      </c>
      <c r="J605" s="367" t="s">
        <v>10789</v>
      </c>
      <c r="K605" s="364" t="s">
        <v>10790</v>
      </c>
      <c r="L605" s="358"/>
      <c r="M605" s="366" t="s">
        <v>10084</v>
      </c>
      <c r="N605" s="358"/>
      <c r="O605" s="366" t="s">
        <v>57</v>
      </c>
      <c r="P605" s="368">
        <v>249500</v>
      </c>
      <c r="Q605" s="369" t="s">
        <v>10791</v>
      </c>
      <c r="R605" s="364" t="s">
        <v>758</v>
      </c>
      <c r="S605" s="340">
        <v>34</v>
      </c>
    </row>
    <row r="606" spans="1:19" ht="15.5" x14ac:dyDescent="0.35">
      <c r="A606" s="349">
        <v>595</v>
      </c>
      <c r="B606" s="364" t="s">
        <v>10787</v>
      </c>
      <c r="C606" s="365" t="s">
        <v>10788</v>
      </c>
      <c r="D606" s="366" t="s">
        <v>7563</v>
      </c>
      <c r="E606" s="366" t="s">
        <v>10082</v>
      </c>
      <c r="F606" s="366" t="s">
        <v>10078</v>
      </c>
      <c r="G606" s="366" t="s">
        <v>10078</v>
      </c>
      <c r="H606" s="366">
        <v>0</v>
      </c>
      <c r="I606" s="364" t="s">
        <v>63</v>
      </c>
      <c r="J606" s="367" t="s">
        <v>10789</v>
      </c>
      <c r="K606" s="364" t="s">
        <v>10790</v>
      </c>
      <c r="L606" s="358"/>
      <c r="M606" s="366" t="s">
        <v>10084</v>
      </c>
      <c r="N606" s="358"/>
      <c r="O606" s="360" t="s">
        <v>57</v>
      </c>
      <c r="P606" s="368">
        <v>249500</v>
      </c>
      <c r="Q606" s="369" t="s">
        <v>10791</v>
      </c>
      <c r="R606" s="364" t="s">
        <v>758</v>
      </c>
      <c r="S606" s="340">
        <v>34</v>
      </c>
    </row>
    <row r="607" spans="1:19" ht="16" thickBot="1" x14ac:dyDescent="0.4">
      <c r="A607" s="357">
        <v>596</v>
      </c>
      <c r="B607" s="364" t="s">
        <v>10787</v>
      </c>
      <c r="C607" s="365" t="s">
        <v>10788</v>
      </c>
      <c r="D607" s="366" t="s">
        <v>7565</v>
      </c>
      <c r="E607" s="366" t="s">
        <v>10082</v>
      </c>
      <c r="F607" s="366" t="s">
        <v>10078</v>
      </c>
      <c r="G607" s="366" t="s">
        <v>10078</v>
      </c>
      <c r="H607" s="366">
        <v>0</v>
      </c>
      <c r="I607" s="364" t="s">
        <v>63</v>
      </c>
      <c r="J607" s="367" t="s">
        <v>10789</v>
      </c>
      <c r="K607" s="364" t="s">
        <v>10790</v>
      </c>
      <c r="L607" s="358"/>
      <c r="M607" s="366" t="s">
        <v>10084</v>
      </c>
      <c r="N607" s="358"/>
      <c r="O607" s="360" t="s">
        <v>57</v>
      </c>
      <c r="P607" s="368">
        <v>249500</v>
      </c>
      <c r="Q607" s="369" t="s">
        <v>10791</v>
      </c>
      <c r="R607" s="364" t="s">
        <v>758</v>
      </c>
      <c r="S607" s="340">
        <v>34</v>
      </c>
    </row>
    <row r="608" spans="1:19" ht="15.5" x14ac:dyDescent="0.35">
      <c r="A608" s="349">
        <v>597</v>
      </c>
      <c r="B608" s="364" t="s">
        <v>10787</v>
      </c>
      <c r="C608" s="365" t="s">
        <v>10788</v>
      </c>
      <c r="D608" s="366" t="s">
        <v>7567</v>
      </c>
      <c r="E608" s="366" t="s">
        <v>10082</v>
      </c>
      <c r="F608" s="366" t="s">
        <v>10078</v>
      </c>
      <c r="G608" s="366" t="s">
        <v>10078</v>
      </c>
      <c r="H608" s="366">
        <v>0</v>
      </c>
      <c r="I608" s="364" t="s">
        <v>63</v>
      </c>
      <c r="J608" s="367" t="s">
        <v>10789</v>
      </c>
      <c r="K608" s="364" t="s">
        <v>10790</v>
      </c>
      <c r="L608" s="358"/>
      <c r="M608" s="366" t="s">
        <v>10084</v>
      </c>
      <c r="N608" s="358"/>
      <c r="O608" s="360" t="s">
        <v>57</v>
      </c>
      <c r="P608" s="368">
        <v>249500</v>
      </c>
      <c r="Q608" s="369" t="s">
        <v>10791</v>
      </c>
      <c r="R608" s="364" t="s">
        <v>758</v>
      </c>
      <c r="S608" s="340">
        <v>34</v>
      </c>
    </row>
    <row r="609" spans="1:19" ht="16" thickBot="1" x14ac:dyDescent="0.4">
      <c r="A609" s="357">
        <v>598</v>
      </c>
      <c r="B609" s="364" t="s">
        <v>10787</v>
      </c>
      <c r="C609" s="365" t="s">
        <v>10788</v>
      </c>
      <c r="D609" s="366" t="s">
        <v>7569</v>
      </c>
      <c r="E609" s="366" t="s">
        <v>10082</v>
      </c>
      <c r="F609" s="366" t="s">
        <v>10078</v>
      </c>
      <c r="G609" s="366" t="s">
        <v>10078</v>
      </c>
      <c r="H609" s="366">
        <v>0</v>
      </c>
      <c r="I609" s="364" t="s">
        <v>63</v>
      </c>
      <c r="J609" s="367" t="s">
        <v>10789</v>
      </c>
      <c r="K609" s="364" t="s">
        <v>10790</v>
      </c>
      <c r="L609" s="358"/>
      <c r="M609" s="366" t="s">
        <v>10084</v>
      </c>
      <c r="N609" s="358"/>
      <c r="O609" s="360" t="s">
        <v>57</v>
      </c>
      <c r="P609" s="368">
        <v>249500</v>
      </c>
      <c r="Q609" s="369" t="s">
        <v>10791</v>
      </c>
      <c r="R609" s="364" t="s">
        <v>758</v>
      </c>
      <c r="S609" s="340">
        <v>34</v>
      </c>
    </row>
    <row r="610" spans="1:19" ht="15.5" x14ac:dyDescent="0.35">
      <c r="A610" s="349">
        <v>599</v>
      </c>
      <c r="B610" s="364" t="s">
        <v>10787</v>
      </c>
      <c r="C610" s="365" t="s">
        <v>10788</v>
      </c>
      <c r="D610" s="366" t="s">
        <v>7571</v>
      </c>
      <c r="E610" s="366" t="s">
        <v>10082</v>
      </c>
      <c r="F610" s="366" t="s">
        <v>10078</v>
      </c>
      <c r="G610" s="366" t="s">
        <v>10078</v>
      </c>
      <c r="H610" s="366">
        <v>0</v>
      </c>
      <c r="I610" s="364" t="s">
        <v>63</v>
      </c>
      <c r="J610" s="367" t="s">
        <v>10789</v>
      </c>
      <c r="K610" s="364" t="s">
        <v>10790</v>
      </c>
      <c r="L610" s="358"/>
      <c r="M610" s="366" t="s">
        <v>10084</v>
      </c>
      <c r="N610" s="358"/>
      <c r="O610" s="360" t="s">
        <v>57</v>
      </c>
      <c r="P610" s="368">
        <v>249500</v>
      </c>
      <c r="Q610" s="369" t="s">
        <v>10791</v>
      </c>
      <c r="R610" s="364" t="s">
        <v>758</v>
      </c>
      <c r="S610" s="340">
        <v>34</v>
      </c>
    </row>
    <row r="611" spans="1:19" ht="16" thickBot="1" x14ac:dyDescent="0.4">
      <c r="A611" s="357">
        <v>600</v>
      </c>
      <c r="B611" s="364" t="s">
        <v>10787</v>
      </c>
      <c r="C611" s="365" t="s">
        <v>10788</v>
      </c>
      <c r="D611" s="366" t="s">
        <v>7573</v>
      </c>
      <c r="E611" s="366" t="s">
        <v>10082</v>
      </c>
      <c r="F611" s="366" t="s">
        <v>10078</v>
      </c>
      <c r="G611" s="366" t="s">
        <v>10078</v>
      </c>
      <c r="H611" s="366">
        <v>0</v>
      </c>
      <c r="I611" s="364" t="s">
        <v>63</v>
      </c>
      <c r="J611" s="367" t="s">
        <v>10789</v>
      </c>
      <c r="K611" s="364" t="s">
        <v>10790</v>
      </c>
      <c r="L611" s="358"/>
      <c r="M611" s="366" t="s">
        <v>10084</v>
      </c>
      <c r="N611" s="358"/>
      <c r="O611" s="360" t="s">
        <v>57</v>
      </c>
      <c r="P611" s="368">
        <v>249500</v>
      </c>
      <c r="Q611" s="369" t="s">
        <v>10791</v>
      </c>
      <c r="R611" s="364" t="s">
        <v>758</v>
      </c>
      <c r="S611" s="340">
        <v>34</v>
      </c>
    </row>
    <row r="612" spans="1:19" ht="15.5" x14ac:dyDescent="0.35">
      <c r="A612" s="349">
        <v>601</v>
      </c>
      <c r="B612" s="364" t="s">
        <v>10787</v>
      </c>
      <c r="C612" s="365" t="s">
        <v>10788</v>
      </c>
      <c r="D612" s="366" t="s">
        <v>7575</v>
      </c>
      <c r="E612" s="366" t="s">
        <v>10082</v>
      </c>
      <c r="F612" s="366" t="s">
        <v>10078</v>
      </c>
      <c r="G612" s="366" t="s">
        <v>10078</v>
      </c>
      <c r="H612" s="366">
        <v>0</v>
      </c>
      <c r="I612" s="364" t="s">
        <v>63</v>
      </c>
      <c r="J612" s="367" t="s">
        <v>10789</v>
      </c>
      <c r="K612" s="364" t="s">
        <v>10790</v>
      </c>
      <c r="L612" s="358"/>
      <c r="M612" s="366" t="s">
        <v>10084</v>
      </c>
      <c r="N612" s="358"/>
      <c r="O612" s="360" t="s">
        <v>57</v>
      </c>
      <c r="P612" s="368">
        <v>249500</v>
      </c>
      <c r="Q612" s="369" t="s">
        <v>10791</v>
      </c>
      <c r="R612" s="364" t="s">
        <v>758</v>
      </c>
      <c r="S612" s="340">
        <v>34</v>
      </c>
    </row>
    <row r="613" spans="1:19" ht="16" thickBot="1" x14ac:dyDescent="0.4">
      <c r="A613" s="357">
        <v>602</v>
      </c>
      <c r="B613" s="364" t="s">
        <v>10787</v>
      </c>
      <c r="C613" s="365" t="s">
        <v>10788</v>
      </c>
      <c r="D613" s="366" t="s">
        <v>7577</v>
      </c>
      <c r="E613" s="366" t="s">
        <v>10082</v>
      </c>
      <c r="F613" s="366" t="s">
        <v>10078</v>
      </c>
      <c r="G613" s="366" t="s">
        <v>10078</v>
      </c>
      <c r="H613" s="366">
        <v>0</v>
      </c>
      <c r="I613" s="364" t="s">
        <v>63</v>
      </c>
      <c r="J613" s="367" t="s">
        <v>10789</v>
      </c>
      <c r="K613" s="364" t="s">
        <v>10790</v>
      </c>
      <c r="L613" s="358"/>
      <c r="M613" s="366" t="s">
        <v>10084</v>
      </c>
      <c r="N613" s="358"/>
      <c r="O613" s="360" t="s">
        <v>57</v>
      </c>
      <c r="P613" s="368">
        <v>249500</v>
      </c>
      <c r="Q613" s="369" t="s">
        <v>10791</v>
      </c>
      <c r="R613" s="364" t="s">
        <v>758</v>
      </c>
      <c r="S613" s="340">
        <v>34</v>
      </c>
    </row>
    <row r="614" spans="1:19" ht="15.5" x14ac:dyDescent="0.35">
      <c r="A614" s="349">
        <v>603</v>
      </c>
      <c r="B614" s="364" t="s">
        <v>10787</v>
      </c>
      <c r="C614" s="365" t="s">
        <v>10788</v>
      </c>
      <c r="D614" s="366" t="s">
        <v>7579</v>
      </c>
      <c r="E614" s="366" t="s">
        <v>10082</v>
      </c>
      <c r="F614" s="366" t="s">
        <v>10078</v>
      </c>
      <c r="G614" s="366" t="s">
        <v>10078</v>
      </c>
      <c r="H614" s="366">
        <v>0</v>
      </c>
      <c r="I614" s="364" t="s">
        <v>63</v>
      </c>
      <c r="J614" s="367" t="s">
        <v>10789</v>
      </c>
      <c r="K614" s="364" t="s">
        <v>10790</v>
      </c>
      <c r="L614" s="358"/>
      <c r="M614" s="366" t="s">
        <v>10084</v>
      </c>
      <c r="N614" s="358"/>
      <c r="O614" s="360" t="s">
        <v>57</v>
      </c>
      <c r="P614" s="368">
        <v>249500</v>
      </c>
      <c r="Q614" s="369" t="s">
        <v>10791</v>
      </c>
      <c r="R614" s="364" t="s">
        <v>758</v>
      </c>
      <c r="S614" s="340">
        <v>34</v>
      </c>
    </row>
    <row r="615" spans="1:19" ht="16" thickBot="1" x14ac:dyDescent="0.4">
      <c r="A615" s="357">
        <v>604</v>
      </c>
      <c r="B615" s="364" t="s">
        <v>10787</v>
      </c>
      <c r="C615" s="365" t="s">
        <v>10788</v>
      </c>
      <c r="D615" s="366" t="s">
        <v>7581</v>
      </c>
      <c r="E615" s="366" t="s">
        <v>10082</v>
      </c>
      <c r="F615" s="366" t="s">
        <v>10078</v>
      </c>
      <c r="G615" s="366" t="s">
        <v>10078</v>
      </c>
      <c r="H615" s="366">
        <v>0</v>
      </c>
      <c r="I615" s="364" t="s">
        <v>63</v>
      </c>
      <c r="J615" s="367" t="s">
        <v>10789</v>
      </c>
      <c r="K615" s="364" t="s">
        <v>10790</v>
      </c>
      <c r="L615" s="358"/>
      <c r="M615" s="366" t="s">
        <v>10084</v>
      </c>
      <c r="N615" s="358"/>
      <c r="O615" s="360" t="s">
        <v>57</v>
      </c>
      <c r="P615" s="368">
        <v>249500</v>
      </c>
      <c r="Q615" s="369" t="s">
        <v>10791</v>
      </c>
      <c r="R615" s="364" t="s">
        <v>758</v>
      </c>
      <c r="S615" s="340">
        <v>34</v>
      </c>
    </row>
    <row r="616" spans="1:19" ht="15.5" x14ac:dyDescent="0.35">
      <c r="A616" s="349">
        <v>605</v>
      </c>
      <c r="B616" s="364" t="s">
        <v>10787</v>
      </c>
      <c r="C616" s="365" t="s">
        <v>10788</v>
      </c>
      <c r="D616" s="366" t="s">
        <v>7583</v>
      </c>
      <c r="E616" s="366" t="s">
        <v>10082</v>
      </c>
      <c r="F616" s="366" t="s">
        <v>10078</v>
      </c>
      <c r="G616" s="366" t="s">
        <v>10078</v>
      </c>
      <c r="H616" s="366">
        <v>0</v>
      </c>
      <c r="I616" s="364" t="s">
        <v>63</v>
      </c>
      <c r="J616" s="367" t="s">
        <v>10789</v>
      </c>
      <c r="K616" s="364" t="s">
        <v>10790</v>
      </c>
      <c r="L616" s="358"/>
      <c r="M616" s="366" t="s">
        <v>10084</v>
      </c>
      <c r="N616" s="358"/>
      <c r="O616" s="360" t="s">
        <v>57</v>
      </c>
      <c r="P616" s="368">
        <v>249500</v>
      </c>
      <c r="Q616" s="369" t="s">
        <v>10791</v>
      </c>
      <c r="R616" s="364" t="s">
        <v>758</v>
      </c>
      <c r="S616" s="340">
        <v>34</v>
      </c>
    </row>
    <row r="617" spans="1:19" ht="16" thickBot="1" x14ac:dyDescent="0.4">
      <c r="A617" s="357">
        <v>606</v>
      </c>
      <c r="B617" s="364" t="s">
        <v>10787</v>
      </c>
      <c r="C617" s="365" t="s">
        <v>10788</v>
      </c>
      <c r="D617" s="366" t="s">
        <v>7585</v>
      </c>
      <c r="E617" s="366" t="s">
        <v>10082</v>
      </c>
      <c r="F617" s="366" t="s">
        <v>10078</v>
      </c>
      <c r="G617" s="366" t="s">
        <v>10078</v>
      </c>
      <c r="H617" s="366">
        <v>0</v>
      </c>
      <c r="I617" s="364" t="s">
        <v>63</v>
      </c>
      <c r="J617" s="367" t="s">
        <v>10789</v>
      </c>
      <c r="K617" s="364" t="s">
        <v>10790</v>
      </c>
      <c r="L617" s="358"/>
      <c r="M617" s="366" t="s">
        <v>10084</v>
      </c>
      <c r="N617" s="358"/>
      <c r="O617" s="360" t="s">
        <v>57</v>
      </c>
      <c r="P617" s="368">
        <v>249500</v>
      </c>
      <c r="Q617" s="369" t="s">
        <v>10791</v>
      </c>
      <c r="R617" s="364" t="s">
        <v>758</v>
      </c>
      <c r="S617" s="340">
        <v>34</v>
      </c>
    </row>
    <row r="618" spans="1:19" ht="15.5" x14ac:dyDescent="0.35">
      <c r="A618" s="349">
        <v>607</v>
      </c>
      <c r="B618" s="364" t="s">
        <v>10787</v>
      </c>
      <c r="C618" s="365" t="s">
        <v>10788</v>
      </c>
      <c r="D618" s="366" t="s">
        <v>7587</v>
      </c>
      <c r="E618" s="366" t="s">
        <v>10082</v>
      </c>
      <c r="F618" s="366" t="s">
        <v>10078</v>
      </c>
      <c r="G618" s="366" t="s">
        <v>10078</v>
      </c>
      <c r="H618" s="366">
        <v>0</v>
      </c>
      <c r="I618" s="364" t="s">
        <v>63</v>
      </c>
      <c r="J618" s="367" t="s">
        <v>10789</v>
      </c>
      <c r="K618" s="364" t="s">
        <v>10790</v>
      </c>
      <c r="L618" s="358"/>
      <c r="M618" s="366" t="s">
        <v>10084</v>
      </c>
      <c r="N618" s="358"/>
      <c r="O618" s="360" t="s">
        <v>57</v>
      </c>
      <c r="P618" s="368">
        <v>249500</v>
      </c>
      <c r="Q618" s="369" t="s">
        <v>10791</v>
      </c>
      <c r="R618" s="364" t="s">
        <v>758</v>
      </c>
      <c r="S618" s="340">
        <v>34</v>
      </c>
    </row>
    <row r="619" spans="1:19" ht="16" thickBot="1" x14ac:dyDescent="0.4">
      <c r="A619" s="357">
        <v>608</v>
      </c>
      <c r="B619" s="364" t="s">
        <v>10787</v>
      </c>
      <c r="C619" s="365" t="s">
        <v>10788</v>
      </c>
      <c r="D619" s="366" t="s">
        <v>7589</v>
      </c>
      <c r="E619" s="366" t="s">
        <v>10082</v>
      </c>
      <c r="F619" s="366" t="s">
        <v>10078</v>
      </c>
      <c r="G619" s="366" t="s">
        <v>10078</v>
      </c>
      <c r="H619" s="366">
        <v>0</v>
      </c>
      <c r="I619" s="364" t="s">
        <v>63</v>
      </c>
      <c r="J619" s="367" t="s">
        <v>10789</v>
      </c>
      <c r="K619" s="364" t="s">
        <v>10790</v>
      </c>
      <c r="L619" s="358"/>
      <c r="M619" s="366" t="s">
        <v>10084</v>
      </c>
      <c r="N619" s="358"/>
      <c r="O619" s="360" t="s">
        <v>57</v>
      </c>
      <c r="P619" s="368">
        <v>249500</v>
      </c>
      <c r="Q619" s="369" t="s">
        <v>10791</v>
      </c>
      <c r="R619" s="364" t="s">
        <v>758</v>
      </c>
      <c r="S619" s="340">
        <v>34</v>
      </c>
    </row>
    <row r="620" spans="1:19" ht="15.5" x14ac:dyDescent="0.35">
      <c r="A620" s="349">
        <v>609</v>
      </c>
      <c r="B620" s="364" t="s">
        <v>10787</v>
      </c>
      <c r="C620" s="365" t="s">
        <v>10788</v>
      </c>
      <c r="D620" s="366" t="s">
        <v>7591</v>
      </c>
      <c r="E620" s="366" t="s">
        <v>10082</v>
      </c>
      <c r="F620" s="366" t="s">
        <v>10078</v>
      </c>
      <c r="G620" s="366" t="s">
        <v>10078</v>
      </c>
      <c r="H620" s="366">
        <v>0</v>
      </c>
      <c r="I620" s="364" t="s">
        <v>63</v>
      </c>
      <c r="J620" s="367" t="s">
        <v>10789</v>
      </c>
      <c r="K620" s="364" t="s">
        <v>10790</v>
      </c>
      <c r="L620" s="358"/>
      <c r="M620" s="366" t="s">
        <v>10084</v>
      </c>
      <c r="N620" s="358"/>
      <c r="O620" s="360" t="s">
        <v>57</v>
      </c>
      <c r="P620" s="368">
        <v>249500</v>
      </c>
      <c r="Q620" s="369" t="s">
        <v>10791</v>
      </c>
      <c r="R620" s="364" t="s">
        <v>758</v>
      </c>
      <c r="S620" s="340">
        <v>34</v>
      </c>
    </row>
    <row r="621" spans="1:19" ht="16" thickBot="1" x14ac:dyDescent="0.4">
      <c r="A621" s="357">
        <v>610</v>
      </c>
      <c r="B621" s="364" t="s">
        <v>10787</v>
      </c>
      <c r="C621" s="365" t="s">
        <v>10788</v>
      </c>
      <c r="D621" s="366" t="s">
        <v>7593</v>
      </c>
      <c r="E621" s="366" t="s">
        <v>10082</v>
      </c>
      <c r="F621" s="366" t="s">
        <v>10078</v>
      </c>
      <c r="G621" s="366" t="s">
        <v>10078</v>
      </c>
      <c r="H621" s="366">
        <v>0</v>
      </c>
      <c r="I621" s="364" t="s">
        <v>63</v>
      </c>
      <c r="J621" s="367" t="s">
        <v>10789</v>
      </c>
      <c r="K621" s="364" t="s">
        <v>10790</v>
      </c>
      <c r="L621" s="358"/>
      <c r="M621" s="366" t="s">
        <v>10084</v>
      </c>
      <c r="N621" s="358"/>
      <c r="O621" s="366" t="s">
        <v>57</v>
      </c>
      <c r="P621" s="368">
        <v>249500</v>
      </c>
      <c r="Q621" s="369" t="s">
        <v>10791</v>
      </c>
      <c r="R621" s="364" t="s">
        <v>758</v>
      </c>
      <c r="S621" s="340">
        <v>34</v>
      </c>
    </row>
    <row r="622" spans="1:19" ht="15.5" x14ac:dyDescent="0.35">
      <c r="A622" s="349">
        <v>611</v>
      </c>
      <c r="B622" s="364" t="s">
        <v>10787</v>
      </c>
      <c r="C622" s="365" t="s">
        <v>10788</v>
      </c>
      <c r="D622" s="366" t="s">
        <v>7595</v>
      </c>
      <c r="E622" s="366" t="s">
        <v>10082</v>
      </c>
      <c r="F622" s="366" t="s">
        <v>10078</v>
      </c>
      <c r="G622" s="366" t="s">
        <v>10078</v>
      </c>
      <c r="H622" s="366">
        <v>0</v>
      </c>
      <c r="I622" s="364" t="s">
        <v>63</v>
      </c>
      <c r="J622" s="367" t="s">
        <v>10789</v>
      </c>
      <c r="K622" s="364" t="s">
        <v>10790</v>
      </c>
      <c r="L622" s="358"/>
      <c r="M622" s="366" t="s">
        <v>10084</v>
      </c>
      <c r="N622" s="358"/>
      <c r="O622" s="366" t="s">
        <v>57</v>
      </c>
      <c r="P622" s="368">
        <v>249500</v>
      </c>
      <c r="Q622" s="369" t="s">
        <v>10791</v>
      </c>
      <c r="R622" s="364" t="s">
        <v>758</v>
      </c>
      <c r="S622" s="340">
        <v>34</v>
      </c>
    </row>
    <row r="623" spans="1:19" ht="16" thickBot="1" x14ac:dyDescent="0.4">
      <c r="A623" s="357">
        <v>612</v>
      </c>
      <c r="B623" s="364" t="s">
        <v>10787</v>
      </c>
      <c r="C623" s="365" t="s">
        <v>10788</v>
      </c>
      <c r="D623" s="366" t="s">
        <v>7597</v>
      </c>
      <c r="E623" s="366" t="s">
        <v>10082</v>
      </c>
      <c r="F623" s="366" t="s">
        <v>10078</v>
      </c>
      <c r="G623" s="366" t="s">
        <v>10078</v>
      </c>
      <c r="H623" s="366">
        <v>0</v>
      </c>
      <c r="I623" s="364" t="s">
        <v>63</v>
      </c>
      <c r="J623" s="367" t="s">
        <v>10789</v>
      </c>
      <c r="K623" s="364" t="s">
        <v>10790</v>
      </c>
      <c r="L623" s="358"/>
      <c r="M623" s="366" t="s">
        <v>10084</v>
      </c>
      <c r="N623" s="358"/>
      <c r="O623" s="366" t="s">
        <v>57</v>
      </c>
      <c r="P623" s="368">
        <v>249500</v>
      </c>
      <c r="Q623" s="369" t="s">
        <v>10791</v>
      </c>
      <c r="R623" s="364" t="s">
        <v>758</v>
      </c>
      <c r="S623" s="340">
        <v>34</v>
      </c>
    </row>
    <row r="624" spans="1:19" ht="15.5" x14ac:dyDescent="0.35">
      <c r="A624" s="349">
        <v>613</v>
      </c>
      <c r="B624" s="364" t="s">
        <v>10787</v>
      </c>
      <c r="C624" s="365" t="s">
        <v>10788</v>
      </c>
      <c r="D624" s="366" t="s">
        <v>7599</v>
      </c>
      <c r="E624" s="366" t="s">
        <v>10082</v>
      </c>
      <c r="F624" s="366" t="s">
        <v>10078</v>
      </c>
      <c r="G624" s="366" t="s">
        <v>10078</v>
      </c>
      <c r="H624" s="366">
        <v>0</v>
      </c>
      <c r="I624" s="364" t="s">
        <v>63</v>
      </c>
      <c r="J624" s="367" t="s">
        <v>10789</v>
      </c>
      <c r="K624" s="364" t="s">
        <v>10790</v>
      </c>
      <c r="L624" s="358"/>
      <c r="M624" s="366" t="s">
        <v>10084</v>
      </c>
      <c r="N624" s="358"/>
      <c r="O624" s="366" t="s">
        <v>57</v>
      </c>
      <c r="P624" s="368">
        <v>249500</v>
      </c>
      <c r="Q624" s="369" t="s">
        <v>10791</v>
      </c>
      <c r="R624" s="364" t="s">
        <v>758</v>
      </c>
      <c r="S624" s="340">
        <v>34</v>
      </c>
    </row>
    <row r="625" spans="1:19" ht="16" thickBot="1" x14ac:dyDescent="0.4">
      <c r="A625" s="357">
        <v>614</v>
      </c>
      <c r="B625" s="364" t="s">
        <v>10787</v>
      </c>
      <c r="C625" s="365" t="s">
        <v>10788</v>
      </c>
      <c r="D625" s="366" t="s">
        <v>7601</v>
      </c>
      <c r="E625" s="366" t="s">
        <v>10082</v>
      </c>
      <c r="F625" s="366" t="s">
        <v>10078</v>
      </c>
      <c r="G625" s="366" t="s">
        <v>10078</v>
      </c>
      <c r="H625" s="366">
        <v>0</v>
      </c>
      <c r="I625" s="364" t="s">
        <v>63</v>
      </c>
      <c r="J625" s="367" t="s">
        <v>10789</v>
      </c>
      <c r="K625" s="364" t="s">
        <v>10790</v>
      </c>
      <c r="L625" s="358"/>
      <c r="M625" s="366" t="s">
        <v>10084</v>
      </c>
      <c r="N625" s="358"/>
      <c r="O625" s="366" t="s">
        <v>57</v>
      </c>
      <c r="P625" s="368">
        <v>249500</v>
      </c>
      <c r="Q625" s="369" t="s">
        <v>10791</v>
      </c>
      <c r="R625" s="364" t="s">
        <v>758</v>
      </c>
      <c r="S625" s="340">
        <v>34</v>
      </c>
    </row>
    <row r="626" spans="1:19" ht="15.5" x14ac:dyDescent="0.35">
      <c r="A626" s="349">
        <v>615</v>
      </c>
      <c r="B626" s="364" t="s">
        <v>10787</v>
      </c>
      <c r="C626" s="365" t="s">
        <v>10788</v>
      </c>
      <c r="D626" s="366" t="s">
        <v>7603</v>
      </c>
      <c r="E626" s="366" t="s">
        <v>10082</v>
      </c>
      <c r="F626" s="366" t="s">
        <v>10078</v>
      </c>
      <c r="G626" s="366" t="s">
        <v>10078</v>
      </c>
      <c r="H626" s="366">
        <v>0</v>
      </c>
      <c r="I626" s="364" t="s">
        <v>63</v>
      </c>
      <c r="J626" s="367" t="s">
        <v>10789</v>
      </c>
      <c r="K626" s="364" t="s">
        <v>10790</v>
      </c>
      <c r="L626" s="358"/>
      <c r="M626" s="366" t="s">
        <v>10084</v>
      </c>
      <c r="N626" s="358"/>
      <c r="O626" s="366" t="s">
        <v>57</v>
      </c>
      <c r="P626" s="368">
        <v>249500</v>
      </c>
      <c r="Q626" s="369" t="s">
        <v>10791</v>
      </c>
      <c r="R626" s="364" t="s">
        <v>758</v>
      </c>
      <c r="S626" s="340">
        <v>34</v>
      </c>
    </row>
    <row r="627" spans="1:19" ht="16" thickBot="1" x14ac:dyDescent="0.4">
      <c r="A627" s="357">
        <v>616</v>
      </c>
      <c r="B627" s="364" t="s">
        <v>10787</v>
      </c>
      <c r="C627" s="365" t="s">
        <v>10788</v>
      </c>
      <c r="D627" s="366" t="s">
        <v>7605</v>
      </c>
      <c r="E627" s="366" t="s">
        <v>10082</v>
      </c>
      <c r="F627" s="366" t="s">
        <v>10078</v>
      </c>
      <c r="G627" s="366" t="s">
        <v>10078</v>
      </c>
      <c r="H627" s="366">
        <v>0</v>
      </c>
      <c r="I627" s="364" t="s">
        <v>63</v>
      </c>
      <c r="J627" s="367" t="s">
        <v>10789</v>
      </c>
      <c r="K627" s="364" t="s">
        <v>10790</v>
      </c>
      <c r="L627" s="358"/>
      <c r="M627" s="366" t="s">
        <v>10084</v>
      </c>
      <c r="N627" s="358"/>
      <c r="O627" s="366" t="s">
        <v>57</v>
      </c>
      <c r="P627" s="368">
        <v>249500</v>
      </c>
      <c r="Q627" s="369" t="s">
        <v>10791</v>
      </c>
      <c r="R627" s="364" t="s">
        <v>758</v>
      </c>
      <c r="S627" s="340">
        <v>34</v>
      </c>
    </row>
    <row r="628" spans="1:19" ht="15.5" x14ac:dyDescent="0.35">
      <c r="A628" s="349">
        <v>617</v>
      </c>
      <c r="B628" s="364" t="s">
        <v>10787</v>
      </c>
      <c r="C628" s="365" t="s">
        <v>10788</v>
      </c>
      <c r="D628" s="366" t="s">
        <v>7607</v>
      </c>
      <c r="E628" s="366" t="s">
        <v>10082</v>
      </c>
      <c r="F628" s="366" t="s">
        <v>10078</v>
      </c>
      <c r="G628" s="366" t="s">
        <v>10078</v>
      </c>
      <c r="H628" s="366">
        <v>0</v>
      </c>
      <c r="I628" s="364" t="s">
        <v>63</v>
      </c>
      <c r="J628" s="367" t="s">
        <v>10789</v>
      </c>
      <c r="K628" s="364" t="s">
        <v>10790</v>
      </c>
      <c r="L628" s="358"/>
      <c r="M628" s="366" t="s">
        <v>10084</v>
      </c>
      <c r="N628" s="358"/>
      <c r="O628" s="366" t="s">
        <v>57</v>
      </c>
      <c r="P628" s="368">
        <v>249500</v>
      </c>
      <c r="Q628" s="369" t="s">
        <v>10791</v>
      </c>
      <c r="R628" s="364" t="s">
        <v>758</v>
      </c>
      <c r="S628" s="340">
        <v>34</v>
      </c>
    </row>
    <row r="629" spans="1:19" ht="16" thickBot="1" x14ac:dyDescent="0.4">
      <c r="A629" s="357">
        <v>618</v>
      </c>
      <c r="B629" s="364" t="s">
        <v>10787</v>
      </c>
      <c r="C629" s="365" t="s">
        <v>10788</v>
      </c>
      <c r="D629" s="366" t="s">
        <v>7609</v>
      </c>
      <c r="E629" s="366" t="s">
        <v>10082</v>
      </c>
      <c r="F629" s="366" t="s">
        <v>10078</v>
      </c>
      <c r="G629" s="366" t="s">
        <v>10078</v>
      </c>
      <c r="H629" s="366">
        <v>0</v>
      </c>
      <c r="I629" s="364" t="s">
        <v>63</v>
      </c>
      <c r="J629" s="367" t="s">
        <v>10789</v>
      </c>
      <c r="K629" s="364" t="s">
        <v>10790</v>
      </c>
      <c r="L629" s="358"/>
      <c r="M629" s="366" t="s">
        <v>10084</v>
      </c>
      <c r="N629" s="358"/>
      <c r="O629" s="366" t="s">
        <v>57</v>
      </c>
      <c r="P629" s="368">
        <v>249500</v>
      </c>
      <c r="Q629" s="369" t="s">
        <v>10791</v>
      </c>
      <c r="R629" s="364" t="s">
        <v>758</v>
      </c>
      <c r="S629" s="340">
        <v>34</v>
      </c>
    </row>
    <row r="630" spans="1:19" ht="15.5" x14ac:dyDescent="0.35">
      <c r="A630" s="349">
        <v>619</v>
      </c>
      <c r="B630" s="364" t="s">
        <v>10787</v>
      </c>
      <c r="C630" s="365" t="s">
        <v>10788</v>
      </c>
      <c r="D630" s="366" t="s">
        <v>7611</v>
      </c>
      <c r="E630" s="366" t="s">
        <v>10082</v>
      </c>
      <c r="F630" s="366" t="s">
        <v>10078</v>
      </c>
      <c r="G630" s="366" t="s">
        <v>10078</v>
      </c>
      <c r="H630" s="366">
        <v>0</v>
      </c>
      <c r="I630" s="364" t="s">
        <v>63</v>
      </c>
      <c r="J630" s="367" t="s">
        <v>10789</v>
      </c>
      <c r="K630" s="364" t="s">
        <v>10790</v>
      </c>
      <c r="L630" s="358"/>
      <c r="M630" s="366" t="s">
        <v>10084</v>
      </c>
      <c r="N630" s="358"/>
      <c r="O630" s="366" t="s">
        <v>57</v>
      </c>
      <c r="P630" s="368">
        <v>249500</v>
      </c>
      <c r="Q630" s="369" t="s">
        <v>10791</v>
      </c>
      <c r="R630" s="364" t="s">
        <v>758</v>
      </c>
      <c r="S630" s="340">
        <v>34</v>
      </c>
    </row>
    <row r="631" spans="1:19" ht="16" thickBot="1" x14ac:dyDescent="0.4">
      <c r="A631" s="357">
        <v>620</v>
      </c>
      <c r="B631" s="364" t="s">
        <v>10787</v>
      </c>
      <c r="C631" s="365" t="s">
        <v>10788</v>
      </c>
      <c r="D631" s="366" t="s">
        <v>7613</v>
      </c>
      <c r="E631" s="366" t="s">
        <v>10082</v>
      </c>
      <c r="F631" s="366" t="s">
        <v>10078</v>
      </c>
      <c r="G631" s="366" t="s">
        <v>10078</v>
      </c>
      <c r="H631" s="366">
        <v>0</v>
      </c>
      <c r="I631" s="364" t="s">
        <v>63</v>
      </c>
      <c r="J631" s="367" t="s">
        <v>10789</v>
      </c>
      <c r="K631" s="364" t="s">
        <v>10790</v>
      </c>
      <c r="L631" s="358"/>
      <c r="M631" s="366" t="s">
        <v>10084</v>
      </c>
      <c r="N631" s="358"/>
      <c r="O631" s="366" t="s">
        <v>57</v>
      </c>
      <c r="P631" s="368">
        <v>249500</v>
      </c>
      <c r="Q631" s="369" t="s">
        <v>10791</v>
      </c>
      <c r="R631" s="364" t="s">
        <v>758</v>
      </c>
      <c r="S631" s="340">
        <v>34</v>
      </c>
    </row>
    <row r="632" spans="1:19" ht="15.5" x14ac:dyDescent="0.35">
      <c r="A632" s="349">
        <v>621</v>
      </c>
      <c r="B632" s="364" t="s">
        <v>10787</v>
      </c>
      <c r="C632" s="365" t="s">
        <v>10788</v>
      </c>
      <c r="D632" s="366" t="s">
        <v>7615</v>
      </c>
      <c r="E632" s="366" t="s">
        <v>10082</v>
      </c>
      <c r="F632" s="366" t="s">
        <v>10078</v>
      </c>
      <c r="G632" s="366" t="s">
        <v>10078</v>
      </c>
      <c r="H632" s="366">
        <v>0</v>
      </c>
      <c r="I632" s="364" t="s">
        <v>63</v>
      </c>
      <c r="J632" s="367" t="s">
        <v>10789</v>
      </c>
      <c r="K632" s="364" t="s">
        <v>10790</v>
      </c>
      <c r="L632" s="358"/>
      <c r="M632" s="366" t="s">
        <v>10084</v>
      </c>
      <c r="N632" s="358"/>
      <c r="O632" s="366" t="s">
        <v>57</v>
      </c>
      <c r="P632" s="368">
        <v>249500</v>
      </c>
      <c r="Q632" s="369" t="s">
        <v>10791</v>
      </c>
      <c r="R632" s="364" t="s">
        <v>758</v>
      </c>
      <c r="S632" s="340">
        <v>34</v>
      </c>
    </row>
    <row r="633" spans="1:19" ht="16" thickBot="1" x14ac:dyDescent="0.4">
      <c r="A633" s="357">
        <v>622</v>
      </c>
      <c r="B633" s="364" t="s">
        <v>10787</v>
      </c>
      <c r="C633" s="365" t="s">
        <v>10788</v>
      </c>
      <c r="D633" s="366" t="s">
        <v>7617</v>
      </c>
      <c r="E633" s="366" t="s">
        <v>10082</v>
      </c>
      <c r="F633" s="366" t="s">
        <v>10078</v>
      </c>
      <c r="G633" s="366" t="s">
        <v>10078</v>
      </c>
      <c r="H633" s="366">
        <v>0</v>
      </c>
      <c r="I633" s="364" t="s">
        <v>63</v>
      </c>
      <c r="J633" s="367" t="s">
        <v>10789</v>
      </c>
      <c r="K633" s="364" t="s">
        <v>10790</v>
      </c>
      <c r="L633" s="358"/>
      <c r="M633" s="366" t="s">
        <v>10084</v>
      </c>
      <c r="N633" s="358"/>
      <c r="O633" s="366" t="s">
        <v>57</v>
      </c>
      <c r="P633" s="368">
        <v>249500</v>
      </c>
      <c r="Q633" s="369" t="s">
        <v>10791</v>
      </c>
      <c r="R633" s="364" t="s">
        <v>758</v>
      </c>
      <c r="S633" s="340">
        <v>34</v>
      </c>
    </row>
    <row r="634" spans="1:19" ht="15.5" x14ac:dyDescent="0.35">
      <c r="A634" s="349">
        <v>623</v>
      </c>
      <c r="B634" s="358" t="s">
        <v>10787</v>
      </c>
      <c r="C634" s="359" t="s">
        <v>10788</v>
      </c>
      <c r="D634" s="360" t="s">
        <v>7619</v>
      </c>
      <c r="E634" s="360" t="s">
        <v>10082</v>
      </c>
      <c r="F634" s="360" t="s">
        <v>10078</v>
      </c>
      <c r="G634" s="360" t="s">
        <v>10078</v>
      </c>
      <c r="H634" s="360">
        <v>0</v>
      </c>
      <c r="I634" s="358" t="s">
        <v>63</v>
      </c>
      <c r="J634" s="361" t="s">
        <v>10789</v>
      </c>
      <c r="K634" s="358" t="s">
        <v>10790</v>
      </c>
      <c r="L634" s="358"/>
      <c r="M634" s="360" t="s">
        <v>10084</v>
      </c>
      <c r="N634" s="358"/>
      <c r="O634" s="360" t="s">
        <v>57</v>
      </c>
      <c r="P634" s="362">
        <v>249500</v>
      </c>
      <c r="Q634" s="363" t="s">
        <v>10791</v>
      </c>
      <c r="R634" s="364" t="s">
        <v>758</v>
      </c>
      <c r="S634" s="340">
        <v>34</v>
      </c>
    </row>
    <row r="635" spans="1:19" ht="16" thickBot="1" x14ac:dyDescent="0.4">
      <c r="A635" s="357">
        <v>624</v>
      </c>
      <c r="B635" s="358" t="s">
        <v>10787</v>
      </c>
      <c r="C635" s="359" t="s">
        <v>10788</v>
      </c>
      <c r="D635" s="360" t="s">
        <v>10792</v>
      </c>
      <c r="E635" s="360" t="s">
        <v>10082</v>
      </c>
      <c r="F635" s="360" t="s">
        <v>10078</v>
      </c>
      <c r="G635" s="360" t="s">
        <v>10078</v>
      </c>
      <c r="H635" s="360">
        <v>0</v>
      </c>
      <c r="I635" s="358" t="s">
        <v>63</v>
      </c>
      <c r="J635" s="361" t="s">
        <v>10789</v>
      </c>
      <c r="K635" s="358" t="s">
        <v>10790</v>
      </c>
      <c r="L635" s="358"/>
      <c r="M635" s="360" t="s">
        <v>10084</v>
      </c>
      <c r="N635" s="358"/>
      <c r="O635" s="360" t="s">
        <v>57</v>
      </c>
      <c r="P635" s="362">
        <v>249500</v>
      </c>
      <c r="Q635" s="363" t="s">
        <v>10791</v>
      </c>
      <c r="R635" s="364" t="s">
        <v>758</v>
      </c>
      <c r="S635" s="340">
        <v>34</v>
      </c>
    </row>
    <row r="636" spans="1:19" ht="15.5" x14ac:dyDescent="0.35">
      <c r="A636" s="349">
        <v>625</v>
      </c>
      <c r="B636" s="358" t="s">
        <v>10787</v>
      </c>
      <c r="C636" s="359" t="s">
        <v>10788</v>
      </c>
      <c r="D636" s="360" t="s">
        <v>7621</v>
      </c>
      <c r="E636" s="360" t="s">
        <v>10082</v>
      </c>
      <c r="F636" s="360" t="s">
        <v>10078</v>
      </c>
      <c r="G636" s="360" t="s">
        <v>10078</v>
      </c>
      <c r="H636" s="360">
        <v>0</v>
      </c>
      <c r="I636" s="358" t="s">
        <v>63</v>
      </c>
      <c r="J636" s="361" t="s">
        <v>10789</v>
      </c>
      <c r="K636" s="358" t="s">
        <v>10790</v>
      </c>
      <c r="L636" s="358"/>
      <c r="M636" s="360" t="s">
        <v>10084</v>
      </c>
      <c r="N636" s="358"/>
      <c r="O636" s="360" t="s">
        <v>57</v>
      </c>
      <c r="P636" s="362">
        <v>249500</v>
      </c>
      <c r="Q636" s="363" t="s">
        <v>10791</v>
      </c>
      <c r="R636" s="364" t="s">
        <v>758</v>
      </c>
      <c r="S636" s="340">
        <v>34</v>
      </c>
    </row>
    <row r="637" spans="1:19" ht="16" thickBot="1" x14ac:dyDescent="0.4">
      <c r="A637" s="357">
        <v>626</v>
      </c>
      <c r="B637" s="358" t="s">
        <v>10787</v>
      </c>
      <c r="C637" s="359" t="s">
        <v>10788</v>
      </c>
      <c r="D637" s="360" t="s">
        <v>7623</v>
      </c>
      <c r="E637" s="360" t="s">
        <v>10082</v>
      </c>
      <c r="F637" s="360" t="s">
        <v>10078</v>
      </c>
      <c r="G637" s="360" t="s">
        <v>10078</v>
      </c>
      <c r="H637" s="360">
        <v>0</v>
      </c>
      <c r="I637" s="358" t="s">
        <v>63</v>
      </c>
      <c r="J637" s="361" t="s">
        <v>10789</v>
      </c>
      <c r="K637" s="358" t="s">
        <v>10790</v>
      </c>
      <c r="L637" s="358"/>
      <c r="M637" s="360" t="s">
        <v>10084</v>
      </c>
      <c r="N637" s="358"/>
      <c r="O637" s="360" t="s">
        <v>57</v>
      </c>
      <c r="P637" s="362">
        <v>249500</v>
      </c>
      <c r="Q637" s="363" t="s">
        <v>10791</v>
      </c>
      <c r="R637" s="364" t="s">
        <v>758</v>
      </c>
      <c r="S637" s="340">
        <v>34</v>
      </c>
    </row>
    <row r="638" spans="1:19" ht="15.5" x14ac:dyDescent="0.35">
      <c r="A638" s="349">
        <v>627</v>
      </c>
      <c r="B638" s="358" t="s">
        <v>10787</v>
      </c>
      <c r="C638" s="359" t="s">
        <v>10788</v>
      </c>
      <c r="D638" s="360" t="s">
        <v>7625</v>
      </c>
      <c r="E638" s="360" t="s">
        <v>10082</v>
      </c>
      <c r="F638" s="360" t="s">
        <v>10078</v>
      </c>
      <c r="G638" s="360" t="s">
        <v>10078</v>
      </c>
      <c r="H638" s="360">
        <v>0</v>
      </c>
      <c r="I638" s="358" t="s">
        <v>63</v>
      </c>
      <c r="J638" s="361" t="s">
        <v>10789</v>
      </c>
      <c r="K638" s="358" t="s">
        <v>10790</v>
      </c>
      <c r="L638" s="358"/>
      <c r="M638" s="360" t="s">
        <v>10084</v>
      </c>
      <c r="N638" s="358"/>
      <c r="O638" s="360" t="s">
        <v>57</v>
      </c>
      <c r="P638" s="362">
        <v>249500</v>
      </c>
      <c r="Q638" s="363" t="s">
        <v>10791</v>
      </c>
      <c r="R638" s="364" t="s">
        <v>758</v>
      </c>
      <c r="S638" s="340">
        <v>34</v>
      </c>
    </row>
    <row r="639" spans="1:19" ht="16" thickBot="1" x14ac:dyDescent="0.4">
      <c r="A639" s="357">
        <v>628</v>
      </c>
      <c r="B639" s="358" t="s">
        <v>10787</v>
      </c>
      <c r="C639" s="359" t="s">
        <v>10788</v>
      </c>
      <c r="D639" s="360" t="s">
        <v>7627</v>
      </c>
      <c r="E639" s="360" t="s">
        <v>10082</v>
      </c>
      <c r="F639" s="360" t="s">
        <v>10078</v>
      </c>
      <c r="G639" s="360" t="s">
        <v>10078</v>
      </c>
      <c r="H639" s="360">
        <v>0</v>
      </c>
      <c r="I639" s="358" t="s">
        <v>63</v>
      </c>
      <c r="J639" s="361" t="s">
        <v>10789</v>
      </c>
      <c r="K639" s="358" t="s">
        <v>10790</v>
      </c>
      <c r="L639" s="358"/>
      <c r="M639" s="360" t="s">
        <v>10084</v>
      </c>
      <c r="N639" s="358"/>
      <c r="O639" s="360" t="s">
        <v>57</v>
      </c>
      <c r="P639" s="362">
        <v>249500</v>
      </c>
      <c r="Q639" s="363" t="s">
        <v>10791</v>
      </c>
      <c r="R639" s="364" t="s">
        <v>758</v>
      </c>
      <c r="S639" s="340">
        <v>34</v>
      </c>
    </row>
    <row r="640" spans="1:19" ht="15.5" x14ac:dyDescent="0.35">
      <c r="A640" s="349">
        <v>629</v>
      </c>
      <c r="B640" s="358" t="s">
        <v>10787</v>
      </c>
      <c r="C640" s="359" t="s">
        <v>10788</v>
      </c>
      <c r="D640" s="360" t="s">
        <v>7629</v>
      </c>
      <c r="E640" s="360" t="s">
        <v>10082</v>
      </c>
      <c r="F640" s="360" t="s">
        <v>10078</v>
      </c>
      <c r="G640" s="360" t="s">
        <v>10078</v>
      </c>
      <c r="H640" s="360">
        <v>0</v>
      </c>
      <c r="I640" s="358" t="s">
        <v>63</v>
      </c>
      <c r="J640" s="361" t="s">
        <v>10789</v>
      </c>
      <c r="K640" s="358" t="s">
        <v>10790</v>
      </c>
      <c r="L640" s="358"/>
      <c r="M640" s="360" t="s">
        <v>10084</v>
      </c>
      <c r="N640" s="358"/>
      <c r="O640" s="360" t="s">
        <v>57</v>
      </c>
      <c r="P640" s="362">
        <v>249500</v>
      </c>
      <c r="Q640" s="363" t="s">
        <v>10791</v>
      </c>
      <c r="R640" s="364" t="s">
        <v>758</v>
      </c>
      <c r="S640" s="340">
        <v>34</v>
      </c>
    </row>
    <row r="641" spans="1:19" ht="16" thickBot="1" x14ac:dyDescent="0.4">
      <c r="A641" s="357">
        <v>630</v>
      </c>
      <c r="B641" s="358" t="s">
        <v>10787</v>
      </c>
      <c r="C641" s="359" t="s">
        <v>10788</v>
      </c>
      <c r="D641" s="360" t="s">
        <v>7631</v>
      </c>
      <c r="E641" s="360" t="s">
        <v>10082</v>
      </c>
      <c r="F641" s="360" t="s">
        <v>10078</v>
      </c>
      <c r="G641" s="360" t="s">
        <v>10078</v>
      </c>
      <c r="H641" s="360">
        <v>0</v>
      </c>
      <c r="I641" s="358" t="s">
        <v>63</v>
      </c>
      <c r="J641" s="361" t="s">
        <v>10789</v>
      </c>
      <c r="K641" s="358" t="s">
        <v>10790</v>
      </c>
      <c r="L641" s="358"/>
      <c r="M641" s="360" t="s">
        <v>10084</v>
      </c>
      <c r="N641" s="358"/>
      <c r="O641" s="360" t="s">
        <v>57</v>
      </c>
      <c r="P641" s="362">
        <v>249500</v>
      </c>
      <c r="Q641" s="363" t="s">
        <v>10791</v>
      </c>
      <c r="R641" s="364" t="s">
        <v>758</v>
      </c>
      <c r="S641" s="340">
        <v>34</v>
      </c>
    </row>
    <row r="642" spans="1:19" ht="15.5" x14ac:dyDescent="0.35">
      <c r="A642" s="349">
        <v>631</v>
      </c>
      <c r="B642" s="358" t="s">
        <v>10787</v>
      </c>
      <c r="C642" s="359" t="s">
        <v>10788</v>
      </c>
      <c r="D642" s="360" t="s">
        <v>7633</v>
      </c>
      <c r="E642" s="360" t="s">
        <v>10082</v>
      </c>
      <c r="F642" s="360" t="s">
        <v>10078</v>
      </c>
      <c r="G642" s="360" t="s">
        <v>10078</v>
      </c>
      <c r="H642" s="360">
        <v>0</v>
      </c>
      <c r="I642" s="358" t="s">
        <v>63</v>
      </c>
      <c r="J642" s="361" t="s">
        <v>10789</v>
      </c>
      <c r="K642" s="358" t="s">
        <v>10790</v>
      </c>
      <c r="L642" s="358"/>
      <c r="M642" s="360" t="s">
        <v>10084</v>
      </c>
      <c r="N642" s="358"/>
      <c r="O642" s="360" t="s">
        <v>57</v>
      </c>
      <c r="P642" s="362">
        <v>249500</v>
      </c>
      <c r="Q642" s="363" t="s">
        <v>10791</v>
      </c>
      <c r="R642" s="364" t="s">
        <v>758</v>
      </c>
      <c r="S642" s="340">
        <v>34</v>
      </c>
    </row>
    <row r="643" spans="1:19" ht="16" thickBot="1" x14ac:dyDescent="0.4">
      <c r="A643" s="357">
        <v>632</v>
      </c>
      <c r="B643" s="358" t="s">
        <v>10787</v>
      </c>
      <c r="C643" s="359" t="s">
        <v>10788</v>
      </c>
      <c r="D643" s="360" t="s">
        <v>7635</v>
      </c>
      <c r="E643" s="360" t="s">
        <v>10082</v>
      </c>
      <c r="F643" s="360" t="s">
        <v>10078</v>
      </c>
      <c r="G643" s="360" t="s">
        <v>10078</v>
      </c>
      <c r="H643" s="360">
        <v>0</v>
      </c>
      <c r="I643" s="358" t="s">
        <v>63</v>
      </c>
      <c r="J643" s="361" t="s">
        <v>10789</v>
      </c>
      <c r="K643" s="358" t="s">
        <v>10790</v>
      </c>
      <c r="L643" s="358"/>
      <c r="M643" s="360" t="s">
        <v>10084</v>
      </c>
      <c r="N643" s="358"/>
      <c r="O643" s="360" t="s">
        <v>57</v>
      </c>
      <c r="P643" s="362">
        <v>249500</v>
      </c>
      <c r="Q643" s="363" t="s">
        <v>10791</v>
      </c>
      <c r="R643" s="364" t="s">
        <v>758</v>
      </c>
      <c r="S643" s="340">
        <v>34</v>
      </c>
    </row>
    <row r="644" spans="1:19" ht="15.5" x14ac:dyDescent="0.35">
      <c r="A644" s="349">
        <v>633</v>
      </c>
      <c r="B644" s="364" t="s">
        <v>10787</v>
      </c>
      <c r="C644" s="365" t="s">
        <v>10788</v>
      </c>
      <c r="D644" s="366" t="s">
        <v>10793</v>
      </c>
      <c r="E644" s="366" t="s">
        <v>10082</v>
      </c>
      <c r="F644" s="366" t="s">
        <v>10078</v>
      </c>
      <c r="G644" s="366" t="s">
        <v>10078</v>
      </c>
      <c r="H644" s="366">
        <v>0</v>
      </c>
      <c r="I644" s="364" t="s">
        <v>63</v>
      </c>
      <c r="J644" s="367" t="s">
        <v>10789</v>
      </c>
      <c r="K644" s="364" t="s">
        <v>10790</v>
      </c>
      <c r="L644" s="358"/>
      <c r="M644" s="366" t="s">
        <v>10084</v>
      </c>
      <c r="N644" s="358"/>
      <c r="O644" s="366" t="s">
        <v>57</v>
      </c>
      <c r="P644" s="368">
        <v>249500</v>
      </c>
      <c r="Q644" s="369" t="s">
        <v>10791</v>
      </c>
      <c r="R644" s="364" t="s">
        <v>758</v>
      </c>
      <c r="S644" s="340">
        <v>34</v>
      </c>
    </row>
    <row r="645" spans="1:19" ht="16" thickBot="1" x14ac:dyDescent="0.4">
      <c r="A645" s="357">
        <v>634</v>
      </c>
      <c r="B645" s="364" t="s">
        <v>10787</v>
      </c>
      <c r="C645" s="365" t="s">
        <v>10788</v>
      </c>
      <c r="D645" s="366" t="s">
        <v>10794</v>
      </c>
      <c r="E645" s="366" t="s">
        <v>10082</v>
      </c>
      <c r="F645" s="366" t="s">
        <v>10078</v>
      </c>
      <c r="G645" s="366" t="s">
        <v>10078</v>
      </c>
      <c r="H645" s="366">
        <v>0</v>
      </c>
      <c r="I645" s="364" t="s">
        <v>63</v>
      </c>
      <c r="J645" s="367" t="s">
        <v>10789</v>
      </c>
      <c r="K645" s="364" t="s">
        <v>10790</v>
      </c>
      <c r="L645" s="358"/>
      <c r="M645" s="366" t="s">
        <v>10084</v>
      </c>
      <c r="N645" s="358"/>
      <c r="O645" s="366" t="s">
        <v>57</v>
      </c>
      <c r="P645" s="368">
        <v>249500</v>
      </c>
      <c r="Q645" s="369" t="s">
        <v>10791</v>
      </c>
      <c r="R645" s="364" t="s">
        <v>758</v>
      </c>
      <c r="S645" s="340">
        <v>34</v>
      </c>
    </row>
    <row r="646" spans="1:19" ht="15.5" x14ac:dyDescent="0.35">
      <c r="A646" s="349">
        <v>635</v>
      </c>
      <c r="B646" s="358" t="s">
        <v>10787</v>
      </c>
      <c r="C646" s="359" t="s">
        <v>10788</v>
      </c>
      <c r="D646" s="360" t="s">
        <v>10795</v>
      </c>
      <c r="E646" s="360" t="s">
        <v>10082</v>
      </c>
      <c r="F646" s="360" t="s">
        <v>10078</v>
      </c>
      <c r="G646" s="360" t="s">
        <v>10078</v>
      </c>
      <c r="H646" s="360">
        <v>0</v>
      </c>
      <c r="I646" s="358" t="s">
        <v>63</v>
      </c>
      <c r="J646" s="361" t="s">
        <v>10789</v>
      </c>
      <c r="K646" s="358" t="s">
        <v>10790</v>
      </c>
      <c r="L646" s="358"/>
      <c r="M646" s="360" t="s">
        <v>10084</v>
      </c>
      <c r="N646" s="358"/>
      <c r="O646" s="360" t="s">
        <v>57</v>
      </c>
      <c r="P646" s="362">
        <v>249500</v>
      </c>
      <c r="Q646" s="363" t="s">
        <v>10791</v>
      </c>
      <c r="R646" s="364" t="s">
        <v>758</v>
      </c>
      <c r="S646" s="340">
        <v>34</v>
      </c>
    </row>
    <row r="647" spans="1:19" ht="16" thickBot="1" x14ac:dyDescent="0.4">
      <c r="A647" s="357">
        <v>636</v>
      </c>
      <c r="B647" s="364" t="s">
        <v>10787</v>
      </c>
      <c r="C647" s="365" t="s">
        <v>10788</v>
      </c>
      <c r="D647" s="366" t="s">
        <v>10796</v>
      </c>
      <c r="E647" s="366" t="s">
        <v>10082</v>
      </c>
      <c r="F647" s="366" t="s">
        <v>10078</v>
      </c>
      <c r="G647" s="366" t="s">
        <v>10078</v>
      </c>
      <c r="H647" s="366">
        <v>0</v>
      </c>
      <c r="I647" s="364" t="s">
        <v>63</v>
      </c>
      <c r="J647" s="361" t="s">
        <v>10789</v>
      </c>
      <c r="K647" s="358" t="s">
        <v>10790</v>
      </c>
      <c r="L647" s="358"/>
      <c r="M647" s="366" t="s">
        <v>10084</v>
      </c>
      <c r="N647" s="358"/>
      <c r="O647" s="366" t="s">
        <v>57</v>
      </c>
      <c r="P647" s="368">
        <v>249500</v>
      </c>
      <c r="Q647" s="369" t="s">
        <v>10791</v>
      </c>
      <c r="R647" s="364" t="s">
        <v>758</v>
      </c>
      <c r="S647" s="340">
        <v>34</v>
      </c>
    </row>
    <row r="648" spans="1:19" ht="15.5" x14ac:dyDescent="0.35">
      <c r="A648" s="349">
        <v>637</v>
      </c>
      <c r="B648" s="364" t="s">
        <v>10787</v>
      </c>
      <c r="C648" s="365" t="s">
        <v>10788</v>
      </c>
      <c r="D648" s="366" t="s">
        <v>10797</v>
      </c>
      <c r="E648" s="366" t="s">
        <v>10082</v>
      </c>
      <c r="F648" s="366" t="s">
        <v>10078</v>
      </c>
      <c r="G648" s="366" t="s">
        <v>10078</v>
      </c>
      <c r="H648" s="366">
        <v>0</v>
      </c>
      <c r="I648" s="364" t="s">
        <v>63</v>
      </c>
      <c r="J648" s="361" t="s">
        <v>10789</v>
      </c>
      <c r="K648" s="358" t="s">
        <v>10790</v>
      </c>
      <c r="L648" s="358"/>
      <c r="M648" s="366" t="s">
        <v>10084</v>
      </c>
      <c r="N648" s="358"/>
      <c r="O648" s="366" t="s">
        <v>57</v>
      </c>
      <c r="P648" s="368">
        <v>249500</v>
      </c>
      <c r="Q648" s="369" t="s">
        <v>10791</v>
      </c>
      <c r="R648" s="364" t="s">
        <v>758</v>
      </c>
      <c r="S648" s="340">
        <v>34</v>
      </c>
    </row>
    <row r="649" spans="1:19" ht="47" thickBot="1" x14ac:dyDescent="0.4">
      <c r="A649" s="357">
        <v>638</v>
      </c>
      <c r="B649" s="364" t="s">
        <v>10155</v>
      </c>
      <c r="C649" s="365" t="s">
        <v>10156</v>
      </c>
      <c r="D649" s="366" t="s">
        <v>51</v>
      </c>
      <c r="E649" s="366" t="s">
        <v>10082</v>
      </c>
      <c r="F649" s="366" t="s">
        <v>10078</v>
      </c>
      <c r="G649" s="366" t="s">
        <v>10078</v>
      </c>
      <c r="H649" s="366">
        <v>120</v>
      </c>
      <c r="I649" s="364" t="s">
        <v>10798</v>
      </c>
      <c r="J649" s="367" t="s">
        <v>10799</v>
      </c>
      <c r="K649" s="364" t="s">
        <v>10800</v>
      </c>
      <c r="L649" s="358"/>
      <c r="M649" s="366" t="s">
        <v>10084</v>
      </c>
      <c r="N649" s="358"/>
      <c r="O649" s="366" t="s">
        <v>57</v>
      </c>
      <c r="P649" s="368">
        <v>199735000</v>
      </c>
      <c r="Q649" s="369" t="s">
        <v>10801</v>
      </c>
      <c r="R649" s="364" t="s">
        <v>687</v>
      </c>
      <c r="S649" s="340">
        <v>31</v>
      </c>
    </row>
    <row r="650" spans="1:19" ht="31" x14ac:dyDescent="0.35">
      <c r="A650" s="349">
        <v>639</v>
      </c>
      <c r="B650" s="364" t="s">
        <v>10155</v>
      </c>
      <c r="C650" s="365" t="s">
        <v>10156</v>
      </c>
      <c r="D650" s="366" t="s">
        <v>59</v>
      </c>
      <c r="E650" s="366" t="s">
        <v>10082</v>
      </c>
      <c r="F650" s="366" t="s">
        <v>10078</v>
      </c>
      <c r="G650" s="366" t="s">
        <v>10078</v>
      </c>
      <c r="H650" s="366">
        <v>50</v>
      </c>
      <c r="I650" s="364" t="s">
        <v>10802</v>
      </c>
      <c r="J650" s="367"/>
      <c r="K650" s="364"/>
      <c r="L650" s="358"/>
      <c r="M650" s="366" t="s">
        <v>10084</v>
      </c>
      <c r="N650" s="358"/>
      <c r="O650" s="366" t="s">
        <v>57</v>
      </c>
      <c r="P650" s="368">
        <v>170658000</v>
      </c>
      <c r="Q650" s="369" t="s">
        <v>10803</v>
      </c>
      <c r="R650" s="364" t="s">
        <v>687</v>
      </c>
      <c r="S650" s="340">
        <v>31</v>
      </c>
    </row>
    <row r="651" spans="1:19" ht="31.5" thickBot="1" x14ac:dyDescent="0.4">
      <c r="A651" s="357">
        <v>640</v>
      </c>
      <c r="B651" s="364" t="s">
        <v>10155</v>
      </c>
      <c r="C651" s="365" t="s">
        <v>10156</v>
      </c>
      <c r="D651" s="366" t="s">
        <v>97</v>
      </c>
      <c r="E651" s="366" t="s">
        <v>10082</v>
      </c>
      <c r="F651" s="366" t="s">
        <v>10078</v>
      </c>
      <c r="G651" s="366" t="s">
        <v>10078</v>
      </c>
      <c r="H651" s="366">
        <v>500</v>
      </c>
      <c r="I651" s="364" t="s">
        <v>10804</v>
      </c>
      <c r="J651" s="367"/>
      <c r="K651" s="364"/>
      <c r="L651" s="358"/>
      <c r="M651" s="366" t="s">
        <v>10084</v>
      </c>
      <c r="N651" s="358"/>
      <c r="O651" s="366" t="s">
        <v>57</v>
      </c>
      <c r="P651" s="368">
        <v>750817800</v>
      </c>
      <c r="Q651" s="369" t="s">
        <v>10805</v>
      </c>
      <c r="R651" s="364" t="s">
        <v>687</v>
      </c>
      <c r="S651" s="340">
        <v>31</v>
      </c>
    </row>
    <row r="652" spans="1:19" ht="31" x14ac:dyDescent="0.35">
      <c r="A652" s="349">
        <v>641</v>
      </c>
      <c r="B652" s="364" t="s">
        <v>10155</v>
      </c>
      <c r="C652" s="365" t="s">
        <v>10156</v>
      </c>
      <c r="D652" s="366" t="s">
        <v>101</v>
      </c>
      <c r="E652" s="366" t="s">
        <v>10082</v>
      </c>
      <c r="F652" s="366" t="s">
        <v>10078</v>
      </c>
      <c r="G652" s="366" t="s">
        <v>10088</v>
      </c>
      <c r="H652" s="366">
        <v>40</v>
      </c>
      <c r="I652" s="364" t="s">
        <v>10802</v>
      </c>
      <c r="J652" s="367"/>
      <c r="K652" s="364"/>
      <c r="L652" s="358"/>
      <c r="M652" s="366" t="s">
        <v>10084</v>
      </c>
      <c r="N652" s="358"/>
      <c r="O652" s="366" t="s">
        <v>57</v>
      </c>
      <c r="P652" s="368">
        <v>20100000</v>
      </c>
      <c r="Q652" s="369" t="s">
        <v>10806</v>
      </c>
      <c r="R652" s="364" t="s">
        <v>687</v>
      </c>
      <c r="S652" s="340">
        <v>31</v>
      </c>
    </row>
    <row r="653" spans="1:19" ht="31.5" thickBot="1" x14ac:dyDescent="0.4">
      <c r="A653" s="357">
        <v>642</v>
      </c>
      <c r="B653" s="364" t="s">
        <v>10155</v>
      </c>
      <c r="C653" s="365" t="s">
        <v>10156</v>
      </c>
      <c r="D653" s="366" t="s">
        <v>107</v>
      </c>
      <c r="E653" s="366" t="s">
        <v>10082</v>
      </c>
      <c r="F653" s="366" t="s">
        <v>10078</v>
      </c>
      <c r="G653" s="366" t="s">
        <v>10078</v>
      </c>
      <c r="H653" s="366">
        <v>72</v>
      </c>
      <c r="I653" s="364" t="s">
        <v>10807</v>
      </c>
      <c r="J653" s="367"/>
      <c r="K653" s="364"/>
      <c r="L653" s="358"/>
      <c r="M653" s="366" t="s">
        <v>10084</v>
      </c>
      <c r="N653" s="358"/>
      <c r="O653" s="366" t="s">
        <v>57</v>
      </c>
      <c r="P653" s="368">
        <v>114020000</v>
      </c>
      <c r="Q653" s="369" t="s">
        <v>10808</v>
      </c>
      <c r="R653" s="364" t="s">
        <v>687</v>
      </c>
      <c r="S653" s="340">
        <v>31</v>
      </c>
    </row>
    <row r="654" spans="1:19" ht="31" x14ac:dyDescent="0.35">
      <c r="A654" s="349">
        <v>643</v>
      </c>
      <c r="B654" s="364" t="s">
        <v>10535</v>
      </c>
      <c r="C654" s="365" t="s">
        <v>10536</v>
      </c>
      <c r="D654" s="366" t="s">
        <v>51</v>
      </c>
      <c r="E654" s="366" t="s">
        <v>10082</v>
      </c>
      <c r="F654" s="366" t="s">
        <v>10078</v>
      </c>
      <c r="G654" s="366" t="s">
        <v>10088</v>
      </c>
      <c r="H654" s="366">
        <v>120</v>
      </c>
      <c r="I654" s="364" t="s">
        <v>10809</v>
      </c>
      <c r="J654" s="367"/>
      <c r="K654" s="364"/>
      <c r="L654" s="358"/>
      <c r="M654" s="366" t="s">
        <v>10084</v>
      </c>
      <c r="N654" s="358"/>
      <c r="O654" s="366" t="s">
        <v>57</v>
      </c>
      <c r="P654" s="368">
        <v>189750000</v>
      </c>
      <c r="Q654" s="369" t="s">
        <v>10810</v>
      </c>
      <c r="R654" s="364" t="s">
        <v>687</v>
      </c>
      <c r="S654" s="340">
        <v>31</v>
      </c>
    </row>
    <row r="655" spans="1:19" ht="31.5" thickBot="1" x14ac:dyDescent="0.4">
      <c r="A655" s="357">
        <v>644</v>
      </c>
      <c r="B655" s="364" t="s">
        <v>10535</v>
      </c>
      <c r="C655" s="365" t="s">
        <v>10536</v>
      </c>
      <c r="D655" s="366" t="s">
        <v>59</v>
      </c>
      <c r="E655" s="366" t="s">
        <v>10082</v>
      </c>
      <c r="F655" s="366" t="s">
        <v>10078</v>
      </c>
      <c r="G655" s="366" t="s">
        <v>10078</v>
      </c>
      <c r="H655" s="366">
        <v>200</v>
      </c>
      <c r="I655" s="364" t="s">
        <v>10811</v>
      </c>
      <c r="J655" s="367"/>
      <c r="K655" s="364"/>
      <c r="L655" s="358"/>
      <c r="M655" s="366" t="s">
        <v>10084</v>
      </c>
      <c r="N655" s="358"/>
      <c r="O655" s="366" t="s">
        <v>422</v>
      </c>
      <c r="P655" s="368">
        <v>364300000</v>
      </c>
      <c r="Q655" s="369" t="s">
        <v>10812</v>
      </c>
      <c r="R655" s="364" t="s">
        <v>687</v>
      </c>
      <c r="S655" s="340">
        <v>31</v>
      </c>
    </row>
    <row r="656" spans="1:19" ht="31" x14ac:dyDescent="0.35">
      <c r="A656" s="349">
        <v>645</v>
      </c>
      <c r="B656" s="364" t="s">
        <v>10535</v>
      </c>
      <c r="C656" s="365" t="s">
        <v>10536</v>
      </c>
      <c r="D656" s="366" t="s">
        <v>97</v>
      </c>
      <c r="E656" s="366" t="s">
        <v>10082</v>
      </c>
      <c r="F656" s="366" t="s">
        <v>10071</v>
      </c>
      <c r="G656" s="366" t="s">
        <v>10078</v>
      </c>
      <c r="H656" s="360">
        <v>100</v>
      </c>
      <c r="I656" s="364" t="s">
        <v>10813</v>
      </c>
      <c r="J656" s="367"/>
      <c r="K656" s="364"/>
      <c r="L656" s="358"/>
      <c r="M656" s="360" t="s">
        <v>10084</v>
      </c>
      <c r="N656" s="358"/>
      <c r="O656" s="366" t="s">
        <v>57</v>
      </c>
      <c r="P656" s="368">
        <v>369600000</v>
      </c>
      <c r="Q656" s="369" t="s">
        <v>10814</v>
      </c>
      <c r="R656" s="364" t="s">
        <v>687</v>
      </c>
      <c r="S656" s="340">
        <v>31</v>
      </c>
    </row>
    <row r="657" spans="1:19" ht="31.5" thickBot="1" x14ac:dyDescent="0.4">
      <c r="A657" s="357">
        <v>646</v>
      </c>
      <c r="B657" s="364" t="s">
        <v>10535</v>
      </c>
      <c r="C657" s="365" t="s">
        <v>10536</v>
      </c>
      <c r="D657" s="366" t="s">
        <v>101</v>
      </c>
      <c r="E657" s="366" t="s">
        <v>10082</v>
      </c>
      <c r="F657" s="366" t="s">
        <v>10078</v>
      </c>
      <c r="G657" s="366" t="s">
        <v>10088</v>
      </c>
      <c r="H657" s="366">
        <v>210</v>
      </c>
      <c r="I657" s="364" t="s">
        <v>10809</v>
      </c>
      <c r="J657" s="367"/>
      <c r="K657" s="364"/>
      <c r="L657" s="358"/>
      <c r="M657" s="366" t="s">
        <v>10084</v>
      </c>
      <c r="N657" s="358"/>
      <c r="O657" s="366" t="s">
        <v>57</v>
      </c>
      <c r="P657" s="368">
        <v>763150000</v>
      </c>
      <c r="Q657" s="369" t="s">
        <v>10815</v>
      </c>
      <c r="R657" s="364" t="s">
        <v>687</v>
      </c>
      <c r="S657" s="340">
        <v>31</v>
      </c>
    </row>
    <row r="658" spans="1:19" ht="31" x14ac:dyDescent="0.35">
      <c r="A658" s="349">
        <v>647</v>
      </c>
      <c r="B658" s="364" t="s">
        <v>10535</v>
      </c>
      <c r="C658" s="365" t="s">
        <v>10536</v>
      </c>
      <c r="D658" s="366" t="s">
        <v>107</v>
      </c>
      <c r="E658" s="366" t="s">
        <v>10082</v>
      </c>
      <c r="F658" s="366" t="s">
        <v>10071</v>
      </c>
      <c r="G658" s="366" t="s">
        <v>10088</v>
      </c>
      <c r="H658" s="366">
        <v>72</v>
      </c>
      <c r="I658" s="364" t="s">
        <v>10804</v>
      </c>
      <c r="J658" s="367"/>
      <c r="K658" s="364"/>
      <c r="L658" s="358"/>
      <c r="M658" s="366" t="s">
        <v>10084</v>
      </c>
      <c r="N658" s="358"/>
      <c r="O658" s="366" t="s">
        <v>57</v>
      </c>
      <c r="P658" s="368">
        <v>184800000</v>
      </c>
      <c r="Q658" s="369" t="s">
        <v>10816</v>
      </c>
      <c r="R658" s="364" t="s">
        <v>687</v>
      </c>
      <c r="S658" s="340">
        <v>31</v>
      </c>
    </row>
    <row r="659" spans="1:19" ht="31.5" thickBot="1" x14ac:dyDescent="0.4">
      <c r="A659" s="357">
        <v>648</v>
      </c>
      <c r="B659" s="364" t="s">
        <v>10535</v>
      </c>
      <c r="C659" s="365" t="s">
        <v>10536</v>
      </c>
      <c r="D659" s="366" t="s">
        <v>112</v>
      </c>
      <c r="E659" s="366" t="s">
        <v>10082</v>
      </c>
      <c r="F659" s="366" t="s">
        <v>10078</v>
      </c>
      <c r="G659" s="366" t="s">
        <v>10078</v>
      </c>
      <c r="H659" s="366">
        <v>10</v>
      </c>
      <c r="I659" s="364" t="s">
        <v>10817</v>
      </c>
      <c r="J659" s="367" t="s">
        <v>10818</v>
      </c>
      <c r="K659" s="364" t="s">
        <v>10819</v>
      </c>
      <c r="L659" s="358"/>
      <c r="M659" s="366" t="s">
        <v>10084</v>
      </c>
      <c r="N659" s="358"/>
      <c r="O659" s="366" t="s">
        <v>57</v>
      </c>
      <c r="P659" s="368">
        <v>25000000</v>
      </c>
      <c r="Q659" s="369" t="s">
        <v>10820</v>
      </c>
      <c r="R659" s="364" t="s">
        <v>687</v>
      </c>
      <c r="S659" s="340">
        <v>31</v>
      </c>
    </row>
    <row r="660" spans="1:19" ht="31" x14ac:dyDescent="0.35">
      <c r="A660" s="349">
        <v>649</v>
      </c>
      <c r="B660" s="364" t="s">
        <v>10535</v>
      </c>
      <c r="C660" s="365" t="s">
        <v>10536</v>
      </c>
      <c r="D660" s="366" t="s">
        <v>116</v>
      </c>
      <c r="E660" s="366" t="s">
        <v>10082</v>
      </c>
      <c r="F660" s="366" t="s">
        <v>10078</v>
      </c>
      <c r="G660" s="366" t="s">
        <v>10078</v>
      </c>
      <c r="H660" s="366">
        <v>10</v>
      </c>
      <c r="I660" s="364" t="s">
        <v>10817</v>
      </c>
      <c r="J660" s="367" t="s">
        <v>10818</v>
      </c>
      <c r="K660" s="364" t="s">
        <v>10819</v>
      </c>
      <c r="L660" s="358"/>
      <c r="M660" s="366" t="s">
        <v>10084</v>
      </c>
      <c r="N660" s="358"/>
      <c r="O660" s="366" t="s">
        <v>57</v>
      </c>
      <c r="P660" s="368">
        <v>25000000</v>
      </c>
      <c r="Q660" s="369" t="s">
        <v>10820</v>
      </c>
      <c r="R660" s="364" t="s">
        <v>687</v>
      </c>
      <c r="S660" s="340">
        <v>31</v>
      </c>
    </row>
    <row r="661" spans="1:19" ht="31.5" thickBot="1" x14ac:dyDescent="0.4">
      <c r="A661" s="357">
        <v>650</v>
      </c>
      <c r="B661" s="364" t="s">
        <v>10535</v>
      </c>
      <c r="C661" s="365" t="s">
        <v>10536</v>
      </c>
      <c r="D661" s="366" t="s">
        <v>841</v>
      </c>
      <c r="E661" s="366" t="s">
        <v>10082</v>
      </c>
      <c r="F661" s="366" t="s">
        <v>10078</v>
      </c>
      <c r="G661" s="366" t="s">
        <v>10078</v>
      </c>
      <c r="H661" s="366">
        <v>0</v>
      </c>
      <c r="I661" s="364" t="s">
        <v>10821</v>
      </c>
      <c r="J661" s="367" t="s">
        <v>10692</v>
      </c>
      <c r="K661" s="364" t="s">
        <v>10822</v>
      </c>
      <c r="L661" s="358"/>
      <c r="M661" s="366" t="s">
        <v>10084</v>
      </c>
      <c r="N661" s="358"/>
      <c r="O661" s="366" t="s">
        <v>57</v>
      </c>
      <c r="P661" s="368">
        <v>59181000</v>
      </c>
      <c r="Q661" s="369" t="s">
        <v>10823</v>
      </c>
      <c r="R661" s="364" t="s">
        <v>687</v>
      </c>
      <c r="S661" s="340">
        <v>31</v>
      </c>
    </row>
    <row r="662" spans="1:19" ht="46.5" x14ac:dyDescent="0.35">
      <c r="A662" s="349">
        <v>651</v>
      </c>
      <c r="B662" s="364" t="s">
        <v>10824</v>
      </c>
      <c r="C662" s="365" t="s">
        <v>10825</v>
      </c>
      <c r="D662" s="366" t="s">
        <v>51</v>
      </c>
      <c r="E662" s="366" t="s">
        <v>10082</v>
      </c>
      <c r="F662" s="366" t="s">
        <v>10078</v>
      </c>
      <c r="G662" s="366" t="s">
        <v>10078</v>
      </c>
      <c r="H662" s="366">
        <v>500</v>
      </c>
      <c r="I662" s="364" t="s">
        <v>10826</v>
      </c>
      <c r="J662" s="367" t="s">
        <v>10827</v>
      </c>
      <c r="K662" s="364" t="s">
        <v>10828</v>
      </c>
      <c r="L662" s="358"/>
      <c r="M662" s="366" t="s">
        <v>10084</v>
      </c>
      <c r="N662" s="358"/>
      <c r="O662" s="366" t="s">
        <v>57</v>
      </c>
      <c r="P662" s="368">
        <v>695997000</v>
      </c>
      <c r="Q662" s="369" t="s">
        <v>10801</v>
      </c>
      <c r="R662" s="364" t="s">
        <v>687</v>
      </c>
      <c r="S662" s="340">
        <v>31</v>
      </c>
    </row>
    <row r="663" spans="1:19" ht="31.5" thickBot="1" x14ac:dyDescent="0.4">
      <c r="A663" s="357">
        <v>652</v>
      </c>
      <c r="B663" s="364" t="s">
        <v>10687</v>
      </c>
      <c r="C663" s="365" t="s">
        <v>10688</v>
      </c>
      <c r="D663" s="366" t="s">
        <v>51</v>
      </c>
      <c r="E663" s="366" t="s">
        <v>10082</v>
      </c>
      <c r="F663" s="366" t="s">
        <v>10078</v>
      </c>
      <c r="G663" s="366" t="s">
        <v>10078</v>
      </c>
      <c r="H663" s="366">
        <v>24</v>
      </c>
      <c r="I663" s="364" t="s">
        <v>10829</v>
      </c>
      <c r="J663" s="367" t="s">
        <v>10818</v>
      </c>
      <c r="K663" s="364" t="s">
        <v>10830</v>
      </c>
      <c r="L663" s="358"/>
      <c r="M663" s="366" t="s">
        <v>10084</v>
      </c>
      <c r="N663" s="358"/>
      <c r="O663" s="366" t="s">
        <v>57</v>
      </c>
      <c r="P663" s="368">
        <v>90000000</v>
      </c>
      <c r="Q663" s="369" t="s">
        <v>10831</v>
      </c>
      <c r="R663" s="364" t="s">
        <v>687</v>
      </c>
      <c r="S663" s="340">
        <v>31</v>
      </c>
    </row>
    <row r="664" spans="1:19" ht="46.5" x14ac:dyDescent="0.35">
      <c r="A664" s="349">
        <v>653</v>
      </c>
      <c r="B664" s="364" t="s">
        <v>10832</v>
      </c>
      <c r="C664" s="365" t="s">
        <v>10833</v>
      </c>
      <c r="D664" s="366" t="s">
        <v>51</v>
      </c>
      <c r="E664" s="366" t="s">
        <v>10082</v>
      </c>
      <c r="F664" s="366" t="s">
        <v>10078</v>
      </c>
      <c r="G664" s="366" t="s">
        <v>10078</v>
      </c>
      <c r="H664" s="366">
        <v>6</v>
      </c>
      <c r="I664" s="364" t="s">
        <v>10834</v>
      </c>
      <c r="J664" s="367" t="s">
        <v>10835</v>
      </c>
      <c r="K664" s="364" t="s">
        <v>10836</v>
      </c>
      <c r="L664" s="358"/>
      <c r="M664" s="366" t="s">
        <v>10084</v>
      </c>
      <c r="N664" s="358"/>
      <c r="O664" s="366" t="s">
        <v>57</v>
      </c>
      <c r="P664" s="368">
        <v>47245000</v>
      </c>
      <c r="Q664" s="369" t="s">
        <v>10837</v>
      </c>
      <c r="R664" s="364" t="s">
        <v>687</v>
      </c>
      <c r="S664" s="340">
        <v>31</v>
      </c>
    </row>
    <row r="665" spans="1:19" ht="47" thickBot="1" x14ac:dyDescent="0.4">
      <c r="A665" s="357">
        <v>654</v>
      </c>
      <c r="B665" s="364" t="s">
        <v>10832</v>
      </c>
      <c r="C665" s="365" t="s">
        <v>10833</v>
      </c>
      <c r="D665" s="366" t="s">
        <v>59</v>
      </c>
      <c r="E665" s="366" t="s">
        <v>10082</v>
      </c>
      <c r="F665" s="366" t="s">
        <v>10078</v>
      </c>
      <c r="G665" s="366" t="s">
        <v>10078</v>
      </c>
      <c r="H665" s="366">
        <v>6</v>
      </c>
      <c r="I665" s="364" t="s">
        <v>10834</v>
      </c>
      <c r="J665" s="367" t="s">
        <v>10835</v>
      </c>
      <c r="K665" s="364" t="s">
        <v>10836</v>
      </c>
      <c r="L665" s="358"/>
      <c r="M665" s="366" t="s">
        <v>10084</v>
      </c>
      <c r="N665" s="358"/>
      <c r="O665" s="366" t="s">
        <v>57</v>
      </c>
      <c r="P665" s="368">
        <v>47245000</v>
      </c>
      <c r="Q665" s="369" t="s">
        <v>10837</v>
      </c>
      <c r="R665" s="364" t="s">
        <v>687</v>
      </c>
      <c r="S665" s="340">
        <v>31</v>
      </c>
    </row>
    <row r="666" spans="1:19" ht="46.5" x14ac:dyDescent="0.35">
      <c r="A666" s="349">
        <v>655</v>
      </c>
      <c r="B666" s="364" t="s">
        <v>10832</v>
      </c>
      <c r="C666" s="365" t="s">
        <v>10833</v>
      </c>
      <c r="D666" s="366" t="s">
        <v>97</v>
      </c>
      <c r="E666" s="366" t="s">
        <v>10082</v>
      </c>
      <c r="F666" s="366" t="s">
        <v>10078</v>
      </c>
      <c r="G666" s="366" t="s">
        <v>10078</v>
      </c>
      <c r="H666" s="366">
        <v>6</v>
      </c>
      <c r="I666" s="364" t="s">
        <v>10834</v>
      </c>
      <c r="J666" s="367" t="s">
        <v>10835</v>
      </c>
      <c r="K666" s="364" t="s">
        <v>10836</v>
      </c>
      <c r="L666" s="358"/>
      <c r="M666" s="366" t="s">
        <v>10084</v>
      </c>
      <c r="N666" s="358"/>
      <c r="O666" s="366" t="s">
        <v>57</v>
      </c>
      <c r="P666" s="368">
        <v>47245000</v>
      </c>
      <c r="Q666" s="369" t="s">
        <v>10837</v>
      </c>
      <c r="R666" s="364" t="s">
        <v>687</v>
      </c>
      <c r="S666" s="340">
        <v>31</v>
      </c>
    </row>
    <row r="667" spans="1:19" ht="47" thickBot="1" x14ac:dyDescent="0.4">
      <c r="A667" s="357">
        <v>656</v>
      </c>
      <c r="B667" s="364" t="s">
        <v>10832</v>
      </c>
      <c r="C667" s="365" t="s">
        <v>10833</v>
      </c>
      <c r="D667" s="366" t="s">
        <v>101</v>
      </c>
      <c r="E667" s="366" t="s">
        <v>10082</v>
      </c>
      <c r="F667" s="366" t="s">
        <v>10078</v>
      </c>
      <c r="G667" s="366" t="s">
        <v>10078</v>
      </c>
      <c r="H667" s="366">
        <v>6</v>
      </c>
      <c r="I667" s="364" t="s">
        <v>10834</v>
      </c>
      <c r="J667" s="367" t="s">
        <v>10835</v>
      </c>
      <c r="K667" s="364" t="s">
        <v>10836</v>
      </c>
      <c r="L667" s="358"/>
      <c r="M667" s="366" t="s">
        <v>10084</v>
      </c>
      <c r="N667" s="358"/>
      <c r="O667" s="366" t="s">
        <v>57</v>
      </c>
      <c r="P667" s="368">
        <v>47245000</v>
      </c>
      <c r="Q667" s="369" t="s">
        <v>10837</v>
      </c>
      <c r="R667" s="364" t="s">
        <v>687</v>
      </c>
      <c r="S667" s="340">
        <v>31</v>
      </c>
    </row>
    <row r="668" spans="1:19" ht="31" x14ac:dyDescent="0.35">
      <c r="A668" s="349">
        <v>657</v>
      </c>
      <c r="B668" s="364" t="s">
        <v>10838</v>
      </c>
      <c r="C668" s="365" t="s">
        <v>10839</v>
      </c>
      <c r="D668" s="366" t="s">
        <v>51</v>
      </c>
      <c r="E668" s="366" t="s">
        <v>10082</v>
      </c>
      <c r="F668" s="366" t="s">
        <v>10078</v>
      </c>
      <c r="G668" s="366" t="s">
        <v>10088</v>
      </c>
      <c r="H668" s="366">
        <v>380</v>
      </c>
      <c r="I668" s="364" t="s">
        <v>10840</v>
      </c>
      <c r="J668" s="367"/>
      <c r="K668" s="364"/>
      <c r="L668" s="358"/>
      <c r="M668" s="366" t="s">
        <v>10084</v>
      </c>
      <c r="N668" s="358"/>
      <c r="O668" s="366" t="s">
        <v>57</v>
      </c>
      <c r="P668" s="368">
        <v>247500000</v>
      </c>
      <c r="Q668" s="369" t="s">
        <v>10841</v>
      </c>
      <c r="R668" s="364" t="s">
        <v>687</v>
      </c>
      <c r="S668" s="340">
        <v>31</v>
      </c>
    </row>
    <row r="669" spans="1:19" ht="47" thickBot="1" x14ac:dyDescent="0.4">
      <c r="A669" s="357">
        <v>658</v>
      </c>
      <c r="B669" s="364" t="s">
        <v>10511</v>
      </c>
      <c r="C669" s="365" t="s">
        <v>10512</v>
      </c>
      <c r="D669" s="366" t="s">
        <v>51</v>
      </c>
      <c r="E669" s="366" t="s">
        <v>10082</v>
      </c>
      <c r="F669" s="366" t="s">
        <v>10078</v>
      </c>
      <c r="G669" s="366" t="s">
        <v>10078</v>
      </c>
      <c r="H669" s="366">
        <v>0</v>
      </c>
      <c r="I669" s="364" t="s">
        <v>10842</v>
      </c>
      <c r="J669" s="367" t="s">
        <v>10843</v>
      </c>
      <c r="K669" s="364" t="s">
        <v>10844</v>
      </c>
      <c r="L669" s="358"/>
      <c r="M669" s="366" t="s">
        <v>10084</v>
      </c>
      <c r="N669" s="358"/>
      <c r="O669" s="366" t="s">
        <v>57</v>
      </c>
      <c r="P669" s="368">
        <v>15000000</v>
      </c>
      <c r="Q669" s="369" t="s">
        <v>10845</v>
      </c>
      <c r="R669" s="364" t="s">
        <v>687</v>
      </c>
      <c r="S669" s="340">
        <v>31</v>
      </c>
    </row>
    <row r="670" spans="1:19" ht="31" x14ac:dyDescent="0.35">
      <c r="A670" s="349">
        <v>659</v>
      </c>
      <c r="B670" s="364" t="s">
        <v>10511</v>
      </c>
      <c r="C670" s="365" t="s">
        <v>10512</v>
      </c>
      <c r="D670" s="366" t="s">
        <v>59</v>
      </c>
      <c r="E670" s="366" t="s">
        <v>10082</v>
      </c>
      <c r="F670" s="366" t="s">
        <v>10078</v>
      </c>
      <c r="G670" s="366" t="s">
        <v>10078</v>
      </c>
      <c r="H670" s="366">
        <v>30</v>
      </c>
      <c r="I670" s="364" t="s">
        <v>10817</v>
      </c>
      <c r="J670" s="367" t="s">
        <v>10846</v>
      </c>
      <c r="K670" s="364" t="s">
        <v>10847</v>
      </c>
      <c r="L670" s="358"/>
      <c r="M670" s="366" t="s">
        <v>10084</v>
      </c>
      <c r="N670" s="358"/>
      <c r="O670" s="366" t="s">
        <v>57</v>
      </c>
      <c r="P670" s="368">
        <v>25000000</v>
      </c>
      <c r="Q670" s="369" t="s">
        <v>10848</v>
      </c>
      <c r="R670" s="364" t="s">
        <v>687</v>
      </c>
      <c r="S670" s="340">
        <v>31</v>
      </c>
    </row>
    <row r="671" spans="1:19" ht="47" thickBot="1" x14ac:dyDescent="0.4">
      <c r="A671" s="357">
        <v>660</v>
      </c>
      <c r="B671" s="364" t="s">
        <v>10511</v>
      </c>
      <c r="C671" s="365" t="s">
        <v>10512</v>
      </c>
      <c r="D671" s="366" t="s">
        <v>97</v>
      </c>
      <c r="E671" s="366" t="s">
        <v>10082</v>
      </c>
      <c r="F671" s="366" t="s">
        <v>10078</v>
      </c>
      <c r="G671" s="366" t="s">
        <v>10078</v>
      </c>
      <c r="H671" s="366">
        <v>0</v>
      </c>
      <c r="I671" s="364" t="s">
        <v>10842</v>
      </c>
      <c r="J671" s="367" t="s">
        <v>10843</v>
      </c>
      <c r="K671" s="364" t="s">
        <v>10844</v>
      </c>
      <c r="L671" s="358"/>
      <c r="M671" s="366" t="s">
        <v>10084</v>
      </c>
      <c r="N671" s="358"/>
      <c r="O671" s="366" t="s">
        <v>57</v>
      </c>
      <c r="P671" s="368">
        <v>15000000</v>
      </c>
      <c r="Q671" s="369" t="s">
        <v>10845</v>
      </c>
      <c r="R671" s="364" t="s">
        <v>687</v>
      </c>
      <c r="S671" s="340">
        <v>31</v>
      </c>
    </row>
    <row r="672" spans="1:19" ht="31" x14ac:dyDescent="0.35">
      <c r="A672" s="349">
        <v>661</v>
      </c>
      <c r="B672" s="364" t="s">
        <v>10096</v>
      </c>
      <c r="C672" s="365" t="s">
        <v>10097</v>
      </c>
      <c r="D672" s="366" t="s">
        <v>51</v>
      </c>
      <c r="E672" s="366" t="s">
        <v>10082</v>
      </c>
      <c r="F672" s="366" t="s">
        <v>10078</v>
      </c>
      <c r="G672" s="366" t="s">
        <v>10088</v>
      </c>
      <c r="H672" s="360">
        <v>120</v>
      </c>
      <c r="I672" s="364" t="s">
        <v>10849</v>
      </c>
      <c r="J672" s="367" t="s">
        <v>10850</v>
      </c>
      <c r="K672" s="364" t="s">
        <v>10851</v>
      </c>
      <c r="L672" s="358"/>
      <c r="M672" s="360" t="s">
        <v>10084</v>
      </c>
      <c r="N672" s="358"/>
      <c r="O672" s="366" t="s">
        <v>57</v>
      </c>
      <c r="P672" s="368">
        <v>248246900</v>
      </c>
      <c r="Q672" s="369" t="s">
        <v>10852</v>
      </c>
      <c r="R672" s="364" t="s">
        <v>687</v>
      </c>
      <c r="S672" s="340">
        <v>31</v>
      </c>
    </row>
    <row r="673" spans="1:19" ht="31.5" thickBot="1" x14ac:dyDescent="0.4">
      <c r="A673" s="357">
        <v>662</v>
      </c>
      <c r="B673" s="364" t="s">
        <v>10155</v>
      </c>
      <c r="C673" s="365" t="s">
        <v>10156</v>
      </c>
      <c r="D673" s="366" t="s">
        <v>51</v>
      </c>
      <c r="E673" s="366" t="s">
        <v>10082</v>
      </c>
      <c r="F673" s="366" t="s">
        <v>10078</v>
      </c>
      <c r="G673" s="366" t="s">
        <v>10088</v>
      </c>
      <c r="H673" s="360">
        <v>225</v>
      </c>
      <c r="I673" s="364" t="s">
        <v>10548</v>
      </c>
      <c r="J673" s="367" t="s">
        <v>10853</v>
      </c>
      <c r="K673" s="364" t="s">
        <v>10854</v>
      </c>
      <c r="L673" s="358"/>
      <c r="M673" s="360" t="s">
        <v>10084</v>
      </c>
      <c r="N673" s="358"/>
      <c r="O673" s="366" t="s">
        <v>57</v>
      </c>
      <c r="P673" s="368">
        <v>493000000</v>
      </c>
      <c r="Q673" s="369" t="s">
        <v>10855</v>
      </c>
      <c r="R673" s="364" t="s">
        <v>646</v>
      </c>
      <c r="S673" s="340">
        <v>29</v>
      </c>
    </row>
    <row r="674" spans="1:19" ht="31" x14ac:dyDescent="0.35">
      <c r="A674" s="349">
        <v>663</v>
      </c>
      <c r="B674" s="364" t="s">
        <v>10155</v>
      </c>
      <c r="C674" s="365" t="s">
        <v>10156</v>
      </c>
      <c r="D674" s="366" t="s">
        <v>51</v>
      </c>
      <c r="E674" s="366" t="s">
        <v>10082</v>
      </c>
      <c r="F674" s="366" t="s">
        <v>10078</v>
      </c>
      <c r="G674" s="366" t="s">
        <v>10088</v>
      </c>
      <c r="H674" s="360">
        <v>96</v>
      </c>
      <c r="I674" s="364" t="s">
        <v>10856</v>
      </c>
      <c r="J674" s="367" t="s">
        <v>10857</v>
      </c>
      <c r="K674" s="364" t="s">
        <v>10858</v>
      </c>
      <c r="L674" s="358"/>
      <c r="M674" s="360" t="s">
        <v>10084</v>
      </c>
      <c r="N674" s="358"/>
      <c r="O674" s="366" t="s">
        <v>57</v>
      </c>
      <c r="P674" s="368">
        <v>430198000</v>
      </c>
      <c r="Q674" s="369" t="s">
        <v>10859</v>
      </c>
      <c r="R674" s="364" t="s">
        <v>646</v>
      </c>
      <c r="S674" s="340">
        <v>29</v>
      </c>
    </row>
    <row r="675" spans="1:19" ht="47" thickBot="1" x14ac:dyDescent="0.4">
      <c r="A675" s="357">
        <v>664</v>
      </c>
      <c r="B675" s="364" t="s">
        <v>10155</v>
      </c>
      <c r="C675" s="365" t="s">
        <v>10156</v>
      </c>
      <c r="D675" s="366" t="s">
        <v>51</v>
      </c>
      <c r="E675" s="366" t="s">
        <v>10082</v>
      </c>
      <c r="F675" s="366" t="s">
        <v>10078</v>
      </c>
      <c r="G675" s="366" t="s">
        <v>10078</v>
      </c>
      <c r="H675" s="360">
        <v>1136</v>
      </c>
      <c r="I675" s="364" t="s">
        <v>10856</v>
      </c>
      <c r="J675" s="367" t="s">
        <v>10860</v>
      </c>
      <c r="K675" s="364" t="s">
        <v>10861</v>
      </c>
      <c r="L675" s="358"/>
      <c r="M675" s="360" t="s">
        <v>10084</v>
      </c>
      <c r="N675" s="358"/>
      <c r="O675" s="366" t="s">
        <v>57</v>
      </c>
      <c r="P675" s="368">
        <v>453952000</v>
      </c>
      <c r="Q675" s="369" t="s">
        <v>10862</v>
      </c>
      <c r="R675" s="364" t="s">
        <v>646</v>
      </c>
      <c r="S675" s="340">
        <v>29</v>
      </c>
    </row>
    <row r="676" spans="1:19" ht="46.5" x14ac:dyDescent="0.35">
      <c r="A676" s="349">
        <v>665</v>
      </c>
      <c r="B676" s="364" t="s">
        <v>10155</v>
      </c>
      <c r="C676" s="365" t="s">
        <v>10156</v>
      </c>
      <c r="D676" s="366" t="s">
        <v>59</v>
      </c>
      <c r="E676" s="366" t="s">
        <v>10082</v>
      </c>
      <c r="F676" s="366" t="s">
        <v>10078</v>
      </c>
      <c r="G676" s="366" t="s">
        <v>10088</v>
      </c>
      <c r="H676" s="366">
        <v>171</v>
      </c>
      <c r="I676" s="364" t="s">
        <v>10863</v>
      </c>
      <c r="J676" s="367" t="s">
        <v>10864</v>
      </c>
      <c r="K676" s="364" t="s">
        <v>10865</v>
      </c>
      <c r="L676" s="358"/>
      <c r="M676" s="366" t="s">
        <v>10084</v>
      </c>
      <c r="N676" s="358"/>
      <c r="O676" s="366" t="s">
        <v>57</v>
      </c>
      <c r="P676" s="368">
        <v>795594500</v>
      </c>
      <c r="Q676" s="369" t="s">
        <v>10866</v>
      </c>
      <c r="R676" s="364" t="s">
        <v>646</v>
      </c>
      <c r="S676" s="340">
        <v>29</v>
      </c>
    </row>
    <row r="677" spans="1:19" ht="31.5" thickBot="1" x14ac:dyDescent="0.4">
      <c r="A677" s="357">
        <v>666</v>
      </c>
      <c r="B677" s="364" t="s">
        <v>10155</v>
      </c>
      <c r="C677" s="365" t="s">
        <v>10156</v>
      </c>
      <c r="D677" s="366" t="s">
        <v>97</v>
      </c>
      <c r="E677" s="366" t="s">
        <v>10082</v>
      </c>
      <c r="F677" s="366" t="s">
        <v>10078</v>
      </c>
      <c r="G677" s="366" t="s">
        <v>10088</v>
      </c>
      <c r="H677" s="366">
        <v>490</v>
      </c>
      <c r="I677" s="364" t="s">
        <v>10867</v>
      </c>
      <c r="J677" s="367" t="s">
        <v>10868</v>
      </c>
      <c r="K677" s="364" t="s">
        <v>10869</v>
      </c>
      <c r="L677" s="358"/>
      <c r="M677" s="366" t="s">
        <v>10084</v>
      </c>
      <c r="N677" s="358"/>
      <c r="O677" s="366" t="s">
        <v>57</v>
      </c>
      <c r="P677" s="368">
        <v>296800000</v>
      </c>
      <c r="Q677" s="369" t="s">
        <v>10870</v>
      </c>
      <c r="R677" s="364" t="s">
        <v>646</v>
      </c>
      <c r="S677" s="340">
        <v>29</v>
      </c>
    </row>
    <row r="678" spans="1:19" ht="31" x14ac:dyDescent="0.35">
      <c r="A678" s="349">
        <v>667</v>
      </c>
      <c r="B678" s="364" t="s">
        <v>10155</v>
      </c>
      <c r="C678" s="365" t="s">
        <v>10156</v>
      </c>
      <c r="D678" s="366" t="s">
        <v>101</v>
      </c>
      <c r="E678" s="366" t="s">
        <v>10082</v>
      </c>
      <c r="F678" s="366" t="s">
        <v>10071</v>
      </c>
      <c r="G678" s="366" t="s">
        <v>10078</v>
      </c>
      <c r="H678" s="366">
        <v>1964</v>
      </c>
      <c r="I678" s="364" t="s">
        <v>10871</v>
      </c>
      <c r="J678" s="367" t="s">
        <v>10872</v>
      </c>
      <c r="K678" s="364" t="s">
        <v>10873</v>
      </c>
      <c r="L678" s="358"/>
      <c r="M678" s="366" t="s">
        <v>10084</v>
      </c>
      <c r="N678" s="358"/>
      <c r="O678" s="366" t="s">
        <v>57</v>
      </c>
      <c r="P678" s="368">
        <v>6260379728.6999998</v>
      </c>
      <c r="Q678" s="369" t="s">
        <v>10874</v>
      </c>
      <c r="R678" s="364" t="s">
        <v>646</v>
      </c>
      <c r="S678" s="340">
        <v>29</v>
      </c>
    </row>
    <row r="679" spans="1:19" ht="31.5" thickBot="1" x14ac:dyDescent="0.4">
      <c r="A679" s="357">
        <v>668</v>
      </c>
      <c r="B679" s="364" t="s">
        <v>10535</v>
      </c>
      <c r="C679" s="365" t="s">
        <v>10536</v>
      </c>
      <c r="D679" s="366" t="s">
        <v>51</v>
      </c>
      <c r="E679" s="366" t="s">
        <v>10082</v>
      </c>
      <c r="F679" s="366" t="s">
        <v>10078</v>
      </c>
      <c r="G679" s="366" t="s">
        <v>10078</v>
      </c>
      <c r="H679" s="366">
        <v>660</v>
      </c>
      <c r="I679" s="364" t="s">
        <v>10875</v>
      </c>
      <c r="J679" s="367" t="s">
        <v>10876</v>
      </c>
      <c r="K679" s="364" t="s">
        <v>10877</v>
      </c>
      <c r="L679" s="358"/>
      <c r="M679" s="366" t="s">
        <v>10084</v>
      </c>
      <c r="N679" s="358"/>
      <c r="O679" s="366" t="s">
        <v>57</v>
      </c>
      <c r="P679" s="368">
        <v>814049000</v>
      </c>
      <c r="Q679" s="369" t="s">
        <v>10878</v>
      </c>
      <c r="R679" s="364" t="s">
        <v>646</v>
      </c>
      <c r="S679" s="340">
        <v>29</v>
      </c>
    </row>
    <row r="680" spans="1:19" ht="31" x14ac:dyDescent="0.35">
      <c r="A680" s="349">
        <v>669</v>
      </c>
      <c r="B680" s="364" t="s">
        <v>10535</v>
      </c>
      <c r="C680" s="365" t="s">
        <v>10536</v>
      </c>
      <c r="D680" s="366" t="s">
        <v>59</v>
      </c>
      <c r="E680" s="366" t="s">
        <v>10082</v>
      </c>
      <c r="F680" s="366" t="s">
        <v>10078</v>
      </c>
      <c r="G680" s="366" t="s">
        <v>10088</v>
      </c>
      <c r="H680" s="366"/>
      <c r="I680" s="364" t="s">
        <v>10856</v>
      </c>
      <c r="J680" s="367" t="s">
        <v>10879</v>
      </c>
      <c r="K680" s="364" t="s">
        <v>10880</v>
      </c>
      <c r="L680" s="358"/>
      <c r="M680" s="366"/>
      <c r="N680" s="358"/>
      <c r="O680" s="366" t="s">
        <v>44</v>
      </c>
      <c r="P680" s="368">
        <v>321330000</v>
      </c>
      <c r="Q680" s="369" t="s">
        <v>10881</v>
      </c>
      <c r="R680" s="364" t="s">
        <v>646</v>
      </c>
      <c r="S680" s="340">
        <v>29</v>
      </c>
    </row>
    <row r="681" spans="1:19" ht="31.5" thickBot="1" x14ac:dyDescent="0.4">
      <c r="A681" s="357">
        <v>670</v>
      </c>
      <c r="B681" s="364" t="s">
        <v>10541</v>
      </c>
      <c r="C681" s="365" t="s">
        <v>10542</v>
      </c>
      <c r="D681" s="366" t="s">
        <v>51</v>
      </c>
      <c r="E681" s="366" t="s">
        <v>10082</v>
      </c>
      <c r="F681" s="366" t="s">
        <v>10078</v>
      </c>
      <c r="G681" s="366" t="s">
        <v>10088</v>
      </c>
      <c r="H681" s="366">
        <v>260</v>
      </c>
      <c r="I681" s="364" t="s">
        <v>10882</v>
      </c>
      <c r="J681" s="367" t="s">
        <v>10883</v>
      </c>
      <c r="K681" s="364" t="s">
        <v>10884</v>
      </c>
      <c r="L681" s="358"/>
      <c r="M681" s="366" t="s">
        <v>10084</v>
      </c>
      <c r="N681" s="358"/>
      <c r="O681" s="366" t="s">
        <v>57</v>
      </c>
      <c r="P681" s="368">
        <v>638275000</v>
      </c>
      <c r="Q681" s="369" t="s">
        <v>10885</v>
      </c>
      <c r="R681" s="364" t="s">
        <v>646</v>
      </c>
      <c r="S681" s="340">
        <v>29</v>
      </c>
    </row>
    <row r="682" spans="1:19" ht="31" x14ac:dyDescent="0.35">
      <c r="A682" s="349">
        <v>671</v>
      </c>
      <c r="B682" s="364" t="s">
        <v>10541</v>
      </c>
      <c r="C682" s="365" t="s">
        <v>10542</v>
      </c>
      <c r="D682" s="366" t="s">
        <v>59</v>
      </c>
      <c r="E682" s="366" t="s">
        <v>10082</v>
      </c>
      <c r="F682" s="366" t="s">
        <v>10078</v>
      </c>
      <c r="G682" s="366" t="s">
        <v>10088</v>
      </c>
      <c r="H682" s="366">
        <v>38</v>
      </c>
      <c r="I682" s="364" t="s">
        <v>10886</v>
      </c>
      <c r="J682" s="367" t="s">
        <v>10887</v>
      </c>
      <c r="K682" s="364" t="s">
        <v>10888</v>
      </c>
      <c r="L682" s="358"/>
      <c r="M682" s="366" t="s">
        <v>10084</v>
      </c>
      <c r="N682" s="358"/>
      <c r="O682" s="366" t="s">
        <v>57</v>
      </c>
      <c r="P682" s="368">
        <v>263983900.00000003</v>
      </c>
      <c r="Q682" s="369" t="s">
        <v>10889</v>
      </c>
      <c r="R682" s="364" t="s">
        <v>646</v>
      </c>
      <c r="S682" s="340">
        <v>29</v>
      </c>
    </row>
    <row r="683" spans="1:19" ht="31.5" thickBot="1" x14ac:dyDescent="0.4">
      <c r="A683" s="357">
        <v>672</v>
      </c>
      <c r="B683" s="364" t="s">
        <v>10541</v>
      </c>
      <c r="C683" s="365" t="s">
        <v>10542</v>
      </c>
      <c r="D683" s="366" t="s">
        <v>97</v>
      </c>
      <c r="E683" s="366" t="s">
        <v>10082</v>
      </c>
      <c r="F683" s="366" t="s">
        <v>10078</v>
      </c>
      <c r="G683" s="366" t="s">
        <v>10088</v>
      </c>
      <c r="H683" s="366">
        <v>150</v>
      </c>
      <c r="I683" s="364" t="s">
        <v>10890</v>
      </c>
      <c r="J683" s="367" t="s">
        <v>10891</v>
      </c>
      <c r="K683" s="364" t="s">
        <v>10892</v>
      </c>
      <c r="L683" s="358"/>
      <c r="M683" s="366" t="s">
        <v>10084</v>
      </c>
      <c r="N683" s="358"/>
      <c r="O683" s="366" t="s">
        <v>57</v>
      </c>
      <c r="P683" s="368">
        <v>218150000</v>
      </c>
      <c r="Q683" s="369" t="s">
        <v>10893</v>
      </c>
      <c r="R683" s="364" t="s">
        <v>646</v>
      </c>
      <c r="S683" s="340">
        <v>29</v>
      </c>
    </row>
    <row r="684" spans="1:19" ht="31" x14ac:dyDescent="0.35">
      <c r="A684" s="349">
        <v>673</v>
      </c>
      <c r="B684" s="364" t="s">
        <v>10894</v>
      </c>
      <c r="C684" s="365" t="s">
        <v>10895</v>
      </c>
      <c r="D684" s="366" t="s">
        <v>51</v>
      </c>
      <c r="E684" s="366" t="s">
        <v>10082</v>
      </c>
      <c r="F684" s="366" t="s">
        <v>10078</v>
      </c>
      <c r="G684" s="366" t="s">
        <v>10078</v>
      </c>
      <c r="H684" s="366">
        <v>48</v>
      </c>
      <c r="I684" s="364" t="s">
        <v>10896</v>
      </c>
      <c r="J684" s="367" t="s">
        <v>10897</v>
      </c>
      <c r="K684" s="364" t="s">
        <v>10898</v>
      </c>
      <c r="L684" s="358"/>
      <c r="M684" s="366" t="s">
        <v>10084</v>
      </c>
      <c r="N684" s="358"/>
      <c r="O684" s="366" t="s">
        <v>57</v>
      </c>
      <c r="P684" s="368">
        <v>49500000</v>
      </c>
      <c r="Q684" s="369" t="s">
        <v>10899</v>
      </c>
      <c r="R684" s="364" t="s">
        <v>646</v>
      </c>
      <c r="S684" s="340">
        <v>29</v>
      </c>
    </row>
    <row r="685" spans="1:19" ht="31.5" thickBot="1" x14ac:dyDescent="0.4">
      <c r="A685" s="357">
        <v>674</v>
      </c>
      <c r="B685" s="364" t="s">
        <v>10900</v>
      </c>
      <c r="C685" s="365" t="s">
        <v>10901</v>
      </c>
      <c r="D685" s="366" t="s">
        <v>51</v>
      </c>
      <c r="E685" s="366" t="s">
        <v>10082</v>
      </c>
      <c r="F685" s="366" t="s">
        <v>10078</v>
      </c>
      <c r="G685" s="366" t="s">
        <v>10088</v>
      </c>
      <c r="H685" s="366">
        <v>48</v>
      </c>
      <c r="I685" s="364" t="s">
        <v>10902</v>
      </c>
      <c r="J685" s="367" t="s">
        <v>10903</v>
      </c>
      <c r="K685" s="364" t="s">
        <v>10904</v>
      </c>
      <c r="L685" s="358"/>
      <c r="M685" s="366" t="s">
        <v>10084</v>
      </c>
      <c r="N685" s="358"/>
      <c r="O685" s="366" t="s">
        <v>57</v>
      </c>
      <c r="P685" s="368">
        <v>89000000</v>
      </c>
      <c r="Q685" s="369" t="s">
        <v>10905</v>
      </c>
      <c r="R685" s="364" t="s">
        <v>646</v>
      </c>
      <c r="S685" s="340">
        <v>29</v>
      </c>
    </row>
    <row r="686" spans="1:19" ht="31" x14ac:dyDescent="0.35">
      <c r="A686" s="349">
        <v>675</v>
      </c>
      <c r="B686" s="364" t="s">
        <v>10900</v>
      </c>
      <c r="C686" s="365" t="s">
        <v>10901</v>
      </c>
      <c r="D686" s="366" t="s">
        <v>59</v>
      </c>
      <c r="E686" s="366" t="s">
        <v>10082</v>
      </c>
      <c r="F686" s="366" t="s">
        <v>10078</v>
      </c>
      <c r="G686" s="366" t="s">
        <v>10088</v>
      </c>
      <c r="H686" s="366">
        <v>24</v>
      </c>
      <c r="I686" s="364" t="s">
        <v>10548</v>
      </c>
      <c r="J686" s="367" t="s">
        <v>10906</v>
      </c>
      <c r="K686" s="364" t="s">
        <v>10907</v>
      </c>
      <c r="L686" s="358"/>
      <c r="M686" s="366" t="s">
        <v>10084</v>
      </c>
      <c r="N686" s="358"/>
      <c r="O686" s="366" t="s">
        <v>57</v>
      </c>
      <c r="P686" s="368">
        <v>49436000</v>
      </c>
      <c r="Q686" s="369" t="s">
        <v>10908</v>
      </c>
      <c r="R686" s="364" t="s">
        <v>646</v>
      </c>
      <c r="S686" s="340">
        <v>29</v>
      </c>
    </row>
    <row r="687" spans="1:19" ht="31.5" thickBot="1" x14ac:dyDescent="0.4">
      <c r="A687" s="357">
        <v>676</v>
      </c>
      <c r="B687" s="364" t="s">
        <v>10900</v>
      </c>
      <c r="C687" s="365" t="s">
        <v>10901</v>
      </c>
      <c r="D687" s="366" t="s">
        <v>97</v>
      </c>
      <c r="E687" s="366" t="s">
        <v>10082</v>
      </c>
      <c r="F687" s="366" t="s">
        <v>10078</v>
      </c>
      <c r="G687" s="366" t="s">
        <v>10088</v>
      </c>
      <c r="H687" s="366">
        <v>24</v>
      </c>
      <c r="I687" s="364" t="s">
        <v>10909</v>
      </c>
      <c r="J687" s="367" t="s">
        <v>10906</v>
      </c>
      <c r="K687" s="364" t="s">
        <v>10910</v>
      </c>
      <c r="L687" s="358"/>
      <c r="M687" s="366" t="s">
        <v>10084</v>
      </c>
      <c r="N687" s="358"/>
      <c r="O687" s="366" t="s">
        <v>57</v>
      </c>
      <c r="P687" s="368">
        <v>49482000</v>
      </c>
      <c r="Q687" s="369" t="s">
        <v>10911</v>
      </c>
      <c r="R687" s="364" t="s">
        <v>646</v>
      </c>
      <c r="S687" s="340">
        <v>29</v>
      </c>
    </row>
    <row r="688" spans="1:19" ht="31" x14ac:dyDescent="0.35">
      <c r="A688" s="349">
        <v>677</v>
      </c>
      <c r="B688" s="364" t="s">
        <v>10900</v>
      </c>
      <c r="C688" s="365" t="s">
        <v>10901</v>
      </c>
      <c r="D688" s="366" t="s">
        <v>101</v>
      </c>
      <c r="E688" s="366" t="s">
        <v>10082</v>
      </c>
      <c r="F688" s="366" t="s">
        <v>10078</v>
      </c>
      <c r="G688" s="366" t="s">
        <v>10088</v>
      </c>
      <c r="H688" s="366">
        <v>24</v>
      </c>
      <c r="I688" s="364" t="s">
        <v>10912</v>
      </c>
      <c r="J688" s="367" t="s">
        <v>10906</v>
      </c>
      <c r="K688" s="364" t="s">
        <v>10913</v>
      </c>
      <c r="L688" s="358"/>
      <c r="M688" s="366" t="s">
        <v>10084</v>
      </c>
      <c r="N688" s="358"/>
      <c r="O688" s="366" t="s">
        <v>57</v>
      </c>
      <c r="P688" s="368">
        <v>49486000</v>
      </c>
      <c r="Q688" s="369" t="s">
        <v>10914</v>
      </c>
      <c r="R688" s="364" t="s">
        <v>646</v>
      </c>
      <c r="S688" s="340">
        <v>29</v>
      </c>
    </row>
    <row r="689" spans="1:19" ht="47" thickBot="1" x14ac:dyDescent="0.4">
      <c r="A689" s="357">
        <v>678</v>
      </c>
      <c r="B689" s="364" t="s">
        <v>10475</v>
      </c>
      <c r="C689" s="365" t="s">
        <v>10476</v>
      </c>
      <c r="D689" s="366" t="s">
        <v>51</v>
      </c>
      <c r="E689" s="366" t="s">
        <v>10082</v>
      </c>
      <c r="F689" s="366" t="s">
        <v>10078</v>
      </c>
      <c r="G689" s="366" t="s">
        <v>10088</v>
      </c>
      <c r="H689" s="366">
        <v>154</v>
      </c>
      <c r="I689" s="364" t="s">
        <v>10915</v>
      </c>
      <c r="J689" s="367" t="s">
        <v>10916</v>
      </c>
      <c r="K689" s="364" t="s">
        <v>10917</v>
      </c>
      <c r="L689" s="358"/>
      <c r="M689" s="366" t="s">
        <v>10084</v>
      </c>
      <c r="N689" s="358"/>
      <c r="O689" s="366" t="s">
        <v>57</v>
      </c>
      <c r="P689" s="368">
        <v>859804945.19999993</v>
      </c>
      <c r="Q689" s="369" t="s">
        <v>10918</v>
      </c>
      <c r="R689" s="364" t="s">
        <v>646</v>
      </c>
      <c r="S689" s="340">
        <v>29</v>
      </c>
    </row>
    <row r="690" spans="1:19" ht="31" x14ac:dyDescent="0.35">
      <c r="A690" s="349">
        <v>679</v>
      </c>
      <c r="B690" s="364" t="s">
        <v>10481</v>
      </c>
      <c r="C690" s="365" t="s">
        <v>10482</v>
      </c>
      <c r="D690" s="366" t="s">
        <v>51</v>
      </c>
      <c r="E690" s="366" t="s">
        <v>10082</v>
      </c>
      <c r="F690" s="366" t="s">
        <v>10078</v>
      </c>
      <c r="G690" s="366" t="s">
        <v>10088</v>
      </c>
      <c r="H690" s="366">
        <v>330</v>
      </c>
      <c r="I690" s="364" t="s">
        <v>10919</v>
      </c>
      <c r="J690" s="367" t="s">
        <v>10920</v>
      </c>
      <c r="K690" s="364" t="s">
        <v>10921</v>
      </c>
      <c r="L690" s="358"/>
      <c r="M690" s="366" t="s">
        <v>10084</v>
      </c>
      <c r="N690" s="358"/>
      <c r="O690" s="366" t="s">
        <v>57</v>
      </c>
      <c r="P690" s="368">
        <v>935601250</v>
      </c>
      <c r="Q690" s="369" t="s">
        <v>10922</v>
      </c>
      <c r="R690" s="364" t="s">
        <v>646</v>
      </c>
      <c r="S690" s="340">
        <v>29</v>
      </c>
    </row>
    <row r="691" spans="1:19" ht="31.5" thickBot="1" x14ac:dyDescent="0.4">
      <c r="A691" s="357">
        <v>680</v>
      </c>
      <c r="B691" s="364" t="s">
        <v>10824</v>
      </c>
      <c r="C691" s="365" t="s">
        <v>10825</v>
      </c>
      <c r="D691" s="366" t="s">
        <v>51</v>
      </c>
      <c r="E691" s="366" t="s">
        <v>10082</v>
      </c>
      <c r="F691" s="366" t="s">
        <v>10078</v>
      </c>
      <c r="G691" s="366" t="s">
        <v>10088</v>
      </c>
      <c r="H691" s="366">
        <v>315</v>
      </c>
      <c r="I691" s="364" t="s">
        <v>10923</v>
      </c>
      <c r="J691" s="367"/>
      <c r="K691" s="364"/>
      <c r="L691" s="358"/>
      <c r="M691" s="366" t="s">
        <v>10084</v>
      </c>
      <c r="N691" s="358"/>
      <c r="O691" s="366" t="s">
        <v>57</v>
      </c>
      <c r="P691" s="368">
        <v>1959771000</v>
      </c>
      <c r="Q691" s="369" t="s">
        <v>10924</v>
      </c>
      <c r="R691" s="364" t="s">
        <v>646</v>
      </c>
      <c r="S691" s="340">
        <v>29</v>
      </c>
    </row>
    <row r="692" spans="1:19" ht="31" x14ac:dyDescent="0.35">
      <c r="A692" s="349">
        <v>681</v>
      </c>
      <c r="B692" s="364" t="s">
        <v>10650</v>
      </c>
      <c r="C692" s="365" t="s">
        <v>10651</v>
      </c>
      <c r="D692" s="366" t="s">
        <v>51</v>
      </c>
      <c r="E692" s="366" t="s">
        <v>10082</v>
      </c>
      <c r="F692" s="366" t="s">
        <v>10078</v>
      </c>
      <c r="G692" s="366" t="s">
        <v>10088</v>
      </c>
      <c r="H692" s="366">
        <v>19</v>
      </c>
      <c r="I692" s="364" t="s">
        <v>10925</v>
      </c>
      <c r="J692" s="367" t="s">
        <v>10926</v>
      </c>
      <c r="K692" s="364" t="s">
        <v>10927</v>
      </c>
      <c r="L692" s="358"/>
      <c r="M692" s="366" t="s">
        <v>10084</v>
      </c>
      <c r="N692" s="358"/>
      <c r="O692" s="366" t="s">
        <v>57</v>
      </c>
      <c r="P692" s="368">
        <v>57850000</v>
      </c>
      <c r="Q692" s="369" t="s">
        <v>10928</v>
      </c>
      <c r="R692" s="364" t="s">
        <v>646</v>
      </c>
      <c r="S692" s="340">
        <v>29</v>
      </c>
    </row>
    <row r="693" spans="1:19" ht="16" thickBot="1" x14ac:dyDescent="0.4">
      <c r="A693" s="357">
        <v>682</v>
      </c>
      <c r="B693" s="364" t="s">
        <v>10650</v>
      </c>
      <c r="C693" s="365" t="s">
        <v>10651</v>
      </c>
      <c r="D693" s="366" t="s">
        <v>51</v>
      </c>
      <c r="E693" s="366" t="s">
        <v>10082</v>
      </c>
      <c r="F693" s="366" t="s">
        <v>10078</v>
      </c>
      <c r="G693" s="366" t="s">
        <v>10088</v>
      </c>
      <c r="H693" s="360">
        <v>25</v>
      </c>
      <c r="I693" s="364" t="s">
        <v>10896</v>
      </c>
      <c r="J693" s="367"/>
      <c r="K693" s="364"/>
      <c r="L693" s="358"/>
      <c r="M693" s="360" t="s">
        <v>10084</v>
      </c>
      <c r="N693" s="358"/>
      <c r="O693" s="366" t="s">
        <v>57</v>
      </c>
      <c r="P693" s="368">
        <v>38156000</v>
      </c>
      <c r="Q693" s="369" t="s">
        <v>10899</v>
      </c>
      <c r="R693" s="364" t="s">
        <v>646</v>
      </c>
      <c r="S693" s="340">
        <v>29</v>
      </c>
    </row>
    <row r="694" spans="1:19" ht="15.5" x14ac:dyDescent="0.35">
      <c r="A694" s="349">
        <v>683</v>
      </c>
      <c r="B694" s="364" t="s">
        <v>10650</v>
      </c>
      <c r="C694" s="365" t="s">
        <v>10651</v>
      </c>
      <c r="D694" s="366" t="s">
        <v>51</v>
      </c>
      <c r="E694" s="366" t="s">
        <v>10082</v>
      </c>
      <c r="F694" s="366" t="s">
        <v>10078</v>
      </c>
      <c r="G694" s="366" t="s">
        <v>10088</v>
      </c>
      <c r="H694" s="360">
        <v>25</v>
      </c>
      <c r="I694" s="364" t="s">
        <v>10929</v>
      </c>
      <c r="J694" s="361"/>
      <c r="K694" s="358"/>
      <c r="L694" s="358"/>
      <c r="M694" s="366" t="s">
        <v>10084</v>
      </c>
      <c r="N694" s="358"/>
      <c r="O694" s="366" t="s">
        <v>57</v>
      </c>
      <c r="P694" s="368">
        <v>115626000</v>
      </c>
      <c r="Q694" s="369" t="s">
        <v>10930</v>
      </c>
      <c r="R694" s="364" t="s">
        <v>646</v>
      </c>
      <c r="S694" s="340">
        <v>29</v>
      </c>
    </row>
    <row r="695" spans="1:19" ht="31.5" thickBot="1" x14ac:dyDescent="0.4">
      <c r="A695" s="357">
        <v>684</v>
      </c>
      <c r="B695" s="364" t="s">
        <v>10650</v>
      </c>
      <c r="C695" s="365" t="s">
        <v>10651</v>
      </c>
      <c r="D695" s="366" t="s">
        <v>59</v>
      </c>
      <c r="E695" s="366" t="s">
        <v>10082</v>
      </c>
      <c r="F695" s="366" t="s">
        <v>10078</v>
      </c>
      <c r="G695" s="366" t="s">
        <v>10088</v>
      </c>
      <c r="H695" s="366">
        <v>23</v>
      </c>
      <c r="I695" s="364" t="s">
        <v>10548</v>
      </c>
      <c r="J695" s="367" t="s">
        <v>10931</v>
      </c>
      <c r="K695" s="364" t="s">
        <v>10932</v>
      </c>
      <c r="L695" s="358"/>
      <c r="M695" s="366" t="s">
        <v>10084</v>
      </c>
      <c r="N695" s="358"/>
      <c r="O695" s="366" t="s">
        <v>57</v>
      </c>
      <c r="P695" s="368">
        <v>248726100</v>
      </c>
      <c r="Q695" s="369" t="s">
        <v>10933</v>
      </c>
      <c r="R695" s="364" t="s">
        <v>646</v>
      </c>
      <c r="S695" s="340">
        <v>29</v>
      </c>
    </row>
    <row r="696" spans="1:19" ht="46.5" x14ac:dyDescent="0.35">
      <c r="A696" s="349">
        <v>685</v>
      </c>
      <c r="B696" s="364" t="s">
        <v>10650</v>
      </c>
      <c r="C696" s="365" t="s">
        <v>10651</v>
      </c>
      <c r="D696" s="366" t="s">
        <v>97</v>
      </c>
      <c r="E696" s="366" t="s">
        <v>10082</v>
      </c>
      <c r="F696" s="366" t="s">
        <v>10078</v>
      </c>
      <c r="G696" s="366" t="s">
        <v>10088</v>
      </c>
      <c r="H696" s="366">
        <v>46</v>
      </c>
      <c r="I696" s="364" t="s">
        <v>10934</v>
      </c>
      <c r="J696" s="367" t="s">
        <v>10935</v>
      </c>
      <c r="K696" s="358" t="s">
        <v>10936</v>
      </c>
      <c r="L696" s="358"/>
      <c r="M696" s="366" t="s">
        <v>10084</v>
      </c>
      <c r="N696" s="358"/>
      <c r="O696" s="366" t="s">
        <v>57</v>
      </c>
      <c r="P696" s="368">
        <v>320101000</v>
      </c>
      <c r="Q696" s="363" t="s">
        <v>10937</v>
      </c>
      <c r="R696" s="364" t="s">
        <v>646</v>
      </c>
      <c r="S696" s="340">
        <v>29</v>
      </c>
    </row>
    <row r="697" spans="1:19" ht="16" thickBot="1" x14ac:dyDescent="0.4">
      <c r="A697" s="357">
        <v>686</v>
      </c>
      <c r="B697" s="364" t="s">
        <v>10650</v>
      </c>
      <c r="C697" s="365" t="s">
        <v>10651</v>
      </c>
      <c r="D697" s="366" t="s">
        <v>101</v>
      </c>
      <c r="E697" s="366" t="s">
        <v>10082</v>
      </c>
      <c r="F697" s="366" t="s">
        <v>10078</v>
      </c>
      <c r="G697" s="366" t="s">
        <v>10088</v>
      </c>
      <c r="H697" s="366">
        <v>45</v>
      </c>
      <c r="I697" s="364" t="s">
        <v>10938</v>
      </c>
      <c r="J697" s="367" t="s">
        <v>10939</v>
      </c>
      <c r="K697" s="364" t="s">
        <v>10940</v>
      </c>
      <c r="L697" s="358"/>
      <c r="M697" s="366" t="s">
        <v>10084</v>
      </c>
      <c r="N697" s="358"/>
      <c r="O697" s="366" t="s">
        <v>57</v>
      </c>
      <c r="P697" s="368">
        <v>238100000</v>
      </c>
      <c r="Q697" s="369" t="s">
        <v>10941</v>
      </c>
      <c r="R697" s="364" t="s">
        <v>646</v>
      </c>
      <c r="S697" s="340">
        <v>29</v>
      </c>
    </row>
    <row r="698" spans="1:19" ht="31" x14ac:dyDescent="0.35">
      <c r="A698" s="349">
        <v>687</v>
      </c>
      <c r="B698" s="364" t="s">
        <v>10650</v>
      </c>
      <c r="C698" s="365" t="s">
        <v>10651</v>
      </c>
      <c r="D698" s="366" t="s">
        <v>107</v>
      </c>
      <c r="E698" s="366" t="s">
        <v>10082</v>
      </c>
      <c r="F698" s="366" t="s">
        <v>10078</v>
      </c>
      <c r="G698" s="366" t="s">
        <v>10088</v>
      </c>
      <c r="H698" s="366">
        <v>22</v>
      </c>
      <c r="I698" s="364" t="s">
        <v>10942</v>
      </c>
      <c r="J698" s="367" t="s">
        <v>10943</v>
      </c>
      <c r="K698" s="364" t="s">
        <v>10944</v>
      </c>
      <c r="L698" s="358"/>
      <c r="M698" s="366" t="s">
        <v>10084</v>
      </c>
      <c r="N698" s="358"/>
      <c r="O698" s="366" t="s">
        <v>57</v>
      </c>
      <c r="P698" s="368">
        <v>97900000</v>
      </c>
      <c r="Q698" s="369" t="s">
        <v>10945</v>
      </c>
      <c r="R698" s="364" t="s">
        <v>646</v>
      </c>
      <c r="S698" s="340">
        <v>29</v>
      </c>
    </row>
    <row r="699" spans="1:19" ht="31.5" thickBot="1" x14ac:dyDescent="0.4">
      <c r="A699" s="357">
        <v>688</v>
      </c>
      <c r="B699" s="364" t="s">
        <v>10650</v>
      </c>
      <c r="C699" s="365" t="s">
        <v>10651</v>
      </c>
      <c r="D699" s="366" t="s">
        <v>112</v>
      </c>
      <c r="E699" s="366" t="s">
        <v>10082</v>
      </c>
      <c r="F699" s="366" t="s">
        <v>10078</v>
      </c>
      <c r="G699" s="366" t="s">
        <v>10078</v>
      </c>
      <c r="H699" s="366">
        <v>0</v>
      </c>
      <c r="I699" s="364" t="s">
        <v>10856</v>
      </c>
      <c r="J699" s="367" t="s">
        <v>10946</v>
      </c>
      <c r="K699" s="364" t="s">
        <v>10947</v>
      </c>
      <c r="L699" s="358"/>
      <c r="M699" s="366" t="s">
        <v>10084</v>
      </c>
      <c r="N699" s="358"/>
      <c r="O699" s="366" t="s">
        <v>57</v>
      </c>
      <c r="P699" s="368">
        <v>209811000</v>
      </c>
      <c r="Q699" s="369" t="s">
        <v>10948</v>
      </c>
      <c r="R699" s="364" t="s">
        <v>646</v>
      </c>
      <c r="S699" s="340">
        <v>29</v>
      </c>
    </row>
    <row r="700" spans="1:19" ht="31" x14ac:dyDescent="0.35">
      <c r="A700" s="349">
        <v>689</v>
      </c>
      <c r="B700" s="364" t="s">
        <v>10650</v>
      </c>
      <c r="C700" s="365" t="s">
        <v>10651</v>
      </c>
      <c r="D700" s="366" t="s">
        <v>116</v>
      </c>
      <c r="E700" s="366" t="s">
        <v>10082</v>
      </c>
      <c r="F700" s="366" t="s">
        <v>10078</v>
      </c>
      <c r="G700" s="366" t="s">
        <v>10078</v>
      </c>
      <c r="H700" s="366">
        <v>0</v>
      </c>
      <c r="I700" s="364" t="s">
        <v>10856</v>
      </c>
      <c r="J700" s="367" t="s">
        <v>10949</v>
      </c>
      <c r="K700" s="364" t="s">
        <v>10950</v>
      </c>
      <c r="L700" s="358"/>
      <c r="M700" s="366" t="s">
        <v>10084</v>
      </c>
      <c r="N700" s="358"/>
      <c r="O700" s="366" t="s">
        <v>57</v>
      </c>
      <c r="P700" s="368">
        <v>169660000</v>
      </c>
      <c r="Q700" s="369" t="s">
        <v>10951</v>
      </c>
      <c r="R700" s="364" t="s">
        <v>646</v>
      </c>
      <c r="S700" s="340">
        <v>29</v>
      </c>
    </row>
    <row r="701" spans="1:19" ht="47" thickBot="1" x14ac:dyDescent="0.4">
      <c r="A701" s="357">
        <v>690</v>
      </c>
      <c r="B701" s="364" t="s">
        <v>10486</v>
      </c>
      <c r="C701" s="365" t="s">
        <v>10487</v>
      </c>
      <c r="D701" s="366" t="s">
        <v>51</v>
      </c>
      <c r="E701" s="366" t="s">
        <v>10082</v>
      </c>
      <c r="F701" s="360" t="s">
        <v>10078</v>
      </c>
      <c r="G701" s="360" t="s">
        <v>10088</v>
      </c>
      <c r="H701" s="360">
        <v>80</v>
      </c>
      <c r="I701" s="364" t="s">
        <v>10952</v>
      </c>
      <c r="J701" s="361"/>
      <c r="K701" s="358"/>
      <c r="L701" s="358"/>
      <c r="M701" s="360" t="s">
        <v>10084</v>
      </c>
      <c r="N701" s="358"/>
      <c r="O701" s="366" t="s">
        <v>57</v>
      </c>
      <c r="P701" s="368">
        <v>188100000</v>
      </c>
      <c r="Q701" s="369" t="s">
        <v>10953</v>
      </c>
      <c r="R701" s="364" t="s">
        <v>646</v>
      </c>
      <c r="S701" s="340">
        <v>29</v>
      </c>
    </row>
    <row r="702" spans="1:19" ht="31" x14ac:dyDescent="0.35">
      <c r="A702" s="349">
        <v>691</v>
      </c>
      <c r="B702" s="364" t="s">
        <v>10486</v>
      </c>
      <c r="C702" s="365" t="s">
        <v>10487</v>
      </c>
      <c r="D702" s="366" t="s">
        <v>51</v>
      </c>
      <c r="E702" s="366" t="s">
        <v>10082</v>
      </c>
      <c r="F702" s="366" t="s">
        <v>10078</v>
      </c>
      <c r="G702" s="366" t="s">
        <v>10088</v>
      </c>
      <c r="H702" s="366">
        <v>60</v>
      </c>
      <c r="I702" s="364" t="s">
        <v>10896</v>
      </c>
      <c r="J702" s="367"/>
      <c r="K702" s="364"/>
      <c r="L702" s="358"/>
      <c r="M702" s="366" t="s">
        <v>10084</v>
      </c>
      <c r="N702" s="358"/>
      <c r="O702" s="366" t="s">
        <v>57</v>
      </c>
      <c r="P702" s="368">
        <v>123750000</v>
      </c>
      <c r="Q702" s="369" t="s">
        <v>10899</v>
      </c>
      <c r="R702" s="364" t="s">
        <v>646</v>
      </c>
      <c r="S702" s="340">
        <v>29</v>
      </c>
    </row>
    <row r="703" spans="1:19" ht="47" thickBot="1" x14ac:dyDescent="0.4">
      <c r="A703" s="357">
        <v>692</v>
      </c>
      <c r="B703" s="364" t="s">
        <v>10486</v>
      </c>
      <c r="C703" s="365" t="s">
        <v>10487</v>
      </c>
      <c r="D703" s="366" t="s">
        <v>59</v>
      </c>
      <c r="E703" s="366" t="s">
        <v>10082</v>
      </c>
      <c r="F703" s="360" t="s">
        <v>10078</v>
      </c>
      <c r="G703" s="360" t="s">
        <v>10088</v>
      </c>
      <c r="H703" s="360">
        <v>80</v>
      </c>
      <c r="I703" s="364" t="s">
        <v>10954</v>
      </c>
      <c r="J703" s="361"/>
      <c r="K703" s="358"/>
      <c r="L703" s="358"/>
      <c r="M703" s="360" t="s">
        <v>10084</v>
      </c>
      <c r="N703" s="358"/>
      <c r="O703" s="366" t="s">
        <v>57</v>
      </c>
      <c r="P703" s="368">
        <v>188100000</v>
      </c>
      <c r="Q703" s="369" t="s">
        <v>10955</v>
      </c>
      <c r="R703" s="364" t="s">
        <v>646</v>
      </c>
      <c r="S703" s="340">
        <v>29</v>
      </c>
    </row>
    <row r="704" spans="1:19" ht="31" x14ac:dyDescent="0.35">
      <c r="A704" s="349">
        <v>693</v>
      </c>
      <c r="B704" s="364" t="s">
        <v>10486</v>
      </c>
      <c r="C704" s="365" t="s">
        <v>10487</v>
      </c>
      <c r="D704" s="366" t="s">
        <v>97</v>
      </c>
      <c r="E704" s="366" t="s">
        <v>10082</v>
      </c>
      <c r="F704" s="366" t="s">
        <v>10078</v>
      </c>
      <c r="G704" s="366" t="s">
        <v>10088</v>
      </c>
      <c r="H704" s="366">
        <v>96</v>
      </c>
      <c r="I704" s="364" t="s">
        <v>10956</v>
      </c>
      <c r="J704" s="367"/>
      <c r="K704" s="364"/>
      <c r="L704" s="358"/>
      <c r="M704" s="366" t="s">
        <v>10084</v>
      </c>
      <c r="N704" s="358"/>
      <c r="O704" s="366" t="s">
        <v>57</v>
      </c>
      <c r="P704" s="368">
        <v>233565000</v>
      </c>
      <c r="Q704" s="363" t="s">
        <v>10957</v>
      </c>
      <c r="R704" s="364" t="s">
        <v>646</v>
      </c>
      <c r="S704" s="340">
        <v>29</v>
      </c>
    </row>
    <row r="705" spans="1:19" ht="31.5" thickBot="1" x14ac:dyDescent="0.4">
      <c r="A705" s="357">
        <v>694</v>
      </c>
      <c r="B705" s="364" t="s">
        <v>10486</v>
      </c>
      <c r="C705" s="365" t="s">
        <v>10487</v>
      </c>
      <c r="D705" s="366" t="s">
        <v>101</v>
      </c>
      <c r="E705" s="366" t="s">
        <v>10082</v>
      </c>
      <c r="F705" s="366" t="s">
        <v>10078</v>
      </c>
      <c r="G705" s="366" t="s">
        <v>10088</v>
      </c>
      <c r="H705" s="366">
        <v>126</v>
      </c>
      <c r="I705" s="364" t="s">
        <v>10958</v>
      </c>
      <c r="J705" s="367"/>
      <c r="K705" s="364"/>
      <c r="L705" s="358"/>
      <c r="M705" s="366" t="s">
        <v>10084</v>
      </c>
      <c r="N705" s="358"/>
      <c r="O705" s="366" t="s">
        <v>57</v>
      </c>
      <c r="P705" s="368">
        <v>410558000</v>
      </c>
      <c r="Q705" s="369" t="s">
        <v>10959</v>
      </c>
      <c r="R705" s="364" t="s">
        <v>646</v>
      </c>
      <c r="S705" s="340">
        <v>29</v>
      </c>
    </row>
    <row r="706" spans="1:19" ht="31" x14ac:dyDescent="0.35">
      <c r="A706" s="349">
        <v>695</v>
      </c>
      <c r="B706" s="364" t="s">
        <v>10486</v>
      </c>
      <c r="C706" s="365" t="s">
        <v>10487</v>
      </c>
      <c r="D706" s="366" t="s">
        <v>107</v>
      </c>
      <c r="E706" s="366" t="s">
        <v>10082</v>
      </c>
      <c r="F706" s="360" t="s">
        <v>10078</v>
      </c>
      <c r="G706" s="360" t="s">
        <v>10088</v>
      </c>
      <c r="H706" s="360">
        <v>144</v>
      </c>
      <c r="I706" s="364" t="s">
        <v>10960</v>
      </c>
      <c r="J706" s="361" t="s">
        <v>10961</v>
      </c>
      <c r="K706" s="358" t="s">
        <v>10962</v>
      </c>
      <c r="L706" s="358"/>
      <c r="M706" s="360" t="s">
        <v>10084</v>
      </c>
      <c r="N706" s="358"/>
      <c r="O706" s="366" t="s">
        <v>57</v>
      </c>
      <c r="P706" s="368">
        <v>203300000</v>
      </c>
      <c r="Q706" s="369" t="s">
        <v>10963</v>
      </c>
      <c r="R706" s="364" t="s">
        <v>646</v>
      </c>
      <c r="S706" s="340">
        <v>29</v>
      </c>
    </row>
    <row r="707" spans="1:19" ht="31.5" thickBot="1" x14ac:dyDescent="0.4">
      <c r="A707" s="357">
        <v>696</v>
      </c>
      <c r="B707" s="364" t="s">
        <v>10486</v>
      </c>
      <c r="C707" s="365" t="s">
        <v>10487</v>
      </c>
      <c r="D707" s="366" t="s">
        <v>112</v>
      </c>
      <c r="E707" s="366" t="s">
        <v>10082</v>
      </c>
      <c r="F707" s="366" t="s">
        <v>10078</v>
      </c>
      <c r="G707" s="366" t="s">
        <v>10088</v>
      </c>
      <c r="H707" s="366">
        <v>142</v>
      </c>
      <c r="I707" s="364" t="s">
        <v>10964</v>
      </c>
      <c r="J707" s="367" t="s">
        <v>10876</v>
      </c>
      <c r="K707" s="364" t="s">
        <v>10965</v>
      </c>
      <c r="L707" s="358"/>
      <c r="M707" s="366" t="s">
        <v>10084</v>
      </c>
      <c r="N707" s="358"/>
      <c r="O707" s="366" t="s">
        <v>57</v>
      </c>
      <c r="P707" s="368">
        <v>334000000</v>
      </c>
      <c r="Q707" s="369" t="s">
        <v>10966</v>
      </c>
      <c r="R707" s="364" t="s">
        <v>646</v>
      </c>
      <c r="S707" s="340">
        <v>29</v>
      </c>
    </row>
    <row r="708" spans="1:19" ht="31" x14ac:dyDescent="0.35">
      <c r="A708" s="349">
        <v>697</v>
      </c>
      <c r="B708" s="364" t="s">
        <v>10486</v>
      </c>
      <c r="C708" s="365" t="s">
        <v>10487</v>
      </c>
      <c r="D708" s="366" t="s">
        <v>116</v>
      </c>
      <c r="E708" s="366" t="s">
        <v>10082</v>
      </c>
      <c r="F708" s="366" t="s">
        <v>10078</v>
      </c>
      <c r="G708" s="366" t="s">
        <v>10088</v>
      </c>
      <c r="H708" s="366">
        <v>72</v>
      </c>
      <c r="I708" s="364" t="s">
        <v>10967</v>
      </c>
      <c r="J708" s="367" t="s">
        <v>10968</v>
      </c>
      <c r="K708" s="364" t="s">
        <v>10969</v>
      </c>
      <c r="L708" s="358"/>
      <c r="M708" s="366" t="s">
        <v>10084</v>
      </c>
      <c r="N708" s="358"/>
      <c r="O708" s="366" t="s">
        <v>57</v>
      </c>
      <c r="P708" s="368">
        <v>109200000</v>
      </c>
      <c r="Q708" s="369" t="s">
        <v>10970</v>
      </c>
      <c r="R708" s="364" t="s">
        <v>646</v>
      </c>
      <c r="S708" s="340">
        <v>29</v>
      </c>
    </row>
    <row r="709" spans="1:19" ht="29.5" thickBot="1" x14ac:dyDescent="0.4">
      <c r="A709" s="357">
        <v>698</v>
      </c>
      <c r="B709" s="358" t="s">
        <v>10486</v>
      </c>
      <c r="C709" s="359" t="s">
        <v>10487</v>
      </c>
      <c r="D709" s="360" t="s">
        <v>841</v>
      </c>
      <c r="E709" s="360" t="s">
        <v>10082</v>
      </c>
      <c r="F709" s="360" t="s">
        <v>10078</v>
      </c>
      <c r="G709" s="360" t="s">
        <v>10088</v>
      </c>
      <c r="H709" s="360">
        <v>72</v>
      </c>
      <c r="I709" s="358" t="s">
        <v>10971</v>
      </c>
      <c r="J709" s="361" t="s">
        <v>10972</v>
      </c>
      <c r="K709" s="358" t="s">
        <v>10973</v>
      </c>
      <c r="L709" s="358"/>
      <c r="M709" s="360" t="s">
        <v>10084</v>
      </c>
      <c r="N709" s="358"/>
      <c r="O709" s="360" t="s">
        <v>57</v>
      </c>
      <c r="P709" s="362">
        <v>217250000</v>
      </c>
      <c r="Q709" s="363" t="s">
        <v>10974</v>
      </c>
      <c r="R709" s="364" t="s">
        <v>646</v>
      </c>
      <c r="S709" s="340">
        <v>29</v>
      </c>
    </row>
    <row r="710" spans="1:19" ht="29" x14ac:dyDescent="0.35">
      <c r="A710" s="349">
        <v>699</v>
      </c>
      <c r="B710" s="358" t="s">
        <v>10486</v>
      </c>
      <c r="C710" s="359" t="s">
        <v>10487</v>
      </c>
      <c r="D710" s="360" t="s">
        <v>904</v>
      </c>
      <c r="E710" s="360" t="s">
        <v>10082</v>
      </c>
      <c r="F710" s="360" t="s">
        <v>10078</v>
      </c>
      <c r="G710" s="360" t="s">
        <v>10078</v>
      </c>
      <c r="H710" s="360">
        <v>0</v>
      </c>
      <c r="I710" s="358" t="s">
        <v>10975</v>
      </c>
      <c r="J710" s="361" t="s">
        <v>10976</v>
      </c>
      <c r="K710" s="358" t="s">
        <v>10977</v>
      </c>
      <c r="L710" s="358"/>
      <c r="M710" s="360" t="s">
        <v>10084</v>
      </c>
      <c r="N710" s="358"/>
      <c r="O710" s="360" t="s">
        <v>57</v>
      </c>
      <c r="P710" s="362">
        <v>219200000</v>
      </c>
      <c r="Q710" s="363" t="s">
        <v>10978</v>
      </c>
      <c r="R710" s="364" t="s">
        <v>646</v>
      </c>
      <c r="S710" s="340">
        <v>29</v>
      </c>
    </row>
    <row r="711" spans="1:19" ht="44" thickBot="1" x14ac:dyDescent="0.4">
      <c r="A711" s="357">
        <v>700</v>
      </c>
      <c r="B711" s="358" t="s">
        <v>10486</v>
      </c>
      <c r="C711" s="359" t="s">
        <v>10487</v>
      </c>
      <c r="D711" s="360" t="s">
        <v>122</v>
      </c>
      <c r="E711" s="360" t="s">
        <v>10673</v>
      </c>
      <c r="F711" s="360" t="s">
        <v>10078</v>
      </c>
      <c r="G711" s="360" t="s">
        <v>10078</v>
      </c>
      <c r="H711" s="360">
        <v>0</v>
      </c>
      <c r="I711" s="358" t="s">
        <v>10548</v>
      </c>
      <c r="J711" s="361" t="s">
        <v>10931</v>
      </c>
      <c r="K711" s="358" t="s">
        <v>10979</v>
      </c>
      <c r="L711" s="358"/>
      <c r="M711" s="360" t="s">
        <v>10084</v>
      </c>
      <c r="N711" s="358"/>
      <c r="O711" s="360" t="s">
        <v>57</v>
      </c>
      <c r="P711" s="362">
        <v>99104000</v>
      </c>
      <c r="Q711" s="363" t="s">
        <v>10980</v>
      </c>
      <c r="R711" s="364" t="s">
        <v>646</v>
      </c>
      <c r="S711" s="340">
        <v>29</v>
      </c>
    </row>
    <row r="712" spans="1:19" ht="29" x14ac:dyDescent="0.35">
      <c r="A712" s="349">
        <v>701</v>
      </c>
      <c r="B712" s="358" t="s">
        <v>10687</v>
      </c>
      <c r="C712" s="359" t="s">
        <v>10688</v>
      </c>
      <c r="D712" s="360" t="s">
        <v>51</v>
      </c>
      <c r="E712" s="360" t="s">
        <v>10082</v>
      </c>
      <c r="F712" s="360" t="s">
        <v>10078</v>
      </c>
      <c r="G712" s="360" t="s">
        <v>10078</v>
      </c>
      <c r="H712" s="360">
        <v>62</v>
      </c>
      <c r="I712" s="358" t="s">
        <v>10981</v>
      </c>
      <c r="J712" s="361" t="s">
        <v>10982</v>
      </c>
      <c r="K712" s="358" t="s">
        <v>10983</v>
      </c>
      <c r="L712" s="358"/>
      <c r="M712" s="360" t="s">
        <v>10084</v>
      </c>
      <c r="N712" s="358"/>
      <c r="O712" s="360" t="s">
        <v>57</v>
      </c>
      <c r="P712" s="362">
        <v>225453100</v>
      </c>
      <c r="Q712" s="363" t="s">
        <v>10984</v>
      </c>
      <c r="R712" s="364" t="s">
        <v>646</v>
      </c>
      <c r="S712" s="340">
        <v>29</v>
      </c>
    </row>
    <row r="713" spans="1:19" ht="29.5" thickBot="1" x14ac:dyDescent="0.4">
      <c r="A713" s="357">
        <v>702</v>
      </c>
      <c r="B713" s="358" t="s">
        <v>10687</v>
      </c>
      <c r="C713" s="359" t="s">
        <v>10688</v>
      </c>
      <c r="D713" s="360" t="s">
        <v>51</v>
      </c>
      <c r="E713" s="360" t="s">
        <v>10082</v>
      </c>
      <c r="F713" s="360" t="s">
        <v>10078</v>
      </c>
      <c r="G713" s="360" t="s">
        <v>10078</v>
      </c>
      <c r="H713" s="360">
        <v>160</v>
      </c>
      <c r="I713" s="358" t="s">
        <v>10985</v>
      </c>
      <c r="J713" s="361" t="s">
        <v>10986</v>
      </c>
      <c r="K713" s="358" t="s">
        <v>10987</v>
      </c>
      <c r="L713" s="358"/>
      <c r="M713" s="360" t="s">
        <v>10084</v>
      </c>
      <c r="N713" s="358"/>
      <c r="O713" s="360" t="s">
        <v>57</v>
      </c>
      <c r="P713" s="362">
        <v>186200000</v>
      </c>
      <c r="Q713" s="363" t="s">
        <v>10988</v>
      </c>
      <c r="R713" s="364" t="s">
        <v>646</v>
      </c>
      <c r="S713" s="340">
        <v>29</v>
      </c>
    </row>
    <row r="714" spans="1:19" ht="29" x14ac:dyDescent="0.35">
      <c r="A714" s="349">
        <v>703</v>
      </c>
      <c r="B714" s="358" t="s">
        <v>10687</v>
      </c>
      <c r="C714" s="359" t="s">
        <v>10688</v>
      </c>
      <c r="D714" s="360" t="s">
        <v>59</v>
      </c>
      <c r="E714" s="360" t="s">
        <v>10082</v>
      </c>
      <c r="F714" s="360" t="s">
        <v>10078</v>
      </c>
      <c r="G714" s="360" t="s">
        <v>10078</v>
      </c>
      <c r="H714" s="360">
        <v>162</v>
      </c>
      <c r="I714" s="358" t="s">
        <v>10989</v>
      </c>
      <c r="J714" s="361" t="s">
        <v>10990</v>
      </c>
      <c r="K714" s="358" t="s">
        <v>10991</v>
      </c>
      <c r="L714" s="358"/>
      <c r="M714" s="360" t="s">
        <v>10084</v>
      </c>
      <c r="N714" s="358"/>
      <c r="O714" s="360" t="s">
        <v>57</v>
      </c>
      <c r="P714" s="362">
        <v>201000000</v>
      </c>
      <c r="Q714" s="363" t="s">
        <v>10992</v>
      </c>
      <c r="R714" s="364" t="s">
        <v>646</v>
      </c>
      <c r="S714" s="340">
        <v>29</v>
      </c>
    </row>
    <row r="715" spans="1:19" ht="29.5" thickBot="1" x14ac:dyDescent="0.4">
      <c r="A715" s="357">
        <v>704</v>
      </c>
      <c r="B715" s="358" t="s">
        <v>10687</v>
      </c>
      <c r="C715" s="359" t="s">
        <v>10688</v>
      </c>
      <c r="D715" s="360" t="s">
        <v>97</v>
      </c>
      <c r="E715" s="360" t="s">
        <v>10082</v>
      </c>
      <c r="F715" s="360" t="s">
        <v>10078</v>
      </c>
      <c r="G715" s="360" t="s">
        <v>10078</v>
      </c>
      <c r="H715" s="360">
        <v>304</v>
      </c>
      <c r="I715" s="358" t="s">
        <v>10993</v>
      </c>
      <c r="J715" s="361" t="s">
        <v>10994</v>
      </c>
      <c r="K715" s="358" t="s">
        <v>10995</v>
      </c>
      <c r="L715" s="358"/>
      <c r="M715" s="360" t="s">
        <v>10084</v>
      </c>
      <c r="N715" s="358"/>
      <c r="O715" s="360" t="s">
        <v>57</v>
      </c>
      <c r="P715" s="362">
        <v>210000000</v>
      </c>
      <c r="Q715" s="363" t="s">
        <v>10996</v>
      </c>
      <c r="R715" s="364" t="s">
        <v>646</v>
      </c>
      <c r="S715" s="340">
        <v>29</v>
      </c>
    </row>
    <row r="716" spans="1:19" ht="29" x14ac:dyDescent="0.35">
      <c r="A716" s="349">
        <v>705</v>
      </c>
      <c r="B716" s="358" t="s">
        <v>10997</v>
      </c>
      <c r="C716" s="359" t="s">
        <v>10998</v>
      </c>
      <c r="D716" s="360" t="s">
        <v>51</v>
      </c>
      <c r="E716" s="360" t="s">
        <v>10082</v>
      </c>
      <c r="F716" s="360" t="s">
        <v>10078</v>
      </c>
      <c r="G716" s="360" t="s">
        <v>10078</v>
      </c>
      <c r="H716" s="360">
        <v>145</v>
      </c>
      <c r="I716" s="358" t="s">
        <v>10999</v>
      </c>
      <c r="J716" s="361" t="s">
        <v>11000</v>
      </c>
      <c r="K716" s="358" t="s">
        <v>11001</v>
      </c>
      <c r="L716" s="358"/>
      <c r="M716" s="360" t="s">
        <v>10084</v>
      </c>
      <c r="N716" s="358"/>
      <c r="O716" s="360" t="s">
        <v>57</v>
      </c>
      <c r="P716" s="362">
        <v>283280000</v>
      </c>
      <c r="Q716" s="363" t="s">
        <v>11002</v>
      </c>
      <c r="R716" s="364" t="s">
        <v>646</v>
      </c>
      <c r="S716" s="340">
        <v>29</v>
      </c>
    </row>
    <row r="717" spans="1:19" ht="16" thickBot="1" x14ac:dyDescent="0.4">
      <c r="A717" s="357">
        <v>706</v>
      </c>
      <c r="B717" s="358" t="s">
        <v>10765</v>
      </c>
      <c r="C717" s="359" t="s">
        <v>10766</v>
      </c>
      <c r="D717" s="360" t="s">
        <v>51</v>
      </c>
      <c r="E717" s="360" t="s">
        <v>10082</v>
      </c>
      <c r="F717" s="360" t="s">
        <v>10078</v>
      </c>
      <c r="G717" s="360" t="s">
        <v>10078</v>
      </c>
      <c r="H717" s="360">
        <v>41978</v>
      </c>
      <c r="I717" s="358" t="s">
        <v>11003</v>
      </c>
      <c r="J717" s="361" t="s">
        <v>10525</v>
      </c>
      <c r="K717" s="358" t="s">
        <v>11004</v>
      </c>
      <c r="L717" s="358"/>
      <c r="M717" s="360" t="s">
        <v>10084</v>
      </c>
      <c r="N717" s="358"/>
      <c r="O717" s="360" t="s">
        <v>57</v>
      </c>
      <c r="P717" s="362">
        <v>4255440784</v>
      </c>
      <c r="Q717" s="363" t="s">
        <v>11005</v>
      </c>
      <c r="R717" s="364" t="s">
        <v>646</v>
      </c>
      <c r="S717" s="340">
        <v>29</v>
      </c>
    </row>
    <row r="718" spans="1:19" ht="29" x14ac:dyDescent="0.35">
      <c r="A718" s="349">
        <v>707</v>
      </c>
      <c r="B718" s="358" t="s">
        <v>11006</v>
      </c>
      <c r="C718" s="359" t="s">
        <v>11007</v>
      </c>
      <c r="D718" s="360" t="s">
        <v>51</v>
      </c>
      <c r="E718" s="360" t="s">
        <v>10082</v>
      </c>
      <c r="F718" s="360" t="s">
        <v>10078</v>
      </c>
      <c r="G718" s="360" t="s">
        <v>10078</v>
      </c>
      <c r="H718" s="360">
        <v>1</v>
      </c>
      <c r="I718" s="358" t="s">
        <v>10646</v>
      </c>
      <c r="J718" s="361" t="s">
        <v>11008</v>
      </c>
      <c r="K718" s="358" t="s">
        <v>11009</v>
      </c>
      <c r="L718" s="358"/>
      <c r="M718" s="360" t="s">
        <v>10084</v>
      </c>
      <c r="N718" s="358"/>
      <c r="O718" s="360" t="s">
        <v>57</v>
      </c>
      <c r="P718" s="362">
        <v>1219529200</v>
      </c>
      <c r="Q718" s="363" t="s">
        <v>11010</v>
      </c>
      <c r="R718" s="364" t="s">
        <v>646</v>
      </c>
      <c r="S718" s="340">
        <v>29</v>
      </c>
    </row>
    <row r="719" spans="1:19" ht="31.5" thickBot="1" x14ac:dyDescent="0.4">
      <c r="A719" s="357">
        <v>708</v>
      </c>
      <c r="B719" s="364" t="s">
        <v>11006</v>
      </c>
      <c r="C719" s="365" t="s">
        <v>11007</v>
      </c>
      <c r="D719" s="366" t="s">
        <v>51</v>
      </c>
      <c r="E719" s="366" t="s">
        <v>10082</v>
      </c>
      <c r="F719" s="366" t="s">
        <v>10078</v>
      </c>
      <c r="G719" s="366" t="s">
        <v>10078</v>
      </c>
      <c r="H719" s="366">
        <v>48</v>
      </c>
      <c r="I719" s="364" t="s">
        <v>11011</v>
      </c>
      <c r="J719" s="367" t="s">
        <v>11012</v>
      </c>
      <c r="K719" s="364" t="s">
        <v>11013</v>
      </c>
      <c r="L719" s="358"/>
      <c r="M719" s="366" t="s">
        <v>10084</v>
      </c>
      <c r="N719" s="358"/>
      <c r="O719" s="366" t="s">
        <v>57</v>
      </c>
      <c r="P719" s="368">
        <v>718626500</v>
      </c>
      <c r="Q719" s="369" t="s">
        <v>11014</v>
      </c>
      <c r="R719" s="364" t="s">
        <v>646</v>
      </c>
      <c r="S719" s="340">
        <v>29</v>
      </c>
    </row>
    <row r="720" spans="1:19" ht="46.5" x14ac:dyDescent="0.35">
      <c r="A720" s="349">
        <v>709</v>
      </c>
      <c r="B720" s="364" t="s">
        <v>11006</v>
      </c>
      <c r="C720" s="365" t="s">
        <v>11007</v>
      </c>
      <c r="D720" s="366" t="s">
        <v>51</v>
      </c>
      <c r="E720" s="366" t="s">
        <v>10082</v>
      </c>
      <c r="F720" s="366" t="s">
        <v>10078</v>
      </c>
      <c r="G720" s="366" t="s">
        <v>10078</v>
      </c>
      <c r="H720" s="366">
        <v>200</v>
      </c>
      <c r="I720" s="364" t="s">
        <v>11015</v>
      </c>
      <c r="J720" s="367" t="s">
        <v>11016</v>
      </c>
      <c r="K720" s="358" t="s">
        <v>11017</v>
      </c>
      <c r="L720" s="358"/>
      <c r="M720" s="366" t="s">
        <v>10084</v>
      </c>
      <c r="N720" s="358"/>
      <c r="O720" s="366" t="s">
        <v>57</v>
      </c>
      <c r="P720" s="368">
        <v>408830000</v>
      </c>
      <c r="Q720" s="369" t="s">
        <v>10862</v>
      </c>
      <c r="R720" s="364" t="s">
        <v>646</v>
      </c>
      <c r="S720" s="340">
        <v>29</v>
      </c>
    </row>
    <row r="721" spans="1:19" ht="47" thickBot="1" x14ac:dyDescent="0.4">
      <c r="A721" s="357">
        <v>710</v>
      </c>
      <c r="B721" s="364" t="s">
        <v>11006</v>
      </c>
      <c r="C721" s="365" t="s">
        <v>11007</v>
      </c>
      <c r="D721" s="366" t="s">
        <v>59</v>
      </c>
      <c r="E721" s="366" t="s">
        <v>10082</v>
      </c>
      <c r="F721" s="366" t="s">
        <v>10078</v>
      </c>
      <c r="G721" s="366" t="s">
        <v>10078</v>
      </c>
      <c r="H721" s="366">
        <v>0</v>
      </c>
      <c r="I721" s="364" t="s">
        <v>10646</v>
      </c>
      <c r="J721" s="367" t="s">
        <v>11018</v>
      </c>
      <c r="K721" s="358" t="s">
        <v>11019</v>
      </c>
      <c r="L721" s="358"/>
      <c r="M721" s="366" t="s">
        <v>10084</v>
      </c>
      <c r="N721" s="358"/>
      <c r="O721" s="360" t="s">
        <v>57</v>
      </c>
      <c r="P721" s="368">
        <v>115650000</v>
      </c>
      <c r="Q721" s="369" t="s">
        <v>10862</v>
      </c>
      <c r="R721" s="364" t="s">
        <v>646</v>
      </c>
      <c r="S721" s="340">
        <v>29</v>
      </c>
    </row>
    <row r="722" spans="1:19" ht="31" x14ac:dyDescent="0.35">
      <c r="A722" s="349">
        <v>711</v>
      </c>
      <c r="B722" s="364" t="s">
        <v>11006</v>
      </c>
      <c r="C722" s="365" t="s">
        <v>11007</v>
      </c>
      <c r="D722" s="366" t="s">
        <v>59</v>
      </c>
      <c r="E722" s="366" t="s">
        <v>10082</v>
      </c>
      <c r="F722" s="366" t="s">
        <v>10078</v>
      </c>
      <c r="G722" s="366" t="s">
        <v>10088</v>
      </c>
      <c r="H722" s="366">
        <v>300</v>
      </c>
      <c r="I722" s="364" t="s">
        <v>10896</v>
      </c>
      <c r="J722" s="367" t="s">
        <v>11020</v>
      </c>
      <c r="K722" s="364" t="s">
        <v>11021</v>
      </c>
      <c r="L722" s="358"/>
      <c r="M722" s="366" t="s">
        <v>10084</v>
      </c>
      <c r="N722" s="358"/>
      <c r="O722" s="360" t="s">
        <v>57</v>
      </c>
      <c r="P722" s="368">
        <v>3937024900</v>
      </c>
      <c r="Q722" s="369" t="s">
        <v>11022</v>
      </c>
      <c r="R722" s="364" t="s">
        <v>646</v>
      </c>
      <c r="S722" s="340">
        <v>29</v>
      </c>
    </row>
    <row r="723" spans="1:19" ht="31.5" thickBot="1" x14ac:dyDescent="0.4">
      <c r="A723" s="357">
        <v>712</v>
      </c>
      <c r="B723" s="364" t="s">
        <v>11006</v>
      </c>
      <c r="C723" s="365" t="s">
        <v>11007</v>
      </c>
      <c r="D723" s="366" t="s">
        <v>59</v>
      </c>
      <c r="E723" s="366" t="s">
        <v>10082</v>
      </c>
      <c r="F723" s="366" t="s">
        <v>10078</v>
      </c>
      <c r="G723" s="366" t="s">
        <v>10088</v>
      </c>
      <c r="H723" s="366">
        <v>1600</v>
      </c>
      <c r="I723" s="364" t="s">
        <v>11023</v>
      </c>
      <c r="J723" s="367" t="s">
        <v>11024</v>
      </c>
      <c r="K723" s="364" t="s">
        <v>11025</v>
      </c>
      <c r="L723" s="358"/>
      <c r="M723" s="366" t="s">
        <v>10084</v>
      </c>
      <c r="N723" s="358"/>
      <c r="O723" s="360" t="s">
        <v>57</v>
      </c>
      <c r="P723" s="368">
        <v>50016555400</v>
      </c>
      <c r="Q723" s="369" t="s">
        <v>11026</v>
      </c>
      <c r="R723" s="364" t="s">
        <v>646</v>
      </c>
      <c r="S723" s="340">
        <v>29</v>
      </c>
    </row>
    <row r="724" spans="1:19" ht="29" x14ac:dyDescent="0.35">
      <c r="A724" s="349">
        <v>713</v>
      </c>
      <c r="B724" s="358" t="s">
        <v>11006</v>
      </c>
      <c r="C724" s="359" t="s">
        <v>11007</v>
      </c>
      <c r="D724" s="360" t="s">
        <v>97</v>
      </c>
      <c r="E724" s="360" t="s">
        <v>10082</v>
      </c>
      <c r="F724" s="360" t="s">
        <v>10078</v>
      </c>
      <c r="G724" s="360" t="s">
        <v>10088</v>
      </c>
      <c r="H724" s="360">
        <v>8</v>
      </c>
      <c r="I724" s="358" t="s">
        <v>11027</v>
      </c>
      <c r="J724" s="361" t="s">
        <v>11028</v>
      </c>
      <c r="K724" s="358" t="s">
        <v>11029</v>
      </c>
      <c r="L724" s="358"/>
      <c r="M724" s="360" t="s">
        <v>10084</v>
      </c>
      <c r="N724" s="358"/>
      <c r="O724" s="360" t="s">
        <v>57</v>
      </c>
      <c r="P724" s="362">
        <v>162951400</v>
      </c>
      <c r="Q724" s="363" t="s">
        <v>11030</v>
      </c>
      <c r="R724" s="364" t="s">
        <v>646</v>
      </c>
      <c r="S724" s="340">
        <v>29</v>
      </c>
    </row>
    <row r="725" spans="1:19" ht="44" thickBot="1" x14ac:dyDescent="0.4">
      <c r="A725" s="357">
        <v>714</v>
      </c>
      <c r="B725" s="358" t="s">
        <v>11006</v>
      </c>
      <c r="C725" s="359" t="s">
        <v>11007</v>
      </c>
      <c r="D725" s="360" t="s">
        <v>97</v>
      </c>
      <c r="E725" s="360" t="s">
        <v>10082</v>
      </c>
      <c r="F725" s="360" t="s">
        <v>10078</v>
      </c>
      <c r="G725" s="360" t="s">
        <v>10078</v>
      </c>
      <c r="H725" s="360">
        <v>0</v>
      </c>
      <c r="I725" s="358" t="s">
        <v>11031</v>
      </c>
      <c r="J725" s="361" t="s">
        <v>11032</v>
      </c>
      <c r="K725" s="358" t="s">
        <v>11033</v>
      </c>
      <c r="L725" s="358"/>
      <c r="M725" s="360" t="s">
        <v>10084</v>
      </c>
      <c r="N725" s="358"/>
      <c r="O725" s="360" t="s">
        <v>57</v>
      </c>
      <c r="P725" s="362">
        <v>361781400</v>
      </c>
      <c r="Q725" s="363" t="s">
        <v>11034</v>
      </c>
      <c r="R725" s="364" t="s">
        <v>646</v>
      </c>
      <c r="S725" s="340">
        <v>29</v>
      </c>
    </row>
    <row r="726" spans="1:19" ht="29" x14ac:dyDescent="0.35">
      <c r="A726" s="349">
        <v>715</v>
      </c>
      <c r="B726" s="358" t="s">
        <v>11006</v>
      </c>
      <c r="C726" s="359" t="s">
        <v>11007</v>
      </c>
      <c r="D726" s="360" t="s">
        <v>101</v>
      </c>
      <c r="E726" s="360" t="s">
        <v>10082</v>
      </c>
      <c r="F726" s="360" t="s">
        <v>10078</v>
      </c>
      <c r="G726" s="360" t="s">
        <v>10078</v>
      </c>
      <c r="H726" s="360">
        <v>187</v>
      </c>
      <c r="I726" s="358" t="s">
        <v>11035</v>
      </c>
      <c r="J726" s="361" t="s">
        <v>11036</v>
      </c>
      <c r="K726" s="358" t="s">
        <v>11037</v>
      </c>
      <c r="L726" s="358"/>
      <c r="M726" s="360" t="s">
        <v>10084</v>
      </c>
      <c r="N726" s="358"/>
      <c r="O726" s="360" t="s">
        <v>57</v>
      </c>
      <c r="P726" s="362">
        <v>247860000</v>
      </c>
      <c r="Q726" s="363" t="s">
        <v>11038</v>
      </c>
      <c r="R726" s="364" t="s">
        <v>646</v>
      </c>
      <c r="S726" s="340">
        <v>29</v>
      </c>
    </row>
    <row r="727" spans="1:19" ht="29.5" thickBot="1" x14ac:dyDescent="0.4">
      <c r="A727" s="357">
        <v>716</v>
      </c>
      <c r="B727" s="358" t="s">
        <v>11006</v>
      </c>
      <c r="C727" s="359" t="s">
        <v>11007</v>
      </c>
      <c r="D727" s="360" t="s">
        <v>107</v>
      </c>
      <c r="E727" s="360" t="s">
        <v>10082</v>
      </c>
      <c r="F727" s="360" t="s">
        <v>10078</v>
      </c>
      <c r="G727" s="360" t="s">
        <v>10078</v>
      </c>
      <c r="H727" s="360">
        <v>2500</v>
      </c>
      <c r="I727" s="358" t="s">
        <v>11039</v>
      </c>
      <c r="J727" s="361" t="s">
        <v>11040</v>
      </c>
      <c r="K727" s="358" t="s">
        <v>11041</v>
      </c>
      <c r="L727" s="358"/>
      <c r="M727" s="360" t="s">
        <v>10084</v>
      </c>
      <c r="N727" s="358"/>
      <c r="O727" s="360" t="s">
        <v>57</v>
      </c>
      <c r="P727" s="362">
        <v>298245000</v>
      </c>
      <c r="Q727" s="363" t="s">
        <v>11042</v>
      </c>
      <c r="R727" s="364" t="s">
        <v>646</v>
      </c>
      <c r="S727" s="340">
        <v>29</v>
      </c>
    </row>
    <row r="728" spans="1:19" ht="29" x14ac:dyDescent="0.35">
      <c r="A728" s="349">
        <v>717</v>
      </c>
      <c r="B728" s="358" t="s">
        <v>11006</v>
      </c>
      <c r="C728" s="359" t="s">
        <v>11007</v>
      </c>
      <c r="D728" s="360" t="s">
        <v>116</v>
      </c>
      <c r="E728" s="360" t="s">
        <v>10082</v>
      </c>
      <c r="F728" s="360" t="s">
        <v>10078</v>
      </c>
      <c r="G728" s="360" t="s">
        <v>10078</v>
      </c>
      <c r="H728" s="360">
        <v>13</v>
      </c>
      <c r="I728" s="358" t="s">
        <v>11043</v>
      </c>
      <c r="J728" s="361" t="s">
        <v>11044</v>
      </c>
      <c r="K728" s="358" t="s">
        <v>11045</v>
      </c>
      <c r="L728" s="358"/>
      <c r="M728" s="360" t="s">
        <v>10084</v>
      </c>
      <c r="N728" s="358"/>
      <c r="O728" s="360" t="s">
        <v>57</v>
      </c>
      <c r="P728" s="362">
        <v>338410000</v>
      </c>
      <c r="Q728" s="363" t="s">
        <v>11046</v>
      </c>
      <c r="R728" s="364" t="s">
        <v>646</v>
      </c>
      <c r="S728" s="340">
        <v>29</v>
      </c>
    </row>
    <row r="729" spans="1:19" ht="29.5" thickBot="1" x14ac:dyDescent="0.4">
      <c r="A729" s="357">
        <v>718</v>
      </c>
      <c r="B729" s="358" t="s">
        <v>11006</v>
      </c>
      <c r="C729" s="359" t="s">
        <v>11007</v>
      </c>
      <c r="D729" s="360" t="s">
        <v>904</v>
      </c>
      <c r="E729" s="360" t="s">
        <v>10082</v>
      </c>
      <c r="F729" s="360" t="s">
        <v>10078</v>
      </c>
      <c r="G729" s="360" t="s">
        <v>10078</v>
      </c>
      <c r="H729" s="360">
        <v>96</v>
      </c>
      <c r="I729" s="358" t="s">
        <v>11047</v>
      </c>
      <c r="J729" s="361" t="s">
        <v>11048</v>
      </c>
      <c r="K729" s="358" t="s">
        <v>11049</v>
      </c>
      <c r="L729" s="358"/>
      <c r="M729" s="360" t="s">
        <v>10084</v>
      </c>
      <c r="N729" s="358"/>
      <c r="O729" s="360" t="s">
        <v>57</v>
      </c>
      <c r="P729" s="362">
        <v>511685000</v>
      </c>
      <c r="Q729" s="363" t="s">
        <v>11050</v>
      </c>
      <c r="R729" s="364" t="s">
        <v>646</v>
      </c>
      <c r="S729" s="340">
        <v>29</v>
      </c>
    </row>
    <row r="730" spans="1:19" ht="29" x14ac:dyDescent="0.35">
      <c r="A730" s="349">
        <v>719</v>
      </c>
      <c r="B730" s="358" t="s">
        <v>11006</v>
      </c>
      <c r="C730" s="359" t="s">
        <v>11007</v>
      </c>
      <c r="D730" s="360" t="s">
        <v>122</v>
      </c>
      <c r="E730" s="360" t="s">
        <v>10082</v>
      </c>
      <c r="F730" s="360" t="s">
        <v>10078</v>
      </c>
      <c r="G730" s="360" t="s">
        <v>10078</v>
      </c>
      <c r="H730" s="360">
        <v>392</v>
      </c>
      <c r="I730" s="358" t="s">
        <v>10856</v>
      </c>
      <c r="J730" s="361" t="s">
        <v>10949</v>
      </c>
      <c r="K730" s="358" t="s">
        <v>11051</v>
      </c>
      <c r="L730" s="358"/>
      <c r="M730" s="360" t="s">
        <v>10084</v>
      </c>
      <c r="N730" s="358"/>
      <c r="O730" s="360" t="s">
        <v>57</v>
      </c>
      <c r="P730" s="362">
        <v>211350000</v>
      </c>
      <c r="Q730" s="363" t="s">
        <v>11052</v>
      </c>
      <c r="R730" s="364" t="s">
        <v>646</v>
      </c>
      <c r="S730" s="340">
        <v>29</v>
      </c>
    </row>
    <row r="731" spans="1:19" ht="29.5" thickBot="1" x14ac:dyDescent="0.4">
      <c r="A731" s="357">
        <v>720</v>
      </c>
      <c r="B731" s="358" t="s">
        <v>11053</v>
      </c>
      <c r="C731" s="359" t="s">
        <v>11054</v>
      </c>
      <c r="D731" s="360" t="s">
        <v>51</v>
      </c>
      <c r="E731" s="360" t="s">
        <v>10082</v>
      </c>
      <c r="F731" s="360" t="s">
        <v>10078</v>
      </c>
      <c r="G731" s="360" t="s">
        <v>10088</v>
      </c>
      <c r="H731" s="360">
        <v>300</v>
      </c>
      <c r="I731" s="358" t="s">
        <v>11055</v>
      </c>
      <c r="J731" s="361" t="s">
        <v>11056</v>
      </c>
      <c r="K731" s="358" t="s">
        <v>11057</v>
      </c>
      <c r="L731" s="358"/>
      <c r="M731" s="360" t="s">
        <v>10084</v>
      </c>
      <c r="N731" s="358"/>
      <c r="O731" s="360" t="s">
        <v>57</v>
      </c>
      <c r="P731" s="362">
        <v>2330879000</v>
      </c>
      <c r="Q731" s="363" t="s">
        <v>11058</v>
      </c>
      <c r="R731" s="364" t="s">
        <v>646</v>
      </c>
      <c r="S731" s="340">
        <v>29</v>
      </c>
    </row>
    <row r="732" spans="1:19" ht="43.5" x14ac:dyDescent="0.35">
      <c r="A732" s="349">
        <v>721</v>
      </c>
      <c r="B732" s="358" t="s">
        <v>11053</v>
      </c>
      <c r="C732" s="359" t="s">
        <v>11054</v>
      </c>
      <c r="D732" s="360" t="s">
        <v>59</v>
      </c>
      <c r="E732" s="360" t="s">
        <v>10082</v>
      </c>
      <c r="F732" s="360" t="s">
        <v>10078</v>
      </c>
      <c r="G732" s="360" t="s">
        <v>10088</v>
      </c>
      <c r="H732" s="360">
        <v>16</v>
      </c>
      <c r="I732" s="358" t="s">
        <v>11059</v>
      </c>
      <c r="J732" s="361" t="s">
        <v>11060</v>
      </c>
      <c r="K732" s="358" t="s">
        <v>11057</v>
      </c>
      <c r="L732" s="358"/>
      <c r="M732" s="360" t="s">
        <v>10084</v>
      </c>
      <c r="N732" s="358"/>
      <c r="O732" s="360" t="s">
        <v>57</v>
      </c>
      <c r="P732" s="362">
        <v>78736000</v>
      </c>
      <c r="Q732" s="363" t="s">
        <v>11061</v>
      </c>
      <c r="R732" s="364" t="s">
        <v>646</v>
      </c>
      <c r="S732" s="340">
        <v>29</v>
      </c>
    </row>
    <row r="733" spans="1:19" ht="29.5" thickBot="1" x14ac:dyDescent="0.4">
      <c r="A733" s="357">
        <v>722</v>
      </c>
      <c r="B733" s="358" t="s">
        <v>11062</v>
      </c>
      <c r="C733" s="359" t="s">
        <v>11063</v>
      </c>
      <c r="D733" s="360" t="s">
        <v>51</v>
      </c>
      <c r="E733" s="360" t="s">
        <v>10082</v>
      </c>
      <c r="F733" s="360" t="s">
        <v>10078</v>
      </c>
      <c r="G733" s="360" t="s">
        <v>10088</v>
      </c>
      <c r="H733" s="360">
        <v>424</v>
      </c>
      <c r="I733" s="358" t="s">
        <v>11064</v>
      </c>
      <c r="J733" s="361" t="s">
        <v>11065</v>
      </c>
      <c r="K733" s="358"/>
      <c r="L733" s="358"/>
      <c r="M733" s="360" t="s">
        <v>10084</v>
      </c>
      <c r="N733" s="358"/>
      <c r="O733" s="360" t="s">
        <v>57</v>
      </c>
      <c r="P733" s="362">
        <v>1212535000</v>
      </c>
      <c r="Q733" s="363" t="s">
        <v>11066</v>
      </c>
      <c r="R733" s="364" t="s">
        <v>646</v>
      </c>
      <c r="S733" s="340">
        <v>29</v>
      </c>
    </row>
    <row r="734" spans="1:19" ht="31" x14ac:dyDescent="0.35">
      <c r="A734" s="349">
        <v>723</v>
      </c>
      <c r="B734" s="364" t="s">
        <v>11062</v>
      </c>
      <c r="C734" s="365" t="s">
        <v>11063</v>
      </c>
      <c r="D734" s="366" t="s">
        <v>59</v>
      </c>
      <c r="E734" s="366" t="s">
        <v>10082</v>
      </c>
      <c r="F734" s="366" t="s">
        <v>10078</v>
      </c>
      <c r="G734" s="366" t="s">
        <v>10088</v>
      </c>
      <c r="H734" s="366">
        <v>424</v>
      </c>
      <c r="I734" s="364" t="s">
        <v>11064</v>
      </c>
      <c r="J734" s="367" t="s">
        <v>11065</v>
      </c>
      <c r="K734" s="364"/>
      <c r="L734" s="358"/>
      <c r="M734" s="366" t="s">
        <v>10084</v>
      </c>
      <c r="N734" s="358"/>
      <c r="O734" s="366" t="s">
        <v>57</v>
      </c>
      <c r="P734" s="368">
        <v>1036675000</v>
      </c>
      <c r="Q734" s="369" t="s">
        <v>11067</v>
      </c>
      <c r="R734" s="364" t="s">
        <v>646</v>
      </c>
      <c r="S734" s="340">
        <v>29</v>
      </c>
    </row>
    <row r="735" spans="1:19" ht="31.5" thickBot="1" x14ac:dyDescent="0.4">
      <c r="A735" s="357">
        <v>724</v>
      </c>
      <c r="B735" s="364" t="s">
        <v>11062</v>
      </c>
      <c r="C735" s="365" t="s">
        <v>11063</v>
      </c>
      <c r="D735" s="366" t="s">
        <v>97</v>
      </c>
      <c r="E735" s="366" t="s">
        <v>10082</v>
      </c>
      <c r="F735" s="366" t="s">
        <v>10078</v>
      </c>
      <c r="G735" s="366" t="s">
        <v>10088</v>
      </c>
      <c r="H735" s="366">
        <v>424</v>
      </c>
      <c r="I735" s="364" t="s">
        <v>11068</v>
      </c>
      <c r="J735" s="367" t="s">
        <v>11065</v>
      </c>
      <c r="K735" s="358"/>
      <c r="L735" s="358"/>
      <c r="M735" s="366" t="s">
        <v>10084</v>
      </c>
      <c r="N735" s="358"/>
      <c r="O735" s="366" t="s">
        <v>57</v>
      </c>
      <c r="P735" s="368">
        <v>1075630000</v>
      </c>
      <c r="Q735" s="369" t="s">
        <v>11069</v>
      </c>
      <c r="R735" s="364" t="s">
        <v>646</v>
      </c>
      <c r="S735" s="340">
        <v>29</v>
      </c>
    </row>
    <row r="736" spans="1:19" ht="31" x14ac:dyDescent="0.35">
      <c r="A736" s="349">
        <v>725</v>
      </c>
      <c r="B736" s="364" t="s">
        <v>10117</v>
      </c>
      <c r="C736" s="365" t="s">
        <v>10118</v>
      </c>
      <c r="D736" s="366" t="s">
        <v>51</v>
      </c>
      <c r="E736" s="366" t="s">
        <v>10082</v>
      </c>
      <c r="F736" s="366" t="s">
        <v>10078</v>
      </c>
      <c r="G736" s="366" t="s">
        <v>10088</v>
      </c>
      <c r="H736" s="366">
        <v>138</v>
      </c>
      <c r="I736" s="364" t="s">
        <v>11070</v>
      </c>
      <c r="J736" s="367" t="s">
        <v>10676</v>
      </c>
      <c r="K736" s="358" t="s">
        <v>11071</v>
      </c>
      <c r="L736" s="358"/>
      <c r="M736" s="366" t="s">
        <v>10084</v>
      </c>
      <c r="N736" s="358"/>
      <c r="O736" s="360" t="s">
        <v>57</v>
      </c>
      <c r="P736" s="368">
        <v>247807000</v>
      </c>
      <c r="Q736" s="369" t="s">
        <v>11072</v>
      </c>
      <c r="R736" s="364" t="s">
        <v>646</v>
      </c>
      <c r="S736" s="340">
        <v>29</v>
      </c>
    </row>
    <row r="737" spans="1:19" ht="47" thickBot="1" x14ac:dyDescent="0.4">
      <c r="A737" s="357">
        <v>726</v>
      </c>
      <c r="B737" s="364" t="s">
        <v>11073</v>
      </c>
      <c r="C737" s="365" t="s">
        <v>11074</v>
      </c>
      <c r="D737" s="366" t="s">
        <v>51</v>
      </c>
      <c r="E737" s="366" t="s">
        <v>10082</v>
      </c>
      <c r="F737" s="366" t="s">
        <v>10078</v>
      </c>
      <c r="G737" s="366" t="s">
        <v>10078</v>
      </c>
      <c r="H737" s="366">
        <v>0</v>
      </c>
      <c r="I737" s="364" t="s">
        <v>11075</v>
      </c>
      <c r="J737" s="367" t="s">
        <v>11076</v>
      </c>
      <c r="K737" s="364" t="s">
        <v>11077</v>
      </c>
      <c r="L737" s="358"/>
      <c r="M737" s="366" t="s">
        <v>10084</v>
      </c>
      <c r="N737" s="358"/>
      <c r="O737" s="360" t="s">
        <v>57</v>
      </c>
      <c r="P737" s="368">
        <v>199240000</v>
      </c>
      <c r="Q737" s="369" t="s">
        <v>10862</v>
      </c>
      <c r="R737" s="364" t="s">
        <v>646</v>
      </c>
      <c r="S737" s="340">
        <v>29</v>
      </c>
    </row>
    <row r="738" spans="1:19" ht="31" x14ac:dyDescent="0.35">
      <c r="A738" s="349">
        <v>727</v>
      </c>
      <c r="B738" s="364" t="s">
        <v>11073</v>
      </c>
      <c r="C738" s="365" t="s">
        <v>11074</v>
      </c>
      <c r="D738" s="366" t="s">
        <v>59</v>
      </c>
      <c r="E738" s="366" t="s">
        <v>10082</v>
      </c>
      <c r="F738" s="366" t="s">
        <v>10078</v>
      </c>
      <c r="G738" s="366" t="s">
        <v>10088</v>
      </c>
      <c r="H738" s="366">
        <v>80</v>
      </c>
      <c r="I738" s="364" t="s">
        <v>11059</v>
      </c>
      <c r="J738" s="367"/>
      <c r="K738" s="364"/>
      <c r="L738" s="358"/>
      <c r="M738" s="366" t="s">
        <v>10084</v>
      </c>
      <c r="N738" s="358"/>
      <c r="O738" s="360" t="s">
        <v>57</v>
      </c>
      <c r="P738" s="368">
        <v>188100000</v>
      </c>
      <c r="Q738" s="369" t="s">
        <v>11078</v>
      </c>
      <c r="R738" s="364" t="s">
        <v>646</v>
      </c>
      <c r="S738" s="340">
        <v>29</v>
      </c>
    </row>
    <row r="739" spans="1:19" ht="29.5" thickBot="1" x14ac:dyDescent="0.4">
      <c r="A739" s="357">
        <v>728</v>
      </c>
      <c r="B739" s="358" t="s">
        <v>11073</v>
      </c>
      <c r="C739" s="359" t="s">
        <v>11074</v>
      </c>
      <c r="D739" s="360" t="s">
        <v>97</v>
      </c>
      <c r="E739" s="360" t="s">
        <v>10082</v>
      </c>
      <c r="F739" s="360" t="s">
        <v>10071</v>
      </c>
      <c r="G739" s="360" t="s">
        <v>10088</v>
      </c>
      <c r="H739" s="360">
        <v>80</v>
      </c>
      <c r="I739" s="358" t="s">
        <v>11059</v>
      </c>
      <c r="J739" s="361"/>
      <c r="K739" s="358"/>
      <c r="L739" s="358"/>
      <c r="M739" s="360" t="s">
        <v>10084</v>
      </c>
      <c r="N739" s="358"/>
      <c r="O739" s="360" t="s">
        <v>57</v>
      </c>
      <c r="P739" s="362">
        <v>188100000</v>
      </c>
      <c r="Q739" s="363" t="s">
        <v>11079</v>
      </c>
      <c r="R739" s="364" t="s">
        <v>646</v>
      </c>
      <c r="S739" s="340">
        <v>29</v>
      </c>
    </row>
    <row r="740" spans="1:19" ht="29" x14ac:dyDescent="0.35">
      <c r="A740" s="349">
        <v>729</v>
      </c>
      <c r="B740" s="358" t="s">
        <v>11073</v>
      </c>
      <c r="C740" s="359" t="s">
        <v>11074</v>
      </c>
      <c r="D740" s="360" t="s">
        <v>101</v>
      </c>
      <c r="E740" s="360" t="s">
        <v>10082</v>
      </c>
      <c r="F740" s="360" t="s">
        <v>10078</v>
      </c>
      <c r="G740" s="360" t="s">
        <v>10088</v>
      </c>
      <c r="H740" s="360">
        <v>204</v>
      </c>
      <c r="I740" s="358" t="s">
        <v>11059</v>
      </c>
      <c r="J740" s="361"/>
      <c r="K740" s="358"/>
      <c r="L740" s="358"/>
      <c r="M740" s="360" t="s">
        <v>10084</v>
      </c>
      <c r="N740" s="358"/>
      <c r="O740" s="360" t="s">
        <v>57</v>
      </c>
      <c r="P740" s="362">
        <v>896280000</v>
      </c>
      <c r="Q740" s="363" t="s">
        <v>11080</v>
      </c>
      <c r="R740" s="364" t="s">
        <v>646</v>
      </c>
      <c r="S740" s="340">
        <v>29</v>
      </c>
    </row>
    <row r="741" spans="1:19" ht="29.5" thickBot="1" x14ac:dyDescent="0.4">
      <c r="A741" s="357">
        <v>730</v>
      </c>
      <c r="B741" s="358" t="s">
        <v>11073</v>
      </c>
      <c r="C741" s="359" t="s">
        <v>11074</v>
      </c>
      <c r="D741" s="360" t="s">
        <v>107</v>
      </c>
      <c r="E741" s="360" t="s">
        <v>10082</v>
      </c>
      <c r="F741" s="360" t="s">
        <v>10071</v>
      </c>
      <c r="G741" s="360" t="s">
        <v>10088</v>
      </c>
      <c r="H741" s="360">
        <v>388</v>
      </c>
      <c r="I741" s="358" t="s">
        <v>11059</v>
      </c>
      <c r="J741" s="361" t="s">
        <v>11081</v>
      </c>
      <c r="K741" s="358" t="s">
        <v>11082</v>
      </c>
      <c r="L741" s="358"/>
      <c r="M741" s="360" t="s">
        <v>10084</v>
      </c>
      <c r="N741" s="358"/>
      <c r="O741" s="360" t="s">
        <v>57</v>
      </c>
      <c r="P741" s="362">
        <v>1598787000</v>
      </c>
      <c r="Q741" s="363" t="s">
        <v>11083</v>
      </c>
      <c r="R741" s="364" t="s">
        <v>646</v>
      </c>
      <c r="S741" s="340">
        <v>29</v>
      </c>
    </row>
    <row r="742" spans="1:19" ht="29" x14ac:dyDescent="0.35">
      <c r="A742" s="349">
        <v>731</v>
      </c>
      <c r="B742" s="358" t="s">
        <v>11073</v>
      </c>
      <c r="C742" s="359" t="s">
        <v>11074</v>
      </c>
      <c r="D742" s="360" t="s">
        <v>112</v>
      </c>
      <c r="E742" s="360" t="s">
        <v>10082</v>
      </c>
      <c r="F742" s="360" t="s">
        <v>10078</v>
      </c>
      <c r="G742" s="360" t="s">
        <v>10078</v>
      </c>
      <c r="H742" s="360">
        <v>42</v>
      </c>
      <c r="I742" s="358" t="s">
        <v>11043</v>
      </c>
      <c r="J742" s="361" t="s">
        <v>11044</v>
      </c>
      <c r="K742" s="358" t="s">
        <v>11084</v>
      </c>
      <c r="L742" s="358"/>
      <c r="M742" s="360" t="s">
        <v>10084</v>
      </c>
      <c r="N742" s="358"/>
      <c r="O742" s="360" t="s">
        <v>57</v>
      </c>
      <c r="P742" s="362">
        <v>198980000</v>
      </c>
      <c r="Q742" s="363" t="s">
        <v>11085</v>
      </c>
      <c r="R742" s="364" t="s">
        <v>646</v>
      </c>
      <c r="S742" s="340">
        <v>29</v>
      </c>
    </row>
    <row r="743" spans="1:19" ht="29.5" thickBot="1" x14ac:dyDescent="0.4">
      <c r="A743" s="357">
        <v>732</v>
      </c>
      <c r="B743" s="358" t="s">
        <v>11073</v>
      </c>
      <c r="C743" s="359" t="s">
        <v>11074</v>
      </c>
      <c r="D743" s="360" t="s">
        <v>116</v>
      </c>
      <c r="E743" s="360" t="s">
        <v>10082</v>
      </c>
      <c r="F743" s="360"/>
      <c r="G743" s="360"/>
      <c r="H743" s="360"/>
      <c r="I743" s="358" t="s">
        <v>63</v>
      </c>
      <c r="J743" s="361"/>
      <c r="K743" s="358"/>
      <c r="L743" s="358"/>
      <c r="M743" s="360"/>
      <c r="N743" s="358"/>
      <c r="O743" s="360" t="s">
        <v>44</v>
      </c>
      <c r="P743" s="362">
        <v>96724429.100000009</v>
      </c>
      <c r="Q743" s="363" t="s">
        <v>11086</v>
      </c>
      <c r="R743" s="364" t="s">
        <v>646</v>
      </c>
      <c r="S743" s="340">
        <v>29</v>
      </c>
    </row>
    <row r="744" spans="1:19" ht="29" x14ac:dyDescent="0.35">
      <c r="A744" s="349">
        <v>733</v>
      </c>
      <c r="B744" s="358" t="s">
        <v>10729</v>
      </c>
      <c r="C744" s="359" t="s">
        <v>10730</v>
      </c>
      <c r="D744" s="360" t="s">
        <v>51</v>
      </c>
      <c r="E744" s="360" t="s">
        <v>10082</v>
      </c>
      <c r="F744" s="360" t="s">
        <v>10078</v>
      </c>
      <c r="G744" s="360" t="s">
        <v>10088</v>
      </c>
      <c r="H744" s="360">
        <v>72</v>
      </c>
      <c r="I744" s="358" t="s">
        <v>11087</v>
      </c>
      <c r="J744" s="361" t="s">
        <v>11088</v>
      </c>
      <c r="K744" s="358" t="s">
        <v>11089</v>
      </c>
      <c r="L744" s="358"/>
      <c r="M744" s="360" t="s">
        <v>10084</v>
      </c>
      <c r="N744" s="358"/>
      <c r="O744" s="360" t="s">
        <v>57</v>
      </c>
      <c r="P744" s="362">
        <v>199150000</v>
      </c>
      <c r="Q744" s="363" t="s">
        <v>11090</v>
      </c>
      <c r="R744" s="364" t="s">
        <v>646</v>
      </c>
      <c r="S744" s="340">
        <v>29</v>
      </c>
    </row>
    <row r="745" spans="1:19" ht="29.5" thickBot="1" x14ac:dyDescent="0.4">
      <c r="A745" s="357">
        <v>734</v>
      </c>
      <c r="B745" s="358" t="s">
        <v>11091</v>
      </c>
      <c r="C745" s="359" t="s">
        <v>11092</v>
      </c>
      <c r="D745" s="360" t="s">
        <v>51</v>
      </c>
      <c r="E745" s="360" t="s">
        <v>10082</v>
      </c>
      <c r="F745" s="360" t="s">
        <v>10078</v>
      </c>
      <c r="G745" s="360" t="s">
        <v>10088</v>
      </c>
      <c r="H745" s="360">
        <v>16</v>
      </c>
      <c r="I745" s="358" t="s">
        <v>11093</v>
      </c>
      <c r="J745" s="361" t="s">
        <v>11094</v>
      </c>
      <c r="K745" s="358" t="s">
        <v>11095</v>
      </c>
      <c r="L745" s="358"/>
      <c r="M745" s="360" t="s">
        <v>10084</v>
      </c>
      <c r="N745" s="358"/>
      <c r="O745" s="360" t="s">
        <v>57</v>
      </c>
      <c r="P745" s="362">
        <v>192900000</v>
      </c>
      <c r="Q745" s="363" t="s">
        <v>11096</v>
      </c>
      <c r="R745" s="364" t="s">
        <v>646</v>
      </c>
      <c r="S745" s="340">
        <v>29</v>
      </c>
    </row>
    <row r="746" spans="1:19" ht="29" x14ac:dyDescent="0.35">
      <c r="A746" s="349">
        <v>735</v>
      </c>
      <c r="B746" s="358" t="s">
        <v>10511</v>
      </c>
      <c r="C746" s="359" t="s">
        <v>10512</v>
      </c>
      <c r="D746" s="360" t="s">
        <v>51</v>
      </c>
      <c r="E746" s="360" t="s">
        <v>10082</v>
      </c>
      <c r="F746" s="360" t="s">
        <v>10078</v>
      </c>
      <c r="G746" s="360" t="s">
        <v>10088</v>
      </c>
      <c r="H746" s="360">
        <v>180</v>
      </c>
      <c r="I746" s="358" t="s">
        <v>10646</v>
      </c>
      <c r="J746" s="361" t="s">
        <v>11097</v>
      </c>
      <c r="K746" s="358" t="s">
        <v>11098</v>
      </c>
      <c r="L746" s="358"/>
      <c r="M746" s="360" t="s">
        <v>10084</v>
      </c>
      <c r="N746" s="358"/>
      <c r="O746" s="360" t="s">
        <v>57</v>
      </c>
      <c r="P746" s="362">
        <v>23900000</v>
      </c>
      <c r="Q746" s="363" t="s">
        <v>11099</v>
      </c>
      <c r="R746" s="364" t="s">
        <v>646</v>
      </c>
      <c r="S746" s="340">
        <v>29</v>
      </c>
    </row>
    <row r="747" spans="1:19" ht="16" thickBot="1" x14ac:dyDescent="0.4">
      <c r="A747" s="357">
        <v>736</v>
      </c>
      <c r="B747" s="358" t="s">
        <v>10511</v>
      </c>
      <c r="C747" s="359" t="s">
        <v>10512</v>
      </c>
      <c r="D747" s="360" t="s">
        <v>59</v>
      </c>
      <c r="E747" s="360" t="s">
        <v>10082</v>
      </c>
      <c r="F747" s="360" t="s">
        <v>10078</v>
      </c>
      <c r="G747" s="360" t="s">
        <v>10088</v>
      </c>
      <c r="H747" s="360">
        <v>180</v>
      </c>
      <c r="I747" s="358" t="s">
        <v>10646</v>
      </c>
      <c r="J747" s="361" t="s">
        <v>11097</v>
      </c>
      <c r="K747" s="358" t="s">
        <v>11100</v>
      </c>
      <c r="L747" s="358"/>
      <c r="M747" s="360" t="s">
        <v>10084</v>
      </c>
      <c r="N747" s="358"/>
      <c r="O747" s="360" t="s">
        <v>57</v>
      </c>
      <c r="P747" s="362">
        <v>97870000</v>
      </c>
      <c r="Q747" s="363" t="s">
        <v>11101</v>
      </c>
      <c r="R747" s="364" t="s">
        <v>646</v>
      </c>
      <c r="S747" s="340">
        <v>29</v>
      </c>
    </row>
    <row r="748" spans="1:19" ht="15.5" x14ac:dyDescent="0.35">
      <c r="A748" s="349">
        <v>737</v>
      </c>
      <c r="B748" s="358" t="s">
        <v>10511</v>
      </c>
      <c r="C748" s="359" t="s">
        <v>10512</v>
      </c>
      <c r="D748" s="360" t="s">
        <v>97</v>
      </c>
      <c r="E748" s="360" t="s">
        <v>10082</v>
      </c>
      <c r="F748" s="360"/>
      <c r="G748" s="360"/>
      <c r="H748" s="360"/>
      <c r="I748" s="358" t="s">
        <v>63</v>
      </c>
      <c r="J748" s="361"/>
      <c r="K748" s="358"/>
      <c r="L748" s="358"/>
      <c r="M748" s="360"/>
      <c r="N748" s="358"/>
      <c r="O748" s="360" t="s">
        <v>44</v>
      </c>
      <c r="P748" s="362">
        <v>25000000</v>
      </c>
      <c r="Q748" s="363"/>
      <c r="R748" s="364" t="s">
        <v>646</v>
      </c>
      <c r="S748" s="340">
        <v>29</v>
      </c>
    </row>
    <row r="749" spans="1:19" ht="16" thickBot="1" x14ac:dyDescent="0.4">
      <c r="A749" s="357">
        <v>738</v>
      </c>
      <c r="B749" s="364" t="s">
        <v>10511</v>
      </c>
      <c r="C749" s="365" t="s">
        <v>10512</v>
      </c>
      <c r="D749" s="366" t="s">
        <v>101</v>
      </c>
      <c r="E749" s="366" t="s">
        <v>10082</v>
      </c>
      <c r="F749" s="366"/>
      <c r="G749" s="366"/>
      <c r="H749" s="366"/>
      <c r="I749" s="364" t="s">
        <v>63</v>
      </c>
      <c r="J749" s="367"/>
      <c r="K749" s="364"/>
      <c r="L749" s="358"/>
      <c r="M749" s="366"/>
      <c r="N749" s="358"/>
      <c r="O749" s="366" t="s">
        <v>44</v>
      </c>
      <c r="P749" s="368">
        <v>25000000</v>
      </c>
      <c r="Q749" s="369"/>
      <c r="R749" s="364" t="s">
        <v>646</v>
      </c>
      <c r="S749" s="340">
        <v>29</v>
      </c>
    </row>
    <row r="750" spans="1:19" ht="15.5" x14ac:dyDescent="0.35">
      <c r="A750" s="349">
        <v>739</v>
      </c>
      <c r="B750" s="364" t="s">
        <v>11102</v>
      </c>
      <c r="C750" s="365" t="s">
        <v>11103</v>
      </c>
      <c r="D750" s="366" t="s">
        <v>51</v>
      </c>
      <c r="E750" s="366" t="s">
        <v>10082</v>
      </c>
      <c r="F750" s="366" t="s">
        <v>10078</v>
      </c>
      <c r="G750" s="366" t="s">
        <v>10088</v>
      </c>
      <c r="H750" s="366">
        <v>7</v>
      </c>
      <c r="I750" s="364" t="s">
        <v>11104</v>
      </c>
      <c r="J750" s="367" t="s">
        <v>11105</v>
      </c>
      <c r="K750" s="358" t="s">
        <v>11106</v>
      </c>
      <c r="L750" s="358"/>
      <c r="M750" s="366" t="s">
        <v>10084</v>
      </c>
      <c r="N750" s="358"/>
      <c r="O750" s="366" t="s">
        <v>57</v>
      </c>
      <c r="P750" s="368">
        <v>348161000</v>
      </c>
      <c r="Q750" s="369" t="s">
        <v>11107</v>
      </c>
      <c r="R750" s="364" t="s">
        <v>646</v>
      </c>
      <c r="S750" s="340">
        <v>29</v>
      </c>
    </row>
    <row r="751" spans="1:19" ht="31.5" thickBot="1" x14ac:dyDescent="0.4">
      <c r="A751" s="357">
        <v>740</v>
      </c>
      <c r="B751" s="364" t="s">
        <v>10096</v>
      </c>
      <c r="C751" s="365" t="s">
        <v>10097</v>
      </c>
      <c r="D751" s="366" t="s">
        <v>51</v>
      </c>
      <c r="E751" s="366" t="s">
        <v>10082</v>
      </c>
      <c r="F751" s="366" t="s">
        <v>10078</v>
      </c>
      <c r="G751" s="366" t="s">
        <v>10088</v>
      </c>
      <c r="H751" s="366">
        <v>129</v>
      </c>
      <c r="I751" s="364" t="s">
        <v>10548</v>
      </c>
      <c r="J751" s="367" t="s">
        <v>11108</v>
      </c>
      <c r="K751" s="358" t="s">
        <v>11109</v>
      </c>
      <c r="L751" s="358"/>
      <c r="M751" s="366" t="s">
        <v>10084</v>
      </c>
      <c r="N751" s="358"/>
      <c r="O751" s="360" t="s">
        <v>57</v>
      </c>
      <c r="P751" s="368">
        <v>835275000</v>
      </c>
      <c r="Q751" s="369" t="s">
        <v>11110</v>
      </c>
      <c r="R751" s="364" t="s">
        <v>646</v>
      </c>
      <c r="S751" s="340">
        <v>29</v>
      </c>
    </row>
    <row r="752" spans="1:19" ht="31" x14ac:dyDescent="0.35">
      <c r="A752" s="349">
        <v>741</v>
      </c>
      <c r="B752" s="364" t="s">
        <v>10096</v>
      </c>
      <c r="C752" s="365" t="s">
        <v>10097</v>
      </c>
      <c r="D752" s="366" t="s">
        <v>59</v>
      </c>
      <c r="E752" s="366" t="s">
        <v>10082</v>
      </c>
      <c r="F752" s="366" t="s">
        <v>10078</v>
      </c>
      <c r="G752" s="366" t="s">
        <v>10088</v>
      </c>
      <c r="H752" s="366">
        <v>819</v>
      </c>
      <c r="I752" s="364" t="s">
        <v>11111</v>
      </c>
      <c r="J752" s="367" t="s">
        <v>10872</v>
      </c>
      <c r="K752" s="364" t="s">
        <v>10873</v>
      </c>
      <c r="L752" s="358"/>
      <c r="M752" s="366" t="s">
        <v>10084</v>
      </c>
      <c r="N752" s="358"/>
      <c r="O752" s="360" t="s">
        <v>57</v>
      </c>
      <c r="P752" s="368">
        <v>5363632475</v>
      </c>
      <c r="Q752" s="369" t="s">
        <v>11112</v>
      </c>
      <c r="R752" s="364" t="s">
        <v>646</v>
      </c>
      <c r="S752" s="340">
        <v>29</v>
      </c>
    </row>
    <row r="753" spans="1:19" ht="31.5" thickBot="1" x14ac:dyDescent="0.4">
      <c r="A753" s="357">
        <v>742</v>
      </c>
      <c r="B753" s="364" t="s">
        <v>10096</v>
      </c>
      <c r="C753" s="365" t="s">
        <v>10097</v>
      </c>
      <c r="D753" s="366" t="s">
        <v>97</v>
      </c>
      <c r="E753" s="366" t="s">
        <v>10082</v>
      </c>
      <c r="F753" s="366" t="s">
        <v>10078</v>
      </c>
      <c r="G753" s="366" t="s">
        <v>10088</v>
      </c>
      <c r="H753" s="366" t="s">
        <v>11113</v>
      </c>
      <c r="I753" s="364" t="s">
        <v>11114</v>
      </c>
      <c r="J753" s="367" t="s">
        <v>11115</v>
      </c>
      <c r="K753" s="364" t="s">
        <v>11116</v>
      </c>
      <c r="L753" s="358"/>
      <c r="M753" s="366" t="s">
        <v>10084</v>
      </c>
      <c r="N753" s="358" t="s">
        <v>11117</v>
      </c>
      <c r="O753" s="360" t="s">
        <v>44</v>
      </c>
      <c r="P753" s="368">
        <v>110475000</v>
      </c>
      <c r="Q753" s="369" t="s">
        <v>11118</v>
      </c>
      <c r="R753" s="364" t="s">
        <v>646</v>
      </c>
      <c r="S753" s="340">
        <v>29</v>
      </c>
    </row>
    <row r="754" spans="1:19" ht="29" x14ac:dyDescent="0.35">
      <c r="A754" s="349">
        <v>743</v>
      </c>
      <c r="B754" s="358" t="s">
        <v>11119</v>
      </c>
      <c r="C754" s="359" t="s">
        <v>11120</v>
      </c>
      <c r="D754" s="360" t="s">
        <v>51</v>
      </c>
      <c r="E754" s="360" t="s">
        <v>10082</v>
      </c>
      <c r="F754" s="360" t="s">
        <v>10078</v>
      </c>
      <c r="G754" s="360" t="s">
        <v>10078</v>
      </c>
      <c r="H754" s="360">
        <v>50</v>
      </c>
      <c r="I754" s="358" t="s">
        <v>11121</v>
      </c>
      <c r="J754" s="361" t="s">
        <v>10926</v>
      </c>
      <c r="K754" s="358" t="s">
        <v>11122</v>
      </c>
      <c r="L754" s="358"/>
      <c r="M754" s="360" t="s">
        <v>10084</v>
      </c>
      <c r="N754" s="371"/>
      <c r="O754" s="360" t="s">
        <v>57</v>
      </c>
      <c r="P754" s="362">
        <v>149050000</v>
      </c>
      <c r="Q754" s="363" t="s">
        <v>11123</v>
      </c>
      <c r="R754" s="364" t="s">
        <v>646</v>
      </c>
      <c r="S754" s="340">
        <v>29</v>
      </c>
    </row>
    <row r="755" spans="1:19" ht="29.5" thickBot="1" x14ac:dyDescent="0.4">
      <c r="A755" s="357">
        <v>744</v>
      </c>
      <c r="B755" s="358" t="s">
        <v>11119</v>
      </c>
      <c r="C755" s="359" t="s">
        <v>11120</v>
      </c>
      <c r="D755" s="360" t="s">
        <v>51</v>
      </c>
      <c r="E755" s="360" t="s">
        <v>10082</v>
      </c>
      <c r="F755" s="360" t="s">
        <v>10078</v>
      </c>
      <c r="G755" s="360" t="s">
        <v>10078</v>
      </c>
      <c r="H755" s="360">
        <v>0</v>
      </c>
      <c r="I755" s="358" t="s">
        <v>11124</v>
      </c>
      <c r="J755" s="372" t="s">
        <v>11125</v>
      </c>
      <c r="K755" s="371" t="s">
        <v>11126</v>
      </c>
      <c r="L755" s="371"/>
      <c r="M755" s="360" t="s">
        <v>10084</v>
      </c>
      <c r="N755" s="371"/>
      <c r="O755" s="360" t="s">
        <v>57</v>
      </c>
      <c r="P755" s="362">
        <v>153520879.19999999</v>
      </c>
      <c r="Q755" s="363" t="s">
        <v>11127</v>
      </c>
      <c r="R755" s="364" t="s">
        <v>646</v>
      </c>
      <c r="S755" s="340">
        <v>29</v>
      </c>
    </row>
    <row r="756" spans="1:19" ht="87" x14ac:dyDescent="0.35">
      <c r="A756" s="349">
        <v>745</v>
      </c>
      <c r="B756" s="358" t="s">
        <v>10155</v>
      </c>
      <c r="C756" s="359" t="s">
        <v>10156</v>
      </c>
      <c r="D756" s="360" t="s">
        <v>51</v>
      </c>
      <c r="E756" s="360" t="s">
        <v>10082</v>
      </c>
      <c r="F756" s="360" t="s">
        <v>10078</v>
      </c>
      <c r="G756" s="360" t="s">
        <v>10078</v>
      </c>
      <c r="H756" s="360">
        <v>2000</v>
      </c>
      <c r="I756" s="358" t="s">
        <v>11128</v>
      </c>
      <c r="J756" s="372" t="s">
        <v>11129</v>
      </c>
      <c r="K756" s="358" t="s">
        <v>11130</v>
      </c>
      <c r="L756" s="358"/>
      <c r="M756" s="360" t="s">
        <v>10084</v>
      </c>
      <c r="N756" s="371"/>
      <c r="O756" s="360" t="s">
        <v>57</v>
      </c>
      <c r="P756" s="362">
        <v>2498510098</v>
      </c>
      <c r="Q756" s="363" t="s">
        <v>11131</v>
      </c>
      <c r="R756" s="364" t="s">
        <v>621</v>
      </c>
      <c r="S756" s="340">
        <v>28</v>
      </c>
    </row>
    <row r="757" spans="1:19" ht="29.5" thickBot="1" x14ac:dyDescent="0.4">
      <c r="A757" s="357">
        <v>746</v>
      </c>
      <c r="B757" s="358" t="s">
        <v>10155</v>
      </c>
      <c r="C757" s="359" t="s">
        <v>10156</v>
      </c>
      <c r="D757" s="360" t="s">
        <v>59</v>
      </c>
      <c r="E757" s="360" t="s">
        <v>10082</v>
      </c>
      <c r="F757" s="360" t="s">
        <v>10078</v>
      </c>
      <c r="G757" s="360" t="s">
        <v>10088</v>
      </c>
      <c r="H757" s="360">
        <v>250</v>
      </c>
      <c r="I757" s="358" t="s">
        <v>11132</v>
      </c>
      <c r="J757" s="361"/>
      <c r="K757" s="358"/>
      <c r="L757" s="371"/>
      <c r="M757" s="360" t="s">
        <v>10084</v>
      </c>
      <c r="N757" s="371"/>
      <c r="O757" s="360" t="s">
        <v>57</v>
      </c>
      <c r="P757" s="362">
        <v>1728154950</v>
      </c>
      <c r="Q757" s="363" t="s">
        <v>11133</v>
      </c>
      <c r="R757" s="364" t="s">
        <v>621</v>
      </c>
      <c r="S757" s="340">
        <v>28</v>
      </c>
    </row>
    <row r="758" spans="1:19" ht="29" x14ac:dyDescent="0.35">
      <c r="A758" s="349">
        <v>747</v>
      </c>
      <c r="B758" s="358" t="s">
        <v>10155</v>
      </c>
      <c r="C758" s="359" t="s">
        <v>10156</v>
      </c>
      <c r="D758" s="360" t="s">
        <v>97</v>
      </c>
      <c r="E758" s="360" t="s">
        <v>10082</v>
      </c>
      <c r="F758" s="360" t="s">
        <v>10078</v>
      </c>
      <c r="G758" s="360" t="s">
        <v>10088</v>
      </c>
      <c r="H758" s="360">
        <v>250</v>
      </c>
      <c r="I758" s="358" t="s">
        <v>11132</v>
      </c>
      <c r="J758" s="361"/>
      <c r="K758" s="358"/>
      <c r="L758" s="371"/>
      <c r="M758" s="360" t="s">
        <v>10084</v>
      </c>
      <c r="N758" s="371"/>
      <c r="O758" s="360" t="s">
        <v>57</v>
      </c>
      <c r="P758" s="362">
        <v>1725104870</v>
      </c>
      <c r="Q758" s="363" t="s">
        <v>11134</v>
      </c>
      <c r="R758" s="364" t="s">
        <v>621</v>
      </c>
      <c r="S758" s="340">
        <v>28</v>
      </c>
    </row>
    <row r="759" spans="1:19" ht="29.5" thickBot="1" x14ac:dyDescent="0.4">
      <c r="A759" s="357">
        <v>748</v>
      </c>
      <c r="B759" s="358" t="s">
        <v>10155</v>
      </c>
      <c r="C759" s="359" t="s">
        <v>10156</v>
      </c>
      <c r="D759" s="360" t="s">
        <v>101</v>
      </c>
      <c r="E759" s="360" t="s">
        <v>10082</v>
      </c>
      <c r="F759" s="360" t="s">
        <v>10078</v>
      </c>
      <c r="G759" s="360" t="s">
        <v>10078</v>
      </c>
      <c r="H759" s="360">
        <v>1600</v>
      </c>
      <c r="I759" s="358" t="s">
        <v>11135</v>
      </c>
      <c r="J759" s="361" t="s">
        <v>11136</v>
      </c>
      <c r="K759" s="358" t="s">
        <v>63</v>
      </c>
      <c r="L759" s="371"/>
      <c r="M759" s="360" t="s">
        <v>10084</v>
      </c>
      <c r="N759" s="371"/>
      <c r="O759" s="360" t="s">
        <v>57</v>
      </c>
      <c r="P759" s="362">
        <v>11650612337.000002</v>
      </c>
      <c r="Q759" s="363" t="s">
        <v>11137</v>
      </c>
      <c r="R759" s="364" t="s">
        <v>621</v>
      </c>
      <c r="S759" s="340">
        <v>28</v>
      </c>
    </row>
    <row r="760" spans="1:19" ht="29" x14ac:dyDescent="0.35">
      <c r="A760" s="349">
        <v>749</v>
      </c>
      <c r="B760" s="358" t="s">
        <v>10155</v>
      </c>
      <c r="C760" s="359" t="s">
        <v>10156</v>
      </c>
      <c r="D760" s="360" t="s">
        <v>107</v>
      </c>
      <c r="E760" s="360" t="s">
        <v>10082</v>
      </c>
      <c r="F760" s="360" t="s">
        <v>10078</v>
      </c>
      <c r="G760" s="360" t="s">
        <v>10078</v>
      </c>
      <c r="H760" s="360">
        <v>86</v>
      </c>
      <c r="I760" s="358" t="s">
        <v>11138</v>
      </c>
      <c r="J760" s="361" t="s">
        <v>11139</v>
      </c>
      <c r="K760" s="358" t="s">
        <v>11140</v>
      </c>
      <c r="L760" s="371"/>
      <c r="M760" s="360" t="s">
        <v>10084</v>
      </c>
      <c r="N760" s="371"/>
      <c r="O760" s="360" t="s">
        <v>57</v>
      </c>
      <c r="P760" s="362">
        <v>415262800</v>
      </c>
      <c r="Q760" s="363" t="s">
        <v>11141</v>
      </c>
      <c r="R760" s="364" t="s">
        <v>621</v>
      </c>
      <c r="S760" s="340">
        <v>28</v>
      </c>
    </row>
    <row r="761" spans="1:19" ht="29.5" thickBot="1" x14ac:dyDescent="0.4">
      <c r="A761" s="357">
        <v>750</v>
      </c>
      <c r="B761" s="358" t="s">
        <v>10155</v>
      </c>
      <c r="C761" s="359" t="s">
        <v>10156</v>
      </c>
      <c r="D761" s="360" t="s">
        <v>112</v>
      </c>
      <c r="E761" s="360" t="s">
        <v>10082</v>
      </c>
      <c r="F761" s="360" t="s">
        <v>10078</v>
      </c>
      <c r="G761" s="360" t="s">
        <v>10088</v>
      </c>
      <c r="H761" s="360">
        <v>96</v>
      </c>
      <c r="I761" s="358" t="s">
        <v>11142</v>
      </c>
      <c r="J761" s="361" t="s">
        <v>11032</v>
      </c>
      <c r="K761" s="358" t="s">
        <v>11143</v>
      </c>
      <c r="L761" s="358"/>
      <c r="M761" s="360" t="s">
        <v>10084</v>
      </c>
      <c r="N761" s="358"/>
      <c r="O761" s="360" t="s">
        <v>57</v>
      </c>
      <c r="P761" s="362">
        <v>268347500</v>
      </c>
      <c r="Q761" s="363" t="s">
        <v>11144</v>
      </c>
      <c r="R761" s="364" t="s">
        <v>621</v>
      </c>
      <c r="S761" s="340">
        <v>28</v>
      </c>
    </row>
    <row r="762" spans="1:19" ht="29" x14ac:dyDescent="0.35">
      <c r="A762" s="349">
        <v>751</v>
      </c>
      <c r="B762" s="358" t="s">
        <v>10155</v>
      </c>
      <c r="C762" s="359" t="s">
        <v>10156</v>
      </c>
      <c r="D762" s="360" t="s">
        <v>116</v>
      </c>
      <c r="E762" s="360" t="s">
        <v>10082</v>
      </c>
      <c r="F762" s="360" t="s">
        <v>10078</v>
      </c>
      <c r="G762" s="360" t="s">
        <v>10078</v>
      </c>
      <c r="H762" s="360">
        <v>28</v>
      </c>
      <c r="I762" s="358" t="s">
        <v>11142</v>
      </c>
      <c r="J762" s="361" t="s">
        <v>11145</v>
      </c>
      <c r="K762" s="358" t="s">
        <v>11146</v>
      </c>
      <c r="L762" s="358"/>
      <c r="M762" s="360" t="s">
        <v>10084</v>
      </c>
      <c r="N762" s="358"/>
      <c r="O762" s="360" t="s">
        <v>57</v>
      </c>
      <c r="P762" s="362">
        <v>332424998.59999996</v>
      </c>
      <c r="Q762" s="363" t="s">
        <v>11147</v>
      </c>
      <c r="R762" s="364" t="s">
        <v>621</v>
      </c>
      <c r="S762" s="340">
        <v>28</v>
      </c>
    </row>
    <row r="763" spans="1:19" ht="29.5" thickBot="1" x14ac:dyDescent="0.4">
      <c r="A763" s="357">
        <v>752</v>
      </c>
      <c r="B763" s="358" t="s">
        <v>10155</v>
      </c>
      <c r="C763" s="359" t="s">
        <v>10156</v>
      </c>
      <c r="D763" s="360" t="s">
        <v>841</v>
      </c>
      <c r="E763" s="360" t="s">
        <v>10082</v>
      </c>
      <c r="F763" s="360" t="s">
        <v>10078</v>
      </c>
      <c r="G763" s="360" t="s">
        <v>10078</v>
      </c>
      <c r="H763" s="360">
        <v>56</v>
      </c>
      <c r="I763" s="358" t="s">
        <v>11142</v>
      </c>
      <c r="J763" s="361" t="s">
        <v>11148</v>
      </c>
      <c r="K763" s="358" t="s">
        <v>11149</v>
      </c>
      <c r="L763" s="358"/>
      <c r="M763" s="360" t="s">
        <v>10084</v>
      </c>
      <c r="N763" s="371"/>
      <c r="O763" s="360" t="s">
        <v>57</v>
      </c>
      <c r="P763" s="362">
        <v>304398000</v>
      </c>
      <c r="Q763" s="363" t="s">
        <v>11150</v>
      </c>
      <c r="R763" s="364" t="s">
        <v>621</v>
      </c>
      <c r="S763" s="340">
        <v>28</v>
      </c>
    </row>
    <row r="764" spans="1:19" ht="43.5" x14ac:dyDescent="0.35">
      <c r="A764" s="349">
        <v>753</v>
      </c>
      <c r="B764" s="358" t="s">
        <v>10155</v>
      </c>
      <c r="C764" s="359" t="s">
        <v>10156</v>
      </c>
      <c r="D764" s="360" t="s">
        <v>904</v>
      </c>
      <c r="E764" s="360" t="s">
        <v>10082</v>
      </c>
      <c r="F764" s="360" t="s">
        <v>10078</v>
      </c>
      <c r="G764" s="360" t="s">
        <v>10078</v>
      </c>
      <c r="H764" s="360">
        <v>104</v>
      </c>
      <c r="I764" s="358" t="s">
        <v>11151</v>
      </c>
      <c r="J764" s="361" t="s">
        <v>11152</v>
      </c>
      <c r="K764" s="358" t="s">
        <v>11153</v>
      </c>
      <c r="L764" s="371"/>
      <c r="M764" s="360" t="s">
        <v>10084</v>
      </c>
      <c r="N764" s="371"/>
      <c r="O764" s="360" t="s">
        <v>57</v>
      </c>
      <c r="P764" s="362">
        <v>332308498.29999995</v>
      </c>
      <c r="Q764" s="363" t="s">
        <v>11154</v>
      </c>
      <c r="R764" s="364" t="s">
        <v>621</v>
      </c>
      <c r="S764" s="340">
        <v>28</v>
      </c>
    </row>
    <row r="765" spans="1:19" ht="29.5" thickBot="1" x14ac:dyDescent="0.4">
      <c r="A765" s="357">
        <v>754</v>
      </c>
      <c r="B765" s="358" t="s">
        <v>10155</v>
      </c>
      <c r="C765" s="359" t="s">
        <v>10156</v>
      </c>
      <c r="D765" s="360" t="s">
        <v>122</v>
      </c>
      <c r="E765" s="360" t="s">
        <v>10082</v>
      </c>
      <c r="F765" s="360" t="s">
        <v>10071</v>
      </c>
      <c r="G765" s="360" t="s">
        <v>10088</v>
      </c>
      <c r="H765" s="360">
        <v>1275</v>
      </c>
      <c r="I765" s="358" t="s">
        <v>11155</v>
      </c>
      <c r="J765" s="361" t="s">
        <v>10525</v>
      </c>
      <c r="K765" s="358" t="s">
        <v>11156</v>
      </c>
      <c r="L765" s="371"/>
      <c r="M765" s="360" t="s">
        <v>10084</v>
      </c>
      <c r="N765" s="371"/>
      <c r="O765" s="360" t="s">
        <v>57</v>
      </c>
      <c r="P765" s="362">
        <v>11757626722.4</v>
      </c>
      <c r="Q765" s="363" t="s">
        <v>11157</v>
      </c>
      <c r="R765" s="364" t="s">
        <v>621</v>
      </c>
      <c r="S765" s="340">
        <v>28</v>
      </c>
    </row>
    <row r="766" spans="1:19" ht="43.5" x14ac:dyDescent="0.35">
      <c r="A766" s="349">
        <v>755</v>
      </c>
      <c r="B766" s="358" t="s">
        <v>10155</v>
      </c>
      <c r="C766" s="359" t="s">
        <v>10156</v>
      </c>
      <c r="D766" s="360" t="s">
        <v>137</v>
      </c>
      <c r="E766" s="360" t="s">
        <v>10082</v>
      </c>
      <c r="F766" s="360" t="s">
        <v>10078</v>
      </c>
      <c r="G766" s="360" t="s">
        <v>10088</v>
      </c>
      <c r="H766" s="360"/>
      <c r="I766" s="358" t="s">
        <v>11158</v>
      </c>
      <c r="J766" s="361" t="s">
        <v>11159</v>
      </c>
      <c r="K766" s="358" t="s">
        <v>11160</v>
      </c>
      <c r="L766" s="371"/>
      <c r="M766" s="360"/>
      <c r="N766" s="371"/>
      <c r="O766" s="360" t="s">
        <v>44</v>
      </c>
      <c r="P766" s="362">
        <v>166111350</v>
      </c>
      <c r="Q766" s="363" t="s">
        <v>11161</v>
      </c>
      <c r="R766" s="364" t="s">
        <v>621</v>
      </c>
      <c r="S766" s="340">
        <v>28</v>
      </c>
    </row>
    <row r="767" spans="1:19" ht="102" thickBot="1" x14ac:dyDescent="0.4">
      <c r="A767" s="357">
        <v>756</v>
      </c>
      <c r="B767" s="358" t="s">
        <v>10535</v>
      </c>
      <c r="C767" s="359" t="s">
        <v>10536</v>
      </c>
      <c r="D767" s="360" t="s">
        <v>51</v>
      </c>
      <c r="E767" s="360" t="s">
        <v>10082</v>
      </c>
      <c r="F767" s="360" t="s">
        <v>10078</v>
      </c>
      <c r="G767" s="360" t="s">
        <v>10088</v>
      </c>
      <c r="H767" s="360">
        <v>4</v>
      </c>
      <c r="I767" s="358" t="s">
        <v>11162</v>
      </c>
      <c r="J767" s="361" t="s">
        <v>11163</v>
      </c>
      <c r="K767" s="358" t="s">
        <v>11164</v>
      </c>
      <c r="L767" s="371"/>
      <c r="M767" s="360" t="s">
        <v>10084</v>
      </c>
      <c r="N767" s="371"/>
      <c r="O767" s="360" t="s">
        <v>57</v>
      </c>
      <c r="P767" s="362">
        <v>16472000</v>
      </c>
      <c r="Q767" s="363" t="s">
        <v>11165</v>
      </c>
      <c r="R767" s="364" t="s">
        <v>621</v>
      </c>
      <c r="S767" s="340">
        <v>28</v>
      </c>
    </row>
    <row r="768" spans="1:19" ht="29" x14ac:dyDescent="0.35">
      <c r="A768" s="349">
        <v>757</v>
      </c>
      <c r="B768" s="358" t="s">
        <v>10535</v>
      </c>
      <c r="C768" s="359" t="s">
        <v>10536</v>
      </c>
      <c r="D768" s="360" t="s">
        <v>59</v>
      </c>
      <c r="E768" s="360" t="s">
        <v>10082</v>
      </c>
      <c r="F768" s="360" t="s">
        <v>10078</v>
      </c>
      <c r="G768" s="360" t="s">
        <v>10078</v>
      </c>
      <c r="H768" s="360">
        <v>44</v>
      </c>
      <c r="I768" s="358" t="s">
        <v>10627</v>
      </c>
      <c r="J768" s="361" t="s">
        <v>11166</v>
      </c>
      <c r="K768" s="358" t="s">
        <v>11167</v>
      </c>
      <c r="L768" s="371"/>
      <c r="M768" s="360" t="s">
        <v>10084</v>
      </c>
      <c r="N768" s="371"/>
      <c r="O768" s="360" t="s">
        <v>57</v>
      </c>
      <c r="P768" s="362">
        <v>187200820</v>
      </c>
      <c r="Q768" s="363" t="s">
        <v>11168</v>
      </c>
      <c r="R768" s="364" t="s">
        <v>621</v>
      </c>
      <c r="S768" s="340">
        <v>28</v>
      </c>
    </row>
    <row r="769" spans="1:19" ht="116.5" thickBot="1" x14ac:dyDescent="0.4">
      <c r="A769" s="357">
        <v>758</v>
      </c>
      <c r="B769" s="358" t="s">
        <v>10535</v>
      </c>
      <c r="C769" s="359" t="s">
        <v>10536</v>
      </c>
      <c r="D769" s="360" t="s">
        <v>97</v>
      </c>
      <c r="E769" s="360" t="s">
        <v>10082</v>
      </c>
      <c r="F769" s="360" t="s">
        <v>10078</v>
      </c>
      <c r="G769" s="360" t="s">
        <v>10088</v>
      </c>
      <c r="H769" s="360">
        <v>34</v>
      </c>
      <c r="I769" s="358" t="s">
        <v>11162</v>
      </c>
      <c r="J769" s="361" t="s">
        <v>11169</v>
      </c>
      <c r="K769" s="358" t="s">
        <v>11170</v>
      </c>
      <c r="L769" s="371"/>
      <c r="M769" s="360" t="s">
        <v>10084</v>
      </c>
      <c r="N769" s="371"/>
      <c r="O769" s="360" t="s">
        <v>57</v>
      </c>
      <c r="P769" s="362">
        <v>460944060</v>
      </c>
      <c r="Q769" s="363" t="s">
        <v>11171</v>
      </c>
      <c r="R769" s="364" t="s">
        <v>621</v>
      </c>
      <c r="S769" s="340">
        <v>28</v>
      </c>
    </row>
    <row r="770" spans="1:19" ht="116" x14ac:dyDescent="0.35">
      <c r="A770" s="349">
        <v>759</v>
      </c>
      <c r="B770" s="358" t="s">
        <v>10535</v>
      </c>
      <c r="C770" s="359" t="s">
        <v>10536</v>
      </c>
      <c r="D770" s="360" t="s">
        <v>101</v>
      </c>
      <c r="E770" s="360" t="s">
        <v>10082</v>
      </c>
      <c r="F770" s="360" t="s">
        <v>10078</v>
      </c>
      <c r="G770" s="360" t="s">
        <v>10088</v>
      </c>
      <c r="H770" s="360">
        <v>138</v>
      </c>
      <c r="I770" s="358" t="s">
        <v>11162</v>
      </c>
      <c r="J770" s="361" t="s">
        <v>11169</v>
      </c>
      <c r="K770" s="358" t="s">
        <v>11172</v>
      </c>
      <c r="L770" s="371"/>
      <c r="M770" s="360" t="s">
        <v>10084</v>
      </c>
      <c r="N770" s="371"/>
      <c r="O770" s="360" t="s">
        <v>57</v>
      </c>
      <c r="P770" s="362">
        <v>359543850</v>
      </c>
      <c r="Q770" s="363" t="s">
        <v>11173</v>
      </c>
      <c r="R770" s="364" t="s">
        <v>621</v>
      </c>
      <c r="S770" s="340">
        <v>28</v>
      </c>
    </row>
    <row r="771" spans="1:19" ht="102" thickBot="1" x14ac:dyDescent="0.4">
      <c r="A771" s="357">
        <v>760</v>
      </c>
      <c r="B771" s="358" t="s">
        <v>10535</v>
      </c>
      <c r="C771" s="359" t="s">
        <v>10536</v>
      </c>
      <c r="D771" s="360" t="s">
        <v>107</v>
      </c>
      <c r="E771" s="360" t="s">
        <v>10082</v>
      </c>
      <c r="F771" s="360" t="s">
        <v>10078</v>
      </c>
      <c r="G771" s="360" t="s">
        <v>10088</v>
      </c>
      <c r="H771" s="360">
        <v>19</v>
      </c>
      <c r="I771" s="358" t="s">
        <v>11162</v>
      </c>
      <c r="J771" s="361" t="s">
        <v>11174</v>
      </c>
      <c r="K771" s="358" t="s">
        <v>11175</v>
      </c>
      <c r="L771" s="371"/>
      <c r="M771" s="360" t="s">
        <v>10084</v>
      </c>
      <c r="N771" s="371"/>
      <c r="O771" s="360" t="s">
        <v>57</v>
      </c>
      <c r="P771" s="362">
        <v>46807000</v>
      </c>
      <c r="Q771" s="363" t="s">
        <v>11176</v>
      </c>
      <c r="R771" s="364" t="s">
        <v>621</v>
      </c>
      <c r="S771" s="340">
        <v>28</v>
      </c>
    </row>
    <row r="772" spans="1:19" ht="116" x14ac:dyDescent="0.35">
      <c r="A772" s="349">
        <v>761</v>
      </c>
      <c r="B772" s="358" t="s">
        <v>10535</v>
      </c>
      <c r="C772" s="359" t="s">
        <v>10536</v>
      </c>
      <c r="D772" s="360" t="s">
        <v>112</v>
      </c>
      <c r="E772" s="360" t="s">
        <v>10082</v>
      </c>
      <c r="F772" s="360" t="s">
        <v>10071</v>
      </c>
      <c r="G772" s="360" t="s">
        <v>10088</v>
      </c>
      <c r="H772" s="360">
        <v>22</v>
      </c>
      <c r="I772" s="358" t="s">
        <v>11177</v>
      </c>
      <c r="J772" s="361" t="s">
        <v>11174</v>
      </c>
      <c r="K772" s="358" t="s">
        <v>11178</v>
      </c>
      <c r="L772" s="371"/>
      <c r="M772" s="360" t="s">
        <v>10084</v>
      </c>
      <c r="N772" s="371"/>
      <c r="O772" s="360" t="s">
        <v>57</v>
      </c>
      <c r="P772" s="362">
        <v>189181000</v>
      </c>
      <c r="Q772" s="363" t="s">
        <v>11179</v>
      </c>
      <c r="R772" s="364" t="s">
        <v>621</v>
      </c>
      <c r="S772" s="340">
        <v>28</v>
      </c>
    </row>
    <row r="773" spans="1:19" ht="29.5" thickBot="1" x14ac:dyDescent="0.4">
      <c r="A773" s="357">
        <v>762</v>
      </c>
      <c r="B773" s="358" t="s">
        <v>10535</v>
      </c>
      <c r="C773" s="359" t="s">
        <v>10536</v>
      </c>
      <c r="D773" s="360" t="s">
        <v>116</v>
      </c>
      <c r="E773" s="360" t="s">
        <v>10082</v>
      </c>
      <c r="F773" s="360" t="s">
        <v>10078</v>
      </c>
      <c r="G773" s="360" t="s">
        <v>10088</v>
      </c>
      <c r="H773" s="360">
        <v>18</v>
      </c>
      <c r="I773" s="358" t="s">
        <v>11128</v>
      </c>
      <c r="J773" s="361" t="s">
        <v>11180</v>
      </c>
      <c r="K773" s="358" t="s">
        <v>11181</v>
      </c>
      <c r="L773" s="371"/>
      <c r="M773" s="360" t="s">
        <v>10084</v>
      </c>
      <c r="N773" s="371"/>
      <c r="O773" s="360" t="s">
        <v>57</v>
      </c>
      <c r="P773" s="362">
        <v>110643000</v>
      </c>
      <c r="Q773" s="363" t="s">
        <v>11182</v>
      </c>
      <c r="R773" s="364" t="s">
        <v>621</v>
      </c>
      <c r="S773" s="340">
        <v>28</v>
      </c>
    </row>
    <row r="774" spans="1:19" ht="29" x14ac:dyDescent="0.35">
      <c r="A774" s="349">
        <v>763</v>
      </c>
      <c r="B774" s="358" t="s">
        <v>10535</v>
      </c>
      <c r="C774" s="359" t="s">
        <v>10536</v>
      </c>
      <c r="D774" s="360" t="s">
        <v>841</v>
      </c>
      <c r="E774" s="360" t="s">
        <v>10082</v>
      </c>
      <c r="F774" s="360" t="s">
        <v>10078</v>
      </c>
      <c r="G774" s="360" t="s">
        <v>10078</v>
      </c>
      <c r="H774" s="360">
        <v>18</v>
      </c>
      <c r="I774" s="358" t="s">
        <v>11183</v>
      </c>
      <c r="J774" s="361" t="s">
        <v>11184</v>
      </c>
      <c r="K774" s="358" t="s">
        <v>11185</v>
      </c>
      <c r="L774" s="371"/>
      <c r="M774" s="360" t="s">
        <v>10084</v>
      </c>
      <c r="N774" s="371"/>
      <c r="O774" s="360" t="s">
        <v>57</v>
      </c>
      <c r="P774" s="362">
        <v>133055000</v>
      </c>
      <c r="Q774" s="363" t="s">
        <v>11186</v>
      </c>
      <c r="R774" s="364" t="s">
        <v>621</v>
      </c>
      <c r="S774" s="340">
        <v>28</v>
      </c>
    </row>
    <row r="775" spans="1:19" ht="29.5" thickBot="1" x14ac:dyDescent="0.4">
      <c r="A775" s="357">
        <v>764</v>
      </c>
      <c r="B775" s="358" t="s">
        <v>10535</v>
      </c>
      <c r="C775" s="359" t="s">
        <v>10536</v>
      </c>
      <c r="D775" s="360" t="s">
        <v>904</v>
      </c>
      <c r="E775" s="360" t="s">
        <v>10082</v>
      </c>
      <c r="F775" s="360" t="s">
        <v>10078</v>
      </c>
      <c r="G775" s="360" t="s">
        <v>10078</v>
      </c>
      <c r="H775" s="360">
        <v>99</v>
      </c>
      <c r="I775" s="358" t="s">
        <v>11142</v>
      </c>
      <c r="J775" s="361" t="s">
        <v>11184</v>
      </c>
      <c r="K775" s="358" t="s">
        <v>11187</v>
      </c>
      <c r="L775" s="371"/>
      <c r="M775" s="360" t="s">
        <v>10084</v>
      </c>
      <c r="N775" s="371"/>
      <c r="O775" s="360" t="s">
        <v>57</v>
      </c>
      <c r="P775" s="362">
        <v>442855000</v>
      </c>
      <c r="Q775" s="363" t="s">
        <v>11188</v>
      </c>
      <c r="R775" s="364" t="s">
        <v>621</v>
      </c>
      <c r="S775" s="340">
        <v>28</v>
      </c>
    </row>
    <row r="776" spans="1:19" ht="29" x14ac:dyDescent="0.35">
      <c r="A776" s="349">
        <v>765</v>
      </c>
      <c r="B776" s="358" t="s">
        <v>10535</v>
      </c>
      <c r="C776" s="359" t="s">
        <v>10536</v>
      </c>
      <c r="D776" s="360" t="s">
        <v>122</v>
      </c>
      <c r="E776" s="360" t="s">
        <v>10082</v>
      </c>
      <c r="F776" s="360" t="s">
        <v>10078</v>
      </c>
      <c r="G776" s="360" t="s">
        <v>10078</v>
      </c>
      <c r="H776" s="360">
        <v>38</v>
      </c>
      <c r="I776" s="358" t="s">
        <v>10627</v>
      </c>
      <c r="J776" s="361" t="s">
        <v>11189</v>
      </c>
      <c r="K776" s="358" t="s">
        <v>11190</v>
      </c>
      <c r="L776" s="371"/>
      <c r="M776" s="360" t="s">
        <v>10084</v>
      </c>
      <c r="N776" s="371"/>
      <c r="O776" s="360" t="s">
        <v>57</v>
      </c>
      <c r="P776" s="362">
        <v>221740000</v>
      </c>
      <c r="Q776" s="363" t="s">
        <v>11191</v>
      </c>
      <c r="R776" s="364" t="s">
        <v>621</v>
      </c>
      <c r="S776" s="340">
        <v>28</v>
      </c>
    </row>
    <row r="777" spans="1:19" ht="29.5" thickBot="1" x14ac:dyDescent="0.4">
      <c r="A777" s="357">
        <v>766</v>
      </c>
      <c r="B777" s="358" t="s">
        <v>10535</v>
      </c>
      <c r="C777" s="359" t="s">
        <v>10536</v>
      </c>
      <c r="D777" s="360" t="s">
        <v>126</v>
      </c>
      <c r="E777" s="360" t="s">
        <v>10082</v>
      </c>
      <c r="F777" s="360" t="s">
        <v>10078</v>
      </c>
      <c r="G777" s="360" t="s">
        <v>10078</v>
      </c>
      <c r="H777" s="360">
        <v>40</v>
      </c>
      <c r="I777" s="358" t="s">
        <v>11192</v>
      </c>
      <c r="J777" s="361" t="s">
        <v>11189</v>
      </c>
      <c r="K777" s="358" t="s">
        <v>11193</v>
      </c>
      <c r="L777" s="371"/>
      <c r="M777" s="360" t="s">
        <v>10084</v>
      </c>
      <c r="N777" s="371"/>
      <c r="O777" s="360" t="s">
        <v>57</v>
      </c>
      <c r="P777" s="362">
        <v>221760000</v>
      </c>
      <c r="Q777" s="363" t="s">
        <v>11194</v>
      </c>
      <c r="R777" s="364" t="s">
        <v>621</v>
      </c>
      <c r="S777" s="340">
        <v>28</v>
      </c>
    </row>
    <row r="778" spans="1:19" ht="29" x14ac:dyDescent="0.35">
      <c r="A778" s="349">
        <v>767</v>
      </c>
      <c r="B778" s="358" t="s">
        <v>10535</v>
      </c>
      <c r="C778" s="359" t="s">
        <v>10536</v>
      </c>
      <c r="D778" s="360" t="s">
        <v>132</v>
      </c>
      <c r="E778" s="360" t="s">
        <v>10082</v>
      </c>
      <c r="F778" s="360" t="s">
        <v>10078</v>
      </c>
      <c r="G778" s="360" t="s">
        <v>10078</v>
      </c>
      <c r="H778" s="360">
        <v>129</v>
      </c>
      <c r="I778" s="358" t="s">
        <v>9322</v>
      </c>
      <c r="J778" s="361" t="s">
        <v>11195</v>
      </c>
      <c r="K778" s="358" t="s">
        <v>11196</v>
      </c>
      <c r="L778" s="371"/>
      <c r="M778" s="360" t="s">
        <v>10084</v>
      </c>
      <c r="N778" s="371"/>
      <c r="O778" s="360" t="s">
        <v>57</v>
      </c>
      <c r="P778" s="362">
        <v>221524500</v>
      </c>
      <c r="Q778" s="363" t="s">
        <v>11197</v>
      </c>
      <c r="R778" s="364" t="s">
        <v>621</v>
      </c>
      <c r="S778" s="340">
        <v>28</v>
      </c>
    </row>
    <row r="779" spans="1:19" ht="29.5" thickBot="1" x14ac:dyDescent="0.4">
      <c r="A779" s="357">
        <v>768</v>
      </c>
      <c r="B779" s="358" t="s">
        <v>10535</v>
      </c>
      <c r="C779" s="359" t="s">
        <v>10536</v>
      </c>
      <c r="D779" s="360" t="s">
        <v>137</v>
      </c>
      <c r="E779" s="360" t="s">
        <v>10082</v>
      </c>
      <c r="F779" s="360" t="s">
        <v>10078</v>
      </c>
      <c r="G779" s="360" t="s">
        <v>10078</v>
      </c>
      <c r="H779" s="360">
        <v>572</v>
      </c>
      <c r="I779" s="358" t="s">
        <v>9322</v>
      </c>
      <c r="J779" s="361" t="s">
        <v>11195</v>
      </c>
      <c r="K779" s="358" t="s">
        <v>11198</v>
      </c>
      <c r="L779" s="371"/>
      <c r="M779" s="360" t="s">
        <v>10084</v>
      </c>
      <c r="N779" s="371"/>
      <c r="O779" s="360" t="s">
        <v>57</v>
      </c>
      <c r="P779" s="362">
        <v>743152601.50000012</v>
      </c>
      <c r="Q779" s="363" t="s">
        <v>11199</v>
      </c>
      <c r="R779" s="364" t="s">
        <v>621</v>
      </c>
      <c r="S779" s="340">
        <v>28</v>
      </c>
    </row>
    <row r="780" spans="1:19" ht="101.5" x14ac:dyDescent="0.35">
      <c r="A780" s="349">
        <v>769</v>
      </c>
      <c r="B780" s="358" t="s">
        <v>10535</v>
      </c>
      <c r="C780" s="359" t="s">
        <v>10536</v>
      </c>
      <c r="D780" s="360" t="s">
        <v>146</v>
      </c>
      <c r="E780" s="360" t="s">
        <v>10082</v>
      </c>
      <c r="F780" s="360" t="s">
        <v>10078</v>
      </c>
      <c r="G780" s="360" t="s">
        <v>10088</v>
      </c>
      <c r="H780" s="360">
        <v>48</v>
      </c>
      <c r="I780" s="358" t="s">
        <v>11200</v>
      </c>
      <c r="J780" s="361" t="s">
        <v>11201</v>
      </c>
      <c r="K780" s="358" t="s">
        <v>11202</v>
      </c>
      <c r="L780" s="371"/>
      <c r="M780" s="360" t="s">
        <v>10084</v>
      </c>
      <c r="N780" s="371"/>
      <c r="O780" s="360" t="s">
        <v>57</v>
      </c>
      <c r="P780" s="362">
        <v>279383768</v>
      </c>
      <c r="Q780" s="363" t="s">
        <v>11203</v>
      </c>
      <c r="R780" s="364" t="s">
        <v>621</v>
      </c>
      <c r="S780" s="340">
        <v>28</v>
      </c>
    </row>
    <row r="781" spans="1:19" ht="29.5" thickBot="1" x14ac:dyDescent="0.4">
      <c r="A781" s="357">
        <v>770</v>
      </c>
      <c r="B781" s="358" t="s">
        <v>10535</v>
      </c>
      <c r="C781" s="359" t="s">
        <v>10536</v>
      </c>
      <c r="D781" s="360" t="s">
        <v>154</v>
      </c>
      <c r="E781" s="360" t="s">
        <v>10082</v>
      </c>
      <c r="F781" s="360" t="s">
        <v>10078</v>
      </c>
      <c r="G781" s="360" t="s">
        <v>10088</v>
      </c>
      <c r="H781" s="360">
        <v>4</v>
      </c>
      <c r="I781" s="358" t="s">
        <v>11162</v>
      </c>
      <c r="J781" s="361" t="s">
        <v>11204</v>
      </c>
      <c r="K781" s="358" t="s">
        <v>11205</v>
      </c>
      <c r="L781" s="371"/>
      <c r="M781" s="360" t="s">
        <v>10084</v>
      </c>
      <c r="N781" s="371"/>
      <c r="O781" s="360" t="s">
        <v>57</v>
      </c>
      <c r="P781" s="362">
        <v>27185500</v>
      </c>
      <c r="Q781" s="363" t="s">
        <v>11206</v>
      </c>
      <c r="R781" s="364" t="s">
        <v>621</v>
      </c>
      <c r="S781" s="340">
        <v>28</v>
      </c>
    </row>
    <row r="782" spans="1:19" ht="29" x14ac:dyDescent="0.35">
      <c r="A782" s="349">
        <v>771</v>
      </c>
      <c r="B782" s="358" t="s">
        <v>10535</v>
      </c>
      <c r="C782" s="359" t="s">
        <v>10536</v>
      </c>
      <c r="D782" s="360" t="s">
        <v>161</v>
      </c>
      <c r="E782" s="360" t="s">
        <v>10082</v>
      </c>
      <c r="F782" s="360" t="s">
        <v>10078</v>
      </c>
      <c r="G782" s="360" t="s">
        <v>10088</v>
      </c>
      <c r="H782" s="360"/>
      <c r="I782" s="358" t="s">
        <v>11207</v>
      </c>
      <c r="J782" s="361" t="s">
        <v>11208</v>
      </c>
      <c r="K782" s="358" t="s">
        <v>11209</v>
      </c>
      <c r="L782" s="371"/>
      <c r="M782" s="360"/>
      <c r="N782" s="371"/>
      <c r="O782" s="360" t="s">
        <v>44</v>
      </c>
      <c r="P782" s="362">
        <v>38762245</v>
      </c>
      <c r="Q782" s="363" t="s">
        <v>11210</v>
      </c>
      <c r="R782" s="364" t="s">
        <v>621</v>
      </c>
      <c r="S782" s="340">
        <v>28</v>
      </c>
    </row>
    <row r="783" spans="1:19" ht="29.5" thickBot="1" x14ac:dyDescent="0.4">
      <c r="A783" s="357">
        <v>772</v>
      </c>
      <c r="B783" s="358" t="s">
        <v>10535</v>
      </c>
      <c r="C783" s="359" t="s">
        <v>10536</v>
      </c>
      <c r="D783" s="360" t="s">
        <v>169</v>
      </c>
      <c r="E783" s="360" t="s">
        <v>10082</v>
      </c>
      <c r="F783" s="360" t="s">
        <v>10078</v>
      </c>
      <c r="G783" s="360" t="s">
        <v>10088</v>
      </c>
      <c r="H783" s="360"/>
      <c r="I783" s="358" t="s">
        <v>11207</v>
      </c>
      <c r="J783" s="361" t="s">
        <v>11208</v>
      </c>
      <c r="K783" s="358" t="s">
        <v>11211</v>
      </c>
      <c r="L783" s="371"/>
      <c r="M783" s="360"/>
      <c r="N783" s="371"/>
      <c r="O783" s="360" t="s">
        <v>44</v>
      </c>
      <c r="P783" s="362">
        <v>372182977.99999994</v>
      </c>
      <c r="Q783" s="363" t="s">
        <v>11212</v>
      </c>
      <c r="R783" s="364" t="s">
        <v>621</v>
      </c>
      <c r="S783" s="340">
        <v>28</v>
      </c>
    </row>
    <row r="784" spans="1:19" ht="43.5" x14ac:dyDescent="0.35">
      <c r="A784" s="349">
        <v>773</v>
      </c>
      <c r="B784" s="358" t="s">
        <v>10535</v>
      </c>
      <c r="C784" s="359" t="s">
        <v>10536</v>
      </c>
      <c r="D784" s="360" t="s">
        <v>176</v>
      </c>
      <c r="E784" s="360" t="s">
        <v>10082</v>
      </c>
      <c r="F784" s="360" t="s">
        <v>10078</v>
      </c>
      <c r="G784" s="360" t="s">
        <v>10088</v>
      </c>
      <c r="H784" s="360"/>
      <c r="I784" s="358" t="s">
        <v>11213</v>
      </c>
      <c r="J784" s="361" t="s">
        <v>11214</v>
      </c>
      <c r="K784" s="358" t="s">
        <v>11215</v>
      </c>
      <c r="L784" s="371"/>
      <c r="M784" s="360"/>
      <c r="N784" s="371"/>
      <c r="O784" s="360" t="s">
        <v>44</v>
      </c>
      <c r="P784" s="362">
        <v>55272400</v>
      </c>
      <c r="Q784" s="363" t="s">
        <v>11216</v>
      </c>
      <c r="R784" s="364" t="s">
        <v>621</v>
      </c>
      <c r="S784" s="340">
        <v>28</v>
      </c>
    </row>
    <row r="785" spans="1:19" ht="29.5" thickBot="1" x14ac:dyDescent="0.4">
      <c r="A785" s="357">
        <v>774</v>
      </c>
      <c r="B785" s="358" t="s">
        <v>10535</v>
      </c>
      <c r="C785" s="359" t="s">
        <v>10536</v>
      </c>
      <c r="D785" s="360" t="s">
        <v>1236</v>
      </c>
      <c r="E785" s="360" t="s">
        <v>10082</v>
      </c>
      <c r="F785" s="360" t="s">
        <v>10078</v>
      </c>
      <c r="G785" s="360" t="s">
        <v>10088</v>
      </c>
      <c r="H785" s="360"/>
      <c r="I785" s="358" t="s">
        <v>11217</v>
      </c>
      <c r="J785" s="361" t="s">
        <v>11218</v>
      </c>
      <c r="K785" s="358" t="s">
        <v>11219</v>
      </c>
      <c r="L785" s="371"/>
      <c r="M785" s="360"/>
      <c r="N785" s="371"/>
      <c r="O785" s="360" t="s">
        <v>44</v>
      </c>
      <c r="P785" s="362">
        <v>97136209.600000009</v>
      </c>
      <c r="Q785" s="363" t="s">
        <v>11220</v>
      </c>
      <c r="R785" s="364" t="s">
        <v>621</v>
      </c>
      <c r="S785" s="340">
        <v>28</v>
      </c>
    </row>
    <row r="786" spans="1:19" ht="29" x14ac:dyDescent="0.35">
      <c r="A786" s="349">
        <v>775</v>
      </c>
      <c r="B786" s="358" t="s">
        <v>10541</v>
      </c>
      <c r="C786" s="359" t="s">
        <v>10542</v>
      </c>
      <c r="D786" s="360" t="s">
        <v>51</v>
      </c>
      <c r="E786" s="360" t="s">
        <v>10082</v>
      </c>
      <c r="F786" s="360" t="s">
        <v>10078</v>
      </c>
      <c r="G786" s="360" t="s">
        <v>10088</v>
      </c>
      <c r="H786" s="360">
        <v>29</v>
      </c>
      <c r="I786" s="358" t="s">
        <v>11135</v>
      </c>
      <c r="J786" s="361" t="s">
        <v>11221</v>
      </c>
      <c r="K786" s="358" t="s">
        <v>11222</v>
      </c>
      <c r="L786" s="371"/>
      <c r="M786" s="360" t="s">
        <v>10084</v>
      </c>
      <c r="N786" s="371"/>
      <c r="O786" s="360" t="s">
        <v>57</v>
      </c>
      <c r="P786" s="362">
        <v>95408000</v>
      </c>
      <c r="Q786" s="363" t="s">
        <v>11223</v>
      </c>
      <c r="R786" s="364" t="s">
        <v>621</v>
      </c>
      <c r="S786" s="340">
        <v>28</v>
      </c>
    </row>
    <row r="787" spans="1:19" ht="44" thickBot="1" x14ac:dyDescent="0.4">
      <c r="A787" s="357">
        <v>776</v>
      </c>
      <c r="B787" s="358" t="s">
        <v>11224</v>
      </c>
      <c r="C787" s="359" t="s">
        <v>11225</v>
      </c>
      <c r="D787" s="360" t="s">
        <v>51</v>
      </c>
      <c r="E787" s="360" t="s">
        <v>10082</v>
      </c>
      <c r="F787" s="360" t="s">
        <v>10078</v>
      </c>
      <c r="G787" s="360" t="s">
        <v>10078</v>
      </c>
      <c r="H787" s="360">
        <v>64</v>
      </c>
      <c r="I787" s="358" t="s">
        <v>11142</v>
      </c>
      <c r="J787" s="361" t="s">
        <v>11226</v>
      </c>
      <c r="K787" s="358" t="s">
        <v>11227</v>
      </c>
      <c r="L787" s="371"/>
      <c r="M787" s="360" t="s">
        <v>10084</v>
      </c>
      <c r="N787" s="371"/>
      <c r="O787" s="360" t="s">
        <v>57</v>
      </c>
      <c r="P787" s="362">
        <v>262196293</v>
      </c>
      <c r="Q787" s="363" t="s">
        <v>11228</v>
      </c>
      <c r="R787" s="364" t="s">
        <v>621</v>
      </c>
      <c r="S787" s="340">
        <v>28</v>
      </c>
    </row>
    <row r="788" spans="1:19" ht="43.5" x14ac:dyDescent="0.35">
      <c r="A788" s="349">
        <v>777</v>
      </c>
      <c r="B788" s="358" t="s">
        <v>11224</v>
      </c>
      <c r="C788" s="359" t="s">
        <v>11225</v>
      </c>
      <c r="D788" s="360" t="s">
        <v>59</v>
      </c>
      <c r="E788" s="360" t="s">
        <v>10082</v>
      </c>
      <c r="F788" s="360" t="s">
        <v>10078</v>
      </c>
      <c r="G788" s="360" t="s">
        <v>10078</v>
      </c>
      <c r="H788" s="360">
        <v>62</v>
      </c>
      <c r="I788" s="358" t="s">
        <v>11142</v>
      </c>
      <c r="J788" s="361" t="s">
        <v>11148</v>
      </c>
      <c r="K788" s="358" t="s">
        <v>11229</v>
      </c>
      <c r="L788" s="371"/>
      <c r="M788" s="360" t="s">
        <v>10084</v>
      </c>
      <c r="N788" s="371"/>
      <c r="O788" s="360" t="s">
        <v>57</v>
      </c>
      <c r="P788" s="362">
        <v>263682148.99999997</v>
      </c>
      <c r="Q788" s="363" t="s">
        <v>11230</v>
      </c>
      <c r="R788" s="364" t="s">
        <v>621</v>
      </c>
      <c r="S788" s="340">
        <v>28</v>
      </c>
    </row>
    <row r="789" spans="1:19" ht="58.5" thickBot="1" x14ac:dyDescent="0.4">
      <c r="A789" s="357">
        <v>778</v>
      </c>
      <c r="B789" s="358" t="s">
        <v>10475</v>
      </c>
      <c r="C789" s="359" t="s">
        <v>10476</v>
      </c>
      <c r="D789" s="360" t="s">
        <v>51</v>
      </c>
      <c r="E789" s="360" t="s">
        <v>10082</v>
      </c>
      <c r="F789" s="360" t="s">
        <v>10078</v>
      </c>
      <c r="G789" s="360" t="s">
        <v>10088</v>
      </c>
      <c r="H789" s="360">
        <v>81</v>
      </c>
      <c r="I789" s="358" t="s">
        <v>11135</v>
      </c>
      <c r="J789" s="361" t="s">
        <v>11231</v>
      </c>
      <c r="K789" s="358" t="s">
        <v>11232</v>
      </c>
      <c r="L789" s="371"/>
      <c r="M789" s="360" t="s">
        <v>10084</v>
      </c>
      <c r="N789" s="371"/>
      <c r="O789" s="360" t="s">
        <v>57</v>
      </c>
      <c r="P789" s="362">
        <v>833531750</v>
      </c>
      <c r="Q789" s="363" t="s">
        <v>11233</v>
      </c>
      <c r="R789" s="364" t="s">
        <v>621</v>
      </c>
      <c r="S789" s="340">
        <v>28</v>
      </c>
    </row>
    <row r="790" spans="1:19" ht="29" x14ac:dyDescent="0.35">
      <c r="A790" s="349">
        <v>779</v>
      </c>
      <c r="B790" s="358" t="s">
        <v>10475</v>
      </c>
      <c r="C790" s="359" t="s">
        <v>10476</v>
      </c>
      <c r="D790" s="360" t="s">
        <v>59</v>
      </c>
      <c r="E790" s="360" t="s">
        <v>10082</v>
      </c>
      <c r="F790" s="360" t="s">
        <v>10078</v>
      </c>
      <c r="G790" s="360" t="s">
        <v>10088</v>
      </c>
      <c r="H790" s="360">
        <v>83</v>
      </c>
      <c r="I790" s="358" t="s">
        <v>9322</v>
      </c>
      <c r="J790" s="361" t="s">
        <v>11234</v>
      </c>
      <c r="K790" s="358" t="s">
        <v>11235</v>
      </c>
      <c r="L790" s="371"/>
      <c r="M790" s="360" t="s">
        <v>10084</v>
      </c>
      <c r="N790" s="371"/>
      <c r="O790" s="360" t="s">
        <v>57</v>
      </c>
      <c r="P790" s="362">
        <v>265525400.00000003</v>
      </c>
      <c r="Q790" s="363" t="s">
        <v>11236</v>
      </c>
      <c r="R790" s="364" t="s">
        <v>621</v>
      </c>
      <c r="S790" s="340">
        <v>28</v>
      </c>
    </row>
    <row r="791" spans="1:19" ht="29.5" thickBot="1" x14ac:dyDescent="0.4">
      <c r="A791" s="357">
        <v>780</v>
      </c>
      <c r="B791" s="358" t="s">
        <v>10824</v>
      </c>
      <c r="C791" s="359" t="s">
        <v>10825</v>
      </c>
      <c r="D791" s="360" t="s">
        <v>51</v>
      </c>
      <c r="E791" s="360" t="s">
        <v>10082</v>
      </c>
      <c r="F791" s="360" t="s">
        <v>10078</v>
      </c>
      <c r="G791" s="360" t="s">
        <v>10078</v>
      </c>
      <c r="H791" s="360">
        <v>124</v>
      </c>
      <c r="I791" s="358" t="s">
        <v>11142</v>
      </c>
      <c r="J791" s="361" t="s">
        <v>11237</v>
      </c>
      <c r="K791" s="358" t="s">
        <v>11238</v>
      </c>
      <c r="L791" s="371"/>
      <c r="M791" s="360" t="s">
        <v>10084</v>
      </c>
      <c r="N791" s="371"/>
      <c r="O791" s="360" t="s">
        <v>57</v>
      </c>
      <c r="P791" s="362">
        <v>321560000</v>
      </c>
      <c r="Q791" s="363" t="s">
        <v>11239</v>
      </c>
      <c r="R791" s="364" t="s">
        <v>621</v>
      </c>
      <c r="S791" s="340">
        <v>28</v>
      </c>
    </row>
    <row r="792" spans="1:19" ht="15.5" x14ac:dyDescent="0.35">
      <c r="A792" s="349">
        <v>781</v>
      </c>
      <c r="B792" s="358" t="s">
        <v>10650</v>
      </c>
      <c r="C792" s="359" t="s">
        <v>10651</v>
      </c>
      <c r="D792" s="360" t="s">
        <v>51</v>
      </c>
      <c r="E792" s="360" t="s">
        <v>10082</v>
      </c>
      <c r="F792" s="360" t="s">
        <v>10078</v>
      </c>
      <c r="G792" s="360" t="s">
        <v>10078</v>
      </c>
      <c r="H792" s="360">
        <v>18</v>
      </c>
      <c r="I792" s="358" t="s">
        <v>11142</v>
      </c>
      <c r="J792" s="361" t="s">
        <v>11240</v>
      </c>
      <c r="K792" s="358" t="s">
        <v>11241</v>
      </c>
      <c r="L792" s="371"/>
      <c r="M792" s="360" t="s">
        <v>10084</v>
      </c>
      <c r="N792" s="371"/>
      <c r="O792" s="360" t="s">
        <v>57</v>
      </c>
      <c r="P792" s="362">
        <v>66333315.700000003</v>
      </c>
      <c r="Q792" s="363" t="s">
        <v>11242</v>
      </c>
      <c r="R792" s="364" t="s">
        <v>621</v>
      </c>
      <c r="S792" s="340">
        <v>28</v>
      </c>
    </row>
    <row r="793" spans="1:19" ht="16" thickBot="1" x14ac:dyDescent="0.4">
      <c r="A793" s="357">
        <v>782</v>
      </c>
      <c r="B793" s="358" t="s">
        <v>10650</v>
      </c>
      <c r="C793" s="359" t="s">
        <v>10651</v>
      </c>
      <c r="D793" s="360" t="s">
        <v>59</v>
      </c>
      <c r="E793" s="360" t="s">
        <v>10082</v>
      </c>
      <c r="F793" s="360" t="s">
        <v>10078</v>
      </c>
      <c r="G793" s="360" t="s">
        <v>10078</v>
      </c>
      <c r="H793" s="360">
        <v>18</v>
      </c>
      <c r="I793" s="358" t="s">
        <v>10627</v>
      </c>
      <c r="J793" s="361" t="s">
        <v>11240</v>
      </c>
      <c r="K793" s="358" t="s">
        <v>11241</v>
      </c>
      <c r="L793" s="371"/>
      <c r="M793" s="360" t="s">
        <v>10084</v>
      </c>
      <c r="N793" s="371"/>
      <c r="O793" s="360" t="s">
        <v>57</v>
      </c>
      <c r="P793" s="362">
        <v>66333315.700000003</v>
      </c>
      <c r="Q793" s="363" t="s">
        <v>11243</v>
      </c>
      <c r="R793" s="364" t="s">
        <v>621</v>
      </c>
      <c r="S793" s="340">
        <v>28</v>
      </c>
    </row>
    <row r="794" spans="1:19" ht="101.5" x14ac:dyDescent="0.35">
      <c r="A794" s="349">
        <v>783</v>
      </c>
      <c r="B794" s="358" t="s">
        <v>10650</v>
      </c>
      <c r="C794" s="359" t="s">
        <v>10651</v>
      </c>
      <c r="D794" s="360" t="s">
        <v>97</v>
      </c>
      <c r="E794" s="360" t="s">
        <v>10082</v>
      </c>
      <c r="F794" s="360" t="s">
        <v>10078</v>
      </c>
      <c r="G794" s="360" t="s">
        <v>10088</v>
      </c>
      <c r="H794" s="360">
        <v>16</v>
      </c>
      <c r="I794" s="358" t="s">
        <v>11142</v>
      </c>
      <c r="J794" s="361" t="s">
        <v>11169</v>
      </c>
      <c r="K794" s="358" t="s">
        <v>11244</v>
      </c>
      <c r="L794" s="371"/>
      <c r="M794" s="360" t="s">
        <v>10084</v>
      </c>
      <c r="N794" s="371"/>
      <c r="O794" s="360" t="s">
        <v>57</v>
      </c>
      <c r="P794" s="362">
        <v>335109995</v>
      </c>
      <c r="Q794" s="363" t="s">
        <v>11245</v>
      </c>
      <c r="R794" s="364" t="s">
        <v>621</v>
      </c>
      <c r="S794" s="340">
        <v>28</v>
      </c>
    </row>
    <row r="795" spans="1:19" ht="16" thickBot="1" x14ac:dyDescent="0.4">
      <c r="A795" s="357">
        <v>784</v>
      </c>
      <c r="B795" s="358" t="s">
        <v>10650</v>
      </c>
      <c r="C795" s="359" t="s">
        <v>10651</v>
      </c>
      <c r="D795" s="360" t="s">
        <v>101</v>
      </c>
      <c r="E795" s="360" t="s">
        <v>10082</v>
      </c>
      <c r="F795" s="360" t="s">
        <v>10078</v>
      </c>
      <c r="G795" s="360" t="s">
        <v>10078</v>
      </c>
      <c r="H795" s="360">
        <v>24</v>
      </c>
      <c r="I795" s="358" t="s">
        <v>9270</v>
      </c>
      <c r="J795" s="361" t="s">
        <v>11246</v>
      </c>
      <c r="K795" s="358" t="s">
        <v>11247</v>
      </c>
      <c r="L795" s="371"/>
      <c r="M795" s="360" t="s">
        <v>10084</v>
      </c>
      <c r="N795" s="371"/>
      <c r="O795" s="360" t="s">
        <v>57</v>
      </c>
      <c r="P795" s="362">
        <v>332173074.40000004</v>
      </c>
      <c r="Q795" s="363" t="s">
        <v>11248</v>
      </c>
      <c r="R795" s="364" t="s">
        <v>621</v>
      </c>
      <c r="S795" s="340">
        <v>28</v>
      </c>
    </row>
    <row r="796" spans="1:19" ht="29" x14ac:dyDescent="0.35">
      <c r="A796" s="349">
        <v>785</v>
      </c>
      <c r="B796" s="358" t="s">
        <v>10650</v>
      </c>
      <c r="C796" s="359" t="s">
        <v>10651</v>
      </c>
      <c r="D796" s="360" t="s">
        <v>107</v>
      </c>
      <c r="E796" s="360" t="s">
        <v>10082</v>
      </c>
      <c r="F796" s="360" t="s">
        <v>10078</v>
      </c>
      <c r="G796" s="360" t="s">
        <v>10078</v>
      </c>
      <c r="H796" s="360">
        <v>29</v>
      </c>
      <c r="I796" s="358" t="s">
        <v>9322</v>
      </c>
      <c r="J796" s="361" t="s">
        <v>11246</v>
      </c>
      <c r="K796" s="358" t="s">
        <v>11249</v>
      </c>
      <c r="L796" s="371"/>
      <c r="M796" s="360" t="s">
        <v>10084</v>
      </c>
      <c r="N796" s="371"/>
      <c r="O796" s="360" t="s">
        <v>57</v>
      </c>
      <c r="P796" s="362">
        <v>221547000</v>
      </c>
      <c r="Q796" s="363" t="s">
        <v>11250</v>
      </c>
      <c r="R796" s="364" t="s">
        <v>621</v>
      </c>
      <c r="S796" s="340">
        <v>28</v>
      </c>
    </row>
    <row r="797" spans="1:19" ht="16" thickBot="1" x14ac:dyDescent="0.4">
      <c r="A797" s="357">
        <v>786</v>
      </c>
      <c r="B797" s="358" t="s">
        <v>10650</v>
      </c>
      <c r="C797" s="359" t="s">
        <v>10651</v>
      </c>
      <c r="D797" s="360" t="s">
        <v>112</v>
      </c>
      <c r="E797" s="360" t="s">
        <v>10082</v>
      </c>
      <c r="F797" s="360" t="s">
        <v>10078</v>
      </c>
      <c r="G797" s="360" t="s">
        <v>10078</v>
      </c>
      <c r="H797" s="360">
        <v>24</v>
      </c>
      <c r="I797" s="358" t="s">
        <v>9270</v>
      </c>
      <c r="J797" s="361" t="s">
        <v>11246</v>
      </c>
      <c r="K797" s="358" t="s">
        <v>11251</v>
      </c>
      <c r="L797" s="371"/>
      <c r="M797" s="360" t="s">
        <v>10084</v>
      </c>
      <c r="N797" s="371"/>
      <c r="O797" s="360" t="s">
        <v>57</v>
      </c>
      <c r="P797" s="362">
        <v>332228074.40000004</v>
      </c>
      <c r="Q797" s="363" t="s">
        <v>11252</v>
      </c>
      <c r="R797" s="364" t="s">
        <v>621</v>
      </c>
      <c r="S797" s="340">
        <v>28</v>
      </c>
    </row>
    <row r="798" spans="1:19" ht="29" x14ac:dyDescent="0.35">
      <c r="A798" s="349">
        <v>787</v>
      </c>
      <c r="B798" s="358" t="s">
        <v>10486</v>
      </c>
      <c r="C798" s="359" t="s">
        <v>10487</v>
      </c>
      <c r="D798" s="360" t="s">
        <v>51</v>
      </c>
      <c r="E798" s="360" t="s">
        <v>10082</v>
      </c>
      <c r="F798" s="360" t="s">
        <v>10078</v>
      </c>
      <c r="G798" s="360" t="s">
        <v>10088</v>
      </c>
      <c r="H798" s="360">
        <v>81</v>
      </c>
      <c r="I798" s="358" t="s">
        <v>11142</v>
      </c>
      <c r="J798" s="361" t="s">
        <v>11253</v>
      </c>
      <c r="K798" s="358" t="s">
        <v>11254</v>
      </c>
      <c r="L798" s="371"/>
      <c r="M798" s="360" t="s">
        <v>10084</v>
      </c>
      <c r="N798" s="371"/>
      <c r="O798" s="360" t="s">
        <v>57</v>
      </c>
      <c r="P798" s="362">
        <v>443322200</v>
      </c>
      <c r="Q798" s="363" t="s">
        <v>11255</v>
      </c>
      <c r="R798" s="364" t="s">
        <v>621</v>
      </c>
      <c r="S798" s="340">
        <v>28</v>
      </c>
    </row>
    <row r="799" spans="1:19" ht="58.5" thickBot="1" x14ac:dyDescent="0.4">
      <c r="A799" s="357">
        <v>788</v>
      </c>
      <c r="B799" s="358" t="s">
        <v>10486</v>
      </c>
      <c r="C799" s="359" t="s">
        <v>10487</v>
      </c>
      <c r="D799" s="360" t="s">
        <v>59</v>
      </c>
      <c r="E799" s="360" t="s">
        <v>10082</v>
      </c>
      <c r="F799" s="360" t="s">
        <v>10078</v>
      </c>
      <c r="G799" s="360" t="s">
        <v>10088</v>
      </c>
      <c r="H799" s="360">
        <v>212</v>
      </c>
      <c r="I799" s="358" t="s">
        <v>11135</v>
      </c>
      <c r="J799" s="361" t="s">
        <v>11256</v>
      </c>
      <c r="K799" s="358" t="s">
        <v>11257</v>
      </c>
      <c r="L799" s="371"/>
      <c r="M799" s="360" t="s">
        <v>10084</v>
      </c>
      <c r="N799" s="371"/>
      <c r="O799" s="360" t="s">
        <v>57</v>
      </c>
      <c r="P799" s="362">
        <v>1359749703.0000002</v>
      </c>
      <c r="Q799" s="363" t="s">
        <v>11258</v>
      </c>
      <c r="R799" s="364" t="s">
        <v>621</v>
      </c>
      <c r="S799" s="340">
        <v>28</v>
      </c>
    </row>
    <row r="800" spans="1:19" ht="15.5" x14ac:dyDescent="0.35">
      <c r="A800" s="349">
        <v>789</v>
      </c>
      <c r="B800" s="358" t="s">
        <v>10486</v>
      </c>
      <c r="C800" s="359" t="s">
        <v>10487</v>
      </c>
      <c r="D800" s="360" t="s">
        <v>97</v>
      </c>
      <c r="E800" s="360" t="s">
        <v>10082</v>
      </c>
      <c r="F800" s="360" t="s">
        <v>10078</v>
      </c>
      <c r="G800" s="360" t="s">
        <v>10088</v>
      </c>
      <c r="H800" s="360">
        <v>112</v>
      </c>
      <c r="I800" s="358" t="s">
        <v>11259</v>
      </c>
      <c r="J800" s="361" t="s">
        <v>10622</v>
      </c>
      <c r="K800" s="358" t="s">
        <v>11260</v>
      </c>
      <c r="L800" s="371"/>
      <c r="M800" s="360" t="s">
        <v>10084</v>
      </c>
      <c r="N800" s="371"/>
      <c r="O800" s="360" t="s">
        <v>57</v>
      </c>
      <c r="P800" s="362">
        <v>210396000</v>
      </c>
      <c r="Q800" s="363" t="s">
        <v>11261</v>
      </c>
      <c r="R800" s="364" t="s">
        <v>621</v>
      </c>
      <c r="S800" s="340">
        <v>28</v>
      </c>
    </row>
    <row r="801" spans="1:19" ht="29.5" thickBot="1" x14ac:dyDescent="0.4">
      <c r="A801" s="357">
        <v>790</v>
      </c>
      <c r="B801" s="358" t="s">
        <v>10092</v>
      </c>
      <c r="C801" s="359" t="s">
        <v>10093</v>
      </c>
      <c r="D801" s="360" t="s">
        <v>51</v>
      </c>
      <c r="E801" s="360" t="s">
        <v>10082</v>
      </c>
      <c r="F801" s="360" t="s">
        <v>10078</v>
      </c>
      <c r="G801" s="360" t="s">
        <v>10078</v>
      </c>
      <c r="H801" s="360">
        <v>56</v>
      </c>
      <c r="I801" s="358" t="s">
        <v>11142</v>
      </c>
      <c r="J801" s="361" t="s">
        <v>11262</v>
      </c>
      <c r="K801" s="358" t="s">
        <v>11263</v>
      </c>
      <c r="L801" s="371"/>
      <c r="M801" s="360" t="s">
        <v>10084</v>
      </c>
      <c r="N801" s="371"/>
      <c r="O801" s="360" t="s">
        <v>57</v>
      </c>
      <c r="P801" s="362">
        <v>284680981</v>
      </c>
      <c r="Q801" s="363" t="s">
        <v>11264</v>
      </c>
      <c r="R801" s="364" t="s">
        <v>621</v>
      </c>
      <c r="S801" s="340">
        <v>28</v>
      </c>
    </row>
    <row r="802" spans="1:19" ht="29" x14ac:dyDescent="0.35">
      <c r="A802" s="349">
        <v>791</v>
      </c>
      <c r="B802" s="358" t="s">
        <v>11053</v>
      </c>
      <c r="C802" s="359" t="s">
        <v>11054</v>
      </c>
      <c r="D802" s="360" t="s">
        <v>51</v>
      </c>
      <c r="E802" s="360" t="s">
        <v>10082</v>
      </c>
      <c r="F802" s="360" t="s">
        <v>10078</v>
      </c>
      <c r="G802" s="360" t="s">
        <v>10088</v>
      </c>
      <c r="H802" s="360">
        <v>0</v>
      </c>
      <c r="I802" s="358" t="s">
        <v>10471</v>
      </c>
      <c r="J802" s="361" t="s">
        <v>11265</v>
      </c>
      <c r="K802" s="358" t="s">
        <v>11266</v>
      </c>
      <c r="L802" s="371"/>
      <c r="M802" s="360" t="s">
        <v>10084</v>
      </c>
      <c r="N802" s="371"/>
      <c r="O802" s="360" t="s">
        <v>57</v>
      </c>
      <c r="P802" s="362">
        <v>6658220000</v>
      </c>
      <c r="Q802" s="363" t="s">
        <v>11267</v>
      </c>
      <c r="R802" s="364" t="s">
        <v>621</v>
      </c>
      <c r="S802" s="340">
        <v>28</v>
      </c>
    </row>
    <row r="803" spans="1:19" ht="44" thickBot="1" x14ac:dyDescent="0.4">
      <c r="A803" s="357">
        <v>792</v>
      </c>
      <c r="B803" s="358" t="s">
        <v>11073</v>
      </c>
      <c r="C803" s="359" t="s">
        <v>11074</v>
      </c>
      <c r="D803" s="360" t="s">
        <v>107</v>
      </c>
      <c r="E803" s="360" t="s">
        <v>10082</v>
      </c>
      <c r="F803" s="360" t="s">
        <v>10078</v>
      </c>
      <c r="G803" s="360" t="s">
        <v>10088</v>
      </c>
      <c r="H803" s="360"/>
      <c r="I803" s="358" t="s">
        <v>10548</v>
      </c>
      <c r="J803" s="361" t="s">
        <v>11208</v>
      </c>
      <c r="K803" s="358" t="s">
        <v>11268</v>
      </c>
      <c r="L803" s="371"/>
      <c r="M803" s="360"/>
      <c r="N803" s="371"/>
      <c r="O803" s="360" t="s">
        <v>44</v>
      </c>
      <c r="P803" s="362">
        <v>374437982.80000001</v>
      </c>
      <c r="Q803" s="363" t="s">
        <v>11269</v>
      </c>
      <c r="R803" s="364" t="s">
        <v>621</v>
      </c>
      <c r="S803" s="340">
        <v>28</v>
      </c>
    </row>
    <row r="804" spans="1:19" ht="43.5" x14ac:dyDescent="0.35">
      <c r="A804" s="349">
        <v>793</v>
      </c>
      <c r="B804" s="358" t="s">
        <v>11270</v>
      </c>
      <c r="C804" s="359" t="s">
        <v>11271</v>
      </c>
      <c r="D804" s="360" t="s">
        <v>59</v>
      </c>
      <c r="E804" s="360" t="s">
        <v>10082</v>
      </c>
      <c r="F804" s="360" t="s">
        <v>10078</v>
      </c>
      <c r="G804" s="360" t="s">
        <v>10088</v>
      </c>
      <c r="H804" s="360"/>
      <c r="I804" s="358" t="s">
        <v>11272</v>
      </c>
      <c r="J804" s="361"/>
      <c r="K804" s="358"/>
      <c r="L804" s="371"/>
      <c r="M804" s="360" t="s">
        <v>10084</v>
      </c>
      <c r="N804" s="371"/>
      <c r="O804" s="360" t="s">
        <v>44</v>
      </c>
      <c r="P804" s="362">
        <v>393041007.00000006</v>
      </c>
      <c r="Q804" s="363" t="s">
        <v>11273</v>
      </c>
      <c r="R804" s="364" t="s">
        <v>621</v>
      </c>
      <c r="S804" s="340">
        <v>28</v>
      </c>
    </row>
    <row r="805" spans="1:19" ht="16" thickBot="1" x14ac:dyDescent="0.4">
      <c r="A805" s="357">
        <v>794</v>
      </c>
      <c r="B805" s="358" t="s">
        <v>10096</v>
      </c>
      <c r="C805" s="359" t="s">
        <v>10097</v>
      </c>
      <c r="D805" s="360" t="s">
        <v>51</v>
      </c>
      <c r="E805" s="360" t="s">
        <v>10082</v>
      </c>
      <c r="F805" s="360" t="s">
        <v>10078</v>
      </c>
      <c r="G805" s="360" t="s">
        <v>10078</v>
      </c>
      <c r="H805" s="360">
        <v>157</v>
      </c>
      <c r="I805" s="358" t="s">
        <v>10929</v>
      </c>
      <c r="J805" s="361" t="s">
        <v>11274</v>
      </c>
      <c r="K805" s="358" t="s">
        <v>11275</v>
      </c>
      <c r="L805" s="371"/>
      <c r="M805" s="360" t="s">
        <v>10084</v>
      </c>
      <c r="N805" s="371"/>
      <c r="O805" s="360" t="s">
        <v>57</v>
      </c>
      <c r="P805" s="362">
        <v>835546000</v>
      </c>
      <c r="Q805" s="363" t="s">
        <v>11276</v>
      </c>
      <c r="R805" s="364" t="s">
        <v>621</v>
      </c>
      <c r="S805" s="340">
        <v>28</v>
      </c>
    </row>
    <row r="806" spans="1:19" ht="31" x14ac:dyDescent="0.35">
      <c r="A806" s="349">
        <v>795</v>
      </c>
      <c r="B806" s="364" t="s">
        <v>10155</v>
      </c>
      <c r="C806" s="364" t="s">
        <v>10156</v>
      </c>
      <c r="D806" s="366" t="s">
        <v>51</v>
      </c>
      <c r="E806" s="366" t="s">
        <v>10082</v>
      </c>
      <c r="F806" s="366" t="s">
        <v>10078</v>
      </c>
      <c r="G806" s="366" t="s">
        <v>10088</v>
      </c>
      <c r="H806" s="366" t="s">
        <v>11277</v>
      </c>
      <c r="I806" s="364" t="s">
        <v>11278</v>
      </c>
      <c r="J806" s="367"/>
      <c r="K806" s="364"/>
      <c r="L806" s="364"/>
      <c r="M806" s="366" t="s">
        <v>10084</v>
      </c>
      <c r="N806" s="364"/>
      <c r="O806" s="364" t="s">
        <v>57</v>
      </c>
      <c r="P806" s="373">
        <v>2101441660.0000002</v>
      </c>
      <c r="Q806" s="374" t="s">
        <v>11279</v>
      </c>
      <c r="R806" s="364" t="s">
        <v>8353</v>
      </c>
      <c r="S806" s="340">
        <v>10</v>
      </c>
    </row>
    <row r="807" spans="1:19" ht="31.5" thickBot="1" x14ac:dyDescent="0.4">
      <c r="A807" s="357">
        <v>796</v>
      </c>
      <c r="B807" s="364" t="s">
        <v>10155</v>
      </c>
      <c r="C807" s="364" t="s">
        <v>10156</v>
      </c>
      <c r="D807" s="366" t="s">
        <v>59</v>
      </c>
      <c r="E807" s="366" t="s">
        <v>10082</v>
      </c>
      <c r="F807" s="366" t="s">
        <v>10078</v>
      </c>
      <c r="G807" s="366" t="s">
        <v>10088</v>
      </c>
      <c r="H807" s="366" t="s">
        <v>11280</v>
      </c>
      <c r="I807" s="364" t="s">
        <v>11281</v>
      </c>
      <c r="J807" s="367">
        <v>40337</v>
      </c>
      <c r="K807" s="364" t="s">
        <v>11282</v>
      </c>
      <c r="L807" s="364"/>
      <c r="M807" s="366" t="s">
        <v>10084</v>
      </c>
      <c r="N807" s="364"/>
      <c r="O807" s="364" t="s">
        <v>57</v>
      </c>
      <c r="P807" s="373">
        <v>784926042</v>
      </c>
      <c r="Q807" s="374" t="s">
        <v>11283</v>
      </c>
      <c r="R807" s="364" t="s">
        <v>8353</v>
      </c>
      <c r="S807" s="340">
        <v>10</v>
      </c>
    </row>
    <row r="808" spans="1:19" ht="46.5" x14ac:dyDescent="0.35">
      <c r="A808" s="349">
        <v>797</v>
      </c>
      <c r="B808" s="375" t="s">
        <v>10535</v>
      </c>
      <c r="C808" s="358" t="s">
        <v>10536</v>
      </c>
      <c r="D808" s="360" t="s">
        <v>51</v>
      </c>
      <c r="E808" s="360" t="s">
        <v>10082</v>
      </c>
      <c r="F808" s="366" t="s">
        <v>10078</v>
      </c>
      <c r="G808" s="366" t="s">
        <v>10088</v>
      </c>
      <c r="H808" s="366" t="s">
        <v>11284</v>
      </c>
      <c r="I808" s="364" t="s">
        <v>11285</v>
      </c>
      <c r="J808" s="367">
        <v>41547</v>
      </c>
      <c r="K808" s="364" t="s">
        <v>10539</v>
      </c>
      <c r="L808" s="364"/>
      <c r="M808" s="366" t="s">
        <v>10084</v>
      </c>
      <c r="N808" s="376"/>
      <c r="O808" s="377" t="s">
        <v>57</v>
      </c>
      <c r="P808" s="373">
        <v>8794000</v>
      </c>
      <c r="Q808" s="374" t="s">
        <v>10540</v>
      </c>
      <c r="R808" s="364" t="s">
        <v>8353</v>
      </c>
      <c r="S808" s="340">
        <v>10</v>
      </c>
    </row>
    <row r="809" spans="1:19" ht="31.5" thickBot="1" x14ac:dyDescent="0.4">
      <c r="A809" s="357">
        <v>798</v>
      </c>
      <c r="B809" s="378" t="s">
        <v>10535</v>
      </c>
      <c r="C809" s="358" t="s">
        <v>10536</v>
      </c>
      <c r="D809" s="360" t="s">
        <v>59</v>
      </c>
      <c r="E809" s="360" t="s">
        <v>10082</v>
      </c>
      <c r="F809" s="366" t="s">
        <v>10078</v>
      </c>
      <c r="G809" s="366" t="s">
        <v>10078</v>
      </c>
      <c r="H809" s="366" t="s">
        <v>11284</v>
      </c>
      <c r="I809" s="364" t="s">
        <v>11286</v>
      </c>
      <c r="J809" s="367">
        <v>39994</v>
      </c>
      <c r="K809" s="364" t="s">
        <v>11287</v>
      </c>
      <c r="L809" s="364"/>
      <c r="M809" s="366" t="s">
        <v>10084</v>
      </c>
      <c r="N809" s="378"/>
      <c r="O809" s="378" t="s">
        <v>57</v>
      </c>
      <c r="P809" s="373">
        <v>24995000</v>
      </c>
      <c r="Q809" s="374" t="s">
        <v>11288</v>
      </c>
      <c r="R809" s="364" t="s">
        <v>8353</v>
      </c>
      <c r="S809" s="340">
        <v>10</v>
      </c>
    </row>
    <row r="810" spans="1:19" ht="31" x14ac:dyDescent="0.35">
      <c r="A810" s="349">
        <v>799</v>
      </c>
      <c r="B810" s="379" t="s">
        <v>10535</v>
      </c>
      <c r="C810" s="379" t="s">
        <v>10536</v>
      </c>
      <c r="D810" s="380" t="s">
        <v>97</v>
      </c>
      <c r="E810" s="380" t="s">
        <v>10082</v>
      </c>
      <c r="F810" s="380" t="s">
        <v>10078</v>
      </c>
      <c r="G810" s="380" t="s">
        <v>10078</v>
      </c>
      <c r="H810" s="380" t="s">
        <v>11284</v>
      </c>
      <c r="I810" s="379" t="s">
        <v>11286</v>
      </c>
      <c r="J810" s="381">
        <v>39342</v>
      </c>
      <c r="K810" s="379" t="s">
        <v>11289</v>
      </c>
      <c r="L810" s="379"/>
      <c r="M810" s="380" t="s">
        <v>10084</v>
      </c>
      <c r="N810" s="382"/>
      <c r="O810" s="383" t="s">
        <v>57</v>
      </c>
      <c r="P810" s="384">
        <v>11625000</v>
      </c>
      <c r="Q810" s="385" t="s">
        <v>11290</v>
      </c>
      <c r="R810" s="364" t="s">
        <v>8353</v>
      </c>
      <c r="S810" s="340">
        <v>10</v>
      </c>
    </row>
    <row r="811" spans="1:19" ht="31.5" thickBot="1" x14ac:dyDescent="0.4">
      <c r="A811" s="357">
        <v>800</v>
      </c>
      <c r="B811" s="379" t="s">
        <v>10535</v>
      </c>
      <c r="C811" s="379" t="s">
        <v>10536</v>
      </c>
      <c r="D811" s="380" t="s">
        <v>101</v>
      </c>
      <c r="E811" s="380" t="s">
        <v>10082</v>
      </c>
      <c r="F811" s="380" t="s">
        <v>10078</v>
      </c>
      <c r="G811" s="380" t="s">
        <v>10078</v>
      </c>
      <c r="H811" s="380" t="s">
        <v>11284</v>
      </c>
      <c r="I811" s="379" t="s">
        <v>11286</v>
      </c>
      <c r="J811" s="381">
        <v>39342</v>
      </c>
      <c r="K811" s="379" t="s">
        <v>11289</v>
      </c>
      <c r="L811" s="379"/>
      <c r="M811" s="380" t="s">
        <v>10084</v>
      </c>
      <c r="N811" s="382"/>
      <c r="O811" s="383" t="s">
        <v>57</v>
      </c>
      <c r="P811" s="384">
        <v>11625000</v>
      </c>
      <c r="Q811" s="385" t="s">
        <v>11290</v>
      </c>
      <c r="R811" s="364" t="s">
        <v>8353</v>
      </c>
      <c r="S811" s="340">
        <v>10</v>
      </c>
    </row>
    <row r="812" spans="1:19" ht="31" x14ac:dyDescent="0.35">
      <c r="A812" s="349">
        <v>801</v>
      </c>
      <c r="B812" s="379" t="s">
        <v>10535</v>
      </c>
      <c r="C812" s="379" t="s">
        <v>10536</v>
      </c>
      <c r="D812" s="380" t="s">
        <v>107</v>
      </c>
      <c r="E812" s="380" t="s">
        <v>10082</v>
      </c>
      <c r="F812" s="380" t="s">
        <v>10071</v>
      </c>
      <c r="G812" s="380" t="s">
        <v>10088</v>
      </c>
      <c r="H812" s="380" t="s">
        <v>11291</v>
      </c>
      <c r="I812" s="379" t="s">
        <v>11292</v>
      </c>
      <c r="J812" s="381">
        <v>45268</v>
      </c>
      <c r="K812" s="379" t="s">
        <v>11293</v>
      </c>
      <c r="L812" s="379"/>
      <c r="M812" s="380" t="s">
        <v>10084</v>
      </c>
      <c r="N812" s="382"/>
      <c r="O812" s="383" t="s">
        <v>44</v>
      </c>
      <c r="P812" s="384">
        <v>72491750</v>
      </c>
      <c r="Q812" s="385" t="s">
        <v>11294</v>
      </c>
      <c r="R812" s="364" t="s">
        <v>8353</v>
      </c>
      <c r="S812" s="340">
        <v>10</v>
      </c>
    </row>
    <row r="813" spans="1:19" ht="31.5" thickBot="1" x14ac:dyDescent="0.4">
      <c r="A813" s="357">
        <v>802</v>
      </c>
      <c r="B813" s="386" t="s">
        <v>11295</v>
      </c>
      <c r="C813" s="387" t="s">
        <v>11296</v>
      </c>
      <c r="D813" s="388" t="s">
        <v>51</v>
      </c>
      <c r="E813" s="388" t="s">
        <v>10082</v>
      </c>
      <c r="F813" s="380" t="s">
        <v>10078</v>
      </c>
      <c r="G813" s="380" t="s">
        <v>10088</v>
      </c>
      <c r="H813" s="380" t="s">
        <v>11297</v>
      </c>
      <c r="I813" s="379" t="s">
        <v>11298</v>
      </c>
      <c r="J813" s="381">
        <v>41942</v>
      </c>
      <c r="K813" s="379" t="s">
        <v>11299</v>
      </c>
      <c r="L813" s="379"/>
      <c r="M813" s="380" t="s">
        <v>10084</v>
      </c>
      <c r="N813" s="386"/>
      <c r="O813" s="387" t="s">
        <v>57</v>
      </c>
      <c r="P813" s="384">
        <v>44098000</v>
      </c>
      <c r="Q813" s="385" t="s">
        <v>11300</v>
      </c>
      <c r="R813" s="364" t="s">
        <v>8353</v>
      </c>
      <c r="S813" s="340">
        <v>10</v>
      </c>
    </row>
    <row r="814" spans="1:19" ht="31" x14ac:dyDescent="0.35">
      <c r="A814" s="349">
        <v>803</v>
      </c>
      <c r="B814" s="386" t="s">
        <v>11301</v>
      </c>
      <c r="C814" s="387" t="s">
        <v>11302</v>
      </c>
      <c r="D814" s="388" t="s">
        <v>51</v>
      </c>
      <c r="E814" s="388" t="s">
        <v>10082</v>
      </c>
      <c r="F814" s="380" t="s">
        <v>10078</v>
      </c>
      <c r="G814" s="380" t="s">
        <v>10078</v>
      </c>
      <c r="H814" s="380" t="s">
        <v>11303</v>
      </c>
      <c r="I814" s="379" t="s">
        <v>9591</v>
      </c>
      <c r="J814" s="381">
        <v>38552</v>
      </c>
      <c r="K814" s="379" t="s">
        <v>11304</v>
      </c>
      <c r="L814" s="379"/>
      <c r="M814" s="380" t="s">
        <v>10084</v>
      </c>
      <c r="N814" s="386"/>
      <c r="O814" s="387" t="s">
        <v>57</v>
      </c>
      <c r="P814" s="384">
        <v>175056400</v>
      </c>
      <c r="Q814" s="385" t="s">
        <v>11305</v>
      </c>
      <c r="R814" s="364" t="s">
        <v>8353</v>
      </c>
      <c r="S814" s="340">
        <v>10</v>
      </c>
    </row>
    <row r="815" spans="1:19" ht="31.5" thickBot="1" x14ac:dyDescent="0.4">
      <c r="A815" s="357">
        <v>804</v>
      </c>
      <c r="B815" s="387" t="s">
        <v>11306</v>
      </c>
      <c r="C815" s="387" t="s">
        <v>11307</v>
      </c>
      <c r="D815" s="388" t="s">
        <v>51</v>
      </c>
      <c r="E815" s="388" t="s">
        <v>10082</v>
      </c>
      <c r="F815" s="388" t="s">
        <v>10078</v>
      </c>
      <c r="G815" s="388" t="s">
        <v>10088</v>
      </c>
      <c r="H815" s="388" t="s">
        <v>11308</v>
      </c>
      <c r="I815" s="387" t="s">
        <v>11309</v>
      </c>
      <c r="J815" s="389">
        <v>45568</v>
      </c>
      <c r="K815" s="387" t="s">
        <v>11310</v>
      </c>
      <c r="L815" s="387"/>
      <c r="M815" s="387" t="s">
        <v>10084</v>
      </c>
      <c r="N815" s="387"/>
      <c r="O815" s="387" t="s">
        <v>44</v>
      </c>
      <c r="P815" s="390">
        <v>412831397.89999998</v>
      </c>
      <c r="Q815" s="387" t="s">
        <v>11311</v>
      </c>
      <c r="R815" s="364" t="s">
        <v>8353</v>
      </c>
      <c r="S815" s="340">
        <v>10</v>
      </c>
    </row>
    <row r="816" spans="1:19" ht="31" x14ac:dyDescent="0.35">
      <c r="A816" s="349">
        <v>805</v>
      </c>
      <c r="B816" s="387" t="s">
        <v>11306</v>
      </c>
      <c r="C816" s="387" t="s">
        <v>11307</v>
      </c>
      <c r="D816" s="388" t="s">
        <v>59</v>
      </c>
      <c r="E816" s="388" t="s">
        <v>10082</v>
      </c>
      <c r="F816" s="388"/>
      <c r="G816" s="388"/>
      <c r="H816" s="388"/>
      <c r="I816" s="387" t="s">
        <v>63</v>
      </c>
      <c r="J816" s="389"/>
      <c r="K816" s="387"/>
      <c r="L816" s="387"/>
      <c r="M816" s="387"/>
      <c r="N816" s="387"/>
      <c r="O816" s="387" t="s">
        <v>44</v>
      </c>
      <c r="P816" s="390">
        <v>213184233.79999998</v>
      </c>
      <c r="Q816" s="387" t="s">
        <v>11312</v>
      </c>
      <c r="R816" s="364" t="s">
        <v>8353</v>
      </c>
      <c r="S816" s="340">
        <v>10</v>
      </c>
    </row>
    <row r="817" spans="1:19" ht="31.5" thickBot="1" x14ac:dyDescent="0.4">
      <c r="A817" s="357">
        <v>806</v>
      </c>
      <c r="B817" s="387" t="s">
        <v>11313</v>
      </c>
      <c r="C817" s="387" t="s">
        <v>11314</v>
      </c>
      <c r="D817" s="388" t="s">
        <v>51</v>
      </c>
      <c r="E817" s="388" t="s">
        <v>10082</v>
      </c>
      <c r="F817" s="388" t="s">
        <v>10078</v>
      </c>
      <c r="G817" s="388" t="s">
        <v>10078</v>
      </c>
      <c r="H817" s="388" t="s">
        <v>11315</v>
      </c>
      <c r="I817" s="387" t="s">
        <v>11286</v>
      </c>
      <c r="J817" s="389">
        <v>38467</v>
      </c>
      <c r="K817" s="387" t="s">
        <v>11316</v>
      </c>
      <c r="L817" s="387"/>
      <c r="M817" s="387" t="s">
        <v>10084</v>
      </c>
      <c r="N817" s="387"/>
      <c r="O817" s="387" t="s">
        <v>57</v>
      </c>
      <c r="P817" s="390">
        <v>17500000</v>
      </c>
      <c r="Q817" s="387" t="s">
        <v>11317</v>
      </c>
      <c r="R817" s="364" t="s">
        <v>8353</v>
      </c>
      <c r="S817" s="340">
        <v>10</v>
      </c>
    </row>
    <row r="818" spans="1:19" ht="31" x14ac:dyDescent="0.35">
      <c r="A818" s="349">
        <v>807</v>
      </c>
      <c r="B818" s="387" t="s">
        <v>10486</v>
      </c>
      <c r="C818" s="387" t="s">
        <v>10487</v>
      </c>
      <c r="D818" s="388" t="s">
        <v>51</v>
      </c>
      <c r="E818" s="388" t="s">
        <v>10082</v>
      </c>
      <c r="F818" s="388" t="s">
        <v>10078</v>
      </c>
      <c r="G818" s="388" t="s">
        <v>10088</v>
      </c>
      <c r="H818" s="388" t="s">
        <v>11318</v>
      </c>
      <c r="I818" s="387" t="s">
        <v>11292</v>
      </c>
      <c r="J818" s="389">
        <v>45268</v>
      </c>
      <c r="K818" s="387" t="s">
        <v>11319</v>
      </c>
      <c r="L818" s="387"/>
      <c r="M818" s="387" t="s">
        <v>10084</v>
      </c>
      <c r="N818" s="387"/>
      <c r="O818" s="387" t="s">
        <v>44</v>
      </c>
      <c r="P818" s="390">
        <v>77391750</v>
      </c>
      <c r="Q818" s="387" t="s">
        <v>11320</v>
      </c>
      <c r="R818" s="364" t="s">
        <v>8353</v>
      </c>
      <c r="S818" s="340">
        <v>10</v>
      </c>
    </row>
    <row r="819" spans="1:19" ht="31.5" thickBot="1" x14ac:dyDescent="0.4">
      <c r="A819" s="357">
        <v>808</v>
      </c>
      <c r="B819" s="387" t="s">
        <v>10486</v>
      </c>
      <c r="C819" s="387" t="s">
        <v>10487</v>
      </c>
      <c r="D819" s="388" t="s">
        <v>97</v>
      </c>
      <c r="E819" s="388" t="s">
        <v>10082</v>
      </c>
      <c r="F819" s="388" t="s">
        <v>10078</v>
      </c>
      <c r="G819" s="388"/>
      <c r="H819" s="388"/>
      <c r="I819" s="387" t="s">
        <v>63</v>
      </c>
      <c r="J819" s="389"/>
      <c r="K819" s="387"/>
      <c r="L819" s="387"/>
      <c r="M819" s="387"/>
      <c r="N819" s="387"/>
      <c r="O819" s="387" t="s">
        <v>44</v>
      </c>
      <c r="P819" s="390">
        <v>48205600</v>
      </c>
      <c r="Q819" s="387" t="s">
        <v>11321</v>
      </c>
      <c r="R819" s="364" t="s">
        <v>8353</v>
      </c>
      <c r="S819" s="340">
        <v>10</v>
      </c>
    </row>
    <row r="820" spans="1:19" ht="31" x14ac:dyDescent="0.35">
      <c r="A820" s="349">
        <v>809</v>
      </c>
      <c r="B820" s="387" t="s">
        <v>11322</v>
      </c>
      <c r="C820" s="387" t="s">
        <v>11323</v>
      </c>
      <c r="D820" s="388" t="s">
        <v>51</v>
      </c>
      <c r="E820" s="388" t="s">
        <v>10082</v>
      </c>
      <c r="F820" s="388" t="s">
        <v>10078</v>
      </c>
      <c r="G820" s="388" t="s">
        <v>10078</v>
      </c>
      <c r="H820" s="388" t="s">
        <v>11324</v>
      </c>
      <c r="I820" s="387" t="s">
        <v>11325</v>
      </c>
      <c r="J820" s="389">
        <v>38812</v>
      </c>
      <c r="K820" s="387" t="s">
        <v>11326</v>
      </c>
      <c r="L820" s="387"/>
      <c r="M820" s="387" t="s">
        <v>10084</v>
      </c>
      <c r="N820" s="387"/>
      <c r="O820" s="387" t="s">
        <v>57</v>
      </c>
      <c r="P820" s="390">
        <v>57976000</v>
      </c>
      <c r="Q820" s="387" t="s">
        <v>8351</v>
      </c>
      <c r="R820" s="364" t="s">
        <v>8353</v>
      </c>
      <c r="S820" s="340">
        <v>10</v>
      </c>
    </row>
    <row r="821" spans="1:19" ht="31.5" thickBot="1" x14ac:dyDescent="0.4">
      <c r="A821" s="357">
        <v>810</v>
      </c>
      <c r="B821" s="387" t="s">
        <v>11053</v>
      </c>
      <c r="C821" s="387" t="s">
        <v>11054</v>
      </c>
      <c r="D821" s="388" t="s">
        <v>59</v>
      </c>
      <c r="E821" s="388" t="s">
        <v>10082</v>
      </c>
      <c r="F821" s="388"/>
      <c r="G821" s="388"/>
      <c r="H821" s="388"/>
      <c r="I821" s="387" t="s">
        <v>63</v>
      </c>
      <c r="J821" s="389"/>
      <c r="K821" s="387"/>
      <c r="L821" s="387"/>
      <c r="M821" s="387"/>
      <c r="N821" s="387"/>
      <c r="O821" s="387" t="s">
        <v>44</v>
      </c>
      <c r="P821" s="390">
        <v>281750183.39999998</v>
      </c>
      <c r="Q821" s="387" t="s">
        <v>11327</v>
      </c>
      <c r="R821" s="364" t="s">
        <v>8353</v>
      </c>
      <c r="S821" s="340">
        <v>10</v>
      </c>
    </row>
    <row r="822" spans="1:19" ht="31" x14ac:dyDescent="0.35">
      <c r="A822" s="349">
        <v>811</v>
      </c>
      <c r="B822" s="387" t="s">
        <v>10511</v>
      </c>
      <c r="C822" s="387" t="s">
        <v>10512</v>
      </c>
      <c r="D822" s="388" t="s">
        <v>51</v>
      </c>
      <c r="E822" s="388" t="s">
        <v>10082</v>
      </c>
      <c r="F822" s="388" t="s">
        <v>10078</v>
      </c>
      <c r="G822" s="388" t="s">
        <v>10088</v>
      </c>
      <c r="H822" s="388" t="s">
        <v>11328</v>
      </c>
      <c r="I822" s="387" t="s">
        <v>11329</v>
      </c>
      <c r="J822" s="389">
        <v>39576</v>
      </c>
      <c r="K822" s="387" t="s">
        <v>11330</v>
      </c>
      <c r="L822" s="387"/>
      <c r="M822" s="387" t="s">
        <v>10084</v>
      </c>
      <c r="N822" s="387"/>
      <c r="O822" s="387" t="s">
        <v>57</v>
      </c>
      <c r="P822" s="390">
        <v>24950000</v>
      </c>
      <c r="Q822" s="387" t="s">
        <v>11331</v>
      </c>
      <c r="R822" s="364" t="s">
        <v>8353</v>
      </c>
      <c r="S822" s="340">
        <v>10</v>
      </c>
    </row>
    <row r="823" spans="1:19" ht="31.5" thickBot="1" x14ac:dyDescent="0.4">
      <c r="A823" s="357">
        <v>812</v>
      </c>
      <c r="B823" s="387" t="s">
        <v>10511</v>
      </c>
      <c r="C823" s="387" t="s">
        <v>10512</v>
      </c>
      <c r="D823" s="388" t="s">
        <v>59</v>
      </c>
      <c r="E823" s="388" t="s">
        <v>10082</v>
      </c>
      <c r="F823" s="388" t="s">
        <v>10078</v>
      </c>
      <c r="G823" s="388" t="s">
        <v>10088</v>
      </c>
      <c r="H823" s="388" t="s">
        <v>11332</v>
      </c>
      <c r="I823" s="387" t="s">
        <v>11286</v>
      </c>
      <c r="J823" s="389">
        <v>39576</v>
      </c>
      <c r="K823" s="387" t="s">
        <v>11330</v>
      </c>
      <c r="L823" s="387"/>
      <c r="M823" s="387" t="s">
        <v>10084</v>
      </c>
      <c r="N823" s="387"/>
      <c r="O823" s="387" t="s">
        <v>57</v>
      </c>
      <c r="P823" s="390">
        <v>24950000</v>
      </c>
      <c r="Q823" s="387" t="s">
        <v>11331</v>
      </c>
      <c r="R823" s="364" t="s">
        <v>8353</v>
      </c>
      <c r="S823" s="340">
        <v>10</v>
      </c>
    </row>
    <row r="824" spans="1:19" ht="43.5" x14ac:dyDescent="0.35">
      <c r="A824" s="349">
        <v>813</v>
      </c>
      <c r="B824" s="387" t="s">
        <v>10155</v>
      </c>
      <c r="C824" s="387" t="s">
        <v>10156</v>
      </c>
      <c r="D824" s="388" t="s">
        <v>51</v>
      </c>
      <c r="E824" s="388" t="s">
        <v>10082</v>
      </c>
      <c r="F824" s="388" t="s">
        <v>10078</v>
      </c>
      <c r="G824" s="388" t="s">
        <v>10088</v>
      </c>
      <c r="H824" s="388" t="s">
        <v>11333</v>
      </c>
      <c r="I824" s="387" t="s">
        <v>11334</v>
      </c>
      <c r="J824" s="389">
        <v>41527</v>
      </c>
      <c r="K824" s="387" t="s">
        <v>11335</v>
      </c>
      <c r="L824" s="387"/>
      <c r="M824" s="387" t="s">
        <v>10084</v>
      </c>
      <c r="N824" s="387"/>
      <c r="O824" s="387" t="s">
        <v>57</v>
      </c>
      <c r="P824" s="390">
        <v>206650000</v>
      </c>
      <c r="Q824" s="387" t="s">
        <v>11336</v>
      </c>
      <c r="R824" s="358" t="s">
        <v>234</v>
      </c>
      <c r="S824" s="340">
        <v>11</v>
      </c>
    </row>
    <row r="825" spans="1:19" ht="44" thickBot="1" x14ac:dyDescent="0.4">
      <c r="A825" s="357">
        <v>814</v>
      </c>
      <c r="B825" s="387" t="s">
        <v>10155</v>
      </c>
      <c r="C825" s="387" t="s">
        <v>10156</v>
      </c>
      <c r="D825" s="388" t="s">
        <v>59</v>
      </c>
      <c r="E825" s="388" t="s">
        <v>10082</v>
      </c>
      <c r="F825" s="388" t="s">
        <v>10078</v>
      </c>
      <c r="G825" s="388" t="s">
        <v>10088</v>
      </c>
      <c r="H825" s="388" t="s">
        <v>11333</v>
      </c>
      <c r="I825" s="387" t="s">
        <v>11337</v>
      </c>
      <c r="J825" s="389">
        <v>41527</v>
      </c>
      <c r="K825" s="387" t="s">
        <v>11338</v>
      </c>
      <c r="L825" s="387"/>
      <c r="M825" s="387" t="s">
        <v>10084</v>
      </c>
      <c r="N825" s="387"/>
      <c r="O825" s="387" t="s">
        <v>57</v>
      </c>
      <c r="P825" s="390">
        <v>207600000</v>
      </c>
      <c r="Q825" s="387" t="s">
        <v>11339</v>
      </c>
      <c r="R825" s="358" t="s">
        <v>234</v>
      </c>
      <c r="S825" s="340">
        <v>11</v>
      </c>
    </row>
    <row r="826" spans="1:19" ht="43.5" x14ac:dyDescent="0.35">
      <c r="A826" s="349">
        <v>815</v>
      </c>
      <c r="B826" s="387" t="s">
        <v>10155</v>
      </c>
      <c r="C826" s="387" t="s">
        <v>10156</v>
      </c>
      <c r="D826" s="388" t="s">
        <v>97</v>
      </c>
      <c r="E826" s="388" t="s">
        <v>10082</v>
      </c>
      <c r="F826" s="388" t="s">
        <v>10078</v>
      </c>
      <c r="G826" s="388" t="s">
        <v>10088</v>
      </c>
      <c r="H826" s="388" t="s">
        <v>11333</v>
      </c>
      <c r="I826" s="387" t="s">
        <v>11340</v>
      </c>
      <c r="J826" s="389">
        <v>41527</v>
      </c>
      <c r="K826" s="387" t="s">
        <v>11341</v>
      </c>
      <c r="L826" s="387"/>
      <c r="M826" s="387" t="s">
        <v>10084</v>
      </c>
      <c r="N826" s="387"/>
      <c r="O826" s="387" t="s">
        <v>57</v>
      </c>
      <c r="P826" s="390">
        <v>219000000</v>
      </c>
      <c r="Q826" s="387" t="s">
        <v>11342</v>
      </c>
      <c r="R826" s="358" t="s">
        <v>234</v>
      </c>
      <c r="S826" s="340">
        <v>11</v>
      </c>
    </row>
    <row r="827" spans="1:19" ht="44" thickBot="1" x14ac:dyDescent="0.4">
      <c r="A827" s="357">
        <v>816</v>
      </c>
      <c r="B827" s="387" t="s">
        <v>10155</v>
      </c>
      <c r="C827" s="387" t="s">
        <v>10156</v>
      </c>
      <c r="D827" s="388" t="s">
        <v>101</v>
      </c>
      <c r="E827" s="388" t="s">
        <v>10082</v>
      </c>
      <c r="F827" s="388" t="s">
        <v>10078</v>
      </c>
      <c r="G827" s="388" t="s">
        <v>10088</v>
      </c>
      <c r="H827" s="388" t="s">
        <v>8956</v>
      </c>
      <c r="I827" s="387" t="s">
        <v>11343</v>
      </c>
      <c r="J827" s="389">
        <v>41527</v>
      </c>
      <c r="K827" s="387" t="s">
        <v>11344</v>
      </c>
      <c r="L827" s="387"/>
      <c r="M827" s="387" t="s">
        <v>10084</v>
      </c>
      <c r="N827" s="387"/>
      <c r="O827" s="387" t="s">
        <v>57</v>
      </c>
      <c r="P827" s="390">
        <v>305011950</v>
      </c>
      <c r="Q827" s="387" t="s">
        <v>11345</v>
      </c>
      <c r="R827" s="358" t="s">
        <v>234</v>
      </c>
      <c r="S827" s="340">
        <v>11</v>
      </c>
    </row>
    <row r="828" spans="1:19" ht="43.5" x14ac:dyDescent="0.35">
      <c r="A828" s="349">
        <v>817</v>
      </c>
      <c r="B828" s="387" t="s">
        <v>10155</v>
      </c>
      <c r="C828" s="387" t="s">
        <v>10156</v>
      </c>
      <c r="D828" s="388" t="s">
        <v>107</v>
      </c>
      <c r="E828" s="388" t="s">
        <v>10082</v>
      </c>
      <c r="F828" s="388" t="s">
        <v>10078</v>
      </c>
      <c r="G828" s="388" t="s">
        <v>10088</v>
      </c>
      <c r="H828" s="388" t="s">
        <v>8956</v>
      </c>
      <c r="I828" s="387" t="s">
        <v>11346</v>
      </c>
      <c r="J828" s="389">
        <v>41808</v>
      </c>
      <c r="K828" s="387" t="s">
        <v>11347</v>
      </c>
      <c r="L828" s="387"/>
      <c r="M828" s="387" t="s">
        <v>10084</v>
      </c>
      <c r="N828" s="387"/>
      <c r="O828" s="387" t="s">
        <v>57</v>
      </c>
      <c r="P828" s="390">
        <v>418317600</v>
      </c>
      <c r="Q828" s="387" t="s">
        <v>11348</v>
      </c>
      <c r="R828" s="358" t="s">
        <v>234</v>
      </c>
      <c r="S828" s="340">
        <v>11</v>
      </c>
    </row>
    <row r="829" spans="1:19" ht="58.5" thickBot="1" x14ac:dyDescent="0.4">
      <c r="A829" s="357">
        <v>818</v>
      </c>
      <c r="B829" s="387" t="s">
        <v>10155</v>
      </c>
      <c r="C829" s="387" t="s">
        <v>10156</v>
      </c>
      <c r="D829" s="388" t="s">
        <v>112</v>
      </c>
      <c r="E829" s="388" t="s">
        <v>10082</v>
      </c>
      <c r="F829" s="388" t="s">
        <v>10078</v>
      </c>
      <c r="G829" s="388" t="s">
        <v>10088</v>
      </c>
      <c r="H829" s="388" t="s">
        <v>11349</v>
      </c>
      <c r="I829" s="387" t="s">
        <v>11350</v>
      </c>
      <c r="J829" s="389">
        <v>41194</v>
      </c>
      <c r="K829" s="387" t="s">
        <v>11351</v>
      </c>
      <c r="L829" s="387"/>
      <c r="M829" s="387" t="s">
        <v>10084</v>
      </c>
      <c r="N829" s="387"/>
      <c r="O829" s="387" t="s">
        <v>57</v>
      </c>
      <c r="P829" s="390">
        <v>54300000</v>
      </c>
      <c r="Q829" s="387" t="s">
        <v>11352</v>
      </c>
      <c r="R829" s="358" t="s">
        <v>234</v>
      </c>
      <c r="S829" s="340">
        <v>11</v>
      </c>
    </row>
    <row r="830" spans="1:19" ht="43.5" x14ac:dyDescent="0.35">
      <c r="A830" s="349">
        <v>819</v>
      </c>
      <c r="B830" s="387" t="s">
        <v>10155</v>
      </c>
      <c r="C830" s="387" t="s">
        <v>10156</v>
      </c>
      <c r="D830" s="388" t="s">
        <v>116</v>
      </c>
      <c r="E830" s="388" t="s">
        <v>10082</v>
      </c>
      <c r="F830" s="388" t="s">
        <v>10078</v>
      </c>
      <c r="G830" s="388" t="s">
        <v>10088</v>
      </c>
      <c r="H830" s="388" t="s">
        <v>231</v>
      </c>
      <c r="I830" s="387" t="s">
        <v>11353</v>
      </c>
      <c r="J830" s="389">
        <v>41527</v>
      </c>
      <c r="K830" s="387" t="s">
        <v>11354</v>
      </c>
      <c r="L830" s="387"/>
      <c r="M830" s="387" t="s">
        <v>10084</v>
      </c>
      <c r="N830" s="387"/>
      <c r="O830" s="387" t="s">
        <v>57</v>
      </c>
      <c r="P830" s="390">
        <v>267860500</v>
      </c>
      <c r="Q830" s="387" t="s">
        <v>11355</v>
      </c>
      <c r="R830" s="358" t="s">
        <v>234</v>
      </c>
      <c r="S830" s="340">
        <v>11</v>
      </c>
    </row>
    <row r="831" spans="1:19" ht="44" thickBot="1" x14ac:dyDescent="0.4">
      <c r="A831" s="357">
        <v>820</v>
      </c>
      <c r="B831" s="387" t="s">
        <v>10155</v>
      </c>
      <c r="C831" s="387" t="s">
        <v>10156</v>
      </c>
      <c r="D831" s="388" t="s">
        <v>841</v>
      </c>
      <c r="E831" s="388" t="s">
        <v>10082</v>
      </c>
      <c r="F831" s="388" t="s">
        <v>10078</v>
      </c>
      <c r="G831" s="388" t="s">
        <v>10088</v>
      </c>
      <c r="H831" s="388" t="s">
        <v>8956</v>
      </c>
      <c r="I831" s="387" t="s">
        <v>9073</v>
      </c>
      <c r="J831" s="389">
        <v>41896</v>
      </c>
      <c r="K831" s="387" t="s">
        <v>11356</v>
      </c>
      <c r="L831" s="387"/>
      <c r="M831" s="387" t="s">
        <v>10084</v>
      </c>
      <c r="N831" s="387"/>
      <c r="O831" s="387" t="s">
        <v>57</v>
      </c>
      <c r="P831" s="390">
        <v>235870000</v>
      </c>
      <c r="Q831" s="387" t="s">
        <v>11357</v>
      </c>
      <c r="R831" s="358" t="s">
        <v>234</v>
      </c>
      <c r="S831" s="340">
        <v>11</v>
      </c>
    </row>
    <row r="832" spans="1:19" ht="43.5" x14ac:dyDescent="0.35">
      <c r="A832" s="349">
        <v>821</v>
      </c>
      <c r="B832" s="387" t="s">
        <v>10155</v>
      </c>
      <c r="C832" s="387" t="s">
        <v>10156</v>
      </c>
      <c r="D832" s="388" t="s">
        <v>904</v>
      </c>
      <c r="E832" s="388" t="s">
        <v>10082</v>
      </c>
      <c r="F832" s="388" t="s">
        <v>10078</v>
      </c>
      <c r="G832" s="388" t="s">
        <v>10088</v>
      </c>
      <c r="H832" s="388" t="s">
        <v>8956</v>
      </c>
      <c r="I832" s="387" t="s">
        <v>9086</v>
      </c>
      <c r="J832" s="389">
        <v>41890</v>
      </c>
      <c r="K832" s="387" t="s">
        <v>11356</v>
      </c>
      <c r="L832" s="387"/>
      <c r="M832" s="387" t="s">
        <v>10084</v>
      </c>
      <c r="N832" s="387"/>
      <c r="O832" s="387" t="s">
        <v>57</v>
      </c>
      <c r="P832" s="390">
        <v>235870000</v>
      </c>
      <c r="Q832" s="387" t="s">
        <v>11358</v>
      </c>
      <c r="R832" s="358" t="s">
        <v>234</v>
      </c>
      <c r="S832" s="340">
        <v>11</v>
      </c>
    </row>
    <row r="833" spans="1:19" ht="44" thickBot="1" x14ac:dyDescent="0.4">
      <c r="A833" s="357">
        <v>822</v>
      </c>
      <c r="B833" s="387" t="s">
        <v>10155</v>
      </c>
      <c r="C833" s="387" t="s">
        <v>10156</v>
      </c>
      <c r="D833" s="388" t="s">
        <v>122</v>
      </c>
      <c r="E833" s="388" t="s">
        <v>10082</v>
      </c>
      <c r="F833" s="388" t="s">
        <v>10078</v>
      </c>
      <c r="G833" s="388" t="s">
        <v>10088</v>
      </c>
      <c r="H833" s="388" t="s">
        <v>11359</v>
      </c>
      <c r="I833" s="387" t="s">
        <v>11360</v>
      </c>
      <c r="J833" s="389"/>
      <c r="K833" s="387"/>
      <c r="L833" s="387"/>
      <c r="M833" s="387" t="s">
        <v>10084</v>
      </c>
      <c r="N833" s="387"/>
      <c r="O833" s="387" t="s">
        <v>57</v>
      </c>
      <c r="P833" s="390">
        <v>2332292370.6999998</v>
      </c>
      <c r="Q833" s="387" t="s">
        <v>11361</v>
      </c>
      <c r="R833" s="358" t="s">
        <v>234</v>
      </c>
      <c r="S833" s="340">
        <v>11</v>
      </c>
    </row>
    <row r="834" spans="1:19" ht="43.5" x14ac:dyDescent="0.35">
      <c r="A834" s="349">
        <v>823</v>
      </c>
      <c r="B834" s="387" t="s">
        <v>10155</v>
      </c>
      <c r="C834" s="387" t="s">
        <v>10156</v>
      </c>
      <c r="D834" s="388" t="s">
        <v>126</v>
      </c>
      <c r="E834" s="388" t="s">
        <v>10082</v>
      </c>
      <c r="F834" s="388" t="s">
        <v>10078</v>
      </c>
      <c r="G834" s="388" t="s">
        <v>10078</v>
      </c>
      <c r="H834" s="388" t="s">
        <v>11297</v>
      </c>
      <c r="I834" s="387" t="s">
        <v>11362</v>
      </c>
      <c r="J834" s="389"/>
      <c r="K834" s="387"/>
      <c r="L834" s="387"/>
      <c r="M834" s="387" t="s">
        <v>10084</v>
      </c>
      <c r="N834" s="387"/>
      <c r="O834" s="387" t="s">
        <v>57</v>
      </c>
      <c r="P834" s="390">
        <v>467649330</v>
      </c>
      <c r="Q834" s="387" t="s">
        <v>11363</v>
      </c>
      <c r="R834" s="358" t="s">
        <v>234</v>
      </c>
      <c r="S834" s="340">
        <v>11</v>
      </c>
    </row>
    <row r="835" spans="1:19" ht="44" thickBot="1" x14ac:dyDescent="0.4">
      <c r="A835" s="357">
        <v>824</v>
      </c>
      <c r="B835" s="387" t="s">
        <v>10535</v>
      </c>
      <c r="C835" s="387" t="s">
        <v>10536</v>
      </c>
      <c r="D835" s="388" t="s">
        <v>51</v>
      </c>
      <c r="E835" s="388" t="s">
        <v>10082</v>
      </c>
      <c r="F835" s="388" t="s">
        <v>10078</v>
      </c>
      <c r="G835" s="388" t="s">
        <v>10088</v>
      </c>
      <c r="H835" s="388" t="s">
        <v>11364</v>
      </c>
      <c r="I835" s="387" t="s">
        <v>11365</v>
      </c>
      <c r="J835" s="389">
        <v>42503</v>
      </c>
      <c r="K835" s="387" t="s">
        <v>11366</v>
      </c>
      <c r="L835" s="387"/>
      <c r="M835" s="387" t="s">
        <v>10084</v>
      </c>
      <c r="N835" s="387"/>
      <c r="O835" s="387" t="s">
        <v>57</v>
      </c>
      <c r="P835" s="390">
        <v>149020000</v>
      </c>
      <c r="Q835" s="387" t="s">
        <v>11367</v>
      </c>
      <c r="R835" s="358" t="s">
        <v>234</v>
      </c>
      <c r="S835" s="340">
        <v>11</v>
      </c>
    </row>
    <row r="836" spans="1:19" ht="43.5" x14ac:dyDescent="0.35">
      <c r="A836" s="349">
        <v>825</v>
      </c>
      <c r="B836" s="387" t="s">
        <v>10535</v>
      </c>
      <c r="C836" s="387" t="s">
        <v>10536</v>
      </c>
      <c r="D836" s="388" t="s">
        <v>59</v>
      </c>
      <c r="E836" s="388" t="s">
        <v>10082</v>
      </c>
      <c r="F836" s="388" t="s">
        <v>10078</v>
      </c>
      <c r="G836" s="388" t="s">
        <v>10088</v>
      </c>
      <c r="H836" s="388" t="s">
        <v>2972</v>
      </c>
      <c r="I836" s="387" t="s">
        <v>11368</v>
      </c>
      <c r="J836" s="389">
        <v>40073</v>
      </c>
      <c r="K836" s="387" t="s">
        <v>11369</v>
      </c>
      <c r="L836" s="387"/>
      <c r="M836" s="387" t="s">
        <v>10084</v>
      </c>
      <c r="N836" s="387"/>
      <c r="O836" s="387" t="s">
        <v>57</v>
      </c>
      <c r="P836" s="390">
        <v>580420000</v>
      </c>
      <c r="Q836" s="387" t="s">
        <v>11370</v>
      </c>
      <c r="R836" s="358" t="s">
        <v>234</v>
      </c>
      <c r="S836" s="340">
        <v>11</v>
      </c>
    </row>
    <row r="837" spans="1:19" ht="44" thickBot="1" x14ac:dyDescent="0.4">
      <c r="A837" s="357">
        <v>826</v>
      </c>
      <c r="B837" s="387" t="s">
        <v>10541</v>
      </c>
      <c r="C837" s="387" t="s">
        <v>10542</v>
      </c>
      <c r="D837" s="388" t="s">
        <v>51</v>
      </c>
      <c r="E837" s="388" t="s">
        <v>10082</v>
      </c>
      <c r="F837" s="388" t="s">
        <v>10078</v>
      </c>
      <c r="G837" s="388" t="s">
        <v>10088</v>
      </c>
      <c r="H837" s="388" t="s">
        <v>11333</v>
      </c>
      <c r="I837" s="387" t="s">
        <v>11350</v>
      </c>
      <c r="J837" s="389">
        <v>40061</v>
      </c>
      <c r="K837" s="387" t="s">
        <v>11371</v>
      </c>
      <c r="L837" s="387"/>
      <c r="M837" s="387" t="s">
        <v>10084</v>
      </c>
      <c r="N837" s="387"/>
      <c r="O837" s="387" t="s">
        <v>57</v>
      </c>
      <c r="P837" s="390">
        <v>78099200</v>
      </c>
      <c r="Q837" s="387" t="s">
        <v>11372</v>
      </c>
      <c r="R837" s="358" t="s">
        <v>234</v>
      </c>
      <c r="S837" s="340">
        <v>11</v>
      </c>
    </row>
    <row r="838" spans="1:19" ht="43.5" x14ac:dyDescent="0.35">
      <c r="A838" s="349">
        <v>827</v>
      </c>
      <c r="B838" s="387" t="s">
        <v>10559</v>
      </c>
      <c r="C838" s="387" t="s">
        <v>10560</v>
      </c>
      <c r="D838" s="388" t="s">
        <v>51</v>
      </c>
      <c r="E838" s="388" t="s">
        <v>10082</v>
      </c>
      <c r="F838" s="388" t="s">
        <v>10078</v>
      </c>
      <c r="G838" s="388" t="s">
        <v>10088</v>
      </c>
      <c r="H838" s="388" t="s">
        <v>11333</v>
      </c>
      <c r="I838" s="387" t="s">
        <v>11373</v>
      </c>
      <c r="J838" s="389">
        <v>41214</v>
      </c>
      <c r="K838" s="387" t="s">
        <v>11374</v>
      </c>
      <c r="L838" s="387"/>
      <c r="M838" s="387" t="s">
        <v>10084</v>
      </c>
      <c r="N838" s="387"/>
      <c r="O838" s="387" t="s">
        <v>57</v>
      </c>
      <c r="P838" s="390">
        <v>183093700</v>
      </c>
      <c r="Q838" s="387" t="s">
        <v>11375</v>
      </c>
      <c r="R838" s="358" t="s">
        <v>234</v>
      </c>
      <c r="S838" s="340">
        <v>11</v>
      </c>
    </row>
    <row r="839" spans="1:19" ht="44" thickBot="1" x14ac:dyDescent="0.4">
      <c r="A839" s="357">
        <v>828</v>
      </c>
      <c r="B839" s="387" t="s">
        <v>10559</v>
      </c>
      <c r="C839" s="387" t="s">
        <v>10560</v>
      </c>
      <c r="D839" s="388" t="s">
        <v>59</v>
      </c>
      <c r="E839" s="388" t="s">
        <v>10082</v>
      </c>
      <c r="F839" s="388" t="s">
        <v>10078</v>
      </c>
      <c r="G839" s="388" t="s">
        <v>10088</v>
      </c>
      <c r="H839" s="388" t="s">
        <v>11333</v>
      </c>
      <c r="I839" s="387" t="s">
        <v>11376</v>
      </c>
      <c r="J839" s="389">
        <v>41214</v>
      </c>
      <c r="K839" s="387" t="s">
        <v>11377</v>
      </c>
      <c r="L839" s="387"/>
      <c r="M839" s="387" t="s">
        <v>10084</v>
      </c>
      <c r="N839" s="387"/>
      <c r="O839" s="387" t="s">
        <v>57</v>
      </c>
      <c r="P839" s="390">
        <v>183093700</v>
      </c>
      <c r="Q839" s="387" t="s">
        <v>11378</v>
      </c>
      <c r="R839" s="358" t="s">
        <v>234</v>
      </c>
      <c r="S839" s="340">
        <v>11</v>
      </c>
    </row>
    <row r="840" spans="1:19" ht="43.5" x14ac:dyDescent="0.35">
      <c r="A840" s="349">
        <v>829</v>
      </c>
      <c r="B840" s="387" t="s">
        <v>10559</v>
      </c>
      <c r="C840" s="387" t="s">
        <v>10560</v>
      </c>
      <c r="D840" s="388" t="s">
        <v>97</v>
      </c>
      <c r="E840" s="388" t="s">
        <v>10082</v>
      </c>
      <c r="F840" s="388" t="s">
        <v>10078</v>
      </c>
      <c r="G840" s="388" t="s">
        <v>10088</v>
      </c>
      <c r="H840" s="388" t="s">
        <v>8956</v>
      </c>
      <c r="I840" s="387" t="s">
        <v>11379</v>
      </c>
      <c r="J840" s="389">
        <v>41243</v>
      </c>
      <c r="K840" s="387" t="s">
        <v>11380</v>
      </c>
      <c r="L840" s="387"/>
      <c r="M840" s="387" t="s">
        <v>10084</v>
      </c>
      <c r="N840" s="387"/>
      <c r="O840" s="387" t="s">
        <v>57</v>
      </c>
      <c r="P840" s="390">
        <v>183093800</v>
      </c>
      <c r="Q840" s="387" t="s">
        <v>11381</v>
      </c>
      <c r="R840" s="358" t="s">
        <v>234</v>
      </c>
      <c r="S840" s="340">
        <v>11</v>
      </c>
    </row>
    <row r="841" spans="1:19" ht="44" thickBot="1" x14ac:dyDescent="0.4">
      <c r="A841" s="357">
        <v>830</v>
      </c>
      <c r="B841" s="387" t="s">
        <v>11382</v>
      </c>
      <c r="C841" s="387" t="s">
        <v>11383</v>
      </c>
      <c r="D841" s="388" t="s">
        <v>51</v>
      </c>
      <c r="E841" s="388" t="s">
        <v>10082</v>
      </c>
      <c r="F841" s="388" t="s">
        <v>10078</v>
      </c>
      <c r="G841" s="388" t="s">
        <v>10078</v>
      </c>
      <c r="H841" s="388" t="s">
        <v>11384</v>
      </c>
      <c r="I841" s="387" t="s">
        <v>11385</v>
      </c>
      <c r="J841" s="389"/>
      <c r="K841" s="387"/>
      <c r="L841" s="387"/>
      <c r="M841" s="387" t="s">
        <v>10084</v>
      </c>
      <c r="N841" s="387"/>
      <c r="O841" s="387" t="s">
        <v>57</v>
      </c>
      <c r="P841" s="390">
        <v>43390000</v>
      </c>
      <c r="Q841" s="387" t="s">
        <v>11386</v>
      </c>
      <c r="R841" s="358" t="s">
        <v>234</v>
      </c>
      <c r="S841" s="340">
        <v>11</v>
      </c>
    </row>
    <row r="842" spans="1:19" ht="43.5" x14ac:dyDescent="0.35">
      <c r="A842" s="349">
        <v>831</v>
      </c>
      <c r="B842" s="387" t="s">
        <v>10511</v>
      </c>
      <c r="C842" s="387" t="s">
        <v>10512</v>
      </c>
      <c r="D842" s="388" t="s">
        <v>51</v>
      </c>
      <c r="E842" s="388" t="s">
        <v>10082</v>
      </c>
      <c r="F842" s="388" t="s">
        <v>10078</v>
      </c>
      <c r="G842" s="388" t="s">
        <v>10088</v>
      </c>
      <c r="H842" s="388" t="s">
        <v>2972</v>
      </c>
      <c r="I842" s="387" t="s">
        <v>11368</v>
      </c>
      <c r="J842" s="389">
        <v>40073</v>
      </c>
      <c r="K842" s="387" t="s">
        <v>11387</v>
      </c>
      <c r="L842" s="387"/>
      <c r="M842" s="387" t="s">
        <v>10084</v>
      </c>
      <c r="N842" s="387"/>
      <c r="O842" s="387" t="s">
        <v>57</v>
      </c>
      <c r="P842" s="390">
        <v>33707500</v>
      </c>
      <c r="Q842" s="387" t="s">
        <v>11388</v>
      </c>
      <c r="R842" s="358" t="s">
        <v>234</v>
      </c>
      <c r="S842" s="340">
        <v>11</v>
      </c>
    </row>
    <row r="843" spans="1:19" ht="44" thickBot="1" x14ac:dyDescent="0.4">
      <c r="A843" s="357">
        <v>832</v>
      </c>
      <c r="B843" s="387" t="s">
        <v>10511</v>
      </c>
      <c r="C843" s="387" t="s">
        <v>10512</v>
      </c>
      <c r="D843" s="388" t="s">
        <v>59</v>
      </c>
      <c r="E843" s="388" t="s">
        <v>10082</v>
      </c>
      <c r="F843" s="388"/>
      <c r="G843" s="388"/>
      <c r="H843" s="388"/>
      <c r="I843" s="387" t="s">
        <v>63</v>
      </c>
      <c r="J843" s="389"/>
      <c r="K843" s="387" t="s">
        <v>11389</v>
      </c>
      <c r="L843" s="387"/>
      <c r="M843" s="387"/>
      <c r="N843" s="387"/>
      <c r="O843" s="387" t="s">
        <v>44</v>
      </c>
      <c r="P843" s="390">
        <v>33700100</v>
      </c>
      <c r="Q843" s="387" t="s">
        <v>11390</v>
      </c>
      <c r="R843" s="358" t="s">
        <v>234</v>
      </c>
      <c r="S843" s="340">
        <v>11</v>
      </c>
    </row>
    <row r="844" spans="1:19" ht="43.5" x14ac:dyDescent="0.35">
      <c r="A844" s="349">
        <v>833</v>
      </c>
      <c r="B844" s="387" t="s">
        <v>10096</v>
      </c>
      <c r="C844" s="387" t="s">
        <v>10097</v>
      </c>
      <c r="D844" s="388" t="s">
        <v>51</v>
      </c>
      <c r="E844" s="388" t="s">
        <v>10082</v>
      </c>
      <c r="F844" s="388" t="s">
        <v>10078</v>
      </c>
      <c r="G844" s="388" t="s">
        <v>10088</v>
      </c>
      <c r="H844" s="388" t="s">
        <v>2972</v>
      </c>
      <c r="I844" s="387" t="s">
        <v>11373</v>
      </c>
      <c r="J844" s="389">
        <v>44022</v>
      </c>
      <c r="K844" s="387" t="s">
        <v>11391</v>
      </c>
      <c r="L844" s="387"/>
      <c r="M844" s="387" t="s">
        <v>10084</v>
      </c>
      <c r="N844" s="387"/>
      <c r="O844" s="387" t="s">
        <v>57</v>
      </c>
      <c r="P844" s="390">
        <v>175894020</v>
      </c>
      <c r="Q844" s="387" t="s">
        <v>11392</v>
      </c>
      <c r="R844" s="358" t="s">
        <v>234</v>
      </c>
      <c r="S844" s="340">
        <v>11</v>
      </c>
    </row>
    <row r="845" spans="1:19" ht="44" thickBot="1" x14ac:dyDescent="0.4">
      <c r="A845" s="357">
        <v>834</v>
      </c>
      <c r="B845" s="387" t="s">
        <v>10096</v>
      </c>
      <c r="C845" s="387" t="s">
        <v>10097</v>
      </c>
      <c r="D845" s="388" t="s">
        <v>59</v>
      </c>
      <c r="E845" s="388" t="s">
        <v>10082</v>
      </c>
      <c r="F845" s="388" t="s">
        <v>10078</v>
      </c>
      <c r="G845" s="388" t="s">
        <v>10088</v>
      </c>
      <c r="H845" s="388" t="s">
        <v>2972</v>
      </c>
      <c r="I845" s="387" t="s">
        <v>11343</v>
      </c>
      <c r="J845" s="389">
        <v>44022</v>
      </c>
      <c r="K845" s="387" t="s">
        <v>11393</v>
      </c>
      <c r="L845" s="387"/>
      <c r="M845" s="387" t="s">
        <v>10084</v>
      </c>
      <c r="N845" s="387"/>
      <c r="O845" s="387" t="s">
        <v>57</v>
      </c>
      <c r="P845" s="390">
        <v>183660000</v>
      </c>
      <c r="Q845" s="387" t="s">
        <v>11394</v>
      </c>
      <c r="R845" s="358" t="s">
        <v>234</v>
      </c>
      <c r="S845" s="340">
        <v>11</v>
      </c>
    </row>
    <row r="846" spans="1:19" ht="43.5" x14ac:dyDescent="0.35">
      <c r="A846" s="349">
        <v>835</v>
      </c>
      <c r="B846" s="387" t="s">
        <v>10096</v>
      </c>
      <c r="C846" s="387" t="s">
        <v>10097</v>
      </c>
      <c r="D846" s="388" t="s">
        <v>97</v>
      </c>
      <c r="E846" s="388" t="s">
        <v>10082</v>
      </c>
      <c r="F846" s="388" t="s">
        <v>10078</v>
      </c>
      <c r="G846" s="388" t="s">
        <v>10088</v>
      </c>
      <c r="H846" s="388" t="s">
        <v>2972</v>
      </c>
      <c r="I846" s="387" t="s">
        <v>11379</v>
      </c>
      <c r="J846" s="389">
        <v>44022</v>
      </c>
      <c r="K846" s="387" t="s">
        <v>11395</v>
      </c>
      <c r="L846" s="387"/>
      <c r="M846" s="387" t="s">
        <v>10084</v>
      </c>
      <c r="N846" s="387"/>
      <c r="O846" s="387" t="s">
        <v>57</v>
      </c>
      <c r="P846" s="390">
        <v>183760000</v>
      </c>
      <c r="Q846" s="387" t="s">
        <v>11396</v>
      </c>
      <c r="R846" s="358" t="s">
        <v>234</v>
      </c>
      <c r="S846" s="340">
        <v>11</v>
      </c>
    </row>
    <row r="847" spans="1:19" ht="44" thickBot="1" x14ac:dyDescent="0.4">
      <c r="A847" s="357">
        <v>836</v>
      </c>
      <c r="B847" s="387" t="s">
        <v>10096</v>
      </c>
      <c r="C847" s="387" t="s">
        <v>10097</v>
      </c>
      <c r="D847" s="388" t="s">
        <v>101</v>
      </c>
      <c r="E847" s="388" t="s">
        <v>10082</v>
      </c>
      <c r="F847" s="388" t="s">
        <v>10078</v>
      </c>
      <c r="G847" s="388" t="s">
        <v>10088</v>
      </c>
      <c r="H847" s="388" t="s">
        <v>82</v>
      </c>
      <c r="I847" s="387" t="s">
        <v>11397</v>
      </c>
      <c r="J847" s="389">
        <v>42325</v>
      </c>
      <c r="K847" s="387" t="s">
        <v>11398</v>
      </c>
      <c r="L847" s="387"/>
      <c r="M847" s="387" t="s">
        <v>10084</v>
      </c>
      <c r="N847" s="387"/>
      <c r="O847" s="387" t="s">
        <v>57</v>
      </c>
      <c r="P847" s="390">
        <v>199321000</v>
      </c>
      <c r="Q847" s="387" t="s">
        <v>11399</v>
      </c>
      <c r="R847" s="358" t="s">
        <v>234</v>
      </c>
      <c r="S847" s="340">
        <v>11</v>
      </c>
    </row>
    <row r="848" spans="1:19" ht="29" x14ac:dyDescent="0.35">
      <c r="A848" s="349">
        <v>837</v>
      </c>
      <c r="B848" s="387" t="s">
        <v>10155</v>
      </c>
      <c r="C848" s="387" t="s">
        <v>10156</v>
      </c>
      <c r="D848" s="388" t="s">
        <v>51</v>
      </c>
      <c r="E848" s="388" t="s">
        <v>10082</v>
      </c>
      <c r="F848" s="388" t="s">
        <v>10078</v>
      </c>
      <c r="G848" s="388" t="s">
        <v>10088</v>
      </c>
      <c r="H848" s="388" t="s">
        <v>11400</v>
      </c>
      <c r="I848" s="387" t="s">
        <v>11401</v>
      </c>
      <c r="J848" s="389"/>
      <c r="K848" s="387"/>
      <c r="L848" s="387"/>
      <c r="M848" s="387" t="s">
        <v>10084</v>
      </c>
      <c r="N848" s="387"/>
      <c r="O848" s="387" t="s">
        <v>422</v>
      </c>
      <c r="P848" s="390">
        <v>260987000</v>
      </c>
      <c r="Q848" s="387" t="s">
        <v>11402</v>
      </c>
      <c r="R848" s="358" t="s">
        <v>258</v>
      </c>
      <c r="S848" s="340">
        <v>12</v>
      </c>
    </row>
    <row r="849" spans="1:19" ht="29.5" thickBot="1" x14ac:dyDescent="0.4">
      <c r="A849" s="357">
        <v>838</v>
      </c>
      <c r="B849" s="387" t="s">
        <v>10155</v>
      </c>
      <c r="C849" s="387" t="s">
        <v>10156</v>
      </c>
      <c r="D849" s="388" t="s">
        <v>59</v>
      </c>
      <c r="E849" s="388" t="s">
        <v>10673</v>
      </c>
      <c r="F849" s="388" t="s">
        <v>10078</v>
      </c>
      <c r="G849" s="388" t="s">
        <v>10088</v>
      </c>
      <c r="H849" s="388" t="s">
        <v>11318</v>
      </c>
      <c r="I849" s="387" t="s">
        <v>11403</v>
      </c>
      <c r="J849" s="389"/>
      <c r="K849" s="387"/>
      <c r="L849" s="387"/>
      <c r="M849" s="387" t="s">
        <v>10084</v>
      </c>
      <c r="N849" s="387"/>
      <c r="O849" s="387" t="s">
        <v>57</v>
      </c>
      <c r="P849" s="390">
        <v>51728000</v>
      </c>
      <c r="Q849" s="387" t="s">
        <v>11404</v>
      </c>
      <c r="R849" s="358" t="s">
        <v>258</v>
      </c>
      <c r="S849" s="340">
        <v>12</v>
      </c>
    </row>
    <row r="850" spans="1:19" ht="29" x14ac:dyDescent="0.35">
      <c r="A850" s="349">
        <v>839</v>
      </c>
      <c r="B850" s="387" t="s">
        <v>10155</v>
      </c>
      <c r="C850" s="387" t="s">
        <v>10156</v>
      </c>
      <c r="D850" s="388" t="s">
        <v>97</v>
      </c>
      <c r="E850" s="388" t="s">
        <v>10673</v>
      </c>
      <c r="F850" s="388" t="s">
        <v>10078</v>
      </c>
      <c r="G850" s="388" t="s">
        <v>10088</v>
      </c>
      <c r="H850" s="388" t="s">
        <v>11318</v>
      </c>
      <c r="I850" s="387" t="s">
        <v>11405</v>
      </c>
      <c r="J850" s="389"/>
      <c r="K850" s="387"/>
      <c r="L850" s="387"/>
      <c r="M850" s="387" t="s">
        <v>10084</v>
      </c>
      <c r="N850" s="387"/>
      <c r="O850" s="387" t="s">
        <v>57</v>
      </c>
      <c r="P850" s="390">
        <v>74250000</v>
      </c>
      <c r="Q850" s="387" t="s">
        <v>11406</v>
      </c>
      <c r="R850" s="358" t="s">
        <v>258</v>
      </c>
      <c r="S850" s="340">
        <v>12</v>
      </c>
    </row>
    <row r="851" spans="1:19" ht="29.5" thickBot="1" x14ac:dyDescent="0.4">
      <c r="A851" s="357">
        <v>840</v>
      </c>
      <c r="B851" s="387" t="s">
        <v>10155</v>
      </c>
      <c r="C851" s="387" t="s">
        <v>10156</v>
      </c>
      <c r="D851" s="388" t="s">
        <v>101</v>
      </c>
      <c r="E851" s="388" t="s">
        <v>10673</v>
      </c>
      <c r="F851" s="388" t="s">
        <v>10078</v>
      </c>
      <c r="G851" s="388" t="s">
        <v>10088</v>
      </c>
      <c r="H851" s="388" t="s">
        <v>11297</v>
      </c>
      <c r="I851" s="387" t="s">
        <v>11405</v>
      </c>
      <c r="J851" s="389"/>
      <c r="K851" s="387"/>
      <c r="L851" s="387"/>
      <c r="M851" s="387" t="s">
        <v>10084</v>
      </c>
      <c r="N851" s="387"/>
      <c r="O851" s="387" t="s">
        <v>57</v>
      </c>
      <c r="P851" s="390">
        <v>89100000</v>
      </c>
      <c r="Q851" s="387" t="s">
        <v>11406</v>
      </c>
      <c r="R851" s="358" t="s">
        <v>258</v>
      </c>
      <c r="S851" s="340">
        <v>12</v>
      </c>
    </row>
    <row r="852" spans="1:19" ht="29" x14ac:dyDescent="0.35">
      <c r="A852" s="349">
        <v>841</v>
      </c>
      <c r="B852" s="387" t="s">
        <v>10155</v>
      </c>
      <c r="C852" s="387" t="s">
        <v>10156</v>
      </c>
      <c r="D852" s="388" t="s">
        <v>107</v>
      </c>
      <c r="E852" s="388" t="s">
        <v>10673</v>
      </c>
      <c r="F852" s="388" t="s">
        <v>10078</v>
      </c>
      <c r="G852" s="388" t="s">
        <v>10088</v>
      </c>
      <c r="H852" s="388" t="s">
        <v>11407</v>
      </c>
      <c r="I852" s="387" t="s">
        <v>11405</v>
      </c>
      <c r="J852" s="389"/>
      <c r="K852" s="387"/>
      <c r="L852" s="387"/>
      <c r="M852" s="387" t="s">
        <v>10084</v>
      </c>
      <c r="N852" s="387"/>
      <c r="O852" s="387" t="s">
        <v>57</v>
      </c>
      <c r="P852" s="390">
        <v>115500000</v>
      </c>
      <c r="Q852" s="387" t="s">
        <v>11406</v>
      </c>
      <c r="R852" s="358" t="s">
        <v>258</v>
      </c>
      <c r="S852" s="340">
        <v>12</v>
      </c>
    </row>
    <row r="853" spans="1:19" ht="29.5" thickBot="1" x14ac:dyDescent="0.4">
      <c r="A853" s="357">
        <v>842</v>
      </c>
      <c r="B853" s="387" t="s">
        <v>10155</v>
      </c>
      <c r="C853" s="387" t="s">
        <v>10156</v>
      </c>
      <c r="D853" s="388" t="s">
        <v>112</v>
      </c>
      <c r="E853" s="388" t="s">
        <v>10673</v>
      </c>
      <c r="F853" s="388" t="s">
        <v>10078</v>
      </c>
      <c r="G853" s="388" t="s">
        <v>10088</v>
      </c>
      <c r="H853" s="388" t="s">
        <v>8956</v>
      </c>
      <c r="I853" s="387" t="s">
        <v>11405</v>
      </c>
      <c r="J853" s="389"/>
      <c r="K853" s="387"/>
      <c r="L853" s="387"/>
      <c r="M853" s="387" t="s">
        <v>10084</v>
      </c>
      <c r="N853" s="387"/>
      <c r="O853" s="387" t="s">
        <v>57</v>
      </c>
      <c r="P853" s="390">
        <v>121275000</v>
      </c>
      <c r="Q853" s="387" t="s">
        <v>11406</v>
      </c>
      <c r="R853" s="358" t="s">
        <v>258</v>
      </c>
      <c r="S853" s="340">
        <v>12</v>
      </c>
    </row>
    <row r="854" spans="1:19" ht="29" x14ac:dyDescent="0.35">
      <c r="A854" s="349">
        <v>843</v>
      </c>
      <c r="B854" s="387" t="s">
        <v>10155</v>
      </c>
      <c r="C854" s="387" t="s">
        <v>10156</v>
      </c>
      <c r="D854" s="388" t="s">
        <v>116</v>
      </c>
      <c r="E854" s="388" t="s">
        <v>10673</v>
      </c>
      <c r="F854" s="388" t="s">
        <v>10078</v>
      </c>
      <c r="G854" s="388" t="s">
        <v>10088</v>
      </c>
      <c r="H854" s="388" t="s">
        <v>11408</v>
      </c>
      <c r="I854" s="387" t="s">
        <v>11405</v>
      </c>
      <c r="J854" s="389"/>
      <c r="K854" s="387"/>
      <c r="L854" s="387"/>
      <c r="M854" s="387" t="s">
        <v>10084</v>
      </c>
      <c r="N854" s="387"/>
      <c r="O854" s="387" t="s">
        <v>57</v>
      </c>
      <c r="P854" s="390">
        <v>201960000</v>
      </c>
      <c r="Q854" s="387" t="s">
        <v>11406</v>
      </c>
      <c r="R854" s="358" t="s">
        <v>258</v>
      </c>
      <c r="S854" s="340">
        <v>12</v>
      </c>
    </row>
    <row r="855" spans="1:19" ht="29.5" thickBot="1" x14ac:dyDescent="0.4">
      <c r="A855" s="357">
        <v>844</v>
      </c>
      <c r="B855" s="387" t="s">
        <v>10155</v>
      </c>
      <c r="C855" s="387" t="s">
        <v>10156</v>
      </c>
      <c r="D855" s="388" t="s">
        <v>841</v>
      </c>
      <c r="E855" s="388" t="s">
        <v>10673</v>
      </c>
      <c r="F855" s="388" t="s">
        <v>10078</v>
      </c>
      <c r="G855" s="388" t="s">
        <v>10078</v>
      </c>
      <c r="H855" s="388" t="s">
        <v>11409</v>
      </c>
      <c r="I855" s="387" t="s">
        <v>11410</v>
      </c>
      <c r="J855" s="389"/>
      <c r="K855" s="387" t="s">
        <v>11411</v>
      </c>
      <c r="L855" s="387"/>
      <c r="M855" s="387" t="s">
        <v>10084</v>
      </c>
      <c r="N855" s="387"/>
      <c r="O855" s="387" t="s">
        <v>422</v>
      </c>
      <c r="P855" s="390">
        <v>231220000</v>
      </c>
      <c r="Q855" s="387" t="s">
        <v>11412</v>
      </c>
      <c r="R855" s="358" t="s">
        <v>258</v>
      </c>
      <c r="S855" s="340">
        <v>12</v>
      </c>
    </row>
    <row r="856" spans="1:19" ht="29" x14ac:dyDescent="0.35">
      <c r="A856" s="349">
        <v>845</v>
      </c>
      <c r="B856" s="387" t="s">
        <v>10155</v>
      </c>
      <c r="C856" s="387" t="s">
        <v>10156</v>
      </c>
      <c r="D856" s="388" t="s">
        <v>904</v>
      </c>
      <c r="E856" s="388" t="s">
        <v>10673</v>
      </c>
      <c r="F856" s="388" t="s">
        <v>10078</v>
      </c>
      <c r="G856" s="388" t="s">
        <v>10088</v>
      </c>
      <c r="H856" s="388" t="s">
        <v>11413</v>
      </c>
      <c r="I856" s="387" t="s">
        <v>11414</v>
      </c>
      <c r="J856" s="389"/>
      <c r="K856" s="387"/>
      <c r="L856" s="387"/>
      <c r="M856" s="387" t="s">
        <v>10084</v>
      </c>
      <c r="N856" s="387"/>
      <c r="O856" s="387" t="s">
        <v>57</v>
      </c>
      <c r="P856" s="390">
        <v>403920000</v>
      </c>
      <c r="Q856" s="387" t="s">
        <v>11406</v>
      </c>
      <c r="R856" s="358" t="s">
        <v>258</v>
      </c>
      <c r="S856" s="340">
        <v>12</v>
      </c>
    </row>
    <row r="857" spans="1:19" ht="44" thickBot="1" x14ac:dyDescent="0.4">
      <c r="A857" s="357">
        <v>846</v>
      </c>
      <c r="B857" s="387" t="s">
        <v>10155</v>
      </c>
      <c r="C857" s="387" t="s">
        <v>10156</v>
      </c>
      <c r="D857" s="388" t="s">
        <v>122</v>
      </c>
      <c r="E857" s="388" t="s">
        <v>10082</v>
      </c>
      <c r="F857" s="388" t="s">
        <v>10078</v>
      </c>
      <c r="G857" s="388" t="s">
        <v>10088</v>
      </c>
      <c r="H857" s="388" t="s">
        <v>11415</v>
      </c>
      <c r="I857" s="387" t="s">
        <v>11416</v>
      </c>
      <c r="J857" s="389">
        <v>41794</v>
      </c>
      <c r="K857" s="387" t="s">
        <v>11417</v>
      </c>
      <c r="L857" s="387"/>
      <c r="M857" s="387" t="s">
        <v>10084</v>
      </c>
      <c r="N857" s="387"/>
      <c r="O857" s="387" t="s">
        <v>57</v>
      </c>
      <c r="P857" s="390">
        <v>219375000</v>
      </c>
      <c r="Q857" s="387" t="s">
        <v>11418</v>
      </c>
      <c r="R857" s="358" t="s">
        <v>258</v>
      </c>
      <c r="S857" s="340">
        <v>12</v>
      </c>
    </row>
    <row r="858" spans="1:19" ht="43.5" x14ac:dyDescent="0.35">
      <c r="A858" s="349">
        <v>847</v>
      </c>
      <c r="B858" s="387" t="s">
        <v>10155</v>
      </c>
      <c r="C858" s="387" t="s">
        <v>10156</v>
      </c>
      <c r="D858" s="388" t="s">
        <v>126</v>
      </c>
      <c r="E858" s="388" t="s">
        <v>10082</v>
      </c>
      <c r="F858" s="388" t="s">
        <v>10078</v>
      </c>
      <c r="G858" s="388" t="s">
        <v>10088</v>
      </c>
      <c r="H858" s="388" t="s">
        <v>11297</v>
      </c>
      <c r="I858" s="387" t="s">
        <v>11416</v>
      </c>
      <c r="J858" s="389">
        <v>41758</v>
      </c>
      <c r="K858" s="387" t="s">
        <v>11419</v>
      </c>
      <c r="L858" s="387"/>
      <c r="M858" s="387" t="s">
        <v>10084</v>
      </c>
      <c r="N858" s="387"/>
      <c r="O858" s="387" t="s">
        <v>57</v>
      </c>
      <c r="P858" s="390">
        <v>219444000</v>
      </c>
      <c r="Q858" s="387" t="s">
        <v>11420</v>
      </c>
      <c r="R858" s="358" t="s">
        <v>258</v>
      </c>
      <c r="S858" s="340">
        <v>12</v>
      </c>
    </row>
    <row r="859" spans="1:19" ht="29.5" thickBot="1" x14ac:dyDescent="0.4">
      <c r="A859" s="357">
        <v>848</v>
      </c>
      <c r="B859" s="387" t="s">
        <v>10155</v>
      </c>
      <c r="C859" s="387" t="s">
        <v>10156</v>
      </c>
      <c r="D859" s="388" t="s">
        <v>132</v>
      </c>
      <c r="E859" s="388" t="s">
        <v>10082</v>
      </c>
      <c r="F859" s="388" t="s">
        <v>10078</v>
      </c>
      <c r="G859" s="388" t="s">
        <v>10088</v>
      </c>
      <c r="H859" s="388" t="s">
        <v>11421</v>
      </c>
      <c r="I859" s="387" t="s">
        <v>11422</v>
      </c>
      <c r="J859" s="389">
        <v>41785</v>
      </c>
      <c r="K859" s="387" t="s">
        <v>11423</v>
      </c>
      <c r="L859" s="387"/>
      <c r="M859" s="387" t="s">
        <v>10084</v>
      </c>
      <c r="N859" s="387"/>
      <c r="O859" s="387" t="s">
        <v>57</v>
      </c>
      <c r="P859" s="390">
        <v>220014000</v>
      </c>
      <c r="Q859" s="387" t="s">
        <v>11424</v>
      </c>
      <c r="R859" s="358" t="s">
        <v>258</v>
      </c>
      <c r="S859" s="340">
        <v>12</v>
      </c>
    </row>
    <row r="860" spans="1:19" ht="29" x14ac:dyDescent="0.35">
      <c r="A860" s="349">
        <v>849</v>
      </c>
      <c r="B860" s="387" t="s">
        <v>10155</v>
      </c>
      <c r="C860" s="387" t="s">
        <v>10156</v>
      </c>
      <c r="D860" s="388" t="s">
        <v>137</v>
      </c>
      <c r="E860" s="388" t="s">
        <v>10082</v>
      </c>
      <c r="F860" s="388" t="s">
        <v>10078</v>
      </c>
      <c r="G860" s="388" t="s">
        <v>10078</v>
      </c>
      <c r="H860" s="388" t="s">
        <v>11425</v>
      </c>
      <c r="I860" s="387" t="s">
        <v>11426</v>
      </c>
      <c r="J860" s="389">
        <v>43959</v>
      </c>
      <c r="K860" s="387" t="s">
        <v>11427</v>
      </c>
      <c r="L860" s="387"/>
      <c r="M860" s="387" t="s">
        <v>10084</v>
      </c>
      <c r="N860" s="387"/>
      <c r="O860" s="387" t="s">
        <v>422</v>
      </c>
      <c r="P860" s="390">
        <v>401773900</v>
      </c>
      <c r="Q860" s="387" t="s">
        <v>11428</v>
      </c>
      <c r="R860" s="358" t="s">
        <v>258</v>
      </c>
      <c r="S860" s="340">
        <v>12</v>
      </c>
    </row>
    <row r="861" spans="1:19" ht="58.5" thickBot="1" x14ac:dyDescent="0.4">
      <c r="A861" s="357">
        <v>850</v>
      </c>
      <c r="B861" s="387" t="s">
        <v>10155</v>
      </c>
      <c r="C861" s="387" t="s">
        <v>10156</v>
      </c>
      <c r="D861" s="388" t="s">
        <v>146</v>
      </c>
      <c r="E861" s="388" t="s">
        <v>10082</v>
      </c>
      <c r="F861" s="388" t="s">
        <v>10078</v>
      </c>
      <c r="G861" s="388" t="s">
        <v>10088</v>
      </c>
      <c r="H861" s="388" t="s">
        <v>11415</v>
      </c>
      <c r="I861" s="387" t="s">
        <v>8472</v>
      </c>
      <c r="J861" s="389">
        <v>41758</v>
      </c>
      <c r="K861" s="387" t="s">
        <v>11429</v>
      </c>
      <c r="L861" s="387"/>
      <c r="M861" s="387" t="s">
        <v>10084</v>
      </c>
      <c r="N861" s="387"/>
      <c r="O861" s="387" t="s">
        <v>57</v>
      </c>
      <c r="P861" s="390">
        <v>219175000</v>
      </c>
      <c r="Q861" s="387" t="s">
        <v>11430</v>
      </c>
      <c r="R861" s="358" t="s">
        <v>258</v>
      </c>
      <c r="S861" s="340">
        <v>12</v>
      </c>
    </row>
    <row r="862" spans="1:19" ht="29" x14ac:dyDescent="0.35">
      <c r="A862" s="349">
        <v>851</v>
      </c>
      <c r="B862" s="387" t="s">
        <v>10155</v>
      </c>
      <c r="C862" s="387" t="s">
        <v>10156</v>
      </c>
      <c r="D862" s="388" t="s">
        <v>154</v>
      </c>
      <c r="E862" s="388" t="s">
        <v>10082</v>
      </c>
      <c r="F862" s="388" t="s">
        <v>10078</v>
      </c>
      <c r="G862" s="388" t="s">
        <v>10078</v>
      </c>
      <c r="H862" s="388" t="s">
        <v>8956</v>
      </c>
      <c r="I862" s="387" t="s">
        <v>11431</v>
      </c>
      <c r="J862" s="389">
        <v>42971</v>
      </c>
      <c r="K862" s="387" t="s">
        <v>11432</v>
      </c>
      <c r="L862" s="387"/>
      <c r="M862" s="387" t="s">
        <v>10084</v>
      </c>
      <c r="N862" s="387"/>
      <c r="O862" s="387" t="s">
        <v>57</v>
      </c>
      <c r="P862" s="390">
        <v>192800000</v>
      </c>
      <c r="Q862" s="387" t="s">
        <v>11433</v>
      </c>
      <c r="R862" s="358" t="s">
        <v>258</v>
      </c>
      <c r="S862" s="340">
        <v>12</v>
      </c>
    </row>
    <row r="863" spans="1:19" ht="29.5" thickBot="1" x14ac:dyDescent="0.4">
      <c r="A863" s="357">
        <v>852</v>
      </c>
      <c r="B863" s="387" t="s">
        <v>10155</v>
      </c>
      <c r="C863" s="387" t="s">
        <v>10156</v>
      </c>
      <c r="D863" s="388" t="s">
        <v>161</v>
      </c>
      <c r="E863" s="388" t="s">
        <v>10082</v>
      </c>
      <c r="F863" s="388" t="s">
        <v>10078</v>
      </c>
      <c r="G863" s="388" t="s">
        <v>10078</v>
      </c>
      <c r="H863" s="388" t="s">
        <v>11318</v>
      </c>
      <c r="I863" s="387" t="s">
        <v>63</v>
      </c>
      <c r="J863" s="389"/>
      <c r="K863" s="387"/>
      <c r="L863" s="387"/>
      <c r="M863" s="387" t="s">
        <v>10084</v>
      </c>
      <c r="N863" s="387"/>
      <c r="O863" s="387" t="s">
        <v>57</v>
      </c>
      <c r="P863" s="390">
        <v>278410000</v>
      </c>
      <c r="Q863" s="387" t="s">
        <v>11434</v>
      </c>
      <c r="R863" s="358" t="s">
        <v>258</v>
      </c>
      <c r="S863" s="340">
        <v>12</v>
      </c>
    </row>
    <row r="864" spans="1:19" ht="29" x14ac:dyDescent="0.35">
      <c r="A864" s="349">
        <v>853</v>
      </c>
      <c r="B864" s="387" t="s">
        <v>10155</v>
      </c>
      <c r="C864" s="387" t="s">
        <v>10156</v>
      </c>
      <c r="D864" s="388" t="s">
        <v>169</v>
      </c>
      <c r="E864" s="388" t="s">
        <v>10082</v>
      </c>
      <c r="F864" s="388" t="s">
        <v>10078</v>
      </c>
      <c r="G864" s="388" t="s">
        <v>10078</v>
      </c>
      <c r="H864" s="388" t="s">
        <v>11435</v>
      </c>
      <c r="I864" s="387" t="s">
        <v>63</v>
      </c>
      <c r="J864" s="389"/>
      <c r="K864" s="387"/>
      <c r="L864" s="387"/>
      <c r="M864" s="387" t="s">
        <v>10084</v>
      </c>
      <c r="N864" s="387"/>
      <c r="O864" s="387" t="s">
        <v>57</v>
      </c>
      <c r="P864" s="390">
        <v>523450000</v>
      </c>
      <c r="Q864" s="387" t="s">
        <v>11436</v>
      </c>
      <c r="R864" s="358" t="s">
        <v>258</v>
      </c>
      <c r="S864" s="340">
        <v>12</v>
      </c>
    </row>
    <row r="865" spans="1:19" ht="29.5" thickBot="1" x14ac:dyDescent="0.4">
      <c r="A865" s="357">
        <v>854</v>
      </c>
      <c r="B865" s="387" t="s">
        <v>10155</v>
      </c>
      <c r="C865" s="387" t="s">
        <v>10156</v>
      </c>
      <c r="D865" s="388" t="s">
        <v>176</v>
      </c>
      <c r="E865" s="388" t="s">
        <v>10082</v>
      </c>
      <c r="F865" s="388" t="s">
        <v>10078</v>
      </c>
      <c r="G865" s="388" t="s">
        <v>10088</v>
      </c>
      <c r="H865" s="388" t="s">
        <v>11308</v>
      </c>
      <c r="I865" s="387" t="s">
        <v>11437</v>
      </c>
      <c r="J865" s="389">
        <v>41480</v>
      </c>
      <c r="K865" s="387" t="s">
        <v>11427</v>
      </c>
      <c r="L865" s="387"/>
      <c r="M865" s="387" t="s">
        <v>10084</v>
      </c>
      <c r="N865" s="387"/>
      <c r="O865" s="387" t="s">
        <v>57</v>
      </c>
      <c r="P865" s="390">
        <v>217900000</v>
      </c>
      <c r="Q865" s="387" t="s">
        <v>11438</v>
      </c>
      <c r="R865" s="358" t="s">
        <v>258</v>
      </c>
      <c r="S865" s="340">
        <v>12</v>
      </c>
    </row>
    <row r="866" spans="1:19" ht="29" x14ac:dyDescent="0.35">
      <c r="A866" s="349">
        <v>855</v>
      </c>
      <c r="B866" s="387" t="s">
        <v>10155</v>
      </c>
      <c r="C866" s="387" t="s">
        <v>10156</v>
      </c>
      <c r="D866" s="388" t="s">
        <v>1236</v>
      </c>
      <c r="E866" s="388" t="s">
        <v>10082</v>
      </c>
      <c r="F866" s="388" t="s">
        <v>10078</v>
      </c>
      <c r="G866" s="388" t="s">
        <v>10088</v>
      </c>
      <c r="H866" s="388" t="s">
        <v>11439</v>
      </c>
      <c r="I866" s="387" t="s">
        <v>11440</v>
      </c>
      <c r="J866" s="389">
        <v>41145</v>
      </c>
      <c r="K866" s="387" t="s">
        <v>11441</v>
      </c>
      <c r="L866" s="387"/>
      <c r="M866" s="387" t="s">
        <v>10084</v>
      </c>
      <c r="N866" s="387"/>
      <c r="O866" s="387" t="s">
        <v>422</v>
      </c>
      <c r="P866" s="390">
        <v>147945500</v>
      </c>
      <c r="Q866" s="387" t="s">
        <v>11442</v>
      </c>
      <c r="R866" s="358" t="s">
        <v>258</v>
      </c>
      <c r="S866" s="340">
        <v>12</v>
      </c>
    </row>
    <row r="867" spans="1:19" ht="29.5" thickBot="1" x14ac:dyDescent="0.4">
      <c r="A867" s="357">
        <v>856</v>
      </c>
      <c r="B867" s="387" t="s">
        <v>10155</v>
      </c>
      <c r="C867" s="387" t="s">
        <v>10156</v>
      </c>
      <c r="D867" s="388" t="s">
        <v>181</v>
      </c>
      <c r="E867" s="388" t="s">
        <v>10082</v>
      </c>
      <c r="F867" s="388" t="s">
        <v>10078</v>
      </c>
      <c r="G867" s="388" t="s">
        <v>10088</v>
      </c>
      <c r="H867" s="388" t="s">
        <v>11443</v>
      </c>
      <c r="I867" s="387" t="s">
        <v>11444</v>
      </c>
      <c r="J867" s="389">
        <v>41145</v>
      </c>
      <c r="K867" s="387" t="s">
        <v>11445</v>
      </c>
      <c r="L867" s="387"/>
      <c r="M867" s="387" t="s">
        <v>10084</v>
      </c>
      <c r="N867" s="387"/>
      <c r="O867" s="387" t="s">
        <v>57</v>
      </c>
      <c r="P867" s="390">
        <v>516218000</v>
      </c>
      <c r="Q867" s="387" t="s">
        <v>11446</v>
      </c>
      <c r="R867" s="358" t="s">
        <v>258</v>
      </c>
      <c r="S867" s="340">
        <v>12</v>
      </c>
    </row>
    <row r="868" spans="1:19" ht="29" x14ac:dyDescent="0.35">
      <c r="A868" s="349">
        <v>857</v>
      </c>
      <c r="B868" s="387" t="s">
        <v>10155</v>
      </c>
      <c r="C868" s="387" t="s">
        <v>10156</v>
      </c>
      <c r="D868" s="388" t="s">
        <v>187</v>
      </c>
      <c r="E868" s="388" t="s">
        <v>10082</v>
      </c>
      <c r="F868" s="388" t="s">
        <v>10078</v>
      </c>
      <c r="G868" s="388" t="s">
        <v>10088</v>
      </c>
      <c r="H868" s="388" t="s">
        <v>11447</v>
      </c>
      <c r="I868" s="387" t="s">
        <v>11448</v>
      </c>
      <c r="J868" s="389">
        <v>41058</v>
      </c>
      <c r="K868" s="387" t="s">
        <v>11449</v>
      </c>
      <c r="L868" s="387"/>
      <c r="M868" s="387" t="s">
        <v>10084</v>
      </c>
      <c r="N868" s="387"/>
      <c r="O868" s="387" t="s">
        <v>422</v>
      </c>
      <c r="P868" s="390">
        <v>52600000</v>
      </c>
      <c r="Q868" s="387" t="s">
        <v>11450</v>
      </c>
      <c r="R868" s="358" t="s">
        <v>258</v>
      </c>
      <c r="S868" s="340">
        <v>12</v>
      </c>
    </row>
    <row r="869" spans="1:19" ht="29.5" thickBot="1" x14ac:dyDescent="0.4">
      <c r="A869" s="357">
        <v>858</v>
      </c>
      <c r="B869" s="387" t="s">
        <v>10155</v>
      </c>
      <c r="C869" s="387" t="s">
        <v>10156</v>
      </c>
      <c r="D869" s="388" t="s">
        <v>190</v>
      </c>
      <c r="E869" s="388" t="s">
        <v>10082</v>
      </c>
      <c r="F869" s="388" t="s">
        <v>10078</v>
      </c>
      <c r="G869" s="388" t="s">
        <v>10088</v>
      </c>
      <c r="H869" s="388" t="s">
        <v>11451</v>
      </c>
      <c r="I869" s="387" t="s">
        <v>11452</v>
      </c>
      <c r="J869" s="389">
        <v>41183</v>
      </c>
      <c r="K869" s="387" t="s">
        <v>11453</v>
      </c>
      <c r="L869" s="387"/>
      <c r="M869" s="387" t="s">
        <v>10084</v>
      </c>
      <c r="N869" s="387"/>
      <c r="O869" s="387" t="s">
        <v>422</v>
      </c>
      <c r="P869" s="390">
        <v>109878700</v>
      </c>
      <c r="Q869" s="387" t="s">
        <v>11454</v>
      </c>
      <c r="R869" s="358" t="s">
        <v>258</v>
      </c>
      <c r="S869" s="340">
        <v>12</v>
      </c>
    </row>
    <row r="870" spans="1:19" ht="29" x14ac:dyDescent="0.35">
      <c r="A870" s="349">
        <v>859</v>
      </c>
      <c r="B870" s="387" t="s">
        <v>10155</v>
      </c>
      <c r="C870" s="387" t="s">
        <v>10156</v>
      </c>
      <c r="D870" s="388" t="s">
        <v>192</v>
      </c>
      <c r="E870" s="388" t="s">
        <v>10082</v>
      </c>
      <c r="F870" s="388" t="s">
        <v>10071</v>
      </c>
      <c r="G870" s="388" t="s">
        <v>10088</v>
      </c>
      <c r="H870" s="388" t="s">
        <v>11455</v>
      </c>
      <c r="I870" s="387" t="s">
        <v>11456</v>
      </c>
      <c r="J870" s="389">
        <v>41432</v>
      </c>
      <c r="K870" s="387" t="s">
        <v>11457</v>
      </c>
      <c r="L870" s="387"/>
      <c r="M870" s="387" t="s">
        <v>10084</v>
      </c>
      <c r="N870" s="387"/>
      <c r="O870" s="387" t="s">
        <v>57</v>
      </c>
      <c r="P870" s="390">
        <v>3037091000</v>
      </c>
      <c r="Q870" s="387" t="s">
        <v>11458</v>
      </c>
      <c r="R870" s="358" t="s">
        <v>258</v>
      </c>
      <c r="S870" s="340">
        <v>12</v>
      </c>
    </row>
    <row r="871" spans="1:19" ht="29.5" thickBot="1" x14ac:dyDescent="0.4">
      <c r="A871" s="357">
        <v>860</v>
      </c>
      <c r="B871" s="387" t="s">
        <v>10155</v>
      </c>
      <c r="C871" s="387" t="s">
        <v>10156</v>
      </c>
      <c r="D871" s="388" t="s">
        <v>194</v>
      </c>
      <c r="E871" s="388" t="s">
        <v>10082</v>
      </c>
      <c r="F871" s="388" t="s">
        <v>10078</v>
      </c>
      <c r="G871" s="388" t="s">
        <v>10088</v>
      </c>
      <c r="H871" s="388" t="s">
        <v>8956</v>
      </c>
      <c r="I871" s="387" t="s">
        <v>11459</v>
      </c>
      <c r="J871" s="389"/>
      <c r="K871" s="387"/>
      <c r="L871" s="387"/>
      <c r="M871" s="387" t="s">
        <v>10084</v>
      </c>
      <c r="N871" s="387"/>
      <c r="O871" s="387" t="s">
        <v>422</v>
      </c>
      <c r="P871" s="390">
        <v>191885050</v>
      </c>
      <c r="Q871" s="387" t="s">
        <v>11460</v>
      </c>
      <c r="R871" s="358" t="s">
        <v>258</v>
      </c>
      <c r="S871" s="340">
        <v>12</v>
      </c>
    </row>
    <row r="872" spans="1:19" ht="29" x14ac:dyDescent="0.35">
      <c r="A872" s="349">
        <v>861</v>
      </c>
      <c r="B872" s="387" t="s">
        <v>10155</v>
      </c>
      <c r="C872" s="387" t="s">
        <v>10156</v>
      </c>
      <c r="D872" s="388" t="s">
        <v>195</v>
      </c>
      <c r="E872" s="388" t="s">
        <v>10082</v>
      </c>
      <c r="F872" s="388" t="s">
        <v>10078</v>
      </c>
      <c r="G872" s="388" t="s">
        <v>10088</v>
      </c>
      <c r="H872" s="388" t="s">
        <v>11461</v>
      </c>
      <c r="I872" s="387" t="s">
        <v>11462</v>
      </c>
      <c r="J872" s="389">
        <v>39196</v>
      </c>
      <c r="K872" s="387" t="s">
        <v>11463</v>
      </c>
      <c r="L872" s="387"/>
      <c r="M872" s="387" t="s">
        <v>10084</v>
      </c>
      <c r="N872" s="387"/>
      <c r="O872" s="387" t="s">
        <v>57</v>
      </c>
      <c r="P872" s="390">
        <v>98438000</v>
      </c>
      <c r="Q872" s="387" t="s">
        <v>11464</v>
      </c>
      <c r="R872" s="358" t="s">
        <v>258</v>
      </c>
      <c r="S872" s="340">
        <v>12</v>
      </c>
    </row>
    <row r="873" spans="1:19" ht="29.5" thickBot="1" x14ac:dyDescent="0.4">
      <c r="A873" s="357">
        <v>862</v>
      </c>
      <c r="B873" s="387" t="s">
        <v>10155</v>
      </c>
      <c r="C873" s="387" t="s">
        <v>10156</v>
      </c>
      <c r="D873" s="388" t="s">
        <v>199</v>
      </c>
      <c r="E873" s="388" t="s">
        <v>10082</v>
      </c>
      <c r="F873" s="388" t="s">
        <v>10078</v>
      </c>
      <c r="G873" s="388" t="s">
        <v>10088</v>
      </c>
      <c r="H873" s="388" t="s">
        <v>11465</v>
      </c>
      <c r="I873" s="387" t="s">
        <v>11466</v>
      </c>
      <c r="J873" s="389">
        <v>39228</v>
      </c>
      <c r="K873" s="387" t="s">
        <v>11467</v>
      </c>
      <c r="L873" s="387"/>
      <c r="M873" s="387" t="s">
        <v>10084</v>
      </c>
      <c r="N873" s="387"/>
      <c r="O873" s="387" t="s">
        <v>57</v>
      </c>
      <c r="P873" s="390">
        <v>323190000</v>
      </c>
      <c r="Q873" s="387" t="s">
        <v>11468</v>
      </c>
      <c r="R873" s="358" t="s">
        <v>258</v>
      </c>
      <c r="S873" s="340">
        <v>12</v>
      </c>
    </row>
    <row r="874" spans="1:19" ht="29" x14ac:dyDescent="0.35">
      <c r="A874" s="349">
        <v>863</v>
      </c>
      <c r="B874" s="387" t="s">
        <v>10155</v>
      </c>
      <c r="C874" s="387" t="s">
        <v>10156</v>
      </c>
      <c r="D874" s="388" t="s">
        <v>200</v>
      </c>
      <c r="E874" s="388" t="s">
        <v>10082</v>
      </c>
      <c r="F874" s="388" t="s">
        <v>10078</v>
      </c>
      <c r="G874" s="388" t="s">
        <v>10088</v>
      </c>
      <c r="H874" s="388" t="s">
        <v>11469</v>
      </c>
      <c r="I874" s="387" t="s">
        <v>11470</v>
      </c>
      <c r="J874" s="389"/>
      <c r="K874" s="387"/>
      <c r="L874" s="387"/>
      <c r="M874" s="387" t="s">
        <v>10084</v>
      </c>
      <c r="N874" s="387"/>
      <c r="O874" s="387" t="s">
        <v>57</v>
      </c>
      <c r="P874" s="390">
        <v>546169000</v>
      </c>
      <c r="Q874" s="387" t="s">
        <v>11471</v>
      </c>
      <c r="R874" s="358" t="s">
        <v>258</v>
      </c>
      <c r="S874" s="340">
        <v>12</v>
      </c>
    </row>
    <row r="875" spans="1:19" ht="29.5" thickBot="1" x14ac:dyDescent="0.4">
      <c r="A875" s="357">
        <v>864</v>
      </c>
      <c r="B875" s="387" t="s">
        <v>10155</v>
      </c>
      <c r="C875" s="387" t="s">
        <v>10156</v>
      </c>
      <c r="D875" s="388" t="s">
        <v>209</v>
      </c>
      <c r="E875" s="388" t="s">
        <v>10082</v>
      </c>
      <c r="F875" s="388" t="s">
        <v>10078</v>
      </c>
      <c r="G875" s="388" t="s">
        <v>10078</v>
      </c>
      <c r="H875" s="388" t="s">
        <v>11472</v>
      </c>
      <c r="I875" s="387" t="s">
        <v>11473</v>
      </c>
      <c r="J875" s="389">
        <v>38803</v>
      </c>
      <c r="K875" s="387" t="s">
        <v>11474</v>
      </c>
      <c r="L875" s="387"/>
      <c r="M875" s="387" t="s">
        <v>10084</v>
      </c>
      <c r="N875" s="387"/>
      <c r="O875" s="387" t="s">
        <v>57</v>
      </c>
      <c r="P875" s="390">
        <v>190575000</v>
      </c>
      <c r="Q875" s="387" t="s">
        <v>11475</v>
      </c>
      <c r="R875" s="358" t="s">
        <v>258</v>
      </c>
      <c r="S875" s="340">
        <v>12</v>
      </c>
    </row>
    <row r="876" spans="1:19" ht="29" x14ac:dyDescent="0.35">
      <c r="A876" s="349">
        <v>865</v>
      </c>
      <c r="B876" s="387" t="s">
        <v>10155</v>
      </c>
      <c r="C876" s="387" t="s">
        <v>10156</v>
      </c>
      <c r="D876" s="388" t="s">
        <v>215</v>
      </c>
      <c r="E876" s="388" t="s">
        <v>10082</v>
      </c>
      <c r="F876" s="388" t="s">
        <v>10078</v>
      </c>
      <c r="G876" s="388" t="s">
        <v>10088</v>
      </c>
      <c r="H876" s="388" t="s">
        <v>11407</v>
      </c>
      <c r="I876" s="387" t="s">
        <v>11476</v>
      </c>
      <c r="J876" s="389">
        <v>39601</v>
      </c>
      <c r="K876" s="387" t="s">
        <v>11477</v>
      </c>
      <c r="L876" s="387"/>
      <c r="M876" s="387" t="s">
        <v>10084</v>
      </c>
      <c r="N876" s="387"/>
      <c r="O876" s="387" t="s">
        <v>422</v>
      </c>
      <c r="P876" s="390">
        <v>164588000</v>
      </c>
      <c r="Q876" s="387" t="s">
        <v>11478</v>
      </c>
      <c r="R876" s="358" t="s">
        <v>258</v>
      </c>
      <c r="S876" s="340">
        <v>12</v>
      </c>
    </row>
    <row r="877" spans="1:19" ht="29.5" thickBot="1" x14ac:dyDescent="0.4">
      <c r="A877" s="357">
        <v>866</v>
      </c>
      <c r="B877" s="387" t="s">
        <v>10155</v>
      </c>
      <c r="C877" s="387" t="s">
        <v>10156</v>
      </c>
      <c r="D877" s="388" t="s">
        <v>223</v>
      </c>
      <c r="E877" s="388" t="s">
        <v>10082</v>
      </c>
      <c r="F877" s="388" t="s">
        <v>10078</v>
      </c>
      <c r="G877" s="388" t="s">
        <v>10088</v>
      </c>
      <c r="H877" s="388" t="s">
        <v>11384</v>
      </c>
      <c r="I877" s="387" t="s">
        <v>11473</v>
      </c>
      <c r="J877" s="389"/>
      <c r="K877" s="387"/>
      <c r="L877" s="387"/>
      <c r="M877" s="387" t="s">
        <v>10084</v>
      </c>
      <c r="N877" s="387"/>
      <c r="O877" s="387" t="s">
        <v>57</v>
      </c>
      <c r="P877" s="390">
        <v>164588000</v>
      </c>
      <c r="Q877" s="387" t="s">
        <v>11479</v>
      </c>
      <c r="R877" s="358" t="s">
        <v>258</v>
      </c>
      <c r="S877" s="340">
        <v>12</v>
      </c>
    </row>
    <row r="878" spans="1:19" ht="29" x14ac:dyDescent="0.35">
      <c r="A878" s="349">
        <v>867</v>
      </c>
      <c r="B878" s="387" t="s">
        <v>10155</v>
      </c>
      <c r="C878" s="387" t="s">
        <v>10156</v>
      </c>
      <c r="D878" s="388" t="s">
        <v>229</v>
      </c>
      <c r="E878" s="388" t="s">
        <v>10082</v>
      </c>
      <c r="F878" s="388" t="s">
        <v>10078</v>
      </c>
      <c r="G878" s="388" t="s">
        <v>10088</v>
      </c>
      <c r="H878" s="388" t="s">
        <v>11480</v>
      </c>
      <c r="I878" s="387" t="s">
        <v>9322</v>
      </c>
      <c r="J878" s="389">
        <v>39225</v>
      </c>
      <c r="K878" s="387" t="s">
        <v>11481</v>
      </c>
      <c r="L878" s="387"/>
      <c r="M878" s="387" t="s">
        <v>10084</v>
      </c>
      <c r="N878" s="387"/>
      <c r="O878" s="387" t="s">
        <v>57</v>
      </c>
      <c r="P878" s="390">
        <v>598000000</v>
      </c>
      <c r="Q878" s="387" t="s">
        <v>11482</v>
      </c>
      <c r="R878" s="358" t="s">
        <v>258</v>
      </c>
      <c r="S878" s="340">
        <v>12</v>
      </c>
    </row>
    <row r="879" spans="1:19" ht="29.5" thickBot="1" x14ac:dyDescent="0.4">
      <c r="A879" s="357">
        <v>868</v>
      </c>
      <c r="B879" s="387" t="s">
        <v>10155</v>
      </c>
      <c r="C879" s="387" t="s">
        <v>10156</v>
      </c>
      <c r="D879" s="388" t="s">
        <v>238</v>
      </c>
      <c r="E879" s="388" t="s">
        <v>10082</v>
      </c>
      <c r="F879" s="388" t="s">
        <v>10078</v>
      </c>
      <c r="G879" s="388" t="s">
        <v>10088</v>
      </c>
      <c r="H879" s="388" t="s">
        <v>11407</v>
      </c>
      <c r="I879" s="387" t="s">
        <v>11483</v>
      </c>
      <c r="J879" s="389"/>
      <c r="K879" s="387"/>
      <c r="L879" s="387"/>
      <c r="M879" s="387" t="s">
        <v>10084</v>
      </c>
      <c r="N879" s="387"/>
      <c r="O879" s="387" t="s">
        <v>57</v>
      </c>
      <c r="P879" s="390">
        <v>855008556</v>
      </c>
      <c r="Q879" s="387" t="s">
        <v>11484</v>
      </c>
      <c r="R879" s="358" t="s">
        <v>258</v>
      </c>
      <c r="S879" s="340">
        <v>12</v>
      </c>
    </row>
    <row r="880" spans="1:19" ht="29" x14ac:dyDescent="0.35">
      <c r="A880" s="349">
        <v>869</v>
      </c>
      <c r="B880" s="387" t="s">
        <v>10155</v>
      </c>
      <c r="C880" s="387" t="s">
        <v>10156</v>
      </c>
      <c r="D880" s="388" t="s">
        <v>244</v>
      </c>
      <c r="E880" s="388" t="s">
        <v>10082</v>
      </c>
      <c r="F880" s="388" t="s">
        <v>10078</v>
      </c>
      <c r="G880" s="388" t="s">
        <v>10088</v>
      </c>
      <c r="H880" s="388" t="s">
        <v>11485</v>
      </c>
      <c r="I880" s="387" t="s">
        <v>11486</v>
      </c>
      <c r="J880" s="389"/>
      <c r="K880" s="387"/>
      <c r="L880" s="387"/>
      <c r="M880" s="387" t="s">
        <v>10084</v>
      </c>
      <c r="N880" s="387"/>
      <c r="O880" s="387" t="s">
        <v>57</v>
      </c>
      <c r="P880" s="390">
        <v>2391489700</v>
      </c>
      <c r="Q880" s="387" t="s">
        <v>11487</v>
      </c>
      <c r="R880" s="358" t="s">
        <v>258</v>
      </c>
      <c r="S880" s="340">
        <v>12</v>
      </c>
    </row>
    <row r="881" spans="1:19" ht="29.5" thickBot="1" x14ac:dyDescent="0.4">
      <c r="A881" s="357">
        <v>870</v>
      </c>
      <c r="B881" s="387" t="s">
        <v>10155</v>
      </c>
      <c r="C881" s="387" t="s">
        <v>10156</v>
      </c>
      <c r="D881" s="388" t="s">
        <v>253</v>
      </c>
      <c r="E881" s="388" t="s">
        <v>10082</v>
      </c>
      <c r="F881" s="388" t="s">
        <v>10078</v>
      </c>
      <c r="G881" s="388" t="s">
        <v>10088</v>
      </c>
      <c r="H881" s="388" t="s">
        <v>8955</v>
      </c>
      <c r="I881" s="387" t="s">
        <v>11488</v>
      </c>
      <c r="J881" s="389">
        <v>40030</v>
      </c>
      <c r="K881" s="387" t="s">
        <v>11489</v>
      </c>
      <c r="L881" s="387"/>
      <c r="M881" s="387" t="s">
        <v>10084</v>
      </c>
      <c r="N881" s="387"/>
      <c r="O881" s="387" t="s">
        <v>422</v>
      </c>
      <c r="P881" s="390">
        <v>95700000</v>
      </c>
      <c r="Q881" s="387" t="s">
        <v>11490</v>
      </c>
      <c r="R881" s="358" t="s">
        <v>258</v>
      </c>
      <c r="S881" s="340">
        <v>12</v>
      </c>
    </row>
    <row r="882" spans="1:19" ht="29" x14ac:dyDescent="0.35">
      <c r="A882" s="349">
        <v>871</v>
      </c>
      <c r="B882" s="387" t="s">
        <v>10155</v>
      </c>
      <c r="C882" s="387" t="s">
        <v>10156</v>
      </c>
      <c r="D882" s="388" t="s">
        <v>259</v>
      </c>
      <c r="E882" s="388" t="s">
        <v>10082</v>
      </c>
      <c r="F882" s="388" t="s">
        <v>10078</v>
      </c>
      <c r="G882" s="388" t="s">
        <v>10088</v>
      </c>
      <c r="H882" s="388" t="s">
        <v>11409</v>
      </c>
      <c r="I882" s="387" t="s">
        <v>11491</v>
      </c>
      <c r="J882" s="389">
        <v>40017</v>
      </c>
      <c r="K882" s="387" t="s">
        <v>11492</v>
      </c>
      <c r="L882" s="387"/>
      <c r="M882" s="387" t="s">
        <v>10084</v>
      </c>
      <c r="N882" s="387"/>
      <c r="O882" s="387" t="s">
        <v>422</v>
      </c>
      <c r="P882" s="390">
        <v>163483000</v>
      </c>
      <c r="Q882" s="387" t="s">
        <v>11493</v>
      </c>
      <c r="R882" s="358" t="s">
        <v>258</v>
      </c>
      <c r="S882" s="340">
        <v>12</v>
      </c>
    </row>
    <row r="883" spans="1:19" ht="29.5" thickBot="1" x14ac:dyDescent="0.4">
      <c r="A883" s="357">
        <v>872</v>
      </c>
      <c r="B883" s="387" t="s">
        <v>10155</v>
      </c>
      <c r="C883" s="387" t="s">
        <v>10156</v>
      </c>
      <c r="D883" s="388" t="s">
        <v>264</v>
      </c>
      <c r="E883" s="388" t="s">
        <v>10082</v>
      </c>
      <c r="F883" s="388" t="s">
        <v>10078</v>
      </c>
      <c r="G883" s="388" t="s">
        <v>10088</v>
      </c>
      <c r="H883" s="388" t="s">
        <v>8954</v>
      </c>
      <c r="I883" s="387" t="s">
        <v>11494</v>
      </c>
      <c r="J883" s="389">
        <v>40030</v>
      </c>
      <c r="K883" s="387" t="s">
        <v>11495</v>
      </c>
      <c r="L883" s="387"/>
      <c r="M883" s="387" t="s">
        <v>10084</v>
      </c>
      <c r="N883" s="387"/>
      <c r="O883" s="387" t="s">
        <v>57</v>
      </c>
      <c r="P883" s="390">
        <v>96496000</v>
      </c>
      <c r="Q883" s="387" t="s">
        <v>11496</v>
      </c>
      <c r="R883" s="358" t="s">
        <v>258</v>
      </c>
      <c r="S883" s="340">
        <v>12</v>
      </c>
    </row>
    <row r="884" spans="1:19" ht="29" x14ac:dyDescent="0.35">
      <c r="A884" s="349">
        <v>873</v>
      </c>
      <c r="B884" s="387" t="s">
        <v>10155</v>
      </c>
      <c r="C884" s="387" t="s">
        <v>10156</v>
      </c>
      <c r="D884" s="388" t="s">
        <v>269</v>
      </c>
      <c r="E884" s="388" t="s">
        <v>10082</v>
      </c>
      <c r="F884" s="388" t="s">
        <v>10078</v>
      </c>
      <c r="G884" s="388" t="s">
        <v>10088</v>
      </c>
      <c r="H884" s="388" t="s">
        <v>8956</v>
      </c>
      <c r="I884" s="387" t="s">
        <v>11497</v>
      </c>
      <c r="J884" s="389">
        <v>40030</v>
      </c>
      <c r="K884" s="387" t="s">
        <v>11498</v>
      </c>
      <c r="L884" s="387"/>
      <c r="M884" s="387" t="s">
        <v>10084</v>
      </c>
      <c r="N884" s="387"/>
      <c r="O884" s="387" t="s">
        <v>57</v>
      </c>
      <c r="P884" s="390">
        <v>96496000</v>
      </c>
      <c r="Q884" s="387" t="s">
        <v>11499</v>
      </c>
      <c r="R884" s="358" t="s">
        <v>258</v>
      </c>
      <c r="S884" s="340">
        <v>12</v>
      </c>
    </row>
    <row r="885" spans="1:19" ht="29.5" thickBot="1" x14ac:dyDescent="0.4">
      <c r="A885" s="357">
        <v>874</v>
      </c>
      <c r="B885" s="387" t="s">
        <v>10155</v>
      </c>
      <c r="C885" s="387" t="s">
        <v>10156</v>
      </c>
      <c r="D885" s="388" t="s">
        <v>274</v>
      </c>
      <c r="E885" s="388" t="s">
        <v>10082</v>
      </c>
      <c r="F885" s="388" t="s">
        <v>10078</v>
      </c>
      <c r="G885" s="388" t="s">
        <v>10088</v>
      </c>
      <c r="H885" s="388" t="s">
        <v>8954</v>
      </c>
      <c r="I885" s="387" t="s">
        <v>11500</v>
      </c>
      <c r="J885" s="389">
        <v>40030</v>
      </c>
      <c r="K885" s="387" t="s">
        <v>11501</v>
      </c>
      <c r="L885" s="387"/>
      <c r="M885" s="387" t="s">
        <v>10084</v>
      </c>
      <c r="N885" s="387"/>
      <c r="O885" s="387" t="s">
        <v>57</v>
      </c>
      <c r="P885" s="390">
        <v>95780000</v>
      </c>
      <c r="Q885" s="387" t="s">
        <v>11502</v>
      </c>
      <c r="R885" s="358" t="s">
        <v>258</v>
      </c>
      <c r="S885" s="340">
        <v>12</v>
      </c>
    </row>
    <row r="886" spans="1:19" ht="29" x14ac:dyDescent="0.35">
      <c r="A886" s="349">
        <v>875</v>
      </c>
      <c r="B886" s="387" t="s">
        <v>10155</v>
      </c>
      <c r="C886" s="387" t="s">
        <v>10156</v>
      </c>
      <c r="D886" s="388" t="s">
        <v>280</v>
      </c>
      <c r="E886" s="388" t="s">
        <v>10082</v>
      </c>
      <c r="F886" s="388" t="s">
        <v>10078</v>
      </c>
      <c r="G886" s="388" t="s">
        <v>10088</v>
      </c>
      <c r="H886" s="388" t="s">
        <v>8954</v>
      </c>
      <c r="I886" s="387" t="s">
        <v>11503</v>
      </c>
      <c r="J886" s="389">
        <v>40030</v>
      </c>
      <c r="K886" s="387" t="s">
        <v>11504</v>
      </c>
      <c r="L886" s="387"/>
      <c r="M886" s="387" t="s">
        <v>10084</v>
      </c>
      <c r="N886" s="387"/>
      <c r="O886" s="387" t="s">
        <v>422</v>
      </c>
      <c r="P886" s="390">
        <v>95800000</v>
      </c>
      <c r="Q886" s="387" t="s">
        <v>11505</v>
      </c>
      <c r="R886" s="358" t="s">
        <v>258</v>
      </c>
      <c r="S886" s="340">
        <v>12</v>
      </c>
    </row>
    <row r="887" spans="1:19" ht="29.5" thickBot="1" x14ac:dyDescent="0.4">
      <c r="A887" s="357">
        <v>876</v>
      </c>
      <c r="B887" s="387" t="s">
        <v>10155</v>
      </c>
      <c r="C887" s="387" t="s">
        <v>10156</v>
      </c>
      <c r="D887" s="388" t="s">
        <v>286</v>
      </c>
      <c r="E887" s="388" t="s">
        <v>10082</v>
      </c>
      <c r="F887" s="388" t="s">
        <v>10078</v>
      </c>
      <c r="G887" s="388" t="s">
        <v>10088</v>
      </c>
      <c r="H887" s="388" t="s">
        <v>8955</v>
      </c>
      <c r="I887" s="387" t="s">
        <v>11506</v>
      </c>
      <c r="J887" s="389">
        <v>40030</v>
      </c>
      <c r="K887" s="387" t="s">
        <v>11507</v>
      </c>
      <c r="L887" s="387"/>
      <c r="M887" s="387" t="s">
        <v>10084</v>
      </c>
      <c r="N887" s="387"/>
      <c r="O887" s="387" t="s">
        <v>57</v>
      </c>
      <c r="P887" s="390">
        <v>96000000</v>
      </c>
      <c r="Q887" s="387" t="s">
        <v>11508</v>
      </c>
      <c r="R887" s="358" t="s">
        <v>258</v>
      </c>
      <c r="S887" s="340">
        <v>12</v>
      </c>
    </row>
    <row r="888" spans="1:19" ht="43.5" x14ac:dyDescent="0.35">
      <c r="A888" s="349">
        <v>877</v>
      </c>
      <c r="B888" s="387" t="s">
        <v>10155</v>
      </c>
      <c r="C888" s="387" t="s">
        <v>10156</v>
      </c>
      <c r="D888" s="388" t="s">
        <v>298</v>
      </c>
      <c r="E888" s="388" t="s">
        <v>10082</v>
      </c>
      <c r="F888" s="388"/>
      <c r="G888" s="388"/>
      <c r="H888" s="388" t="s">
        <v>2972</v>
      </c>
      <c r="I888" s="387" t="s">
        <v>63</v>
      </c>
      <c r="J888" s="389"/>
      <c r="K888" s="387"/>
      <c r="L888" s="387"/>
      <c r="M888" s="387"/>
      <c r="N888" s="387"/>
      <c r="O888" s="387" t="s">
        <v>44</v>
      </c>
      <c r="P888" s="390">
        <v>194863200</v>
      </c>
      <c r="Q888" s="387" t="s">
        <v>11509</v>
      </c>
      <c r="R888" s="358" t="s">
        <v>258</v>
      </c>
      <c r="S888" s="340">
        <v>12</v>
      </c>
    </row>
    <row r="889" spans="1:19" ht="29.5" thickBot="1" x14ac:dyDescent="0.4">
      <c r="A889" s="357">
        <v>878</v>
      </c>
      <c r="B889" s="387" t="s">
        <v>10155</v>
      </c>
      <c r="C889" s="387" t="s">
        <v>10156</v>
      </c>
      <c r="D889" s="388" t="s">
        <v>304</v>
      </c>
      <c r="E889" s="388" t="s">
        <v>10082</v>
      </c>
      <c r="F889" s="388" t="s">
        <v>10078</v>
      </c>
      <c r="G889" s="388" t="s">
        <v>10078</v>
      </c>
      <c r="H889" s="388" t="s">
        <v>11407</v>
      </c>
      <c r="I889" s="387" t="s">
        <v>11510</v>
      </c>
      <c r="J889" s="389">
        <v>43957</v>
      </c>
      <c r="K889" s="387"/>
      <c r="L889" s="387"/>
      <c r="M889" s="387" t="s">
        <v>10084</v>
      </c>
      <c r="N889" s="387"/>
      <c r="O889" s="387" t="s">
        <v>57</v>
      </c>
      <c r="P889" s="390">
        <v>375790000</v>
      </c>
      <c r="Q889" s="387" t="s">
        <v>11511</v>
      </c>
      <c r="R889" s="358" t="s">
        <v>258</v>
      </c>
      <c r="S889" s="340">
        <v>12</v>
      </c>
    </row>
    <row r="890" spans="1:19" ht="29" x14ac:dyDescent="0.35">
      <c r="A890" s="349">
        <v>879</v>
      </c>
      <c r="B890" s="387" t="s">
        <v>10535</v>
      </c>
      <c r="C890" s="387" t="s">
        <v>10536</v>
      </c>
      <c r="D890" s="388" t="s">
        <v>51</v>
      </c>
      <c r="E890" s="388" t="s">
        <v>10082</v>
      </c>
      <c r="F890" s="388" t="s">
        <v>10078</v>
      </c>
      <c r="G890" s="388" t="s">
        <v>10078</v>
      </c>
      <c r="H890" s="388" t="s">
        <v>11284</v>
      </c>
      <c r="I890" s="387" t="s">
        <v>11512</v>
      </c>
      <c r="J890" s="389">
        <v>42339</v>
      </c>
      <c r="K890" s="387" t="s">
        <v>11513</v>
      </c>
      <c r="L890" s="387"/>
      <c r="M890" s="387" t="s">
        <v>10084</v>
      </c>
      <c r="N890" s="387"/>
      <c r="O890" s="387" t="s">
        <v>57</v>
      </c>
      <c r="P890" s="390">
        <v>4427500</v>
      </c>
      <c r="Q890" s="387" t="s">
        <v>11514</v>
      </c>
      <c r="R890" s="358" t="s">
        <v>258</v>
      </c>
      <c r="S890" s="340">
        <v>12</v>
      </c>
    </row>
    <row r="891" spans="1:19" ht="29.5" thickBot="1" x14ac:dyDescent="0.4">
      <c r="A891" s="357">
        <v>880</v>
      </c>
      <c r="B891" s="387" t="s">
        <v>10535</v>
      </c>
      <c r="C891" s="387" t="s">
        <v>10536</v>
      </c>
      <c r="D891" s="388" t="s">
        <v>59</v>
      </c>
      <c r="E891" s="388" t="s">
        <v>10673</v>
      </c>
      <c r="F891" s="388" t="s">
        <v>10078</v>
      </c>
      <c r="G891" s="388" t="s">
        <v>10088</v>
      </c>
      <c r="H891" s="388" t="s">
        <v>11333</v>
      </c>
      <c r="I891" s="387" t="s">
        <v>11515</v>
      </c>
      <c r="J891" s="389">
        <v>40401</v>
      </c>
      <c r="K891" s="387" t="s">
        <v>11516</v>
      </c>
      <c r="L891" s="387"/>
      <c r="M891" s="387" t="s">
        <v>10084</v>
      </c>
      <c r="N891" s="387"/>
      <c r="O891" s="387" t="s">
        <v>57</v>
      </c>
      <c r="P891" s="390">
        <v>29355600</v>
      </c>
      <c r="Q891" s="387" t="s">
        <v>11517</v>
      </c>
      <c r="R891" s="358" t="s">
        <v>258</v>
      </c>
      <c r="S891" s="340">
        <v>12</v>
      </c>
    </row>
    <row r="892" spans="1:19" ht="29" x14ac:dyDescent="0.35">
      <c r="A892" s="349">
        <v>881</v>
      </c>
      <c r="B892" s="387" t="s">
        <v>10535</v>
      </c>
      <c r="C892" s="387" t="s">
        <v>10536</v>
      </c>
      <c r="D892" s="388" t="s">
        <v>97</v>
      </c>
      <c r="E892" s="388" t="s">
        <v>10673</v>
      </c>
      <c r="F892" s="388" t="s">
        <v>10078</v>
      </c>
      <c r="G892" s="388" t="s">
        <v>10088</v>
      </c>
      <c r="H892" s="388" t="s">
        <v>11409</v>
      </c>
      <c r="I892" s="387" t="s">
        <v>11405</v>
      </c>
      <c r="J892" s="389"/>
      <c r="K892" s="387"/>
      <c r="L892" s="387"/>
      <c r="M892" s="387" t="s">
        <v>10084</v>
      </c>
      <c r="N892" s="387"/>
      <c r="O892" s="387" t="s">
        <v>57</v>
      </c>
      <c r="P892" s="390">
        <v>247500000</v>
      </c>
      <c r="Q892" s="387" t="s">
        <v>11518</v>
      </c>
      <c r="R892" s="358" t="s">
        <v>258</v>
      </c>
      <c r="S892" s="340">
        <v>12</v>
      </c>
    </row>
    <row r="893" spans="1:19" ht="29.5" thickBot="1" x14ac:dyDescent="0.4">
      <c r="A893" s="357">
        <v>882</v>
      </c>
      <c r="B893" s="387" t="s">
        <v>10535</v>
      </c>
      <c r="C893" s="387" t="s">
        <v>10536</v>
      </c>
      <c r="D893" s="388" t="s">
        <v>101</v>
      </c>
      <c r="E893" s="388" t="s">
        <v>10673</v>
      </c>
      <c r="F893" s="388" t="s">
        <v>10078</v>
      </c>
      <c r="G893" s="388" t="s">
        <v>10088</v>
      </c>
      <c r="H893" s="388" t="s">
        <v>11409</v>
      </c>
      <c r="I893" s="387" t="s">
        <v>11405</v>
      </c>
      <c r="J893" s="389"/>
      <c r="K893" s="387"/>
      <c r="L893" s="387"/>
      <c r="M893" s="387" t="s">
        <v>10084</v>
      </c>
      <c r="N893" s="387"/>
      <c r="O893" s="387" t="s">
        <v>57</v>
      </c>
      <c r="P893" s="390">
        <v>282150000</v>
      </c>
      <c r="Q893" s="387" t="s">
        <v>11518</v>
      </c>
      <c r="R893" s="358" t="s">
        <v>258</v>
      </c>
      <c r="S893" s="340">
        <v>12</v>
      </c>
    </row>
    <row r="894" spans="1:19" ht="29" x14ac:dyDescent="0.35">
      <c r="A894" s="349">
        <v>883</v>
      </c>
      <c r="B894" s="387" t="s">
        <v>10535</v>
      </c>
      <c r="C894" s="387" t="s">
        <v>10536</v>
      </c>
      <c r="D894" s="388" t="s">
        <v>107</v>
      </c>
      <c r="E894" s="388" t="s">
        <v>10082</v>
      </c>
      <c r="F894" s="388" t="s">
        <v>10078</v>
      </c>
      <c r="G894" s="388" t="s">
        <v>10088</v>
      </c>
      <c r="H894" s="388" t="s">
        <v>2972</v>
      </c>
      <c r="I894" s="387" t="s">
        <v>11519</v>
      </c>
      <c r="J894" s="389"/>
      <c r="K894" s="387" t="s">
        <v>11520</v>
      </c>
      <c r="L894" s="387"/>
      <c r="M894" s="387" t="s">
        <v>10084</v>
      </c>
      <c r="N894" s="387"/>
      <c r="O894" s="387" t="s">
        <v>57</v>
      </c>
      <c r="P894" s="390">
        <v>146000000</v>
      </c>
      <c r="Q894" s="387" t="s">
        <v>11521</v>
      </c>
      <c r="R894" s="358" t="s">
        <v>258</v>
      </c>
      <c r="S894" s="340">
        <v>12</v>
      </c>
    </row>
    <row r="895" spans="1:19" ht="73" thickBot="1" x14ac:dyDescent="0.4">
      <c r="A895" s="357">
        <v>884</v>
      </c>
      <c r="B895" s="387" t="s">
        <v>10535</v>
      </c>
      <c r="C895" s="387" t="s">
        <v>10536</v>
      </c>
      <c r="D895" s="388" t="s">
        <v>112</v>
      </c>
      <c r="E895" s="388" t="s">
        <v>10082</v>
      </c>
      <c r="F895" s="388"/>
      <c r="G895" s="388"/>
      <c r="H895" s="388" t="s">
        <v>2972</v>
      </c>
      <c r="I895" s="387" t="s">
        <v>63</v>
      </c>
      <c r="J895" s="389"/>
      <c r="K895" s="387"/>
      <c r="L895" s="387"/>
      <c r="M895" s="387"/>
      <c r="N895" s="387"/>
      <c r="O895" s="387" t="s">
        <v>44</v>
      </c>
      <c r="P895" s="390">
        <v>27500000</v>
      </c>
      <c r="Q895" s="387" t="s">
        <v>11522</v>
      </c>
      <c r="R895" s="358" t="s">
        <v>258</v>
      </c>
      <c r="S895" s="340">
        <v>12</v>
      </c>
    </row>
    <row r="896" spans="1:19" ht="29" x14ac:dyDescent="0.35">
      <c r="A896" s="349">
        <v>885</v>
      </c>
      <c r="B896" s="387" t="s">
        <v>10541</v>
      </c>
      <c r="C896" s="387" t="s">
        <v>10542</v>
      </c>
      <c r="D896" s="388" t="s">
        <v>51</v>
      </c>
      <c r="E896" s="388" t="s">
        <v>10082</v>
      </c>
      <c r="F896" s="388" t="s">
        <v>10078</v>
      </c>
      <c r="G896" s="388" t="s">
        <v>10078</v>
      </c>
      <c r="H896" s="388" t="s">
        <v>11349</v>
      </c>
      <c r="I896" s="387" t="s">
        <v>11523</v>
      </c>
      <c r="J896" s="389"/>
      <c r="K896" s="387"/>
      <c r="L896" s="387"/>
      <c r="M896" s="387" t="s">
        <v>10084</v>
      </c>
      <c r="N896" s="387"/>
      <c r="O896" s="387" t="s">
        <v>57</v>
      </c>
      <c r="P896" s="390">
        <v>22446000</v>
      </c>
      <c r="Q896" s="387" t="s">
        <v>11524</v>
      </c>
      <c r="R896" s="358" t="s">
        <v>258</v>
      </c>
      <c r="S896" s="340">
        <v>12</v>
      </c>
    </row>
    <row r="897" spans="1:19" ht="29.5" thickBot="1" x14ac:dyDescent="0.4">
      <c r="A897" s="357">
        <v>886</v>
      </c>
      <c r="B897" s="387" t="s">
        <v>10541</v>
      </c>
      <c r="C897" s="387" t="s">
        <v>10542</v>
      </c>
      <c r="D897" s="388" t="s">
        <v>59</v>
      </c>
      <c r="E897" s="388" t="s">
        <v>10082</v>
      </c>
      <c r="F897" s="388" t="s">
        <v>10078</v>
      </c>
      <c r="G897" s="388" t="s">
        <v>10088</v>
      </c>
      <c r="H897" s="388" t="s">
        <v>11421</v>
      </c>
      <c r="I897" s="387" t="s">
        <v>63</v>
      </c>
      <c r="J897" s="389"/>
      <c r="K897" s="387"/>
      <c r="L897" s="387"/>
      <c r="M897" s="387" t="s">
        <v>10084</v>
      </c>
      <c r="N897" s="387"/>
      <c r="O897" s="387" t="s">
        <v>57</v>
      </c>
      <c r="P897" s="390">
        <v>114410000</v>
      </c>
      <c r="Q897" s="387" t="s">
        <v>11525</v>
      </c>
      <c r="R897" s="358" t="s">
        <v>258</v>
      </c>
      <c r="S897" s="340">
        <v>12</v>
      </c>
    </row>
    <row r="898" spans="1:19" ht="43.5" x14ac:dyDescent="0.35">
      <c r="A898" s="349">
        <v>887</v>
      </c>
      <c r="B898" s="387" t="s">
        <v>10541</v>
      </c>
      <c r="C898" s="387" t="s">
        <v>10542</v>
      </c>
      <c r="D898" s="388" t="s">
        <v>97</v>
      </c>
      <c r="E898" s="388" t="s">
        <v>10082</v>
      </c>
      <c r="F898" s="388" t="s">
        <v>10078</v>
      </c>
      <c r="G898" s="388" t="s">
        <v>10078</v>
      </c>
      <c r="H898" s="388" t="s">
        <v>11439</v>
      </c>
      <c r="I898" s="387" t="s">
        <v>11526</v>
      </c>
      <c r="J898" s="389">
        <v>43808</v>
      </c>
      <c r="K898" s="387" t="s">
        <v>11527</v>
      </c>
      <c r="L898" s="387"/>
      <c r="M898" s="387" t="s">
        <v>10084</v>
      </c>
      <c r="N898" s="387"/>
      <c r="O898" s="387" t="s">
        <v>57</v>
      </c>
      <c r="P898" s="390">
        <v>221721000</v>
      </c>
      <c r="Q898" s="387" t="s">
        <v>11528</v>
      </c>
      <c r="R898" s="358" t="s">
        <v>258</v>
      </c>
      <c r="S898" s="340">
        <v>12</v>
      </c>
    </row>
    <row r="899" spans="1:19" ht="29.5" thickBot="1" x14ac:dyDescent="0.4">
      <c r="A899" s="357">
        <v>888</v>
      </c>
      <c r="B899" s="387" t="s">
        <v>10541</v>
      </c>
      <c r="C899" s="387" t="s">
        <v>10542</v>
      </c>
      <c r="D899" s="388" t="s">
        <v>101</v>
      </c>
      <c r="E899" s="388" t="s">
        <v>10082</v>
      </c>
      <c r="F899" s="388" t="s">
        <v>10078</v>
      </c>
      <c r="G899" s="388" t="s">
        <v>10088</v>
      </c>
      <c r="H899" s="388" t="s">
        <v>11333</v>
      </c>
      <c r="I899" s="387" t="s">
        <v>11466</v>
      </c>
      <c r="J899" s="389">
        <v>39225</v>
      </c>
      <c r="K899" s="387" t="s">
        <v>11529</v>
      </c>
      <c r="L899" s="387"/>
      <c r="M899" s="387" t="s">
        <v>10084</v>
      </c>
      <c r="N899" s="387"/>
      <c r="O899" s="387" t="s">
        <v>57</v>
      </c>
      <c r="P899" s="390">
        <v>110250000</v>
      </c>
      <c r="Q899" s="387" t="s">
        <v>11530</v>
      </c>
      <c r="R899" s="358" t="s">
        <v>258</v>
      </c>
      <c r="S899" s="340">
        <v>12</v>
      </c>
    </row>
    <row r="900" spans="1:19" ht="29" x14ac:dyDescent="0.35">
      <c r="A900" s="349">
        <v>889</v>
      </c>
      <c r="B900" s="387" t="s">
        <v>10541</v>
      </c>
      <c r="C900" s="387" t="s">
        <v>10542</v>
      </c>
      <c r="D900" s="388" t="s">
        <v>107</v>
      </c>
      <c r="E900" s="388" t="s">
        <v>10082</v>
      </c>
      <c r="F900" s="388" t="s">
        <v>10078</v>
      </c>
      <c r="G900" s="388" t="s">
        <v>10088</v>
      </c>
      <c r="H900" s="388" t="s">
        <v>11407</v>
      </c>
      <c r="I900" s="387" t="s">
        <v>11466</v>
      </c>
      <c r="J900" s="389">
        <v>39609</v>
      </c>
      <c r="K900" s="387" t="s">
        <v>11531</v>
      </c>
      <c r="L900" s="387"/>
      <c r="M900" s="387" t="s">
        <v>10084</v>
      </c>
      <c r="N900" s="387"/>
      <c r="O900" s="387" t="s">
        <v>57</v>
      </c>
      <c r="P900" s="390">
        <v>158638000</v>
      </c>
      <c r="Q900" s="387" t="s">
        <v>11532</v>
      </c>
      <c r="R900" s="358" t="s">
        <v>258</v>
      </c>
      <c r="S900" s="340">
        <v>12</v>
      </c>
    </row>
    <row r="901" spans="1:19" ht="29.5" thickBot="1" x14ac:dyDescent="0.4">
      <c r="A901" s="357">
        <v>890</v>
      </c>
      <c r="B901" s="387" t="s">
        <v>10541</v>
      </c>
      <c r="C901" s="387" t="s">
        <v>10542</v>
      </c>
      <c r="D901" s="388" t="s">
        <v>112</v>
      </c>
      <c r="E901" s="388" t="s">
        <v>10082</v>
      </c>
      <c r="F901" s="388" t="s">
        <v>10078</v>
      </c>
      <c r="G901" s="388" t="s">
        <v>10088</v>
      </c>
      <c r="H901" s="388" t="s">
        <v>11415</v>
      </c>
      <c r="I901" s="387" t="s">
        <v>11533</v>
      </c>
      <c r="J901" s="389">
        <v>38477</v>
      </c>
      <c r="K901" s="387" t="s">
        <v>11534</v>
      </c>
      <c r="L901" s="387"/>
      <c r="M901" s="387" t="s">
        <v>10084</v>
      </c>
      <c r="N901" s="387"/>
      <c r="O901" s="387" t="s">
        <v>57</v>
      </c>
      <c r="P901" s="390">
        <v>211680000</v>
      </c>
      <c r="Q901" s="387" t="s">
        <v>11535</v>
      </c>
      <c r="R901" s="358" t="s">
        <v>258</v>
      </c>
      <c r="S901" s="340">
        <v>12</v>
      </c>
    </row>
    <row r="902" spans="1:19" ht="29" x14ac:dyDescent="0.35">
      <c r="A902" s="349">
        <v>891</v>
      </c>
      <c r="B902" s="387" t="s">
        <v>10541</v>
      </c>
      <c r="C902" s="387" t="s">
        <v>10542</v>
      </c>
      <c r="D902" s="388" t="s">
        <v>116</v>
      </c>
      <c r="E902" s="388" t="s">
        <v>10082</v>
      </c>
      <c r="F902" s="388" t="s">
        <v>10078</v>
      </c>
      <c r="G902" s="388" t="s">
        <v>10088</v>
      </c>
      <c r="H902" s="388" t="s">
        <v>11536</v>
      </c>
      <c r="I902" s="387" t="s">
        <v>11537</v>
      </c>
      <c r="J902" s="389">
        <v>40025</v>
      </c>
      <c r="K902" s="387" t="s">
        <v>11538</v>
      </c>
      <c r="L902" s="387"/>
      <c r="M902" s="387" t="s">
        <v>10084</v>
      </c>
      <c r="N902" s="387"/>
      <c r="O902" s="387" t="s">
        <v>57</v>
      </c>
      <c r="P902" s="390">
        <v>149700000</v>
      </c>
      <c r="Q902" s="387" t="s">
        <v>8393</v>
      </c>
      <c r="R902" s="358" t="s">
        <v>258</v>
      </c>
      <c r="S902" s="340">
        <v>12</v>
      </c>
    </row>
    <row r="903" spans="1:19" ht="29.5" thickBot="1" x14ac:dyDescent="0.4">
      <c r="A903" s="357">
        <v>892</v>
      </c>
      <c r="B903" s="387" t="s">
        <v>10541</v>
      </c>
      <c r="C903" s="387" t="s">
        <v>10542</v>
      </c>
      <c r="D903" s="388" t="s">
        <v>841</v>
      </c>
      <c r="E903" s="388" t="s">
        <v>10082</v>
      </c>
      <c r="F903" s="388" t="s">
        <v>10078</v>
      </c>
      <c r="G903" s="388" t="s">
        <v>10088</v>
      </c>
      <c r="H903" s="388" t="s">
        <v>11536</v>
      </c>
      <c r="I903" s="387" t="s">
        <v>11539</v>
      </c>
      <c r="J903" s="389">
        <v>40025</v>
      </c>
      <c r="K903" s="387" t="s">
        <v>11540</v>
      </c>
      <c r="L903" s="387"/>
      <c r="M903" s="387" t="s">
        <v>10084</v>
      </c>
      <c r="N903" s="387"/>
      <c r="O903" s="387" t="s">
        <v>57</v>
      </c>
      <c r="P903" s="390">
        <v>187250000</v>
      </c>
      <c r="Q903" s="387" t="s">
        <v>8393</v>
      </c>
      <c r="R903" s="358" t="s">
        <v>258</v>
      </c>
      <c r="S903" s="340">
        <v>12</v>
      </c>
    </row>
    <row r="904" spans="1:19" ht="29" x14ac:dyDescent="0.35">
      <c r="A904" s="349">
        <v>893</v>
      </c>
      <c r="B904" s="387" t="s">
        <v>10541</v>
      </c>
      <c r="C904" s="387" t="s">
        <v>10542</v>
      </c>
      <c r="D904" s="388" t="s">
        <v>904</v>
      </c>
      <c r="E904" s="388" t="s">
        <v>10082</v>
      </c>
      <c r="F904" s="388" t="s">
        <v>10078</v>
      </c>
      <c r="G904" s="388" t="s">
        <v>10088</v>
      </c>
      <c r="H904" s="388" t="s">
        <v>11536</v>
      </c>
      <c r="I904" s="387" t="s">
        <v>8400</v>
      </c>
      <c r="J904" s="389">
        <v>40337</v>
      </c>
      <c r="K904" s="387" t="s">
        <v>11541</v>
      </c>
      <c r="L904" s="387"/>
      <c r="M904" s="387" t="s">
        <v>10084</v>
      </c>
      <c r="N904" s="387"/>
      <c r="O904" s="387" t="s">
        <v>57</v>
      </c>
      <c r="P904" s="390">
        <v>174000000</v>
      </c>
      <c r="Q904" s="387" t="s">
        <v>8393</v>
      </c>
      <c r="R904" s="358" t="s">
        <v>258</v>
      </c>
      <c r="S904" s="340">
        <v>12</v>
      </c>
    </row>
    <row r="905" spans="1:19" ht="29.5" thickBot="1" x14ac:dyDescent="0.4">
      <c r="A905" s="357">
        <v>894</v>
      </c>
      <c r="B905" s="387" t="s">
        <v>10541</v>
      </c>
      <c r="C905" s="387" t="s">
        <v>10542</v>
      </c>
      <c r="D905" s="388" t="s">
        <v>122</v>
      </c>
      <c r="E905" s="388" t="s">
        <v>10082</v>
      </c>
      <c r="F905" s="388" t="s">
        <v>10078</v>
      </c>
      <c r="G905" s="388" t="s">
        <v>10088</v>
      </c>
      <c r="H905" s="388" t="s">
        <v>11536</v>
      </c>
      <c r="I905" s="387" t="s">
        <v>8391</v>
      </c>
      <c r="J905" s="389">
        <v>40025</v>
      </c>
      <c r="K905" s="387" t="s">
        <v>11542</v>
      </c>
      <c r="L905" s="387"/>
      <c r="M905" s="387" t="s">
        <v>10084</v>
      </c>
      <c r="N905" s="387"/>
      <c r="O905" s="387" t="s">
        <v>57</v>
      </c>
      <c r="P905" s="390">
        <v>148400000</v>
      </c>
      <c r="Q905" s="387" t="s">
        <v>8393</v>
      </c>
      <c r="R905" s="358" t="s">
        <v>258</v>
      </c>
      <c r="S905" s="340">
        <v>12</v>
      </c>
    </row>
    <row r="906" spans="1:19" ht="29" x14ac:dyDescent="0.35">
      <c r="A906" s="349">
        <v>895</v>
      </c>
      <c r="B906" s="387" t="s">
        <v>10541</v>
      </c>
      <c r="C906" s="387" t="s">
        <v>10542</v>
      </c>
      <c r="D906" s="388" t="s">
        <v>126</v>
      </c>
      <c r="E906" s="388" t="s">
        <v>10082</v>
      </c>
      <c r="F906" s="388" t="s">
        <v>10078</v>
      </c>
      <c r="G906" s="388" t="s">
        <v>10078</v>
      </c>
      <c r="H906" s="388" t="s">
        <v>11536</v>
      </c>
      <c r="I906" s="387" t="s">
        <v>11543</v>
      </c>
      <c r="J906" s="389">
        <v>40681</v>
      </c>
      <c r="K906" s="387" t="s">
        <v>11544</v>
      </c>
      <c r="L906" s="387"/>
      <c r="M906" s="387" t="s">
        <v>10084</v>
      </c>
      <c r="N906" s="387"/>
      <c r="O906" s="387" t="s">
        <v>57</v>
      </c>
      <c r="P906" s="390">
        <v>146760500</v>
      </c>
      <c r="Q906" s="387" t="s">
        <v>8393</v>
      </c>
      <c r="R906" s="358" t="s">
        <v>258</v>
      </c>
      <c r="S906" s="340">
        <v>12</v>
      </c>
    </row>
    <row r="907" spans="1:19" ht="29.5" thickBot="1" x14ac:dyDescent="0.4">
      <c r="A907" s="357">
        <v>896</v>
      </c>
      <c r="B907" s="387" t="s">
        <v>10541</v>
      </c>
      <c r="C907" s="387" t="s">
        <v>10542</v>
      </c>
      <c r="D907" s="388" t="s">
        <v>132</v>
      </c>
      <c r="E907" s="388" t="s">
        <v>10082</v>
      </c>
      <c r="F907" s="388" t="s">
        <v>10078</v>
      </c>
      <c r="G907" s="388" t="s">
        <v>10088</v>
      </c>
      <c r="H907" s="388" t="s">
        <v>11536</v>
      </c>
      <c r="I907" s="387" t="s">
        <v>11545</v>
      </c>
      <c r="J907" s="389">
        <v>40681</v>
      </c>
      <c r="K907" s="387" t="s">
        <v>11546</v>
      </c>
      <c r="L907" s="387"/>
      <c r="M907" s="387" t="s">
        <v>10084</v>
      </c>
      <c r="N907" s="387"/>
      <c r="O907" s="387" t="s">
        <v>57</v>
      </c>
      <c r="P907" s="390">
        <v>147500000</v>
      </c>
      <c r="Q907" s="387" t="s">
        <v>8393</v>
      </c>
      <c r="R907" s="358" t="s">
        <v>258</v>
      </c>
      <c r="S907" s="340">
        <v>12</v>
      </c>
    </row>
    <row r="908" spans="1:19" ht="29" x14ac:dyDescent="0.35">
      <c r="A908" s="349">
        <v>897</v>
      </c>
      <c r="B908" s="387" t="s">
        <v>10541</v>
      </c>
      <c r="C908" s="387" t="s">
        <v>10542</v>
      </c>
      <c r="D908" s="388" t="s">
        <v>137</v>
      </c>
      <c r="E908" s="388" t="s">
        <v>10082</v>
      </c>
      <c r="F908" s="388" t="s">
        <v>10078</v>
      </c>
      <c r="G908" s="388" t="s">
        <v>10078</v>
      </c>
      <c r="H908" s="388" t="s">
        <v>11536</v>
      </c>
      <c r="I908" s="387" t="s">
        <v>8399</v>
      </c>
      <c r="J908" s="389">
        <v>40681</v>
      </c>
      <c r="K908" s="387" t="s">
        <v>11547</v>
      </c>
      <c r="L908" s="387"/>
      <c r="M908" s="387" t="s">
        <v>10084</v>
      </c>
      <c r="N908" s="387"/>
      <c r="O908" s="387" t="s">
        <v>57</v>
      </c>
      <c r="P908" s="390">
        <v>148275000</v>
      </c>
      <c r="Q908" s="387" t="s">
        <v>8393</v>
      </c>
      <c r="R908" s="358" t="s">
        <v>258</v>
      </c>
      <c r="S908" s="340">
        <v>12</v>
      </c>
    </row>
    <row r="909" spans="1:19" ht="29.5" thickBot="1" x14ac:dyDescent="0.4">
      <c r="A909" s="357">
        <v>898</v>
      </c>
      <c r="B909" s="387" t="s">
        <v>10541</v>
      </c>
      <c r="C909" s="387" t="s">
        <v>10542</v>
      </c>
      <c r="D909" s="388" t="s">
        <v>146</v>
      </c>
      <c r="E909" s="388" t="s">
        <v>10082</v>
      </c>
      <c r="F909" s="388" t="s">
        <v>10078</v>
      </c>
      <c r="G909" s="388" t="s">
        <v>10078</v>
      </c>
      <c r="H909" s="388" t="s">
        <v>11407</v>
      </c>
      <c r="I909" s="387" t="s">
        <v>9172</v>
      </c>
      <c r="J909" s="389">
        <v>41093</v>
      </c>
      <c r="K909" s="387" t="s">
        <v>11548</v>
      </c>
      <c r="L909" s="387"/>
      <c r="M909" s="387" t="s">
        <v>10084</v>
      </c>
      <c r="N909" s="387"/>
      <c r="O909" s="387" t="s">
        <v>57</v>
      </c>
      <c r="P909" s="390">
        <v>135927030</v>
      </c>
      <c r="Q909" s="387" t="s">
        <v>11549</v>
      </c>
      <c r="R909" s="358" t="s">
        <v>258</v>
      </c>
      <c r="S909" s="340">
        <v>12</v>
      </c>
    </row>
    <row r="910" spans="1:19" ht="29" x14ac:dyDescent="0.35">
      <c r="A910" s="349">
        <v>899</v>
      </c>
      <c r="B910" s="387" t="s">
        <v>10541</v>
      </c>
      <c r="C910" s="387" t="s">
        <v>10542</v>
      </c>
      <c r="D910" s="388" t="s">
        <v>161</v>
      </c>
      <c r="E910" s="388" t="s">
        <v>10082</v>
      </c>
      <c r="F910" s="388" t="s">
        <v>10078</v>
      </c>
      <c r="G910" s="388" t="s">
        <v>10078</v>
      </c>
      <c r="H910" s="388" t="s">
        <v>11439</v>
      </c>
      <c r="I910" s="387"/>
      <c r="J910" s="389"/>
      <c r="K910" s="387"/>
      <c r="L910" s="387"/>
      <c r="M910" s="387" t="s">
        <v>10084</v>
      </c>
      <c r="N910" s="387"/>
      <c r="O910" s="387" t="s">
        <v>57</v>
      </c>
      <c r="P910" s="390">
        <v>193054000</v>
      </c>
      <c r="Q910" s="387" t="s">
        <v>11550</v>
      </c>
      <c r="R910" s="358" t="s">
        <v>258</v>
      </c>
      <c r="S910" s="340">
        <v>12</v>
      </c>
    </row>
    <row r="911" spans="1:19" ht="29.5" thickBot="1" x14ac:dyDescent="0.4">
      <c r="A911" s="357">
        <v>900</v>
      </c>
      <c r="B911" s="387" t="s">
        <v>10541</v>
      </c>
      <c r="C911" s="387" t="s">
        <v>10542</v>
      </c>
      <c r="D911" s="388" t="s">
        <v>169</v>
      </c>
      <c r="E911" s="388" t="s">
        <v>10082</v>
      </c>
      <c r="F911" s="388" t="s">
        <v>10078</v>
      </c>
      <c r="G911" s="388" t="s">
        <v>10078</v>
      </c>
      <c r="H911" s="388" t="s">
        <v>11551</v>
      </c>
      <c r="I911" s="387"/>
      <c r="J911" s="389"/>
      <c r="K911" s="387"/>
      <c r="L911" s="387"/>
      <c r="M911" s="387" t="s">
        <v>10084</v>
      </c>
      <c r="N911" s="387"/>
      <c r="O911" s="387" t="s">
        <v>57</v>
      </c>
      <c r="P911" s="390">
        <v>259930000</v>
      </c>
      <c r="Q911" s="387" t="s">
        <v>11552</v>
      </c>
      <c r="R911" s="358" t="s">
        <v>258</v>
      </c>
      <c r="S911" s="340">
        <v>12</v>
      </c>
    </row>
    <row r="912" spans="1:19" ht="29" x14ac:dyDescent="0.35">
      <c r="A912" s="349">
        <v>901</v>
      </c>
      <c r="B912" s="387" t="s">
        <v>10541</v>
      </c>
      <c r="C912" s="387" t="s">
        <v>10542</v>
      </c>
      <c r="D912" s="388" t="s">
        <v>176</v>
      </c>
      <c r="E912" s="388" t="s">
        <v>10082</v>
      </c>
      <c r="F912" s="388" t="s">
        <v>10078</v>
      </c>
      <c r="G912" s="388" t="s">
        <v>10078</v>
      </c>
      <c r="H912" s="388" t="s">
        <v>11364</v>
      </c>
      <c r="I912" s="387" t="s">
        <v>11519</v>
      </c>
      <c r="J912" s="389">
        <v>42971</v>
      </c>
      <c r="K912" s="387" t="s">
        <v>11553</v>
      </c>
      <c r="L912" s="387"/>
      <c r="M912" s="387" t="s">
        <v>10084</v>
      </c>
      <c r="N912" s="387"/>
      <c r="O912" s="387" t="s">
        <v>57</v>
      </c>
      <c r="P912" s="390">
        <v>221090000</v>
      </c>
      <c r="Q912" s="387" t="s">
        <v>11554</v>
      </c>
      <c r="R912" s="358" t="s">
        <v>258</v>
      </c>
      <c r="S912" s="340">
        <v>12</v>
      </c>
    </row>
    <row r="913" spans="1:19" ht="44" thickBot="1" x14ac:dyDescent="0.4">
      <c r="A913" s="357">
        <v>902</v>
      </c>
      <c r="B913" s="387" t="s">
        <v>10541</v>
      </c>
      <c r="C913" s="387" t="s">
        <v>10542</v>
      </c>
      <c r="D913" s="388" t="s">
        <v>1236</v>
      </c>
      <c r="E913" s="388" t="s">
        <v>10082</v>
      </c>
      <c r="F913" s="388" t="s">
        <v>10078</v>
      </c>
      <c r="G913" s="388" t="s">
        <v>10088</v>
      </c>
      <c r="H913" s="388" t="s">
        <v>11555</v>
      </c>
      <c r="I913" s="387" t="s">
        <v>11556</v>
      </c>
      <c r="J913" s="389">
        <v>41145</v>
      </c>
      <c r="K913" s="387" t="s">
        <v>11557</v>
      </c>
      <c r="L913" s="387"/>
      <c r="M913" s="387" t="s">
        <v>10084</v>
      </c>
      <c r="N913" s="387"/>
      <c r="O913" s="387" t="s">
        <v>57</v>
      </c>
      <c r="P913" s="390">
        <v>109200000</v>
      </c>
      <c r="Q913" s="387" t="s">
        <v>11558</v>
      </c>
      <c r="R913" s="358" t="s">
        <v>258</v>
      </c>
      <c r="S913" s="340">
        <v>12</v>
      </c>
    </row>
    <row r="914" spans="1:19" ht="43.5" x14ac:dyDescent="0.35">
      <c r="A914" s="349">
        <v>903</v>
      </c>
      <c r="B914" s="387" t="s">
        <v>10541</v>
      </c>
      <c r="C914" s="387" t="s">
        <v>10542</v>
      </c>
      <c r="D914" s="388" t="s">
        <v>181</v>
      </c>
      <c r="E914" s="388" t="s">
        <v>10082</v>
      </c>
      <c r="F914" s="388" t="s">
        <v>10078</v>
      </c>
      <c r="G914" s="388" t="s">
        <v>10088</v>
      </c>
      <c r="H914" s="388" t="s">
        <v>11559</v>
      </c>
      <c r="I914" s="387" t="s">
        <v>11560</v>
      </c>
      <c r="J914" s="389">
        <v>41122</v>
      </c>
      <c r="K914" s="387" t="s">
        <v>11561</v>
      </c>
      <c r="L914" s="387"/>
      <c r="M914" s="387" t="s">
        <v>10084</v>
      </c>
      <c r="N914" s="387"/>
      <c r="O914" s="387" t="s">
        <v>57</v>
      </c>
      <c r="P914" s="390">
        <v>673400000</v>
      </c>
      <c r="Q914" s="387" t="s">
        <v>11562</v>
      </c>
      <c r="R914" s="358" t="s">
        <v>258</v>
      </c>
      <c r="S914" s="340">
        <v>12</v>
      </c>
    </row>
    <row r="915" spans="1:19" ht="44" thickBot="1" x14ac:dyDescent="0.4">
      <c r="A915" s="357">
        <v>904</v>
      </c>
      <c r="B915" s="387" t="s">
        <v>10541</v>
      </c>
      <c r="C915" s="387" t="s">
        <v>10542</v>
      </c>
      <c r="D915" s="388" t="s">
        <v>187</v>
      </c>
      <c r="E915" s="388" t="s">
        <v>10082</v>
      </c>
      <c r="F915" s="388" t="s">
        <v>10078</v>
      </c>
      <c r="G915" s="388" t="s">
        <v>10078</v>
      </c>
      <c r="H915" s="388" t="s">
        <v>11297</v>
      </c>
      <c r="I915" s="387" t="s">
        <v>11563</v>
      </c>
      <c r="J915" s="389">
        <v>41417</v>
      </c>
      <c r="K915" s="387" t="s">
        <v>11564</v>
      </c>
      <c r="L915" s="387"/>
      <c r="M915" s="387" t="s">
        <v>10084</v>
      </c>
      <c r="N915" s="387"/>
      <c r="O915" s="387" t="s">
        <v>57</v>
      </c>
      <c r="P915" s="390">
        <v>181300000</v>
      </c>
      <c r="Q915" s="387" t="s">
        <v>11565</v>
      </c>
      <c r="R915" s="358" t="s">
        <v>258</v>
      </c>
      <c r="S915" s="340">
        <v>12</v>
      </c>
    </row>
    <row r="916" spans="1:19" ht="43.5" x14ac:dyDescent="0.35">
      <c r="A916" s="349">
        <v>905</v>
      </c>
      <c r="B916" s="387" t="s">
        <v>10541</v>
      </c>
      <c r="C916" s="387" t="s">
        <v>10542</v>
      </c>
      <c r="D916" s="388" t="s">
        <v>190</v>
      </c>
      <c r="E916" s="388" t="s">
        <v>10082</v>
      </c>
      <c r="F916" s="388" t="s">
        <v>10078</v>
      </c>
      <c r="G916" s="388" t="s">
        <v>10088</v>
      </c>
      <c r="H916" s="388" t="s">
        <v>11308</v>
      </c>
      <c r="I916" s="387" t="s">
        <v>11566</v>
      </c>
      <c r="J916" s="389">
        <v>41418</v>
      </c>
      <c r="K916" s="387" t="s">
        <v>11567</v>
      </c>
      <c r="L916" s="387"/>
      <c r="M916" s="387" t="s">
        <v>10084</v>
      </c>
      <c r="N916" s="387"/>
      <c r="O916" s="387" t="s">
        <v>57</v>
      </c>
      <c r="P916" s="390">
        <v>181300000</v>
      </c>
      <c r="Q916" s="387" t="s">
        <v>11568</v>
      </c>
      <c r="R916" s="358" t="s">
        <v>258</v>
      </c>
      <c r="S916" s="340">
        <v>12</v>
      </c>
    </row>
    <row r="917" spans="1:19" ht="44" thickBot="1" x14ac:dyDescent="0.4">
      <c r="A917" s="357">
        <v>906</v>
      </c>
      <c r="B917" s="387" t="s">
        <v>10541</v>
      </c>
      <c r="C917" s="387" t="s">
        <v>10542</v>
      </c>
      <c r="D917" s="388" t="s">
        <v>192</v>
      </c>
      <c r="E917" s="388" t="s">
        <v>10082</v>
      </c>
      <c r="F917" s="388" t="s">
        <v>10078</v>
      </c>
      <c r="G917" s="388" t="s">
        <v>10088</v>
      </c>
      <c r="H917" s="388" t="s">
        <v>11308</v>
      </c>
      <c r="I917" s="387" t="s">
        <v>11569</v>
      </c>
      <c r="J917" s="389">
        <v>41418</v>
      </c>
      <c r="K917" s="387" t="s">
        <v>11570</v>
      </c>
      <c r="L917" s="387"/>
      <c r="M917" s="387" t="s">
        <v>10084</v>
      </c>
      <c r="N917" s="387"/>
      <c r="O917" s="387" t="s">
        <v>57</v>
      </c>
      <c r="P917" s="390">
        <v>181300000</v>
      </c>
      <c r="Q917" s="387" t="s">
        <v>11571</v>
      </c>
      <c r="R917" s="358" t="s">
        <v>258</v>
      </c>
      <c r="S917" s="340">
        <v>12</v>
      </c>
    </row>
    <row r="918" spans="1:19" ht="43.5" x14ac:dyDescent="0.35">
      <c r="A918" s="349">
        <v>907</v>
      </c>
      <c r="B918" s="387" t="s">
        <v>10541</v>
      </c>
      <c r="C918" s="387" t="s">
        <v>10542</v>
      </c>
      <c r="D918" s="388" t="s">
        <v>194</v>
      </c>
      <c r="E918" s="388" t="s">
        <v>10082</v>
      </c>
      <c r="F918" s="388" t="s">
        <v>10078</v>
      </c>
      <c r="G918" s="388" t="s">
        <v>10088</v>
      </c>
      <c r="H918" s="388" t="s">
        <v>11308</v>
      </c>
      <c r="I918" s="387" t="s">
        <v>8469</v>
      </c>
      <c r="J918" s="389">
        <v>41417</v>
      </c>
      <c r="K918" s="387" t="s">
        <v>11572</v>
      </c>
      <c r="L918" s="387"/>
      <c r="M918" s="387" t="s">
        <v>10084</v>
      </c>
      <c r="N918" s="387"/>
      <c r="O918" s="387" t="s">
        <v>57</v>
      </c>
      <c r="P918" s="390">
        <v>181569515</v>
      </c>
      <c r="Q918" s="387" t="s">
        <v>11573</v>
      </c>
      <c r="R918" s="358" t="s">
        <v>258</v>
      </c>
      <c r="S918" s="340">
        <v>12</v>
      </c>
    </row>
    <row r="919" spans="1:19" ht="58.5" thickBot="1" x14ac:dyDescent="0.4">
      <c r="A919" s="357">
        <v>908</v>
      </c>
      <c r="B919" s="387" t="s">
        <v>10541</v>
      </c>
      <c r="C919" s="387" t="s">
        <v>10542</v>
      </c>
      <c r="D919" s="388" t="s">
        <v>195</v>
      </c>
      <c r="E919" s="388" t="s">
        <v>10082</v>
      </c>
      <c r="F919" s="388" t="s">
        <v>10078</v>
      </c>
      <c r="G919" s="388" t="s">
        <v>10078</v>
      </c>
      <c r="H919" s="388" t="s">
        <v>11308</v>
      </c>
      <c r="I919" s="387" t="s">
        <v>9860</v>
      </c>
      <c r="J919" s="389">
        <v>41758</v>
      </c>
      <c r="K919" s="387" t="s">
        <v>11574</v>
      </c>
      <c r="L919" s="387"/>
      <c r="M919" s="387" t="s">
        <v>10084</v>
      </c>
      <c r="N919" s="387"/>
      <c r="O919" s="387" t="s">
        <v>57</v>
      </c>
      <c r="P919" s="390">
        <v>219300000</v>
      </c>
      <c r="Q919" s="387" t="s">
        <v>11575</v>
      </c>
      <c r="R919" s="358" t="s">
        <v>258</v>
      </c>
      <c r="S919" s="340">
        <v>12</v>
      </c>
    </row>
    <row r="920" spans="1:19" ht="29" x14ac:dyDescent="0.35">
      <c r="A920" s="349">
        <v>909</v>
      </c>
      <c r="B920" s="387" t="s">
        <v>10546</v>
      </c>
      <c r="C920" s="387" t="s">
        <v>10547</v>
      </c>
      <c r="D920" s="388" t="s">
        <v>51</v>
      </c>
      <c r="E920" s="388" t="s">
        <v>10082</v>
      </c>
      <c r="F920" s="388" t="s">
        <v>10078</v>
      </c>
      <c r="G920" s="388" t="s">
        <v>10078</v>
      </c>
      <c r="H920" s="388" t="s">
        <v>11297</v>
      </c>
      <c r="I920" s="387" t="s">
        <v>11576</v>
      </c>
      <c r="J920" s="389">
        <v>43661</v>
      </c>
      <c r="K920" s="387" t="s">
        <v>11577</v>
      </c>
      <c r="L920" s="387"/>
      <c r="M920" s="387" t="s">
        <v>10084</v>
      </c>
      <c r="N920" s="387"/>
      <c r="O920" s="387" t="s">
        <v>57</v>
      </c>
      <c r="P920" s="390">
        <v>165955000</v>
      </c>
      <c r="Q920" s="387" t="s">
        <v>11578</v>
      </c>
      <c r="R920" s="358" t="s">
        <v>258</v>
      </c>
      <c r="S920" s="340">
        <v>12</v>
      </c>
    </row>
    <row r="921" spans="1:19" ht="29.5" thickBot="1" x14ac:dyDescent="0.4">
      <c r="A921" s="357">
        <v>910</v>
      </c>
      <c r="B921" s="387" t="s">
        <v>10546</v>
      </c>
      <c r="C921" s="387" t="s">
        <v>10547</v>
      </c>
      <c r="D921" s="388" t="s">
        <v>59</v>
      </c>
      <c r="E921" s="388" t="s">
        <v>10082</v>
      </c>
      <c r="F921" s="388"/>
      <c r="G921" s="388"/>
      <c r="H921" s="388" t="s">
        <v>8954</v>
      </c>
      <c r="I921" s="387" t="s">
        <v>63</v>
      </c>
      <c r="J921" s="389">
        <v>45230</v>
      </c>
      <c r="K921" s="387" t="s">
        <v>11579</v>
      </c>
      <c r="L921" s="387"/>
      <c r="M921" s="387"/>
      <c r="N921" s="387"/>
      <c r="O921" s="387" t="s">
        <v>44</v>
      </c>
      <c r="P921" s="390">
        <v>233504130</v>
      </c>
      <c r="Q921" s="387" t="s">
        <v>11578</v>
      </c>
      <c r="R921" s="358" t="s">
        <v>258</v>
      </c>
      <c r="S921" s="340">
        <v>12</v>
      </c>
    </row>
    <row r="922" spans="1:19" ht="29" x14ac:dyDescent="0.35">
      <c r="A922" s="349">
        <v>911</v>
      </c>
      <c r="B922" s="387" t="s">
        <v>11224</v>
      </c>
      <c r="C922" s="387" t="s">
        <v>11225</v>
      </c>
      <c r="D922" s="388" t="s">
        <v>51</v>
      </c>
      <c r="E922" s="388" t="s">
        <v>10082</v>
      </c>
      <c r="F922" s="388" t="s">
        <v>10078</v>
      </c>
      <c r="G922" s="388" t="s">
        <v>10078</v>
      </c>
      <c r="H922" s="388" t="s">
        <v>11297</v>
      </c>
      <c r="I922" s="387" t="s">
        <v>11580</v>
      </c>
      <c r="J922" s="389"/>
      <c r="K922" s="387"/>
      <c r="L922" s="387"/>
      <c r="M922" s="387" t="s">
        <v>10084</v>
      </c>
      <c r="N922" s="387"/>
      <c r="O922" s="387" t="s">
        <v>57</v>
      </c>
      <c r="P922" s="390">
        <v>30600000</v>
      </c>
      <c r="Q922" s="387" t="s">
        <v>11581</v>
      </c>
      <c r="R922" s="358" t="s">
        <v>258</v>
      </c>
      <c r="S922" s="340">
        <v>12</v>
      </c>
    </row>
    <row r="923" spans="1:19" ht="29.5" thickBot="1" x14ac:dyDescent="0.4">
      <c r="A923" s="357">
        <v>912</v>
      </c>
      <c r="B923" s="387" t="s">
        <v>11224</v>
      </c>
      <c r="C923" s="387" t="s">
        <v>11225</v>
      </c>
      <c r="D923" s="388" t="s">
        <v>59</v>
      </c>
      <c r="E923" s="388" t="s">
        <v>10082</v>
      </c>
      <c r="F923" s="388" t="s">
        <v>10078</v>
      </c>
      <c r="G923" s="388" t="s">
        <v>10078</v>
      </c>
      <c r="H923" s="388" t="s">
        <v>11308</v>
      </c>
      <c r="I923" s="387" t="s">
        <v>11582</v>
      </c>
      <c r="J923" s="389">
        <v>38582</v>
      </c>
      <c r="K923" s="387" t="s">
        <v>11583</v>
      </c>
      <c r="L923" s="387"/>
      <c r="M923" s="387" t="s">
        <v>10084</v>
      </c>
      <c r="N923" s="387"/>
      <c r="O923" s="387" t="s">
        <v>57</v>
      </c>
      <c r="P923" s="390">
        <v>135747000</v>
      </c>
      <c r="Q923" s="387" t="s">
        <v>11584</v>
      </c>
      <c r="R923" s="358" t="s">
        <v>258</v>
      </c>
      <c r="S923" s="340">
        <v>12</v>
      </c>
    </row>
    <row r="924" spans="1:19" ht="29" x14ac:dyDescent="0.35">
      <c r="A924" s="349">
        <v>913</v>
      </c>
      <c r="B924" s="387" t="s">
        <v>11224</v>
      </c>
      <c r="C924" s="387" t="s">
        <v>11225</v>
      </c>
      <c r="D924" s="388" t="s">
        <v>97</v>
      </c>
      <c r="E924" s="388" t="s">
        <v>10082</v>
      </c>
      <c r="F924" s="388" t="s">
        <v>10078</v>
      </c>
      <c r="G924" s="388" t="s">
        <v>10088</v>
      </c>
      <c r="H924" s="388" t="s">
        <v>11384</v>
      </c>
      <c r="I924" s="387" t="s">
        <v>11466</v>
      </c>
      <c r="J924" s="389">
        <v>39680</v>
      </c>
      <c r="K924" s="387" t="s">
        <v>11585</v>
      </c>
      <c r="L924" s="387"/>
      <c r="M924" s="387" t="s">
        <v>10084</v>
      </c>
      <c r="N924" s="387"/>
      <c r="O924" s="387" t="s">
        <v>57</v>
      </c>
      <c r="P924" s="390">
        <v>158638000</v>
      </c>
      <c r="Q924" s="387" t="s">
        <v>11586</v>
      </c>
      <c r="R924" s="358" t="s">
        <v>258</v>
      </c>
      <c r="S924" s="340">
        <v>12</v>
      </c>
    </row>
    <row r="925" spans="1:19" ht="29.5" thickBot="1" x14ac:dyDescent="0.4">
      <c r="A925" s="357">
        <v>914</v>
      </c>
      <c r="B925" s="387" t="s">
        <v>11224</v>
      </c>
      <c r="C925" s="387" t="s">
        <v>11225</v>
      </c>
      <c r="D925" s="388" t="s">
        <v>101</v>
      </c>
      <c r="E925" s="388" t="s">
        <v>10082</v>
      </c>
      <c r="F925" s="388" t="s">
        <v>10078</v>
      </c>
      <c r="G925" s="388" t="s">
        <v>10088</v>
      </c>
      <c r="H925" s="388" t="s">
        <v>11333</v>
      </c>
      <c r="I925" s="387" t="s">
        <v>10783</v>
      </c>
      <c r="J925" s="389"/>
      <c r="K925" s="387"/>
      <c r="L925" s="387"/>
      <c r="M925" s="387" t="s">
        <v>10084</v>
      </c>
      <c r="N925" s="387"/>
      <c r="O925" s="387" t="s">
        <v>57</v>
      </c>
      <c r="P925" s="390">
        <v>194154000</v>
      </c>
      <c r="Q925" s="387" t="s">
        <v>11587</v>
      </c>
      <c r="R925" s="358" t="s">
        <v>258</v>
      </c>
      <c r="S925" s="340">
        <v>12</v>
      </c>
    </row>
    <row r="926" spans="1:19" ht="29" x14ac:dyDescent="0.35">
      <c r="A926" s="349">
        <v>915</v>
      </c>
      <c r="B926" s="387" t="s">
        <v>11224</v>
      </c>
      <c r="C926" s="387" t="s">
        <v>11225</v>
      </c>
      <c r="D926" s="388" t="s">
        <v>107</v>
      </c>
      <c r="E926" s="388" t="s">
        <v>10082</v>
      </c>
      <c r="F926" s="388" t="s">
        <v>10078</v>
      </c>
      <c r="G926" s="388" t="s">
        <v>10088</v>
      </c>
      <c r="H926" s="388" t="s">
        <v>11588</v>
      </c>
      <c r="I926" s="387" t="s">
        <v>11589</v>
      </c>
      <c r="J926" s="389">
        <v>40474</v>
      </c>
      <c r="K926" s="387" t="s">
        <v>11590</v>
      </c>
      <c r="L926" s="387"/>
      <c r="M926" s="387" t="s">
        <v>10084</v>
      </c>
      <c r="N926" s="387"/>
      <c r="O926" s="387" t="s">
        <v>57</v>
      </c>
      <c r="P926" s="390">
        <v>49000000</v>
      </c>
      <c r="Q926" s="387" t="s">
        <v>11591</v>
      </c>
      <c r="R926" s="358" t="s">
        <v>258</v>
      </c>
      <c r="S926" s="340">
        <v>12</v>
      </c>
    </row>
    <row r="927" spans="1:19" ht="29.5" thickBot="1" x14ac:dyDescent="0.4">
      <c r="A927" s="357">
        <v>916</v>
      </c>
      <c r="B927" s="387" t="s">
        <v>11224</v>
      </c>
      <c r="C927" s="387" t="s">
        <v>11225</v>
      </c>
      <c r="D927" s="388" t="s">
        <v>112</v>
      </c>
      <c r="E927" s="388" t="s">
        <v>10082</v>
      </c>
      <c r="F927" s="388" t="s">
        <v>10078</v>
      </c>
      <c r="G927" s="388" t="s">
        <v>10088</v>
      </c>
      <c r="H927" s="388" t="s">
        <v>11415</v>
      </c>
      <c r="I927" s="387" t="s">
        <v>11592</v>
      </c>
      <c r="J927" s="389">
        <v>40474</v>
      </c>
      <c r="K927" s="387" t="s">
        <v>11593</v>
      </c>
      <c r="L927" s="387"/>
      <c r="M927" s="387" t="s">
        <v>10084</v>
      </c>
      <c r="N927" s="387"/>
      <c r="O927" s="387" t="s">
        <v>57</v>
      </c>
      <c r="P927" s="390">
        <v>49000000</v>
      </c>
      <c r="Q927" s="387" t="s">
        <v>11594</v>
      </c>
      <c r="R927" s="358" t="s">
        <v>258</v>
      </c>
      <c r="S927" s="340">
        <v>12</v>
      </c>
    </row>
    <row r="928" spans="1:19" ht="29" x14ac:dyDescent="0.35">
      <c r="A928" s="349">
        <v>917</v>
      </c>
      <c r="B928" s="387" t="s">
        <v>11224</v>
      </c>
      <c r="C928" s="387" t="s">
        <v>11225</v>
      </c>
      <c r="D928" s="388" t="s">
        <v>116</v>
      </c>
      <c r="E928" s="388" t="s">
        <v>10082</v>
      </c>
      <c r="F928" s="388" t="s">
        <v>10078</v>
      </c>
      <c r="G928" s="388" t="s">
        <v>10088</v>
      </c>
      <c r="H928" s="388" t="s">
        <v>11415</v>
      </c>
      <c r="I928" s="387" t="s">
        <v>11595</v>
      </c>
      <c r="J928" s="389">
        <v>40474</v>
      </c>
      <c r="K928" s="387" t="s">
        <v>11596</v>
      </c>
      <c r="L928" s="387"/>
      <c r="M928" s="387" t="s">
        <v>10084</v>
      </c>
      <c r="N928" s="387"/>
      <c r="O928" s="387" t="s">
        <v>57</v>
      </c>
      <c r="P928" s="390">
        <v>49000000</v>
      </c>
      <c r="Q928" s="387" t="s">
        <v>11597</v>
      </c>
      <c r="R928" s="358" t="s">
        <v>258</v>
      </c>
      <c r="S928" s="340">
        <v>12</v>
      </c>
    </row>
    <row r="929" spans="1:19" ht="29.5" thickBot="1" x14ac:dyDescent="0.4">
      <c r="A929" s="357">
        <v>918</v>
      </c>
      <c r="B929" s="387" t="s">
        <v>11224</v>
      </c>
      <c r="C929" s="387" t="s">
        <v>11225</v>
      </c>
      <c r="D929" s="388" t="s">
        <v>841</v>
      </c>
      <c r="E929" s="388" t="s">
        <v>10082</v>
      </c>
      <c r="F929" s="388" t="s">
        <v>10078</v>
      </c>
      <c r="G929" s="388" t="s">
        <v>10088</v>
      </c>
      <c r="H929" s="388" t="s">
        <v>11409</v>
      </c>
      <c r="I929" s="387" t="s">
        <v>11598</v>
      </c>
      <c r="J929" s="389">
        <v>40669</v>
      </c>
      <c r="K929" s="387" t="s">
        <v>11599</v>
      </c>
      <c r="L929" s="387"/>
      <c r="M929" s="387" t="s">
        <v>10084</v>
      </c>
      <c r="N929" s="387"/>
      <c r="O929" s="387" t="s">
        <v>57</v>
      </c>
      <c r="P929" s="390">
        <v>49500000</v>
      </c>
      <c r="Q929" s="387" t="s">
        <v>11600</v>
      </c>
      <c r="R929" s="358" t="s">
        <v>258</v>
      </c>
      <c r="S929" s="340">
        <v>12</v>
      </c>
    </row>
    <row r="930" spans="1:19" ht="58" x14ac:dyDescent="0.35">
      <c r="A930" s="349">
        <v>919</v>
      </c>
      <c r="B930" s="387" t="s">
        <v>11224</v>
      </c>
      <c r="C930" s="387" t="s">
        <v>11225</v>
      </c>
      <c r="D930" s="388" t="s">
        <v>904</v>
      </c>
      <c r="E930" s="388" t="s">
        <v>10082</v>
      </c>
      <c r="F930" s="388" t="s">
        <v>10078</v>
      </c>
      <c r="G930" s="388" t="s">
        <v>10088</v>
      </c>
      <c r="H930" s="388" t="s">
        <v>11601</v>
      </c>
      <c r="I930" s="387" t="s">
        <v>11602</v>
      </c>
      <c r="J930" s="389">
        <v>41739</v>
      </c>
      <c r="K930" s="387" t="s">
        <v>11603</v>
      </c>
      <c r="L930" s="387"/>
      <c r="M930" s="387" t="s">
        <v>10084</v>
      </c>
      <c r="N930" s="387"/>
      <c r="O930" s="387" t="s">
        <v>57</v>
      </c>
      <c r="P930" s="390">
        <v>181900000</v>
      </c>
      <c r="Q930" s="387" t="s">
        <v>11604</v>
      </c>
      <c r="R930" s="358" t="s">
        <v>258</v>
      </c>
      <c r="S930" s="340">
        <v>12</v>
      </c>
    </row>
    <row r="931" spans="1:19" ht="58.5" thickBot="1" x14ac:dyDescent="0.4">
      <c r="A931" s="357">
        <v>920</v>
      </c>
      <c r="B931" s="387" t="s">
        <v>11224</v>
      </c>
      <c r="C931" s="387" t="s">
        <v>11225</v>
      </c>
      <c r="D931" s="388" t="s">
        <v>122</v>
      </c>
      <c r="E931" s="388" t="s">
        <v>10082</v>
      </c>
      <c r="F931" s="388" t="s">
        <v>10078</v>
      </c>
      <c r="G931" s="388" t="s">
        <v>10088</v>
      </c>
      <c r="H931" s="388" t="s">
        <v>11605</v>
      </c>
      <c r="I931" s="387" t="s">
        <v>11606</v>
      </c>
      <c r="J931" s="389">
        <v>41739</v>
      </c>
      <c r="K931" s="387" t="s">
        <v>11607</v>
      </c>
      <c r="L931" s="387"/>
      <c r="M931" s="387" t="s">
        <v>10084</v>
      </c>
      <c r="N931" s="387"/>
      <c r="O931" s="387" t="s">
        <v>57</v>
      </c>
      <c r="P931" s="390">
        <v>181900000</v>
      </c>
      <c r="Q931" s="387" t="s">
        <v>11608</v>
      </c>
      <c r="R931" s="358" t="s">
        <v>258</v>
      </c>
      <c r="S931" s="340">
        <v>12</v>
      </c>
    </row>
    <row r="932" spans="1:19" ht="58" x14ac:dyDescent="0.35">
      <c r="A932" s="349">
        <v>921</v>
      </c>
      <c r="B932" s="387" t="s">
        <v>11224</v>
      </c>
      <c r="C932" s="387" t="s">
        <v>11225</v>
      </c>
      <c r="D932" s="388" t="s">
        <v>126</v>
      </c>
      <c r="E932" s="388" t="s">
        <v>10082</v>
      </c>
      <c r="F932" s="388" t="s">
        <v>10078</v>
      </c>
      <c r="G932" s="388" t="s">
        <v>10088</v>
      </c>
      <c r="H932" s="388" t="s">
        <v>11609</v>
      </c>
      <c r="I932" s="387" t="s">
        <v>11610</v>
      </c>
      <c r="J932" s="389">
        <v>41794</v>
      </c>
      <c r="K932" s="387" t="s">
        <v>11611</v>
      </c>
      <c r="L932" s="387"/>
      <c r="M932" s="387" t="s">
        <v>10084</v>
      </c>
      <c r="N932" s="387"/>
      <c r="O932" s="387" t="s">
        <v>57</v>
      </c>
      <c r="P932" s="390">
        <v>182600000</v>
      </c>
      <c r="Q932" s="387" t="s">
        <v>11612</v>
      </c>
      <c r="R932" s="358" t="s">
        <v>258</v>
      </c>
      <c r="S932" s="340">
        <v>12</v>
      </c>
    </row>
    <row r="933" spans="1:19" ht="29.5" thickBot="1" x14ac:dyDescent="0.4">
      <c r="A933" s="357">
        <v>922</v>
      </c>
      <c r="B933" s="387" t="s">
        <v>11224</v>
      </c>
      <c r="C933" s="387" t="s">
        <v>11225</v>
      </c>
      <c r="D933" s="388" t="s">
        <v>132</v>
      </c>
      <c r="E933" s="388" t="s">
        <v>10673</v>
      </c>
      <c r="F933" s="388" t="s">
        <v>10078</v>
      </c>
      <c r="G933" s="388" t="s">
        <v>10078</v>
      </c>
      <c r="H933" s="388" t="s">
        <v>11613</v>
      </c>
      <c r="I933" s="387" t="s">
        <v>11466</v>
      </c>
      <c r="J933" s="389">
        <v>39664</v>
      </c>
      <c r="K933" s="387" t="s">
        <v>11614</v>
      </c>
      <c r="L933" s="387"/>
      <c r="M933" s="387" t="s">
        <v>10084</v>
      </c>
      <c r="N933" s="387"/>
      <c r="O933" s="387" t="s">
        <v>57</v>
      </c>
      <c r="P933" s="390">
        <v>39544000</v>
      </c>
      <c r="Q933" s="387" t="s">
        <v>11615</v>
      </c>
      <c r="R933" s="358" t="s">
        <v>258</v>
      </c>
      <c r="S933" s="340">
        <v>12</v>
      </c>
    </row>
    <row r="934" spans="1:19" ht="29" x14ac:dyDescent="0.35">
      <c r="A934" s="349">
        <v>923</v>
      </c>
      <c r="B934" s="387" t="s">
        <v>11224</v>
      </c>
      <c r="C934" s="387" t="s">
        <v>11225</v>
      </c>
      <c r="D934" s="388" t="s">
        <v>137</v>
      </c>
      <c r="E934" s="388" t="s">
        <v>10673</v>
      </c>
      <c r="F934" s="388" t="s">
        <v>10078</v>
      </c>
      <c r="G934" s="388" t="s">
        <v>10088</v>
      </c>
      <c r="H934" s="388" t="s">
        <v>11400</v>
      </c>
      <c r="I934" s="387" t="s">
        <v>11405</v>
      </c>
      <c r="J934" s="389"/>
      <c r="K934" s="387"/>
      <c r="L934" s="387"/>
      <c r="M934" s="387" t="s">
        <v>10084</v>
      </c>
      <c r="N934" s="387"/>
      <c r="O934" s="387" t="s">
        <v>57</v>
      </c>
      <c r="P934" s="390">
        <v>111870000</v>
      </c>
      <c r="Q934" s="387" t="s">
        <v>11616</v>
      </c>
      <c r="R934" s="358" t="s">
        <v>258</v>
      </c>
      <c r="S934" s="340">
        <v>12</v>
      </c>
    </row>
    <row r="935" spans="1:19" ht="29.5" thickBot="1" x14ac:dyDescent="0.4">
      <c r="A935" s="357">
        <v>924</v>
      </c>
      <c r="B935" s="387" t="s">
        <v>11224</v>
      </c>
      <c r="C935" s="387" t="s">
        <v>11225</v>
      </c>
      <c r="D935" s="388" t="s">
        <v>146</v>
      </c>
      <c r="E935" s="388" t="s">
        <v>10673</v>
      </c>
      <c r="F935" s="388" t="s">
        <v>10078</v>
      </c>
      <c r="G935" s="388" t="s">
        <v>10088</v>
      </c>
      <c r="H935" s="388" t="s">
        <v>11384</v>
      </c>
      <c r="I935" s="387" t="s">
        <v>11405</v>
      </c>
      <c r="J935" s="389"/>
      <c r="K935" s="387"/>
      <c r="L935" s="387"/>
      <c r="M935" s="387" t="s">
        <v>10084</v>
      </c>
      <c r="N935" s="387"/>
      <c r="O935" s="387" t="s">
        <v>57</v>
      </c>
      <c r="P935" s="390">
        <v>161875000</v>
      </c>
      <c r="Q935" s="387" t="s">
        <v>11616</v>
      </c>
      <c r="R935" s="358" t="s">
        <v>258</v>
      </c>
      <c r="S935" s="340">
        <v>12</v>
      </c>
    </row>
    <row r="936" spans="1:19" ht="29" x14ac:dyDescent="0.35">
      <c r="A936" s="349">
        <v>925</v>
      </c>
      <c r="B936" s="387" t="s">
        <v>11224</v>
      </c>
      <c r="C936" s="387" t="s">
        <v>11225</v>
      </c>
      <c r="D936" s="388" t="s">
        <v>154</v>
      </c>
      <c r="E936" s="388" t="s">
        <v>10673</v>
      </c>
      <c r="F936" s="388" t="s">
        <v>10078</v>
      </c>
      <c r="G936" s="388" t="s">
        <v>10088</v>
      </c>
      <c r="H936" s="388" t="s">
        <v>11407</v>
      </c>
      <c r="I936" s="387" t="s">
        <v>11405</v>
      </c>
      <c r="J936" s="389"/>
      <c r="K936" s="387"/>
      <c r="L936" s="387"/>
      <c r="M936" s="387" t="s">
        <v>10084</v>
      </c>
      <c r="N936" s="387"/>
      <c r="O936" s="387" t="s">
        <v>57</v>
      </c>
      <c r="P936" s="390">
        <v>168300000</v>
      </c>
      <c r="Q936" s="387" t="s">
        <v>11406</v>
      </c>
      <c r="R936" s="358" t="s">
        <v>258</v>
      </c>
      <c r="S936" s="340">
        <v>12</v>
      </c>
    </row>
    <row r="937" spans="1:19" ht="29.5" thickBot="1" x14ac:dyDescent="0.4">
      <c r="A937" s="357">
        <v>926</v>
      </c>
      <c r="B937" s="387" t="s">
        <v>11224</v>
      </c>
      <c r="C937" s="387" t="s">
        <v>11225</v>
      </c>
      <c r="D937" s="388" t="s">
        <v>161</v>
      </c>
      <c r="E937" s="388" t="s">
        <v>10673</v>
      </c>
      <c r="F937" s="388" t="s">
        <v>10078</v>
      </c>
      <c r="G937" s="388" t="s">
        <v>10088</v>
      </c>
      <c r="H937" s="388" t="s">
        <v>11409</v>
      </c>
      <c r="I937" s="387" t="s">
        <v>11405</v>
      </c>
      <c r="J937" s="389"/>
      <c r="K937" s="387"/>
      <c r="L937" s="387"/>
      <c r="M937" s="387" t="s">
        <v>10084</v>
      </c>
      <c r="N937" s="387"/>
      <c r="O937" s="387" t="s">
        <v>57</v>
      </c>
      <c r="P937" s="390">
        <v>247500000</v>
      </c>
      <c r="Q937" s="387" t="s">
        <v>11518</v>
      </c>
      <c r="R937" s="358" t="s">
        <v>258</v>
      </c>
      <c r="S937" s="340">
        <v>12</v>
      </c>
    </row>
    <row r="938" spans="1:19" ht="29" x14ac:dyDescent="0.35">
      <c r="A938" s="349">
        <v>927</v>
      </c>
      <c r="B938" s="387" t="s">
        <v>11617</v>
      </c>
      <c r="C938" s="387" t="s">
        <v>11618</v>
      </c>
      <c r="D938" s="388" t="s">
        <v>51</v>
      </c>
      <c r="E938" s="388" t="s">
        <v>10673</v>
      </c>
      <c r="F938" s="388" t="s">
        <v>10078</v>
      </c>
      <c r="G938" s="388" t="s">
        <v>10088</v>
      </c>
      <c r="H938" s="388" t="s">
        <v>11324</v>
      </c>
      <c r="I938" s="387" t="s">
        <v>11619</v>
      </c>
      <c r="J938" s="389"/>
      <c r="K938" s="387"/>
      <c r="L938" s="387"/>
      <c r="M938" s="387" t="s">
        <v>10084</v>
      </c>
      <c r="N938" s="387"/>
      <c r="O938" s="387" t="s">
        <v>57</v>
      </c>
      <c r="P938" s="390">
        <v>51084000</v>
      </c>
      <c r="Q938" s="387" t="s">
        <v>11620</v>
      </c>
      <c r="R938" s="358" t="s">
        <v>258</v>
      </c>
      <c r="S938" s="340">
        <v>12</v>
      </c>
    </row>
    <row r="939" spans="1:19" ht="29.5" thickBot="1" x14ac:dyDescent="0.4">
      <c r="A939" s="357">
        <v>928</v>
      </c>
      <c r="B939" s="387" t="s">
        <v>10475</v>
      </c>
      <c r="C939" s="387" t="s">
        <v>10476</v>
      </c>
      <c r="D939" s="388" t="s">
        <v>51</v>
      </c>
      <c r="E939" s="388" t="s">
        <v>10082</v>
      </c>
      <c r="F939" s="388" t="s">
        <v>10078</v>
      </c>
      <c r="G939" s="388" t="s">
        <v>10088</v>
      </c>
      <c r="H939" s="388" t="s">
        <v>2972</v>
      </c>
      <c r="I939" s="387" t="s">
        <v>11621</v>
      </c>
      <c r="J939" s="389"/>
      <c r="K939" s="387" t="s">
        <v>11622</v>
      </c>
      <c r="L939" s="387"/>
      <c r="M939" s="387" t="s">
        <v>10084</v>
      </c>
      <c r="N939" s="387"/>
      <c r="O939" s="387" t="s">
        <v>57</v>
      </c>
      <c r="P939" s="390">
        <v>385880000</v>
      </c>
      <c r="Q939" s="387" t="s">
        <v>11623</v>
      </c>
      <c r="R939" s="358" t="s">
        <v>258</v>
      </c>
      <c r="S939" s="340">
        <v>12</v>
      </c>
    </row>
    <row r="940" spans="1:19" ht="29" x14ac:dyDescent="0.35">
      <c r="A940" s="349">
        <v>929</v>
      </c>
      <c r="B940" s="387" t="s">
        <v>10481</v>
      </c>
      <c r="C940" s="387" t="s">
        <v>10482</v>
      </c>
      <c r="D940" s="388" t="s">
        <v>51</v>
      </c>
      <c r="E940" s="388" t="s">
        <v>10082</v>
      </c>
      <c r="F940" s="388" t="s">
        <v>10078</v>
      </c>
      <c r="G940" s="388" t="s">
        <v>10088</v>
      </c>
      <c r="H940" s="388" t="s">
        <v>11624</v>
      </c>
      <c r="I940" s="387" t="s">
        <v>11580</v>
      </c>
      <c r="J940" s="389">
        <v>39139</v>
      </c>
      <c r="K940" s="387" t="s">
        <v>11625</v>
      </c>
      <c r="L940" s="387"/>
      <c r="M940" s="387" t="s">
        <v>10084</v>
      </c>
      <c r="N940" s="387"/>
      <c r="O940" s="387" t="s">
        <v>57</v>
      </c>
      <c r="P940" s="390">
        <v>466155500</v>
      </c>
      <c r="Q940" s="387" t="s">
        <v>11626</v>
      </c>
      <c r="R940" s="358" t="s">
        <v>258</v>
      </c>
      <c r="S940" s="340">
        <v>12</v>
      </c>
    </row>
    <row r="941" spans="1:19" ht="44" thickBot="1" x14ac:dyDescent="0.4">
      <c r="A941" s="357">
        <v>930</v>
      </c>
      <c r="B941" s="387" t="s">
        <v>11301</v>
      </c>
      <c r="C941" s="387" t="s">
        <v>11302</v>
      </c>
      <c r="D941" s="388" t="s">
        <v>51</v>
      </c>
      <c r="E941" s="388" t="s">
        <v>10082</v>
      </c>
      <c r="F941" s="388" t="s">
        <v>10078</v>
      </c>
      <c r="G941" s="388" t="s">
        <v>10078</v>
      </c>
      <c r="H941" s="388" t="s">
        <v>11627</v>
      </c>
      <c r="I941" s="387" t="s">
        <v>11628</v>
      </c>
      <c r="J941" s="389">
        <v>43711</v>
      </c>
      <c r="K941" s="387" t="s">
        <v>11629</v>
      </c>
      <c r="L941" s="387"/>
      <c r="M941" s="387" t="s">
        <v>10084</v>
      </c>
      <c r="N941" s="387"/>
      <c r="O941" s="387" t="s">
        <v>57</v>
      </c>
      <c r="P941" s="390">
        <v>43973500</v>
      </c>
      <c r="Q941" s="387" t="s">
        <v>11630</v>
      </c>
      <c r="R941" s="358" t="s">
        <v>258</v>
      </c>
      <c r="S941" s="340">
        <v>12</v>
      </c>
    </row>
    <row r="942" spans="1:19" ht="29" x14ac:dyDescent="0.35">
      <c r="A942" s="349">
        <v>931</v>
      </c>
      <c r="B942" s="387" t="s">
        <v>10650</v>
      </c>
      <c r="C942" s="387" t="s">
        <v>10651</v>
      </c>
      <c r="D942" s="388" t="s">
        <v>51</v>
      </c>
      <c r="E942" s="388" t="s">
        <v>10082</v>
      </c>
      <c r="F942" s="388" t="s">
        <v>10078</v>
      </c>
      <c r="G942" s="388" t="s">
        <v>10078</v>
      </c>
      <c r="H942" s="388" t="s">
        <v>2972</v>
      </c>
      <c r="I942" s="387" t="s">
        <v>9591</v>
      </c>
      <c r="J942" s="389"/>
      <c r="K942" s="387"/>
      <c r="L942" s="387"/>
      <c r="M942" s="387" t="s">
        <v>10084</v>
      </c>
      <c r="N942" s="387"/>
      <c r="O942" s="387" t="s">
        <v>57</v>
      </c>
      <c r="P942" s="390">
        <v>169250000</v>
      </c>
      <c r="Q942" s="387" t="s">
        <v>11631</v>
      </c>
      <c r="R942" s="358" t="s">
        <v>258</v>
      </c>
      <c r="S942" s="340">
        <v>12</v>
      </c>
    </row>
    <row r="943" spans="1:19" ht="29.5" thickBot="1" x14ac:dyDescent="0.4">
      <c r="A943" s="357">
        <v>932</v>
      </c>
      <c r="B943" s="387" t="s">
        <v>11632</v>
      </c>
      <c r="C943" s="387" t="s">
        <v>11633</v>
      </c>
      <c r="D943" s="388" t="s">
        <v>51</v>
      </c>
      <c r="E943" s="388" t="s">
        <v>10082</v>
      </c>
      <c r="F943" s="388" t="s">
        <v>10078</v>
      </c>
      <c r="G943" s="388" t="s">
        <v>10088</v>
      </c>
      <c r="H943" s="388" t="s">
        <v>11634</v>
      </c>
      <c r="I943" s="387" t="s">
        <v>11635</v>
      </c>
      <c r="J943" s="389">
        <v>43343</v>
      </c>
      <c r="K943" s="387" t="s">
        <v>11636</v>
      </c>
      <c r="L943" s="387"/>
      <c r="M943" s="387" t="s">
        <v>10084</v>
      </c>
      <c r="N943" s="387"/>
      <c r="O943" s="387" t="s">
        <v>57</v>
      </c>
      <c r="P943" s="390">
        <v>178980000</v>
      </c>
      <c r="Q943" s="387" t="s">
        <v>11637</v>
      </c>
      <c r="R943" s="358" t="s">
        <v>258</v>
      </c>
      <c r="S943" s="340">
        <v>12</v>
      </c>
    </row>
    <row r="944" spans="1:19" ht="43.5" x14ac:dyDescent="0.35">
      <c r="A944" s="349">
        <v>933</v>
      </c>
      <c r="B944" s="387" t="s">
        <v>10486</v>
      </c>
      <c r="C944" s="387" t="s">
        <v>10487</v>
      </c>
      <c r="D944" s="388" t="s">
        <v>51</v>
      </c>
      <c r="E944" s="388" t="s">
        <v>10082</v>
      </c>
      <c r="F944" s="388" t="s">
        <v>10078</v>
      </c>
      <c r="G944" s="388" t="s">
        <v>10088</v>
      </c>
      <c r="H944" s="388" t="s">
        <v>11409</v>
      </c>
      <c r="I944" s="387" t="s">
        <v>11638</v>
      </c>
      <c r="J944" s="389">
        <v>41927</v>
      </c>
      <c r="K944" s="387" t="s">
        <v>11639</v>
      </c>
      <c r="L944" s="387"/>
      <c r="M944" s="387" t="s">
        <v>10084</v>
      </c>
      <c r="N944" s="387"/>
      <c r="O944" s="387" t="s">
        <v>57</v>
      </c>
      <c r="P944" s="390">
        <v>215595100</v>
      </c>
      <c r="Q944" s="387" t="s">
        <v>11640</v>
      </c>
      <c r="R944" s="358" t="s">
        <v>258</v>
      </c>
      <c r="S944" s="340">
        <v>12</v>
      </c>
    </row>
    <row r="945" spans="1:19" ht="29.5" thickBot="1" x14ac:dyDescent="0.4">
      <c r="A945" s="357">
        <v>934</v>
      </c>
      <c r="B945" s="387" t="s">
        <v>10486</v>
      </c>
      <c r="C945" s="387" t="s">
        <v>10487</v>
      </c>
      <c r="D945" s="388" t="s">
        <v>59</v>
      </c>
      <c r="E945" s="388" t="s">
        <v>10082</v>
      </c>
      <c r="F945" s="388" t="s">
        <v>10078</v>
      </c>
      <c r="G945" s="388" t="s">
        <v>10088</v>
      </c>
      <c r="H945" s="388" t="s">
        <v>11641</v>
      </c>
      <c r="I945" s="387" t="s">
        <v>11515</v>
      </c>
      <c r="J945" s="389">
        <v>43041</v>
      </c>
      <c r="K945" s="387" t="s">
        <v>11642</v>
      </c>
      <c r="L945" s="387"/>
      <c r="M945" s="387" t="s">
        <v>10084</v>
      </c>
      <c r="N945" s="387"/>
      <c r="O945" s="387" t="s">
        <v>57</v>
      </c>
      <c r="P945" s="390">
        <v>140360000</v>
      </c>
      <c r="Q945" s="387" t="s">
        <v>11643</v>
      </c>
      <c r="R945" s="358" t="s">
        <v>258</v>
      </c>
      <c r="S945" s="340">
        <v>12</v>
      </c>
    </row>
    <row r="946" spans="1:19" ht="29" x14ac:dyDescent="0.35">
      <c r="A946" s="349">
        <v>935</v>
      </c>
      <c r="B946" s="387" t="s">
        <v>11644</v>
      </c>
      <c r="C946" s="387" t="s">
        <v>11645</v>
      </c>
      <c r="D946" s="388" t="s">
        <v>51</v>
      </c>
      <c r="E946" s="388" t="s">
        <v>10082</v>
      </c>
      <c r="F946" s="388" t="s">
        <v>10078</v>
      </c>
      <c r="G946" s="388" t="s">
        <v>10078</v>
      </c>
      <c r="H946" s="388" t="s">
        <v>11646</v>
      </c>
      <c r="I946" s="387"/>
      <c r="J946" s="389"/>
      <c r="K946" s="387"/>
      <c r="L946" s="387"/>
      <c r="M946" s="387" t="s">
        <v>10084</v>
      </c>
      <c r="N946" s="387"/>
      <c r="O946" s="387" t="s">
        <v>57</v>
      </c>
      <c r="P946" s="390">
        <v>264999400.00000003</v>
      </c>
      <c r="Q946" s="387" t="s">
        <v>11647</v>
      </c>
      <c r="R946" s="358" t="s">
        <v>258</v>
      </c>
      <c r="S946" s="340">
        <v>12</v>
      </c>
    </row>
    <row r="947" spans="1:19" ht="44" thickBot="1" x14ac:dyDescent="0.4">
      <c r="A947" s="357">
        <v>936</v>
      </c>
      <c r="B947" s="387" t="s">
        <v>11644</v>
      </c>
      <c r="C947" s="387" t="s">
        <v>11645</v>
      </c>
      <c r="D947" s="388" t="s">
        <v>59</v>
      </c>
      <c r="E947" s="388" t="s">
        <v>10082</v>
      </c>
      <c r="F947" s="388" t="s">
        <v>10078</v>
      </c>
      <c r="G947" s="388" t="s">
        <v>10078</v>
      </c>
      <c r="H947" s="388" t="s">
        <v>2972</v>
      </c>
      <c r="I947" s="387" t="s">
        <v>11648</v>
      </c>
      <c r="J947" s="389"/>
      <c r="K947" s="387"/>
      <c r="L947" s="387"/>
      <c r="M947" s="387" t="s">
        <v>10084</v>
      </c>
      <c r="N947" s="387"/>
      <c r="O947" s="387" t="s">
        <v>57</v>
      </c>
      <c r="P947" s="390">
        <v>172650000</v>
      </c>
      <c r="Q947" s="387" t="s">
        <v>11649</v>
      </c>
      <c r="R947" s="358" t="s">
        <v>258</v>
      </c>
      <c r="S947" s="340">
        <v>12</v>
      </c>
    </row>
    <row r="948" spans="1:19" ht="29" x14ac:dyDescent="0.35">
      <c r="A948" s="349">
        <v>937</v>
      </c>
      <c r="B948" s="387" t="s">
        <v>10559</v>
      </c>
      <c r="C948" s="387" t="s">
        <v>10560</v>
      </c>
      <c r="D948" s="388" t="s">
        <v>59</v>
      </c>
      <c r="E948" s="388" t="s">
        <v>10082</v>
      </c>
      <c r="F948" s="388" t="s">
        <v>10078</v>
      </c>
      <c r="G948" s="388" t="s">
        <v>10088</v>
      </c>
      <c r="H948" s="388" t="s">
        <v>11315</v>
      </c>
      <c r="I948" s="387" t="s">
        <v>11650</v>
      </c>
      <c r="J948" s="389">
        <v>42086</v>
      </c>
      <c r="K948" s="387" t="s">
        <v>11651</v>
      </c>
      <c r="L948" s="387"/>
      <c r="M948" s="387" t="s">
        <v>10084</v>
      </c>
      <c r="N948" s="387"/>
      <c r="O948" s="387" t="s">
        <v>57</v>
      </c>
      <c r="P948" s="390">
        <v>79675000</v>
      </c>
      <c r="Q948" s="387" t="s">
        <v>11652</v>
      </c>
      <c r="R948" s="358" t="s">
        <v>258</v>
      </c>
      <c r="S948" s="340">
        <v>12</v>
      </c>
    </row>
    <row r="949" spans="1:19" ht="44" thickBot="1" x14ac:dyDescent="0.4">
      <c r="A949" s="357">
        <v>938</v>
      </c>
      <c r="B949" s="387" t="s">
        <v>11322</v>
      </c>
      <c r="C949" s="387" t="s">
        <v>11323</v>
      </c>
      <c r="D949" s="388" t="s">
        <v>51</v>
      </c>
      <c r="E949" s="388" t="s">
        <v>10082</v>
      </c>
      <c r="F949" s="388" t="s">
        <v>10078</v>
      </c>
      <c r="G949" s="388" t="s">
        <v>10078</v>
      </c>
      <c r="H949" s="388" t="s">
        <v>82</v>
      </c>
      <c r="I949" s="387" t="s">
        <v>11653</v>
      </c>
      <c r="J949" s="389">
        <v>41927</v>
      </c>
      <c r="K949" s="387" t="s">
        <v>11654</v>
      </c>
      <c r="L949" s="387"/>
      <c r="M949" s="387" t="s">
        <v>10084</v>
      </c>
      <c r="N949" s="387"/>
      <c r="O949" s="387" t="s">
        <v>57</v>
      </c>
      <c r="P949" s="390">
        <v>49400000</v>
      </c>
      <c r="Q949" s="387" t="s">
        <v>11655</v>
      </c>
      <c r="R949" s="358" t="s">
        <v>258</v>
      </c>
      <c r="S949" s="340">
        <v>12</v>
      </c>
    </row>
    <row r="950" spans="1:19" ht="43.5" x14ac:dyDescent="0.35">
      <c r="A950" s="349">
        <v>939</v>
      </c>
      <c r="B950" s="387" t="s">
        <v>11322</v>
      </c>
      <c r="C950" s="387" t="s">
        <v>11323</v>
      </c>
      <c r="D950" s="388" t="s">
        <v>59</v>
      </c>
      <c r="E950" s="388" t="s">
        <v>10082</v>
      </c>
      <c r="F950" s="388" t="s">
        <v>10078</v>
      </c>
      <c r="G950" s="388" t="s">
        <v>10078</v>
      </c>
      <c r="H950" s="388" t="s">
        <v>11656</v>
      </c>
      <c r="I950" s="387" t="s">
        <v>11653</v>
      </c>
      <c r="J950" s="389">
        <v>41927</v>
      </c>
      <c r="K950" s="387" t="s">
        <v>11657</v>
      </c>
      <c r="L950" s="387"/>
      <c r="M950" s="387" t="s">
        <v>10084</v>
      </c>
      <c r="N950" s="387"/>
      <c r="O950" s="387" t="s">
        <v>57</v>
      </c>
      <c r="P950" s="390">
        <v>55200000</v>
      </c>
      <c r="Q950" s="387" t="s">
        <v>11658</v>
      </c>
      <c r="R950" s="358" t="s">
        <v>258</v>
      </c>
      <c r="S950" s="340">
        <v>12</v>
      </c>
    </row>
    <row r="951" spans="1:19" ht="29.5" thickBot="1" x14ac:dyDescent="0.4">
      <c r="A951" s="357">
        <v>940</v>
      </c>
      <c r="B951" s="387" t="s">
        <v>11322</v>
      </c>
      <c r="C951" s="387" t="s">
        <v>11323</v>
      </c>
      <c r="D951" s="388" t="s">
        <v>97</v>
      </c>
      <c r="E951" s="388" t="s">
        <v>10082</v>
      </c>
      <c r="F951" s="388" t="s">
        <v>10078</v>
      </c>
      <c r="G951" s="388" t="s">
        <v>10078</v>
      </c>
      <c r="H951" s="388" t="s">
        <v>2972</v>
      </c>
      <c r="I951" s="387" t="s">
        <v>11659</v>
      </c>
      <c r="J951" s="389">
        <v>42697</v>
      </c>
      <c r="K951" s="387" t="s">
        <v>11660</v>
      </c>
      <c r="L951" s="387"/>
      <c r="M951" s="387" t="s">
        <v>10084</v>
      </c>
      <c r="N951" s="387"/>
      <c r="O951" s="387" t="s">
        <v>57</v>
      </c>
      <c r="P951" s="390">
        <v>174150000</v>
      </c>
      <c r="Q951" s="387" t="s">
        <v>11661</v>
      </c>
      <c r="R951" s="358" t="s">
        <v>258</v>
      </c>
      <c r="S951" s="340">
        <v>12</v>
      </c>
    </row>
    <row r="952" spans="1:19" ht="29" x14ac:dyDescent="0.35">
      <c r="A952" s="349">
        <v>941</v>
      </c>
      <c r="B952" s="387" t="s">
        <v>10997</v>
      </c>
      <c r="C952" s="387" t="s">
        <v>10998</v>
      </c>
      <c r="D952" s="388" t="s">
        <v>51</v>
      </c>
      <c r="E952" s="388" t="s">
        <v>10082</v>
      </c>
      <c r="F952" s="388" t="s">
        <v>10078</v>
      </c>
      <c r="G952" s="388" t="s">
        <v>10078</v>
      </c>
      <c r="H952" s="388" t="s">
        <v>11349</v>
      </c>
      <c r="I952" s="387" t="s">
        <v>11662</v>
      </c>
      <c r="J952" s="389">
        <v>42696</v>
      </c>
      <c r="K952" s="387" t="s">
        <v>11663</v>
      </c>
      <c r="L952" s="387"/>
      <c r="M952" s="387" t="s">
        <v>10084</v>
      </c>
      <c r="N952" s="387"/>
      <c r="O952" s="387" t="s">
        <v>57</v>
      </c>
      <c r="P952" s="390">
        <v>78772000</v>
      </c>
      <c r="Q952" s="387" t="s">
        <v>11664</v>
      </c>
      <c r="R952" s="358" t="s">
        <v>258</v>
      </c>
      <c r="S952" s="340">
        <v>12</v>
      </c>
    </row>
    <row r="953" spans="1:19" ht="29.5" thickBot="1" x14ac:dyDescent="0.4">
      <c r="A953" s="357">
        <v>942</v>
      </c>
      <c r="B953" s="387" t="s">
        <v>10997</v>
      </c>
      <c r="C953" s="387" t="s">
        <v>10998</v>
      </c>
      <c r="D953" s="388" t="s">
        <v>59</v>
      </c>
      <c r="E953" s="388" t="s">
        <v>10082</v>
      </c>
      <c r="F953" s="388" t="s">
        <v>10078</v>
      </c>
      <c r="G953" s="388" t="s">
        <v>10078</v>
      </c>
      <c r="H953" s="388" t="s">
        <v>11284</v>
      </c>
      <c r="I953" s="387" t="s">
        <v>11665</v>
      </c>
      <c r="J953" s="389">
        <v>41584</v>
      </c>
      <c r="K953" s="387" t="s">
        <v>11666</v>
      </c>
      <c r="L953" s="387"/>
      <c r="M953" s="387" t="s">
        <v>10084</v>
      </c>
      <c r="N953" s="387"/>
      <c r="O953" s="387" t="s">
        <v>57</v>
      </c>
      <c r="P953" s="390">
        <v>4500000</v>
      </c>
      <c r="Q953" s="387" t="s">
        <v>11667</v>
      </c>
      <c r="R953" s="358" t="s">
        <v>258</v>
      </c>
      <c r="S953" s="340">
        <v>12</v>
      </c>
    </row>
    <row r="954" spans="1:19" ht="29" x14ac:dyDescent="0.35">
      <c r="A954" s="349">
        <v>943</v>
      </c>
      <c r="B954" s="387" t="s">
        <v>10997</v>
      </c>
      <c r="C954" s="387" t="s">
        <v>10998</v>
      </c>
      <c r="D954" s="388" t="s">
        <v>97</v>
      </c>
      <c r="E954" s="388" t="s">
        <v>10082</v>
      </c>
      <c r="F954" s="388" t="s">
        <v>10078</v>
      </c>
      <c r="G954" s="388" t="s">
        <v>10088</v>
      </c>
      <c r="H954" s="388" t="s">
        <v>11297</v>
      </c>
      <c r="I954" s="387" t="s">
        <v>11668</v>
      </c>
      <c r="J954" s="389">
        <v>41592</v>
      </c>
      <c r="K954" s="387" t="s">
        <v>11669</v>
      </c>
      <c r="L954" s="387"/>
      <c r="M954" s="387" t="s">
        <v>10084</v>
      </c>
      <c r="N954" s="387"/>
      <c r="O954" s="387" t="s">
        <v>57</v>
      </c>
      <c r="P954" s="390">
        <v>17950000</v>
      </c>
      <c r="Q954" s="387" t="s">
        <v>11670</v>
      </c>
      <c r="R954" s="358" t="s">
        <v>258</v>
      </c>
      <c r="S954" s="340">
        <v>12</v>
      </c>
    </row>
    <row r="955" spans="1:19" ht="29.5" thickBot="1" x14ac:dyDescent="0.4">
      <c r="A955" s="357">
        <v>944</v>
      </c>
      <c r="B955" s="387" t="s">
        <v>10997</v>
      </c>
      <c r="C955" s="387" t="s">
        <v>10998</v>
      </c>
      <c r="D955" s="388" t="s">
        <v>101</v>
      </c>
      <c r="E955" s="388" t="s">
        <v>10082</v>
      </c>
      <c r="F955" s="388" t="s">
        <v>10078</v>
      </c>
      <c r="G955" s="388" t="s">
        <v>10088</v>
      </c>
      <c r="H955" s="388" t="s">
        <v>11364</v>
      </c>
      <c r="I955" s="387" t="s">
        <v>11671</v>
      </c>
      <c r="J955" s="389"/>
      <c r="K955" s="387"/>
      <c r="L955" s="387"/>
      <c r="M955" s="387" t="s">
        <v>10084</v>
      </c>
      <c r="N955" s="387"/>
      <c r="O955" s="387" t="s">
        <v>422</v>
      </c>
      <c r="P955" s="390">
        <v>72000000</v>
      </c>
      <c r="Q955" s="387" t="s">
        <v>8420</v>
      </c>
      <c r="R955" s="358" t="s">
        <v>258</v>
      </c>
      <c r="S955" s="340">
        <v>12</v>
      </c>
    </row>
    <row r="956" spans="1:19" ht="29" x14ac:dyDescent="0.35">
      <c r="A956" s="349">
        <v>945</v>
      </c>
      <c r="B956" s="387" t="s">
        <v>10997</v>
      </c>
      <c r="C956" s="387" t="s">
        <v>10998</v>
      </c>
      <c r="D956" s="388" t="s">
        <v>107</v>
      </c>
      <c r="E956" s="388" t="s">
        <v>10673</v>
      </c>
      <c r="F956" s="388" t="s">
        <v>10078</v>
      </c>
      <c r="G956" s="388" t="s">
        <v>10088</v>
      </c>
      <c r="H956" s="388" t="s">
        <v>8957</v>
      </c>
      <c r="I956" s="387" t="s">
        <v>11672</v>
      </c>
      <c r="J956" s="389"/>
      <c r="K956" s="387"/>
      <c r="L956" s="387"/>
      <c r="M956" s="387" t="s">
        <v>10084</v>
      </c>
      <c r="N956" s="387"/>
      <c r="O956" s="387" t="s">
        <v>422</v>
      </c>
      <c r="P956" s="390">
        <v>34500000</v>
      </c>
      <c r="Q956" s="387" t="s">
        <v>11673</v>
      </c>
      <c r="R956" s="358" t="s">
        <v>258</v>
      </c>
      <c r="S956" s="340">
        <v>12</v>
      </c>
    </row>
    <row r="957" spans="1:19" ht="29.5" thickBot="1" x14ac:dyDescent="0.4">
      <c r="A957" s="357">
        <v>946</v>
      </c>
      <c r="B957" s="387" t="s">
        <v>10765</v>
      </c>
      <c r="C957" s="387" t="s">
        <v>10766</v>
      </c>
      <c r="D957" s="388" t="s">
        <v>51</v>
      </c>
      <c r="E957" s="388" t="s">
        <v>10082</v>
      </c>
      <c r="F957" s="388" t="s">
        <v>10078</v>
      </c>
      <c r="G957" s="388" t="s">
        <v>10078</v>
      </c>
      <c r="H957" s="388" t="s">
        <v>2972</v>
      </c>
      <c r="I957" s="387" t="s">
        <v>11674</v>
      </c>
      <c r="J957" s="389">
        <v>44097</v>
      </c>
      <c r="K957" s="387" t="s">
        <v>11675</v>
      </c>
      <c r="L957" s="387"/>
      <c r="M957" s="387" t="s">
        <v>10084</v>
      </c>
      <c r="N957" s="387"/>
      <c r="O957" s="387" t="s">
        <v>57</v>
      </c>
      <c r="P957" s="390">
        <v>20726980</v>
      </c>
      <c r="Q957" s="387" t="s">
        <v>11676</v>
      </c>
      <c r="R957" s="358" t="s">
        <v>258</v>
      </c>
      <c r="S957" s="340">
        <v>12</v>
      </c>
    </row>
    <row r="958" spans="1:19" ht="29" x14ac:dyDescent="0.35">
      <c r="A958" s="349">
        <v>947</v>
      </c>
      <c r="B958" s="387" t="s">
        <v>10765</v>
      </c>
      <c r="C958" s="387" t="s">
        <v>10766</v>
      </c>
      <c r="D958" s="388" t="s">
        <v>59</v>
      </c>
      <c r="E958" s="388" t="s">
        <v>10082</v>
      </c>
      <c r="F958" s="388" t="s">
        <v>10078</v>
      </c>
      <c r="G958" s="388" t="s">
        <v>10078</v>
      </c>
      <c r="H958" s="388" t="s">
        <v>2972</v>
      </c>
      <c r="I958" s="387" t="s">
        <v>11677</v>
      </c>
      <c r="J958" s="389">
        <v>43798</v>
      </c>
      <c r="K958" s="387" t="s">
        <v>11678</v>
      </c>
      <c r="L958" s="387"/>
      <c r="M958" s="387" t="s">
        <v>10084</v>
      </c>
      <c r="N958" s="387"/>
      <c r="O958" s="387" t="s">
        <v>57</v>
      </c>
      <c r="P958" s="390">
        <v>26590000</v>
      </c>
      <c r="Q958" s="387" t="s">
        <v>11679</v>
      </c>
      <c r="R958" s="358" t="s">
        <v>258</v>
      </c>
      <c r="S958" s="340">
        <v>12</v>
      </c>
    </row>
    <row r="959" spans="1:19" ht="29.5" thickBot="1" x14ac:dyDescent="0.4">
      <c r="A959" s="357">
        <v>948</v>
      </c>
      <c r="B959" s="387" t="s">
        <v>10765</v>
      </c>
      <c r="C959" s="387" t="s">
        <v>10766</v>
      </c>
      <c r="D959" s="388" t="s">
        <v>97</v>
      </c>
      <c r="E959" s="388" t="s">
        <v>10082</v>
      </c>
      <c r="F959" s="388" t="s">
        <v>10078</v>
      </c>
      <c r="G959" s="388" t="s">
        <v>10078</v>
      </c>
      <c r="H959" s="388" t="s">
        <v>2972</v>
      </c>
      <c r="I959" s="387" t="s">
        <v>63</v>
      </c>
      <c r="J959" s="389"/>
      <c r="K959" s="387" t="s">
        <v>11680</v>
      </c>
      <c r="L959" s="387"/>
      <c r="M959" s="387" t="s">
        <v>10084</v>
      </c>
      <c r="N959" s="387"/>
      <c r="O959" s="387" t="s">
        <v>57</v>
      </c>
      <c r="P959" s="390">
        <v>641528000</v>
      </c>
      <c r="Q959" s="387" t="s">
        <v>11681</v>
      </c>
      <c r="R959" s="358" t="s">
        <v>258</v>
      </c>
      <c r="S959" s="340">
        <v>12</v>
      </c>
    </row>
    <row r="960" spans="1:19" ht="43.5" x14ac:dyDescent="0.35">
      <c r="A960" s="349">
        <v>949</v>
      </c>
      <c r="B960" s="387" t="s">
        <v>11682</v>
      </c>
      <c r="C960" s="387" t="s">
        <v>11683</v>
      </c>
      <c r="D960" s="388" t="s">
        <v>51</v>
      </c>
      <c r="E960" s="388" t="s">
        <v>10082</v>
      </c>
      <c r="F960" s="388" t="s">
        <v>10078</v>
      </c>
      <c r="G960" s="388" t="s">
        <v>10088</v>
      </c>
      <c r="H960" s="388" t="s">
        <v>11308</v>
      </c>
      <c r="I960" s="387" t="s">
        <v>11560</v>
      </c>
      <c r="J960" s="389">
        <v>41480</v>
      </c>
      <c r="K960" s="387" t="s">
        <v>11684</v>
      </c>
      <c r="L960" s="387"/>
      <c r="M960" s="387" t="s">
        <v>10084</v>
      </c>
      <c r="N960" s="387"/>
      <c r="O960" s="387" t="s">
        <v>57</v>
      </c>
      <c r="P960" s="390">
        <v>151400000</v>
      </c>
      <c r="Q960" s="387" t="s">
        <v>11685</v>
      </c>
      <c r="R960" s="358" t="s">
        <v>258</v>
      </c>
      <c r="S960" s="340">
        <v>12</v>
      </c>
    </row>
    <row r="961" spans="1:19" ht="29.5" thickBot="1" x14ac:dyDescent="0.4">
      <c r="A961" s="357">
        <v>950</v>
      </c>
      <c r="B961" s="387" t="s">
        <v>11382</v>
      </c>
      <c r="C961" s="387" t="s">
        <v>11383</v>
      </c>
      <c r="D961" s="388" t="s">
        <v>51</v>
      </c>
      <c r="E961" s="388" t="s">
        <v>10082</v>
      </c>
      <c r="F961" s="388" t="s">
        <v>10078</v>
      </c>
      <c r="G961" s="388" t="s">
        <v>10088</v>
      </c>
      <c r="H961" s="388" t="s">
        <v>11686</v>
      </c>
      <c r="I961" s="387" t="s">
        <v>11470</v>
      </c>
      <c r="J961" s="389">
        <v>39196</v>
      </c>
      <c r="K961" s="387" t="s">
        <v>11687</v>
      </c>
      <c r="L961" s="387"/>
      <c r="M961" s="387" t="s">
        <v>10084</v>
      </c>
      <c r="N961" s="387"/>
      <c r="O961" s="387" t="s">
        <v>57</v>
      </c>
      <c r="P961" s="390">
        <v>126968000</v>
      </c>
      <c r="Q961" s="387" t="s">
        <v>11688</v>
      </c>
      <c r="R961" s="358" t="s">
        <v>258</v>
      </c>
      <c r="S961" s="340">
        <v>12</v>
      </c>
    </row>
    <row r="962" spans="1:19" ht="29" x14ac:dyDescent="0.35">
      <c r="A962" s="349">
        <v>951</v>
      </c>
      <c r="B962" s="387" t="s">
        <v>11382</v>
      </c>
      <c r="C962" s="387" t="s">
        <v>11383</v>
      </c>
      <c r="D962" s="388" t="s">
        <v>97</v>
      </c>
      <c r="E962" s="388" t="s">
        <v>10082</v>
      </c>
      <c r="F962" s="388" t="s">
        <v>10078</v>
      </c>
      <c r="G962" s="388" t="s">
        <v>10088</v>
      </c>
      <c r="H962" s="388" t="s">
        <v>11400</v>
      </c>
      <c r="I962" s="387" t="s">
        <v>10909</v>
      </c>
      <c r="J962" s="389"/>
      <c r="K962" s="387"/>
      <c r="L962" s="387"/>
      <c r="M962" s="387" t="s">
        <v>10084</v>
      </c>
      <c r="N962" s="387"/>
      <c r="O962" s="387" t="s">
        <v>57</v>
      </c>
      <c r="P962" s="390">
        <v>498950000</v>
      </c>
      <c r="Q962" s="387" t="s">
        <v>11689</v>
      </c>
      <c r="R962" s="358" t="s">
        <v>258</v>
      </c>
      <c r="S962" s="340">
        <v>12</v>
      </c>
    </row>
    <row r="963" spans="1:19" ht="29.5" thickBot="1" x14ac:dyDescent="0.4">
      <c r="A963" s="357">
        <v>952</v>
      </c>
      <c r="B963" s="387" t="s">
        <v>11382</v>
      </c>
      <c r="C963" s="387" t="s">
        <v>11383</v>
      </c>
      <c r="D963" s="388" t="s">
        <v>101</v>
      </c>
      <c r="E963" s="388" t="s">
        <v>10082</v>
      </c>
      <c r="F963" s="388" t="s">
        <v>10078</v>
      </c>
      <c r="G963" s="388" t="s">
        <v>10078</v>
      </c>
      <c r="H963" s="388" t="s">
        <v>11318</v>
      </c>
      <c r="I963" s="387" t="s">
        <v>11690</v>
      </c>
      <c r="J963" s="389">
        <v>40095</v>
      </c>
      <c r="K963" s="387" t="s">
        <v>11691</v>
      </c>
      <c r="L963" s="387"/>
      <c r="M963" s="387" t="s">
        <v>10084</v>
      </c>
      <c r="N963" s="387"/>
      <c r="O963" s="387" t="s">
        <v>57</v>
      </c>
      <c r="P963" s="390">
        <v>79874000</v>
      </c>
      <c r="Q963" s="387" t="s">
        <v>11692</v>
      </c>
      <c r="R963" s="358" t="s">
        <v>258</v>
      </c>
      <c r="S963" s="340">
        <v>12</v>
      </c>
    </row>
    <row r="964" spans="1:19" ht="29" x14ac:dyDescent="0.35">
      <c r="A964" s="349">
        <v>953</v>
      </c>
      <c r="B964" s="387" t="s">
        <v>11693</v>
      </c>
      <c r="C964" s="387" t="s">
        <v>11694</v>
      </c>
      <c r="D964" s="388" t="s">
        <v>51</v>
      </c>
      <c r="E964" s="388" t="s">
        <v>10082</v>
      </c>
      <c r="F964" s="388" t="s">
        <v>10078</v>
      </c>
      <c r="G964" s="388" t="s">
        <v>10088</v>
      </c>
      <c r="H964" s="388" t="s">
        <v>11425</v>
      </c>
      <c r="I964" s="387" t="s">
        <v>11695</v>
      </c>
      <c r="J964" s="389"/>
      <c r="K964" s="387"/>
      <c r="L964" s="387"/>
      <c r="M964" s="387" t="s">
        <v>10084</v>
      </c>
      <c r="N964" s="387"/>
      <c r="O964" s="387" t="s">
        <v>57</v>
      </c>
      <c r="P964" s="390">
        <v>83851000</v>
      </c>
      <c r="Q964" s="387" t="s">
        <v>11696</v>
      </c>
      <c r="R964" s="358" t="s">
        <v>258</v>
      </c>
      <c r="S964" s="340">
        <v>12</v>
      </c>
    </row>
    <row r="965" spans="1:19" ht="73" thickBot="1" x14ac:dyDescent="0.4">
      <c r="A965" s="357">
        <v>954</v>
      </c>
      <c r="B965" s="387" t="s">
        <v>11697</v>
      </c>
      <c r="C965" s="387" t="s">
        <v>11698</v>
      </c>
      <c r="D965" s="388" t="s">
        <v>51</v>
      </c>
      <c r="E965" s="388" t="s">
        <v>10082</v>
      </c>
      <c r="F965" s="388" t="s">
        <v>10078</v>
      </c>
      <c r="G965" s="388" t="s">
        <v>10078</v>
      </c>
      <c r="H965" s="388" t="s">
        <v>11699</v>
      </c>
      <c r="I965" s="387" t="s">
        <v>11700</v>
      </c>
      <c r="J965" s="389">
        <v>43775</v>
      </c>
      <c r="K965" s="387" t="s">
        <v>11701</v>
      </c>
      <c r="L965" s="387"/>
      <c r="M965" s="387" t="s">
        <v>10084</v>
      </c>
      <c r="N965" s="387"/>
      <c r="O965" s="387" t="s">
        <v>57</v>
      </c>
      <c r="P965" s="390">
        <v>165175000</v>
      </c>
      <c r="Q965" s="387" t="s">
        <v>11700</v>
      </c>
      <c r="R965" s="358" t="s">
        <v>258</v>
      </c>
      <c r="S965" s="340">
        <v>12</v>
      </c>
    </row>
    <row r="966" spans="1:19" ht="29" x14ac:dyDescent="0.35">
      <c r="A966" s="349">
        <v>955</v>
      </c>
      <c r="B966" s="387" t="s">
        <v>11702</v>
      </c>
      <c r="C966" s="387" t="s">
        <v>11703</v>
      </c>
      <c r="D966" s="388" t="s">
        <v>51</v>
      </c>
      <c r="E966" s="388" t="s">
        <v>10082</v>
      </c>
      <c r="F966" s="388" t="s">
        <v>10078</v>
      </c>
      <c r="G966" s="388" t="s">
        <v>10088</v>
      </c>
      <c r="H966" s="388" t="s">
        <v>11297</v>
      </c>
      <c r="I966" s="387" t="s">
        <v>11582</v>
      </c>
      <c r="J966" s="389">
        <v>39195</v>
      </c>
      <c r="K966" s="387" t="s">
        <v>11704</v>
      </c>
      <c r="L966" s="387"/>
      <c r="M966" s="387" t="s">
        <v>10084</v>
      </c>
      <c r="N966" s="387"/>
      <c r="O966" s="387" t="s">
        <v>57</v>
      </c>
      <c r="P966" s="390">
        <v>105000000</v>
      </c>
      <c r="Q966" s="387" t="s">
        <v>11705</v>
      </c>
      <c r="R966" s="358" t="s">
        <v>258</v>
      </c>
      <c r="S966" s="340">
        <v>12</v>
      </c>
    </row>
    <row r="967" spans="1:19" ht="29.5" thickBot="1" x14ac:dyDescent="0.4">
      <c r="A967" s="357">
        <v>956</v>
      </c>
      <c r="B967" s="387" t="s">
        <v>11702</v>
      </c>
      <c r="C967" s="387" t="s">
        <v>11703</v>
      </c>
      <c r="D967" s="388" t="s">
        <v>59</v>
      </c>
      <c r="E967" s="388" t="s">
        <v>10082</v>
      </c>
      <c r="F967" s="388" t="s">
        <v>10078</v>
      </c>
      <c r="G967" s="388" t="s">
        <v>10088</v>
      </c>
      <c r="H967" s="388" t="s">
        <v>11421</v>
      </c>
      <c r="I967" s="387" t="s">
        <v>11706</v>
      </c>
      <c r="J967" s="389"/>
      <c r="K967" s="387"/>
      <c r="L967" s="387"/>
      <c r="M967" s="387" t="s">
        <v>10084</v>
      </c>
      <c r="N967" s="387"/>
      <c r="O967" s="387" t="s">
        <v>57</v>
      </c>
      <c r="P967" s="390">
        <v>131744000</v>
      </c>
      <c r="Q967" s="387" t="s">
        <v>11707</v>
      </c>
      <c r="R967" s="358" t="s">
        <v>258</v>
      </c>
      <c r="S967" s="340">
        <v>12</v>
      </c>
    </row>
    <row r="968" spans="1:19" ht="29" x14ac:dyDescent="0.35">
      <c r="A968" s="349">
        <v>957</v>
      </c>
      <c r="B968" s="387" t="s">
        <v>11702</v>
      </c>
      <c r="C968" s="387" t="s">
        <v>11703</v>
      </c>
      <c r="D968" s="388" t="s">
        <v>97</v>
      </c>
      <c r="E968" s="388" t="s">
        <v>10082</v>
      </c>
      <c r="F968" s="388" t="s">
        <v>10078</v>
      </c>
      <c r="G968" s="388" t="s">
        <v>10088</v>
      </c>
      <c r="H968" s="388" t="s">
        <v>11421</v>
      </c>
      <c r="I968" s="387" t="s">
        <v>11706</v>
      </c>
      <c r="J968" s="389"/>
      <c r="K968" s="387"/>
      <c r="L968" s="387"/>
      <c r="M968" s="387" t="s">
        <v>10084</v>
      </c>
      <c r="N968" s="387"/>
      <c r="O968" s="387" t="s">
        <v>57</v>
      </c>
      <c r="P968" s="390">
        <v>131744000</v>
      </c>
      <c r="Q968" s="387" t="s">
        <v>11707</v>
      </c>
      <c r="R968" s="358" t="s">
        <v>258</v>
      </c>
      <c r="S968" s="340">
        <v>12</v>
      </c>
    </row>
    <row r="969" spans="1:19" ht="29.5" thickBot="1" x14ac:dyDescent="0.4">
      <c r="A969" s="357">
        <v>958</v>
      </c>
      <c r="B969" s="387" t="s">
        <v>11708</v>
      </c>
      <c r="C969" s="387" t="s">
        <v>11709</v>
      </c>
      <c r="D969" s="388" t="s">
        <v>51</v>
      </c>
      <c r="E969" s="388" t="s">
        <v>10082</v>
      </c>
      <c r="F969" s="388" t="s">
        <v>10078</v>
      </c>
      <c r="G969" s="388" t="s">
        <v>10088</v>
      </c>
      <c r="H969" s="388" t="s">
        <v>11710</v>
      </c>
      <c r="I969" s="387" t="s">
        <v>11711</v>
      </c>
      <c r="J969" s="389">
        <v>40493</v>
      </c>
      <c r="K969" s="387" t="s">
        <v>11712</v>
      </c>
      <c r="L969" s="387"/>
      <c r="M969" s="387" t="s">
        <v>10084</v>
      </c>
      <c r="N969" s="387"/>
      <c r="O969" s="387" t="s">
        <v>57</v>
      </c>
      <c r="P969" s="390">
        <v>53785000</v>
      </c>
      <c r="Q969" s="387" t="s">
        <v>11713</v>
      </c>
      <c r="R969" s="358" t="s">
        <v>258</v>
      </c>
      <c r="S969" s="340">
        <v>12</v>
      </c>
    </row>
    <row r="970" spans="1:19" ht="29" x14ac:dyDescent="0.35">
      <c r="A970" s="349">
        <v>959</v>
      </c>
      <c r="B970" s="387" t="s">
        <v>11708</v>
      </c>
      <c r="C970" s="387" t="s">
        <v>11709</v>
      </c>
      <c r="D970" s="388" t="s">
        <v>59</v>
      </c>
      <c r="E970" s="388" t="s">
        <v>10673</v>
      </c>
      <c r="F970" s="388" t="s">
        <v>10078</v>
      </c>
      <c r="G970" s="388" t="s">
        <v>10088</v>
      </c>
      <c r="H970" s="388" t="s">
        <v>2972</v>
      </c>
      <c r="I970" s="387" t="s">
        <v>11405</v>
      </c>
      <c r="J970" s="389"/>
      <c r="K970" s="387"/>
      <c r="L970" s="387"/>
      <c r="M970" s="387" t="s">
        <v>10084</v>
      </c>
      <c r="N970" s="387"/>
      <c r="O970" s="387" t="s">
        <v>57</v>
      </c>
      <c r="P970" s="390">
        <v>249300000</v>
      </c>
      <c r="Q970" s="387" t="s">
        <v>11406</v>
      </c>
      <c r="R970" s="358" t="s">
        <v>258</v>
      </c>
      <c r="S970" s="340">
        <v>12</v>
      </c>
    </row>
    <row r="971" spans="1:19" ht="29.5" thickBot="1" x14ac:dyDescent="0.4">
      <c r="A971" s="357">
        <v>960</v>
      </c>
      <c r="B971" s="387" t="s">
        <v>11708</v>
      </c>
      <c r="C971" s="387" t="s">
        <v>11709</v>
      </c>
      <c r="D971" s="388" t="s">
        <v>97</v>
      </c>
      <c r="E971" s="388" t="s">
        <v>10673</v>
      </c>
      <c r="F971" s="388" t="s">
        <v>10078</v>
      </c>
      <c r="G971" s="388" t="s">
        <v>10088</v>
      </c>
      <c r="H971" s="388" t="s">
        <v>11400</v>
      </c>
      <c r="I971" s="387" t="s">
        <v>11706</v>
      </c>
      <c r="J971" s="389"/>
      <c r="K971" s="387"/>
      <c r="L971" s="387"/>
      <c r="M971" s="387" t="s">
        <v>10084</v>
      </c>
      <c r="N971" s="387"/>
      <c r="O971" s="387" t="s">
        <v>57</v>
      </c>
      <c r="P971" s="390">
        <v>360414000</v>
      </c>
      <c r="Q971" s="387" t="s">
        <v>11406</v>
      </c>
      <c r="R971" s="358" t="s">
        <v>258</v>
      </c>
      <c r="S971" s="340">
        <v>12</v>
      </c>
    </row>
    <row r="972" spans="1:19" ht="58" x14ac:dyDescent="0.35">
      <c r="A972" s="349">
        <v>961</v>
      </c>
      <c r="B972" s="387" t="s">
        <v>10096</v>
      </c>
      <c r="C972" s="387" t="s">
        <v>10097</v>
      </c>
      <c r="D972" s="388" t="s">
        <v>51</v>
      </c>
      <c r="E972" s="388" t="s">
        <v>10082</v>
      </c>
      <c r="F972" s="388" t="s">
        <v>10078</v>
      </c>
      <c r="G972" s="388" t="s">
        <v>10078</v>
      </c>
      <c r="H972" s="388" t="s">
        <v>2972</v>
      </c>
      <c r="I972" s="387" t="s">
        <v>11714</v>
      </c>
      <c r="J972" s="389">
        <v>43661</v>
      </c>
      <c r="K972" s="387" t="s">
        <v>11715</v>
      </c>
      <c r="L972" s="387"/>
      <c r="M972" s="387" t="s">
        <v>10084</v>
      </c>
      <c r="N972" s="387"/>
      <c r="O972" s="387" t="s">
        <v>57</v>
      </c>
      <c r="P972" s="390">
        <v>331010000</v>
      </c>
      <c r="Q972" s="387" t="s">
        <v>11716</v>
      </c>
      <c r="R972" s="358" t="s">
        <v>258</v>
      </c>
      <c r="S972" s="340">
        <v>12</v>
      </c>
    </row>
    <row r="973" spans="1:19" ht="44" thickBot="1" x14ac:dyDescent="0.4">
      <c r="A973" s="357">
        <v>962</v>
      </c>
      <c r="B973" s="387" t="s">
        <v>10096</v>
      </c>
      <c r="C973" s="387" t="s">
        <v>10097</v>
      </c>
      <c r="D973" s="388" t="s">
        <v>59</v>
      </c>
      <c r="E973" s="388" t="s">
        <v>10082</v>
      </c>
      <c r="F973" s="388" t="s">
        <v>10078</v>
      </c>
      <c r="G973" s="388" t="s">
        <v>10078</v>
      </c>
      <c r="H973" s="388" t="s">
        <v>2972</v>
      </c>
      <c r="I973" s="387" t="s">
        <v>8422</v>
      </c>
      <c r="J973" s="389">
        <v>43661</v>
      </c>
      <c r="K973" s="387" t="s">
        <v>11717</v>
      </c>
      <c r="L973" s="387"/>
      <c r="M973" s="387" t="s">
        <v>10084</v>
      </c>
      <c r="N973" s="387"/>
      <c r="O973" s="387" t="s">
        <v>57</v>
      </c>
      <c r="P973" s="390">
        <v>331321500</v>
      </c>
      <c r="Q973" s="387" t="s">
        <v>11718</v>
      </c>
      <c r="R973" s="358" t="s">
        <v>258</v>
      </c>
      <c r="S973" s="340">
        <v>12</v>
      </c>
    </row>
    <row r="974" spans="1:19" ht="29" x14ac:dyDescent="0.35">
      <c r="A974" s="349">
        <v>963</v>
      </c>
      <c r="B974" s="387" t="s">
        <v>10096</v>
      </c>
      <c r="C974" s="387" t="s">
        <v>10097</v>
      </c>
      <c r="D974" s="388" t="s">
        <v>97</v>
      </c>
      <c r="E974" s="388" t="s">
        <v>10082</v>
      </c>
      <c r="F974" s="388" t="s">
        <v>10078</v>
      </c>
      <c r="G974" s="388" t="s">
        <v>10078</v>
      </c>
      <c r="H974" s="388" t="s">
        <v>11719</v>
      </c>
      <c r="I974" s="387" t="s">
        <v>11720</v>
      </c>
      <c r="J974" s="389">
        <v>43661</v>
      </c>
      <c r="K974" s="387" t="s">
        <v>11721</v>
      </c>
      <c r="L974" s="387"/>
      <c r="M974" s="387" t="s">
        <v>10084</v>
      </c>
      <c r="N974" s="387"/>
      <c r="O974" s="387" t="s">
        <v>57</v>
      </c>
      <c r="P974" s="390">
        <v>247047500</v>
      </c>
      <c r="Q974" s="387" t="s">
        <v>11722</v>
      </c>
      <c r="R974" s="358" t="s">
        <v>258</v>
      </c>
      <c r="S974" s="340">
        <v>12</v>
      </c>
    </row>
    <row r="975" spans="1:19" ht="29.5" thickBot="1" x14ac:dyDescent="0.4">
      <c r="A975" s="357">
        <v>964</v>
      </c>
      <c r="B975" s="387" t="s">
        <v>10096</v>
      </c>
      <c r="C975" s="387" t="s">
        <v>10097</v>
      </c>
      <c r="D975" s="388" t="s">
        <v>101</v>
      </c>
      <c r="E975" s="388" t="s">
        <v>10082</v>
      </c>
      <c r="F975" s="388" t="s">
        <v>10078</v>
      </c>
      <c r="G975" s="388" t="s">
        <v>10088</v>
      </c>
      <c r="H975" s="388" t="s">
        <v>2972</v>
      </c>
      <c r="I975" s="387" t="s">
        <v>11723</v>
      </c>
      <c r="J975" s="389"/>
      <c r="K975" s="387"/>
      <c r="L975" s="387"/>
      <c r="M975" s="387" t="s">
        <v>10084</v>
      </c>
      <c r="N975" s="387"/>
      <c r="O975" s="387" t="s">
        <v>57</v>
      </c>
      <c r="P975" s="390">
        <v>82700000</v>
      </c>
      <c r="Q975" s="387" t="s">
        <v>11724</v>
      </c>
      <c r="R975" s="358" t="s">
        <v>258</v>
      </c>
      <c r="S975" s="340">
        <v>12</v>
      </c>
    </row>
    <row r="976" spans="1:19" ht="29" x14ac:dyDescent="0.35">
      <c r="A976" s="349">
        <v>965</v>
      </c>
      <c r="B976" s="387" t="s">
        <v>10096</v>
      </c>
      <c r="C976" s="387" t="s">
        <v>10097</v>
      </c>
      <c r="D976" s="388" t="s">
        <v>107</v>
      </c>
      <c r="E976" s="388" t="s">
        <v>10082</v>
      </c>
      <c r="F976" s="388" t="s">
        <v>10078</v>
      </c>
      <c r="G976" s="388" t="s">
        <v>10078</v>
      </c>
      <c r="H976" s="388" t="s">
        <v>2972</v>
      </c>
      <c r="I976" s="387" t="s">
        <v>8561</v>
      </c>
      <c r="J976" s="389"/>
      <c r="K976" s="387"/>
      <c r="L976" s="387"/>
      <c r="M976" s="387" t="s">
        <v>10084</v>
      </c>
      <c r="N976" s="387"/>
      <c r="O976" s="387" t="s">
        <v>57</v>
      </c>
      <c r="P976" s="390">
        <v>73360000</v>
      </c>
      <c r="Q976" s="387" t="s">
        <v>11725</v>
      </c>
      <c r="R976" s="358" t="s">
        <v>258</v>
      </c>
      <c r="S976" s="340">
        <v>12</v>
      </c>
    </row>
    <row r="977" spans="1:19" ht="29.5" thickBot="1" x14ac:dyDescent="0.4">
      <c r="A977" s="357">
        <v>966</v>
      </c>
      <c r="B977" s="387" t="s">
        <v>10096</v>
      </c>
      <c r="C977" s="387" t="s">
        <v>10097</v>
      </c>
      <c r="D977" s="388" t="s">
        <v>112</v>
      </c>
      <c r="E977" s="388" t="s">
        <v>10082</v>
      </c>
      <c r="F977" s="388" t="s">
        <v>10078</v>
      </c>
      <c r="G977" s="388" t="s">
        <v>10088</v>
      </c>
      <c r="H977" s="388" t="s">
        <v>11400</v>
      </c>
      <c r="I977" s="387" t="s">
        <v>11726</v>
      </c>
      <c r="J977" s="389">
        <v>41145</v>
      </c>
      <c r="K977" s="387" t="s">
        <v>11727</v>
      </c>
      <c r="L977" s="387"/>
      <c r="M977" s="387" t="s">
        <v>10084</v>
      </c>
      <c r="N977" s="387"/>
      <c r="O977" s="387" t="s">
        <v>422</v>
      </c>
      <c r="P977" s="390">
        <v>458257000</v>
      </c>
      <c r="Q977" s="387" t="s">
        <v>11728</v>
      </c>
      <c r="R977" s="358" t="s">
        <v>258</v>
      </c>
      <c r="S977" s="340">
        <v>12</v>
      </c>
    </row>
    <row r="978" spans="1:19" ht="29" x14ac:dyDescent="0.35">
      <c r="A978" s="349">
        <v>967</v>
      </c>
      <c r="B978" s="387" t="s">
        <v>10096</v>
      </c>
      <c r="C978" s="387" t="s">
        <v>10097</v>
      </c>
      <c r="D978" s="388" t="s">
        <v>116</v>
      </c>
      <c r="E978" s="388" t="s">
        <v>10082</v>
      </c>
      <c r="F978" s="388" t="s">
        <v>10078</v>
      </c>
      <c r="G978" s="388" t="s">
        <v>10078</v>
      </c>
      <c r="H978" s="388" t="s">
        <v>11729</v>
      </c>
      <c r="I978" s="387" t="s">
        <v>11466</v>
      </c>
      <c r="J978" s="389">
        <v>40908</v>
      </c>
      <c r="K978" s="387"/>
      <c r="L978" s="387"/>
      <c r="M978" s="387" t="s">
        <v>10084</v>
      </c>
      <c r="N978" s="387"/>
      <c r="O978" s="387" t="s">
        <v>57</v>
      </c>
      <c r="P978" s="390">
        <v>148034000</v>
      </c>
      <c r="Q978" s="387" t="s">
        <v>11730</v>
      </c>
      <c r="R978" s="358" t="s">
        <v>258</v>
      </c>
      <c r="S978" s="340">
        <v>12</v>
      </c>
    </row>
    <row r="979" spans="1:19" ht="29.5" thickBot="1" x14ac:dyDescent="0.4">
      <c r="A979" s="357">
        <v>968</v>
      </c>
      <c r="B979" s="387" t="s">
        <v>10096</v>
      </c>
      <c r="C979" s="387" t="s">
        <v>10097</v>
      </c>
      <c r="D979" s="388" t="s">
        <v>841</v>
      </c>
      <c r="E979" s="388" t="s">
        <v>10082</v>
      </c>
      <c r="F979" s="388" t="s">
        <v>10078</v>
      </c>
      <c r="G979" s="388" t="s">
        <v>10078</v>
      </c>
      <c r="H979" s="388" t="s">
        <v>11731</v>
      </c>
      <c r="I979" s="387"/>
      <c r="J979" s="389"/>
      <c r="K979" s="387"/>
      <c r="L979" s="387"/>
      <c r="M979" s="387" t="s">
        <v>10084</v>
      </c>
      <c r="N979" s="387"/>
      <c r="O979" s="387" t="s">
        <v>57</v>
      </c>
      <c r="P979" s="390">
        <v>64100000</v>
      </c>
      <c r="Q979" s="387" t="s">
        <v>11732</v>
      </c>
      <c r="R979" s="358" t="s">
        <v>258</v>
      </c>
      <c r="S979" s="340">
        <v>12</v>
      </c>
    </row>
    <row r="980" spans="1:19" ht="43.5" x14ac:dyDescent="0.35">
      <c r="A980" s="349">
        <v>969</v>
      </c>
      <c r="B980" s="387" t="s">
        <v>10096</v>
      </c>
      <c r="C980" s="387" t="s">
        <v>10097</v>
      </c>
      <c r="D980" s="388" t="s">
        <v>904</v>
      </c>
      <c r="E980" s="388" t="s">
        <v>10082</v>
      </c>
      <c r="F980" s="388" t="s">
        <v>10078</v>
      </c>
      <c r="G980" s="388" t="s">
        <v>10088</v>
      </c>
      <c r="H980" s="388" t="s">
        <v>3375</v>
      </c>
      <c r="I980" s="387" t="s">
        <v>11733</v>
      </c>
      <c r="J980" s="389">
        <v>42311</v>
      </c>
      <c r="K980" s="387"/>
      <c r="L980" s="387"/>
      <c r="M980" s="387" t="s">
        <v>10084</v>
      </c>
      <c r="N980" s="387"/>
      <c r="O980" s="387" t="s">
        <v>57</v>
      </c>
      <c r="P980" s="390">
        <v>198300000</v>
      </c>
      <c r="Q980" s="387" t="s">
        <v>11734</v>
      </c>
      <c r="R980" s="358" t="s">
        <v>258</v>
      </c>
      <c r="S980" s="340">
        <v>12</v>
      </c>
    </row>
    <row r="981" spans="1:19" ht="44" thickBot="1" x14ac:dyDescent="0.4">
      <c r="A981" s="357">
        <v>970</v>
      </c>
      <c r="B981" s="387" t="s">
        <v>10096</v>
      </c>
      <c r="C981" s="387" t="s">
        <v>10097</v>
      </c>
      <c r="D981" s="388" t="s">
        <v>122</v>
      </c>
      <c r="E981" s="388" t="s">
        <v>10082</v>
      </c>
      <c r="F981" s="388" t="s">
        <v>10078</v>
      </c>
      <c r="G981" s="388" t="s">
        <v>10088</v>
      </c>
      <c r="H981" s="388" t="s">
        <v>231</v>
      </c>
      <c r="I981" s="387" t="s">
        <v>11735</v>
      </c>
      <c r="J981" s="389">
        <v>42311</v>
      </c>
      <c r="K981" s="387" t="s">
        <v>11736</v>
      </c>
      <c r="L981" s="387"/>
      <c r="M981" s="387" t="s">
        <v>10084</v>
      </c>
      <c r="N981" s="387"/>
      <c r="O981" s="387" t="s">
        <v>57</v>
      </c>
      <c r="P981" s="390">
        <v>396570000</v>
      </c>
      <c r="Q981" s="387" t="s">
        <v>11737</v>
      </c>
      <c r="R981" s="358" t="s">
        <v>258</v>
      </c>
      <c r="S981" s="340">
        <v>12</v>
      </c>
    </row>
    <row r="982" spans="1:19" ht="29" x14ac:dyDescent="0.35">
      <c r="A982" s="349">
        <v>971</v>
      </c>
      <c r="B982" s="387" t="s">
        <v>10096</v>
      </c>
      <c r="C982" s="387" t="s">
        <v>10097</v>
      </c>
      <c r="D982" s="388" t="s">
        <v>126</v>
      </c>
      <c r="E982" s="388" t="s">
        <v>10082</v>
      </c>
      <c r="F982" s="388" t="s">
        <v>10078</v>
      </c>
      <c r="G982" s="388" t="s">
        <v>10078</v>
      </c>
      <c r="H982" s="388" t="s">
        <v>11738</v>
      </c>
      <c r="I982" s="387" t="s">
        <v>11512</v>
      </c>
      <c r="J982" s="389"/>
      <c r="K982" s="387" t="s">
        <v>11739</v>
      </c>
      <c r="L982" s="387"/>
      <c r="M982" s="387" t="s">
        <v>10084</v>
      </c>
      <c r="N982" s="387"/>
      <c r="O982" s="387" t="s">
        <v>57</v>
      </c>
      <c r="P982" s="390">
        <v>156178689</v>
      </c>
      <c r="Q982" s="387" t="s">
        <v>11740</v>
      </c>
      <c r="R982" s="358" t="s">
        <v>258</v>
      </c>
      <c r="S982" s="340">
        <v>12</v>
      </c>
    </row>
    <row r="983" spans="1:19" ht="29.5" thickBot="1" x14ac:dyDescent="0.4">
      <c r="A983" s="357">
        <v>972</v>
      </c>
      <c r="B983" s="387" t="s">
        <v>10096</v>
      </c>
      <c r="C983" s="387" t="s">
        <v>10097</v>
      </c>
      <c r="D983" s="388" t="s">
        <v>132</v>
      </c>
      <c r="E983" s="388" t="s">
        <v>10082</v>
      </c>
      <c r="F983" s="388" t="s">
        <v>10078</v>
      </c>
      <c r="G983" s="388" t="s">
        <v>10088</v>
      </c>
      <c r="H983" s="388" t="s">
        <v>11407</v>
      </c>
      <c r="I983" s="387" t="s">
        <v>11741</v>
      </c>
      <c r="J983" s="389"/>
      <c r="K983" s="387"/>
      <c r="L983" s="387"/>
      <c r="M983" s="387" t="s">
        <v>10084</v>
      </c>
      <c r="N983" s="387"/>
      <c r="O983" s="387" t="s">
        <v>57</v>
      </c>
      <c r="P983" s="390">
        <v>174563000</v>
      </c>
      <c r="Q983" s="387" t="s">
        <v>11742</v>
      </c>
      <c r="R983" s="358" t="s">
        <v>258</v>
      </c>
      <c r="S983" s="340">
        <v>12</v>
      </c>
    </row>
    <row r="984" spans="1:19" ht="29" x14ac:dyDescent="0.35">
      <c r="A984" s="349">
        <v>973</v>
      </c>
      <c r="B984" s="387" t="s">
        <v>10096</v>
      </c>
      <c r="C984" s="387" t="s">
        <v>10097</v>
      </c>
      <c r="D984" s="388" t="s">
        <v>137</v>
      </c>
      <c r="E984" s="388" t="s">
        <v>10082</v>
      </c>
      <c r="F984" s="388" t="s">
        <v>10078</v>
      </c>
      <c r="G984" s="388" t="s">
        <v>10078</v>
      </c>
      <c r="H984" s="388" t="s">
        <v>2972</v>
      </c>
      <c r="I984" s="387" t="s">
        <v>11743</v>
      </c>
      <c r="J984" s="389">
        <v>44503</v>
      </c>
      <c r="K984" s="387" t="s">
        <v>11744</v>
      </c>
      <c r="L984" s="387"/>
      <c r="M984" s="387" t="s">
        <v>10084</v>
      </c>
      <c r="N984" s="387"/>
      <c r="O984" s="387" t="s">
        <v>57</v>
      </c>
      <c r="P984" s="390">
        <v>168269234</v>
      </c>
      <c r="Q984" s="387" t="s">
        <v>11745</v>
      </c>
      <c r="R984" s="358" t="s">
        <v>258</v>
      </c>
      <c r="S984" s="340">
        <v>12</v>
      </c>
    </row>
    <row r="985" spans="1:19" ht="44" thickBot="1" x14ac:dyDescent="0.4">
      <c r="A985" s="357">
        <v>974</v>
      </c>
      <c r="B985" s="387" t="s">
        <v>10155</v>
      </c>
      <c r="C985" s="387" t="s">
        <v>10156</v>
      </c>
      <c r="D985" s="388" t="s">
        <v>51</v>
      </c>
      <c r="E985" s="388" t="s">
        <v>10082</v>
      </c>
      <c r="F985" s="388" t="s">
        <v>10078</v>
      </c>
      <c r="G985" s="388" t="s">
        <v>10078</v>
      </c>
      <c r="H985" s="388" t="s">
        <v>11746</v>
      </c>
      <c r="I985" s="387" t="s">
        <v>10471</v>
      </c>
      <c r="J985" s="389">
        <v>39890</v>
      </c>
      <c r="K985" s="387" t="s">
        <v>11747</v>
      </c>
      <c r="L985" s="387"/>
      <c r="M985" s="387" t="s">
        <v>10084</v>
      </c>
      <c r="N985" s="387"/>
      <c r="O985" s="387" t="s">
        <v>57</v>
      </c>
      <c r="P985" s="390">
        <v>1153701500</v>
      </c>
      <c r="Q985" s="387" t="s">
        <v>11748</v>
      </c>
      <c r="R985" s="358" t="s">
        <v>11749</v>
      </c>
      <c r="S985" s="340">
        <v>13</v>
      </c>
    </row>
    <row r="986" spans="1:19" ht="29" x14ac:dyDescent="0.35">
      <c r="A986" s="349">
        <v>975</v>
      </c>
      <c r="B986" s="387" t="s">
        <v>10155</v>
      </c>
      <c r="C986" s="387" t="s">
        <v>10156</v>
      </c>
      <c r="D986" s="388" t="s">
        <v>59</v>
      </c>
      <c r="E986" s="388" t="s">
        <v>10082</v>
      </c>
      <c r="F986" s="388" t="s">
        <v>10071</v>
      </c>
      <c r="G986" s="388" t="s">
        <v>10088</v>
      </c>
      <c r="H986" s="388" t="s">
        <v>11750</v>
      </c>
      <c r="I986" s="387" t="s">
        <v>11259</v>
      </c>
      <c r="J986" s="389">
        <v>41432</v>
      </c>
      <c r="K986" s="387" t="s">
        <v>11751</v>
      </c>
      <c r="L986" s="387"/>
      <c r="M986" s="387" t="s">
        <v>10084</v>
      </c>
      <c r="N986" s="387"/>
      <c r="O986" s="387" t="s">
        <v>57</v>
      </c>
      <c r="P986" s="390">
        <v>3242683000</v>
      </c>
      <c r="Q986" s="387" t="s">
        <v>11752</v>
      </c>
      <c r="R986" s="358" t="s">
        <v>11749</v>
      </c>
      <c r="S986" s="340">
        <v>13</v>
      </c>
    </row>
    <row r="987" spans="1:19" ht="44" thickBot="1" x14ac:dyDescent="0.4">
      <c r="A987" s="357">
        <v>976</v>
      </c>
      <c r="B987" s="387" t="s">
        <v>10535</v>
      </c>
      <c r="C987" s="387" t="s">
        <v>10536</v>
      </c>
      <c r="D987" s="388" t="s">
        <v>51</v>
      </c>
      <c r="E987" s="388" t="s">
        <v>10673</v>
      </c>
      <c r="F987" s="388" t="s">
        <v>10078</v>
      </c>
      <c r="G987" s="388" t="s">
        <v>10088</v>
      </c>
      <c r="H987" s="388" t="s">
        <v>11284</v>
      </c>
      <c r="I987" s="387" t="s">
        <v>11753</v>
      </c>
      <c r="J987" s="389">
        <v>41150</v>
      </c>
      <c r="K987" s="387" t="s">
        <v>11754</v>
      </c>
      <c r="L987" s="387"/>
      <c r="M987" s="387" t="s">
        <v>10084</v>
      </c>
      <c r="N987" s="387"/>
      <c r="O987" s="387" t="s">
        <v>57</v>
      </c>
      <c r="P987" s="390">
        <v>31393600</v>
      </c>
      <c r="Q987" s="387" t="s">
        <v>11755</v>
      </c>
      <c r="R987" s="358" t="s">
        <v>11749</v>
      </c>
      <c r="S987" s="340">
        <v>13</v>
      </c>
    </row>
    <row r="988" spans="1:19" ht="43.5" x14ac:dyDescent="0.35">
      <c r="A988" s="349">
        <v>977</v>
      </c>
      <c r="B988" s="387" t="s">
        <v>10535</v>
      </c>
      <c r="C988" s="387" t="s">
        <v>10536</v>
      </c>
      <c r="D988" s="388" t="s">
        <v>59</v>
      </c>
      <c r="E988" s="388" t="s">
        <v>10082</v>
      </c>
      <c r="F988" s="388" t="s">
        <v>10078</v>
      </c>
      <c r="G988" s="388" t="s">
        <v>10078</v>
      </c>
      <c r="H988" s="388" t="s">
        <v>11756</v>
      </c>
      <c r="I988" s="387" t="s">
        <v>11757</v>
      </c>
      <c r="J988" s="389"/>
      <c r="K988" s="387"/>
      <c r="L988" s="387"/>
      <c r="M988" s="387" t="s">
        <v>10084</v>
      </c>
      <c r="N988" s="387"/>
      <c r="O988" s="387" t="s">
        <v>57</v>
      </c>
      <c r="P988" s="390">
        <v>48550000</v>
      </c>
      <c r="Q988" s="387" t="s">
        <v>11758</v>
      </c>
      <c r="R988" s="358" t="s">
        <v>11749</v>
      </c>
      <c r="S988" s="340">
        <v>13</v>
      </c>
    </row>
    <row r="989" spans="1:19" ht="29.5" thickBot="1" x14ac:dyDescent="0.4">
      <c r="A989" s="357">
        <v>978</v>
      </c>
      <c r="B989" s="387" t="s">
        <v>10535</v>
      </c>
      <c r="C989" s="387" t="s">
        <v>10536</v>
      </c>
      <c r="D989" s="388" t="s">
        <v>97</v>
      </c>
      <c r="E989" s="388" t="s">
        <v>10082</v>
      </c>
      <c r="F989" s="388" t="s">
        <v>10078</v>
      </c>
      <c r="G989" s="388" t="s">
        <v>10088</v>
      </c>
      <c r="H989" s="388" t="s">
        <v>11759</v>
      </c>
      <c r="I989" s="387" t="s">
        <v>11760</v>
      </c>
      <c r="J989" s="389"/>
      <c r="K989" s="387"/>
      <c r="L989" s="387"/>
      <c r="M989" s="387" t="s">
        <v>10084</v>
      </c>
      <c r="N989" s="387"/>
      <c r="O989" s="387" t="s">
        <v>57</v>
      </c>
      <c r="P989" s="390">
        <v>860877500</v>
      </c>
      <c r="Q989" s="387" t="s">
        <v>11761</v>
      </c>
      <c r="R989" s="358" t="s">
        <v>11749</v>
      </c>
      <c r="S989" s="340">
        <v>13</v>
      </c>
    </row>
    <row r="990" spans="1:19" ht="29" x14ac:dyDescent="0.35">
      <c r="A990" s="349">
        <v>979</v>
      </c>
      <c r="B990" s="387" t="s">
        <v>10535</v>
      </c>
      <c r="C990" s="387" t="s">
        <v>10536</v>
      </c>
      <c r="D990" s="388" t="s">
        <v>101</v>
      </c>
      <c r="E990" s="388" t="s">
        <v>10082</v>
      </c>
      <c r="F990" s="388" t="s">
        <v>10078</v>
      </c>
      <c r="G990" s="388" t="s">
        <v>10088</v>
      </c>
      <c r="H990" s="388" t="s">
        <v>11324</v>
      </c>
      <c r="I990" s="387" t="s">
        <v>11762</v>
      </c>
      <c r="J990" s="389"/>
      <c r="K990" s="387"/>
      <c r="L990" s="387"/>
      <c r="M990" s="387" t="s">
        <v>10084</v>
      </c>
      <c r="N990" s="387"/>
      <c r="O990" s="387" t="s">
        <v>57</v>
      </c>
      <c r="P990" s="390">
        <v>186440000</v>
      </c>
      <c r="Q990" s="387" t="s">
        <v>11763</v>
      </c>
      <c r="R990" s="358" t="s">
        <v>11749</v>
      </c>
      <c r="S990" s="340">
        <v>13</v>
      </c>
    </row>
    <row r="991" spans="1:19" ht="44" thickBot="1" x14ac:dyDescent="0.4">
      <c r="A991" s="357">
        <v>980</v>
      </c>
      <c r="B991" s="387" t="s">
        <v>10535</v>
      </c>
      <c r="C991" s="387" t="s">
        <v>10536</v>
      </c>
      <c r="D991" s="388" t="s">
        <v>107</v>
      </c>
      <c r="E991" s="388" t="s">
        <v>10082</v>
      </c>
      <c r="F991" s="388" t="s">
        <v>10078</v>
      </c>
      <c r="G991" s="388" t="s">
        <v>10088</v>
      </c>
      <c r="H991" s="388" t="s">
        <v>11284</v>
      </c>
      <c r="I991" s="387" t="s">
        <v>11764</v>
      </c>
      <c r="J991" s="389">
        <v>41150</v>
      </c>
      <c r="K991" s="387" t="s">
        <v>11754</v>
      </c>
      <c r="L991" s="387"/>
      <c r="M991" s="387" t="s">
        <v>10084</v>
      </c>
      <c r="N991" s="387"/>
      <c r="O991" s="387" t="s">
        <v>57</v>
      </c>
      <c r="P991" s="390">
        <v>31393600</v>
      </c>
      <c r="Q991" s="387" t="s">
        <v>11755</v>
      </c>
      <c r="R991" s="358" t="s">
        <v>11749</v>
      </c>
      <c r="S991" s="340">
        <v>13</v>
      </c>
    </row>
    <row r="992" spans="1:19" ht="43.5" x14ac:dyDescent="0.35">
      <c r="A992" s="349">
        <v>981</v>
      </c>
      <c r="B992" s="387" t="s">
        <v>10535</v>
      </c>
      <c r="C992" s="387" t="s">
        <v>10536</v>
      </c>
      <c r="D992" s="388" t="s">
        <v>112</v>
      </c>
      <c r="E992" s="388" t="s">
        <v>10082</v>
      </c>
      <c r="F992" s="388" t="s">
        <v>10078</v>
      </c>
      <c r="G992" s="388" t="s">
        <v>10088</v>
      </c>
      <c r="H992" s="388" t="s">
        <v>11284</v>
      </c>
      <c r="I992" s="387" t="s">
        <v>11765</v>
      </c>
      <c r="J992" s="389">
        <v>41150</v>
      </c>
      <c r="K992" s="387" t="s">
        <v>11754</v>
      </c>
      <c r="L992" s="387"/>
      <c r="M992" s="387" t="s">
        <v>10084</v>
      </c>
      <c r="N992" s="387"/>
      <c r="O992" s="387" t="s">
        <v>57</v>
      </c>
      <c r="P992" s="390">
        <v>31393600</v>
      </c>
      <c r="Q992" s="387" t="s">
        <v>11755</v>
      </c>
      <c r="R992" s="358" t="s">
        <v>11749</v>
      </c>
      <c r="S992" s="340">
        <v>13</v>
      </c>
    </row>
    <row r="993" spans="1:19" ht="44" thickBot="1" x14ac:dyDescent="0.4">
      <c r="A993" s="357">
        <v>982</v>
      </c>
      <c r="B993" s="387" t="s">
        <v>10535</v>
      </c>
      <c r="C993" s="387" t="s">
        <v>10536</v>
      </c>
      <c r="D993" s="388" t="s">
        <v>116</v>
      </c>
      <c r="E993" s="388" t="s">
        <v>10082</v>
      </c>
      <c r="F993" s="388" t="s">
        <v>10078</v>
      </c>
      <c r="G993" s="388" t="s">
        <v>10088</v>
      </c>
      <c r="H993" s="388" t="s">
        <v>11284</v>
      </c>
      <c r="I993" s="387" t="s">
        <v>11766</v>
      </c>
      <c r="J993" s="389">
        <v>41150</v>
      </c>
      <c r="K993" s="387" t="s">
        <v>11754</v>
      </c>
      <c r="L993" s="387"/>
      <c r="M993" s="387" t="s">
        <v>10084</v>
      </c>
      <c r="N993" s="387"/>
      <c r="O993" s="387" t="s">
        <v>57</v>
      </c>
      <c r="P993" s="390">
        <v>31393600</v>
      </c>
      <c r="Q993" s="387" t="s">
        <v>11755</v>
      </c>
      <c r="R993" s="358" t="s">
        <v>11749</v>
      </c>
      <c r="S993" s="340">
        <v>13</v>
      </c>
    </row>
    <row r="994" spans="1:19" ht="29" x14ac:dyDescent="0.35">
      <c r="A994" s="349">
        <v>983</v>
      </c>
      <c r="B994" s="387" t="s">
        <v>10535</v>
      </c>
      <c r="C994" s="387" t="s">
        <v>10536</v>
      </c>
      <c r="D994" s="388" t="s">
        <v>841</v>
      </c>
      <c r="E994" s="388" t="s">
        <v>10082</v>
      </c>
      <c r="F994" s="388" t="s">
        <v>10078</v>
      </c>
      <c r="G994" s="388" t="s">
        <v>10088</v>
      </c>
      <c r="H994" s="388" t="s">
        <v>11284</v>
      </c>
      <c r="I994" s="387" t="s">
        <v>11767</v>
      </c>
      <c r="J994" s="389">
        <v>41150</v>
      </c>
      <c r="K994" s="387" t="s">
        <v>11754</v>
      </c>
      <c r="L994" s="387"/>
      <c r="M994" s="387" t="s">
        <v>10084</v>
      </c>
      <c r="N994" s="387"/>
      <c r="O994" s="387" t="s">
        <v>57</v>
      </c>
      <c r="P994" s="390">
        <v>31393600</v>
      </c>
      <c r="Q994" s="387" t="s">
        <v>11755</v>
      </c>
      <c r="R994" s="358" t="s">
        <v>11749</v>
      </c>
      <c r="S994" s="340">
        <v>13</v>
      </c>
    </row>
    <row r="995" spans="1:19" ht="29.5" thickBot="1" x14ac:dyDescent="0.4">
      <c r="A995" s="357">
        <v>984</v>
      </c>
      <c r="B995" s="387" t="s">
        <v>10535</v>
      </c>
      <c r="C995" s="387" t="s">
        <v>10536</v>
      </c>
      <c r="D995" s="388" t="s">
        <v>904</v>
      </c>
      <c r="E995" s="388" t="s">
        <v>10082</v>
      </c>
      <c r="F995" s="388" t="s">
        <v>10078</v>
      </c>
      <c r="G995" s="388" t="s">
        <v>10088</v>
      </c>
      <c r="H995" s="388" t="s">
        <v>11284</v>
      </c>
      <c r="I995" s="387" t="s">
        <v>11768</v>
      </c>
      <c r="J995" s="389">
        <v>41150</v>
      </c>
      <c r="K995" s="387" t="s">
        <v>11754</v>
      </c>
      <c r="L995" s="387"/>
      <c r="M995" s="387" t="s">
        <v>10084</v>
      </c>
      <c r="N995" s="387"/>
      <c r="O995" s="387" t="s">
        <v>57</v>
      </c>
      <c r="P995" s="390">
        <v>31393600</v>
      </c>
      <c r="Q995" s="387" t="s">
        <v>11755</v>
      </c>
      <c r="R995" s="358" t="s">
        <v>11749</v>
      </c>
      <c r="S995" s="340">
        <v>13</v>
      </c>
    </row>
    <row r="996" spans="1:19" ht="43.5" x14ac:dyDescent="0.35">
      <c r="A996" s="349">
        <v>985</v>
      </c>
      <c r="B996" s="387" t="s">
        <v>10535</v>
      </c>
      <c r="C996" s="387" t="s">
        <v>10536</v>
      </c>
      <c r="D996" s="388" t="s">
        <v>122</v>
      </c>
      <c r="E996" s="388" t="s">
        <v>10082</v>
      </c>
      <c r="F996" s="388" t="s">
        <v>10078</v>
      </c>
      <c r="G996" s="388" t="s">
        <v>10088</v>
      </c>
      <c r="H996" s="388" t="s">
        <v>11284</v>
      </c>
      <c r="I996" s="387" t="s">
        <v>11769</v>
      </c>
      <c r="J996" s="389">
        <v>41150</v>
      </c>
      <c r="K996" s="387" t="s">
        <v>11754</v>
      </c>
      <c r="L996" s="387"/>
      <c r="M996" s="387" t="s">
        <v>10084</v>
      </c>
      <c r="N996" s="387"/>
      <c r="O996" s="387" t="s">
        <v>57</v>
      </c>
      <c r="P996" s="390">
        <v>31393600</v>
      </c>
      <c r="Q996" s="387" t="s">
        <v>11755</v>
      </c>
      <c r="R996" s="358" t="s">
        <v>11749</v>
      </c>
      <c r="S996" s="340">
        <v>13</v>
      </c>
    </row>
    <row r="997" spans="1:19" ht="44" thickBot="1" x14ac:dyDescent="0.4">
      <c r="A997" s="357">
        <v>986</v>
      </c>
      <c r="B997" s="387" t="s">
        <v>10535</v>
      </c>
      <c r="C997" s="387" t="s">
        <v>10536</v>
      </c>
      <c r="D997" s="388" t="s">
        <v>126</v>
      </c>
      <c r="E997" s="388" t="s">
        <v>10082</v>
      </c>
      <c r="F997" s="388" t="s">
        <v>10078</v>
      </c>
      <c r="G997" s="388" t="s">
        <v>10088</v>
      </c>
      <c r="H997" s="388" t="s">
        <v>11284</v>
      </c>
      <c r="I997" s="387" t="s">
        <v>11770</v>
      </c>
      <c r="J997" s="389">
        <v>41150</v>
      </c>
      <c r="K997" s="387" t="s">
        <v>11754</v>
      </c>
      <c r="L997" s="387"/>
      <c r="M997" s="387" t="s">
        <v>10084</v>
      </c>
      <c r="N997" s="387"/>
      <c r="O997" s="387" t="s">
        <v>57</v>
      </c>
      <c r="P997" s="390">
        <v>31393600</v>
      </c>
      <c r="Q997" s="387" t="s">
        <v>11755</v>
      </c>
      <c r="R997" s="358" t="s">
        <v>11749</v>
      </c>
      <c r="S997" s="340">
        <v>13</v>
      </c>
    </row>
    <row r="998" spans="1:19" ht="43.5" x14ac:dyDescent="0.35">
      <c r="A998" s="349">
        <v>987</v>
      </c>
      <c r="B998" s="387" t="s">
        <v>10535</v>
      </c>
      <c r="C998" s="387" t="s">
        <v>10536</v>
      </c>
      <c r="D998" s="388" t="s">
        <v>132</v>
      </c>
      <c r="E998" s="388" t="s">
        <v>10082</v>
      </c>
      <c r="F998" s="388" t="s">
        <v>10078</v>
      </c>
      <c r="G998" s="388" t="s">
        <v>10088</v>
      </c>
      <c r="H998" s="388" t="s">
        <v>11284</v>
      </c>
      <c r="I998" s="387" t="s">
        <v>11771</v>
      </c>
      <c r="J998" s="389">
        <v>41150</v>
      </c>
      <c r="K998" s="387" t="s">
        <v>11754</v>
      </c>
      <c r="L998" s="387"/>
      <c r="M998" s="387" t="s">
        <v>10084</v>
      </c>
      <c r="N998" s="387"/>
      <c r="O998" s="387" t="s">
        <v>57</v>
      </c>
      <c r="P998" s="390">
        <v>31393600</v>
      </c>
      <c r="Q998" s="387" t="s">
        <v>11772</v>
      </c>
      <c r="R998" s="358" t="s">
        <v>11749</v>
      </c>
      <c r="S998" s="340">
        <v>13</v>
      </c>
    </row>
    <row r="999" spans="1:19" ht="44" thickBot="1" x14ac:dyDescent="0.4">
      <c r="A999" s="357">
        <v>988</v>
      </c>
      <c r="B999" s="387" t="s">
        <v>10535</v>
      </c>
      <c r="C999" s="387" t="s">
        <v>10536</v>
      </c>
      <c r="D999" s="388" t="s">
        <v>137</v>
      </c>
      <c r="E999" s="388" t="s">
        <v>10082</v>
      </c>
      <c r="F999" s="388" t="s">
        <v>10078</v>
      </c>
      <c r="G999" s="388" t="s">
        <v>10088</v>
      </c>
      <c r="H999" s="388" t="s">
        <v>11284</v>
      </c>
      <c r="I999" s="387" t="s">
        <v>11773</v>
      </c>
      <c r="J999" s="389">
        <v>41150</v>
      </c>
      <c r="K999" s="387" t="s">
        <v>11754</v>
      </c>
      <c r="L999" s="387"/>
      <c r="M999" s="387" t="s">
        <v>10084</v>
      </c>
      <c r="N999" s="387"/>
      <c r="O999" s="387" t="s">
        <v>57</v>
      </c>
      <c r="P999" s="390">
        <v>31393600</v>
      </c>
      <c r="Q999" s="387" t="s">
        <v>11755</v>
      </c>
      <c r="R999" s="358" t="s">
        <v>11749</v>
      </c>
      <c r="S999" s="340">
        <v>13</v>
      </c>
    </row>
    <row r="1000" spans="1:19" ht="43.5" x14ac:dyDescent="0.35">
      <c r="A1000" s="349">
        <v>989</v>
      </c>
      <c r="B1000" s="387" t="s">
        <v>10535</v>
      </c>
      <c r="C1000" s="387" t="s">
        <v>10536</v>
      </c>
      <c r="D1000" s="388" t="s">
        <v>146</v>
      </c>
      <c r="E1000" s="388" t="s">
        <v>10082</v>
      </c>
      <c r="F1000" s="388" t="s">
        <v>10078</v>
      </c>
      <c r="G1000" s="388" t="s">
        <v>10088</v>
      </c>
      <c r="H1000" s="388" t="s">
        <v>11284</v>
      </c>
      <c r="I1000" s="387" t="s">
        <v>11774</v>
      </c>
      <c r="J1000" s="389">
        <v>41150</v>
      </c>
      <c r="K1000" s="387" t="s">
        <v>11754</v>
      </c>
      <c r="L1000" s="387"/>
      <c r="M1000" s="387" t="s">
        <v>10084</v>
      </c>
      <c r="N1000" s="387"/>
      <c r="O1000" s="387" t="s">
        <v>57</v>
      </c>
      <c r="P1000" s="390">
        <v>31393600</v>
      </c>
      <c r="Q1000" s="387" t="s">
        <v>11755</v>
      </c>
      <c r="R1000" s="358" t="s">
        <v>11749</v>
      </c>
      <c r="S1000" s="340">
        <v>13</v>
      </c>
    </row>
    <row r="1001" spans="1:19" ht="44" thickBot="1" x14ac:dyDescent="0.4">
      <c r="A1001" s="357">
        <v>990</v>
      </c>
      <c r="B1001" s="387" t="s">
        <v>10535</v>
      </c>
      <c r="C1001" s="387" t="s">
        <v>10536</v>
      </c>
      <c r="D1001" s="388" t="s">
        <v>154</v>
      </c>
      <c r="E1001" s="388" t="s">
        <v>10082</v>
      </c>
      <c r="F1001" s="388" t="s">
        <v>10078</v>
      </c>
      <c r="G1001" s="388" t="s">
        <v>10088</v>
      </c>
      <c r="H1001" s="388" t="s">
        <v>11284</v>
      </c>
      <c r="I1001" s="387" t="s">
        <v>11775</v>
      </c>
      <c r="J1001" s="389">
        <v>41150</v>
      </c>
      <c r="K1001" s="387" t="s">
        <v>11754</v>
      </c>
      <c r="L1001" s="387"/>
      <c r="M1001" s="387" t="s">
        <v>10084</v>
      </c>
      <c r="N1001" s="387"/>
      <c r="O1001" s="387" t="s">
        <v>57</v>
      </c>
      <c r="P1001" s="390">
        <v>31393600</v>
      </c>
      <c r="Q1001" s="387" t="s">
        <v>11755</v>
      </c>
      <c r="R1001" s="358" t="s">
        <v>11749</v>
      </c>
      <c r="S1001" s="340">
        <v>13</v>
      </c>
    </row>
    <row r="1002" spans="1:19" ht="43.5" x14ac:dyDescent="0.35">
      <c r="A1002" s="349">
        <v>991</v>
      </c>
      <c r="B1002" s="387" t="s">
        <v>10535</v>
      </c>
      <c r="C1002" s="387" t="s">
        <v>10536</v>
      </c>
      <c r="D1002" s="388" t="s">
        <v>161</v>
      </c>
      <c r="E1002" s="388" t="s">
        <v>10082</v>
      </c>
      <c r="F1002" s="388" t="s">
        <v>10078</v>
      </c>
      <c r="G1002" s="388" t="s">
        <v>10088</v>
      </c>
      <c r="H1002" s="388" t="s">
        <v>11284</v>
      </c>
      <c r="I1002" s="387" t="s">
        <v>11776</v>
      </c>
      <c r="J1002" s="389">
        <v>41150</v>
      </c>
      <c r="K1002" s="387" t="s">
        <v>11754</v>
      </c>
      <c r="L1002" s="387"/>
      <c r="M1002" s="387" t="s">
        <v>10084</v>
      </c>
      <c r="N1002" s="387"/>
      <c r="O1002" s="387" t="s">
        <v>57</v>
      </c>
      <c r="P1002" s="390">
        <v>31393600</v>
      </c>
      <c r="Q1002" s="387" t="s">
        <v>11755</v>
      </c>
      <c r="R1002" s="358" t="s">
        <v>11749</v>
      </c>
      <c r="S1002" s="340">
        <v>13</v>
      </c>
    </row>
    <row r="1003" spans="1:19" ht="29.5" thickBot="1" x14ac:dyDescent="0.4">
      <c r="A1003" s="357">
        <v>992</v>
      </c>
      <c r="B1003" s="387" t="s">
        <v>10535</v>
      </c>
      <c r="C1003" s="387" t="s">
        <v>10536</v>
      </c>
      <c r="D1003" s="388" t="s">
        <v>169</v>
      </c>
      <c r="E1003" s="388" t="s">
        <v>10082</v>
      </c>
      <c r="F1003" s="388" t="s">
        <v>10078</v>
      </c>
      <c r="G1003" s="388" t="s">
        <v>10088</v>
      </c>
      <c r="H1003" s="388" t="s">
        <v>11284</v>
      </c>
      <c r="I1003" s="387" t="s">
        <v>11777</v>
      </c>
      <c r="J1003" s="389">
        <v>41150</v>
      </c>
      <c r="K1003" s="387" t="s">
        <v>11754</v>
      </c>
      <c r="L1003" s="387"/>
      <c r="M1003" s="387" t="s">
        <v>10084</v>
      </c>
      <c r="N1003" s="387"/>
      <c r="O1003" s="387" t="s">
        <v>57</v>
      </c>
      <c r="P1003" s="390">
        <v>31393600</v>
      </c>
      <c r="Q1003" s="387" t="s">
        <v>11755</v>
      </c>
      <c r="R1003" s="358" t="s">
        <v>11749</v>
      </c>
      <c r="S1003" s="340">
        <v>13</v>
      </c>
    </row>
    <row r="1004" spans="1:19" ht="43.5" x14ac:dyDescent="0.35">
      <c r="A1004" s="349">
        <v>993</v>
      </c>
      <c r="B1004" s="387" t="s">
        <v>10535</v>
      </c>
      <c r="C1004" s="387" t="s">
        <v>10536</v>
      </c>
      <c r="D1004" s="388" t="s">
        <v>176</v>
      </c>
      <c r="E1004" s="388" t="s">
        <v>10082</v>
      </c>
      <c r="F1004" s="388" t="s">
        <v>10078</v>
      </c>
      <c r="G1004" s="388" t="s">
        <v>10088</v>
      </c>
      <c r="H1004" s="388" t="s">
        <v>11284</v>
      </c>
      <c r="I1004" s="387" t="s">
        <v>11778</v>
      </c>
      <c r="J1004" s="389">
        <v>41150</v>
      </c>
      <c r="K1004" s="387" t="s">
        <v>11754</v>
      </c>
      <c r="L1004" s="387"/>
      <c r="M1004" s="387" t="s">
        <v>10084</v>
      </c>
      <c r="N1004" s="387"/>
      <c r="O1004" s="387" t="s">
        <v>57</v>
      </c>
      <c r="P1004" s="390">
        <v>31393600</v>
      </c>
      <c r="Q1004" s="387" t="s">
        <v>11755</v>
      </c>
      <c r="R1004" s="358" t="s">
        <v>11749</v>
      </c>
      <c r="S1004" s="340">
        <v>13</v>
      </c>
    </row>
    <row r="1005" spans="1:19" ht="29.5" thickBot="1" x14ac:dyDescent="0.4">
      <c r="A1005" s="357">
        <v>994</v>
      </c>
      <c r="B1005" s="387" t="s">
        <v>10535</v>
      </c>
      <c r="C1005" s="387" t="s">
        <v>10536</v>
      </c>
      <c r="D1005" s="388" t="s">
        <v>1236</v>
      </c>
      <c r="E1005" s="388" t="s">
        <v>10082</v>
      </c>
      <c r="F1005" s="388" t="s">
        <v>10078</v>
      </c>
      <c r="G1005" s="388" t="s">
        <v>10088</v>
      </c>
      <c r="H1005" s="388" t="s">
        <v>11284</v>
      </c>
      <c r="I1005" s="387" t="s">
        <v>11779</v>
      </c>
      <c r="J1005" s="389">
        <v>41150</v>
      </c>
      <c r="K1005" s="387" t="s">
        <v>11754</v>
      </c>
      <c r="L1005" s="387"/>
      <c r="M1005" s="387" t="s">
        <v>10084</v>
      </c>
      <c r="N1005" s="387"/>
      <c r="O1005" s="387" t="s">
        <v>57</v>
      </c>
      <c r="P1005" s="390">
        <v>31393600</v>
      </c>
      <c r="Q1005" s="387" t="s">
        <v>11755</v>
      </c>
      <c r="R1005" s="358" t="s">
        <v>11749</v>
      </c>
      <c r="S1005" s="340">
        <v>13</v>
      </c>
    </row>
    <row r="1006" spans="1:19" ht="29" x14ac:dyDescent="0.35">
      <c r="A1006" s="349">
        <v>995</v>
      </c>
      <c r="B1006" s="387" t="s">
        <v>10535</v>
      </c>
      <c r="C1006" s="387" t="s">
        <v>10536</v>
      </c>
      <c r="D1006" s="388" t="s">
        <v>181</v>
      </c>
      <c r="E1006" s="388" t="s">
        <v>10082</v>
      </c>
      <c r="F1006" s="388" t="s">
        <v>10078</v>
      </c>
      <c r="G1006" s="388" t="s">
        <v>10088</v>
      </c>
      <c r="H1006" s="388" t="s">
        <v>11284</v>
      </c>
      <c r="I1006" s="387" t="s">
        <v>11780</v>
      </c>
      <c r="J1006" s="389">
        <v>41150</v>
      </c>
      <c r="K1006" s="387" t="s">
        <v>11754</v>
      </c>
      <c r="L1006" s="387"/>
      <c r="M1006" s="387" t="s">
        <v>10084</v>
      </c>
      <c r="N1006" s="387"/>
      <c r="O1006" s="387" t="s">
        <v>57</v>
      </c>
      <c r="P1006" s="390">
        <v>31393600</v>
      </c>
      <c r="Q1006" s="387" t="s">
        <v>11755</v>
      </c>
      <c r="R1006" s="358" t="s">
        <v>11749</v>
      </c>
      <c r="S1006" s="340">
        <v>13</v>
      </c>
    </row>
    <row r="1007" spans="1:19" ht="44" thickBot="1" x14ac:dyDescent="0.4">
      <c r="A1007" s="357">
        <v>996</v>
      </c>
      <c r="B1007" s="387" t="s">
        <v>10535</v>
      </c>
      <c r="C1007" s="387" t="s">
        <v>10536</v>
      </c>
      <c r="D1007" s="388" t="s">
        <v>187</v>
      </c>
      <c r="E1007" s="388" t="s">
        <v>10082</v>
      </c>
      <c r="F1007" s="388" t="s">
        <v>10078</v>
      </c>
      <c r="G1007" s="388" t="s">
        <v>10088</v>
      </c>
      <c r="H1007" s="388" t="s">
        <v>11284</v>
      </c>
      <c r="I1007" s="387" t="s">
        <v>11781</v>
      </c>
      <c r="J1007" s="389">
        <v>41150</v>
      </c>
      <c r="K1007" s="387" t="s">
        <v>11754</v>
      </c>
      <c r="L1007" s="387"/>
      <c r="M1007" s="387" t="s">
        <v>10084</v>
      </c>
      <c r="N1007" s="387"/>
      <c r="O1007" s="387" t="s">
        <v>57</v>
      </c>
      <c r="P1007" s="390">
        <v>31393600</v>
      </c>
      <c r="Q1007" s="387" t="s">
        <v>11755</v>
      </c>
      <c r="R1007" s="358" t="s">
        <v>11749</v>
      </c>
      <c r="S1007" s="340">
        <v>13</v>
      </c>
    </row>
    <row r="1008" spans="1:19" ht="43.5" x14ac:dyDescent="0.35">
      <c r="A1008" s="349">
        <v>997</v>
      </c>
      <c r="B1008" s="387" t="s">
        <v>10535</v>
      </c>
      <c r="C1008" s="387" t="s">
        <v>10536</v>
      </c>
      <c r="D1008" s="388" t="s">
        <v>190</v>
      </c>
      <c r="E1008" s="388" t="s">
        <v>10082</v>
      </c>
      <c r="F1008" s="388" t="s">
        <v>10078</v>
      </c>
      <c r="G1008" s="388" t="s">
        <v>10088</v>
      </c>
      <c r="H1008" s="388" t="s">
        <v>11284</v>
      </c>
      <c r="I1008" s="387" t="s">
        <v>11782</v>
      </c>
      <c r="J1008" s="389">
        <v>41150</v>
      </c>
      <c r="K1008" s="387" t="s">
        <v>11754</v>
      </c>
      <c r="L1008" s="387"/>
      <c r="M1008" s="387" t="s">
        <v>10084</v>
      </c>
      <c r="N1008" s="387"/>
      <c r="O1008" s="387" t="s">
        <v>57</v>
      </c>
      <c r="P1008" s="390">
        <v>31393600</v>
      </c>
      <c r="Q1008" s="387" t="s">
        <v>11755</v>
      </c>
      <c r="R1008" s="358" t="s">
        <v>11749</v>
      </c>
      <c r="S1008" s="340">
        <v>13</v>
      </c>
    </row>
    <row r="1009" spans="1:19" ht="44" thickBot="1" x14ac:dyDescent="0.4">
      <c r="A1009" s="357">
        <v>998</v>
      </c>
      <c r="B1009" s="387" t="s">
        <v>10535</v>
      </c>
      <c r="C1009" s="387" t="s">
        <v>10536</v>
      </c>
      <c r="D1009" s="388" t="s">
        <v>192</v>
      </c>
      <c r="E1009" s="388" t="s">
        <v>10082</v>
      </c>
      <c r="F1009" s="388" t="s">
        <v>10078</v>
      </c>
      <c r="G1009" s="388" t="s">
        <v>10088</v>
      </c>
      <c r="H1009" s="388" t="s">
        <v>11284</v>
      </c>
      <c r="I1009" s="387" t="s">
        <v>11783</v>
      </c>
      <c r="J1009" s="389">
        <v>41150</v>
      </c>
      <c r="K1009" s="387" t="s">
        <v>11754</v>
      </c>
      <c r="L1009" s="387"/>
      <c r="M1009" s="387" t="s">
        <v>10084</v>
      </c>
      <c r="N1009" s="387"/>
      <c r="O1009" s="387" t="s">
        <v>57</v>
      </c>
      <c r="P1009" s="390">
        <v>31393600</v>
      </c>
      <c r="Q1009" s="387" t="s">
        <v>11755</v>
      </c>
      <c r="R1009" s="358" t="s">
        <v>11749</v>
      </c>
      <c r="S1009" s="340">
        <v>13</v>
      </c>
    </row>
    <row r="1010" spans="1:19" ht="43.5" x14ac:dyDescent="0.35">
      <c r="A1010" s="349">
        <v>999</v>
      </c>
      <c r="B1010" s="387" t="s">
        <v>10535</v>
      </c>
      <c r="C1010" s="387" t="s">
        <v>10536</v>
      </c>
      <c r="D1010" s="388" t="s">
        <v>194</v>
      </c>
      <c r="E1010" s="388" t="s">
        <v>10082</v>
      </c>
      <c r="F1010" s="388" t="s">
        <v>10078</v>
      </c>
      <c r="G1010" s="388" t="s">
        <v>10088</v>
      </c>
      <c r="H1010" s="388" t="s">
        <v>11284</v>
      </c>
      <c r="I1010" s="387" t="s">
        <v>11784</v>
      </c>
      <c r="J1010" s="389">
        <v>41150</v>
      </c>
      <c r="K1010" s="387" t="s">
        <v>11754</v>
      </c>
      <c r="L1010" s="387"/>
      <c r="M1010" s="387" t="s">
        <v>10084</v>
      </c>
      <c r="N1010" s="387"/>
      <c r="O1010" s="387" t="s">
        <v>57</v>
      </c>
      <c r="P1010" s="390">
        <v>31393600</v>
      </c>
      <c r="Q1010" s="387" t="s">
        <v>11755</v>
      </c>
      <c r="R1010" s="358" t="s">
        <v>11749</v>
      </c>
      <c r="S1010" s="340">
        <v>13</v>
      </c>
    </row>
    <row r="1011" spans="1:19" ht="44" thickBot="1" x14ac:dyDescent="0.4">
      <c r="A1011" s="357">
        <v>1000</v>
      </c>
      <c r="B1011" s="387" t="s">
        <v>10535</v>
      </c>
      <c r="C1011" s="387" t="s">
        <v>10536</v>
      </c>
      <c r="D1011" s="388" t="s">
        <v>195</v>
      </c>
      <c r="E1011" s="388" t="s">
        <v>10082</v>
      </c>
      <c r="F1011" s="388" t="s">
        <v>10078</v>
      </c>
      <c r="G1011" s="388" t="s">
        <v>10088</v>
      </c>
      <c r="H1011" s="388" t="s">
        <v>11284</v>
      </c>
      <c r="I1011" s="387" t="s">
        <v>11785</v>
      </c>
      <c r="J1011" s="389">
        <v>41150</v>
      </c>
      <c r="K1011" s="387" t="s">
        <v>11754</v>
      </c>
      <c r="L1011" s="387"/>
      <c r="M1011" s="387" t="s">
        <v>10084</v>
      </c>
      <c r="N1011" s="387"/>
      <c r="O1011" s="387" t="s">
        <v>57</v>
      </c>
      <c r="P1011" s="390">
        <v>31393600</v>
      </c>
      <c r="Q1011" s="387" t="s">
        <v>11755</v>
      </c>
      <c r="R1011" s="358" t="s">
        <v>11749</v>
      </c>
      <c r="S1011" s="340">
        <v>13</v>
      </c>
    </row>
    <row r="1012" spans="1:19" ht="43.5" x14ac:dyDescent="0.35">
      <c r="A1012" s="349">
        <v>1001</v>
      </c>
      <c r="B1012" s="387" t="s">
        <v>10535</v>
      </c>
      <c r="C1012" s="387" t="s">
        <v>10536</v>
      </c>
      <c r="D1012" s="388" t="s">
        <v>199</v>
      </c>
      <c r="E1012" s="388" t="s">
        <v>10082</v>
      </c>
      <c r="F1012" s="388" t="s">
        <v>10078</v>
      </c>
      <c r="G1012" s="388" t="s">
        <v>10088</v>
      </c>
      <c r="H1012" s="388" t="s">
        <v>11284</v>
      </c>
      <c r="I1012" s="387" t="s">
        <v>11786</v>
      </c>
      <c r="J1012" s="389">
        <v>41150</v>
      </c>
      <c r="K1012" s="387" t="s">
        <v>11754</v>
      </c>
      <c r="L1012" s="387"/>
      <c r="M1012" s="387" t="s">
        <v>10084</v>
      </c>
      <c r="N1012" s="387"/>
      <c r="O1012" s="387" t="s">
        <v>57</v>
      </c>
      <c r="P1012" s="390">
        <v>31393600</v>
      </c>
      <c r="Q1012" s="387" t="s">
        <v>11755</v>
      </c>
      <c r="R1012" s="358" t="s">
        <v>11749</v>
      </c>
      <c r="S1012" s="340">
        <v>13</v>
      </c>
    </row>
    <row r="1013" spans="1:19" ht="29.5" thickBot="1" x14ac:dyDescent="0.4">
      <c r="A1013" s="357">
        <v>1002</v>
      </c>
      <c r="B1013" s="387" t="s">
        <v>10535</v>
      </c>
      <c r="C1013" s="387" t="s">
        <v>10536</v>
      </c>
      <c r="D1013" s="388" t="s">
        <v>200</v>
      </c>
      <c r="E1013" s="388" t="s">
        <v>10082</v>
      </c>
      <c r="F1013" s="388" t="s">
        <v>10078</v>
      </c>
      <c r="G1013" s="388" t="s">
        <v>10088</v>
      </c>
      <c r="H1013" s="388" t="s">
        <v>11284</v>
      </c>
      <c r="I1013" s="387" t="s">
        <v>11787</v>
      </c>
      <c r="J1013" s="389">
        <v>41150</v>
      </c>
      <c r="K1013" s="387" t="s">
        <v>11754</v>
      </c>
      <c r="L1013" s="387"/>
      <c r="M1013" s="387" t="s">
        <v>10084</v>
      </c>
      <c r="N1013" s="387"/>
      <c r="O1013" s="387" t="s">
        <v>57</v>
      </c>
      <c r="P1013" s="390">
        <v>31393600</v>
      </c>
      <c r="Q1013" s="387" t="s">
        <v>11755</v>
      </c>
      <c r="R1013" s="358" t="s">
        <v>11749</v>
      </c>
      <c r="S1013" s="340">
        <v>13</v>
      </c>
    </row>
    <row r="1014" spans="1:19" ht="43.5" x14ac:dyDescent="0.35">
      <c r="A1014" s="349">
        <v>1003</v>
      </c>
      <c r="B1014" s="387" t="s">
        <v>10535</v>
      </c>
      <c r="C1014" s="387" t="s">
        <v>10536</v>
      </c>
      <c r="D1014" s="388" t="s">
        <v>209</v>
      </c>
      <c r="E1014" s="388" t="s">
        <v>10082</v>
      </c>
      <c r="F1014" s="388" t="s">
        <v>10078</v>
      </c>
      <c r="G1014" s="388" t="s">
        <v>10088</v>
      </c>
      <c r="H1014" s="388" t="s">
        <v>11284</v>
      </c>
      <c r="I1014" s="387" t="s">
        <v>11788</v>
      </c>
      <c r="J1014" s="389">
        <v>41150</v>
      </c>
      <c r="K1014" s="387" t="s">
        <v>11754</v>
      </c>
      <c r="L1014" s="387"/>
      <c r="M1014" s="387" t="s">
        <v>10084</v>
      </c>
      <c r="N1014" s="387"/>
      <c r="O1014" s="387" t="s">
        <v>57</v>
      </c>
      <c r="P1014" s="390">
        <v>31393600</v>
      </c>
      <c r="Q1014" s="387" t="s">
        <v>11755</v>
      </c>
      <c r="R1014" s="358" t="s">
        <v>11749</v>
      </c>
      <c r="S1014" s="340">
        <v>13</v>
      </c>
    </row>
    <row r="1015" spans="1:19" ht="29.5" thickBot="1" x14ac:dyDescent="0.4">
      <c r="A1015" s="357">
        <v>1004</v>
      </c>
      <c r="B1015" s="387" t="s">
        <v>10535</v>
      </c>
      <c r="C1015" s="387" t="s">
        <v>10536</v>
      </c>
      <c r="D1015" s="388" t="s">
        <v>215</v>
      </c>
      <c r="E1015" s="388" t="s">
        <v>10082</v>
      </c>
      <c r="F1015" s="388" t="s">
        <v>10078</v>
      </c>
      <c r="G1015" s="388" t="s">
        <v>10088</v>
      </c>
      <c r="H1015" s="388" t="s">
        <v>11407</v>
      </c>
      <c r="I1015" s="387" t="s">
        <v>11789</v>
      </c>
      <c r="J1015" s="389">
        <v>41894</v>
      </c>
      <c r="K1015" s="387" t="s">
        <v>11790</v>
      </c>
      <c r="L1015" s="387"/>
      <c r="M1015" s="387" t="s">
        <v>10084</v>
      </c>
      <c r="N1015" s="387"/>
      <c r="O1015" s="387" t="s">
        <v>57</v>
      </c>
      <c r="P1015" s="390">
        <v>226614042</v>
      </c>
      <c r="Q1015" s="387" t="s">
        <v>11791</v>
      </c>
      <c r="R1015" s="358" t="s">
        <v>11749</v>
      </c>
      <c r="S1015" s="340">
        <v>13</v>
      </c>
    </row>
    <row r="1016" spans="1:19" ht="29" x14ac:dyDescent="0.35">
      <c r="A1016" s="349">
        <v>1005</v>
      </c>
      <c r="B1016" s="387" t="s">
        <v>10535</v>
      </c>
      <c r="C1016" s="387" t="s">
        <v>10536</v>
      </c>
      <c r="D1016" s="388" t="s">
        <v>223</v>
      </c>
      <c r="E1016" s="388" t="s">
        <v>10082</v>
      </c>
      <c r="F1016" s="388" t="s">
        <v>10078</v>
      </c>
      <c r="G1016" s="388" t="s">
        <v>10088</v>
      </c>
      <c r="H1016" s="388" t="s">
        <v>11407</v>
      </c>
      <c r="I1016" s="387" t="s">
        <v>11792</v>
      </c>
      <c r="J1016" s="389">
        <v>41894</v>
      </c>
      <c r="K1016" s="387" t="s">
        <v>11790</v>
      </c>
      <c r="L1016" s="387"/>
      <c r="M1016" s="387" t="s">
        <v>10084</v>
      </c>
      <c r="N1016" s="387"/>
      <c r="O1016" s="387" t="s">
        <v>57</v>
      </c>
      <c r="P1016" s="390">
        <v>226614042</v>
      </c>
      <c r="Q1016" s="387" t="s">
        <v>11793</v>
      </c>
      <c r="R1016" s="358" t="s">
        <v>11749</v>
      </c>
      <c r="S1016" s="340">
        <v>13</v>
      </c>
    </row>
    <row r="1017" spans="1:19" ht="29.5" thickBot="1" x14ac:dyDescent="0.4">
      <c r="A1017" s="357">
        <v>1006</v>
      </c>
      <c r="B1017" s="387" t="s">
        <v>10535</v>
      </c>
      <c r="C1017" s="387" t="s">
        <v>10536</v>
      </c>
      <c r="D1017" s="388" t="s">
        <v>229</v>
      </c>
      <c r="E1017" s="388" t="s">
        <v>10082</v>
      </c>
      <c r="F1017" s="388" t="s">
        <v>10078</v>
      </c>
      <c r="G1017" s="388" t="s">
        <v>10088</v>
      </c>
      <c r="H1017" s="388" t="s">
        <v>11407</v>
      </c>
      <c r="I1017" s="387" t="s">
        <v>11794</v>
      </c>
      <c r="J1017" s="389">
        <v>41894</v>
      </c>
      <c r="K1017" s="387" t="s">
        <v>11790</v>
      </c>
      <c r="L1017" s="387"/>
      <c r="M1017" s="387" t="s">
        <v>10084</v>
      </c>
      <c r="N1017" s="387"/>
      <c r="O1017" s="387" t="s">
        <v>57</v>
      </c>
      <c r="P1017" s="390">
        <v>226614042</v>
      </c>
      <c r="Q1017" s="387" t="s">
        <v>11795</v>
      </c>
      <c r="R1017" s="358" t="s">
        <v>11749</v>
      </c>
      <c r="S1017" s="340">
        <v>13</v>
      </c>
    </row>
    <row r="1018" spans="1:19" ht="29" x14ac:dyDescent="0.35">
      <c r="A1018" s="349">
        <v>1007</v>
      </c>
      <c r="B1018" s="387" t="s">
        <v>10535</v>
      </c>
      <c r="C1018" s="387" t="s">
        <v>10536</v>
      </c>
      <c r="D1018" s="388" t="s">
        <v>238</v>
      </c>
      <c r="E1018" s="388" t="s">
        <v>10082</v>
      </c>
      <c r="F1018" s="388" t="s">
        <v>10078</v>
      </c>
      <c r="G1018" s="388" t="s">
        <v>10088</v>
      </c>
      <c r="H1018" s="388" t="s">
        <v>11407</v>
      </c>
      <c r="I1018" s="387" t="s">
        <v>11796</v>
      </c>
      <c r="J1018" s="389">
        <v>41894</v>
      </c>
      <c r="K1018" s="387" t="s">
        <v>11790</v>
      </c>
      <c r="L1018" s="387"/>
      <c r="M1018" s="387" t="s">
        <v>10084</v>
      </c>
      <c r="N1018" s="387"/>
      <c r="O1018" s="387" t="s">
        <v>57</v>
      </c>
      <c r="P1018" s="390">
        <v>226937851.99999997</v>
      </c>
      <c r="Q1018" s="387" t="s">
        <v>11797</v>
      </c>
      <c r="R1018" s="358" t="s">
        <v>11749</v>
      </c>
      <c r="S1018" s="340">
        <v>13</v>
      </c>
    </row>
    <row r="1019" spans="1:19" ht="29.5" thickBot="1" x14ac:dyDescent="0.4">
      <c r="A1019" s="357">
        <v>1008</v>
      </c>
      <c r="B1019" s="387" t="s">
        <v>10535</v>
      </c>
      <c r="C1019" s="387" t="s">
        <v>10536</v>
      </c>
      <c r="D1019" s="388" t="s">
        <v>244</v>
      </c>
      <c r="E1019" s="388" t="s">
        <v>10082</v>
      </c>
      <c r="F1019" s="388" t="s">
        <v>10078</v>
      </c>
      <c r="G1019" s="388" t="s">
        <v>10088</v>
      </c>
      <c r="H1019" s="388" t="s">
        <v>11407</v>
      </c>
      <c r="I1019" s="387" t="s">
        <v>11798</v>
      </c>
      <c r="J1019" s="389">
        <v>41894</v>
      </c>
      <c r="K1019" s="387" t="s">
        <v>11799</v>
      </c>
      <c r="L1019" s="387"/>
      <c r="M1019" s="387" t="s">
        <v>10084</v>
      </c>
      <c r="N1019" s="387"/>
      <c r="O1019" s="387" t="s">
        <v>57</v>
      </c>
      <c r="P1019" s="390">
        <v>351543022.00000006</v>
      </c>
      <c r="Q1019" s="387" t="s">
        <v>11800</v>
      </c>
      <c r="R1019" s="358" t="s">
        <v>11749</v>
      </c>
      <c r="S1019" s="340">
        <v>13</v>
      </c>
    </row>
    <row r="1020" spans="1:19" ht="29" x14ac:dyDescent="0.35">
      <c r="A1020" s="349">
        <v>1009</v>
      </c>
      <c r="B1020" s="387" t="s">
        <v>10535</v>
      </c>
      <c r="C1020" s="387" t="s">
        <v>10536</v>
      </c>
      <c r="D1020" s="388" t="s">
        <v>253</v>
      </c>
      <c r="E1020" s="388" t="s">
        <v>10082</v>
      </c>
      <c r="F1020" s="388" t="s">
        <v>10078</v>
      </c>
      <c r="G1020" s="388" t="s">
        <v>10088</v>
      </c>
      <c r="H1020" s="388" t="s">
        <v>11801</v>
      </c>
      <c r="I1020" s="387" t="s">
        <v>11802</v>
      </c>
      <c r="J1020" s="389">
        <v>42884</v>
      </c>
      <c r="K1020" s="387" t="s">
        <v>11803</v>
      </c>
      <c r="L1020" s="387"/>
      <c r="M1020" s="387" t="s">
        <v>10084</v>
      </c>
      <c r="N1020" s="387"/>
      <c r="O1020" s="387" t="s">
        <v>57</v>
      </c>
      <c r="P1020" s="390">
        <v>49190000</v>
      </c>
      <c r="Q1020" s="387" t="s">
        <v>11804</v>
      </c>
      <c r="R1020" s="358" t="s">
        <v>11749</v>
      </c>
      <c r="S1020" s="340">
        <v>13</v>
      </c>
    </row>
    <row r="1021" spans="1:19" ht="29.5" thickBot="1" x14ac:dyDescent="0.4">
      <c r="A1021" s="357">
        <v>1010</v>
      </c>
      <c r="B1021" s="387" t="s">
        <v>10535</v>
      </c>
      <c r="C1021" s="387" t="s">
        <v>10536</v>
      </c>
      <c r="D1021" s="388" t="s">
        <v>259</v>
      </c>
      <c r="E1021" s="388" t="s">
        <v>10082</v>
      </c>
      <c r="F1021" s="388" t="s">
        <v>10078</v>
      </c>
      <c r="G1021" s="388" t="s">
        <v>10088</v>
      </c>
      <c r="H1021" s="388" t="s">
        <v>11284</v>
      </c>
      <c r="I1021" s="387" t="s">
        <v>11805</v>
      </c>
      <c r="J1021" s="389">
        <v>41547</v>
      </c>
      <c r="K1021" s="387" t="s">
        <v>10539</v>
      </c>
      <c r="L1021" s="387"/>
      <c r="M1021" s="387" t="s">
        <v>10084</v>
      </c>
      <c r="N1021" s="387"/>
      <c r="O1021" s="387" t="s">
        <v>57</v>
      </c>
      <c r="P1021" s="390">
        <v>8794000</v>
      </c>
      <c r="Q1021" s="387" t="s">
        <v>11806</v>
      </c>
      <c r="R1021" s="358" t="s">
        <v>11749</v>
      </c>
      <c r="S1021" s="340">
        <v>13</v>
      </c>
    </row>
    <row r="1022" spans="1:19" ht="29" x14ac:dyDescent="0.35">
      <c r="A1022" s="349">
        <v>1011</v>
      </c>
      <c r="B1022" s="387" t="s">
        <v>10535</v>
      </c>
      <c r="C1022" s="387" t="s">
        <v>10536</v>
      </c>
      <c r="D1022" s="388" t="s">
        <v>264</v>
      </c>
      <c r="E1022" s="388" t="s">
        <v>10082</v>
      </c>
      <c r="F1022" s="388" t="s">
        <v>10078</v>
      </c>
      <c r="G1022" s="388" t="s">
        <v>10088</v>
      </c>
      <c r="H1022" s="388" t="s">
        <v>11284</v>
      </c>
      <c r="I1022" s="387" t="s">
        <v>11807</v>
      </c>
      <c r="J1022" s="389">
        <v>41547</v>
      </c>
      <c r="K1022" s="387" t="s">
        <v>10539</v>
      </c>
      <c r="L1022" s="387"/>
      <c r="M1022" s="387" t="s">
        <v>10084</v>
      </c>
      <c r="N1022" s="387"/>
      <c r="O1022" s="387" t="s">
        <v>57</v>
      </c>
      <c r="P1022" s="390">
        <v>8794000</v>
      </c>
      <c r="Q1022" s="387" t="s">
        <v>11806</v>
      </c>
      <c r="R1022" s="358" t="s">
        <v>11749</v>
      </c>
      <c r="S1022" s="340">
        <v>13</v>
      </c>
    </row>
    <row r="1023" spans="1:19" ht="29.5" thickBot="1" x14ac:dyDescent="0.4">
      <c r="A1023" s="357">
        <v>1012</v>
      </c>
      <c r="B1023" s="387" t="s">
        <v>10535</v>
      </c>
      <c r="C1023" s="387" t="s">
        <v>10536</v>
      </c>
      <c r="D1023" s="388" t="s">
        <v>269</v>
      </c>
      <c r="E1023" s="388" t="s">
        <v>10082</v>
      </c>
      <c r="F1023" s="388" t="s">
        <v>10078</v>
      </c>
      <c r="G1023" s="388" t="s">
        <v>10088</v>
      </c>
      <c r="H1023" s="388" t="s">
        <v>11284</v>
      </c>
      <c r="I1023" s="387" t="s">
        <v>11808</v>
      </c>
      <c r="J1023" s="389">
        <v>41547</v>
      </c>
      <c r="K1023" s="387" t="s">
        <v>10539</v>
      </c>
      <c r="L1023" s="387"/>
      <c r="M1023" s="387" t="s">
        <v>10084</v>
      </c>
      <c r="N1023" s="387"/>
      <c r="O1023" s="387" t="s">
        <v>57</v>
      </c>
      <c r="P1023" s="390">
        <v>8794000</v>
      </c>
      <c r="Q1023" s="387" t="s">
        <v>11806</v>
      </c>
      <c r="R1023" s="358" t="s">
        <v>11749</v>
      </c>
      <c r="S1023" s="340">
        <v>13</v>
      </c>
    </row>
    <row r="1024" spans="1:19" ht="29" x14ac:dyDescent="0.35">
      <c r="A1024" s="349">
        <v>1013</v>
      </c>
      <c r="B1024" s="387" t="s">
        <v>10535</v>
      </c>
      <c r="C1024" s="387" t="s">
        <v>10536</v>
      </c>
      <c r="D1024" s="388" t="s">
        <v>274</v>
      </c>
      <c r="E1024" s="388" t="s">
        <v>10082</v>
      </c>
      <c r="F1024" s="388" t="s">
        <v>10078</v>
      </c>
      <c r="G1024" s="388" t="s">
        <v>10088</v>
      </c>
      <c r="H1024" s="388" t="s">
        <v>11284</v>
      </c>
      <c r="I1024" s="387" t="s">
        <v>11808</v>
      </c>
      <c r="J1024" s="389">
        <v>41547</v>
      </c>
      <c r="K1024" s="387" t="s">
        <v>10539</v>
      </c>
      <c r="L1024" s="387"/>
      <c r="M1024" s="387" t="s">
        <v>10084</v>
      </c>
      <c r="N1024" s="387"/>
      <c r="O1024" s="387" t="s">
        <v>57</v>
      </c>
      <c r="P1024" s="390">
        <v>8794000</v>
      </c>
      <c r="Q1024" s="387" t="s">
        <v>11806</v>
      </c>
      <c r="R1024" s="358" t="s">
        <v>11749</v>
      </c>
      <c r="S1024" s="340">
        <v>13</v>
      </c>
    </row>
    <row r="1025" spans="1:19" ht="29.5" thickBot="1" x14ac:dyDescent="0.4">
      <c r="A1025" s="357">
        <v>1014</v>
      </c>
      <c r="B1025" s="387" t="s">
        <v>10535</v>
      </c>
      <c r="C1025" s="387" t="s">
        <v>10536</v>
      </c>
      <c r="D1025" s="388" t="s">
        <v>280</v>
      </c>
      <c r="E1025" s="388" t="s">
        <v>10082</v>
      </c>
      <c r="F1025" s="388" t="s">
        <v>10078</v>
      </c>
      <c r="G1025" s="388" t="s">
        <v>10088</v>
      </c>
      <c r="H1025" s="388" t="s">
        <v>11284</v>
      </c>
      <c r="I1025" s="387" t="s">
        <v>11809</v>
      </c>
      <c r="J1025" s="389">
        <v>41547</v>
      </c>
      <c r="K1025" s="387" t="s">
        <v>10539</v>
      </c>
      <c r="L1025" s="387"/>
      <c r="M1025" s="387" t="s">
        <v>10084</v>
      </c>
      <c r="N1025" s="387"/>
      <c r="O1025" s="387" t="s">
        <v>57</v>
      </c>
      <c r="P1025" s="390">
        <v>8794000</v>
      </c>
      <c r="Q1025" s="387" t="s">
        <v>11806</v>
      </c>
      <c r="R1025" s="358" t="s">
        <v>11749</v>
      </c>
      <c r="S1025" s="340">
        <v>13</v>
      </c>
    </row>
    <row r="1026" spans="1:19" ht="29" x14ac:dyDescent="0.35">
      <c r="A1026" s="349">
        <v>1015</v>
      </c>
      <c r="B1026" s="387" t="s">
        <v>10535</v>
      </c>
      <c r="C1026" s="387" t="s">
        <v>10536</v>
      </c>
      <c r="D1026" s="388" t="s">
        <v>286</v>
      </c>
      <c r="E1026" s="388" t="s">
        <v>10082</v>
      </c>
      <c r="F1026" s="388" t="s">
        <v>10078</v>
      </c>
      <c r="G1026" s="388" t="s">
        <v>10088</v>
      </c>
      <c r="H1026" s="388" t="s">
        <v>11284</v>
      </c>
      <c r="I1026" s="387" t="s">
        <v>11810</v>
      </c>
      <c r="J1026" s="389">
        <v>41547</v>
      </c>
      <c r="K1026" s="387" t="s">
        <v>10539</v>
      </c>
      <c r="L1026" s="387"/>
      <c r="M1026" s="387" t="s">
        <v>10084</v>
      </c>
      <c r="N1026" s="387"/>
      <c r="O1026" s="387" t="s">
        <v>57</v>
      </c>
      <c r="P1026" s="390">
        <v>8794000</v>
      </c>
      <c r="Q1026" s="387" t="s">
        <v>11806</v>
      </c>
      <c r="R1026" s="358" t="s">
        <v>11749</v>
      </c>
      <c r="S1026" s="340">
        <v>13</v>
      </c>
    </row>
    <row r="1027" spans="1:19" ht="29.5" thickBot="1" x14ac:dyDescent="0.4">
      <c r="A1027" s="357">
        <v>1016</v>
      </c>
      <c r="B1027" s="387" t="s">
        <v>10535</v>
      </c>
      <c r="C1027" s="387" t="s">
        <v>10536</v>
      </c>
      <c r="D1027" s="388" t="s">
        <v>291</v>
      </c>
      <c r="E1027" s="388" t="s">
        <v>10082</v>
      </c>
      <c r="F1027" s="388" t="s">
        <v>10078</v>
      </c>
      <c r="G1027" s="388" t="s">
        <v>10088</v>
      </c>
      <c r="H1027" s="388" t="s">
        <v>11284</v>
      </c>
      <c r="I1027" s="387" t="s">
        <v>11811</v>
      </c>
      <c r="J1027" s="389">
        <v>41547</v>
      </c>
      <c r="K1027" s="387" t="s">
        <v>10539</v>
      </c>
      <c r="L1027" s="387"/>
      <c r="M1027" s="387" t="s">
        <v>10084</v>
      </c>
      <c r="N1027" s="387"/>
      <c r="O1027" s="387" t="s">
        <v>57</v>
      </c>
      <c r="P1027" s="390">
        <v>8794000</v>
      </c>
      <c r="Q1027" s="387" t="s">
        <v>11806</v>
      </c>
      <c r="R1027" s="358" t="s">
        <v>11749</v>
      </c>
      <c r="S1027" s="340">
        <v>13</v>
      </c>
    </row>
    <row r="1028" spans="1:19" ht="29" x14ac:dyDescent="0.35">
      <c r="A1028" s="349">
        <v>1017</v>
      </c>
      <c r="B1028" s="387" t="s">
        <v>10535</v>
      </c>
      <c r="C1028" s="387" t="s">
        <v>10536</v>
      </c>
      <c r="D1028" s="388" t="s">
        <v>298</v>
      </c>
      <c r="E1028" s="388" t="s">
        <v>10082</v>
      </c>
      <c r="F1028" s="388" t="s">
        <v>10078</v>
      </c>
      <c r="G1028" s="388" t="s">
        <v>10088</v>
      </c>
      <c r="H1028" s="388" t="s">
        <v>11284</v>
      </c>
      <c r="I1028" s="387" t="s">
        <v>11812</v>
      </c>
      <c r="J1028" s="389">
        <v>41547</v>
      </c>
      <c r="K1028" s="387" t="s">
        <v>10539</v>
      </c>
      <c r="L1028" s="387"/>
      <c r="M1028" s="387" t="s">
        <v>10084</v>
      </c>
      <c r="N1028" s="387"/>
      <c r="O1028" s="387" t="s">
        <v>57</v>
      </c>
      <c r="P1028" s="390">
        <v>8794000</v>
      </c>
      <c r="Q1028" s="387" t="s">
        <v>11806</v>
      </c>
      <c r="R1028" s="358" t="s">
        <v>11749</v>
      </c>
      <c r="S1028" s="340">
        <v>13</v>
      </c>
    </row>
    <row r="1029" spans="1:19" ht="29.5" thickBot="1" x14ac:dyDescent="0.4">
      <c r="A1029" s="357">
        <v>1018</v>
      </c>
      <c r="B1029" s="387" t="s">
        <v>10535</v>
      </c>
      <c r="C1029" s="387" t="s">
        <v>10536</v>
      </c>
      <c r="D1029" s="388" t="s">
        <v>304</v>
      </c>
      <c r="E1029" s="388" t="s">
        <v>10082</v>
      </c>
      <c r="F1029" s="388" t="s">
        <v>10078</v>
      </c>
      <c r="G1029" s="388" t="s">
        <v>10088</v>
      </c>
      <c r="H1029" s="388" t="s">
        <v>11284</v>
      </c>
      <c r="I1029" s="387" t="s">
        <v>11813</v>
      </c>
      <c r="J1029" s="389">
        <v>41547</v>
      </c>
      <c r="K1029" s="387" t="s">
        <v>10539</v>
      </c>
      <c r="L1029" s="387"/>
      <c r="M1029" s="387" t="s">
        <v>10084</v>
      </c>
      <c r="N1029" s="387"/>
      <c r="O1029" s="387" t="s">
        <v>57</v>
      </c>
      <c r="P1029" s="390">
        <v>8794000</v>
      </c>
      <c r="Q1029" s="387" t="s">
        <v>11806</v>
      </c>
      <c r="R1029" s="358" t="s">
        <v>11749</v>
      </c>
      <c r="S1029" s="340">
        <v>13</v>
      </c>
    </row>
    <row r="1030" spans="1:19" ht="29" x14ac:dyDescent="0.35">
      <c r="A1030" s="349">
        <v>1019</v>
      </c>
      <c r="B1030" s="387" t="s">
        <v>10535</v>
      </c>
      <c r="C1030" s="387" t="s">
        <v>10536</v>
      </c>
      <c r="D1030" s="388" t="s">
        <v>310</v>
      </c>
      <c r="E1030" s="388" t="s">
        <v>10082</v>
      </c>
      <c r="F1030" s="388" t="s">
        <v>10078</v>
      </c>
      <c r="G1030" s="388" t="s">
        <v>10088</v>
      </c>
      <c r="H1030" s="388" t="s">
        <v>11284</v>
      </c>
      <c r="I1030" s="387" t="s">
        <v>11814</v>
      </c>
      <c r="J1030" s="389">
        <v>41547</v>
      </c>
      <c r="K1030" s="387" t="s">
        <v>10539</v>
      </c>
      <c r="L1030" s="387"/>
      <c r="M1030" s="387" t="s">
        <v>10084</v>
      </c>
      <c r="N1030" s="387"/>
      <c r="O1030" s="387" t="s">
        <v>57</v>
      </c>
      <c r="P1030" s="390">
        <v>8794000</v>
      </c>
      <c r="Q1030" s="387" t="s">
        <v>11806</v>
      </c>
      <c r="R1030" s="358" t="s">
        <v>11749</v>
      </c>
      <c r="S1030" s="340">
        <v>13</v>
      </c>
    </row>
    <row r="1031" spans="1:19" ht="29.5" thickBot="1" x14ac:dyDescent="0.4">
      <c r="A1031" s="357">
        <v>1020</v>
      </c>
      <c r="B1031" s="387" t="s">
        <v>10535</v>
      </c>
      <c r="C1031" s="387" t="s">
        <v>10536</v>
      </c>
      <c r="D1031" s="388" t="s">
        <v>319</v>
      </c>
      <c r="E1031" s="388" t="s">
        <v>10082</v>
      </c>
      <c r="F1031" s="388" t="s">
        <v>10078</v>
      </c>
      <c r="G1031" s="388" t="s">
        <v>10088</v>
      </c>
      <c r="H1031" s="388" t="s">
        <v>11284</v>
      </c>
      <c r="I1031" s="387" t="s">
        <v>11815</v>
      </c>
      <c r="J1031" s="389">
        <v>41547</v>
      </c>
      <c r="K1031" s="387" t="s">
        <v>10539</v>
      </c>
      <c r="L1031" s="387"/>
      <c r="M1031" s="387" t="s">
        <v>10084</v>
      </c>
      <c r="N1031" s="387"/>
      <c r="O1031" s="387" t="s">
        <v>57</v>
      </c>
      <c r="P1031" s="390">
        <v>8796000</v>
      </c>
      <c r="Q1031" s="387" t="s">
        <v>11806</v>
      </c>
      <c r="R1031" s="358" t="s">
        <v>11749</v>
      </c>
      <c r="S1031" s="340">
        <v>13</v>
      </c>
    </row>
    <row r="1032" spans="1:19" ht="29" x14ac:dyDescent="0.35">
      <c r="A1032" s="349">
        <v>1021</v>
      </c>
      <c r="B1032" s="387" t="s">
        <v>10535</v>
      </c>
      <c r="C1032" s="387" t="s">
        <v>10536</v>
      </c>
      <c r="D1032" s="388" t="s">
        <v>325</v>
      </c>
      <c r="E1032" s="388" t="s">
        <v>10082</v>
      </c>
      <c r="F1032" s="388" t="s">
        <v>10078</v>
      </c>
      <c r="G1032" s="388" t="s">
        <v>10088</v>
      </c>
      <c r="H1032" s="388" t="s">
        <v>11284</v>
      </c>
      <c r="I1032" s="387" t="s">
        <v>11816</v>
      </c>
      <c r="J1032" s="389">
        <v>41547</v>
      </c>
      <c r="K1032" s="387" t="s">
        <v>10539</v>
      </c>
      <c r="L1032" s="387"/>
      <c r="M1032" s="387" t="s">
        <v>10084</v>
      </c>
      <c r="N1032" s="387"/>
      <c r="O1032" s="387" t="s">
        <v>57</v>
      </c>
      <c r="P1032" s="390">
        <v>8794000</v>
      </c>
      <c r="Q1032" s="387" t="s">
        <v>11806</v>
      </c>
      <c r="R1032" s="358" t="s">
        <v>11749</v>
      </c>
      <c r="S1032" s="340">
        <v>13</v>
      </c>
    </row>
    <row r="1033" spans="1:19" ht="29.5" thickBot="1" x14ac:dyDescent="0.4">
      <c r="A1033" s="357">
        <v>1022</v>
      </c>
      <c r="B1033" s="387" t="s">
        <v>10535</v>
      </c>
      <c r="C1033" s="387" t="s">
        <v>10536</v>
      </c>
      <c r="D1033" s="388" t="s">
        <v>332</v>
      </c>
      <c r="E1033" s="388" t="s">
        <v>10082</v>
      </c>
      <c r="F1033" s="388" t="s">
        <v>10078</v>
      </c>
      <c r="G1033" s="388" t="s">
        <v>10088</v>
      </c>
      <c r="H1033" s="388" t="s">
        <v>11817</v>
      </c>
      <c r="I1033" s="387" t="s">
        <v>11802</v>
      </c>
      <c r="J1033" s="389">
        <v>42884</v>
      </c>
      <c r="K1033" s="387" t="s">
        <v>11818</v>
      </c>
      <c r="L1033" s="387"/>
      <c r="M1033" s="387" t="s">
        <v>10084</v>
      </c>
      <c r="N1033" s="387"/>
      <c r="O1033" s="387" t="s">
        <v>57</v>
      </c>
      <c r="P1033" s="390">
        <v>304626000</v>
      </c>
      <c r="Q1033" s="387" t="s">
        <v>11819</v>
      </c>
      <c r="R1033" s="358" t="s">
        <v>11749</v>
      </c>
      <c r="S1033" s="340">
        <v>13</v>
      </c>
    </row>
    <row r="1034" spans="1:19" ht="29" x14ac:dyDescent="0.35">
      <c r="A1034" s="349">
        <v>1023</v>
      </c>
      <c r="B1034" s="387" t="s">
        <v>10535</v>
      </c>
      <c r="C1034" s="387" t="s">
        <v>10536</v>
      </c>
      <c r="D1034" s="388" t="s">
        <v>338</v>
      </c>
      <c r="E1034" s="388" t="s">
        <v>10082</v>
      </c>
      <c r="F1034" s="388"/>
      <c r="G1034" s="388"/>
      <c r="H1034" s="388" t="s">
        <v>2972</v>
      </c>
      <c r="I1034" s="387" t="s">
        <v>63</v>
      </c>
      <c r="J1034" s="389"/>
      <c r="K1034" s="387" t="s">
        <v>11820</v>
      </c>
      <c r="L1034" s="387"/>
      <c r="M1034" s="387"/>
      <c r="N1034" s="387"/>
      <c r="O1034" s="387" t="s">
        <v>44</v>
      </c>
      <c r="P1034" s="390">
        <v>127672170</v>
      </c>
      <c r="Q1034" s="387" t="s">
        <v>11821</v>
      </c>
      <c r="R1034" s="358" t="s">
        <v>11749</v>
      </c>
      <c r="S1034" s="340">
        <v>13</v>
      </c>
    </row>
    <row r="1035" spans="1:19" ht="29.5" thickBot="1" x14ac:dyDescent="0.4">
      <c r="A1035" s="357">
        <v>1024</v>
      </c>
      <c r="B1035" s="387" t="s">
        <v>11822</v>
      </c>
      <c r="C1035" s="387" t="s">
        <v>11823</v>
      </c>
      <c r="D1035" s="388" t="s">
        <v>51</v>
      </c>
      <c r="E1035" s="388" t="s">
        <v>10082</v>
      </c>
      <c r="F1035" s="388" t="s">
        <v>10078</v>
      </c>
      <c r="G1035" s="388" t="s">
        <v>10088</v>
      </c>
      <c r="H1035" s="388" t="s">
        <v>11469</v>
      </c>
      <c r="I1035" s="387" t="s">
        <v>11824</v>
      </c>
      <c r="J1035" s="389">
        <v>40255</v>
      </c>
      <c r="K1035" s="387" t="s">
        <v>11825</v>
      </c>
      <c r="L1035" s="387"/>
      <c r="M1035" s="387" t="s">
        <v>10084</v>
      </c>
      <c r="N1035" s="387"/>
      <c r="O1035" s="387" t="s">
        <v>57</v>
      </c>
      <c r="P1035" s="390">
        <v>841940000</v>
      </c>
      <c r="Q1035" s="387" t="s">
        <v>11826</v>
      </c>
      <c r="R1035" s="358" t="s">
        <v>11749</v>
      </c>
      <c r="S1035" s="340">
        <v>13</v>
      </c>
    </row>
    <row r="1036" spans="1:19" ht="29" x14ac:dyDescent="0.35">
      <c r="A1036" s="349">
        <v>1025</v>
      </c>
      <c r="B1036" s="387" t="s">
        <v>10900</v>
      </c>
      <c r="C1036" s="387" t="s">
        <v>10901</v>
      </c>
      <c r="D1036" s="388" t="s">
        <v>51</v>
      </c>
      <c r="E1036" s="388" t="s">
        <v>10082</v>
      </c>
      <c r="F1036" s="388" t="s">
        <v>10078</v>
      </c>
      <c r="G1036" s="388" t="s">
        <v>10088</v>
      </c>
      <c r="H1036" s="388" t="s">
        <v>11364</v>
      </c>
      <c r="I1036" s="387" t="s">
        <v>11827</v>
      </c>
      <c r="J1036" s="389">
        <v>41939</v>
      </c>
      <c r="K1036" s="387" t="s">
        <v>11828</v>
      </c>
      <c r="L1036" s="387"/>
      <c r="M1036" s="387" t="s">
        <v>10084</v>
      </c>
      <c r="N1036" s="387"/>
      <c r="O1036" s="387" t="s">
        <v>57</v>
      </c>
      <c r="P1036" s="390">
        <v>214660000</v>
      </c>
      <c r="Q1036" s="387" t="s">
        <v>11829</v>
      </c>
      <c r="R1036" s="358" t="s">
        <v>11749</v>
      </c>
      <c r="S1036" s="340">
        <v>13</v>
      </c>
    </row>
    <row r="1037" spans="1:19" ht="44" thickBot="1" x14ac:dyDescent="0.4">
      <c r="A1037" s="357">
        <v>1026</v>
      </c>
      <c r="B1037" s="387" t="s">
        <v>11830</v>
      </c>
      <c r="C1037" s="387" t="s">
        <v>11831</v>
      </c>
      <c r="D1037" s="388" t="s">
        <v>51</v>
      </c>
      <c r="E1037" s="388" t="s">
        <v>10082</v>
      </c>
      <c r="F1037" s="388" t="s">
        <v>10078</v>
      </c>
      <c r="G1037" s="388" t="s">
        <v>10078</v>
      </c>
      <c r="H1037" s="388" t="s">
        <v>11832</v>
      </c>
      <c r="I1037" s="387" t="s">
        <v>11833</v>
      </c>
      <c r="J1037" s="389">
        <v>42309</v>
      </c>
      <c r="K1037" s="387" t="s">
        <v>11834</v>
      </c>
      <c r="L1037" s="387"/>
      <c r="M1037" s="387" t="s">
        <v>10084</v>
      </c>
      <c r="N1037" s="387"/>
      <c r="O1037" s="387" t="s">
        <v>57</v>
      </c>
      <c r="P1037" s="390">
        <v>269920000</v>
      </c>
      <c r="Q1037" s="387" t="s">
        <v>11748</v>
      </c>
      <c r="R1037" s="358" t="s">
        <v>11749</v>
      </c>
      <c r="S1037" s="340">
        <v>13</v>
      </c>
    </row>
    <row r="1038" spans="1:19" ht="29" x14ac:dyDescent="0.35">
      <c r="A1038" s="349">
        <v>1027</v>
      </c>
      <c r="B1038" s="387" t="s">
        <v>11830</v>
      </c>
      <c r="C1038" s="387" t="s">
        <v>11831</v>
      </c>
      <c r="D1038" s="388" t="s">
        <v>59</v>
      </c>
      <c r="E1038" s="388" t="s">
        <v>10082</v>
      </c>
      <c r="F1038" s="388" t="s">
        <v>10078</v>
      </c>
      <c r="G1038" s="388" t="s">
        <v>10088</v>
      </c>
      <c r="H1038" s="388" t="s">
        <v>231</v>
      </c>
      <c r="I1038" s="387" t="s">
        <v>11835</v>
      </c>
      <c r="J1038" s="389">
        <v>39989</v>
      </c>
      <c r="K1038" s="387" t="s">
        <v>11836</v>
      </c>
      <c r="L1038" s="387"/>
      <c r="M1038" s="387" t="s">
        <v>10084</v>
      </c>
      <c r="N1038" s="387"/>
      <c r="O1038" s="387" t="s">
        <v>57</v>
      </c>
      <c r="P1038" s="390">
        <v>247450000</v>
      </c>
      <c r="Q1038" s="387" t="s">
        <v>11837</v>
      </c>
      <c r="R1038" s="358" t="s">
        <v>11749</v>
      </c>
      <c r="S1038" s="340">
        <v>13</v>
      </c>
    </row>
    <row r="1039" spans="1:19" ht="29.5" thickBot="1" x14ac:dyDescent="0.4">
      <c r="A1039" s="357">
        <v>1028</v>
      </c>
      <c r="B1039" s="387" t="s">
        <v>11301</v>
      </c>
      <c r="C1039" s="387" t="s">
        <v>11302</v>
      </c>
      <c r="D1039" s="388" t="s">
        <v>51</v>
      </c>
      <c r="E1039" s="388" t="s">
        <v>10082</v>
      </c>
      <c r="F1039" s="388" t="s">
        <v>10078</v>
      </c>
      <c r="G1039" s="388" t="s">
        <v>10088</v>
      </c>
      <c r="H1039" s="388" t="s">
        <v>11838</v>
      </c>
      <c r="I1039" s="387" t="s">
        <v>11839</v>
      </c>
      <c r="J1039" s="389">
        <v>41907</v>
      </c>
      <c r="K1039" s="387" t="s">
        <v>11840</v>
      </c>
      <c r="L1039" s="387"/>
      <c r="M1039" s="387" t="s">
        <v>10084</v>
      </c>
      <c r="N1039" s="387"/>
      <c r="O1039" s="387" t="s">
        <v>57</v>
      </c>
      <c r="P1039" s="390">
        <v>252589000</v>
      </c>
      <c r="Q1039" s="387" t="s">
        <v>11841</v>
      </c>
      <c r="R1039" s="358" t="s">
        <v>11749</v>
      </c>
      <c r="S1039" s="340">
        <v>13</v>
      </c>
    </row>
    <row r="1040" spans="1:19" ht="29" x14ac:dyDescent="0.35">
      <c r="A1040" s="349">
        <v>1029</v>
      </c>
      <c r="B1040" s="387" t="s">
        <v>11842</v>
      </c>
      <c r="C1040" s="387" t="s">
        <v>11843</v>
      </c>
      <c r="D1040" s="388" t="s">
        <v>51</v>
      </c>
      <c r="E1040" s="388" t="s">
        <v>10082</v>
      </c>
      <c r="F1040" s="388" t="s">
        <v>10078</v>
      </c>
      <c r="G1040" s="388" t="s">
        <v>10088</v>
      </c>
      <c r="H1040" s="388" t="s">
        <v>11844</v>
      </c>
      <c r="I1040" s="387" t="s">
        <v>11845</v>
      </c>
      <c r="J1040" s="389">
        <v>42324</v>
      </c>
      <c r="K1040" s="387" t="s">
        <v>11846</v>
      </c>
      <c r="L1040" s="387"/>
      <c r="M1040" s="387" t="s">
        <v>10084</v>
      </c>
      <c r="N1040" s="387"/>
      <c r="O1040" s="387" t="s">
        <v>57</v>
      </c>
      <c r="P1040" s="390">
        <v>149041000</v>
      </c>
      <c r="Q1040" s="387" t="s">
        <v>11847</v>
      </c>
      <c r="R1040" s="358" t="s">
        <v>11749</v>
      </c>
      <c r="S1040" s="340">
        <v>13</v>
      </c>
    </row>
    <row r="1041" spans="1:19" ht="44" thickBot="1" x14ac:dyDescent="0.4">
      <c r="A1041" s="357">
        <v>1030</v>
      </c>
      <c r="B1041" s="387" t="s">
        <v>10660</v>
      </c>
      <c r="C1041" s="387" t="s">
        <v>10661</v>
      </c>
      <c r="D1041" s="388" t="s">
        <v>51</v>
      </c>
      <c r="E1041" s="388" t="s">
        <v>10082</v>
      </c>
      <c r="F1041" s="388" t="s">
        <v>10078</v>
      </c>
      <c r="G1041" s="388" t="s">
        <v>10088</v>
      </c>
      <c r="H1041" s="388" t="s">
        <v>11848</v>
      </c>
      <c r="I1041" s="387" t="s">
        <v>11849</v>
      </c>
      <c r="J1041" s="389">
        <v>45611</v>
      </c>
      <c r="K1041" s="387" t="s">
        <v>11850</v>
      </c>
      <c r="L1041" s="387"/>
      <c r="M1041" s="387" t="s">
        <v>10084</v>
      </c>
      <c r="N1041" s="387"/>
      <c r="O1041" s="387" t="s">
        <v>44</v>
      </c>
      <c r="P1041" s="390">
        <v>84800000</v>
      </c>
      <c r="Q1041" s="387" t="s">
        <v>11851</v>
      </c>
      <c r="R1041" s="358" t="s">
        <v>11749</v>
      </c>
      <c r="S1041" s="340">
        <v>13</v>
      </c>
    </row>
    <row r="1042" spans="1:19" ht="29" x14ac:dyDescent="0.35">
      <c r="A1042" s="349">
        <v>1031</v>
      </c>
      <c r="B1042" s="387" t="s">
        <v>10511</v>
      </c>
      <c r="C1042" s="387" t="s">
        <v>10512</v>
      </c>
      <c r="D1042" s="388" t="s">
        <v>51</v>
      </c>
      <c r="E1042" s="388" t="s">
        <v>10082</v>
      </c>
      <c r="F1042" s="388" t="s">
        <v>10078</v>
      </c>
      <c r="G1042" s="388" t="s">
        <v>10078</v>
      </c>
      <c r="H1042" s="388" t="s">
        <v>11284</v>
      </c>
      <c r="I1042" s="387" t="s">
        <v>11852</v>
      </c>
      <c r="J1042" s="389">
        <v>40826</v>
      </c>
      <c r="K1042" s="387" t="s">
        <v>11853</v>
      </c>
      <c r="L1042" s="387"/>
      <c r="M1042" s="387" t="s">
        <v>10084</v>
      </c>
      <c r="N1042" s="387"/>
      <c r="O1042" s="387" t="s">
        <v>57</v>
      </c>
      <c r="P1042" s="390">
        <v>5325000</v>
      </c>
      <c r="Q1042" s="387" t="s">
        <v>11854</v>
      </c>
      <c r="R1042" s="358" t="s">
        <v>11749</v>
      </c>
      <c r="S1042" s="340">
        <v>13</v>
      </c>
    </row>
    <row r="1043" spans="1:19" ht="29.5" thickBot="1" x14ac:dyDescent="0.4">
      <c r="A1043" s="357">
        <v>1032</v>
      </c>
      <c r="B1043" s="387" t="s">
        <v>10511</v>
      </c>
      <c r="C1043" s="387" t="s">
        <v>10512</v>
      </c>
      <c r="D1043" s="388" t="s">
        <v>59</v>
      </c>
      <c r="E1043" s="388" t="s">
        <v>10082</v>
      </c>
      <c r="F1043" s="388" t="s">
        <v>10078</v>
      </c>
      <c r="G1043" s="388" t="s">
        <v>10078</v>
      </c>
      <c r="H1043" s="388" t="s">
        <v>11284</v>
      </c>
      <c r="I1043" s="387" t="s">
        <v>11855</v>
      </c>
      <c r="J1043" s="389">
        <v>40826</v>
      </c>
      <c r="K1043" s="387" t="s">
        <v>11853</v>
      </c>
      <c r="L1043" s="387"/>
      <c r="M1043" s="387" t="s">
        <v>10084</v>
      </c>
      <c r="N1043" s="387"/>
      <c r="O1043" s="387" t="s">
        <v>57</v>
      </c>
      <c r="P1043" s="390">
        <v>5325000</v>
      </c>
      <c r="Q1043" s="387" t="s">
        <v>11854</v>
      </c>
      <c r="R1043" s="358" t="s">
        <v>11749</v>
      </c>
      <c r="S1043" s="340">
        <v>13</v>
      </c>
    </row>
    <row r="1044" spans="1:19" ht="29" x14ac:dyDescent="0.35">
      <c r="A1044" s="349">
        <v>1033</v>
      </c>
      <c r="B1044" s="387" t="s">
        <v>10511</v>
      </c>
      <c r="C1044" s="387" t="s">
        <v>10512</v>
      </c>
      <c r="D1044" s="388" t="s">
        <v>97</v>
      </c>
      <c r="E1044" s="388" t="s">
        <v>10082</v>
      </c>
      <c r="F1044" s="388" t="s">
        <v>10078</v>
      </c>
      <c r="G1044" s="388" t="s">
        <v>10078</v>
      </c>
      <c r="H1044" s="388" t="s">
        <v>11284</v>
      </c>
      <c r="I1044" s="387" t="s">
        <v>11856</v>
      </c>
      <c r="J1044" s="389">
        <v>40826</v>
      </c>
      <c r="K1044" s="387" t="s">
        <v>11853</v>
      </c>
      <c r="L1044" s="387"/>
      <c r="M1044" s="387" t="s">
        <v>10084</v>
      </c>
      <c r="N1044" s="387"/>
      <c r="O1044" s="387" t="s">
        <v>57</v>
      </c>
      <c r="P1044" s="390">
        <v>5325000</v>
      </c>
      <c r="Q1044" s="387" t="s">
        <v>11854</v>
      </c>
      <c r="R1044" s="358" t="s">
        <v>11749</v>
      </c>
      <c r="S1044" s="340">
        <v>13</v>
      </c>
    </row>
    <row r="1045" spans="1:19" ht="29.5" thickBot="1" x14ac:dyDescent="0.4">
      <c r="A1045" s="357">
        <v>1034</v>
      </c>
      <c r="B1045" s="387" t="s">
        <v>10511</v>
      </c>
      <c r="C1045" s="387" t="s">
        <v>10512</v>
      </c>
      <c r="D1045" s="388" t="s">
        <v>101</v>
      </c>
      <c r="E1045" s="388" t="s">
        <v>10082</v>
      </c>
      <c r="F1045" s="388" t="s">
        <v>10078</v>
      </c>
      <c r="G1045" s="388" t="s">
        <v>10078</v>
      </c>
      <c r="H1045" s="388" t="s">
        <v>11284</v>
      </c>
      <c r="I1045" s="387" t="s">
        <v>11857</v>
      </c>
      <c r="J1045" s="389">
        <v>40826</v>
      </c>
      <c r="K1045" s="387" t="s">
        <v>11853</v>
      </c>
      <c r="L1045" s="387"/>
      <c r="M1045" s="387" t="s">
        <v>10084</v>
      </c>
      <c r="N1045" s="387"/>
      <c r="O1045" s="387" t="s">
        <v>57</v>
      </c>
      <c r="P1045" s="390">
        <v>5325000</v>
      </c>
      <c r="Q1045" s="387" t="s">
        <v>11858</v>
      </c>
      <c r="R1045" s="358" t="s">
        <v>11749</v>
      </c>
      <c r="S1045" s="340">
        <v>13</v>
      </c>
    </row>
    <row r="1046" spans="1:19" ht="29" x14ac:dyDescent="0.35">
      <c r="A1046" s="349">
        <v>1035</v>
      </c>
      <c r="B1046" s="387" t="s">
        <v>10511</v>
      </c>
      <c r="C1046" s="387" t="s">
        <v>10512</v>
      </c>
      <c r="D1046" s="388" t="s">
        <v>107</v>
      </c>
      <c r="E1046" s="388" t="s">
        <v>10082</v>
      </c>
      <c r="F1046" s="388" t="s">
        <v>10078</v>
      </c>
      <c r="G1046" s="388" t="s">
        <v>10078</v>
      </c>
      <c r="H1046" s="388" t="s">
        <v>11284</v>
      </c>
      <c r="I1046" s="387" t="s">
        <v>11859</v>
      </c>
      <c r="J1046" s="389">
        <v>40826</v>
      </c>
      <c r="K1046" s="387" t="s">
        <v>11853</v>
      </c>
      <c r="L1046" s="387"/>
      <c r="M1046" s="387" t="s">
        <v>10084</v>
      </c>
      <c r="N1046" s="387"/>
      <c r="O1046" s="387" t="s">
        <v>57</v>
      </c>
      <c r="P1046" s="390">
        <v>5325000</v>
      </c>
      <c r="Q1046" s="387" t="s">
        <v>11854</v>
      </c>
      <c r="R1046" s="358" t="s">
        <v>11749</v>
      </c>
      <c r="S1046" s="340">
        <v>13</v>
      </c>
    </row>
    <row r="1047" spans="1:19" ht="29.5" thickBot="1" x14ac:dyDescent="0.4">
      <c r="A1047" s="357">
        <v>1036</v>
      </c>
      <c r="B1047" s="387" t="s">
        <v>10511</v>
      </c>
      <c r="C1047" s="387" t="s">
        <v>10512</v>
      </c>
      <c r="D1047" s="388" t="s">
        <v>112</v>
      </c>
      <c r="E1047" s="388" t="s">
        <v>10082</v>
      </c>
      <c r="F1047" s="388" t="s">
        <v>10078</v>
      </c>
      <c r="G1047" s="388" t="s">
        <v>10078</v>
      </c>
      <c r="H1047" s="388" t="s">
        <v>11284</v>
      </c>
      <c r="I1047" s="387" t="s">
        <v>11860</v>
      </c>
      <c r="J1047" s="389">
        <v>40826</v>
      </c>
      <c r="K1047" s="387" t="s">
        <v>11853</v>
      </c>
      <c r="L1047" s="387"/>
      <c r="M1047" s="387" t="s">
        <v>10084</v>
      </c>
      <c r="N1047" s="387"/>
      <c r="O1047" s="387" t="s">
        <v>57</v>
      </c>
      <c r="P1047" s="390">
        <v>5325000</v>
      </c>
      <c r="Q1047" s="387" t="s">
        <v>11858</v>
      </c>
      <c r="R1047" s="358" t="s">
        <v>11749</v>
      </c>
      <c r="S1047" s="340">
        <v>13</v>
      </c>
    </row>
    <row r="1048" spans="1:19" ht="29" x14ac:dyDescent="0.35">
      <c r="A1048" s="349">
        <v>1037</v>
      </c>
      <c r="B1048" s="387" t="s">
        <v>10511</v>
      </c>
      <c r="C1048" s="387" t="s">
        <v>10512</v>
      </c>
      <c r="D1048" s="388" t="s">
        <v>116</v>
      </c>
      <c r="E1048" s="388" t="s">
        <v>10082</v>
      </c>
      <c r="F1048" s="388" t="s">
        <v>10078</v>
      </c>
      <c r="G1048" s="388" t="s">
        <v>10078</v>
      </c>
      <c r="H1048" s="388" t="s">
        <v>11284</v>
      </c>
      <c r="I1048" s="387" t="s">
        <v>11861</v>
      </c>
      <c r="J1048" s="389">
        <v>40826</v>
      </c>
      <c r="K1048" s="387" t="s">
        <v>11853</v>
      </c>
      <c r="L1048" s="387"/>
      <c r="M1048" s="387" t="s">
        <v>10084</v>
      </c>
      <c r="N1048" s="387"/>
      <c r="O1048" s="387" t="s">
        <v>57</v>
      </c>
      <c r="P1048" s="390">
        <v>5325000</v>
      </c>
      <c r="Q1048" s="387" t="s">
        <v>11854</v>
      </c>
      <c r="R1048" s="358" t="s">
        <v>11749</v>
      </c>
      <c r="S1048" s="340">
        <v>13</v>
      </c>
    </row>
    <row r="1049" spans="1:19" ht="29.5" thickBot="1" x14ac:dyDescent="0.4">
      <c r="A1049" s="357">
        <v>1038</v>
      </c>
      <c r="B1049" s="387" t="s">
        <v>10511</v>
      </c>
      <c r="C1049" s="387" t="s">
        <v>10512</v>
      </c>
      <c r="D1049" s="388" t="s">
        <v>841</v>
      </c>
      <c r="E1049" s="388" t="s">
        <v>10082</v>
      </c>
      <c r="F1049" s="388" t="s">
        <v>10078</v>
      </c>
      <c r="G1049" s="388" t="s">
        <v>10078</v>
      </c>
      <c r="H1049" s="388" t="s">
        <v>11284</v>
      </c>
      <c r="I1049" s="387" t="s">
        <v>11862</v>
      </c>
      <c r="J1049" s="389">
        <v>40826</v>
      </c>
      <c r="K1049" s="387" t="s">
        <v>11853</v>
      </c>
      <c r="L1049" s="387"/>
      <c r="M1049" s="387" t="s">
        <v>10084</v>
      </c>
      <c r="N1049" s="387"/>
      <c r="O1049" s="387" t="s">
        <v>57</v>
      </c>
      <c r="P1049" s="390">
        <v>5325000</v>
      </c>
      <c r="Q1049" s="387" t="s">
        <v>11854</v>
      </c>
      <c r="R1049" s="358" t="s">
        <v>11749</v>
      </c>
      <c r="S1049" s="340">
        <v>13</v>
      </c>
    </row>
    <row r="1050" spans="1:19" ht="29" x14ac:dyDescent="0.35">
      <c r="A1050" s="349">
        <v>1039</v>
      </c>
      <c r="B1050" s="387" t="s">
        <v>10511</v>
      </c>
      <c r="C1050" s="387" t="s">
        <v>10512</v>
      </c>
      <c r="D1050" s="388" t="s">
        <v>904</v>
      </c>
      <c r="E1050" s="388" t="s">
        <v>10082</v>
      </c>
      <c r="F1050" s="388" t="s">
        <v>10078</v>
      </c>
      <c r="G1050" s="388" t="s">
        <v>10078</v>
      </c>
      <c r="H1050" s="388" t="s">
        <v>11284</v>
      </c>
      <c r="I1050" s="387" t="s">
        <v>11863</v>
      </c>
      <c r="J1050" s="389">
        <v>40826</v>
      </c>
      <c r="K1050" s="387" t="s">
        <v>11853</v>
      </c>
      <c r="L1050" s="387"/>
      <c r="M1050" s="387" t="s">
        <v>10084</v>
      </c>
      <c r="N1050" s="387"/>
      <c r="O1050" s="387" t="s">
        <v>57</v>
      </c>
      <c r="P1050" s="390">
        <v>5325000</v>
      </c>
      <c r="Q1050" s="387" t="s">
        <v>11854</v>
      </c>
      <c r="R1050" s="358" t="s">
        <v>11749</v>
      </c>
      <c r="S1050" s="340">
        <v>13</v>
      </c>
    </row>
    <row r="1051" spans="1:19" ht="29.5" thickBot="1" x14ac:dyDescent="0.4">
      <c r="A1051" s="357">
        <v>1040</v>
      </c>
      <c r="B1051" s="387" t="s">
        <v>10511</v>
      </c>
      <c r="C1051" s="387" t="s">
        <v>10512</v>
      </c>
      <c r="D1051" s="388" t="s">
        <v>122</v>
      </c>
      <c r="E1051" s="388" t="s">
        <v>10082</v>
      </c>
      <c r="F1051" s="388" t="s">
        <v>10078</v>
      </c>
      <c r="G1051" s="388" t="s">
        <v>10078</v>
      </c>
      <c r="H1051" s="388" t="s">
        <v>11284</v>
      </c>
      <c r="I1051" s="387" t="s">
        <v>11864</v>
      </c>
      <c r="J1051" s="389">
        <v>40826</v>
      </c>
      <c r="K1051" s="387" t="s">
        <v>11853</v>
      </c>
      <c r="L1051" s="387"/>
      <c r="M1051" s="387" t="s">
        <v>10084</v>
      </c>
      <c r="N1051" s="387"/>
      <c r="O1051" s="387" t="s">
        <v>57</v>
      </c>
      <c r="P1051" s="390">
        <v>5325000</v>
      </c>
      <c r="Q1051" s="387" t="s">
        <v>11854</v>
      </c>
      <c r="R1051" s="358" t="s">
        <v>11749</v>
      </c>
      <c r="S1051" s="340">
        <v>13</v>
      </c>
    </row>
    <row r="1052" spans="1:19" ht="29" x14ac:dyDescent="0.35">
      <c r="A1052" s="349">
        <v>1041</v>
      </c>
      <c r="B1052" s="387" t="s">
        <v>10511</v>
      </c>
      <c r="C1052" s="387" t="s">
        <v>10512</v>
      </c>
      <c r="D1052" s="388" t="s">
        <v>126</v>
      </c>
      <c r="E1052" s="388" t="s">
        <v>10082</v>
      </c>
      <c r="F1052" s="388" t="s">
        <v>10078</v>
      </c>
      <c r="G1052" s="388" t="s">
        <v>10078</v>
      </c>
      <c r="H1052" s="388" t="s">
        <v>11731</v>
      </c>
      <c r="I1052" s="387" t="s">
        <v>11865</v>
      </c>
      <c r="J1052" s="389">
        <v>40826</v>
      </c>
      <c r="K1052" s="387" t="s">
        <v>11866</v>
      </c>
      <c r="L1052" s="387"/>
      <c r="M1052" s="387" t="s">
        <v>10084</v>
      </c>
      <c r="N1052" s="387"/>
      <c r="O1052" s="387" t="s">
        <v>57</v>
      </c>
      <c r="P1052" s="390">
        <v>7212500</v>
      </c>
      <c r="Q1052" s="387" t="s">
        <v>11854</v>
      </c>
      <c r="R1052" s="358" t="s">
        <v>11749</v>
      </c>
      <c r="S1052" s="340">
        <v>13</v>
      </c>
    </row>
    <row r="1053" spans="1:19" ht="29.5" thickBot="1" x14ac:dyDescent="0.4">
      <c r="A1053" s="357">
        <v>1042</v>
      </c>
      <c r="B1053" s="387" t="s">
        <v>10511</v>
      </c>
      <c r="C1053" s="387" t="s">
        <v>10512</v>
      </c>
      <c r="D1053" s="388" t="s">
        <v>132</v>
      </c>
      <c r="E1053" s="388" t="s">
        <v>10082</v>
      </c>
      <c r="F1053" s="388" t="s">
        <v>10078</v>
      </c>
      <c r="G1053" s="388" t="s">
        <v>10078</v>
      </c>
      <c r="H1053" s="388" t="s">
        <v>11731</v>
      </c>
      <c r="I1053" s="387" t="s">
        <v>11867</v>
      </c>
      <c r="J1053" s="389">
        <v>40826</v>
      </c>
      <c r="K1053" s="387" t="s">
        <v>11866</v>
      </c>
      <c r="L1053" s="387"/>
      <c r="M1053" s="387" t="s">
        <v>10084</v>
      </c>
      <c r="N1053" s="387"/>
      <c r="O1053" s="387" t="s">
        <v>57</v>
      </c>
      <c r="P1053" s="390">
        <v>7212500</v>
      </c>
      <c r="Q1053" s="387" t="s">
        <v>11854</v>
      </c>
      <c r="R1053" s="358" t="s">
        <v>11749</v>
      </c>
      <c r="S1053" s="340">
        <v>13</v>
      </c>
    </row>
    <row r="1054" spans="1:19" ht="29" x14ac:dyDescent="0.35">
      <c r="A1054" s="349">
        <v>1043</v>
      </c>
      <c r="B1054" s="387" t="s">
        <v>10511</v>
      </c>
      <c r="C1054" s="387" t="s">
        <v>10512</v>
      </c>
      <c r="D1054" s="388" t="s">
        <v>137</v>
      </c>
      <c r="E1054" s="388" t="s">
        <v>10082</v>
      </c>
      <c r="F1054" s="388" t="s">
        <v>10078</v>
      </c>
      <c r="G1054" s="388" t="s">
        <v>10078</v>
      </c>
      <c r="H1054" s="388" t="s">
        <v>11731</v>
      </c>
      <c r="I1054" s="387" t="s">
        <v>11868</v>
      </c>
      <c r="J1054" s="389">
        <v>40826</v>
      </c>
      <c r="K1054" s="387" t="s">
        <v>11866</v>
      </c>
      <c r="L1054" s="387"/>
      <c r="M1054" s="387" t="s">
        <v>10084</v>
      </c>
      <c r="N1054" s="387"/>
      <c r="O1054" s="387" t="s">
        <v>57</v>
      </c>
      <c r="P1054" s="390">
        <v>7212500</v>
      </c>
      <c r="Q1054" s="387" t="s">
        <v>11854</v>
      </c>
      <c r="R1054" s="358" t="s">
        <v>11749</v>
      </c>
      <c r="S1054" s="340">
        <v>13</v>
      </c>
    </row>
    <row r="1055" spans="1:19" ht="44" thickBot="1" x14ac:dyDescent="0.4">
      <c r="A1055" s="357">
        <v>1044</v>
      </c>
      <c r="B1055" s="387" t="s">
        <v>10511</v>
      </c>
      <c r="C1055" s="387" t="s">
        <v>10512</v>
      </c>
      <c r="D1055" s="388" t="s">
        <v>146</v>
      </c>
      <c r="E1055" s="388" t="s">
        <v>10082</v>
      </c>
      <c r="F1055" s="388" t="s">
        <v>10078</v>
      </c>
      <c r="G1055" s="388" t="s">
        <v>10078</v>
      </c>
      <c r="H1055" s="388" t="s">
        <v>11731</v>
      </c>
      <c r="I1055" s="387" t="s">
        <v>11869</v>
      </c>
      <c r="J1055" s="389">
        <v>40826</v>
      </c>
      <c r="K1055" s="387" t="s">
        <v>11866</v>
      </c>
      <c r="L1055" s="387"/>
      <c r="M1055" s="387" t="s">
        <v>10084</v>
      </c>
      <c r="N1055" s="387"/>
      <c r="O1055" s="387" t="s">
        <v>57</v>
      </c>
      <c r="P1055" s="390">
        <v>7212500</v>
      </c>
      <c r="Q1055" s="387" t="s">
        <v>11854</v>
      </c>
      <c r="R1055" s="358" t="s">
        <v>11749</v>
      </c>
      <c r="S1055" s="340">
        <v>13</v>
      </c>
    </row>
    <row r="1056" spans="1:19" ht="29" x14ac:dyDescent="0.35">
      <c r="A1056" s="349">
        <v>1045</v>
      </c>
      <c r="B1056" s="387" t="s">
        <v>10511</v>
      </c>
      <c r="C1056" s="387" t="s">
        <v>10512</v>
      </c>
      <c r="D1056" s="388" t="s">
        <v>154</v>
      </c>
      <c r="E1056" s="388" t="s">
        <v>10082</v>
      </c>
      <c r="F1056" s="388" t="s">
        <v>10078</v>
      </c>
      <c r="G1056" s="388" t="s">
        <v>10078</v>
      </c>
      <c r="H1056" s="388" t="s">
        <v>11870</v>
      </c>
      <c r="I1056" s="387" t="s">
        <v>11871</v>
      </c>
      <c r="J1056" s="389">
        <v>41232</v>
      </c>
      <c r="K1056" s="387" t="s">
        <v>11872</v>
      </c>
      <c r="L1056" s="387"/>
      <c r="M1056" s="387" t="s">
        <v>10084</v>
      </c>
      <c r="N1056" s="387"/>
      <c r="O1056" s="387" t="s">
        <v>57</v>
      </c>
      <c r="P1056" s="390">
        <v>5000000</v>
      </c>
      <c r="Q1056" s="387" t="s">
        <v>11873</v>
      </c>
      <c r="R1056" s="358" t="s">
        <v>11749</v>
      </c>
      <c r="S1056" s="340">
        <v>13</v>
      </c>
    </row>
    <row r="1057" spans="1:19" ht="29.5" thickBot="1" x14ac:dyDescent="0.4">
      <c r="A1057" s="357">
        <v>1046</v>
      </c>
      <c r="B1057" s="387" t="s">
        <v>10511</v>
      </c>
      <c r="C1057" s="387" t="s">
        <v>10512</v>
      </c>
      <c r="D1057" s="388" t="s">
        <v>161</v>
      </c>
      <c r="E1057" s="388" t="s">
        <v>10082</v>
      </c>
      <c r="F1057" s="388"/>
      <c r="G1057" s="388"/>
      <c r="H1057" s="388" t="s">
        <v>2972</v>
      </c>
      <c r="I1057" s="387" t="s">
        <v>63</v>
      </c>
      <c r="J1057" s="389"/>
      <c r="K1057" s="387" t="s">
        <v>11874</v>
      </c>
      <c r="L1057" s="387"/>
      <c r="M1057" s="387"/>
      <c r="N1057" s="387"/>
      <c r="O1057" s="387" t="s">
        <v>44</v>
      </c>
      <c r="P1057" s="390">
        <v>19180000</v>
      </c>
      <c r="Q1057" s="387" t="s">
        <v>11875</v>
      </c>
      <c r="R1057" s="358" t="s">
        <v>11749</v>
      </c>
      <c r="S1057" s="340">
        <v>13</v>
      </c>
    </row>
    <row r="1058" spans="1:19" ht="43.5" x14ac:dyDescent="0.35">
      <c r="A1058" s="349">
        <v>1047</v>
      </c>
      <c r="B1058" s="387" t="s">
        <v>10096</v>
      </c>
      <c r="C1058" s="387" t="s">
        <v>10097</v>
      </c>
      <c r="D1058" s="388" t="s">
        <v>51</v>
      </c>
      <c r="E1058" s="388" t="s">
        <v>10082</v>
      </c>
      <c r="F1058" s="388" t="s">
        <v>10078</v>
      </c>
      <c r="G1058" s="388" t="s">
        <v>10088</v>
      </c>
      <c r="H1058" s="388" t="s">
        <v>11876</v>
      </c>
      <c r="I1058" s="387" t="s">
        <v>11877</v>
      </c>
      <c r="J1058" s="389">
        <v>40816</v>
      </c>
      <c r="K1058" s="387" t="s">
        <v>11878</v>
      </c>
      <c r="L1058" s="387"/>
      <c r="M1058" s="387" t="s">
        <v>10084</v>
      </c>
      <c r="N1058" s="387"/>
      <c r="O1058" s="387" t="s">
        <v>57</v>
      </c>
      <c r="P1058" s="390">
        <v>297600000</v>
      </c>
      <c r="Q1058" s="387" t="s">
        <v>11748</v>
      </c>
      <c r="R1058" s="358" t="s">
        <v>11749</v>
      </c>
      <c r="S1058" s="340">
        <v>13</v>
      </c>
    </row>
    <row r="1059" spans="1:19" ht="58.5" thickBot="1" x14ac:dyDescent="0.4">
      <c r="A1059" s="357">
        <v>1048</v>
      </c>
      <c r="B1059" s="387" t="s">
        <v>10155</v>
      </c>
      <c r="C1059" s="387" t="s">
        <v>10156</v>
      </c>
      <c r="D1059" s="388" t="s">
        <v>51</v>
      </c>
      <c r="E1059" s="388" t="s">
        <v>10082</v>
      </c>
      <c r="F1059" s="388" t="s">
        <v>10078</v>
      </c>
      <c r="G1059" s="388" t="s">
        <v>10078</v>
      </c>
      <c r="H1059" s="388" t="s">
        <v>11415</v>
      </c>
      <c r="I1059" s="387" t="s">
        <v>11879</v>
      </c>
      <c r="J1059" s="389">
        <v>40718</v>
      </c>
      <c r="K1059" s="387" t="s">
        <v>11880</v>
      </c>
      <c r="L1059" s="387"/>
      <c r="M1059" s="387" t="s">
        <v>10084</v>
      </c>
      <c r="N1059" s="387"/>
      <c r="O1059" s="387" t="s">
        <v>57</v>
      </c>
      <c r="P1059" s="390">
        <v>470850100</v>
      </c>
      <c r="Q1059" s="387" t="s">
        <v>11881</v>
      </c>
      <c r="R1059" s="358" t="s">
        <v>309</v>
      </c>
      <c r="S1059" s="340">
        <v>14</v>
      </c>
    </row>
    <row r="1060" spans="1:19" ht="43.5" x14ac:dyDescent="0.35">
      <c r="A1060" s="349">
        <v>1049</v>
      </c>
      <c r="B1060" s="387" t="s">
        <v>10155</v>
      </c>
      <c r="C1060" s="387" t="s">
        <v>10156</v>
      </c>
      <c r="D1060" s="388" t="s">
        <v>97</v>
      </c>
      <c r="E1060" s="388" t="s">
        <v>10082</v>
      </c>
      <c r="F1060" s="388" t="s">
        <v>10078</v>
      </c>
      <c r="G1060" s="388" t="s">
        <v>10078</v>
      </c>
      <c r="H1060" s="388" t="s">
        <v>11882</v>
      </c>
      <c r="I1060" s="387" t="s">
        <v>11883</v>
      </c>
      <c r="J1060" s="389">
        <v>42479</v>
      </c>
      <c r="K1060" s="387" t="s">
        <v>11884</v>
      </c>
      <c r="L1060" s="387"/>
      <c r="M1060" s="387" t="s">
        <v>10084</v>
      </c>
      <c r="N1060" s="387"/>
      <c r="O1060" s="387" t="s">
        <v>57</v>
      </c>
      <c r="P1060" s="390">
        <v>1143918000</v>
      </c>
      <c r="Q1060" s="387" t="s">
        <v>11885</v>
      </c>
      <c r="R1060" s="358" t="s">
        <v>309</v>
      </c>
      <c r="S1060" s="340">
        <v>14</v>
      </c>
    </row>
    <row r="1061" spans="1:19" ht="29.5" thickBot="1" x14ac:dyDescent="0.4">
      <c r="A1061" s="357">
        <v>1050</v>
      </c>
      <c r="B1061" s="387" t="s">
        <v>10155</v>
      </c>
      <c r="C1061" s="387" t="s">
        <v>10156</v>
      </c>
      <c r="D1061" s="388" t="s">
        <v>101</v>
      </c>
      <c r="E1061" s="388" t="s">
        <v>10082</v>
      </c>
      <c r="F1061" s="388" t="s">
        <v>10078</v>
      </c>
      <c r="G1061" s="388" t="s">
        <v>10078</v>
      </c>
      <c r="H1061" s="388" t="s">
        <v>11886</v>
      </c>
      <c r="I1061" s="387" t="s">
        <v>11879</v>
      </c>
      <c r="J1061" s="389">
        <v>39447</v>
      </c>
      <c r="K1061" s="387" t="s">
        <v>63</v>
      </c>
      <c r="L1061" s="387"/>
      <c r="M1061" s="387" t="s">
        <v>10084</v>
      </c>
      <c r="N1061" s="387"/>
      <c r="O1061" s="387" t="s">
        <v>57</v>
      </c>
      <c r="P1061" s="390">
        <v>2932430810</v>
      </c>
      <c r="Q1061" s="387" t="s">
        <v>11887</v>
      </c>
      <c r="R1061" s="358" t="s">
        <v>309</v>
      </c>
      <c r="S1061" s="340">
        <v>14</v>
      </c>
    </row>
    <row r="1062" spans="1:19" ht="29" x14ac:dyDescent="0.35">
      <c r="A1062" s="349">
        <v>1051</v>
      </c>
      <c r="B1062" s="387" t="s">
        <v>10155</v>
      </c>
      <c r="C1062" s="387" t="s">
        <v>10156</v>
      </c>
      <c r="D1062" s="388" t="s">
        <v>107</v>
      </c>
      <c r="E1062" s="388" t="s">
        <v>10082</v>
      </c>
      <c r="F1062" s="388" t="s">
        <v>10078</v>
      </c>
      <c r="G1062" s="388" t="s">
        <v>10088</v>
      </c>
      <c r="H1062" s="388" t="s">
        <v>11888</v>
      </c>
      <c r="I1062" s="387" t="s">
        <v>11889</v>
      </c>
      <c r="J1062" s="389">
        <v>44120</v>
      </c>
      <c r="K1062" s="387" t="s">
        <v>11890</v>
      </c>
      <c r="L1062" s="387"/>
      <c r="M1062" s="387"/>
      <c r="N1062" s="387"/>
      <c r="O1062" s="387" t="s">
        <v>44</v>
      </c>
      <c r="P1062" s="390">
        <v>506950860</v>
      </c>
      <c r="Q1062" s="387" t="s">
        <v>11891</v>
      </c>
      <c r="R1062" s="358" t="s">
        <v>309</v>
      </c>
      <c r="S1062" s="340">
        <v>14</v>
      </c>
    </row>
    <row r="1063" spans="1:19" ht="29.5" thickBot="1" x14ac:dyDescent="0.4">
      <c r="A1063" s="357">
        <v>1052</v>
      </c>
      <c r="B1063" s="387" t="s">
        <v>10535</v>
      </c>
      <c r="C1063" s="387" t="s">
        <v>10536</v>
      </c>
      <c r="D1063" s="388" t="s">
        <v>51</v>
      </c>
      <c r="E1063" s="388" t="s">
        <v>10082</v>
      </c>
      <c r="F1063" s="388" t="s">
        <v>10078</v>
      </c>
      <c r="G1063" s="388" t="s">
        <v>10078</v>
      </c>
      <c r="H1063" s="388" t="s">
        <v>11892</v>
      </c>
      <c r="I1063" s="387" t="s">
        <v>11879</v>
      </c>
      <c r="J1063" s="389">
        <v>39818</v>
      </c>
      <c r="K1063" s="387" t="s">
        <v>11893</v>
      </c>
      <c r="L1063" s="387"/>
      <c r="M1063" s="387" t="s">
        <v>10084</v>
      </c>
      <c r="N1063" s="387"/>
      <c r="O1063" s="387" t="s">
        <v>57</v>
      </c>
      <c r="P1063" s="390">
        <v>24000000</v>
      </c>
      <c r="Q1063" s="387" t="s">
        <v>11894</v>
      </c>
      <c r="R1063" s="358" t="s">
        <v>309</v>
      </c>
      <c r="S1063" s="340">
        <v>14</v>
      </c>
    </row>
    <row r="1064" spans="1:19" ht="29" x14ac:dyDescent="0.35">
      <c r="A1064" s="349">
        <v>1053</v>
      </c>
      <c r="B1064" s="387" t="s">
        <v>10475</v>
      </c>
      <c r="C1064" s="387" t="s">
        <v>10476</v>
      </c>
      <c r="D1064" s="388" t="s">
        <v>101</v>
      </c>
      <c r="E1064" s="388" t="s">
        <v>10082</v>
      </c>
      <c r="F1064" s="388" t="s">
        <v>10078</v>
      </c>
      <c r="G1064" s="388" t="s">
        <v>10088</v>
      </c>
      <c r="H1064" s="388"/>
      <c r="I1064" s="387" t="s">
        <v>11895</v>
      </c>
      <c r="J1064" s="389">
        <v>44475</v>
      </c>
      <c r="K1064" s="387" t="s">
        <v>11896</v>
      </c>
      <c r="L1064" s="387"/>
      <c r="M1064" s="387"/>
      <c r="N1064" s="387"/>
      <c r="O1064" s="387" t="s">
        <v>44</v>
      </c>
      <c r="P1064" s="390">
        <v>680750450</v>
      </c>
      <c r="Q1064" s="387" t="s">
        <v>11897</v>
      </c>
      <c r="R1064" s="358" t="s">
        <v>309</v>
      </c>
      <c r="S1064" s="340">
        <v>14</v>
      </c>
    </row>
    <row r="1065" spans="1:19" ht="29.5" thickBot="1" x14ac:dyDescent="0.4">
      <c r="A1065" s="357">
        <v>1054</v>
      </c>
      <c r="B1065" s="387" t="s">
        <v>11632</v>
      </c>
      <c r="C1065" s="387" t="s">
        <v>11633</v>
      </c>
      <c r="D1065" s="388" t="s">
        <v>51</v>
      </c>
      <c r="E1065" s="388" t="s">
        <v>10082</v>
      </c>
      <c r="F1065" s="388" t="s">
        <v>10078</v>
      </c>
      <c r="G1065" s="388" t="s">
        <v>10078</v>
      </c>
      <c r="H1065" s="388" t="s">
        <v>11898</v>
      </c>
      <c r="I1065" s="387" t="s">
        <v>11899</v>
      </c>
      <c r="J1065" s="389">
        <v>42418</v>
      </c>
      <c r="K1065" s="387" t="s">
        <v>11900</v>
      </c>
      <c r="L1065" s="387"/>
      <c r="M1065" s="387" t="s">
        <v>10084</v>
      </c>
      <c r="N1065" s="387"/>
      <c r="O1065" s="387" t="s">
        <v>57</v>
      </c>
      <c r="P1065" s="390">
        <v>221000000</v>
      </c>
      <c r="Q1065" s="387" t="s">
        <v>11901</v>
      </c>
      <c r="R1065" s="358" t="s">
        <v>309</v>
      </c>
      <c r="S1065" s="340">
        <v>14</v>
      </c>
    </row>
    <row r="1066" spans="1:19" ht="43.5" x14ac:dyDescent="0.35">
      <c r="A1066" s="349">
        <v>1055</v>
      </c>
      <c r="B1066" s="387" t="s">
        <v>10486</v>
      </c>
      <c r="C1066" s="387" t="s">
        <v>10487</v>
      </c>
      <c r="D1066" s="388" t="s">
        <v>51</v>
      </c>
      <c r="E1066" s="388" t="s">
        <v>10082</v>
      </c>
      <c r="F1066" s="388" t="s">
        <v>10078</v>
      </c>
      <c r="G1066" s="388" t="s">
        <v>10078</v>
      </c>
      <c r="H1066" s="388" t="s">
        <v>11686</v>
      </c>
      <c r="I1066" s="387" t="s">
        <v>11902</v>
      </c>
      <c r="J1066" s="389">
        <v>43038</v>
      </c>
      <c r="K1066" s="387" t="s">
        <v>11903</v>
      </c>
      <c r="L1066" s="387"/>
      <c r="M1066" s="387" t="s">
        <v>10084</v>
      </c>
      <c r="N1066" s="387"/>
      <c r="O1066" s="387" t="s">
        <v>57</v>
      </c>
      <c r="P1066" s="390">
        <v>218820000</v>
      </c>
      <c r="Q1066" s="387" t="s">
        <v>11904</v>
      </c>
      <c r="R1066" s="358" t="s">
        <v>309</v>
      </c>
      <c r="S1066" s="340">
        <v>14</v>
      </c>
    </row>
    <row r="1067" spans="1:19" ht="29.5" thickBot="1" x14ac:dyDescent="0.4">
      <c r="A1067" s="357">
        <v>1056</v>
      </c>
      <c r="B1067" s="387" t="s">
        <v>10486</v>
      </c>
      <c r="C1067" s="387" t="s">
        <v>10487</v>
      </c>
      <c r="D1067" s="388" t="s">
        <v>59</v>
      </c>
      <c r="E1067" s="388" t="s">
        <v>10082</v>
      </c>
      <c r="F1067" s="388" t="s">
        <v>10078</v>
      </c>
      <c r="G1067" s="388" t="s">
        <v>10078</v>
      </c>
      <c r="H1067" s="388"/>
      <c r="I1067" s="387" t="s">
        <v>11905</v>
      </c>
      <c r="J1067" s="389"/>
      <c r="K1067" s="387" t="s">
        <v>11906</v>
      </c>
      <c r="L1067" s="387"/>
      <c r="M1067" s="387"/>
      <c r="N1067" s="387"/>
      <c r="O1067" s="387" t="s">
        <v>44</v>
      </c>
      <c r="P1067" s="390">
        <v>221562750</v>
      </c>
      <c r="Q1067" s="387" t="s">
        <v>11907</v>
      </c>
      <c r="R1067" s="358" t="s">
        <v>309</v>
      </c>
      <c r="S1067" s="340">
        <v>14</v>
      </c>
    </row>
    <row r="1068" spans="1:19" ht="29" x14ac:dyDescent="0.35">
      <c r="A1068" s="349">
        <v>1057</v>
      </c>
      <c r="B1068" s="387" t="s">
        <v>10687</v>
      </c>
      <c r="C1068" s="387" t="s">
        <v>10688</v>
      </c>
      <c r="D1068" s="388" t="s">
        <v>51</v>
      </c>
      <c r="E1068" s="388" t="s">
        <v>10082</v>
      </c>
      <c r="F1068" s="388" t="s">
        <v>10078</v>
      </c>
      <c r="G1068" s="388" t="s">
        <v>10078</v>
      </c>
      <c r="H1068" s="388" t="s">
        <v>11421</v>
      </c>
      <c r="I1068" s="387" t="s">
        <v>11879</v>
      </c>
      <c r="J1068" s="389">
        <v>39447</v>
      </c>
      <c r="K1068" s="387" t="s">
        <v>63</v>
      </c>
      <c r="L1068" s="387"/>
      <c r="M1068" s="387" t="s">
        <v>10084</v>
      </c>
      <c r="N1068" s="387"/>
      <c r="O1068" s="387" t="s">
        <v>57</v>
      </c>
      <c r="P1068" s="390">
        <v>40250000</v>
      </c>
      <c r="Q1068" s="387" t="s">
        <v>11908</v>
      </c>
      <c r="R1068" s="358" t="s">
        <v>309</v>
      </c>
      <c r="S1068" s="340">
        <v>14</v>
      </c>
    </row>
    <row r="1069" spans="1:19" ht="29.5" thickBot="1" x14ac:dyDescent="0.4">
      <c r="A1069" s="357">
        <v>1058</v>
      </c>
      <c r="B1069" s="387" t="s">
        <v>10687</v>
      </c>
      <c r="C1069" s="387" t="s">
        <v>10688</v>
      </c>
      <c r="D1069" s="388" t="s">
        <v>59</v>
      </c>
      <c r="E1069" s="388" t="s">
        <v>10082</v>
      </c>
      <c r="F1069" s="388" t="s">
        <v>10078</v>
      </c>
      <c r="G1069" s="388" t="s">
        <v>10078</v>
      </c>
      <c r="H1069" s="388" t="s">
        <v>11421</v>
      </c>
      <c r="I1069" s="387" t="s">
        <v>11879</v>
      </c>
      <c r="J1069" s="389">
        <v>39447</v>
      </c>
      <c r="K1069" s="387" t="s">
        <v>63</v>
      </c>
      <c r="L1069" s="387"/>
      <c r="M1069" s="387" t="s">
        <v>10084</v>
      </c>
      <c r="N1069" s="387"/>
      <c r="O1069" s="387" t="s">
        <v>57</v>
      </c>
      <c r="P1069" s="390">
        <v>40250000</v>
      </c>
      <c r="Q1069" s="387" t="s">
        <v>11908</v>
      </c>
      <c r="R1069" s="358" t="s">
        <v>309</v>
      </c>
      <c r="S1069" s="340">
        <v>14</v>
      </c>
    </row>
    <row r="1070" spans="1:19" ht="43.5" x14ac:dyDescent="0.35">
      <c r="A1070" s="349">
        <v>1059</v>
      </c>
      <c r="B1070" s="387" t="s">
        <v>11322</v>
      </c>
      <c r="C1070" s="387" t="s">
        <v>11323</v>
      </c>
      <c r="D1070" s="388" t="s">
        <v>51</v>
      </c>
      <c r="E1070" s="388" t="s">
        <v>10082</v>
      </c>
      <c r="F1070" s="388" t="s">
        <v>10078</v>
      </c>
      <c r="G1070" s="388" t="s">
        <v>10078</v>
      </c>
      <c r="H1070" s="388" t="s">
        <v>8954</v>
      </c>
      <c r="I1070" s="387" t="s">
        <v>11909</v>
      </c>
      <c r="J1070" s="389">
        <v>39361</v>
      </c>
      <c r="K1070" s="387" t="s">
        <v>11910</v>
      </c>
      <c r="L1070" s="387"/>
      <c r="M1070" s="387" t="s">
        <v>10084</v>
      </c>
      <c r="N1070" s="387"/>
      <c r="O1070" s="387" t="s">
        <v>57</v>
      </c>
      <c r="P1070" s="390">
        <v>69900000</v>
      </c>
      <c r="Q1070" s="387" t="s">
        <v>11911</v>
      </c>
      <c r="R1070" s="358" t="s">
        <v>309</v>
      </c>
      <c r="S1070" s="340">
        <v>14</v>
      </c>
    </row>
    <row r="1071" spans="1:19" ht="29.5" thickBot="1" x14ac:dyDescent="0.4">
      <c r="A1071" s="357">
        <v>1060</v>
      </c>
      <c r="B1071" s="387" t="s">
        <v>11322</v>
      </c>
      <c r="C1071" s="387" t="s">
        <v>11323</v>
      </c>
      <c r="D1071" s="388" t="s">
        <v>59</v>
      </c>
      <c r="E1071" s="388" t="s">
        <v>10082</v>
      </c>
      <c r="F1071" s="388" t="s">
        <v>10078</v>
      </c>
      <c r="G1071" s="388" t="s">
        <v>10078</v>
      </c>
      <c r="H1071" s="388" t="s">
        <v>8954</v>
      </c>
      <c r="I1071" s="387" t="s">
        <v>11912</v>
      </c>
      <c r="J1071" s="389">
        <v>39361</v>
      </c>
      <c r="K1071" s="387" t="s">
        <v>11910</v>
      </c>
      <c r="L1071" s="387"/>
      <c r="M1071" s="387" t="s">
        <v>10084</v>
      </c>
      <c r="N1071" s="387"/>
      <c r="O1071" s="387" t="s">
        <v>57</v>
      </c>
      <c r="P1071" s="390">
        <v>74492000</v>
      </c>
      <c r="Q1071" s="387" t="s">
        <v>11913</v>
      </c>
      <c r="R1071" s="358" t="s">
        <v>309</v>
      </c>
      <c r="S1071" s="340">
        <v>14</v>
      </c>
    </row>
    <row r="1072" spans="1:19" ht="58" x14ac:dyDescent="0.35">
      <c r="A1072" s="349">
        <v>1061</v>
      </c>
      <c r="B1072" s="387" t="s">
        <v>11914</v>
      </c>
      <c r="C1072" s="387" t="s">
        <v>11915</v>
      </c>
      <c r="D1072" s="388" t="s">
        <v>51</v>
      </c>
      <c r="E1072" s="388" t="s">
        <v>10082</v>
      </c>
      <c r="F1072" s="388" t="s">
        <v>10078</v>
      </c>
      <c r="G1072" s="388" t="s">
        <v>10078</v>
      </c>
      <c r="H1072" s="388" t="s">
        <v>2739</v>
      </c>
      <c r="I1072" s="387" t="s">
        <v>11916</v>
      </c>
      <c r="J1072" s="389">
        <v>44475</v>
      </c>
      <c r="K1072" s="387" t="s">
        <v>11917</v>
      </c>
      <c r="L1072" s="387"/>
      <c r="M1072" s="387" t="s">
        <v>10084</v>
      </c>
      <c r="N1072" s="387"/>
      <c r="O1072" s="387" t="s">
        <v>57</v>
      </c>
      <c r="P1072" s="390">
        <v>174973000</v>
      </c>
      <c r="Q1072" s="387" t="s">
        <v>11918</v>
      </c>
      <c r="R1072" s="358" t="s">
        <v>309</v>
      </c>
      <c r="S1072" s="340">
        <v>14</v>
      </c>
    </row>
    <row r="1073" spans="1:19" ht="29.5" thickBot="1" x14ac:dyDescent="0.4">
      <c r="A1073" s="357">
        <v>1062</v>
      </c>
      <c r="B1073" s="387" t="s">
        <v>10096</v>
      </c>
      <c r="C1073" s="387" t="s">
        <v>10097</v>
      </c>
      <c r="D1073" s="388" t="s">
        <v>51</v>
      </c>
      <c r="E1073" s="388" t="s">
        <v>10082</v>
      </c>
      <c r="F1073" s="388" t="s">
        <v>10078</v>
      </c>
      <c r="G1073" s="388" t="s">
        <v>10078</v>
      </c>
      <c r="H1073" s="388" t="s">
        <v>2972</v>
      </c>
      <c r="I1073" s="387" t="s">
        <v>11919</v>
      </c>
      <c r="J1073" s="389">
        <v>43770</v>
      </c>
      <c r="K1073" s="387" t="s">
        <v>11920</v>
      </c>
      <c r="L1073" s="387"/>
      <c r="M1073" s="387" t="s">
        <v>10084</v>
      </c>
      <c r="N1073" s="387"/>
      <c r="O1073" s="387" t="s">
        <v>57</v>
      </c>
      <c r="P1073" s="390">
        <v>7250000</v>
      </c>
      <c r="Q1073" s="387" t="s">
        <v>11921</v>
      </c>
      <c r="R1073" s="358" t="s">
        <v>309</v>
      </c>
      <c r="S1073" s="340">
        <v>14</v>
      </c>
    </row>
    <row r="1074" spans="1:19" ht="29" x14ac:dyDescent="0.35">
      <c r="A1074" s="349">
        <v>1063</v>
      </c>
      <c r="B1074" s="387" t="s">
        <v>10096</v>
      </c>
      <c r="C1074" s="387" t="s">
        <v>10097</v>
      </c>
      <c r="D1074" s="388" t="s">
        <v>59</v>
      </c>
      <c r="E1074" s="388" t="s">
        <v>10082</v>
      </c>
      <c r="F1074" s="388" t="s">
        <v>10078</v>
      </c>
      <c r="G1074" s="388" t="s">
        <v>10078</v>
      </c>
      <c r="H1074" s="388" t="s">
        <v>2972</v>
      </c>
      <c r="I1074" s="387" t="s">
        <v>11919</v>
      </c>
      <c r="J1074" s="389">
        <v>43770</v>
      </c>
      <c r="K1074" s="387" t="s">
        <v>11920</v>
      </c>
      <c r="L1074" s="387"/>
      <c r="M1074" s="387" t="s">
        <v>10084</v>
      </c>
      <c r="N1074" s="387"/>
      <c r="O1074" s="387" t="s">
        <v>57</v>
      </c>
      <c r="P1074" s="390">
        <v>7250000</v>
      </c>
      <c r="Q1074" s="387" t="s">
        <v>11921</v>
      </c>
      <c r="R1074" s="358" t="s">
        <v>309</v>
      </c>
      <c r="S1074" s="340">
        <v>14</v>
      </c>
    </row>
    <row r="1075" spans="1:19" ht="29.5" thickBot="1" x14ac:dyDescent="0.4">
      <c r="A1075" s="357">
        <v>1064</v>
      </c>
      <c r="B1075" s="387" t="s">
        <v>10096</v>
      </c>
      <c r="C1075" s="387" t="s">
        <v>10097</v>
      </c>
      <c r="D1075" s="388" t="s">
        <v>97</v>
      </c>
      <c r="E1075" s="388" t="s">
        <v>10082</v>
      </c>
      <c r="F1075" s="388" t="s">
        <v>10078</v>
      </c>
      <c r="G1075" s="388" t="s">
        <v>10088</v>
      </c>
      <c r="H1075" s="388"/>
      <c r="I1075" s="387" t="s">
        <v>11905</v>
      </c>
      <c r="J1075" s="389"/>
      <c r="K1075" s="387" t="s">
        <v>11922</v>
      </c>
      <c r="L1075" s="387"/>
      <c r="M1075" s="387"/>
      <c r="N1075" s="387"/>
      <c r="O1075" s="387" t="s">
        <v>44</v>
      </c>
      <c r="P1075" s="390">
        <v>152787460</v>
      </c>
      <c r="Q1075" s="387" t="s">
        <v>11923</v>
      </c>
      <c r="R1075" s="358" t="s">
        <v>309</v>
      </c>
      <c r="S1075" s="340">
        <v>14</v>
      </c>
    </row>
    <row r="1076" spans="1:19" ht="29" x14ac:dyDescent="0.35">
      <c r="A1076" s="349">
        <v>1065</v>
      </c>
      <c r="B1076" s="387" t="s">
        <v>10155</v>
      </c>
      <c r="C1076" s="387" t="s">
        <v>10156</v>
      </c>
      <c r="D1076" s="388" t="s">
        <v>51</v>
      </c>
      <c r="E1076" s="388" t="s">
        <v>10082</v>
      </c>
      <c r="F1076" s="388" t="s">
        <v>10078</v>
      </c>
      <c r="G1076" s="388" t="s">
        <v>10088</v>
      </c>
      <c r="H1076" s="388" t="s">
        <v>11924</v>
      </c>
      <c r="I1076" s="387" t="s">
        <v>11925</v>
      </c>
      <c r="J1076" s="389">
        <v>42465</v>
      </c>
      <c r="K1076" s="387" t="s">
        <v>11926</v>
      </c>
      <c r="L1076" s="387"/>
      <c r="M1076" s="387" t="s">
        <v>10084</v>
      </c>
      <c r="N1076" s="387"/>
      <c r="O1076" s="387" t="s">
        <v>57</v>
      </c>
      <c r="P1076" s="390">
        <v>199535000</v>
      </c>
      <c r="Q1076" s="387" t="s">
        <v>11927</v>
      </c>
      <c r="R1076" s="358" t="s">
        <v>333</v>
      </c>
      <c r="S1076" s="340">
        <v>15</v>
      </c>
    </row>
    <row r="1077" spans="1:19" ht="29.5" thickBot="1" x14ac:dyDescent="0.4">
      <c r="A1077" s="357">
        <v>1066</v>
      </c>
      <c r="B1077" s="387" t="s">
        <v>10155</v>
      </c>
      <c r="C1077" s="387" t="s">
        <v>10156</v>
      </c>
      <c r="D1077" s="388" t="s">
        <v>59</v>
      </c>
      <c r="E1077" s="388" t="s">
        <v>10082</v>
      </c>
      <c r="F1077" s="388" t="s">
        <v>10078</v>
      </c>
      <c r="G1077" s="388" t="s">
        <v>10088</v>
      </c>
      <c r="H1077" s="388" t="s">
        <v>11324</v>
      </c>
      <c r="I1077" s="387" t="s">
        <v>11928</v>
      </c>
      <c r="J1077" s="389">
        <v>42032</v>
      </c>
      <c r="K1077" s="387" t="s">
        <v>11929</v>
      </c>
      <c r="L1077" s="387"/>
      <c r="M1077" s="387" t="s">
        <v>10084</v>
      </c>
      <c r="N1077" s="387"/>
      <c r="O1077" s="387" t="s">
        <v>57</v>
      </c>
      <c r="P1077" s="390">
        <v>103400000</v>
      </c>
      <c r="Q1077" s="387" t="s">
        <v>11930</v>
      </c>
      <c r="R1077" s="358" t="s">
        <v>333</v>
      </c>
      <c r="S1077" s="340">
        <v>15</v>
      </c>
    </row>
    <row r="1078" spans="1:19" ht="29" x14ac:dyDescent="0.35">
      <c r="A1078" s="349">
        <v>1067</v>
      </c>
      <c r="B1078" s="387" t="s">
        <v>10155</v>
      </c>
      <c r="C1078" s="387" t="s">
        <v>10156</v>
      </c>
      <c r="D1078" s="388" t="s">
        <v>97</v>
      </c>
      <c r="E1078" s="388" t="s">
        <v>10082</v>
      </c>
      <c r="F1078" s="388" t="s">
        <v>10078</v>
      </c>
      <c r="G1078" s="388" t="s">
        <v>10088</v>
      </c>
      <c r="H1078" s="388" t="s">
        <v>11364</v>
      </c>
      <c r="I1078" s="387" t="s">
        <v>11925</v>
      </c>
      <c r="J1078" s="389">
        <v>41913</v>
      </c>
      <c r="K1078" s="387" t="s">
        <v>11931</v>
      </c>
      <c r="L1078" s="387"/>
      <c r="M1078" s="387" t="s">
        <v>10084</v>
      </c>
      <c r="N1078" s="387"/>
      <c r="O1078" s="387" t="s">
        <v>57</v>
      </c>
      <c r="P1078" s="390">
        <v>227700000</v>
      </c>
      <c r="Q1078" s="387" t="s">
        <v>11932</v>
      </c>
      <c r="R1078" s="358" t="s">
        <v>333</v>
      </c>
      <c r="S1078" s="340">
        <v>15</v>
      </c>
    </row>
    <row r="1079" spans="1:19" ht="29.5" thickBot="1" x14ac:dyDescent="0.4">
      <c r="A1079" s="357">
        <v>1068</v>
      </c>
      <c r="B1079" s="387" t="s">
        <v>10155</v>
      </c>
      <c r="C1079" s="387" t="s">
        <v>10156</v>
      </c>
      <c r="D1079" s="388" t="s">
        <v>101</v>
      </c>
      <c r="E1079" s="388" t="s">
        <v>10082</v>
      </c>
      <c r="F1079" s="388" t="s">
        <v>10078</v>
      </c>
      <c r="G1079" s="388" t="s">
        <v>10088</v>
      </c>
      <c r="H1079" s="388" t="s">
        <v>11933</v>
      </c>
      <c r="I1079" s="387" t="s">
        <v>11934</v>
      </c>
      <c r="J1079" s="389">
        <v>40337</v>
      </c>
      <c r="K1079" s="387" t="s">
        <v>11935</v>
      </c>
      <c r="L1079" s="387"/>
      <c r="M1079" s="387" t="s">
        <v>10084</v>
      </c>
      <c r="N1079" s="387"/>
      <c r="O1079" s="387" t="s">
        <v>57</v>
      </c>
      <c r="P1079" s="390">
        <v>352662000</v>
      </c>
      <c r="Q1079" s="387" t="s">
        <v>11936</v>
      </c>
      <c r="R1079" s="358" t="s">
        <v>333</v>
      </c>
      <c r="S1079" s="340">
        <v>15</v>
      </c>
    </row>
    <row r="1080" spans="1:19" ht="29" x14ac:dyDescent="0.35">
      <c r="A1080" s="349">
        <v>1069</v>
      </c>
      <c r="B1080" s="387" t="s">
        <v>10155</v>
      </c>
      <c r="C1080" s="387" t="s">
        <v>10156</v>
      </c>
      <c r="D1080" s="388" t="s">
        <v>107</v>
      </c>
      <c r="E1080" s="388" t="s">
        <v>10082</v>
      </c>
      <c r="F1080" s="388" t="s">
        <v>10078</v>
      </c>
      <c r="G1080" s="388" t="s">
        <v>10088</v>
      </c>
      <c r="H1080" s="388" t="s">
        <v>11937</v>
      </c>
      <c r="I1080" s="387" t="s">
        <v>11938</v>
      </c>
      <c r="J1080" s="389">
        <v>40959</v>
      </c>
      <c r="K1080" s="387" t="s">
        <v>11939</v>
      </c>
      <c r="L1080" s="387"/>
      <c r="M1080" s="387" t="s">
        <v>10084</v>
      </c>
      <c r="N1080" s="387"/>
      <c r="O1080" s="387" t="s">
        <v>57</v>
      </c>
      <c r="P1080" s="390">
        <v>3631739716</v>
      </c>
      <c r="Q1080" s="387" t="s">
        <v>11940</v>
      </c>
      <c r="R1080" s="358" t="s">
        <v>333</v>
      </c>
      <c r="S1080" s="340">
        <v>15</v>
      </c>
    </row>
    <row r="1081" spans="1:19" ht="29.5" thickBot="1" x14ac:dyDescent="0.4">
      <c r="A1081" s="357">
        <v>1070</v>
      </c>
      <c r="B1081" s="387" t="s">
        <v>10155</v>
      </c>
      <c r="C1081" s="387" t="s">
        <v>10156</v>
      </c>
      <c r="D1081" s="388" t="s">
        <v>112</v>
      </c>
      <c r="E1081" s="388" t="s">
        <v>10082</v>
      </c>
      <c r="F1081" s="388" t="s">
        <v>10078</v>
      </c>
      <c r="G1081" s="388" t="s">
        <v>10088</v>
      </c>
      <c r="H1081" s="388" t="s">
        <v>8952</v>
      </c>
      <c r="I1081" s="387" t="s">
        <v>11259</v>
      </c>
      <c r="J1081" s="389">
        <v>41388</v>
      </c>
      <c r="K1081" s="387" t="s">
        <v>11941</v>
      </c>
      <c r="L1081" s="387"/>
      <c r="M1081" s="387" t="s">
        <v>10084</v>
      </c>
      <c r="N1081" s="387"/>
      <c r="O1081" s="387" t="s">
        <v>57</v>
      </c>
      <c r="P1081" s="390">
        <v>118300000</v>
      </c>
      <c r="Q1081" s="387" t="s">
        <v>11942</v>
      </c>
      <c r="R1081" s="358" t="s">
        <v>333</v>
      </c>
      <c r="S1081" s="340">
        <v>15</v>
      </c>
    </row>
    <row r="1082" spans="1:19" ht="29" x14ac:dyDescent="0.35">
      <c r="A1082" s="349">
        <v>1071</v>
      </c>
      <c r="B1082" s="387" t="s">
        <v>10541</v>
      </c>
      <c r="C1082" s="387" t="s">
        <v>10542</v>
      </c>
      <c r="D1082" s="388" t="s">
        <v>51</v>
      </c>
      <c r="E1082" s="388" t="s">
        <v>10082</v>
      </c>
      <c r="F1082" s="388" t="s">
        <v>10078</v>
      </c>
      <c r="G1082" s="388" t="s">
        <v>10088</v>
      </c>
      <c r="H1082" s="388" t="s">
        <v>11364</v>
      </c>
      <c r="I1082" s="387" t="s">
        <v>11919</v>
      </c>
      <c r="J1082" s="389">
        <v>42857</v>
      </c>
      <c r="K1082" s="387" t="s">
        <v>11943</v>
      </c>
      <c r="L1082" s="387"/>
      <c r="M1082" s="387" t="s">
        <v>10084</v>
      </c>
      <c r="N1082" s="387"/>
      <c r="O1082" s="387" t="s">
        <v>57</v>
      </c>
      <c r="P1082" s="390">
        <v>209649000</v>
      </c>
      <c r="Q1082" s="387" t="s">
        <v>11944</v>
      </c>
      <c r="R1082" s="358" t="s">
        <v>333</v>
      </c>
      <c r="S1082" s="340">
        <v>15</v>
      </c>
    </row>
    <row r="1083" spans="1:19" ht="44" thickBot="1" x14ac:dyDescent="0.4">
      <c r="A1083" s="357">
        <v>1072</v>
      </c>
      <c r="B1083" s="387" t="s">
        <v>11945</v>
      </c>
      <c r="C1083" s="387" t="s">
        <v>11946</v>
      </c>
      <c r="D1083" s="388" t="s">
        <v>101</v>
      </c>
      <c r="E1083" s="388" t="s">
        <v>10082</v>
      </c>
      <c r="F1083" s="388" t="s">
        <v>10078</v>
      </c>
      <c r="G1083" s="388" t="s">
        <v>10078</v>
      </c>
      <c r="H1083" s="388" t="s">
        <v>11870</v>
      </c>
      <c r="I1083" s="387" t="s">
        <v>11947</v>
      </c>
      <c r="J1083" s="389">
        <v>41568</v>
      </c>
      <c r="K1083" s="387" t="s">
        <v>11948</v>
      </c>
      <c r="L1083" s="387"/>
      <c r="M1083" s="387"/>
      <c r="N1083" s="387"/>
      <c r="O1083" s="387" t="s">
        <v>44</v>
      </c>
      <c r="P1083" s="390">
        <v>39702400</v>
      </c>
      <c r="Q1083" s="387" t="s">
        <v>11949</v>
      </c>
      <c r="R1083" s="358" t="s">
        <v>333</v>
      </c>
      <c r="S1083" s="340">
        <v>15</v>
      </c>
    </row>
    <row r="1084" spans="1:19" ht="43.5" x14ac:dyDescent="0.35">
      <c r="A1084" s="349">
        <v>1073</v>
      </c>
      <c r="B1084" s="387" t="s">
        <v>11945</v>
      </c>
      <c r="C1084" s="387" t="s">
        <v>11946</v>
      </c>
      <c r="D1084" s="388" t="s">
        <v>107</v>
      </c>
      <c r="E1084" s="388" t="s">
        <v>10082</v>
      </c>
      <c r="F1084" s="388" t="s">
        <v>10078</v>
      </c>
      <c r="G1084" s="388" t="s">
        <v>10078</v>
      </c>
      <c r="H1084" s="388" t="s">
        <v>11870</v>
      </c>
      <c r="I1084" s="387" t="s">
        <v>11950</v>
      </c>
      <c r="J1084" s="389">
        <v>41568</v>
      </c>
      <c r="K1084" s="387" t="s">
        <v>11951</v>
      </c>
      <c r="L1084" s="387"/>
      <c r="M1084" s="387" t="s">
        <v>10084</v>
      </c>
      <c r="N1084" s="387"/>
      <c r="O1084" s="387" t="s">
        <v>57</v>
      </c>
      <c r="P1084" s="390">
        <v>39829000</v>
      </c>
      <c r="Q1084" s="387" t="s">
        <v>11952</v>
      </c>
      <c r="R1084" s="358" t="s">
        <v>333</v>
      </c>
      <c r="S1084" s="340">
        <v>15</v>
      </c>
    </row>
    <row r="1085" spans="1:19" ht="44" thickBot="1" x14ac:dyDescent="0.4">
      <c r="A1085" s="357">
        <v>1074</v>
      </c>
      <c r="B1085" s="387" t="s">
        <v>11945</v>
      </c>
      <c r="C1085" s="387" t="s">
        <v>11946</v>
      </c>
      <c r="D1085" s="388" t="s">
        <v>112</v>
      </c>
      <c r="E1085" s="388" t="s">
        <v>10082</v>
      </c>
      <c r="F1085" s="388" t="s">
        <v>10078</v>
      </c>
      <c r="G1085" s="388" t="s">
        <v>10078</v>
      </c>
      <c r="H1085" s="388" t="s">
        <v>11870</v>
      </c>
      <c r="I1085" s="387" t="s">
        <v>11953</v>
      </c>
      <c r="J1085" s="389">
        <v>41568</v>
      </c>
      <c r="K1085" s="387" t="s">
        <v>11951</v>
      </c>
      <c r="L1085" s="387"/>
      <c r="M1085" s="387"/>
      <c r="N1085" s="387"/>
      <c r="O1085" s="387" t="s">
        <v>44</v>
      </c>
      <c r="P1085" s="390">
        <v>39829000</v>
      </c>
      <c r="Q1085" s="387" t="s">
        <v>11954</v>
      </c>
      <c r="R1085" s="358" t="s">
        <v>333</v>
      </c>
      <c r="S1085" s="340">
        <v>15</v>
      </c>
    </row>
    <row r="1086" spans="1:19" ht="43.5" x14ac:dyDescent="0.35">
      <c r="A1086" s="349">
        <v>1075</v>
      </c>
      <c r="B1086" s="387" t="s">
        <v>11945</v>
      </c>
      <c r="C1086" s="387" t="s">
        <v>11946</v>
      </c>
      <c r="D1086" s="388" t="s">
        <v>116</v>
      </c>
      <c r="E1086" s="388" t="s">
        <v>10082</v>
      </c>
      <c r="F1086" s="388" t="s">
        <v>10078</v>
      </c>
      <c r="G1086" s="388" t="s">
        <v>10078</v>
      </c>
      <c r="H1086" s="388" t="s">
        <v>11870</v>
      </c>
      <c r="I1086" s="387" t="s">
        <v>11955</v>
      </c>
      <c r="J1086" s="389">
        <v>41568</v>
      </c>
      <c r="K1086" s="387" t="s">
        <v>11956</v>
      </c>
      <c r="L1086" s="387"/>
      <c r="M1086" s="387" t="s">
        <v>10084</v>
      </c>
      <c r="N1086" s="387"/>
      <c r="O1086" s="387" t="s">
        <v>57</v>
      </c>
      <c r="P1086" s="390">
        <v>39858000</v>
      </c>
      <c r="Q1086" s="387" t="s">
        <v>11957</v>
      </c>
      <c r="R1086" s="358" t="s">
        <v>333</v>
      </c>
      <c r="S1086" s="340">
        <v>15</v>
      </c>
    </row>
    <row r="1087" spans="1:19" ht="44" thickBot="1" x14ac:dyDescent="0.4">
      <c r="A1087" s="357">
        <v>1076</v>
      </c>
      <c r="B1087" s="387" t="s">
        <v>11945</v>
      </c>
      <c r="C1087" s="387" t="s">
        <v>11946</v>
      </c>
      <c r="D1087" s="388" t="s">
        <v>841</v>
      </c>
      <c r="E1087" s="388" t="s">
        <v>10082</v>
      </c>
      <c r="F1087" s="388" t="s">
        <v>10078</v>
      </c>
      <c r="G1087" s="388" t="s">
        <v>10078</v>
      </c>
      <c r="H1087" s="388" t="s">
        <v>11870</v>
      </c>
      <c r="I1087" s="387" t="s">
        <v>11958</v>
      </c>
      <c r="J1087" s="389">
        <v>41568</v>
      </c>
      <c r="K1087" s="387" t="s">
        <v>11956</v>
      </c>
      <c r="L1087" s="387"/>
      <c r="M1087" s="387"/>
      <c r="N1087" s="387"/>
      <c r="O1087" s="387" t="s">
        <v>44</v>
      </c>
      <c r="P1087" s="390">
        <v>39858000</v>
      </c>
      <c r="Q1087" s="387" t="s">
        <v>11959</v>
      </c>
      <c r="R1087" s="358" t="s">
        <v>333</v>
      </c>
      <c r="S1087" s="340">
        <v>15</v>
      </c>
    </row>
    <row r="1088" spans="1:19" ht="29" x14ac:dyDescent="0.35">
      <c r="A1088" s="349">
        <v>1077</v>
      </c>
      <c r="B1088" s="387" t="s">
        <v>11301</v>
      </c>
      <c r="C1088" s="387" t="s">
        <v>11302</v>
      </c>
      <c r="D1088" s="388" t="s">
        <v>51</v>
      </c>
      <c r="E1088" s="388" t="s">
        <v>10082</v>
      </c>
      <c r="F1088" s="388" t="s">
        <v>10078</v>
      </c>
      <c r="G1088" s="388" t="s">
        <v>10078</v>
      </c>
      <c r="H1088" s="388" t="s">
        <v>11960</v>
      </c>
      <c r="I1088" s="387" t="s">
        <v>11961</v>
      </c>
      <c r="J1088" s="389"/>
      <c r="K1088" s="387"/>
      <c r="L1088" s="387"/>
      <c r="M1088" s="387" t="s">
        <v>10084</v>
      </c>
      <c r="N1088" s="387"/>
      <c r="O1088" s="387" t="s">
        <v>422</v>
      </c>
      <c r="P1088" s="390">
        <v>357034000</v>
      </c>
      <c r="Q1088" s="387" t="s">
        <v>11962</v>
      </c>
      <c r="R1088" s="358" t="s">
        <v>333</v>
      </c>
      <c r="S1088" s="340">
        <v>15</v>
      </c>
    </row>
    <row r="1089" spans="1:19" ht="29.5" thickBot="1" x14ac:dyDescent="0.4">
      <c r="A1089" s="357">
        <v>1078</v>
      </c>
      <c r="B1089" s="387" t="s">
        <v>10486</v>
      </c>
      <c r="C1089" s="387" t="s">
        <v>10487</v>
      </c>
      <c r="D1089" s="388" t="s">
        <v>51</v>
      </c>
      <c r="E1089" s="388" t="s">
        <v>10082</v>
      </c>
      <c r="F1089" s="388" t="s">
        <v>10078</v>
      </c>
      <c r="G1089" s="388" t="s">
        <v>10078</v>
      </c>
      <c r="H1089" s="388" t="s">
        <v>3405</v>
      </c>
      <c r="I1089" s="387" t="s">
        <v>11259</v>
      </c>
      <c r="J1089" s="389">
        <v>41388</v>
      </c>
      <c r="K1089" s="387" t="s">
        <v>11963</v>
      </c>
      <c r="L1089" s="387"/>
      <c r="M1089" s="387" t="s">
        <v>10084</v>
      </c>
      <c r="N1089" s="387"/>
      <c r="O1089" s="387" t="s">
        <v>57</v>
      </c>
      <c r="P1089" s="390">
        <v>189712500</v>
      </c>
      <c r="Q1089" s="387" t="s">
        <v>11964</v>
      </c>
      <c r="R1089" s="358" t="s">
        <v>333</v>
      </c>
      <c r="S1089" s="340">
        <v>15</v>
      </c>
    </row>
    <row r="1090" spans="1:19" ht="29" x14ac:dyDescent="0.35">
      <c r="A1090" s="349">
        <v>1079</v>
      </c>
      <c r="B1090" s="387" t="s">
        <v>10687</v>
      </c>
      <c r="C1090" s="387" t="s">
        <v>10688</v>
      </c>
      <c r="D1090" s="388" t="s">
        <v>51</v>
      </c>
      <c r="E1090" s="388" t="s">
        <v>10082</v>
      </c>
      <c r="F1090" s="388" t="s">
        <v>10078</v>
      </c>
      <c r="G1090" s="388" t="s">
        <v>10078</v>
      </c>
      <c r="H1090" s="388" t="s">
        <v>11965</v>
      </c>
      <c r="I1090" s="387" t="s">
        <v>11966</v>
      </c>
      <c r="J1090" s="389">
        <v>40051</v>
      </c>
      <c r="K1090" s="387" t="s">
        <v>11967</v>
      </c>
      <c r="L1090" s="387"/>
      <c r="M1090" s="387" t="s">
        <v>10084</v>
      </c>
      <c r="N1090" s="387"/>
      <c r="O1090" s="387" t="s">
        <v>57</v>
      </c>
      <c r="P1090" s="390">
        <v>19800000</v>
      </c>
      <c r="Q1090" s="387"/>
      <c r="R1090" s="358" t="s">
        <v>333</v>
      </c>
      <c r="S1090" s="340">
        <v>15</v>
      </c>
    </row>
    <row r="1091" spans="1:19" ht="29.5" thickBot="1" x14ac:dyDescent="0.4">
      <c r="A1091" s="357">
        <v>1080</v>
      </c>
      <c r="B1091" s="387" t="s">
        <v>10559</v>
      </c>
      <c r="C1091" s="387" t="s">
        <v>10560</v>
      </c>
      <c r="D1091" s="388" t="s">
        <v>51</v>
      </c>
      <c r="E1091" s="388" t="s">
        <v>10082</v>
      </c>
      <c r="F1091" s="388" t="s">
        <v>10078</v>
      </c>
      <c r="G1091" s="388" t="s">
        <v>10078</v>
      </c>
      <c r="H1091" s="388" t="s">
        <v>11968</v>
      </c>
      <c r="I1091" s="387" t="s">
        <v>11259</v>
      </c>
      <c r="J1091" s="389">
        <v>41388</v>
      </c>
      <c r="K1091" s="387" t="s">
        <v>11969</v>
      </c>
      <c r="L1091" s="387"/>
      <c r="M1091" s="387" t="s">
        <v>10084</v>
      </c>
      <c r="N1091" s="387"/>
      <c r="O1091" s="387" t="s">
        <v>57</v>
      </c>
      <c r="P1091" s="390">
        <v>121147300</v>
      </c>
      <c r="Q1091" s="387" t="s">
        <v>11970</v>
      </c>
      <c r="R1091" s="358" t="s">
        <v>333</v>
      </c>
      <c r="S1091" s="340">
        <v>15</v>
      </c>
    </row>
    <row r="1092" spans="1:19" ht="29" x14ac:dyDescent="0.35">
      <c r="A1092" s="349">
        <v>1081</v>
      </c>
      <c r="B1092" s="387" t="s">
        <v>10997</v>
      </c>
      <c r="C1092" s="387" t="s">
        <v>10998</v>
      </c>
      <c r="D1092" s="388" t="s">
        <v>51</v>
      </c>
      <c r="E1092" s="388" t="s">
        <v>10082</v>
      </c>
      <c r="F1092" s="388" t="s">
        <v>10078</v>
      </c>
      <c r="G1092" s="388" t="s">
        <v>10088</v>
      </c>
      <c r="H1092" s="388" t="s">
        <v>11328</v>
      </c>
      <c r="I1092" s="387" t="s">
        <v>11259</v>
      </c>
      <c r="J1092" s="389">
        <v>41409</v>
      </c>
      <c r="K1092" s="387" t="s">
        <v>11971</v>
      </c>
      <c r="L1092" s="387"/>
      <c r="M1092" s="387" t="s">
        <v>10084</v>
      </c>
      <c r="N1092" s="387"/>
      <c r="O1092" s="387" t="s">
        <v>57</v>
      </c>
      <c r="P1092" s="390">
        <v>49319600</v>
      </c>
      <c r="Q1092" s="387" t="s">
        <v>11972</v>
      </c>
      <c r="R1092" s="358" t="s">
        <v>333</v>
      </c>
      <c r="S1092" s="340">
        <v>15</v>
      </c>
    </row>
    <row r="1093" spans="1:19" ht="29.5" thickBot="1" x14ac:dyDescent="0.4">
      <c r="A1093" s="357">
        <v>1082</v>
      </c>
      <c r="B1093" s="387" t="s">
        <v>10511</v>
      </c>
      <c r="C1093" s="387" t="s">
        <v>10512</v>
      </c>
      <c r="D1093" s="388" t="s">
        <v>51</v>
      </c>
      <c r="E1093" s="388" t="s">
        <v>10082</v>
      </c>
      <c r="F1093" s="388" t="s">
        <v>10078</v>
      </c>
      <c r="G1093" s="388" t="s">
        <v>10078</v>
      </c>
      <c r="H1093" s="388" t="s">
        <v>11364</v>
      </c>
      <c r="I1093" s="387" t="s">
        <v>11919</v>
      </c>
      <c r="J1093" s="389">
        <v>42660</v>
      </c>
      <c r="K1093" s="387" t="s">
        <v>11973</v>
      </c>
      <c r="L1093" s="387"/>
      <c r="M1093" s="387" t="s">
        <v>10084</v>
      </c>
      <c r="N1093" s="387"/>
      <c r="O1093" s="387" t="s">
        <v>57</v>
      </c>
      <c r="P1093" s="390">
        <v>34780000</v>
      </c>
      <c r="Q1093" s="387" t="s">
        <v>11974</v>
      </c>
      <c r="R1093" s="358" t="s">
        <v>333</v>
      </c>
      <c r="S1093" s="340">
        <v>15</v>
      </c>
    </row>
    <row r="1094" spans="1:19" ht="43.5" x14ac:dyDescent="0.35">
      <c r="A1094" s="349">
        <v>1083</v>
      </c>
      <c r="B1094" s="387" t="s">
        <v>10155</v>
      </c>
      <c r="C1094" s="387" t="s">
        <v>10156</v>
      </c>
      <c r="D1094" s="388" t="s">
        <v>51</v>
      </c>
      <c r="E1094" s="388" t="s">
        <v>10082</v>
      </c>
      <c r="F1094" s="388" t="s">
        <v>10078</v>
      </c>
      <c r="G1094" s="388" t="s">
        <v>10088</v>
      </c>
      <c r="H1094" s="388" t="s">
        <v>11975</v>
      </c>
      <c r="I1094" s="387" t="s">
        <v>11976</v>
      </c>
      <c r="J1094" s="389">
        <v>40777</v>
      </c>
      <c r="K1094" s="387" t="s">
        <v>11977</v>
      </c>
      <c r="L1094" s="387"/>
      <c r="M1094" s="387" t="s">
        <v>10084</v>
      </c>
      <c r="N1094" s="387"/>
      <c r="O1094" s="387" t="s">
        <v>57</v>
      </c>
      <c r="P1094" s="390">
        <v>698142500</v>
      </c>
      <c r="Q1094" s="387" t="s">
        <v>11978</v>
      </c>
      <c r="R1094" s="358" t="s">
        <v>354</v>
      </c>
      <c r="S1094" s="340">
        <v>16</v>
      </c>
    </row>
    <row r="1095" spans="1:19" ht="58.5" thickBot="1" x14ac:dyDescent="0.4">
      <c r="A1095" s="357">
        <v>1084</v>
      </c>
      <c r="B1095" s="387" t="s">
        <v>10155</v>
      </c>
      <c r="C1095" s="387" t="s">
        <v>10156</v>
      </c>
      <c r="D1095" s="388" t="s">
        <v>59</v>
      </c>
      <c r="E1095" s="388" t="s">
        <v>10082</v>
      </c>
      <c r="F1095" s="388" t="s">
        <v>10078</v>
      </c>
      <c r="G1095" s="388" t="s">
        <v>10088</v>
      </c>
      <c r="H1095" s="388" t="s">
        <v>11634</v>
      </c>
      <c r="I1095" s="387" t="s">
        <v>11979</v>
      </c>
      <c r="J1095" s="389">
        <v>41814</v>
      </c>
      <c r="K1095" s="387" t="s">
        <v>11980</v>
      </c>
      <c r="L1095" s="387"/>
      <c r="M1095" s="387" t="s">
        <v>10084</v>
      </c>
      <c r="N1095" s="387"/>
      <c r="O1095" s="387" t="s">
        <v>57</v>
      </c>
      <c r="P1095" s="390">
        <v>350190000</v>
      </c>
      <c r="Q1095" s="387" t="s">
        <v>11981</v>
      </c>
      <c r="R1095" s="358" t="s">
        <v>354</v>
      </c>
      <c r="S1095" s="340">
        <v>16</v>
      </c>
    </row>
    <row r="1096" spans="1:19" ht="29" x14ac:dyDescent="0.35">
      <c r="A1096" s="349">
        <v>1085</v>
      </c>
      <c r="B1096" s="387" t="s">
        <v>10155</v>
      </c>
      <c r="C1096" s="387" t="s">
        <v>10156</v>
      </c>
      <c r="D1096" s="388" t="s">
        <v>97</v>
      </c>
      <c r="E1096" s="388" t="s">
        <v>10082</v>
      </c>
      <c r="F1096" s="388" t="s">
        <v>10078</v>
      </c>
      <c r="G1096" s="388" t="s">
        <v>10088</v>
      </c>
      <c r="H1096" s="388" t="s">
        <v>11634</v>
      </c>
      <c r="I1096" s="387" t="s">
        <v>11982</v>
      </c>
      <c r="J1096" s="389"/>
      <c r="K1096" s="387"/>
      <c r="L1096" s="387"/>
      <c r="M1096" s="387" t="s">
        <v>10084</v>
      </c>
      <c r="N1096" s="387"/>
      <c r="O1096" s="387" t="s">
        <v>57</v>
      </c>
      <c r="P1096" s="390">
        <v>30756000</v>
      </c>
      <c r="Q1096" s="387" t="s">
        <v>11983</v>
      </c>
      <c r="R1096" s="358" t="s">
        <v>354</v>
      </c>
      <c r="S1096" s="340">
        <v>16</v>
      </c>
    </row>
    <row r="1097" spans="1:19" ht="29.5" thickBot="1" x14ac:dyDescent="0.4">
      <c r="A1097" s="357">
        <v>1086</v>
      </c>
      <c r="B1097" s="387" t="s">
        <v>10155</v>
      </c>
      <c r="C1097" s="387" t="s">
        <v>10156</v>
      </c>
      <c r="D1097" s="388" t="s">
        <v>101</v>
      </c>
      <c r="E1097" s="388" t="s">
        <v>10082</v>
      </c>
      <c r="F1097" s="388" t="s">
        <v>10071</v>
      </c>
      <c r="G1097" s="388" t="s">
        <v>10088</v>
      </c>
      <c r="H1097" s="388" t="s">
        <v>11984</v>
      </c>
      <c r="I1097" s="387" t="s">
        <v>11985</v>
      </c>
      <c r="J1097" s="389">
        <v>39555</v>
      </c>
      <c r="K1097" s="387" t="s">
        <v>11986</v>
      </c>
      <c r="L1097" s="387"/>
      <c r="M1097" s="387" t="s">
        <v>10084</v>
      </c>
      <c r="N1097" s="387"/>
      <c r="O1097" s="387" t="s">
        <v>57</v>
      </c>
      <c r="P1097" s="390">
        <v>4459965000</v>
      </c>
      <c r="Q1097" s="387" t="s">
        <v>11987</v>
      </c>
      <c r="R1097" s="358" t="s">
        <v>354</v>
      </c>
      <c r="S1097" s="340">
        <v>16</v>
      </c>
    </row>
    <row r="1098" spans="1:19" ht="29" x14ac:dyDescent="0.35">
      <c r="A1098" s="349">
        <v>1087</v>
      </c>
      <c r="B1098" s="387" t="s">
        <v>10155</v>
      </c>
      <c r="C1098" s="387" t="s">
        <v>10156</v>
      </c>
      <c r="D1098" s="388" t="s">
        <v>107</v>
      </c>
      <c r="E1098" s="388" t="s">
        <v>10673</v>
      </c>
      <c r="F1098" s="388" t="s">
        <v>10078</v>
      </c>
      <c r="G1098" s="388" t="s">
        <v>10088</v>
      </c>
      <c r="H1098" s="388" t="s">
        <v>1122</v>
      </c>
      <c r="I1098" s="387" t="s">
        <v>11329</v>
      </c>
      <c r="J1098" s="389"/>
      <c r="K1098" s="387"/>
      <c r="L1098" s="387"/>
      <c r="M1098" s="387" t="s">
        <v>10084</v>
      </c>
      <c r="N1098" s="387"/>
      <c r="O1098" s="387" t="s">
        <v>422</v>
      </c>
      <c r="P1098" s="390">
        <v>140000000</v>
      </c>
      <c r="Q1098" s="387" t="s">
        <v>3059</v>
      </c>
      <c r="R1098" s="358" t="s">
        <v>354</v>
      </c>
      <c r="S1098" s="340">
        <v>16</v>
      </c>
    </row>
    <row r="1099" spans="1:19" ht="44" thickBot="1" x14ac:dyDescent="0.4">
      <c r="A1099" s="357">
        <v>1088</v>
      </c>
      <c r="B1099" s="387" t="s">
        <v>10301</v>
      </c>
      <c r="C1099" s="387" t="s">
        <v>10302</v>
      </c>
      <c r="D1099" s="388" t="s">
        <v>51</v>
      </c>
      <c r="E1099" s="388" t="s">
        <v>10082</v>
      </c>
      <c r="F1099" s="388" t="s">
        <v>10078</v>
      </c>
      <c r="G1099" s="388" t="s">
        <v>10078</v>
      </c>
      <c r="H1099" s="388" t="s">
        <v>11870</v>
      </c>
      <c r="I1099" s="387" t="s">
        <v>11988</v>
      </c>
      <c r="J1099" s="389">
        <v>43990</v>
      </c>
      <c r="K1099" s="387" t="s">
        <v>11989</v>
      </c>
      <c r="L1099" s="387"/>
      <c r="M1099" s="387" t="s">
        <v>10084</v>
      </c>
      <c r="N1099" s="387"/>
      <c r="O1099" s="387" t="s">
        <v>57</v>
      </c>
      <c r="P1099" s="390">
        <v>132135500</v>
      </c>
      <c r="Q1099" s="387" t="s">
        <v>11990</v>
      </c>
      <c r="R1099" s="358" t="s">
        <v>354</v>
      </c>
      <c r="S1099" s="340">
        <v>16</v>
      </c>
    </row>
    <row r="1100" spans="1:19" ht="29" x14ac:dyDescent="0.35">
      <c r="A1100" s="349">
        <v>1089</v>
      </c>
      <c r="B1100" s="387" t="s">
        <v>10535</v>
      </c>
      <c r="C1100" s="387" t="s">
        <v>10536</v>
      </c>
      <c r="D1100" s="388" t="s">
        <v>51</v>
      </c>
      <c r="E1100" s="388" t="s">
        <v>10082</v>
      </c>
      <c r="F1100" s="388" t="s">
        <v>10078</v>
      </c>
      <c r="G1100" s="388" t="s">
        <v>10088</v>
      </c>
      <c r="H1100" s="388" t="s">
        <v>11308</v>
      </c>
      <c r="I1100" s="387" t="s">
        <v>11991</v>
      </c>
      <c r="J1100" s="389">
        <v>41274</v>
      </c>
      <c r="K1100" s="387" t="s">
        <v>11992</v>
      </c>
      <c r="L1100" s="387"/>
      <c r="M1100" s="387" t="s">
        <v>10084</v>
      </c>
      <c r="N1100" s="387"/>
      <c r="O1100" s="387" t="s">
        <v>57</v>
      </c>
      <c r="P1100" s="390">
        <v>105250000</v>
      </c>
      <c r="Q1100" s="387" t="s">
        <v>11993</v>
      </c>
      <c r="R1100" s="358" t="s">
        <v>354</v>
      </c>
      <c r="S1100" s="340">
        <v>16</v>
      </c>
    </row>
    <row r="1101" spans="1:19" ht="44" thickBot="1" x14ac:dyDescent="0.4">
      <c r="A1101" s="357">
        <v>1090</v>
      </c>
      <c r="B1101" s="387" t="s">
        <v>10535</v>
      </c>
      <c r="C1101" s="387" t="s">
        <v>10536</v>
      </c>
      <c r="D1101" s="388" t="s">
        <v>59</v>
      </c>
      <c r="E1101" s="388" t="s">
        <v>10082</v>
      </c>
      <c r="F1101" s="388" t="s">
        <v>10078</v>
      </c>
      <c r="G1101" s="388" t="s">
        <v>10088</v>
      </c>
      <c r="H1101" s="388" t="s">
        <v>231</v>
      </c>
      <c r="I1101" s="387" t="s">
        <v>11994</v>
      </c>
      <c r="J1101" s="389">
        <v>41274</v>
      </c>
      <c r="K1101" s="387" t="s">
        <v>11995</v>
      </c>
      <c r="L1101" s="387"/>
      <c r="M1101" s="387" t="s">
        <v>10084</v>
      </c>
      <c r="N1101" s="387"/>
      <c r="O1101" s="387" t="s">
        <v>57</v>
      </c>
      <c r="P1101" s="390">
        <v>468350000</v>
      </c>
      <c r="Q1101" s="387" t="s">
        <v>11996</v>
      </c>
      <c r="R1101" s="358" t="s">
        <v>354</v>
      </c>
      <c r="S1101" s="340">
        <v>16</v>
      </c>
    </row>
    <row r="1102" spans="1:19" ht="29" x14ac:dyDescent="0.35">
      <c r="A1102" s="349">
        <v>1091</v>
      </c>
      <c r="B1102" s="387" t="s">
        <v>10535</v>
      </c>
      <c r="C1102" s="387" t="s">
        <v>10536</v>
      </c>
      <c r="D1102" s="388" t="s">
        <v>97</v>
      </c>
      <c r="E1102" s="388" t="s">
        <v>10082</v>
      </c>
      <c r="F1102" s="388" t="s">
        <v>10078</v>
      </c>
      <c r="G1102" s="388" t="s">
        <v>10088</v>
      </c>
      <c r="H1102" s="388" t="s">
        <v>8957</v>
      </c>
      <c r="I1102" s="387" t="s">
        <v>11997</v>
      </c>
      <c r="J1102" s="389">
        <v>39979</v>
      </c>
      <c r="K1102" s="387" t="s">
        <v>11998</v>
      </c>
      <c r="L1102" s="387"/>
      <c r="M1102" s="387" t="s">
        <v>10084</v>
      </c>
      <c r="N1102" s="387"/>
      <c r="O1102" s="387" t="s">
        <v>57</v>
      </c>
      <c r="P1102" s="390">
        <v>130200000</v>
      </c>
      <c r="Q1102" s="387" t="s">
        <v>11999</v>
      </c>
      <c r="R1102" s="358" t="s">
        <v>354</v>
      </c>
      <c r="S1102" s="340">
        <v>16</v>
      </c>
    </row>
    <row r="1103" spans="1:19" ht="29.5" thickBot="1" x14ac:dyDescent="0.4">
      <c r="A1103" s="357">
        <v>1092</v>
      </c>
      <c r="B1103" s="387" t="s">
        <v>10535</v>
      </c>
      <c r="C1103" s="387" t="s">
        <v>10536</v>
      </c>
      <c r="D1103" s="388" t="s">
        <v>101</v>
      </c>
      <c r="E1103" s="388" t="s">
        <v>10082</v>
      </c>
      <c r="F1103" s="388" t="s">
        <v>10078</v>
      </c>
      <c r="G1103" s="388" t="s">
        <v>10088</v>
      </c>
      <c r="H1103" s="388" t="s">
        <v>11710</v>
      </c>
      <c r="I1103" s="387" t="s">
        <v>11991</v>
      </c>
      <c r="J1103" s="389">
        <v>40091</v>
      </c>
      <c r="K1103" s="387" t="s">
        <v>12000</v>
      </c>
      <c r="L1103" s="387"/>
      <c r="M1103" s="387" t="s">
        <v>10084</v>
      </c>
      <c r="N1103" s="387"/>
      <c r="O1103" s="387" t="s">
        <v>57</v>
      </c>
      <c r="P1103" s="390">
        <v>170025000</v>
      </c>
      <c r="Q1103" s="387" t="s">
        <v>12001</v>
      </c>
      <c r="R1103" s="358" t="s">
        <v>354</v>
      </c>
      <c r="S1103" s="340">
        <v>16</v>
      </c>
    </row>
    <row r="1104" spans="1:19" ht="29" x14ac:dyDescent="0.35">
      <c r="A1104" s="349">
        <v>1093</v>
      </c>
      <c r="B1104" s="387" t="s">
        <v>10535</v>
      </c>
      <c r="C1104" s="387" t="s">
        <v>10536</v>
      </c>
      <c r="D1104" s="388" t="s">
        <v>107</v>
      </c>
      <c r="E1104" s="388" t="s">
        <v>10673</v>
      </c>
      <c r="F1104" s="388" t="s">
        <v>10071</v>
      </c>
      <c r="G1104" s="388" t="s">
        <v>10088</v>
      </c>
      <c r="H1104" s="388" t="s">
        <v>2972</v>
      </c>
      <c r="I1104" s="387"/>
      <c r="J1104" s="389">
        <v>40035</v>
      </c>
      <c r="K1104" s="387" t="s">
        <v>12002</v>
      </c>
      <c r="L1104" s="387"/>
      <c r="M1104" s="387" t="s">
        <v>10084</v>
      </c>
      <c r="N1104" s="387"/>
      <c r="O1104" s="387" t="s">
        <v>57</v>
      </c>
      <c r="P1104" s="390">
        <v>87300000</v>
      </c>
      <c r="Q1104" s="387" t="s">
        <v>12003</v>
      </c>
      <c r="R1104" s="358" t="s">
        <v>354</v>
      </c>
      <c r="S1104" s="340">
        <v>16</v>
      </c>
    </row>
    <row r="1105" spans="1:19" ht="29.5" thickBot="1" x14ac:dyDescent="0.4">
      <c r="A1105" s="357">
        <v>1094</v>
      </c>
      <c r="B1105" s="387" t="s">
        <v>10541</v>
      </c>
      <c r="C1105" s="387" t="s">
        <v>10542</v>
      </c>
      <c r="D1105" s="388" t="s">
        <v>51</v>
      </c>
      <c r="E1105" s="388" t="s">
        <v>10082</v>
      </c>
      <c r="F1105" s="388" t="s">
        <v>10078</v>
      </c>
      <c r="G1105" s="388" t="s">
        <v>10088</v>
      </c>
      <c r="H1105" s="388" t="s">
        <v>12004</v>
      </c>
      <c r="I1105" s="387" t="s">
        <v>11991</v>
      </c>
      <c r="J1105" s="389">
        <v>41389</v>
      </c>
      <c r="K1105" s="387" t="s">
        <v>12005</v>
      </c>
      <c r="L1105" s="387"/>
      <c r="M1105" s="387" t="s">
        <v>10084</v>
      </c>
      <c r="N1105" s="387"/>
      <c r="O1105" s="387" t="s">
        <v>57</v>
      </c>
      <c r="P1105" s="390">
        <v>218650000</v>
      </c>
      <c r="Q1105" s="387" t="s">
        <v>12006</v>
      </c>
      <c r="R1105" s="358" t="s">
        <v>354</v>
      </c>
      <c r="S1105" s="340">
        <v>16</v>
      </c>
    </row>
    <row r="1106" spans="1:19" ht="29" x14ac:dyDescent="0.35">
      <c r="A1106" s="349">
        <v>1095</v>
      </c>
      <c r="B1106" s="387" t="s">
        <v>10650</v>
      </c>
      <c r="C1106" s="387" t="s">
        <v>10651</v>
      </c>
      <c r="D1106" s="388" t="s">
        <v>51</v>
      </c>
      <c r="E1106" s="388" t="s">
        <v>10082</v>
      </c>
      <c r="F1106" s="388" t="s">
        <v>10071</v>
      </c>
      <c r="G1106" s="388" t="s">
        <v>10088</v>
      </c>
      <c r="H1106" s="388" t="s">
        <v>12007</v>
      </c>
      <c r="I1106" s="387" t="s">
        <v>12008</v>
      </c>
      <c r="J1106" s="389">
        <v>40034</v>
      </c>
      <c r="K1106" s="387" t="s">
        <v>12009</v>
      </c>
      <c r="L1106" s="387"/>
      <c r="M1106" s="387" t="s">
        <v>10084</v>
      </c>
      <c r="N1106" s="387"/>
      <c r="O1106" s="387" t="s">
        <v>57</v>
      </c>
      <c r="P1106" s="390">
        <v>177000000</v>
      </c>
      <c r="Q1106" s="387" t="s">
        <v>12010</v>
      </c>
      <c r="R1106" s="358" t="s">
        <v>354</v>
      </c>
      <c r="S1106" s="340">
        <v>16</v>
      </c>
    </row>
    <row r="1107" spans="1:19" ht="29.5" thickBot="1" x14ac:dyDescent="0.4">
      <c r="A1107" s="357">
        <v>1096</v>
      </c>
      <c r="B1107" s="387" t="s">
        <v>10650</v>
      </c>
      <c r="C1107" s="387" t="s">
        <v>10651</v>
      </c>
      <c r="D1107" s="388" t="s">
        <v>59</v>
      </c>
      <c r="E1107" s="388" t="s">
        <v>10082</v>
      </c>
      <c r="F1107" s="388" t="s">
        <v>10078</v>
      </c>
      <c r="G1107" s="388" t="s">
        <v>10088</v>
      </c>
      <c r="H1107" s="388" t="s">
        <v>11291</v>
      </c>
      <c r="I1107" s="387" t="s">
        <v>12011</v>
      </c>
      <c r="J1107" s="389">
        <v>39447</v>
      </c>
      <c r="K1107" s="387" t="s">
        <v>12012</v>
      </c>
      <c r="L1107" s="387"/>
      <c r="M1107" s="387" t="s">
        <v>10084</v>
      </c>
      <c r="N1107" s="387"/>
      <c r="O1107" s="387" t="s">
        <v>57</v>
      </c>
      <c r="P1107" s="390">
        <v>22365000</v>
      </c>
      <c r="Q1107" s="387" t="s">
        <v>12013</v>
      </c>
      <c r="R1107" s="358" t="s">
        <v>354</v>
      </c>
      <c r="S1107" s="340">
        <v>16</v>
      </c>
    </row>
    <row r="1108" spans="1:19" ht="29" x14ac:dyDescent="0.35">
      <c r="A1108" s="349">
        <v>1097</v>
      </c>
      <c r="B1108" s="387" t="s">
        <v>10650</v>
      </c>
      <c r="C1108" s="387" t="s">
        <v>10651</v>
      </c>
      <c r="D1108" s="388" t="s">
        <v>101</v>
      </c>
      <c r="E1108" s="388" t="s">
        <v>10082</v>
      </c>
      <c r="F1108" s="388" t="s">
        <v>10078</v>
      </c>
      <c r="G1108" s="388" t="s">
        <v>10088</v>
      </c>
      <c r="H1108" s="388" t="s">
        <v>11536</v>
      </c>
      <c r="I1108" s="387" t="s">
        <v>12014</v>
      </c>
      <c r="J1108" s="389">
        <v>41274</v>
      </c>
      <c r="K1108" s="387" t="s">
        <v>12015</v>
      </c>
      <c r="L1108" s="387"/>
      <c r="M1108" s="387" t="s">
        <v>10084</v>
      </c>
      <c r="N1108" s="387"/>
      <c r="O1108" s="387" t="s">
        <v>57</v>
      </c>
      <c r="P1108" s="390">
        <v>193258900</v>
      </c>
      <c r="Q1108" s="387" t="s">
        <v>12016</v>
      </c>
      <c r="R1108" s="358" t="s">
        <v>354</v>
      </c>
      <c r="S1108" s="340">
        <v>16</v>
      </c>
    </row>
    <row r="1109" spans="1:19" ht="29.5" thickBot="1" x14ac:dyDescent="0.4">
      <c r="A1109" s="357">
        <v>1098</v>
      </c>
      <c r="B1109" s="387" t="s">
        <v>10650</v>
      </c>
      <c r="C1109" s="387" t="s">
        <v>10651</v>
      </c>
      <c r="D1109" s="388" t="s">
        <v>107</v>
      </c>
      <c r="E1109" s="388" t="s">
        <v>10082</v>
      </c>
      <c r="F1109" s="388" t="s">
        <v>10078</v>
      </c>
      <c r="G1109" s="388" t="s">
        <v>10088</v>
      </c>
      <c r="H1109" s="388" t="s">
        <v>12017</v>
      </c>
      <c r="I1109" s="387" t="s">
        <v>12018</v>
      </c>
      <c r="J1109" s="389">
        <v>41389</v>
      </c>
      <c r="K1109" s="387" t="s">
        <v>12019</v>
      </c>
      <c r="L1109" s="387"/>
      <c r="M1109" s="387" t="s">
        <v>10084</v>
      </c>
      <c r="N1109" s="387"/>
      <c r="O1109" s="387" t="s">
        <v>57</v>
      </c>
      <c r="P1109" s="390">
        <v>219180000</v>
      </c>
      <c r="Q1109" s="387" t="s">
        <v>12020</v>
      </c>
      <c r="R1109" s="358" t="s">
        <v>354</v>
      </c>
      <c r="S1109" s="340">
        <v>16</v>
      </c>
    </row>
    <row r="1110" spans="1:19" ht="14.5" x14ac:dyDescent="0.35">
      <c r="A1110" s="349">
        <v>1099</v>
      </c>
      <c r="B1110" s="387" t="s">
        <v>10486</v>
      </c>
      <c r="C1110" s="387" t="s">
        <v>10487</v>
      </c>
      <c r="D1110" s="388" t="s">
        <v>51</v>
      </c>
      <c r="E1110" s="388" t="s">
        <v>10082</v>
      </c>
      <c r="F1110" s="388" t="s">
        <v>10078</v>
      </c>
      <c r="G1110" s="388" t="s">
        <v>10078</v>
      </c>
      <c r="H1110" s="388" t="s">
        <v>11324</v>
      </c>
      <c r="I1110" s="387" t="s">
        <v>12021</v>
      </c>
      <c r="J1110" s="389">
        <v>43686</v>
      </c>
      <c r="K1110" s="387" t="s">
        <v>12022</v>
      </c>
      <c r="L1110" s="387"/>
      <c r="M1110" s="387" t="s">
        <v>10084</v>
      </c>
      <c r="N1110" s="387"/>
      <c r="O1110" s="387" t="s">
        <v>57</v>
      </c>
      <c r="P1110" s="390">
        <v>101201000</v>
      </c>
      <c r="Q1110" s="387" t="s">
        <v>12023</v>
      </c>
      <c r="R1110" s="358" t="s">
        <v>354</v>
      </c>
      <c r="S1110" s="340">
        <v>16</v>
      </c>
    </row>
    <row r="1111" spans="1:19" thickBot="1" x14ac:dyDescent="0.4">
      <c r="A1111" s="357">
        <v>1100</v>
      </c>
      <c r="B1111" s="387" t="s">
        <v>10486</v>
      </c>
      <c r="C1111" s="387" t="s">
        <v>10487</v>
      </c>
      <c r="D1111" s="388" t="s">
        <v>59</v>
      </c>
      <c r="E1111" s="388" t="s">
        <v>10673</v>
      </c>
      <c r="F1111" s="388" t="s">
        <v>10078</v>
      </c>
      <c r="G1111" s="388" t="s">
        <v>10078</v>
      </c>
      <c r="H1111" s="388" t="s">
        <v>2972</v>
      </c>
      <c r="I1111" s="387" t="s">
        <v>11329</v>
      </c>
      <c r="J1111" s="389"/>
      <c r="K1111" s="387"/>
      <c r="L1111" s="387"/>
      <c r="M1111" s="387" t="s">
        <v>10084</v>
      </c>
      <c r="N1111" s="387"/>
      <c r="O1111" s="387" t="s">
        <v>57</v>
      </c>
      <c r="P1111" s="390">
        <v>34869000</v>
      </c>
      <c r="Q1111" s="387" t="s">
        <v>12024</v>
      </c>
      <c r="R1111" s="358" t="s">
        <v>354</v>
      </c>
      <c r="S1111" s="340">
        <v>16</v>
      </c>
    </row>
    <row r="1112" spans="1:19" ht="29" x14ac:dyDescent="0.35">
      <c r="A1112" s="349">
        <v>1101</v>
      </c>
      <c r="B1112" s="387" t="s">
        <v>10486</v>
      </c>
      <c r="C1112" s="387" t="s">
        <v>10487</v>
      </c>
      <c r="D1112" s="388" t="s">
        <v>97</v>
      </c>
      <c r="E1112" s="388" t="s">
        <v>10082</v>
      </c>
      <c r="F1112" s="388" t="s">
        <v>10078</v>
      </c>
      <c r="G1112" s="388" t="s">
        <v>10088</v>
      </c>
      <c r="H1112" s="388" t="s">
        <v>5537</v>
      </c>
      <c r="I1112" s="387" t="s">
        <v>11991</v>
      </c>
      <c r="J1112" s="389">
        <v>40091</v>
      </c>
      <c r="K1112" s="387" t="s">
        <v>12025</v>
      </c>
      <c r="L1112" s="387"/>
      <c r="M1112" s="387" t="s">
        <v>10084</v>
      </c>
      <c r="N1112" s="387"/>
      <c r="O1112" s="387" t="s">
        <v>57</v>
      </c>
      <c r="P1112" s="390">
        <v>111743900</v>
      </c>
      <c r="Q1112" s="387" t="s">
        <v>12026</v>
      </c>
      <c r="R1112" s="358" t="s">
        <v>354</v>
      </c>
      <c r="S1112" s="340">
        <v>16</v>
      </c>
    </row>
    <row r="1113" spans="1:19" ht="29.5" thickBot="1" x14ac:dyDescent="0.4">
      <c r="A1113" s="357">
        <v>1102</v>
      </c>
      <c r="B1113" s="387" t="s">
        <v>10486</v>
      </c>
      <c r="C1113" s="387" t="s">
        <v>10487</v>
      </c>
      <c r="D1113" s="388" t="s">
        <v>101</v>
      </c>
      <c r="E1113" s="388" t="s">
        <v>10082</v>
      </c>
      <c r="F1113" s="388" t="s">
        <v>10078</v>
      </c>
      <c r="G1113" s="388" t="s">
        <v>10078</v>
      </c>
      <c r="H1113" s="388" t="s">
        <v>11407</v>
      </c>
      <c r="I1113" s="387" t="s">
        <v>12027</v>
      </c>
      <c r="J1113" s="389">
        <v>39195</v>
      </c>
      <c r="K1113" s="387" t="s">
        <v>12028</v>
      </c>
      <c r="L1113" s="387"/>
      <c r="M1113" s="387" t="s">
        <v>10084</v>
      </c>
      <c r="N1113" s="387"/>
      <c r="O1113" s="387" t="s">
        <v>57</v>
      </c>
      <c r="P1113" s="390">
        <v>43020000</v>
      </c>
      <c r="Q1113" s="387" t="s">
        <v>12029</v>
      </c>
      <c r="R1113" s="358" t="s">
        <v>354</v>
      </c>
      <c r="S1113" s="340">
        <v>16</v>
      </c>
    </row>
    <row r="1114" spans="1:19" ht="29" x14ac:dyDescent="0.35">
      <c r="A1114" s="349">
        <v>1103</v>
      </c>
      <c r="B1114" s="387" t="s">
        <v>11842</v>
      </c>
      <c r="C1114" s="387" t="s">
        <v>11843</v>
      </c>
      <c r="D1114" s="388" t="s">
        <v>51</v>
      </c>
      <c r="E1114" s="388" t="s">
        <v>10082</v>
      </c>
      <c r="F1114" s="388" t="s">
        <v>10078</v>
      </c>
      <c r="G1114" s="388" t="s">
        <v>10078</v>
      </c>
      <c r="H1114" s="388" t="s">
        <v>11318</v>
      </c>
      <c r="I1114" s="387" t="s">
        <v>12030</v>
      </c>
      <c r="J1114" s="389">
        <v>44459</v>
      </c>
      <c r="K1114" s="387" t="s">
        <v>12031</v>
      </c>
      <c r="L1114" s="387"/>
      <c r="M1114" s="387" t="s">
        <v>10084</v>
      </c>
      <c r="N1114" s="387"/>
      <c r="O1114" s="387" t="s">
        <v>57</v>
      </c>
      <c r="P1114" s="390">
        <v>149634350</v>
      </c>
      <c r="Q1114" s="387" t="s">
        <v>12032</v>
      </c>
      <c r="R1114" s="358" t="s">
        <v>354</v>
      </c>
      <c r="S1114" s="340">
        <v>16</v>
      </c>
    </row>
    <row r="1115" spans="1:19" ht="44" thickBot="1" x14ac:dyDescent="0.4">
      <c r="A1115" s="357">
        <v>1104</v>
      </c>
      <c r="B1115" s="387" t="s">
        <v>12033</v>
      </c>
      <c r="C1115" s="387" t="s">
        <v>12034</v>
      </c>
      <c r="D1115" s="388" t="s">
        <v>51</v>
      </c>
      <c r="E1115" s="388" t="s">
        <v>10082</v>
      </c>
      <c r="F1115" s="388" t="s">
        <v>10078</v>
      </c>
      <c r="G1115" s="388" t="s">
        <v>10088</v>
      </c>
      <c r="H1115" s="388" t="s">
        <v>12035</v>
      </c>
      <c r="I1115" s="387" t="s">
        <v>12036</v>
      </c>
      <c r="J1115" s="389">
        <v>39555</v>
      </c>
      <c r="K1115" s="387" t="s">
        <v>12037</v>
      </c>
      <c r="L1115" s="387"/>
      <c r="M1115" s="387" t="s">
        <v>10084</v>
      </c>
      <c r="N1115" s="387"/>
      <c r="O1115" s="387" t="s">
        <v>57</v>
      </c>
      <c r="P1115" s="390">
        <v>1654223900</v>
      </c>
      <c r="Q1115" s="387" t="s">
        <v>12038</v>
      </c>
      <c r="R1115" s="358" t="s">
        <v>354</v>
      </c>
      <c r="S1115" s="340">
        <v>16</v>
      </c>
    </row>
    <row r="1116" spans="1:19" ht="43.5" x14ac:dyDescent="0.35">
      <c r="A1116" s="349">
        <v>1105</v>
      </c>
      <c r="B1116" s="387" t="s">
        <v>12033</v>
      </c>
      <c r="C1116" s="387" t="s">
        <v>12034</v>
      </c>
      <c r="D1116" s="388" t="s">
        <v>59</v>
      </c>
      <c r="E1116" s="388" t="s">
        <v>10082</v>
      </c>
      <c r="F1116" s="388" t="s">
        <v>10078</v>
      </c>
      <c r="G1116" s="388" t="s">
        <v>10088</v>
      </c>
      <c r="H1116" s="388" t="s">
        <v>12039</v>
      </c>
      <c r="I1116" s="387" t="s">
        <v>12040</v>
      </c>
      <c r="J1116" s="389"/>
      <c r="K1116" s="387" t="s">
        <v>12041</v>
      </c>
      <c r="L1116" s="387"/>
      <c r="M1116" s="387" t="s">
        <v>10084</v>
      </c>
      <c r="N1116" s="387"/>
      <c r="O1116" s="387" t="s">
        <v>57</v>
      </c>
      <c r="P1116" s="390">
        <v>602350000</v>
      </c>
      <c r="Q1116" s="387" t="s">
        <v>12042</v>
      </c>
      <c r="R1116" s="358" t="s">
        <v>354</v>
      </c>
      <c r="S1116" s="340">
        <v>16</v>
      </c>
    </row>
    <row r="1117" spans="1:19" ht="44" thickBot="1" x14ac:dyDescent="0.4">
      <c r="A1117" s="357">
        <v>1106</v>
      </c>
      <c r="B1117" s="387" t="s">
        <v>12033</v>
      </c>
      <c r="C1117" s="387" t="s">
        <v>12034</v>
      </c>
      <c r="D1117" s="388" t="s">
        <v>97</v>
      </c>
      <c r="E1117" s="388" t="s">
        <v>10082</v>
      </c>
      <c r="F1117" s="388" t="s">
        <v>10078</v>
      </c>
      <c r="G1117" s="388" t="s">
        <v>10078</v>
      </c>
      <c r="H1117" s="388" t="s">
        <v>11407</v>
      </c>
      <c r="I1117" s="387" t="s">
        <v>12043</v>
      </c>
      <c r="J1117" s="389">
        <v>41274</v>
      </c>
      <c r="K1117" s="387" t="s">
        <v>12044</v>
      </c>
      <c r="L1117" s="387"/>
      <c r="M1117" s="387" t="s">
        <v>10084</v>
      </c>
      <c r="N1117" s="387"/>
      <c r="O1117" s="387" t="s">
        <v>57</v>
      </c>
      <c r="P1117" s="390">
        <v>281253000</v>
      </c>
      <c r="Q1117" s="387" t="s">
        <v>12045</v>
      </c>
      <c r="R1117" s="358" t="s">
        <v>354</v>
      </c>
      <c r="S1117" s="340">
        <v>16</v>
      </c>
    </row>
    <row r="1118" spans="1:19" ht="58" x14ac:dyDescent="0.35">
      <c r="A1118" s="349">
        <v>1107</v>
      </c>
      <c r="B1118" s="387" t="s">
        <v>12033</v>
      </c>
      <c r="C1118" s="387" t="s">
        <v>12034</v>
      </c>
      <c r="D1118" s="388" t="s">
        <v>101</v>
      </c>
      <c r="E1118" s="388" t="s">
        <v>10082</v>
      </c>
      <c r="F1118" s="388" t="s">
        <v>10078</v>
      </c>
      <c r="G1118" s="388" t="s">
        <v>10088</v>
      </c>
      <c r="H1118" s="388" t="s">
        <v>12046</v>
      </c>
      <c r="I1118" s="387" t="s">
        <v>12018</v>
      </c>
      <c r="J1118" s="389">
        <v>41274</v>
      </c>
      <c r="K1118" s="387" t="s">
        <v>12047</v>
      </c>
      <c r="L1118" s="387"/>
      <c r="M1118" s="387" t="s">
        <v>10084</v>
      </c>
      <c r="N1118" s="387"/>
      <c r="O1118" s="387" t="s">
        <v>57</v>
      </c>
      <c r="P1118" s="390">
        <v>2050696575</v>
      </c>
      <c r="Q1118" s="387" t="s">
        <v>12048</v>
      </c>
      <c r="R1118" s="358" t="s">
        <v>354</v>
      </c>
      <c r="S1118" s="340">
        <v>16</v>
      </c>
    </row>
    <row r="1119" spans="1:19" ht="44" thickBot="1" x14ac:dyDescent="0.4">
      <c r="A1119" s="357">
        <v>1108</v>
      </c>
      <c r="B1119" s="387" t="s">
        <v>12033</v>
      </c>
      <c r="C1119" s="387" t="s">
        <v>12034</v>
      </c>
      <c r="D1119" s="388" t="s">
        <v>107</v>
      </c>
      <c r="E1119" s="388" t="s">
        <v>10082</v>
      </c>
      <c r="F1119" s="388" t="s">
        <v>10078</v>
      </c>
      <c r="G1119" s="388" t="s">
        <v>10088</v>
      </c>
      <c r="H1119" s="388" t="s">
        <v>12049</v>
      </c>
      <c r="I1119" s="387" t="s">
        <v>12050</v>
      </c>
      <c r="J1119" s="389">
        <v>41274</v>
      </c>
      <c r="K1119" s="387" t="s">
        <v>12051</v>
      </c>
      <c r="L1119" s="387"/>
      <c r="M1119" s="387" t="s">
        <v>10084</v>
      </c>
      <c r="N1119" s="387"/>
      <c r="O1119" s="387" t="s">
        <v>57</v>
      </c>
      <c r="P1119" s="390">
        <v>3355634340</v>
      </c>
      <c r="Q1119" s="387" t="s">
        <v>12052</v>
      </c>
      <c r="R1119" s="358" t="s">
        <v>354</v>
      </c>
      <c r="S1119" s="340">
        <v>16</v>
      </c>
    </row>
    <row r="1120" spans="1:19" ht="43.5" x14ac:dyDescent="0.35">
      <c r="A1120" s="349">
        <v>1109</v>
      </c>
      <c r="B1120" s="387" t="s">
        <v>12033</v>
      </c>
      <c r="C1120" s="387" t="s">
        <v>12034</v>
      </c>
      <c r="D1120" s="388" t="s">
        <v>112</v>
      </c>
      <c r="E1120" s="388" t="s">
        <v>10082</v>
      </c>
      <c r="F1120" s="388" t="s">
        <v>10078</v>
      </c>
      <c r="G1120" s="388" t="s">
        <v>10078</v>
      </c>
      <c r="H1120" s="388" t="s">
        <v>12053</v>
      </c>
      <c r="I1120" s="387" t="s">
        <v>12054</v>
      </c>
      <c r="J1120" s="389">
        <v>43714</v>
      </c>
      <c r="K1120" s="387" t="s">
        <v>10530</v>
      </c>
      <c r="L1120" s="387"/>
      <c r="M1120" s="387" t="s">
        <v>10084</v>
      </c>
      <c r="N1120" s="387"/>
      <c r="O1120" s="387" t="s">
        <v>57</v>
      </c>
      <c r="P1120" s="390">
        <v>77274000</v>
      </c>
      <c r="Q1120" s="387" t="s">
        <v>12055</v>
      </c>
      <c r="R1120" s="358" t="s">
        <v>354</v>
      </c>
      <c r="S1120" s="340">
        <v>16</v>
      </c>
    </row>
    <row r="1121" spans="1:19" ht="29.5" thickBot="1" x14ac:dyDescent="0.4">
      <c r="A1121" s="357">
        <v>1110</v>
      </c>
      <c r="B1121" s="387" t="s">
        <v>12056</v>
      </c>
      <c r="C1121" s="387" t="s">
        <v>12057</v>
      </c>
      <c r="D1121" s="388" t="s">
        <v>51</v>
      </c>
      <c r="E1121" s="388" t="s">
        <v>10082</v>
      </c>
      <c r="F1121" s="388" t="s">
        <v>10078</v>
      </c>
      <c r="G1121" s="388" t="s">
        <v>10088</v>
      </c>
      <c r="H1121" s="388" t="s">
        <v>8959</v>
      </c>
      <c r="I1121" s="387" t="s">
        <v>12058</v>
      </c>
      <c r="J1121" s="389">
        <v>41389</v>
      </c>
      <c r="K1121" s="387" t="s">
        <v>12059</v>
      </c>
      <c r="L1121" s="387"/>
      <c r="M1121" s="387" t="s">
        <v>10084</v>
      </c>
      <c r="N1121" s="387"/>
      <c r="O1121" s="387" t="s">
        <v>57</v>
      </c>
      <c r="P1121" s="390">
        <v>207775000</v>
      </c>
      <c r="Q1121" s="387" t="s">
        <v>12060</v>
      </c>
      <c r="R1121" s="358" t="s">
        <v>354</v>
      </c>
      <c r="S1121" s="340">
        <v>16</v>
      </c>
    </row>
    <row r="1122" spans="1:19" ht="58" x14ac:dyDescent="0.35">
      <c r="A1122" s="349">
        <v>1111</v>
      </c>
      <c r="B1122" s="387" t="s">
        <v>12061</v>
      </c>
      <c r="C1122" s="387" t="s">
        <v>12062</v>
      </c>
      <c r="D1122" s="388" t="s">
        <v>51</v>
      </c>
      <c r="E1122" s="388" t="s">
        <v>10082</v>
      </c>
      <c r="F1122" s="388" t="s">
        <v>10078</v>
      </c>
      <c r="G1122" s="388" t="s">
        <v>10088</v>
      </c>
      <c r="H1122" s="388" t="s">
        <v>12063</v>
      </c>
      <c r="I1122" s="387" t="s">
        <v>12064</v>
      </c>
      <c r="J1122" s="389">
        <v>41274</v>
      </c>
      <c r="K1122" s="387" t="s">
        <v>12065</v>
      </c>
      <c r="L1122" s="387"/>
      <c r="M1122" s="387" t="s">
        <v>10084</v>
      </c>
      <c r="N1122" s="387"/>
      <c r="O1122" s="387" t="s">
        <v>57</v>
      </c>
      <c r="P1122" s="390">
        <v>4324622000</v>
      </c>
      <c r="Q1122" s="387" t="s">
        <v>12066</v>
      </c>
      <c r="R1122" s="358" t="s">
        <v>354</v>
      </c>
      <c r="S1122" s="340">
        <v>16</v>
      </c>
    </row>
    <row r="1123" spans="1:19" ht="44" thickBot="1" x14ac:dyDescent="0.4">
      <c r="A1123" s="357">
        <v>1112</v>
      </c>
      <c r="B1123" s="387" t="s">
        <v>12067</v>
      </c>
      <c r="C1123" s="387" t="s">
        <v>12068</v>
      </c>
      <c r="D1123" s="388" t="s">
        <v>51</v>
      </c>
      <c r="E1123" s="388" t="s">
        <v>10082</v>
      </c>
      <c r="F1123" s="388" t="s">
        <v>10078</v>
      </c>
      <c r="G1123" s="388" t="s">
        <v>10088</v>
      </c>
      <c r="H1123" s="388" t="s">
        <v>12007</v>
      </c>
      <c r="I1123" s="387" t="s">
        <v>12069</v>
      </c>
      <c r="J1123" s="389">
        <v>41389</v>
      </c>
      <c r="K1123" s="387" t="s">
        <v>12070</v>
      </c>
      <c r="L1123" s="387"/>
      <c r="M1123" s="387" t="s">
        <v>10084</v>
      </c>
      <c r="N1123" s="387"/>
      <c r="O1123" s="387" t="s">
        <v>57</v>
      </c>
      <c r="P1123" s="390">
        <v>219045000</v>
      </c>
      <c r="Q1123" s="387" t="s">
        <v>12071</v>
      </c>
      <c r="R1123" s="358" t="s">
        <v>354</v>
      </c>
      <c r="S1123" s="340">
        <v>16</v>
      </c>
    </row>
    <row r="1124" spans="1:19" ht="58" x14ac:dyDescent="0.35">
      <c r="A1124" s="349">
        <v>1113</v>
      </c>
      <c r="B1124" s="387" t="s">
        <v>12067</v>
      </c>
      <c r="C1124" s="387" t="s">
        <v>12068</v>
      </c>
      <c r="D1124" s="388" t="s">
        <v>59</v>
      </c>
      <c r="E1124" s="388" t="s">
        <v>10082</v>
      </c>
      <c r="F1124" s="388" t="s">
        <v>10078</v>
      </c>
      <c r="G1124" s="388" t="s">
        <v>10088</v>
      </c>
      <c r="H1124" s="388" t="s">
        <v>2972</v>
      </c>
      <c r="I1124" s="387" t="s">
        <v>12072</v>
      </c>
      <c r="J1124" s="389">
        <v>42544</v>
      </c>
      <c r="K1124" s="387" t="s">
        <v>12073</v>
      </c>
      <c r="L1124" s="387"/>
      <c r="M1124" s="387" t="s">
        <v>10084</v>
      </c>
      <c r="N1124" s="387"/>
      <c r="O1124" s="387" t="s">
        <v>57</v>
      </c>
      <c r="P1124" s="390">
        <v>452158000</v>
      </c>
      <c r="Q1124" s="387" t="s">
        <v>12074</v>
      </c>
      <c r="R1124" s="358" t="s">
        <v>354</v>
      </c>
      <c r="S1124" s="340">
        <v>16</v>
      </c>
    </row>
    <row r="1125" spans="1:19" ht="29.5" thickBot="1" x14ac:dyDescent="0.4">
      <c r="A1125" s="357">
        <v>1114</v>
      </c>
      <c r="B1125" s="387" t="s">
        <v>10997</v>
      </c>
      <c r="C1125" s="387" t="s">
        <v>10998</v>
      </c>
      <c r="D1125" s="388" t="s">
        <v>51</v>
      </c>
      <c r="E1125" s="388" t="s">
        <v>10082</v>
      </c>
      <c r="F1125" s="388" t="s">
        <v>10078</v>
      </c>
      <c r="G1125" s="388" t="s">
        <v>10088</v>
      </c>
      <c r="H1125" s="388" t="s">
        <v>2972</v>
      </c>
      <c r="I1125" s="387"/>
      <c r="J1125" s="389"/>
      <c r="K1125" s="387"/>
      <c r="L1125" s="387"/>
      <c r="M1125" s="387" t="s">
        <v>10084</v>
      </c>
      <c r="N1125" s="387"/>
      <c r="O1125" s="387" t="s">
        <v>57</v>
      </c>
      <c r="P1125" s="390">
        <v>60211900</v>
      </c>
      <c r="Q1125" s="387" t="s">
        <v>12075</v>
      </c>
      <c r="R1125" s="358" t="s">
        <v>354</v>
      </c>
      <c r="S1125" s="340">
        <v>16</v>
      </c>
    </row>
    <row r="1126" spans="1:19" ht="43.5" x14ac:dyDescent="0.35">
      <c r="A1126" s="349">
        <v>1115</v>
      </c>
      <c r="B1126" s="387" t="s">
        <v>10997</v>
      </c>
      <c r="C1126" s="387" t="s">
        <v>10998</v>
      </c>
      <c r="D1126" s="388" t="s">
        <v>59</v>
      </c>
      <c r="E1126" s="388" t="s">
        <v>10673</v>
      </c>
      <c r="F1126" s="388" t="s">
        <v>10078</v>
      </c>
      <c r="G1126" s="388" t="s">
        <v>10078</v>
      </c>
      <c r="H1126" s="388" t="s">
        <v>11333</v>
      </c>
      <c r="I1126" s="387" t="s">
        <v>12076</v>
      </c>
      <c r="J1126" s="389">
        <v>40359</v>
      </c>
      <c r="K1126" s="387" t="s">
        <v>12077</v>
      </c>
      <c r="L1126" s="387"/>
      <c r="M1126" s="387" t="s">
        <v>10084</v>
      </c>
      <c r="N1126" s="387"/>
      <c r="O1126" s="387" t="s">
        <v>57</v>
      </c>
      <c r="P1126" s="390">
        <v>73950000</v>
      </c>
      <c r="Q1126" s="387" t="s">
        <v>12078</v>
      </c>
      <c r="R1126" s="358" t="s">
        <v>354</v>
      </c>
      <c r="S1126" s="340">
        <v>16</v>
      </c>
    </row>
    <row r="1127" spans="1:19" ht="29.5" thickBot="1" x14ac:dyDescent="0.4">
      <c r="A1127" s="357">
        <v>1116</v>
      </c>
      <c r="B1127" s="387" t="s">
        <v>12079</v>
      </c>
      <c r="C1127" s="387" t="s">
        <v>12080</v>
      </c>
      <c r="D1127" s="388" t="s">
        <v>51</v>
      </c>
      <c r="E1127" s="388" t="s">
        <v>10082</v>
      </c>
      <c r="F1127" s="388" t="s">
        <v>10078</v>
      </c>
      <c r="G1127" s="388" t="s">
        <v>10078</v>
      </c>
      <c r="H1127" s="388" t="s">
        <v>11291</v>
      </c>
      <c r="I1127" s="387" t="s">
        <v>12081</v>
      </c>
      <c r="J1127" s="389">
        <v>42436</v>
      </c>
      <c r="K1127" s="387" t="s">
        <v>12082</v>
      </c>
      <c r="L1127" s="387"/>
      <c r="M1127" s="387" t="s">
        <v>10084</v>
      </c>
      <c r="N1127" s="387"/>
      <c r="O1127" s="387" t="s">
        <v>57</v>
      </c>
      <c r="P1127" s="390">
        <v>64320000</v>
      </c>
      <c r="Q1127" s="387" t="s">
        <v>12083</v>
      </c>
      <c r="R1127" s="358" t="s">
        <v>354</v>
      </c>
      <c r="S1127" s="340">
        <v>16</v>
      </c>
    </row>
    <row r="1128" spans="1:19" ht="43.5" x14ac:dyDescent="0.35">
      <c r="A1128" s="349">
        <v>1117</v>
      </c>
      <c r="B1128" s="387" t="s">
        <v>12079</v>
      </c>
      <c r="C1128" s="387" t="s">
        <v>12080</v>
      </c>
      <c r="D1128" s="388" t="s">
        <v>59</v>
      </c>
      <c r="E1128" s="388" t="s">
        <v>10082</v>
      </c>
      <c r="F1128" s="388" t="s">
        <v>10078</v>
      </c>
      <c r="G1128" s="388" t="s">
        <v>10078</v>
      </c>
      <c r="H1128" s="388" t="s">
        <v>11291</v>
      </c>
      <c r="I1128" s="387" t="s">
        <v>12084</v>
      </c>
      <c r="J1128" s="389">
        <v>42436</v>
      </c>
      <c r="K1128" s="387" t="s">
        <v>12085</v>
      </c>
      <c r="L1128" s="387"/>
      <c r="M1128" s="387" t="s">
        <v>10084</v>
      </c>
      <c r="N1128" s="387"/>
      <c r="O1128" s="387" t="s">
        <v>57</v>
      </c>
      <c r="P1128" s="390">
        <v>64513000</v>
      </c>
      <c r="Q1128" s="387" t="s">
        <v>12086</v>
      </c>
      <c r="R1128" s="358" t="s">
        <v>354</v>
      </c>
      <c r="S1128" s="340">
        <v>16</v>
      </c>
    </row>
    <row r="1129" spans="1:19" ht="29.5" thickBot="1" x14ac:dyDescent="0.4">
      <c r="A1129" s="357">
        <v>1118</v>
      </c>
      <c r="B1129" s="387" t="s">
        <v>12079</v>
      </c>
      <c r="C1129" s="387" t="s">
        <v>12080</v>
      </c>
      <c r="D1129" s="388" t="s">
        <v>97</v>
      </c>
      <c r="E1129" s="388" t="s">
        <v>10082</v>
      </c>
      <c r="F1129" s="388" t="s">
        <v>10078</v>
      </c>
      <c r="G1129" s="388" t="s">
        <v>10078</v>
      </c>
      <c r="H1129" s="388" t="s">
        <v>11291</v>
      </c>
      <c r="I1129" s="387" t="s">
        <v>12087</v>
      </c>
      <c r="J1129" s="389">
        <v>42436</v>
      </c>
      <c r="K1129" s="387" t="s">
        <v>12088</v>
      </c>
      <c r="L1129" s="387"/>
      <c r="M1129" s="387" t="s">
        <v>10084</v>
      </c>
      <c r="N1129" s="387"/>
      <c r="O1129" s="387" t="s">
        <v>57</v>
      </c>
      <c r="P1129" s="390">
        <v>75998000</v>
      </c>
      <c r="Q1129" s="387" t="s">
        <v>12089</v>
      </c>
      <c r="R1129" s="358" t="s">
        <v>354</v>
      </c>
      <c r="S1129" s="340">
        <v>16</v>
      </c>
    </row>
    <row r="1130" spans="1:19" ht="29" x14ac:dyDescent="0.35">
      <c r="A1130" s="349">
        <v>1119</v>
      </c>
      <c r="B1130" s="387" t="s">
        <v>12079</v>
      </c>
      <c r="C1130" s="387" t="s">
        <v>12080</v>
      </c>
      <c r="D1130" s="388" t="s">
        <v>101</v>
      </c>
      <c r="E1130" s="388" t="s">
        <v>10082</v>
      </c>
      <c r="F1130" s="388" t="s">
        <v>10078</v>
      </c>
      <c r="G1130" s="388" t="s">
        <v>10078</v>
      </c>
      <c r="H1130" s="388" t="s">
        <v>11291</v>
      </c>
      <c r="I1130" s="387" t="s">
        <v>12090</v>
      </c>
      <c r="J1130" s="389">
        <v>42425</v>
      </c>
      <c r="K1130" s="387" t="s">
        <v>12091</v>
      </c>
      <c r="L1130" s="387"/>
      <c r="M1130" s="387" t="s">
        <v>10084</v>
      </c>
      <c r="N1130" s="387"/>
      <c r="O1130" s="387" t="s">
        <v>57</v>
      </c>
      <c r="P1130" s="390">
        <v>80257500</v>
      </c>
      <c r="Q1130" s="387" t="s">
        <v>12092</v>
      </c>
      <c r="R1130" s="358" t="s">
        <v>354</v>
      </c>
      <c r="S1130" s="340">
        <v>16</v>
      </c>
    </row>
    <row r="1131" spans="1:19" ht="44" thickBot="1" x14ac:dyDescent="0.4">
      <c r="A1131" s="357">
        <v>1120</v>
      </c>
      <c r="B1131" s="387" t="s">
        <v>12079</v>
      </c>
      <c r="C1131" s="387" t="s">
        <v>12080</v>
      </c>
      <c r="D1131" s="388" t="s">
        <v>107</v>
      </c>
      <c r="E1131" s="388" t="s">
        <v>10082</v>
      </c>
      <c r="F1131" s="388" t="s">
        <v>10078</v>
      </c>
      <c r="G1131" s="388" t="s">
        <v>10078</v>
      </c>
      <c r="H1131" s="388" t="s">
        <v>11291</v>
      </c>
      <c r="I1131" s="387" t="s">
        <v>12093</v>
      </c>
      <c r="J1131" s="389">
        <v>42425</v>
      </c>
      <c r="K1131" s="387" t="s">
        <v>12091</v>
      </c>
      <c r="L1131" s="387"/>
      <c r="M1131" s="387" t="s">
        <v>10084</v>
      </c>
      <c r="N1131" s="387"/>
      <c r="O1131" s="387" t="s">
        <v>57</v>
      </c>
      <c r="P1131" s="390">
        <v>80257500</v>
      </c>
      <c r="Q1131" s="387" t="s">
        <v>12092</v>
      </c>
      <c r="R1131" s="358" t="s">
        <v>354</v>
      </c>
      <c r="S1131" s="340">
        <v>16</v>
      </c>
    </row>
    <row r="1132" spans="1:19" ht="29" x14ac:dyDescent="0.35">
      <c r="A1132" s="349">
        <v>1121</v>
      </c>
      <c r="B1132" s="387" t="s">
        <v>12079</v>
      </c>
      <c r="C1132" s="387" t="s">
        <v>12080</v>
      </c>
      <c r="D1132" s="388" t="s">
        <v>112</v>
      </c>
      <c r="E1132" s="388" t="s">
        <v>10082</v>
      </c>
      <c r="F1132" s="388" t="s">
        <v>10078</v>
      </c>
      <c r="G1132" s="388" t="s">
        <v>10078</v>
      </c>
      <c r="H1132" s="388" t="s">
        <v>11291</v>
      </c>
      <c r="I1132" s="387" t="s">
        <v>12094</v>
      </c>
      <c r="J1132" s="389">
        <v>42425</v>
      </c>
      <c r="K1132" s="387" t="s">
        <v>12095</v>
      </c>
      <c r="L1132" s="387"/>
      <c r="M1132" s="387" t="s">
        <v>10084</v>
      </c>
      <c r="N1132" s="387"/>
      <c r="O1132" s="387" t="s">
        <v>57</v>
      </c>
      <c r="P1132" s="390">
        <v>87775000</v>
      </c>
      <c r="Q1132" s="387" t="s">
        <v>12096</v>
      </c>
      <c r="R1132" s="358" t="s">
        <v>354</v>
      </c>
      <c r="S1132" s="340">
        <v>16</v>
      </c>
    </row>
    <row r="1133" spans="1:19" ht="44" thickBot="1" x14ac:dyDescent="0.4">
      <c r="A1133" s="357">
        <v>1122</v>
      </c>
      <c r="B1133" s="387" t="s">
        <v>11382</v>
      </c>
      <c r="C1133" s="387" t="s">
        <v>11383</v>
      </c>
      <c r="D1133" s="388" t="s">
        <v>51</v>
      </c>
      <c r="E1133" s="388" t="s">
        <v>10082</v>
      </c>
      <c r="F1133" s="388" t="s">
        <v>10078</v>
      </c>
      <c r="G1133" s="388" t="s">
        <v>10088</v>
      </c>
      <c r="H1133" s="388" t="s">
        <v>8956</v>
      </c>
      <c r="I1133" s="387" t="s">
        <v>12097</v>
      </c>
      <c r="J1133" s="389">
        <v>41389</v>
      </c>
      <c r="K1133" s="387" t="s">
        <v>12098</v>
      </c>
      <c r="L1133" s="387"/>
      <c r="M1133" s="387" t="s">
        <v>10084</v>
      </c>
      <c r="N1133" s="387"/>
      <c r="O1133" s="387" t="s">
        <v>57</v>
      </c>
      <c r="P1133" s="390">
        <v>109445000</v>
      </c>
      <c r="Q1133" s="387" t="s">
        <v>12099</v>
      </c>
      <c r="R1133" s="358" t="s">
        <v>354</v>
      </c>
      <c r="S1133" s="340">
        <v>16</v>
      </c>
    </row>
    <row r="1134" spans="1:19" ht="43.5" x14ac:dyDescent="0.35">
      <c r="A1134" s="349">
        <v>1123</v>
      </c>
      <c r="B1134" s="387" t="s">
        <v>11091</v>
      </c>
      <c r="C1134" s="387" t="s">
        <v>11092</v>
      </c>
      <c r="D1134" s="388" t="s">
        <v>51</v>
      </c>
      <c r="E1134" s="388" t="s">
        <v>10082</v>
      </c>
      <c r="F1134" s="388" t="s">
        <v>10078</v>
      </c>
      <c r="G1134" s="388" t="s">
        <v>10088</v>
      </c>
      <c r="H1134" s="388" t="s">
        <v>11315</v>
      </c>
      <c r="I1134" s="387" t="s">
        <v>12100</v>
      </c>
      <c r="J1134" s="389">
        <v>41389</v>
      </c>
      <c r="K1134" s="387" t="s">
        <v>12101</v>
      </c>
      <c r="L1134" s="387"/>
      <c r="M1134" s="387" t="s">
        <v>10084</v>
      </c>
      <c r="N1134" s="387"/>
      <c r="O1134" s="387" t="s">
        <v>57</v>
      </c>
      <c r="P1134" s="390">
        <v>73400000</v>
      </c>
      <c r="Q1134" s="387" t="s">
        <v>12102</v>
      </c>
      <c r="R1134" s="358" t="s">
        <v>354</v>
      </c>
      <c r="S1134" s="340">
        <v>16</v>
      </c>
    </row>
    <row r="1135" spans="1:19" ht="58.5" thickBot="1" x14ac:dyDescent="0.4">
      <c r="A1135" s="357">
        <v>1124</v>
      </c>
      <c r="B1135" s="387" t="s">
        <v>11091</v>
      </c>
      <c r="C1135" s="387" t="s">
        <v>11092</v>
      </c>
      <c r="D1135" s="388" t="s">
        <v>59</v>
      </c>
      <c r="E1135" s="388" t="s">
        <v>10673</v>
      </c>
      <c r="F1135" s="388" t="s">
        <v>10078</v>
      </c>
      <c r="G1135" s="388" t="s">
        <v>10078</v>
      </c>
      <c r="H1135" s="388" t="s">
        <v>12103</v>
      </c>
      <c r="I1135" s="387" t="s">
        <v>12104</v>
      </c>
      <c r="J1135" s="389">
        <v>41339</v>
      </c>
      <c r="K1135" s="387" t="s">
        <v>12105</v>
      </c>
      <c r="L1135" s="387"/>
      <c r="M1135" s="387" t="s">
        <v>10084</v>
      </c>
      <c r="N1135" s="387"/>
      <c r="O1135" s="387" t="s">
        <v>57</v>
      </c>
      <c r="P1135" s="390">
        <v>74000000</v>
      </c>
      <c r="Q1135" s="387" t="s">
        <v>12106</v>
      </c>
      <c r="R1135" s="358" t="s">
        <v>354</v>
      </c>
      <c r="S1135" s="340">
        <v>16</v>
      </c>
    </row>
    <row r="1136" spans="1:19" ht="29" x14ac:dyDescent="0.35">
      <c r="A1136" s="349">
        <v>1125</v>
      </c>
      <c r="B1136" s="387" t="s">
        <v>11708</v>
      </c>
      <c r="C1136" s="387" t="s">
        <v>11709</v>
      </c>
      <c r="D1136" s="388" t="s">
        <v>51</v>
      </c>
      <c r="E1136" s="388" t="s">
        <v>10082</v>
      </c>
      <c r="F1136" s="388" t="s">
        <v>10078</v>
      </c>
      <c r="G1136" s="388" t="s">
        <v>10088</v>
      </c>
      <c r="H1136" s="388" t="s">
        <v>2972</v>
      </c>
      <c r="I1136" s="387" t="s">
        <v>63</v>
      </c>
      <c r="J1136" s="389">
        <v>43045</v>
      </c>
      <c r="K1136" s="387" t="s">
        <v>12107</v>
      </c>
      <c r="L1136" s="387"/>
      <c r="M1136" s="387"/>
      <c r="N1136" s="387"/>
      <c r="O1136" s="387" t="s">
        <v>44</v>
      </c>
      <c r="P1136" s="390">
        <v>210000</v>
      </c>
      <c r="Q1136" s="387" t="s">
        <v>12108</v>
      </c>
      <c r="R1136" s="358" t="s">
        <v>354</v>
      </c>
      <c r="S1136" s="340">
        <v>16</v>
      </c>
    </row>
    <row r="1137" spans="1:19" ht="29.5" thickBot="1" x14ac:dyDescent="0.4">
      <c r="A1137" s="357">
        <v>1126</v>
      </c>
      <c r="B1137" s="387" t="s">
        <v>11708</v>
      </c>
      <c r="C1137" s="387" t="s">
        <v>11709</v>
      </c>
      <c r="D1137" s="388" t="s">
        <v>59</v>
      </c>
      <c r="E1137" s="388" t="s">
        <v>10082</v>
      </c>
      <c r="F1137" s="388" t="s">
        <v>10078</v>
      </c>
      <c r="G1137" s="388" t="s">
        <v>10088</v>
      </c>
      <c r="H1137" s="388" t="s">
        <v>2972</v>
      </c>
      <c r="I1137" s="387" t="s">
        <v>63</v>
      </c>
      <c r="J1137" s="389">
        <v>43045</v>
      </c>
      <c r="K1137" s="387" t="s">
        <v>12107</v>
      </c>
      <c r="L1137" s="387"/>
      <c r="M1137" s="387"/>
      <c r="N1137" s="387"/>
      <c r="O1137" s="387" t="s">
        <v>44</v>
      </c>
      <c r="P1137" s="390">
        <v>210000</v>
      </c>
      <c r="Q1137" s="387" t="s">
        <v>12108</v>
      </c>
      <c r="R1137" s="358" t="s">
        <v>354</v>
      </c>
      <c r="S1137" s="340">
        <v>16</v>
      </c>
    </row>
    <row r="1138" spans="1:19" ht="29" x14ac:dyDescent="0.35">
      <c r="A1138" s="349">
        <v>1127</v>
      </c>
      <c r="B1138" s="387" t="s">
        <v>11708</v>
      </c>
      <c r="C1138" s="387" t="s">
        <v>11709</v>
      </c>
      <c r="D1138" s="388" t="s">
        <v>97</v>
      </c>
      <c r="E1138" s="388" t="s">
        <v>10082</v>
      </c>
      <c r="F1138" s="388" t="s">
        <v>10078</v>
      </c>
      <c r="G1138" s="388" t="s">
        <v>10088</v>
      </c>
      <c r="H1138" s="388" t="s">
        <v>2972</v>
      </c>
      <c r="I1138" s="387" t="s">
        <v>63</v>
      </c>
      <c r="J1138" s="389">
        <v>43045</v>
      </c>
      <c r="K1138" s="387" t="s">
        <v>12107</v>
      </c>
      <c r="L1138" s="387"/>
      <c r="M1138" s="387"/>
      <c r="N1138" s="387"/>
      <c r="O1138" s="387" t="s">
        <v>44</v>
      </c>
      <c r="P1138" s="390">
        <v>210000</v>
      </c>
      <c r="Q1138" s="387" t="s">
        <v>12108</v>
      </c>
      <c r="R1138" s="358" t="s">
        <v>354</v>
      </c>
      <c r="S1138" s="340">
        <v>16</v>
      </c>
    </row>
    <row r="1139" spans="1:19" ht="29.5" thickBot="1" x14ac:dyDescent="0.4">
      <c r="A1139" s="357">
        <v>1128</v>
      </c>
      <c r="B1139" s="387" t="s">
        <v>11708</v>
      </c>
      <c r="C1139" s="387" t="s">
        <v>11709</v>
      </c>
      <c r="D1139" s="388" t="s">
        <v>101</v>
      </c>
      <c r="E1139" s="388" t="s">
        <v>10082</v>
      </c>
      <c r="F1139" s="388" t="s">
        <v>10078</v>
      </c>
      <c r="G1139" s="388" t="s">
        <v>10088</v>
      </c>
      <c r="H1139" s="388" t="s">
        <v>2972</v>
      </c>
      <c r="I1139" s="387" t="s">
        <v>63</v>
      </c>
      <c r="J1139" s="389">
        <v>43045</v>
      </c>
      <c r="K1139" s="387" t="s">
        <v>12107</v>
      </c>
      <c r="L1139" s="387"/>
      <c r="M1139" s="387"/>
      <c r="N1139" s="387"/>
      <c r="O1139" s="387" t="s">
        <v>44</v>
      </c>
      <c r="P1139" s="390">
        <v>210000</v>
      </c>
      <c r="Q1139" s="387" t="s">
        <v>12108</v>
      </c>
      <c r="R1139" s="358" t="s">
        <v>354</v>
      </c>
      <c r="S1139" s="340">
        <v>16</v>
      </c>
    </row>
    <row r="1140" spans="1:19" ht="29" x14ac:dyDescent="0.35">
      <c r="A1140" s="349">
        <v>1129</v>
      </c>
      <c r="B1140" s="387" t="s">
        <v>11708</v>
      </c>
      <c r="C1140" s="387" t="s">
        <v>11709</v>
      </c>
      <c r="D1140" s="388" t="s">
        <v>107</v>
      </c>
      <c r="E1140" s="388" t="s">
        <v>10082</v>
      </c>
      <c r="F1140" s="388" t="s">
        <v>10078</v>
      </c>
      <c r="G1140" s="388" t="s">
        <v>10088</v>
      </c>
      <c r="H1140" s="388" t="s">
        <v>2972</v>
      </c>
      <c r="I1140" s="387" t="s">
        <v>63</v>
      </c>
      <c r="J1140" s="389">
        <v>43045</v>
      </c>
      <c r="K1140" s="387" t="s">
        <v>12107</v>
      </c>
      <c r="L1140" s="387"/>
      <c r="M1140" s="387"/>
      <c r="N1140" s="387"/>
      <c r="O1140" s="387" t="s">
        <v>44</v>
      </c>
      <c r="P1140" s="390">
        <v>210000</v>
      </c>
      <c r="Q1140" s="387" t="s">
        <v>12108</v>
      </c>
      <c r="R1140" s="358" t="s">
        <v>354</v>
      </c>
      <c r="S1140" s="340">
        <v>16</v>
      </c>
    </row>
    <row r="1141" spans="1:19" ht="29.5" thickBot="1" x14ac:dyDescent="0.4">
      <c r="A1141" s="357">
        <v>1130</v>
      </c>
      <c r="B1141" s="387" t="s">
        <v>11708</v>
      </c>
      <c r="C1141" s="387" t="s">
        <v>11709</v>
      </c>
      <c r="D1141" s="388" t="s">
        <v>112</v>
      </c>
      <c r="E1141" s="388" t="s">
        <v>10082</v>
      </c>
      <c r="F1141" s="388" t="s">
        <v>10078</v>
      </c>
      <c r="G1141" s="388" t="s">
        <v>10088</v>
      </c>
      <c r="H1141" s="388" t="s">
        <v>2972</v>
      </c>
      <c r="I1141" s="387" t="s">
        <v>63</v>
      </c>
      <c r="J1141" s="389">
        <v>43045</v>
      </c>
      <c r="K1141" s="387" t="s">
        <v>12107</v>
      </c>
      <c r="L1141" s="387"/>
      <c r="M1141" s="387"/>
      <c r="N1141" s="387"/>
      <c r="O1141" s="387" t="s">
        <v>44</v>
      </c>
      <c r="P1141" s="390">
        <v>210000</v>
      </c>
      <c r="Q1141" s="387" t="s">
        <v>12108</v>
      </c>
      <c r="R1141" s="358" t="s">
        <v>354</v>
      </c>
      <c r="S1141" s="340">
        <v>16</v>
      </c>
    </row>
    <row r="1142" spans="1:19" ht="29" x14ac:dyDescent="0.35">
      <c r="A1142" s="349">
        <v>1131</v>
      </c>
      <c r="B1142" s="387" t="s">
        <v>11708</v>
      </c>
      <c r="C1142" s="387" t="s">
        <v>11709</v>
      </c>
      <c r="D1142" s="388" t="s">
        <v>116</v>
      </c>
      <c r="E1142" s="388" t="s">
        <v>10082</v>
      </c>
      <c r="F1142" s="388" t="s">
        <v>10078</v>
      </c>
      <c r="G1142" s="388" t="s">
        <v>10088</v>
      </c>
      <c r="H1142" s="388" t="s">
        <v>2972</v>
      </c>
      <c r="I1142" s="387" t="s">
        <v>63</v>
      </c>
      <c r="J1142" s="389">
        <v>43045</v>
      </c>
      <c r="K1142" s="387" t="s">
        <v>12107</v>
      </c>
      <c r="L1142" s="387"/>
      <c r="M1142" s="387"/>
      <c r="N1142" s="387"/>
      <c r="O1142" s="387" t="s">
        <v>44</v>
      </c>
      <c r="P1142" s="390">
        <v>210000</v>
      </c>
      <c r="Q1142" s="387" t="s">
        <v>12108</v>
      </c>
      <c r="R1142" s="358" t="s">
        <v>354</v>
      </c>
      <c r="S1142" s="340">
        <v>16</v>
      </c>
    </row>
    <row r="1143" spans="1:19" ht="29.5" thickBot="1" x14ac:dyDescent="0.4">
      <c r="A1143" s="357">
        <v>1132</v>
      </c>
      <c r="B1143" s="387" t="s">
        <v>11708</v>
      </c>
      <c r="C1143" s="387" t="s">
        <v>11709</v>
      </c>
      <c r="D1143" s="388" t="s">
        <v>841</v>
      </c>
      <c r="E1143" s="388" t="s">
        <v>10082</v>
      </c>
      <c r="F1143" s="388" t="s">
        <v>10078</v>
      </c>
      <c r="G1143" s="388" t="s">
        <v>10088</v>
      </c>
      <c r="H1143" s="388" t="s">
        <v>2972</v>
      </c>
      <c r="I1143" s="387" t="s">
        <v>63</v>
      </c>
      <c r="J1143" s="389">
        <v>43045</v>
      </c>
      <c r="K1143" s="387" t="s">
        <v>12107</v>
      </c>
      <c r="L1143" s="387"/>
      <c r="M1143" s="387"/>
      <c r="N1143" s="387"/>
      <c r="O1143" s="387" t="s">
        <v>44</v>
      </c>
      <c r="P1143" s="390">
        <v>210000</v>
      </c>
      <c r="Q1143" s="387" t="s">
        <v>12108</v>
      </c>
      <c r="R1143" s="358" t="s">
        <v>354</v>
      </c>
      <c r="S1143" s="340">
        <v>16</v>
      </c>
    </row>
    <row r="1144" spans="1:19" ht="29" x14ac:dyDescent="0.35">
      <c r="A1144" s="349">
        <v>1133</v>
      </c>
      <c r="B1144" s="387" t="s">
        <v>11708</v>
      </c>
      <c r="C1144" s="387" t="s">
        <v>11709</v>
      </c>
      <c r="D1144" s="388" t="s">
        <v>904</v>
      </c>
      <c r="E1144" s="388" t="s">
        <v>10082</v>
      </c>
      <c r="F1144" s="388" t="s">
        <v>10078</v>
      </c>
      <c r="G1144" s="388" t="s">
        <v>10088</v>
      </c>
      <c r="H1144" s="388" t="s">
        <v>2972</v>
      </c>
      <c r="I1144" s="387" t="s">
        <v>63</v>
      </c>
      <c r="J1144" s="389">
        <v>43045</v>
      </c>
      <c r="K1144" s="387" t="s">
        <v>12107</v>
      </c>
      <c r="L1144" s="387"/>
      <c r="M1144" s="387"/>
      <c r="N1144" s="387"/>
      <c r="O1144" s="387" t="s">
        <v>44</v>
      </c>
      <c r="P1144" s="390">
        <v>210000</v>
      </c>
      <c r="Q1144" s="387" t="s">
        <v>12108</v>
      </c>
      <c r="R1144" s="358" t="s">
        <v>354</v>
      </c>
      <c r="S1144" s="340">
        <v>16</v>
      </c>
    </row>
    <row r="1145" spans="1:19" ht="29.5" thickBot="1" x14ac:dyDescent="0.4">
      <c r="A1145" s="357">
        <v>1134</v>
      </c>
      <c r="B1145" s="387" t="s">
        <v>11708</v>
      </c>
      <c r="C1145" s="387" t="s">
        <v>11709</v>
      </c>
      <c r="D1145" s="388" t="s">
        <v>122</v>
      </c>
      <c r="E1145" s="388" t="s">
        <v>10082</v>
      </c>
      <c r="F1145" s="388" t="s">
        <v>10078</v>
      </c>
      <c r="G1145" s="388" t="s">
        <v>10088</v>
      </c>
      <c r="H1145" s="388" t="s">
        <v>2972</v>
      </c>
      <c r="I1145" s="387" t="s">
        <v>63</v>
      </c>
      <c r="J1145" s="389">
        <v>43045</v>
      </c>
      <c r="K1145" s="387" t="s">
        <v>12107</v>
      </c>
      <c r="L1145" s="387"/>
      <c r="M1145" s="387"/>
      <c r="N1145" s="387"/>
      <c r="O1145" s="387" t="s">
        <v>44</v>
      </c>
      <c r="P1145" s="390">
        <v>210000</v>
      </c>
      <c r="Q1145" s="387" t="s">
        <v>12108</v>
      </c>
      <c r="R1145" s="358" t="s">
        <v>354</v>
      </c>
      <c r="S1145" s="340">
        <v>16</v>
      </c>
    </row>
    <row r="1146" spans="1:19" ht="29" x14ac:dyDescent="0.35">
      <c r="A1146" s="349">
        <v>1135</v>
      </c>
      <c r="B1146" s="387" t="s">
        <v>11708</v>
      </c>
      <c r="C1146" s="387" t="s">
        <v>11709</v>
      </c>
      <c r="D1146" s="388" t="s">
        <v>126</v>
      </c>
      <c r="E1146" s="388" t="s">
        <v>10082</v>
      </c>
      <c r="F1146" s="388" t="s">
        <v>10078</v>
      </c>
      <c r="G1146" s="388" t="s">
        <v>10088</v>
      </c>
      <c r="H1146" s="388" t="s">
        <v>2972</v>
      </c>
      <c r="I1146" s="387" t="s">
        <v>63</v>
      </c>
      <c r="J1146" s="389">
        <v>43045</v>
      </c>
      <c r="K1146" s="387" t="s">
        <v>12107</v>
      </c>
      <c r="L1146" s="387"/>
      <c r="M1146" s="387"/>
      <c r="N1146" s="387"/>
      <c r="O1146" s="387" t="s">
        <v>44</v>
      </c>
      <c r="P1146" s="390">
        <v>210000</v>
      </c>
      <c r="Q1146" s="387" t="s">
        <v>12108</v>
      </c>
      <c r="R1146" s="358" t="s">
        <v>354</v>
      </c>
      <c r="S1146" s="340">
        <v>16</v>
      </c>
    </row>
    <row r="1147" spans="1:19" ht="29.5" thickBot="1" x14ac:dyDescent="0.4">
      <c r="A1147" s="357">
        <v>1136</v>
      </c>
      <c r="B1147" s="387" t="s">
        <v>11708</v>
      </c>
      <c r="C1147" s="387" t="s">
        <v>11709</v>
      </c>
      <c r="D1147" s="388" t="s">
        <v>132</v>
      </c>
      <c r="E1147" s="388" t="s">
        <v>10082</v>
      </c>
      <c r="F1147" s="388" t="s">
        <v>10078</v>
      </c>
      <c r="G1147" s="388" t="s">
        <v>10088</v>
      </c>
      <c r="H1147" s="388" t="s">
        <v>2972</v>
      </c>
      <c r="I1147" s="387" t="s">
        <v>63</v>
      </c>
      <c r="J1147" s="389">
        <v>43045</v>
      </c>
      <c r="K1147" s="387" t="s">
        <v>12107</v>
      </c>
      <c r="L1147" s="387"/>
      <c r="M1147" s="387"/>
      <c r="N1147" s="387"/>
      <c r="O1147" s="387" t="s">
        <v>44</v>
      </c>
      <c r="P1147" s="390">
        <v>210000</v>
      </c>
      <c r="Q1147" s="387" t="s">
        <v>12108</v>
      </c>
      <c r="R1147" s="358" t="s">
        <v>354</v>
      </c>
      <c r="S1147" s="340">
        <v>16</v>
      </c>
    </row>
    <row r="1148" spans="1:19" ht="29" x14ac:dyDescent="0.35">
      <c r="A1148" s="349">
        <v>1137</v>
      </c>
      <c r="B1148" s="387" t="s">
        <v>11708</v>
      </c>
      <c r="C1148" s="387" t="s">
        <v>11709</v>
      </c>
      <c r="D1148" s="388" t="s">
        <v>137</v>
      </c>
      <c r="E1148" s="388" t="s">
        <v>10082</v>
      </c>
      <c r="F1148" s="388" t="s">
        <v>10078</v>
      </c>
      <c r="G1148" s="388" t="s">
        <v>10088</v>
      </c>
      <c r="H1148" s="388" t="s">
        <v>2972</v>
      </c>
      <c r="I1148" s="387" t="s">
        <v>63</v>
      </c>
      <c r="J1148" s="389">
        <v>43045</v>
      </c>
      <c r="K1148" s="387" t="s">
        <v>12107</v>
      </c>
      <c r="L1148" s="387"/>
      <c r="M1148" s="387"/>
      <c r="N1148" s="387"/>
      <c r="O1148" s="387" t="s">
        <v>44</v>
      </c>
      <c r="P1148" s="390">
        <v>210000</v>
      </c>
      <c r="Q1148" s="387" t="s">
        <v>12108</v>
      </c>
      <c r="R1148" s="358" t="s">
        <v>354</v>
      </c>
      <c r="S1148" s="340">
        <v>16</v>
      </c>
    </row>
    <row r="1149" spans="1:19" ht="29.5" thickBot="1" x14ac:dyDescent="0.4">
      <c r="A1149" s="357">
        <v>1138</v>
      </c>
      <c r="B1149" s="387" t="s">
        <v>11708</v>
      </c>
      <c r="C1149" s="387" t="s">
        <v>11709</v>
      </c>
      <c r="D1149" s="388" t="s">
        <v>146</v>
      </c>
      <c r="E1149" s="388" t="s">
        <v>10082</v>
      </c>
      <c r="F1149" s="388" t="s">
        <v>10078</v>
      </c>
      <c r="G1149" s="388" t="s">
        <v>10088</v>
      </c>
      <c r="H1149" s="388" t="s">
        <v>2972</v>
      </c>
      <c r="I1149" s="387" t="s">
        <v>63</v>
      </c>
      <c r="J1149" s="389">
        <v>43045</v>
      </c>
      <c r="K1149" s="387" t="s">
        <v>12107</v>
      </c>
      <c r="L1149" s="387"/>
      <c r="M1149" s="387"/>
      <c r="N1149" s="387"/>
      <c r="O1149" s="387" t="s">
        <v>44</v>
      </c>
      <c r="P1149" s="390">
        <v>210000</v>
      </c>
      <c r="Q1149" s="387" t="s">
        <v>12108</v>
      </c>
      <c r="R1149" s="358" t="s">
        <v>354</v>
      </c>
      <c r="S1149" s="340">
        <v>16</v>
      </c>
    </row>
    <row r="1150" spans="1:19" ht="29" x14ac:dyDescent="0.35">
      <c r="A1150" s="349">
        <v>1139</v>
      </c>
      <c r="B1150" s="387" t="s">
        <v>11708</v>
      </c>
      <c r="C1150" s="387" t="s">
        <v>11709</v>
      </c>
      <c r="D1150" s="388" t="s">
        <v>154</v>
      </c>
      <c r="E1150" s="388" t="s">
        <v>10082</v>
      </c>
      <c r="F1150" s="388" t="s">
        <v>10078</v>
      </c>
      <c r="G1150" s="388" t="s">
        <v>10088</v>
      </c>
      <c r="H1150" s="388" t="s">
        <v>2972</v>
      </c>
      <c r="I1150" s="387" t="s">
        <v>63</v>
      </c>
      <c r="J1150" s="389">
        <v>43075</v>
      </c>
      <c r="K1150" s="387" t="s">
        <v>12107</v>
      </c>
      <c r="L1150" s="387"/>
      <c r="M1150" s="387"/>
      <c r="N1150" s="387"/>
      <c r="O1150" s="387" t="s">
        <v>44</v>
      </c>
      <c r="P1150" s="390">
        <v>210000</v>
      </c>
      <c r="Q1150" s="387" t="s">
        <v>12108</v>
      </c>
      <c r="R1150" s="358" t="s">
        <v>354</v>
      </c>
      <c r="S1150" s="340">
        <v>16</v>
      </c>
    </row>
    <row r="1151" spans="1:19" ht="29.5" thickBot="1" x14ac:dyDescent="0.4">
      <c r="A1151" s="357">
        <v>1140</v>
      </c>
      <c r="B1151" s="387" t="s">
        <v>11708</v>
      </c>
      <c r="C1151" s="387" t="s">
        <v>11709</v>
      </c>
      <c r="D1151" s="388" t="s">
        <v>161</v>
      </c>
      <c r="E1151" s="388" t="s">
        <v>10082</v>
      </c>
      <c r="F1151" s="388" t="s">
        <v>10078</v>
      </c>
      <c r="G1151" s="388" t="s">
        <v>10088</v>
      </c>
      <c r="H1151" s="388" t="s">
        <v>2972</v>
      </c>
      <c r="I1151" s="387" t="s">
        <v>63</v>
      </c>
      <c r="J1151" s="389">
        <v>43045</v>
      </c>
      <c r="K1151" s="387" t="s">
        <v>12107</v>
      </c>
      <c r="L1151" s="387"/>
      <c r="M1151" s="387"/>
      <c r="N1151" s="387"/>
      <c r="O1151" s="387" t="s">
        <v>44</v>
      </c>
      <c r="P1151" s="390">
        <v>210000</v>
      </c>
      <c r="Q1151" s="387" t="s">
        <v>12108</v>
      </c>
      <c r="R1151" s="358" t="s">
        <v>354</v>
      </c>
      <c r="S1151" s="340">
        <v>16</v>
      </c>
    </row>
    <row r="1152" spans="1:19" ht="29" x14ac:dyDescent="0.35">
      <c r="A1152" s="349">
        <v>1141</v>
      </c>
      <c r="B1152" s="387" t="s">
        <v>11708</v>
      </c>
      <c r="C1152" s="387" t="s">
        <v>11709</v>
      </c>
      <c r="D1152" s="388" t="s">
        <v>169</v>
      </c>
      <c r="E1152" s="388" t="s">
        <v>10082</v>
      </c>
      <c r="F1152" s="388" t="s">
        <v>10078</v>
      </c>
      <c r="G1152" s="388" t="s">
        <v>10088</v>
      </c>
      <c r="H1152" s="388" t="s">
        <v>2972</v>
      </c>
      <c r="I1152" s="387" t="s">
        <v>63</v>
      </c>
      <c r="J1152" s="389">
        <v>43045</v>
      </c>
      <c r="K1152" s="387" t="s">
        <v>12107</v>
      </c>
      <c r="L1152" s="387"/>
      <c r="M1152" s="387"/>
      <c r="N1152" s="387"/>
      <c r="O1152" s="387" t="s">
        <v>44</v>
      </c>
      <c r="P1152" s="390">
        <v>210000</v>
      </c>
      <c r="Q1152" s="387" t="s">
        <v>12108</v>
      </c>
      <c r="R1152" s="358" t="s">
        <v>354</v>
      </c>
      <c r="S1152" s="340">
        <v>16</v>
      </c>
    </row>
    <row r="1153" spans="1:19" ht="29.5" thickBot="1" x14ac:dyDescent="0.4">
      <c r="A1153" s="357">
        <v>1142</v>
      </c>
      <c r="B1153" s="387" t="s">
        <v>11708</v>
      </c>
      <c r="C1153" s="387" t="s">
        <v>11709</v>
      </c>
      <c r="D1153" s="388" t="s">
        <v>176</v>
      </c>
      <c r="E1153" s="388" t="s">
        <v>10082</v>
      </c>
      <c r="F1153" s="388" t="s">
        <v>10078</v>
      </c>
      <c r="G1153" s="388" t="s">
        <v>10088</v>
      </c>
      <c r="H1153" s="388" t="s">
        <v>2972</v>
      </c>
      <c r="I1153" s="387" t="s">
        <v>63</v>
      </c>
      <c r="J1153" s="389">
        <v>43045</v>
      </c>
      <c r="K1153" s="387" t="s">
        <v>12107</v>
      </c>
      <c r="L1153" s="387"/>
      <c r="M1153" s="387"/>
      <c r="N1153" s="387"/>
      <c r="O1153" s="387" t="s">
        <v>44</v>
      </c>
      <c r="P1153" s="390">
        <v>210000</v>
      </c>
      <c r="Q1153" s="387" t="s">
        <v>12108</v>
      </c>
      <c r="R1153" s="358" t="s">
        <v>354</v>
      </c>
      <c r="S1153" s="340">
        <v>16</v>
      </c>
    </row>
    <row r="1154" spans="1:19" ht="29" x14ac:dyDescent="0.35">
      <c r="A1154" s="349">
        <v>1143</v>
      </c>
      <c r="B1154" s="387" t="s">
        <v>11708</v>
      </c>
      <c r="C1154" s="387" t="s">
        <v>11709</v>
      </c>
      <c r="D1154" s="388" t="s">
        <v>1236</v>
      </c>
      <c r="E1154" s="388" t="s">
        <v>10082</v>
      </c>
      <c r="F1154" s="388" t="s">
        <v>10078</v>
      </c>
      <c r="G1154" s="388" t="s">
        <v>10088</v>
      </c>
      <c r="H1154" s="388" t="s">
        <v>2972</v>
      </c>
      <c r="I1154" s="387" t="s">
        <v>63</v>
      </c>
      <c r="J1154" s="389">
        <v>43045</v>
      </c>
      <c r="K1154" s="387" t="s">
        <v>12107</v>
      </c>
      <c r="L1154" s="387"/>
      <c r="M1154" s="387"/>
      <c r="N1154" s="387"/>
      <c r="O1154" s="387" t="s">
        <v>44</v>
      </c>
      <c r="P1154" s="390">
        <v>210000</v>
      </c>
      <c r="Q1154" s="387" t="s">
        <v>12108</v>
      </c>
      <c r="R1154" s="358" t="s">
        <v>354</v>
      </c>
      <c r="S1154" s="340">
        <v>16</v>
      </c>
    </row>
    <row r="1155" spans="1:19" ht="29.5" thickBot="1" x14ac:dyDescent="0.4">
      <c r="A1155" s="357">
        <v>1144</v>
      </c>
      <c r="B1155" s="387" t="s">
        <v>11708</v>
      </c>
      <c r="C1155" s="387" t="s">
        <v>11709</v>
      </c>
      <c r="D1155" s="388" t="s">
        <v>181</v>
      </c>
      <c r="E1155" s="388" t="s">
        <v>10082</v>
      </c>
      <c r="F1155" s="388" t="s">
        <v>10078</v>
      </c>
      <c r="G1155" s="388" t="s">
        <v>10088</v>
      </c>
      <c r="H1155" s="388" t="s">
        <v>2972</v>
      </c>
      <c r="I1155" s="387" t="s">
        <v>63</v>
      </c>
      <c r="J1155" s="389">
        <v>43045</v>
      </c>
      <c r="K1155" s="387" t="s">
        <v>12107</v>
      </c>
      <c r="L1155" s="387"/>
      <c r="M1155" s="387"/>
      <c r="N1155" s="387"/>
      <c r="O1155" s="387" t="s">
        <v>44</v>
      </c>
      <c r="P1155" s="390">
        <v>210000</v>
      </c>
      <c r="Q1155" s="387" t="s">
        <v>12108</v>
      </c>
      <c r="R1155" s="358" t="s">
        <v>354</v>
      </c>
      <c r="S1155" s="340">
        <v>16</v>
      </c>
    </row>
    <row r="1156" spans="1:19" ht="29" x14ac:dyDescent="0.35">
      <c r="A1156" s="349">
        <v>1145</v>
      </c>
      <c r="B1156" s="387" t="s">
        <v>11708</v>
      </c>
      <c r="C1156" s="387" t="s">
        <v>11709</v>
      </c>
      <c r="D1156" s="388" t="s">
        <v>187</v>
      </c>
      <c r="E1156" s="388" t="s">
        <v>10082</v>
      </c>
      <c r="F1156" s="388" t="s">
        <v>10078</v>
      </c>
      <c r="G1156" s="388" t="s">
        <v>10088</v>
      </c>
      <c r="H1156" s="388" t="s">
        <v>2972</v>
      </c>
      <c r="I1156" s="387" t="s">
        <v>63</v>
      </c>
      <c r="J1156" s="389">
        <v>43045</v>
      </c>
      <c r="K1156" s="387" t="s">
        <v>12107</v>
      </c>
      <c r="L1156" s="387"/>
      <c r="M1156" s="387"/>
      <c r="N1156" s="387"/>
      <c r="O1156" s="387" t="s">
        <v>44</v>
      </c>
      <c r="P1156" s="390">
        <v>210000</v>
      </c>
      <c r="Q1156" s="387" t="s">
        <v>12108</v>
      </c>
      <c r="R1156" s="358" t="s">
        <v>354</v>
      </c>
      <c r="S1156" s="340">
        <v>16</v>
      </c>
    </row>
    <row r="1157" spans="1:19" ht="29.5" thickBot="1" x14ac:dyDescent="0.4">
      <c r="A1157" s="357">
        <v>1146</v>
      </c>
      <c r="B1157" s="387" t="s">
        <v>11708</v>
      </c>
      <c r="C1157" s="387" t="s">
        <v>11709</v>
      </c>
      <c r="D1157" s="388" t="s">
        <v>190</v>
      </c>
      <c r="E1157" s="388" t="s">
        <v>10082</v>
      </c>
      <c r="F1157" s="388" t="s">
        <v>10078</v>
      </c>
      <c r="G1157" s="388" t="s">
        <v>10088</v>
      </c>
      <c r="H1157" s="388" t="s">
        <v>2972</v>
      </c>
      <c r="I1157" s="387" t="s">
        <v>63</v>
      </c>
      <c r="J1157" s="389">
        <v>43045</v>
      </c>
      <c r="K1157" s="387" t="s">
        <v>12107</v>
      </c>
      <c r="L1157" s="387"/>
      <c r="M1157" s="387"/>
      <c r="N1157" s="387"/>
      <c r="O1157" s="387" t="s">
        <v>44</v>
      </c>
      <c r="P1157" s="390">
        <v>210000</v>
      </c>
      <c r="Q1157" s="387" t="s">
        <v>12108</v>
      </c>
      <c r="R1157" s="358" t="s">
        <v>354</v>
      </c>
      <c r="S1157" s="340">
        <v>16</v>
      </c>
    </row>
    <row r="1158" spans="1:19" ht="29" x14ac:dyDescent="0.35">
      <c r="A1158" s="349">
        <v>1147</v>
      </c>
      <c r="B1158" s="387" t="s">
        <v>11708</v>
      </c>
      <c r="C1158" s="387" t="s">
        <v>11709</v>
      </c>
      <c r="D1158" s="388" t="s">
        <v>192</v>
      </c>
      <c r="E1158" s="388" t="s">
        <v>10082</v>
      </c>
      <c r="F1158" s="388" t="s">
        <v>10078</v>
      </c>
      <c r="G1158" s="388" t="s">
        <v>10088</v>
      </c>
      <c r="H1158" s="388" t="s">
        <v>2972</v>
      </c>
      <c r="I1158" s="387" t="s">
        <v>63</v>
      </c>
      <c r="J1158" s="389">
        <v>43045</v>
      </c>
      <c r="K1158" s="387" t="s">
        <v>12107</v>
      </c>
      <c r="L1158" s="387"/>
      <c r="M1158" s="387"/>
      <c r="N1158" s="387"/>
      <c r="O1158" s="387" t="s">
        <v>44</v>
      </c>
      <c r="P1158" s="390">
        <v>210000</v>
      </c>
      <c r="Q1158" s="387" t="s">
        <v>12108</v>
      </c>
      <c r="R1158" s="358" t="s">
        <v>354</v>
      </c>
      <c r="S1158" s="340">
        <v>16</v>
      </c>
    </row>
    <row r="1159" spans="1:19" ht="29.5" thickBot="1" x14ac:dyDescent="0.4">
      <c r="A1159" s="357">
        <v>1148</v>
      </c>
      <c r="B1159" s="387" t="s">
        <v>11708</v>
      </c>
      <c r="C1159" s="387" t="s">
        <v>11709</v>
      </c>
      <c r="D1159" s="388" t="s">
        <v>194</v>
      </c>
      <c r="E1159" s="388" t="s">
        <v>10082</v>
      </c>
      <c r="F1159" s="388" t="s">
        <v>10078</v>
      </c>
      <c r="G1159" s="388" t="s">
        <v>10088</v>
      </c>
      <c r="H1159" s="388" t="s">
        <v>2972</v>
      </c>
      <c r="I1159" s="387" t="s">
        <v>63</v>
      </c>
      <c r="J1159" s="389">
        <v>44506</v>
      </c>
      <c r="K1159" s="387" t="s">
        <v>12107</v>
      </c>
      <c r="L1159" s="387"/>
      <c r="M1159" s="387"/>
      <c r="N1159" s="387"/>
      <c r="O1159" s="387" t="s">
        <v>44</v>
      </c>
      <c r="P1159" s="390">
        <v>210000</v>
      </c>
      <c r="Q1159" s="387" t="s">
        <v>12108</v>
      </c>
      <c r="R1159" s="358" t="s">
        <v>354</v>
      </c>
      <c r="S1159" s="340">
        <v>16</v>
      </c>
    </row>
    <row r="1160" spans="1:19" ht="29" x14ac:dyDescent="0.35">
      <c r="A1160" s="349">
        <v>1149</v>
      </c>
      <c r="B1160" s="387" t="s">
        <v>11708</v>
      </c>
      <c r="C1160" s="387" t="s">
        <v>11709</v>
      </c>
      <c r="D1160" s="388" t="s">
        <v>195</v>
      </c>
      <c r="E1160" s="388" t="s">
        <v>10082</v>
      </c>
      <c r="F1160" s="388" t="s">
        <v>10078</v>
      </c>
      <c r="G1160" s="388" t="s">
        <v>10088</v>
      </c>
      <c r="H1160" s="388" t="s">
        <v>2972</v>
      </c>
      <c r="I1160" s="387" t="s">
        <v>63</v>
      </c>
      <c r="J1160" s="389">
        <v>43045</v>
      </c>
      <c r="K1160" s="387" t="s">
        <v>12107</v>
      </c>
      <c r="L1160" s="387"/>
      <c r="M1160" s="387"/>
      <c r="N1160" s="387"/>
      <c r="O1160" s="387" t="s">
        <v>44</v>
      </c>
      <c r="P1160" s="390">
        <v>210000</v>
      </c>
      <c r="Q1160" s="387" t="s">
        <v>12108</v>
      </c>
      <c r="R1160" s="358" t="s">
        <v>354</v>
      </c>
      <c r="S1160" s="340">
        <v>16</v>
      </c>
    </row>
    <row r="1161" spans="1:19" ht="29.5" thickBot="1" x14ac:dyDescent="0.4">
      <c r="A1161" s="357">
        <v>1150</v>
      </c>
      <c r="B1161" s="387" t="s">
        <v>11708</v>
      </c>
      <c r="C1161" s="387" t="s">
        <v>11709</v>
      </c>
      <c r="D1161" s="388" t="s">
        <v>199</v>
      </c>
      <c r="E1161" s="388" t="s">
        <v>10082</v>
      </c>
      <c r="F1161" s="388" t="s">
        <v>10078</v>
      </c>
      <c r="G1161" s="388" t="s">
        <v>10088</v>
      </c>
      <c r="H1161" s="388" t="s">
        <v>2972</v>
      </c>
      <c r="I1161" s="387" t="s">
        <v>63</v>
      </c>
      <c r="J1161" s="389">
        <v>43045</v>
      </c>
      <c r="K1161" s="387" t="s">
        <v>12107</v>
      </c>
      <c r="L1161" s="387"/>
      <c r="M1161" s="387"/>
      <c r="N1161" s="387"/>
      <c r="O1161" s="387" t="s">
        <v>44</v>
      </c>
      <c r="P1161" s="390">
        <v>210000</v>
      </c>
      <c r="Q1161" s="387" t="s">
        <v>12108</v>
      </c>
      <c r="R1161" s="358" t="s">
        <v>354</v>
      </c>
      <c r="S1161" s="340">
        <v>16</v>
      </c>
    </row>
    <row r="1162" spans="1:19" ht="29" x14ac:dyDescent="0.35">
      <c r="A1162" s="349">
        <v>1151</v>
      </c>
      <c r="B1162" s="387" t="s">
        <v>11708</v>
      </c>
      <c r="C1162" s="387" t="s">
        <v>11709</v>
      </c>
      <c r="D1162" s="388" t="s">
        <v>200</v>
      </c>
      <c r="E1162" s="388" t="s">
        <v>10082</v>
      </c>
      <c r="F1162" s="388" t="s">
        <v>10078</v>
      </c>
      <c r="G1162" s="388" t="s">
        <v>10088</v>
      </c>
      <c r="H1162" s="388" t="s">
        <v>2972</v>
      </c>
      <c r="I1162" s="387" t="s">
        <v>63</v>
      </c>
      <c r="J1162" s="389">
        <v>43045</v>
      </c>
      <c r="K1162" s="387" t="s">
        <v>12107</v>
      </c>
      <c r="L1162" s="387"/>
      <c r="M1162" s="387"/>
      <c r="N1162" s="387"/>
      <c r="O1162" s="387" t="s">
        <v>44</v>
      </c>
      <c r="P1162" s="390">
        <v>210000</v>
      </c>
      <c r="Q1162" s="387" t="s">
        <v>12108</v>
      </c>
      <c r="R1162" s="358" t="s">
        <v>354</v>
      </c>
      <c r="S1162" s="340">
        <v>16</v>
      </c>
    </row>
    <row r="1163" spans="1:19" ht="29.5" thickBot="1" x14ac:dyDescent="0.4">
      <c r="A1163" s="357">
        <v>1152</v>
      </c>
      <c r="B1163" s="387" t="s">
        <v>11708</v>
      </c>
      <c r="C1163" s="387" t="s">
        <v>11709</v>
      </c>
      <c r="D1163" s="388" t="s">
        <v>209</v>
      </c>
      <c r="E1163" s="388" t="s">
        <v>10082</v>
      </c>
      <c r="F1163" s="388" t="s">
        <v>10078</v>
      </c>
      <c r="G1163" s="388" t="s">
        <v>10088</v>
      </c>
      <c r="H1163" s="388" t="s">
        <v>2972</v>
      </c>
      <c r="I1163" s="387" t="s">
        <v>63</v>
      </c>
      <c r="J1163" s="389">
        <v>43045</v>
      </c>
      <c r="K1163" s="387" t="s">
        <v>12107</v>
      </c>
      <c r="L1163" s="387"/>
      <c r="M1163" s="387"/>
      <c r="N1163" s="387"/>
      <c r="O1163" s="387" t="s">
        <v>44</v>
      </c>
      <c r="P1163" s="390">
        <v>210000</v>
      </c>
      <c r="Q1163" s="387" t="s">
        <v>12108</v>
      </c>
      <c r="R1163" s="358" t="s">
        <v>354</v>
      </c>
      <c r="S1163" s="340">
        <v>16</v>
      </c>
    </row>
    <row r="1164" spans="1:19" ht="29" x14ac:dyDescent="0.35">
      <c r="A1164" s="349">
        <v>1153</v>
      </c>
      <c r="B1164" s="387" t="s">
        <v>11708</v>
      </c>
      <c r="C1164" s="387" t="s">
        <v>11709</v>
      </c>
      <c r="D1164" s="388" t="s">
        <v>215</v>
      </c>
      <c r="E1164" s="388" t="s">
        <v>10082</v>
      </c>
      <c r="F1164" s="388" t="s">
        <v>10078</v>
      </c>
      <c r="G1164" s="388" t="s">
        <v>10088</v>
      </c>
      <c r="H1164" s="388" t="s">
        <v>2972</v>
      </c>
      <c r="I1164" s="387" t="s">
        <v>63</v>
      </c>
      <c r="J1164" s="389">
        <v>43045</v>
      </c>
      <c r="K1164" s="387" t="s">
        <v>12107</v>
      </c>
      <c r="L1164" s="387"/>
      <c r="M1164" s="387"/>
      <c r="N1164" s="387"/>
      <c r="O1164" s="387" t="s">
        <v>44</v>
      </c>
      <c r="P1164" s="390">
        <v>210000</v>
      </c>
      <c r="Q1164" s="387" t="s">
        <v>12108</v>
      </c>
      <c r="R1164" s="358" t="s">
        <v>354</v>
      </c>
      <c r="S1164" s="340">
        <v>16</v>
      </c>
    </row>
    <row r="1165" spans="1:19" ht="29.5" thickBot="1" x14ac:dyDescent="0.4">
      <c r="A1165" s="357">
        <v>1154</v>
      </c>
      <c r="B1165" s="387" t="s">
        <v>11708</v>
      </c>
      <c r="C1165" s="387" t="s">
        <v>11709</v>
      </c>
      <c r="D1165" s="388" t="s">
        <v>223</v>
      </c>
      <c r="E1165" s="388" t="s">
        <v>10082</v>
      </c>
      <c r="F1165" s="388" t="s">
        <v>10078</v>
      </c>
      <c r="G1165" s="388" t="s">
        <v>10088</v>
      </c>
      <c r="H1165" s="388" t="s">
        <v>2972</v>
      </c>
      <c r="I1165" s="387" t="s">
        <v>63</v>
      </c>
      <c r="J1165" s="389">
        <v>43045</v>
      </c>
      <c r="K1165" s="387" t="s">
        <v>12107</v>
      </c>
      <c r="L1165" s="387"/>
      <c r="M1165" s="387"/>
      <c r="N1165" s="387"/>
      <c r="O1165" s="387" t="s">
        <v>44</v>
      </c>
      <c r="P1165" s="390">
        <v>210000</v>
      </c>
      <c r="Q1165" s="387" t="s">
        <v>12108</v>
      </c>
      <c r="R1165" s="358" t="s">
        <v>354</v>
      </c>
      <c r="S1165" s="340">
        <v>16</v>
      </c>
    </row>
    <row r="1166" spans="1:19" ht="29" x14ac:dyDescent="0.35">
      <c r="A1166" s="349">
        <v>1155</v>
      </c>
      <c r="B1166" s="387" t="s">
        <v>11708</v>
      </c>
      <c r="C1166" s="387" t="s">
        <v>11709</v>
      </c>
      <c r="D1166" s="388" t="s">
        <v>229</v>
      </c>
      <c r="E1166" s="388" t="s">
        <v>10082</v>
      </c>
      <c r="F1166" s="388" t="s">
        <v>10078</v>
      </c>
      <c r="G1166" s="388" t="s">
        <v>10088</v>
      </c>
      <c r="H1166" s="388" t="s">
        <v>2972</v>
      </c>
      <c r="I1166" s="387" t="s">
        <v>63</v>
      </c>
      <c r="J1166" s="389">
        <v>43045</v>
      </c>
      <c r="K1166" s="387" t="s">
        <v>12107</v>
      </c>
      <c r="L1166" s="387"/>
      <c r="M1166" s="387"/>
      <c r="N1166" s="387"/>
      <c r="O1166" s="387" t="s">
        <v>44</v>
      </c>
      <c r="P1166" s="390">
        <v>210000</v>
      </c>
      <c r="Q1166" s="387" t="s">
        <v>12108</v>
      </c>
      <c r="R1166" s="358" t="s">
        <v>354</v>
      </c>
      <c r="S1166" s="340">
        <v>16</v>
      </c>
    </row>
    <row r="1167" spans="1:19" ht="29.5" thickBot="1" x14ac:dyDescent="0.4">
      <c r="A1167" s="357">
        <v>1156</v>
      </c>
      <c r="B1167" s="387" t="s">
        <v>11708</v>
      </c>
      <c r="C1167" s="387" t="s">
        <v>11709</v>
      </c>
      <c r="D1167" s="388" t="s">
        <v>238</v>
      </c>
      <c r="E1167" s="388" t="s">
        <v>10082</v>
      </c>
      <c r="F1167" s="388" t="s">
        <v>10078</v>
      </c>
      <c r="G1167" s="388" t="s">
        <v>10088</v>
      </c>
      <c r="H1167" s="388" t="s">
        <v>2972</v>
      </c>
      <c r="I1167" s="387" t="s">
        <v>63</v>
      </c>
      <c r="J1167" s="389">
        <v>43045</v>
      </c>
      <c r="K1167" s="387" t="s">
        <v>12107</v>
      </c>
      <c r="L1167" s="387"/>
      <c r="M1167" s="387"/>
      <c r="N1167" s="387"/>
      <c r="O1167" s="387" t="s">
        <v>44</v>
      </c>
      <c r="P1167" s="390">
        <v>210000</v>
      </c>
      <c r="Q1167" s="387" t="s">
        <v>12108</v>
      </c>
      <c r="R1167" s="358" t="s">
        <v>354</v>
      </c>
      <c r="S1167" s="340">
        <v>16</v>
      </c>
    </row>
    <row r="1168" spans="1:19" ht="29" x14ac:dyDescent="0.35">
      <c r="A1168" s="349">
        <v>1157</v>
      </c>
      <c r="B1168" s="387" t="s">
        <v>11708</v>
      </c>
      <c r="C1168" s="387" t="s">
        <v>11709</v>
      </c>
      <c r="D1168" s="388" t="s">
        <v>244</v>
      </c>
      <c r="E1168" s="388" t="s">
        <v>10082</v>
      </c>
      <c r="F1168" s="388" t="s">
        <v>10078</v>
      </c>
      <c r="G1168" s="388" t="s">
        <v>10088</v>
      </c>
      <c r="H1168" s="388" t="s">
        <v>2972</v>
      </c>
      <c r="I1168" s="387" t="s">
        <v>63</v>
      </c>
      <c r="J1168" s="389">
        <v>43045</v>
      </c>
      <c r="K1168" s="387" t="s">
        <v>12107</v>
      </c>
      <c r="L1168" s="387"/>
      <c r="M1168" s="387"/>
      <c r="N1168" s="387"/>
      <c r="O1168" s="387" t="s">
        <v>44</v>
      </c>
      <c r="P1168" s="390">
        <v>210000</v>
      </c>
      <c r="Q1168" s="387" t="s">
        <v>12108</v>
      </c>
      <c r="R1168" s="358" t="s">
        <v>354</v>
      </c>
      <c r="S1168" s="340">
        <v>16</v>
      </c>
    </row>
    <row r="1169" spans="1:19" ht="29.5" thickBot="1" x14ac:dyDescent="0.4">
      <c r="A1169" s="357">
        <v>1158</v>
      </c>
      <c r="B1169" s="387" t="s">
        <v>11708</v>
      </c>
      <c r="C1169" s="387" t="s">
        <v>11709</v>
      </c>
      <c r="D1169" s="388" t="s">
        <v>253</v>
      </c>
      <c r="E1169" s="388" t="s">
        <v>10082</v>
      </c>
      <c r="F1169" s="388" t="s">
        <v>10078</v>
      </c>
      <c r="G1169" s="388" t="s">
        <v>10088</v>
      </c>
      <c r="H1169" s="388" t="s">
        <v>2972</v>
      </c>
      <c r="I1169" s="387" t="s">
        <v>63</v>
      </c>
      <c r="J1169" s="389">
        <v>43045</v>
      </c>
      <c r="K1169" s="387" t="s">
        <v>12107</v>
      </c>
      <c r="L1169" s="387"/>
      <c r="M1169" s="387"/>
      <c r="N1169" s="387"/>
      <c r="O1169" s="387" t="s">
        <v>44</v>
      </c>
      <c r="P1169" s="390">
        <v>210000</v>
      </c>
      <c r="Q1169" s="387" t="s">
        <v>12108</v>
      </c>
      <c r="R1169" s="358" t="s">
        <v>354</v>
      </c>
      <c r="S1169" s="340">
        <v>16</v>
      </c>
    </row>
    <row r="1170" spans="1:19" ht="29" x14ac:dyDescent="0.35">
      <c r="A1170" s="349">
        <v>1159</v>
      </c>
      <c r="B1170" s="387" t="s">
        <v>11708</v>
      </c>
      <c r="C1170" s="387" t="s">
        <v>11709</v>
      </c>
      <c r="D1170" s="388" t="s">
        <v>259</v>
      </c>
      <c r="E1170" s="388" t="s">
        <v>10082</v>
      </c>
      <c r="F1170" s="388" t="s">
        <v>10078</v>
      </c>
      <c r="G1170" s="388" t="s">
        <v>10088</v>
      </c>
      <c r="H1170" s="388" t="s">
        <v>2972</v>
      </c>
      <c r="I1170" s="387" t="s">
        <v>63</v>
      </c>
      <c r="J1170" s="389">
        <v>43045</v>
      </c>
      <c r="K1170" s="387" t="s">
        <v>12107</v>
      </c>
      <c r="L1170" s="387"/>
      <c r="M1170" s="387"/>
      <c r="N1170" s="387"/>
      <c r="O1170" s="387" t="s">
        <v>44</v>
      </c>
      <c r="P1170" s="390">
        <v>210000</v>
      </c>
      <c r="Q1170" s="387" t="s">
        <v>12108</v>
      </c>
      <c r="R1170" s="358" t="s">
        <v>354</v>
      </c>
      <c r="S1170" s="340">
        <v>16</v>
      </c>
    </row>
    <row r="1171" spans="1:19" ht="29.5" thickBot="1" x14ac:dyDescent="0.4">
      <c r="A1171" s="357">
        <v>1160</v>
      </c>
      <c r="B1171" s="387" t="s">
        <v>11708</v>
      </c>
      <c r="C1171" s="387" t="s">
        <v>11709</v>
      </c>
      <c r="D1171" s="388" t="s">
        <v>264</v>
      </c>
      <c r="E1171" s="388" t="s">
        <v>10082</v>
      </c>
      <c r="F1171" s="388" t="s">
        <v>10078</v>
      </c>
      <c r="G1171" s="388" t="s">
        <v>10088</v>
      </c>
      <c r="H1171" s="388" t="s">
        <v>2972</v>
      </c>
      <c r="I1171" s="387" t="s">
        <v>63</v>
      </c>
      <c r="J1171" s="389">
        <v>43045</v>
      </c>
      <c r="K1171" s="387" t="s">
        <v>12107</v>
      </c>
      <c r="L1171" s="387"/>
      <c r="M1171" s="387"/>
      <c r="N1171" s="387"/>
      <c r="O1171" s="387" t="s">
        <v>44</v>
      </c>
      <c r="P1171" s="390">
        <v>210000</v>
      </c>
      <c r="Q1171" s="387" t="s">
        <v>12108</v>
      </c>
      <c r="R1171" s="358" t="s">
        <v>354</v>
      </c>
      <c r="S1171" s="340">
        <v>16</v>
      </c>
    </row>
    <row r="1172" spans="1:19" ht="29" x14ac:dyDescent="0.35">
      <c r="A1172" s="349">
        <v>1161</v>
      </c>
      <c r="B1172" s="387" t="s">
        <v>11708</v>
      </c>
      <c r="C1172" s="387" t="s">
        <v>11709</v>
      </c>
      <c r="D1172" s="388" t="s">
        <v>269</v>
      </c>
      <c r="E1172" s="388" t="s">
        <v>10082</v>
      </c>
      <c r="F1172" s="388" t="s">
        <v>10078</v>
      </c>
      <c r="G1172" s="388" t="s">
        <v>10088</v>
      </c>
      <c r="H1172" s="388" t="s">
        <v>2972</v>
      </c>
      <c r="I1172" s="387" t="s">
        <v>63</v>
      </c>
      <c r="J1172" s="389">
        <v>43045</v>
      </c>
      <c r="K1172" s="387" t="s">
        <v>12107</v>
      </c>
      <c r="L1172" s="387"/>
      <c r="M1172" s="387"/>
      <c r="N1172" s="387"/>
      <c r="O1172" s="387" t="s">
        <v>44</v>
      </c>
      <c r="P1172" s="390">
        <v>210000</v>
      </c>
      <c r="Q1172" s="387" t="s">
        <v>12108</v>
      </c>
      <c r="R1172" s="358" t="s">
        <v>354</v>
      </c>
      <c r="S1172" s="340">
        <v>16</v>
      </c>
    </row>
    <row r="1173" spans="1:19" ht="29.5" thickBot="1" x14ac:dyDescent="0.4">
      <c r="A1173" s="357">
        <v>1162</v>
      </c>
      <c r="B1173" s="387" t="s">
        <v>11708</v>
      </c>
      <c r="C1173" s="387" t="s">
        <v>11709</v>
      </c>
      <c r="D1173" s="388" t="s">
        <v>274</v>
      </c>
      <c r="E1173" s="388" t="s">
        <v>10082</v>
      </c>
      <c r="F1173" s="388" t="s">
        <v>10078</v>
      </c>
      <c r="G1173" s="388" t="s">
        <v>10088</v>
      </c>
      <c r="H1173" s="388" t="s">
        <v>2972</v>
      </c>
      <c r="I1173" s="387" t="s">
        <v>63</v>
      </c>
      <c r="J1173" s="389">
        <v>43045</v>
      </c>
      <c r="K1173" s="387" t="s">
        <v>12107</v>
      </c>
      <c r="L1173" s="387"/>
      <c r="M1173" s="387"/>
      <c r="N1173" s="387"/>
      <c r="O1173" s="387" t="s">
        <v>44</v>
      </c>
      <c r="P1173" s="390">
        <v>210000</v>
      </c>
      <c r="Q1173" s="387" t="s">
        <v>12108</v>
      </c>
      <c r="R1173" s="358" t="s">
        <v>354</v>
      </c>
      <c r="S1173" s="340">
        <v>16</v>
      </c>
    </row>
    <row r="1174" spans="1:19" ht="29" x14ac:dyDescent="0.35">
      <c r="A1174" s="349">
        <v>1163</v>
      </c>
      <c r="B1174" s="387" t="s">
        <v>11708</v>
      </c>
      <c r="C1174" s="387" t="s">
        <v>11709</v>
      </c>
      <c r="D1174" s="388" t="s">
        <v>280</v>
      </c>
      <c r="E1174" s="388" t="s">
        <v>10082</v>
      </c>
      <c r="F1174" s="388" t="s">
        <v>10078</v>
      </c>
      <c r="G1174" s="388" t="s">
        <v>10088</v>
      </c>
      <c r="H1174" s="388" t="s">
        <v>2972</v>
      </c>
      <c r="I1174" s="387" t="s">
        <v>63</v>
      </c>
      <c r="J1174" s="389">
        <v>43045</v>
      </c>
      <c r="K1174" s="387" t="s">
        <v>12107</v>
      </c>
      <c r="L1174" s="387"/>
      <c r="M1174" s="387"/>
      <c r="N1174" s="387"/>
      <c r="O1174" s="387" t="s">
        <v>44</v>
      </c>
      <c r="P1174" s="390">
        <v>210000</v>
      </c>
      <c r="Q1174" s="387" t="s">
        <v>12108</v>
      </c>
      <c r="R1174" s="358" t="s">
        <v>354</v>
      </c>
      <c r="S1174" s="340">
        <v>16</v>
      </c>
    </row>
    <row r="1175" spans="1:19" ht="29.5" thickBot="1" x14ac:dyDescent="0.4">
      <c r="A1175" s="357">
        <v>1164</v>
      </c>
      <c r="B1175" s="387" t="s">
        <v>11708</v>
      </c>
      <c r="C1175" s="387" t="s">
        <v>11709</v>
      </c>
      <c r="D1175" s="388" t="s">
        <v>286</v>
      </c>
      <c r="E1175" s="388" t="s">
        <v>10082</v>
      </c>
      <c r="F1175" s="388" t="s">
        <v>10078</v>
      </c>
      <c r="G1175" s="388" t="s">
        <v>10088</v>
      </c>
      <c r="H1175" s="388" t="s">
        <v>2972</v>
      </c>
      <c r="I1175" s="387" t="s">
        <v>63</v>
      </c>
      <c r="J1175" s="389">
        <v>43045</v>
      </c>
      <c r="K1175" s="387" t="s">
        <v>12107</v>
      </c>
      <c r="L1175" s="387"/>
      <c r="M1175" s="387"/>
      <c r="N1175" s="387"/>
      <c r="O1175" s="387" t="s">
        <v>44</v>
      </c>
      <c r="P1175" s="390">
        <v>210000</v>
      </c>
      <c r="Q1175" s="387" t="s">
        <v>12108</v>
      </c>
      <c r="R1175" s="358" t="s">
        <v>354</v>
      </c>
      <c r="S1175" s="340">
        <v>16</v>
      </c>
    </row>
    <row r="1176" spans="1:19" ht="29" x14ac:dyDescent="0.35">
      <c r="A1176" s="349">
        <v>1165</v>
      </c>
      <c r="B1176" s="387" t="s">
        <v>11708</v>
      </c>
      <c r="C1176" s="387" t="s">
        <v>11709</v>
      </c>
      <c r="D1176" s="388" t="s">
        <v>291</v>
      </c>
      <c r="E1176" s="388" t="s">
        <v>10082</v>
      </c>
      <c r="F1176" s="388" t="s">
        <v>10078</v>
      </c>
      <c r="G1176" s="388" t="s">
        <v>10088</v>
      </c>
      <c r="H1176" s="388" t="s">
        <v>2972</v>
      </c>
      <c r="I1176" s="387" t="s">
        <v>63</v>
      </c>
      <c r="J1176" s="389">
        <v>43045</v>
      </c>
      <c r="K1176" s="387" t="s">
        <v>12107</v>
      </c>
      <c r="L1176" s="387"/>
      <c r="M1176" s="387"/>
      <c r="N1176" s="387"/>
      <c r="O1176" s="387" t="s">
        <v>44</v>
      </c>
      <c r="P1176" s="390">
        <v>210000</v>
      </c>
      <c r="Q1176" s="387" t="s">
        <v>12108</v>
      </c>
      <c r="R1176" s="358" t="s">
        <v>354</v>
      </c>
      <c r="S1176" s="340">
        <v>16</v>
      </c>
    </row>
    <row r="1177" spans="1:19" ht="29.5" thickBot="1" x14ac:dyDescent="0.4">
      <c r="A1177" s="357">
        <v>1166</v>
      </c>
      <c r="B1177" s="387" t="s">
        <v>11708</v>
      </c>
      <c r="C1177" s="387" t="s">
        <v>11709</v>
      </c>
      <c r="D1177" s="388" t="s">
        <v>298</v>
      </c>
      <c r="E1177" s="388" t="s">
        <v>10082</v>
      </c>
      <c r="F1177" s="388" t="s">
        <v>10078</v>
      </c>
      <c r="G1177" s="388" t="s">
        <v>10088</v>
      </c>
      <c r="H1177" s="388" t="s">
        <v>2972</v>
      </c>
      <c r="I1177" s="387" t="s">
        <v>63</v>
      </c>
      <c r="J1177" s="389">
        <v>43045</v>
      </c>
      <c r="K1177" s="387" t="s">
        <v>12107</v>
      </c>
      <c r="L1177" s="387"/>
      <c r="M1177" s="387"/>
      <c r="N1177" s="387"/>
      <c r="O1177" s="387" t="s">
        <v>44</v>
      </c>
      <c r="P1177" s="390">
        <v>210000</v>
      </c>
      <c r="Q1177" s="387" t="s">
        <v>12108</v>
      </c>
      <c r="R1177" s="358" t="s">
        <v>354</v>
      </c>
      <c r="S1177" s="340">
        <v>16</v>
      </c>
    </row>
    <row r="1178" spans="1:19" ht="29" x14ac:dyDescent="0.35">
      <c r="A1178" s="349">
        <v>1167</v>
      </c>
      <c r="B1178" s="387" t="s">
        <v>11708</v>
      </c>
      <c r="C1178" s="387" t="s">
        <v>11709</v>
      </c>
      <c r="D1178" s="388" t="s">
        <v>304</v>
      </c>
      <c r="E1178" s="388" t="s">
        <v>10082</v>
      </c>
      <c r="F1178" s="388" t="s">
        <v>10078</v>
      </c>
      <c r="G1178" s="388" t="s">
        <v>10088</v>
      </c>
      <c r="H1178" s="388" t="s">
        <v>2972</v>
      </c>
      <c r="I1178" s="387" t="s">
        <v>63</v>
      </c>
      <c r="J1178" s="389">
        <v>43045</v>
      </c>
      <c r="K1178" s="387" t="s">
        <v>12107</v>
      </c>
      <c r="L1178" s="387"/>
      <c r="M1178" s="387"/>
      <c r="N1178" s="387"/>
      <c r="O1178" s="387" t="s">
        <v>44</v>
      </c>
      <c r="P1178" s="390">
        <v>210000</v>
      </c>
      <c r="Q1178" s="387" t="s">
        <v>12108</v>
      </c>
      <c r="R1178" s="358" t="s">
        <v>354</v>
      </c>
      <c r="S1178" s="340">
        <v>16</v>
      </c>
    </row>
    <row r="1179" spans="1:19" ht="29.5" thickBot="1" x14ac:dyDescent="0.4">
      <c r="A1179" s="357">
        <v>1168</v>
      </c>
      <c r="B1179" s="387" t="s">
        <v>11708</v>
      </c>
      <c r="C1179" s="387" t="s">
        <v>11709</v>
      </c>
      <c r="D1179" s="388" t="s">
        <v>310</v>
      </c>
      <c r="E1179" s="388" t="s">
        <v>10082</v>
      </c>
      <c r="F1179" s="388" t="s">
        <v>10078</v>
      </c>
      <c r="G1179" s="388" t="s">
        <v>10088</v>
      </c>
      <c r="H1179" s="388" t="s">
        <v>2972</v>
      </c>
      <c r="I1179" s="387" t="s">
        <v>63</v>
      </c>
      <c r="J1179" s="389">
        <v>43045</v>
      </c>
      <c r="K1179" s="387" t="s">
        <v>12107</v>
      </c>
      <c r="L1179" s="387"/>
      <c r="M1179" s="387"/>
      <c r="N1179" s="387"/>
      <c r="O1179" s="387" t="s">
        <v>44</v>
      </c>
      <c r="P1179" s="390">
        <v>210000</v>
      </c>
      <c r="Q1179" s="387" t="s">
        <v>12108</v>
      </c>
      <c r="R1179" s="358" t="s">
        <v>354</v>
      </c>
      <c r="S1179" s="340">
        <v>16</v>
      </c>
    </row>
    <row r="1180" spans="1:19" ht="29" x14ac:dyDescent="0.35">
      <c r="A1180" s="349">
        <v>1169</v>
      </c>
      <c r="B1180" s="387" t="s">
        <v>11708</v>
      </c>
      <c r="C1180" s="387" t="s">
        <v>11709</v>
      </c>
      <c r="D1180" s="388" t="s">
        <v>319</v>
      </c>
      <c r="E1180" s="388" t="s">
        <v>10082</v>
      </c>
      <c r="F1180" s="388" t="s">
        <v>10078</v>
      </c>
      <c r="G1180" s="388" t="s">
        <v>10088</v>
      </c>
      <c r="H1180" s="388" t="s">
        <v>2972</v>
      </c>
      <c r="I1180" s="387" t="s">
        <v>63</v>
      </c>
      <c r="J1180" s="389">
        <v>43045</v>
      </c>
      <c r="K1180" s="387" t="s">
        <v>12107</v>
      </c>
      <c r="L1180" s="387"/>
      <c r="M1180" s="387"/>
      <c r="N1180" s="387"/>
      <c r="O1180" s="387" t="s">
        <v>44</v>
      </c>
      <c r="P1180" s="390">
        <v>210000</v>
      </c>
      <c r="Q1180" s="387" t="s">
        <v>12108</v>
      </c>
      <c r="R1180" s="358" t="s">
        <v>354</v>
      </c>
      <c r="S1180" s="340">
        <v>16</v>
      </c>
    </row>
    <row r="1181" spans="1:19" ht="29.5" thickBot="1" x14ac:dyDescent="0.4">
      <c r="A1181" s="357">
        <v>1170</v>
      </c>
      <c r="B1181" s="387" t="s">
        <v>11708</v>
      </c>
      <c r="C1181" s="387" t="s">
        <v>11709</v>
      </c>
      <c r="D1181" s="388" t="s">
        <v>325</v>
      </c>
      <c r="E1181" s="388" t="s">
        <v>10082</v>
      </c>
      <c r="F1181" s="388" t="s">
        <v>10078</v>
      </c>
      <c r="G1181" s="388" t="s">
        <v>10088</v>
      </c>
      <c r="H1181" s="388" t="s">
        <v>2972</v>
      </c>
      <c r="I1181" s="387" t="s">
        <v>63</v>
      </c>
      <c r="J1181" s="389">
        <v>43045</v>
      </c>
      <c r="K1181" s="387" t="s">
        <v>12107</v>
      </c>
      <c r="L1181" s="387"/>
      <c r="M1181" s="387"/>
      <c r="N1181" s="387"/>
      <c r="O1181" s="387" t="s">
        <v>44</v>
      </c>
      <c r="P1181" s="390">
        <v>210000</v>
      </c>
      <c r="Q1181" s="387" t="s">
        <v>12108</v>
      </c>
      <c r="R1181" s="358" t="s">
        <v>354</v>
      </c>
      <c r="S1181" s="340">
        <v>16</v>
      </c>
    </row>
    <row r="1182" spans="1:19" ht="29" x14ac:dyDescent="0.35">
      <c r="A1182" s="349">
        <v>1171</v>
      </c>
      <c r="B1182" s="387" t="s">
        <v>11708</v>
      </c>
      <c r="C1182" s="387" t="s">
        <v>11709</v>
      </c>
      <c r="D1182" s="388" t="s">
        <v>332</v>
      </c>
      <c r="E1182" s="388" t="s">
        <v>10082</v>
      </c>
      <c r="F1182" s="388" t="s">
        <v>10078</v>
      </c>
      <c r="G1182" s="388" t="s">
        <v>10088</v>
      </c>
      <c r="H1182" s="388" t="s">
        <v>2972</v>
      </c>
      <c r="I1182" s="387" t="s">
        <v>63</v>
      </c>
      <c r="J1182" s="389">
        <v>43045</v>
      </c>
      <c r="K1182" s="387" t="s">
        <v>12107</v>
      </c>
      <c r="L1182" s="387"/>
      <c r="M1182" s="387"/>
      <c r="N1182" s="387"/>
      <c r="O1182" s="387" t="s">
        <v>44</v>
      </c>
      <c r="P1182" s="390">
        <v>210000</v>
      </c>
      <c r="Q1182" s="387" t="s">
        <v>12108</v>
      </c>
      <c r="R1182" s="358" t="s">
        <v>354</v>
      </c>
      <c r="S1182" s="340">
        <v>16</v>
      </c>
    </row>
    <row r="1183" spans="1:19" ht="29.5" thickBot="1" x14ac:dyDescent="0.4">
      <c r="A1183" s="357">
        <v>1172</v>
      </c>
      <c r="B1183" s="387" t="s">
        <v>11708</v>
      </c>
      <c r="C1183" s="387" t="s">
        <v>11709</v>
      </c>
      <c r="D1183" s="388" t="s">
        <v>338</v>
      </c>
      <c r="E1183" s="388" t="s">
        <v>10082</v>
      </c>
      <c r="F1183" s="388" t="s">
        <v>10078</v>
      </c>
      <c r="G1183" s="388" t="s">
        <v>10088</v>
      </c>
      <c r="H1183" s="388" t="s">
        <v>2972</v>
      </c>
      <c r="I1183" s="387" t="s">
        <v>63</v>
      </c>
      <c r="J1183" s="389">
        <v>43045</v>
      </c>
      <c r="K1183" s="387" t="s">
        <v>12107</v>
      </c>
      <c r="L1183" s="387"/>
      <c r="M1183" s="387"/>
      <c r="N1183" s="387"/>
      <c r="O1183" s="387" t="s">
        <v>44</v>
      </c>
      <c r="P1183" s="390">
        <v>210000</v>
      </c>
      <c r="Q1183" s="387" t="s">
        <v>12108</v>
      </c>
      <c r="R1183" s="358" t="s">
        <v>354</v>
      </c>
      <c r="S1183" s="340">
        <v>16</v>
      </c>
    </row>
    <row r="1184" spans="1:19" ht="29" x14ac:dyDescent="0.35">
      <c r="A1184" s="349">
        <v>1173</v>
      </c>
      <c r="B1184" s="387" t="s">
        <v>11708</v>
      </c>
      <c r="C1184" s="387" t="s">
        <v>11709</v>
      </c>
      <c r="D1184" s="388" t="s">
        <v>343</v>
      </c>
      <c r="E1184" s="388" t="s">
        <v>10082</v>
      </c>
      <c r="F1184" s="388" t="s">
        <v>10078</v>
      </c>
      <c r="G1184" s="388" t="s">
        <v>10088</v>
      </c>
      <c r="H1184" s="388" t="s">
        <v>2972</v>
      </c>
      <c r="I1184" s="387" t="s">
        <v>63</v>
      </c>
      <c r="J1184" s="389">
        <v>43045</v>
      </c>
      <c r="K1184" s="387" t="s">
        <v>12107</v>
      </c>
      <c r="L1184" s="387"/>
      <c r="M1184" s="387"/>
      <c r="N1184" s="387"/>
      <c r="O1184" s="387" t="s">
        <v>44</v>
      </c>
      <c r="P1184" s="390">
        <v>210000</v>
      </c>
      <c r="Q1184" s="387" t="s">
        <v>12108</v>
      </c>
      <c r="R1184" s="358" t="s">
        <v>354</v>
      </c>
      <c r="S1184" s="340">
        <v>16</v>
      </c>
    </row>
    <row r="1185" spans="1:19" ht="29.5" thickBot="1" x14ac:dyDescent="0.4">
      <c r="A1185" s="357">
        <v>1174</v>
      </c>
      <c r="B1185" s="387" t="s">
        <v>11708</v>
      </c>
      <c r="C1185" s="387" t="s">
        <v>11709</v>
      </c>
      <c r="D1185" s="388" t="s">
        <v>348</v>
      </c>
      <c r="E1185" s="388" t="s">
        <v>10082</v>
      </c>
      <c r="F1185" s="388" t="s">
        <v>10078</v>
      </c>
      <c r="G1185" s="388" t="s">
        <v>10088</v>
      </c>
      <c r="H1185" s="388" t="s">
        <v>2972</v>
      </c>
      <c r="I1185" s="387" t="s">
        <v>63</v>
      </c>
      <c r="J1185" s="389">
        <v>43045</v>
      </c>
      <c r="K1185" s="387" t="s">
        <v>12107</v>
      </c>
      <c r="L1185" s="387"/>
      <c r="M1185" s="387"/>
      <c r="N1185" s="387"/>
      <c r="O1185" s="387" t="s">
        <v>44</v>
      </c>
      <c r="P1185" s="390">
        <v>210000</v>
      </c>
      <c r="Q1185" s="387" t="s">
        <v>12108</v>
      </c>
      <c r="R1185" s="358" t="s">
        <v>354</v>
      </c>
      <c r="S1185" s="340">
        <v>16</v>
      </c>
    </row>
    <row r="1186" spans="1:19" ht="29" x14ac:dyDescent="0.35">
      <c r="A1186" s="349">
        <v>1175</v>
      </c>
      <c r="B1186" s="387" t="s">
        <v>11708</v>
      </c>
      <c r="C1186" s="387" t="s">
        <v>11709</v>
      </c>
      <c r="D1186" s="388" t="s">
        <v>353</v>
      </c>
      <c r="E1186" s="388" t="s">
        <v>10082</v>
      </c>
      <c r="F1186" s="388" t="s">
        <v>10078</v>
      </c>
      <c r="G1186" s="388" t="s">
        <v>10088</v>
      </c>
      <c r="H1186" s="388" t="s">
        <v>2972</v>
      </c>
      <c r="I1186" s="387" t="s">
        <v>63</v>
      </c>
      <c r="J1186" s="389">
        <v>43045</v>
      </c>
      <c r="K1186" s="387" t="s">
        <v>12107</v>
      </c>
      <c r="L1186" s="387"/>
      <c r="M1186" s="387"/>
      <c r="N1186" s="387"/>
      <c r="O1186" s="387" t="s">
        <v>44</v>
      </c>
      <c r="P1186" s="390">
        <v>210000</v>
      </c>
      <c r="Q1186" s="387" t="s">
        <v>12108</v>
      </c>
      <c r="R1186" s="358" t="s">
        <v>354</v>
      </c>
      <c r="S1186" s="340">
        <v>16</v>
      </c>
    </row>
    <row r="1187" spans="1:19" ht="29.5" thickBot="1" x14ac:dyDescent="0.4">
      <c r="A1187" s="357">
        <v>1176</v>
      </c>
      <c r="B1187" s="387" t="s">
        <v>11708</v>
      </c>
      <c r="C1187" s="387" t="s">
        <v>11709</v>
      </c>
      <c r="D1187" s="388" t="s">
        <v>359</v>
      </c>
      <c r="E1187" s="388" t="s">
        <v>10082</v>
      </c>
      <c r="F1187" s="388" t="s">
        <v>10078</v>
      </c>
      <c r="G1187" s="388" t="s">
        <v>10088</v>
      </c>
      <c r="H1187" s="388" t="s">
        <v>2972</v>
      </c>
      <c r="I1187" s="387" t="s">
        <v>63</v>
      </c>
      <c r="J1187" s="389">
        <v>43045</v>
      </c>
      <c r="K1187" s="387" t="s">
        <v>12107</v>
      </c>
      <c r="L1187" s="387"/>
      <c r="M1187" s="387"/>
      <c r="N1187" s="387"/>
      <c r="O1187" s="387" t="s">
        <v>44</v>
      </c>
      <c r="P1187" s="390">
        <v>210000</v>
      </c>
      <c r="Q1187" s="387" t="s">
        <v>12108</v>
      </c>
      <c r="R1187" s="358" t="s">
        <v>354</v>
      </c>
      <c r="S1187" s="340">
        <v>16</v>
      </c>
    </row>
    <row r="1188" spans="1:19" ht="29" x14ac:dyDescent="0.35">
      <c r="A1188" s="349">
        <v>1177</v>
      </c>
      <c r="B1188" s="387" t="s">
        <v>11708</v>
      </c>
      <c r="C1188" s="387" t="s">
        <v>11709</v>
      </c>
      <c r="D1188" s="388" t="s">
        <v>366</v>
      </c>
      <c r="E1188" s="388" t="s">
        <v>10082</v>
      </c>
      <c r="F1188" s="388" t="s">
        <v>10078</v>
      </c>
      <c r="G1188" s="388" t="s">
        <v>10088</v>
      </c>
      <c r="H1188" s="388" t="s">
        <v>2972</v>
      </c>
      <c r="I1188" s="387" t="s">
        <v>63</v>
      </c>
      <c r="J1188" s="389">
        <v>43045</v>
      </c>
      <c r="K1188" s="387" t="s">
        <v>12107</v>
      </c>
      <c r="L1188" s="387"/>
      <c r="M1188" s="387"/>
      <c r="N1188" s="387"/>
      <c r="O1188" s="387" t="s">
        <v>44</v>
      </c>
      <c r="P1188" s="390">
        <v>210000</v>
      </c>
      <c r="Q1188" s="387" t="s">
        <v>12108</v>
      </c>
      <c r="R1188" s="358" t="s">
        <v>354</v>
      </c>
      <c r="S1188" s="340">
        <v>16</v>
      </c>
    </row>
    <row r="1189" spans="1:19" ht="29.5" thickBot="1" x14ac:dyDescent="0.4">
      <c r="A1189" s="357">
        <v>1178</v>
      </c>
      <c r="B1189" s="387" t="s">
        <v>11708</v>
      </c>
      <c r="C1189" s="387" t="s">
        <v>11709</v>
      </c>
      <c r="D1189" s="388" t="s">
        <v>371</v>
      </c>
      <c r="E1189" s="388" t="s">
        <v>10082</v>
      </c>
      <c r="F1189" s="388" t="s">
        <v>10078</v>
      </c>
      <c r="G1189" s="388" t="s">
        <v>10088</v>
      </c>
      <c r="H1189" s="388" t="s">
        <v>2972</v>
      </c>
      <c r="I1189" s="387" t="s">
        <v>63</v>
      </c>
      <c r="J1189" s="389">
        <v>43045</v>
      </c>
      <c r="K1189" s="387" t="s">
        <v>12107</v>
      </c>
      <c r="L1189" s="387"/>
      <c r="M1189" s="387"/>
      <c r="N1189" s="387"/>
      <c r="O1189" s="387" t="s">
        <v>44</v>
      </c>
      <c r="P1189" s="390">
        <v>210000</v>
      </c>
      <c r="Q1189" s="387" t="s">
        <v>12108</v>
      </c>
      <c r="R1189" s="358" t="s">
        <v>354</v>
      </c>
      <c r="S1189" s="340">
        <v>16</v>
      </c>
    </row>
    <row r="1190" spans="1:19" ht="29" x14ac:dyDescent="0.35">
      <c r="A1190" s="349">
        <v>1179</v>
      </c>
      <c r="B1190" s="387" t="s">
        <v>11708</v>
      </c>
      <c r="C1190" s="387" t="s">
        <v>11709</v>
      </c>
      <c r="D1190" s="388" t="s">
        <v>376</v>
      </c>
      <c r="E1190" s="388" t="s">
        <v>10082</v>
      </c>
      <c r="F1190" s="388" t="s">
        <v>10078</v>
      </c>
      <c r="G1190" s="388" t="s">
        <v>10088</v>
      </c>
      <c r="H1190" s="388" t="s">
        <v>2972</v>
      </c>
      <c r="I1190" s="387" t="s">
        <v>63</v>
      </c>
      <c r="J1190" s="389">
        <v>43045</v>
      </c>
      <c r="K1190" s="387" t="s">
        <v>12107</v>
      </c>
      <c r="L1190" s="387"/>
      <c r="M1190" s="387"/>
      <c r="N1190" s="387"/>
      <c r="O1190" s="387" t="s">
        <v>44</v>
      </c>
      <c r="P1190" s="390">
        <v>210000</v>
      </c>
      <c r="Q1190" s="387" t="s">
        <v>12108</v>
      </c>
      <c r="R1190" s="358" t="s">
        <v>354</v>
      </c>
      <c r="S1190" s="340">
        <v>16</v>
      </c>
    </row>
    <row r="1191" spans="1:19" ht="29.5" thickBot="1" x14ac:dyDescent="0.4">
      <c r="A1191" s="357">
        <v>1180</v>
      </c>
      <c r="B1191" s="387" t="s">
        <v>11708</v>
      </c>
      <c r="C1191" s="387" t="s">
        <v>11709</v>
      </c>
      <c r="D1191" s="388" t="s">
        <v>382</v>
      </c>
      <c r="E1191" s="388" t="s">
        <v>10082</v>
      </c>
      <c r="F1191" s="388" t="s">
        <v>10078</v>
      </c>
      <c r="G1191" s="388" t="s">
        <v>10088</v>
      </c>
      <c r="H1191" s="388" t="s">
        <v>2972</v>
      </c>
      <c r="I1191" s="387" t="s">
        <v>63</v>
      </c>
      <c r="J1191" s="389">
        <v>43045</v>
      </c>
      <c r="K1191" s="387" t="s">
        <v>12107</v>
      </c>
      <c r="L1191" s="387"/>
      <c r="M1191" s="387"/>
      <c r="N1191" s="387"/>
      <c r="O1191" s="387" t="s">
        <v>44</v>
      </c>
      <c r="P1191" s="390">
        <v>210000</v>
      </c>
      <c r="Q1191" s="387" t="s">
        <v>12108</v>
      </c>
      <c r="R1191" s="358" t="s">
        <v>354</v>
      </c>
      <c r="S1191" s="340">
        <v>16</v>
      </c>
    </row>
    <row r="1192" spans="1:19" ht="29" x14ac:dyDescent="0.35">
      <c r="A1192" s="349">
        <v>1181</v>
      </c>
      <c r="B1192" s="387" t="s">
        <v>11708</v>
      </c>
      <c r="C1192" s="387" t="s">
        <v>11709</v>
      </c>
      <c r="D1192" s="388" t="s">
        <v>387</v>
      </c>
      <c r="E1192" s="388" t="s">
        <v>10082</v>
      </c>
      <c r="F1192" s="388" t="s">
        <v>10078</v>
      </c>
      <c r="G1192" s="388" t="s">
        <v>10088</v>
      </c>
      <c r="H1192" s="388" t="s">
        <v>2972</v>
      </c>
      <c r="I1192" s="387" t="s">
        <v>63</v>
      </c>
      <c r="J1192" s="389">
        <v>43045</v>
      </c>
      <c r="K1192" s="387" t="s">
        <v>12107</v>
      </c>
      <c r="L1192" s="387"/>
      <c r="M1192" s="387"/>
      <c r="N1192" s="387"/>
      <c r="O1192" s="387" t="s">
        <v>44</v>
      </c>
      <c r="P1192" s="390">
        <v>210000</v>
      </c>
      <c r="Q1192" s="387" t="s">
        <v>12108</v>
      </c>
      <c r="R1192" s="358" t="s">
        <v>354</v>
      </c>
      <c r="S1192" s="340">
        <v>16</v>
      </c>
    </row>
    <row r="1193" spans="1:19" ht="29.5" thickBot="1" x14ac:dyDescent="0.4">
      <c r="A1193" s="357">
        <v>1182</v>
      </c>
      <c r="B1193" s="387" t="s">
        <v>11708</v>
      </c>
      <c r="C1193" s="387" t="s">
        <v>11709</v>
      </c>
      <c r="D1193" s="388" t="s">
        <v>392</v>
      </c>
      <c r="E1193" s="388" t="s">
        <v>10082</v>
      </c>
      <c r="F1193" s="388" t="s">
        <v>10078</v>
      </c>
      <c r="G1193" s="388" t="s">
        <v>10088</v>
      </c>
      <c r="H1193" s="388" t="s">
        <v>2972</v>
      </c>
      <c r="I1193" s="387" t="s">
        <v>63</v>
      </c>
      <c r="J1193" s="389">
        <v>43045</v>
      </c>
      <c r="K1193" s="387" t="s">
        <v>12107</v>
      </c>
      <c r="L1193" s="387"/>
      <c r="M1193" s="387"/>
      <c r="N1193" s="387"/>
      <c r="O1193" s="387" t="s">
        <v>44</v>
      </c>
      <c r="P1193" s="390">
        <v>210000</v>
      </c>
      <c r="Q1193" s="387" t="s">
        <v>12108</v>
      </c>
      <c r="R1193" s="358" t="s">
        <v>354</v>
      </c>
      <c r="S1193" s="340">
        <v>16</v>
      </c>
    </row>
    <row r="1194" spans="1:19" ht="29" x14ac:dyDescent="0.35">
      <c r="A1194" s="349">
        <v>1183</v>
      </c>
      <c r="B1194" s="387" t="s">
        <v>11708</v>
      </c>
      <c r="C1194" s="387" t="s">
        <v>11709</v>
      </c>
      <c r="D1194" s="388" t="s">
        <v>398</v>
      </c>
      <c r="E1194" s="388" t="s">
        <v>10082</v>
      </c>
      <c r="F1194" s="388" t="s">
        <v>10078</v>
      </c>
      <c r="G1194" s="388" t="s">
        <v>10088</v>
      </c>
      <c r="H1194" s="388" t="s">
        <v>2972</v>
      </c>
      <c r="I1194" s="387" t="s">
        <v>63</v>
      </c>
      <c r="J1194" s="389">
        <v>43045</v>
      </c>
      <c r="K1194" s="387" t="s">
        <v>12107</v>
      </c>
      <c r="L1194" s="387"/>
      <c r="M1194" s="387"/>
      <c r="N1194" s="387"/>
      <c r="O1194" s="387" t="s">
        <v>44</v>
      </c>
      <c r="P1194" s="390">
        <v>210000</v>
      </c>
      <c r="Q1194" s="387" t="s">
        <v>12108</v>
      </c>
      <c r="R1194" s="358" t="s">
        <v>354</v>
      </c>
      <c r="S1194" s="340">
        <v>16</v>
      </c>
    </row>
    <row r="1195" spans="1:19" ht="29.5" thickBot="1" x14ac:dyDescent="0.4">
      <c r="A1195" s="357">
        <v>1184</v>
      </c>
      <c r="B1195" s="387" t="s">
        <v>11708</v>
      </c>
      <c r="C1195" s="387" t="s">
        <v>11709</v>
      </c>
      <c r="D1195" s="388" t="s">
        <v>403</v>
      </c>
      <c r="E1195" s="388" t="s">
        <v>10082</v>
      </c>
      <c r="F1195" s="388" t="s">
        <v>10078</v>
      </c>
      <c r="G1195" s="388" t="s">
        <v>10088</v>
      </c>
      <c r="H1195" s="388" t="s">
        <v>2972</v>
      </c>
      <c r="I1195" s="387" t="s">
        <v>63</v>
      </c>
      <c r="J1195" s="389">
        <v>43045</v>
      </c>
      <c r="K1195" s="387" t="s">
        <v>12107</v>
      </c>
      <c r="L1195" s="387"/>
      <c r="M1195" s="387"/>
      <c r="N1195" s="387"/>
      <c r="O1195" s="387" t="s">
        <v>44</v>
      </c>
      <c r="P1195" s="390">
        <v>210000</v>
      </c>
      <c r="Q1195" s="387" t="s">
        <v>12108</v>
      </c>
      <c r="R1195" s="358" t="s">
        <v>354</v>
      </c>
      <c r="S1195" s="340">
        <v>16</v>
      </c>
    </row>
    <row r="1196" spans="1:19" ht="29" x14ac:dyDescent="0.35">
      <c r="A1196" s="349">
        <v>1185</v>
      </c>
      <c r="B1196" s="387" t="s">
        <v>11708</v>
      </c>
      <c r="C1196" s="387" t="s">
        <v>11709</v>
      </c>
      <c r="D1196" s="388" t="s">
        <v>408</v>
      </c>
      <c r="E1196" s="388" t="s">
        <v>10082</v>
      </c>
      <c r="F1196" s="388" t="s">
        <v>10078</v>
      </c>
      <c r="G1196" s="388" t="s">
        <v>10088</v>
      </c>
      <c r="H1196" s="388" t="s">
        <v>2972</v>
      </c>
      <c r="I1196" s="387" t="s">
        <v>63</v>
      </c>
      <c r="J1196" s="389">
        <v>43045</v>
      </c>
      <c r="K1196" s="387" t="s">
        <v>12107</v>
      </c>
      <c r="L1196" s="387"/>
      <c r="M1196" s="387"/>
      <c r="N1196" s="387"/>
      <c r="O1196" s="387" t="s">
        <v>44</v>
      </c>
      <c r="P1196" s="390">
        <v>210000</v>
      </c>
      <c r="Q1196" s="387" t="s">
        <v>12108</v>
      </c>
      <c r="R1196" s="358" t="s">
        <v>354</v>
      </c>
      <c r="S1196" s="340">
        <v>16</v>
      </c>
    </row>
    <row r="1197" spans="1:19" ht="29.5" thickBot="1" x14ac:dyDescent="0.4">
      <c r="A1197" s="357">
        <v>1186</v>
      </c>
      <c r="B1197" s="387" t="s">
        <v>11708</v>
      </c>
      <c r="C1197" s="387" t="s">
        <v>11709</v>
      </c>
      <c r="D1197" s="388" t="s">
        <v>413</v>
      </c>
      <c r="E1197" s="388" t="s">
        <v>10082</v>
      </c>
      <c r="F1197" s="388" t="s">
        <v>10078</v>
      </c>
      <c r="G1197" s="388" t="s">
        <v>10088</v>
      </c>
      <c r="H1197" s="388" t="s">
        <v>2972</v>
      </c>
      <c r="I1197" s="387" t="s">
        <v>63</v>
      </c>
      <c r="J1197" s="389">
        <v>43045</v>
      </c>
      <c r="K1197" s="387" t="s">
        <v>12107</v>
      </c>
      <c r="L1197" s="387"/>
      <c r="M1197" s="387"/>
      <c r="N1197" s="387"/>
      <c r="O1197" s="387" t="s">
        <v>44</v>
      </c>
      <c r="P1197" s="390">
        <v>210000</v>
      </c>
      <c r="Q1197" s="387" t="s">
        <v>12108</v>
      </c>
      <c r="R1197" s="358" t="s">
        <v>354</v>
      </c>
      <c r="S1197" s="340">
        <v>16</v>
      </c>
    </row>
    <row r="1198" spans="1:19" ht="29" x14ac:dyDescent="0.35">
      <c r="A1198" s="349">
        <v>1187</v>
      </c>
      <c r="B1198" s="387" t="s">
        <v>11708</v>
      </c>
      <c r="C1198" s="387" t="s">
        <v>11709</v>
      </c>
      <c r="D1198" s="388" t="s">
        <v>3140</v>
      </c>
      <c r="E1198" s="388" t="s">
        <v>10082</v>
      </c>
      <c r="F1198" s="388" t="s">
        <v>10078</v>
      </c>
      <c r="G1198" s="388" t="s">
        <v>10088</v>
      </c>
      <c r="H1198" s="388" t="s">
        <v>2972</v>
      </c>
      <c r="I1198" s="387" t="s">
        <v>63</v>
      </c>
      <c r="J1198" s="389">
        <v>43045</v>
      </c>
      <c r="K1198" s="387" t="s">
        <v>12107</v>
      </c>
      <c r="L1198" s="387"/>
      <c r="M1198" s="387"/>
      <c r="N1198" s="387"/>
      <c r="O1198" s="387" t="s">
        <v>44</v>
      </c>
      <c r="P1198" s="390">
        <v>210000</v>
      </c>
      <c r="Q1198" s="387" t="s">
        <v>12108</v>
      </c>
      <c r="R1198" s="358" t="s">
        <v>354</v>
      </c>
      <c r="S1198" s="340">
        <v>16</v>
      </c>
    </row>
    <row r="1199" spans="1:19" ht="29.5" thickBot="1" x14ac:dyDescent="0.4">
      <c r="A1199" s="357">
        <v>1188</v>
      </c>
      <c r="B1199" s="387" t="s">
        <v>11708</v>
      </c>
      <c r="C1199" s="387" t="s">
        <v>11709</v>
      </c>
      <c r="D1199" s="388" t="s">
        <v>1450</v>
      </c>
      <c r="E1199" s="388" t="s">
        <v>10082</v>
      </c>
      <c r="F1199" s="388" t="s">
        <v>10078</v>
      </c>
      <c r="G1199" s="388" t="s">
        <v>10088</v>
      </c>
      <c r="H1199" s="388" t="s">
        <v>2972</v>
      </c>
      <c r="I1199" s="387" t="s">
        <v>63</v>
      </c>
      <c r="J1199" s="389">
        <v>43045</v>
      </c>
      <c r="K1199" s="387" t="s">
        <v>12107</v>
      </c>
      <c r="L1199" s="387"/>
      <c r="M1199" s="387"/>
      <c r="N1199" s="387"/>
      <c r="O1199" s="387" t="s">
        <v>44</v>
      </c>
      <c r="P1199" s="390">
        <v>210000</v>
      </c>
      <c r="Q1199" s="387" t="s">
        <v>12108</v>
      </c>
      <c r="R1199" s="358" t="s">
        <v>354</v>
      </c>
      <c r="S1199" s="340">
        <v>16</v>
      </c>
    </row>
    <row r="1200" spans="1:19" ht="29" x14ac:dyDescent="0.35">
      <c r="A1200" s="349">
        <v>1189</v>
      </c>
      <c r="B1200" s="387" t="s">
        <v>11708</v>
      </c>
      <c r="C1200" s="387" t="s">
        <v>11709</v>
      </c>
      <c r="D1200" s="388" t="s">
        <v>1456</v>
      </c>
      <c r="E1200" s="388" t="s">
        <v>10082</v>
      </c>
      <c r="F1200" s="388" t="s">
        <v>10078</v>
      </c>
      <c r="G1200" s="388" t="s">
        <v>10088</v>
      </c>
      <c r="H1200" s="388" t="s">
        <v>2972</v>
      </c>
      <c r="I1200" s="387" t="s">
        <v>63</v>
      </c>
      <c r="J1200" s="389">
        <v>43045</v>
      </c>
      <c r="K1200" s="387" t="s">
        <v>12107</v>
      </c>
      <c r="L1200" s="387"/>
      <c r="M1200" s="387"/>
      <c r="N1200" s="387"/>
      <c r="O1200" s="387" t="s">
        <v>44</v>
      </c>
      <c r="P1200" s="390">
        <v>210000</v>
      </c>
      <c r="Q1200" s="387" t="s">
        <v>12108</v>
      </c>
      <c r="R1200" s="358" t="s">
        <v>354</v>
      </c>
      <c r="S1200" s="340">
        <v>16</v>
      </c>
    </row>
    <row r="1201" spans="1:19" ht="29.5" thickBot="1" x14ac:dyDescent="0.4">
      <c r="A1201" s="357">
        <v>1190</v>
      </c>
      <c r="B1201" s="387" t="s">
        <v>11708</v>
      </c>
      <c r="C1201" s="387" t="s">
        <v>11709</v>
      </c>
      <c r="D1201" s="388" t="s">
        <v>1462</v>
      </c>
      <c r="E1201" s="388" t="s">
        <v>10082</v>
      </c>
      <c r="F1201" s="388" t="s">
        <v>10078</v>
      </c>
      <c r="G1201" s="388" t="s">
        <v>10088</v>
      </c>
      <c r="H1201" s="388" t="s">
        <v>2972</v>
      </c>
      <c r="I1201" s="387" t="s">
        <v>63</v>
      </c>
      <c r="J1201" s="389">
        <v>43045</v>
      </c>
      <c r="K1201" s="387" t="s">
        <v>12107</v>
      </c>
      <c r="L1201" s="387"/>
      <c r="M1201" s="387"/>
      <c r="N1201" s="387"/>
      <c r="O1201" s="387" t="s">
        <v>44</v>
      </c>
      <c r="P1201" s="390">
        <v>210000</v>
      </c>
      <c r="Q1201" s="387" t="s">
        <v>12108</v>
      </c>
      <c r="R1201" s="358" t="s">
        <v>354</v>
      </c>
      <c r="S1201" s="340">
        <v>16</v>
      </c>
    </row>
    <row r="1202" spans="1:19" ht="29" x14ac:dyDescent="0.35">
      <c r="A1202" s="349">
        <v>1191</v>
      </c>
      <c r="B1202" s="387" t="s">
        <v>11708</v>
      </c>
      <c r="C1202" s="387" t="s">
        <v>11709</v>
      </c>
      <c r="D1202" s="388" t="s">
        <v>1469</v>
      </c>
      <c r="E1202" s="388" t="s">
        <v>10082</v>
      </c>
      <c r="F1202" s="388" t="s">
        <v>10078</v>
      </c>
      <c r="G1202" s="388" t="s">
        <v>10088</v>
      </c>
      <c r="H1202" s="388" t="s">
        <v>2972</v>
      </c>
      <c r="I1202" s="387" t="s">
        <v>63</v>
      </c>
      <c r="J1202" s="389">
        <v>43045</v>
      </c>
      <c r="K1202" s="387" t="s">
        <v>12107</v>
      </c>
      <c r="L1202" s="387"/>
      <c r="M1202" s="387"/>
      <c r="N1202" s="387"/>
      <c r="O1202" s="387" t="s">
        <v>44</v>
      </c>
      <c r="P1202" s="390">
        <v>210000</v>
      </c>
      <c r="Q1202" s="387" t="s">
        <v>12108</v>
      </c>
      <c r="R1202" s="358" t="s">
        <v>354</v>
      </c>
      <c r="S1202" s="340">
        <v>16</v>
      </c>
    </row>
    <row r="1203" spans="1:19" ht="29.5" thickBot="1" x14ac:dyDescent="0.4">
      <c r="A1203" s="357">
        <v>1192</v>
      </c>
      <c r="B1203" s="387" t="s">
        <v>11708</v>
      </c>
      <c r="C1203" s="387" t="s">
        <v>11709</v>
      </c>
      <c r="D1203" s="388" t="s">
        <v>1475</v>
      </c>
      <c r="E1203" s="388" t="s">
        <v>10082</v>
      </c>
      <c r="F1203" s="388" t="s">
        <v>10078</v>
      </c>
      <c r="G1203" s="388" t="s">
        <v>10088</v>
      </c>
      <c r="H1203" s="388" t="s">
        <v>2972</v>
      </c>
      <c r="I1203" s="387" t="s">
        <v>63</v>
      </c>
      <c r="J1203" s="389">
        <v>43045</v>
      </c>
      <c r="K1203" s="387" t="s">
        <v>12107</v>
      </c>
      <c r="L1203" s="387"/>
      <c r="M1203" s="387"/>
      <c r="N1203" s="387"/>
      <c r="O1203" s="387" t="s">
        <v>44</v>
      </c>
      <c r="P1203" s="390">
        <v>210000</v>
      </c>
      <c r="Q1203" s="387" t="s">
        <v>12108</v>
      </c>
      <c r="R1203" s="358" t="s">
        <v>354</v>
      </c>
      <c r="S1203" s="340">
        <v>16</v>
      </c>
    </row>
    <row r="1204" spans="1:19" ht="29" x14ac:dyDescent="0.35">
      <c r="A1204" s="349">
        <v>1193</v>
      </c>
      <c r="B1204" s="387" t="s">
        <v>11708</v>
      </c>
      <c r="C1204" s="387" t="s">
        <v>11709</v>
      </c>
      <c r="D1204" s="388" t="s">
        <v>1480</v>
      </c>
      <c r="E1204" s="388" t="s">
        <v>10082</v>
      </c>
      <c r="F1204" s="388" t="s">
        <v>10078</v>
      </c>
      <c r="G1204" s="388" t="s">
        <v>10088</v>
      </c>
      <c r="H1204" s="388" t="s">
        <v>2972</v>
      </c>
      <c r="I1204" s="387" t="s">
        <v>63</v>
      </c>
      <c r="J1204" s="389">
        <v>43045</v>
      </c>
      <c r="K1204" s="387" t="s">
        <v>12107</v>
      </c>
      <c r="L1204" s="387"/>
      <c r="M1204" s="387"/>
      <c r="N1204" s="387"/>
      <c r="O1204" s="387" t="s">
        <v>44</v>
      </c>
      <c r="P1204" s="390">
        <v>210000</v>
      </c>
      <c r="Q1204" s="387" t="s">
        <v>12108</v>
      </c>
      <c r="R1204" s="358" t="s">
        <v>354</v>
      </c>
      <c r="S1204" s="340">
        <v>16</v>
      </c>
    </row>
    <row r="1205" spans="1:19" ht="29.5" thickBot="1" x14ac:dyDescent="0.4">
      <c r="A1205" s="357">
        <v>1194</v>
      </c>
      <c r="B1205" s="387" t="s">
        <v>11708</v>
      </c>
      <c r="C1205" s="387" t="s">
        <v>11709</v>
      </c>
      <c r="D1205" s="388" t="s">
        <v>1485</v>
      </c>
      <c r="E1205" s="388" t="s">
        <v>10082</v>
      </c>
      <c r="F1205" s="388" t="s">
        <v>10078</v>
      </c>
      <c r="G1205" s="388" t="s">
        <v>10088</v>
      </c>
      <c r="H1205" s="388" t="s">
        <v>2972</v>
      </c>
      <c r="I1205" s="387" t="s">
        <v>63</v>
      </c>
      <c r="J1205" s="389">
        <v>43045</v>
      </c>
      <c r="K1205" s="387" t="s">
        <v>12107</v>
      </c>
      <c r="L1205" s="387"/>
      <c r="M1205" s="387"/>
      <c r="N1205" s="387"/>
      <c r="O1205" s="387" t="s">
        <v>44</v>
      </c>
      <c r="P1205" s="390">
        <v>240000</v>
      </c>
      <c r="Q1205" s="387" t="s">
        <v>12108</v>
      </c>
      <c r="R1205" s="358" t="s">
        <v>354</v>
      </c>
      <c r="S1205" s="340">
        <v>16</v>
      </c>
    </row>
    <row r="1206" spans="1:19" ht="29" x14ac:dyDescent="0.35">
      <c r="A1206" s="349">
        <v>1195</v>
      </c>
      <c r="B1206" s="387" t="s">
        <v>12109</v>
      </c>
      <c r="C1206" s="387" t="s">
        <v>12110</v>
      </c>
      <c r="D1206" s="388" t="s">
        <v>51</v>
      </c>
      <c r="E1206" s="388" t="s">
        <v>10082</v>
      </c>
      <c r="F1206" s="388" t="s">
        <v>10078</v>
      </c>
      <c r="G1206" s="388" t="s">
        <v>10088</v>
      </c>
      <c r="H1206" s="388" t="s">
        <v>2972</v>
      </c>
      <c r="I1206" s="387" t="s">
        <v>12111</v>
      </c>
      <c r="J1206" s="389">
        <v>43068</v>
      </c>
      <c r="K1206" s="387" t="s">
        <v>12112</v>
      </c>
      <c r="L1206" s="387"/>
      <c r="M1206" s="387" t="s">
        <v>10084</v>
      </c>
      <c r="N1206" s="387"/>
      <c r="O1206" s="387" t="s">
        <v>57</v>
      </c>
      <c r="P1206" s="390">
        <v>9650000</v>
      </c>
      <c r="Q1206" s="387" t="s">
        <v>12113</v>
      </c>
      <c r="R1206" s="358" t="s">
        <v>354</v>
      </c>
      <c r="S1206" s="340">
        <v>16</v>
      </c>
    </row>
    <row r="1207" spans="1:19" ht="29.5" thickBot="1" x14ac:dyDescent="0.4">
      <c r="A1207" s="357">
        <v>1196</v>
      </c>
      <c r="B1207" s="387" t="s">
        <v>10096</v>
      </c>
      <c r="C1207" s="387" t="s">
        <v>10097</v>
      </c>
      <c r="D1207" s="388" t="s">
        <v>51</v>
      </c>
      <c r="E1207" s="388" t="s">
        <v>10082</v>
      </c>
      <c r="F1207" s="388"/>
      <c r="G1207" s="388"/>
      <c r="H1207" s="388"/>
      <c r="I1207" s="387" t="s">
        <v>63</v>
      </c>
      <c r="J1207" s="389">
        <v>45251</v>
      </c>
      <c r="K1207" s="387" t="s">
        <v>12114</v>
      </c>
      <c r="L1207" s="387"/>
      <c r="M1207" s="387"/>
      <c r="N1207" s="387"/>
      <c r="O1207" s="387" t="s">
        <v>44</v>
      </c>
      <c r="P1207" s="390">
        <v>390058000</v>
      </c>
      <c r="Q1207" s="387" t="s">
        <v>12115</v>
      </c>
      <c r="R1207" s="358" t="s">
        <v>354</v>
      </c>
      <c r="S1207" s="340">
        <v>16</v>
      </c>
    </row>
    <row r="1208" spans="1:19" ht="29" x14ac:dyDescent="0.35">
      <c r="A1208" s="349">
        <v>1197</v>
      </c>
      <c r="B1208" s="387" t="s">
        <v>10155</v>
      </c>
      <c r="C1208" s="387" t="s">
        <v>10156</v>
      </c>
      <c r="D1208" s="388" t="s">
        <v>51</v>
      </c>
      <c r="E1208" s="388" t="s">
        <v>10082</v>
      </c>
      <c r="F1208" s="388" t="s">
        <v>10078</v>
      </c>
      <c r="G1208" s="388" t="s">
        <v>10088</v>
      </c>
      <c r="H1208" s="388" t="s">
        <v>12116</v>
      </c>
      <c r="I1208" s="387" t="s">
        <v>12117</v>
      </c>
      <c r="J1208" s="389">
        <v>41113</v>
      </c>
      <c r="K1208" s="387" t="s">
        <v>12118</v>
      </c>
      <c r="L1208" s="387"/>
      <c r="M1208" s="387" t="s">
        <v>10084</v>
      </c>
      <c r="N1208" s="387"/>
      <c r="O1208" s="387" t="s">
        <v>57</v>
      </c>
      <c r="P1208" s="390">
        <v>947964900</v>
      </c>
      <c r="Q1208" s="387" t="s">
        <v>12119</v>
      </c>
      <c r="R1208" s="358" t="s">
        <v>377</v>
      </c>
      <c r="S1208" s="340">
        <v>17</v>
      </c>
    </row>
    <row r="1209" spans="1:19" ht="44" thickBot="1" x14ac:dyDescent="0.4">
      <c r="A1209" s="357">
        <v>1198</v>
      </c>
      <c r="B1209" s="387" t="s">
        <v>10511</v>
      </c>
      <c r="C1209" s="387" t="s">
        <v>10512</v>
      </c>
      <c r="D1209" s="388" t="s">
        <v>51</v>
      </c>
      <c r="E1209" s="388" t="s">
        <v>10082</v>
      </c>
      <c r="F1209" s="388" t="s">
        <v>10078</v>
      </c>
      <c r="G1209" s="388" t="s">
        <v>10078</v>
      </c>
      <c r="H1209" s="388" t="s">
        <v>2972</v>
      </c>
      <c r="I1209" s="387" t="s">
        <v>12120</v>
      </c>
      <c r="J1209" s="389">
        <v>43640</v>
      </c>
      <c r="K1209" s="387" t="s">
        <v>12121</v>
      </c>
      <c r="L1209" s="387"/>
      <c r="M1209" s="387" t="s">
        <v>10084</v>
      </c>
      <c r="N1209" s="387"/>
      <c r="O1209" s="387" t="s">
        <v>57</v>
      </c>
      <c r="P1209" s="390">
        <v>35000000</v>
      </c>
      <c r="Q1209" s="387" t="s">
        <v>12122</v>
      </c>
      <c r="R1209" s="358" t="s">
        <v>377</v>
      </c>
      <c r="S1209" s="340">
        <v>17</v>
      </c>
    </row>
    <row r="1210" spans="1:19" ht="46.5" x14ac:dyDescent="0.35">
      <c r="A1210" s="349">
        <v>1199</v>
      </c>
      <c r="B1210" s="387" t="s">
        <v>10155</v>
      </c>
      <c r="C1210" s="387" t="s">
        <v>10156</v>
      </c>
      <c r="D1210" s="388" t="s">
        <v>51</v>
      </c>
      <c r="E1210" s="388" t="s">
        <v>10082</v>
      </c>
      <c r="F1210" s="388" t="s">
        <v>10078</v>
      </c>
      <c r="G1210" s="388" t="s">
        <v>10078</v>
      </c>
      <c r="H1210" s="388" t="s">
        <v>163</v>
      </c>
      <c r="I1210" s="387" t="s">
        <v>12123</v>
      </c>
      <c r="J1210" s="389">
        <v>44386</v>
      </c>
      <c r="K1210" s="387" t="s">
        <v>12124</v>
      </c>
      <c r="L1210" s="387"/>
      <c r="M1210" s="387" t="s">
        <v>10084</v>
      </c>
      <c r="N1210" s="387"/>
      <c r="O1210" s="387" t="s">
        <v>57</v>
      </c>
      <c r="P1210" s="390">
        <v>386212034.19999999</v>
      </c>
      <c r="Q1210" s="387" t="s">
        <v>12125</v>
      </c>
      <c r="R1210" s="364" t="s">
        <v>12126</v>
      </c>
      <c r="S1210" s="340">
        <v>18</v>
      </c>
    </row>
    <row r="1211" spans="1:19" ht="47" thickBot="1" x14ac:dyDescent="0.4">
      <c r="A1211" s="357">
        <v>1200</v>
      </c>
      <c r="B1211" s="387" t="s">
        <v>10155</v>
      </c>
      <c r="C1211" s="387" t="s">
        <v>10156</v>
      </c>
      <c r="D1211" s="388" t="s">
        <v>59</v>
      </c>
      <c r="E1211" s="388" t="s">
        <v>10082</v>
      </c>
      <c r="F1211" s="388" t="s">
        <v>10078</v>
      </c>
      <c r="G1211" s="388" t="s">
        <v>10088</v>
      </c>
      <c r="H1211" s="388" t="s">
        <v>12127</v>
      </c>
      <c r="I1211" s="387" t="s">
        <v>12128</v>
      </c>
      <c r="J1211" s="389">
        <v>38047</v>
      </c>
      <c r="K1211" s="387" t="s">
        <v>12129</v>
      </c>
      <c r="L1211" s="387"/>
      <c r="M1211" s="387" t="s">
        <v>10084</v>
      </c>
      <c r="N1211" s="387"/>
      <c r="O1211" s="387" t="s">
        <v>57</v>
      </c>
      <c r="P1211" s="390">
        <v>2191193900</v>
      </c>
      <c r="Q1211" s="387" t="s">
        <v>12130</v>
      </c>
      <c r="R1211" s="364" t="s">
        <v>12126</v>
      </c>
      <c r="S1211" s="340">
        <v>18</v>
      </c>
    </row>
    <row r="1212" spans="1:19" ht="46.5" x14ac:dyDescent="0.35">
      <c r="A1212" s="349">
        <v>1201</v>
      </c>
      <c r="B1212" s="387" t="s">
        <v>10535</v>
      </c>
      <c r="C1212" s="387" t="s">
        <v>10536</v>
      </c>
      <c r="D1212" s="388" t="s">
        <v>51</v>
      </c>
      <c r="E1212" s="388" t="s">
        <v>10082</v>
      </c>
      <c r="F1212" s="388" t="s">
        <v>10078</v>
      </c>
      <c r="G1212" s="388" t="s">
        <v>10088</v>
      </c>
      <c r="H1212" s="388" t="s">
        <v>11284</v>
      </c>
      <c r="I1212" s="387" t="s">
        <v>12131</v>
      </c>
      <c r="J1212" s="389">
        <v>41547</v>
      </c>
      <c r="K1212" s="387" t="s">
        <v>10539</v>
      </c>
      <c r="L1212" s="387"/>
      <c r="M1212" s="387" t="s">
        <v>10084</v>
      </c>
      <c r="N1212" s="387"/>
      <c r="O1212" s="387" t="s">
        <v>57</v>
      </c>
      <c r="P1212" s="390">
        <v>8794000</v>
      </c>
      <c r="Q1212" s="387" t="s">
        <v>10540</v>
      </c>
      <c r="R1212" s="364" t="s">
        <v>12126</v>
      </c>
      <c r="S1212" s="340">
        <v>18</v>
      </c>
    </row>
    <row r="1213" spans="1:19" ht="47" thickBot="1" x14ac:dyDescent="0.4">
      <c r="A1213" s="357">
        <v>1202</v>
      </c>
      <c r="B1213" s="387" t="s">
        <v>10535</v>
      </c>
      <c r="C1213" s="387" t="s">
        <v>10536</v>
      </c>
      <c r="D1213" s="388" t="s">
        <v>59</v>
      </c>
      <c r="E1213" s="388" t="s">
        <v>10082</v>
      </c>
      <c r="F1213" s="388" t="s">
        <v>10078</v>
      </c>
      <c r="G1213" s="388" t="s">
        <v>10078</v>
      </c>
      <c r="H1213" s="388" t="s">
        <v>11731</v>
      </c>
      <c r="I1213" s="387" t="s">
        <v>12132</v>
      </c>
      <c r="J1213" s="389">
        <v>43077</v>
      </c>
      <c r="K1213" s="387" t="s">
        <v>12133</v>
      </c>
      <c r="L1213" s="387"/>
      <c r="M1213" s="387" t="s">
        <v>10084</v>
      </c>
      <c r="N1213" s="387"/>
      <c r="O1213" s="387" t="s">
        <v>57</v>
      </c>
      <c r="P1213" s="390">
        <v>15000000</v>
      </c>
      <c r="Q1213" s="387" t="s">
        <v>12134</v>
      </c>
      <c r="R1213" s="364" t="s">
        <v>12126</v>
      </c>
      <c r="S1213" s="340">
        <v>18</v>
      </c>
    </row>
    <row r="1214" spans="1:19" ht="46.5" x14ac:dyDescent="0.35">
      <c r="A1214" s="349">
        <v>1203</v>
      </c>
      <c r="B1214" s="387" t="s">
        <v>10535</v>
      </c>
      <c r="C1214" s="387" t="s">
        <v>10536</v>
      </c>
      <c r="D1214" s="388" t="s">
        <v>97</v>
      </c>
      <c r="E1214" s="388" t="s">
        <v>10082</v>
      </c>
      <c r="F1214" s="388" t="s">
        <v>10078</v>
      </c>
      <c r="G1214" s="388" t="s">
        <v>10078</v>
      </c>
      <c r="H1214" s="388" t="s">
        <v>11328</v>
      </c>
      <c r="I1214" s="387" t="s">
        <v>12135</v>
      </c>
      <c r="J1214" s="389">
        <v>44391</v>
      </c>
      <c r="K1214" s="387" t="s">
        <v>12136</v>
      </c>
      <c r="L1214" s="387"/>
      <c r="M1214" s="387" t="s">
        <v>10084</v>
      </c>
      <c r="N1214" s="387"/>
      <c r="O1214" s="387" t="s">
        <v>57</v>
      </c>
      <c r="P1214" s="390">
        <v>93858000</v>
      </c>
      <c r="Q1214" s="387" t="s">
        <v>12137</v>
      </c>
      <c r="R1214" s="364" t="s">
        <v>12126</v>
      </c>
      <c r="S1214" s="340">
        <v>18</v>
      </c>
    </row>
    <row r="1215" spans="1:19" ht="47" thickBot="1" x14ac:dyDescent="0.4">
      <c r="A1215" s="357">
        <v>1204</v>
      </c>
      <c r="B1215" s="387" t="s">
        <v>10535</v>
      </c>
      <c r="C1215" s="387" t="s">
        <v>10536</v>
      </c>
      <c r="D1215" s="388" t="s">
        <v>101</v>
      </c>
      <c r="E1215" s="388" t="s">
        <v>10082</v>
      </c>
      <c r="F1215" s="388" t="s">
        <v>10078</v>
      </c>
      <c r="G1215" s="388" t="s">
        <v>10088</v>
      </c>
      <c r="H1215" s="388" t="s">
        <v>12127</v>
      </c>
      <c r="I1215" s="387" t="s">
        <v>12138</v>
      </c>
      <c r="J1215" s="389">
        <v>40845</v>
      </c>
      <c r="K1215" s="387" t="s">
        <v>12139</v>
      </c>
      <c r="L1215" s="387"/>
      <c r="M1215" s="387" t="s">
        <v>10084</v>
      </c>
      <c r="N1215" s="387"/>
      <c r="O1215" s="387" t="s">
        <v>57</v>
      </c>
      <c r="P1215" s="390">
        <v>495400000</v>
      </c>
      <c r="Q1215" s="387" t="s">
        <v>12140</v>
      </c>
      <c r="R1215" s="364" t="s">
        <v>12126</v>
      </c>
      <c r="S1215" s="340">
        <v>18</v>
      </c>
    </row>
    <row r="1216" spans="1:19" ht="46.5" x14ac:dyDescent="0.35">
      <c r="A1216" s="349">
        <v>1205</v>
      </c>
      <c r="B1216" s="387" t="s">
        <v>10535</v>
      </c>
      <c r="C1216" s="387" t="s">
        <v>10536</v>
      </c>
      <c r="D1216" s="388" t="s">
        <v>107</v>
      </c>
      <c r="E1216" s="388" t="s">
        <v>10082</v>
      </c>
      <c r="F1216" s="388" t="s">
        <v>10078</v>
      </c>
      <c r="G1216" s="388" t="s">
        <v>10078</v>
      </c>
      <c r="H1216" s="388" t="s">
        <v>12007</v>
      </c>
      <c r="I1216" s="387" t="s">
        <v>12141</v>
      </c>
      <c r="J1216" s="389">
        <v>42451</v>
      </c>
      <c r="K1216" s="387" t="s">
        <v>12142</v>
      </c>
      <c r="L1216" s="387"/>
      <c r="M1216" s="387" t="s">
        <v>10084</v>
      </c>
      <c r="N1216" s="387"/>
      <c r="O1216" s="387" t="s">
        <v>57</v>
      </c>
      <c r="P1216" s="390">
        <v>350600000</v>
      </c>
      <c r="Q1216" s="387" t="s">
        <v>12143</v>
      </c>
      <c r="R1216" s="364" t="s">
        <v>12126</v>
      </c>
      <c r="S1216" s="340">
        <v>18</v>
      </c>
    </row>
    <row r="1217" spans="1:19" ht="47" thickBot="1" x14ac:dyDescent="0.4">
      <c r="A1217" s="357">
        <v>1206</v>
      </c>
      <c r="B1217" s="387" t="s">
        <v>10541</v>
      </c>
      <c r="C1217" s="387" t="s">
        <v>10542</v>
      </c>
      <c r="D1217" s="388" t="s">
        <v>51</v>
      </c>
      <c r="E1217" s="388" t="s">
        <v>10082</v>
      </c>
      <c r="F1217" s="388" t="s">
        <v>10078</v>
      </c>
      <c r="G1217" s="388" t="s">
        <v>10078</v>
      </c>
      <c r="H1217" s="388" t="s">
        <v>11324</v>
      </c>
      <c r="I1217" s="387" t="s">
        <v>12144</v>
      </c>
      <c r="J1217" s="389">
        <v>39003</v>
      </c>
      <c r="K1217" s="387" t="s">
        <v>12145</v>
      </c>
      <c r="L1217" s="387"/>
      <c r="M1217" s="387" t="s">
        <v>10084</v>
      </c>
      <c r="N1217" s="387"/>
      <c r="O1217" s="387" t="s">
        <v>57</v>
      </c>
      <c r="P1217" s="390">
        <v>1060125000</v>
      </c>
      <c r="Q1217" s="387" t="s">
        <v>12146</v>
      </c>
      <c r="R1217" s="364" t="s">
        <v>12126</v>
      </c>
      <c r="S1217" s="340">
        <v>18</v>
      </c>
    </row>
    <row r="1218" spans="1:19" ht="46.5" x14ac:dyDescent="0.35">
      <c r="A1218" s="349">
        <v>1207</v>
      </c>
      <c r="B1218" s="387" t="s">
        <v>10541</v>
      </c>
      <c r="C1218" s="387" t="s">
        <v>10542</v>
      </c>
      <c r="D1218" s="388" t="s">
        <v>59</v>
      </c>
      <c r="E1218" s="388" t="s">
        <v>10082</v>
      </c>
      <c r="F1218" s="388" t="s">
        <v>10078</v>
      </c>
      <c r="G1218" s="388" t="s">
        <v>10078</v>
      </c>
      <c r="H1218" s="388" t="s">
        <v>11324</v>
      </c>
      <c r="I1218" s="387" t="s">
        <v>12147</v>
      </c>
      <c r="J1218" s="389">
        <v>39003</v>
      </c>
      <c r="K1218" s="387" t="s">
        <v>12148</v>
      </c>
      <c r="L1218" s="387"/>
      <c r="M1218" s="387" t="s">
        <v>10084</v>
      </c>
      <c r="N1218" s="387"/>
      <c r="O1218" s="387" t="s">
        <v>57</v>
      </c>
      <c r="P1218" s="390">
        <v>1096409000</v>
      </c>
      <c r="Q1218" s="387" t="s">
        <v>12149</v>
      </c>
      <c r="R1218" s="364" t="s">
        <v>12126</v>
      </c>
      <c r="S1218" s="340">
        <v>18</v>
      </c>
    </row>
    <row r="1219" spans="1:19" ht="47" thickBot="1" x14ac:dyDescent="0.4">
      <c r="A1219" s="357">
        <v>1208</v>
      </c>
      <c r="B1219" s="387" t="s">
        <v>10541</v>
      </c>
      <c r="C1219" s="387" t="s">
        <v>10542</v>
      </c>
      <c r="D1219" s="388" t="s">
        <v>97</v>
      </c>
      <c r="E1219" s="388" t="s">
        <v>10082</v>
      </c>
      <c r="F1219" s="388" t="s">
        <v>10078</v>
      </c>
      <c r="G1219" s="388" t="s">
        <v>10088</v>
      </c>
      <c r="H1219" s="388" t="s">
        <v>12150</v>
      </c>
      <c r="I1219" s="387" t="s">
        <v>12151</v>
      </c>
      <c r="J1219" s="389">
        <v>39435</v>
      </c>
      <c r="K1219" s="387" t="s">
        <v>12152</v>
      </c>
      <c r="L1219" s="387"/>
      <c r="M1219" s="387" t="s">
        <v>10084</v>
      </c>
      <c r="N1219" s="387"/>
      <c r="O1219" s="387" t="s">
        <v>57</v>
      </c>
      <c r="P1219" s="390">
        <v>163598000</v>
      </c>
      <c r="Q1219" s="387" t="s">
        <v>12153</v>
      </c>
      <c r="R1219" s="364" t="s">
        <v>12126</v>
      </c>
      <c r="S1219" s="340">
        <v>18</v>
      </c>
    </row>
    <row r="1220" spans="1:19" ht="58" x14ac:dyDescent="0.35">
      <c r="A1220" s="349">
        <v>1209</v>
      </c>
      <c r="B1220" s="387" t="s">
        <v>10541</v>
      </c>
      <c r="C1220" s="387" t="s">
        <v>10542</v>
      </c>
      <c r="D1220" s="388" t="s">
        <v>101</v>
      </c>
      <c r="E1220" s="388" t="s">
        <v>10082</v>
      </c>
      <c r="F1220" s="388" t="s">
        <v>10078</v>
      </c>
      <c r="G1220" s="388" t="s">
        <v>10088</v>
      </c>
      <c r="H1220" s="388" t="s">
        <v>11324</v>
      </c>
      <c r="I1220" s="387" t="s">
        <v>12154</v>
      </c>
      <c r="J1220" s="389">
        <v>41947</v>
      </c>
      <c r="K1220" s="387" t="s">
        <v>12155</v>
      </c>
      <c r="L1220" s="387"/>
      <c r="M1220" s="387" t="s">
        <v>10084</v>
      </c>
      <c r="N1220" s="387"/>
      <c r="O1220" s="387" t="s">
        <v>57</v>
      </c>
      <c r="P1220" s="390">
        <v>148650000</v>
      </c>
      <c r="Q1220" s="387" t="s">
        <v>12156</v>
      </c>
      <c r="R1220" s="364" t="s">
        <v>12126</v>
      </c>
      <c r="S1220" s="340">
        <v>18</v>
      </c>
    </row>
    <row r="1221" spans="1:19" ht="47" thickBot="1" x14ac:dyDescent="0.4">
      <c r="A1221" s="357">
        <v>1210</v>
      </c>
      <c r="B1221" s="387" t="s">
        <v>10541</v>
      </c>
      <c r="C1221" s="387" t="s">
        <v>10542</v>
      </c>
      <c r="D1221" s="388" t="s">
        <v>107</v>
      </c>
      <c r="E1221" s="388" t="s">
        <v>10082</v>
      </c>
      <c r="F1221" s="388" t="s">
        <v>10078</v>
      </c>
      <c r="G1221" s="388" t="s">
        <v>10078</v>
      </c>
      <c r="H1221" s="388" t="s">
        <v>12157</v>
      </c>
      <c r="I1221" s="387" t="s">
        <v>12158</v>
      </c>
      <c r="J1221" s="389">
        <v>40514</v>
      </c>
      <c r="K1221" s="387" t="s">
        <v>12159</v>
      </c>
      <c r="L1221" s="387"/>
      <c r="M1221" s="387" t="s">
        <v>10084</v>
      </c>
      <c r="N1221" s="387"/>
      <c r="O1221" s="387" t="s">
        <v>57</v>
      </c>
      <c r="P1221" s="390">
        <v>64501000</v>
      </c>
      <c r="Q1221" s="387" t="s">
        <v>12160</v>
      </c>
      <c r="R1221" s="364" t="s">
        <v>12126</v>
      </c>
      <c r="S1221" s="340">
        <v>18</v>
      </c>
    </row>
    <row r="1222" spans="1:19" ht="46.5" x14ac:dyDescent="0.35">
      <c r="A1222" s="349">
        <v>1211</v>
      </c>
      <c r="B1222" s="387" t="s">
        <v>10541</v>
      </c>
      <c r="C1222" s="387" t="s">
        <v>10542</v>
      </c>
      <c r="D1222" s="388" t="s">
        <v>112</v>
      </c>
      <c r="E1222" s="388" t="s">
        <v>10082</v>
      </c>
      <c r="F1222" s="388" t="s">
        <v>10078</v>
      </c>
      <c r="G1222" s="388" t="s">
        <v>10088</v>
      </c>
      <c r="H1222" s="388" t="s">
        <v>11844</v>
      </c>
      <c r="I1222" s="387" t="s">
        <v>12161</v>
      </c>
      <c r="J1222" s="389">
        <v>41074</v>
      </c>
      <c r="K1222" s="387" t="s">
        <v>12162</v>
      </c>
      <c r="L1222" s="387"/>
      <c r="M1222" s="387" t="s">
        <v>10084</v>
      </c>
      <c r="N1222" s="387"/>
      <c r="O1222" s="387" t="s">
        <v>57</v>
      </c>
      <c r="P1222" s="390">
        <v>96450000</v>
      </c>
      <c r="Q1222" s="387" t="s">
        <v>12163</v>
      </c>
      <c r="R1222" s="364" t="s">
        <v>12126</v>
      </c>
      <c r="S1222" s="340">
        <v>18</v>
      </c>
    </row>
    <row r="1223" spans="1:19" ht="47" thickBot="1" x14ac:dyDescent="0.4">
      <c r="A1223" s="357">
        <v>1212</v>
      </c>
      <c r="B1223" s="387" t="s">
        <v>10541</v>
      </c>
      <c r="C1223" s="387" t="s">
        <v>10542</v>
      </c>
      <c r="D1223" s="388" t="s">
        <v>116</v>
      </c>
      <c r="E1223" s="388" t="s">
        <v>10082</v>
      </c>
      <c r="F1223" s="388" t="s">
        <v>10078</v>
      </c>
      <c r="G1223" s="388" t="s">
        <v>10078</v>
      </c>
      <c r="H1223" s="388" t="s">
        <v>12164</v>
      </c>
      <c r="I1223" s="387" t="s">
        <v>12165</v>
      </c>
      <c r="J1223" s="389">
        <v>38691</v>
      </c>
      <c r="K1223" s="387" t="s">
        <v>12166</v>
      </c>
      <c r="L1223" s="387"/>
      <c r="M1223" s="387" t="s">
        <v>10084</v>
      </c>
      <c r="N1223" s="387"/>
      <c r="O1223" s="387" t="s">
        <v>57</v>
      </c>
      <c r="P1223" s="390">
        <v>769346000</v>
      </c>
      <c r="Q1223" s="387" t="s">
        <v>12167</v>
      </c>
      <c r="R1223" s="364" t="s">
        <v>12126</v>
      </c>
      <c r="S1223" s="340">
        <v>18</v>
      </c>
    </row>
    <row r="1224" spans="1:19" ht="46.5" x14ac:dyDescent="0.35">
      <c r="A1224" s="349">
        <v>1213</v>
      </c>
      <c r="B1224" s="387" t="s">
        <v>10541</v>
      </c>
      <c r="C1224" s="387" t="s">
        <v>10542</v>
      </c>
      <c r="D1224" s="388" t="s">
        <v>841</v>
      </c>
      <c r="E1224" s="388" t="s">
        <v>10082</v>
      </c>
      <c r="F1224" s="388" t="s">
        <v>10078</v>
      </c>
      <c r="G1224" s="388" t="s">
        <v>10078</v>
      </c>
      <c r="H1224" s="388" t="s">
        <v>2972</v>
      </c>
      <c r="I1224" s="387" t="s">
        <v>12168</v>
      </c>
      <c r="J1224" s="389">
        <v>43662</v>
      </c>
      <c r="K1224" s="387" t="s">
        <v>12169</v>
      </c>
      <c r="L1224" s="387"/>
      <c r="M1224" s="387" t="s">
        <v>10084</v>
      </c>
      <c r="N1224" s="387"/>
      <c r="O1224" s="387" t="s">
        <v>57</v>
      </c>
      <c r="P1224" s="390">
        <v>2299695429.5999999</v>
      </c>
      <c r="Q1224" s="387" t="s">
        <v>12170</v>
      </c>
      <c r="R1224" s="364" t="s">
        <v>12126</v>
      </c>
      <c r="S1224" s="340">
        <v>18</v>
      </c>
    </row>
    <row r="1225" spans="1:19" ht="47" thickBot="1" x14ac:dyDescent="0.4">
      <c r="A1225" s="357">
        <v>1214</v>
      </c>
      <c r="B1225" s="387" t="s">
        <v>11295</v>
      </c>
      <c r="C1225" s="387" t="s">
        <v>11296</v>
      </c>
      <c r="D1225" s="388" t="s">
        <v>51</v>
      </c>
      <c r="E1225" s="388" t="s">
        <v>10082</v>
      </c>
      <c r="F1225" s="388" t="s">
        <v>10078</v>
      </c>
      <c r="G1225" s="388" t="s">
        <v>10078</v>
      </c>
      <c r="H1225" s="388" t="s">
        <v>11324</v>
      </c>
      <c r="I1225" s="387" t="s">
        <v>8004</v>
      </c>
      <c r="J1225" s="389">
        <v>39536</v>
      </c>
      <c r="K1225" s="387" t="s">
        <v>12171</v>
      </c>
      <c r="L1225" s="387"/>
      <c r="M1225" s="387" t="s">
        <v>10084</v>
      </c>
      <c r="N1225" s="387"/>
      <c r="O1225" s="387" t="s">
        <v>57</v>
      </c>
      <c r="P1225" s="390">
        <v>28793000</v>
      </c>
      <c r="Q1225" s="387" t="s">
        <v>12172</v>
      </c>
      <c r="R1225" s="364" t="s">
        <v>12126</v>
      </c>
      <c r="S1225" s="340">
        <v>18</v>
      </c>
    </row>
    <row r="1226" spans="1:19" ht="46.5" x14ac:dyDescent="0.35">
      <c r="A1226" s="349">
        <v>1215</v>
      </c>
      <c r="B1226" s="387" t="s">
        <v>11295</v>
      </c>
      <c r="C1226" s="387" t="s">
        <v>11296</v>
      </c>
      <c r="D1226" s="388" t="s">
        <v>59</v>
      </c>
      <c r="E1226" s="388" t="s">
        <v>10082</v>
      </c>
      <c r="F1226" s="388" t="s">
        <v>10078</v>
      </c>
      <c r="G1226" s="388" t="s">
        <v>10078</v>
      </c>
      <c r="H1226" s="388" t="s">
        <v>11324</v>
      </c>
      <c r="I1226" s="387" t="s">
        <v>12173</v>
      </c>
      <c r="J1226" s="389">
        <v>39301</v>
      </c>
      <c r="K1226" s="387" t="s">
        <v>12174</v>
      </c>
      <c r="L1226" s="387"/>
      <c r="M1226" s="387" t="s">
        <v>10084</v>
      </c>
      <c r="N1226" s="387"/>
      <c r="O1226" s="387" t="s">
        <v>57</v>
      </c>
      <c r="P1226" s="390">
        <v>28793000</v>
      </c>
      <c r="Q1226" s="387" t="s">
        <v>12172</v>
      </c>
      <c r="R1226" s="364" t="s">
        <v>12126</v>
      </c>
      <c r="S1226" s="340">
        <v>18</v>
      </c>
    </row>
    <row r="1227" spans="1:19" ht="47" thickBot="1" x14ac:dyDescent="0.4">
      <c r="A1227" s="357">
        <v>1216</v>
      </c>
      <c r="B1227" s="387" t="s">
        <v>11295</v>
      </c>
      <c r="C1227" s="387" t="s">
        <v>11296</v>
      </c>
      <c r="D1227" s="388" t="s">
        <v>97</v>
      </c>
      <c r="E1227" s="388" t="s">
        <v>10673</v>
      </c>
      <c r="F1227" s="388" t="s">
        <v>10078</v>
      </c>
      <c r="G1227" s="388" t="s">
        <v>10078</v>
      </c>
      <c r="H1227" s="388" t="s">
        <v>11324</v>
      </c>
      <c r="I1227" s="387" t="s">
        <v>12175</v>
      </c>
      <c r="J1227" s="389">
        <v>39301</v>
      </c>
      <c r="K1227" s="387" t="s">
        <v>12174</v>
      </c>
      <c r="L1227" s="387"/>
      <c r="M1227" s="387" t="s">
        <v>10084</v>
      </c>
      <c r="N1227" s="387"/>
      <c r="O1227" s="387" t="s">
        <v>57</v>
      </c>
      <c r="P1227" s="390">
        <v>28793000</v>
      </c>
      <c r="Q1227" s="387" t="s">
        <v>12176</v>
      </c>
      <c r="R1227" s="364" t="s">
        <v>12126</v>
      </c>
      <c r="S1227" s="340">
        <v>18</v>
      </c>
    </row>
    <row r="1228" spans="1:19" ht="46.5" x14ac:dyDescent="0.35">
      <c r="A1228" s="349">
        <v>1217</v>
      </c>
      <c r="B1228" s="387" t="s">
        <v>11295</v>
      </c>
      <c r="C1228" s="387" t="s">
        <v>11296</v>
      </c>
      <c r="D1228" s="388" t="s">
        <v>101</v>
      </c>
      <c r="E1228" s="388" t="s">
        <v>10082</v>
      </c>
      <c r="F1228" s="388" t="s">
        <v>10078</v>
      </c>
      <c r="G1228" s="388" t="s">
        <v>10078</v>
      </c>
      <c r="H1228" s="388" t="s">
        <v>11324</v>
      </c>
      <c r="I1228" s="387" t="s">
        <v>12177</v>
      </c>
      <c r="J1228" s="389">
        <v>40061</v>
      </c>
      <c r="K1228" s="387" t="s">
        <v>12178</v>
      </c>
      <c r="L1228" s="387"/>
      <c r="M1228" s="387" t="s">
        <v>10084</v>
      </c>
      <c r="N1228" s="387"/>
      <c r="O1228" s="387" t="s">
        <v>57</v>
      </c>
      <c r="P1228" s="390">
        <v>18480000</v>
      </c>
      <c r="Q1228" s="387" t="s">
        <v>12179</v>
      </c>
      <c r="R1228" s="364" t="s">
        <v>12126</v>
      </c>
      <c r="S1228" s="340">
        <v>18</v>
      </c>
    </row>
    <row r="1229" spans="1:19" ht="102" thickBot="1" x14ac:dyDescent="0.4">
      <c r="A1229" s="357">
        <v>1218</v>
      </c>
      <c r="B1229" s="387" t="s">
        <v>11224</v>
      </c>
      <c r="C1229" s="387" t="s">
        <v>11225</v>
      </c>
      <c r="D1229" s="388" t="s">
        <v>51</v>
      </c>
      <c r="E1229" s="388" t="s">
        <v>10082</v>
      </c>
      <c r="F1229" s="388" t="s">
        <v>10078</v>
      </c>
      <c r="G1229" s="388" t="s">
        <v>10078</v>
      </c>
      <c r="H1229" s="388" t="s">
        <v>12007</v>
      </c>
      <c r="I1229" s="387" t="s">
        <v>12180</v>
      </c>
      <c r="J1229" s="389">
        <v>44196</v>
      </c>
      <c r="K1229" s="387" t="s">
        <v>12181</v>
      </c>
      <c r="L1229" s="387"/>
      <c r="M1229" s="387" t="s">
        <v>10084</v>
      </c>
      <c r="N1229" s="387"/>
      <c r="O1229" s="387" t="s">
        <v>57</v>
      </c>
      <c r="P1229" s="390">
        <v>417644000</v>
      </c>
      <c r="Q1229" s="387" t="s">
        <v>12182</v>
      </c>
      <c r="R1229" s="364" t="s">
        <v>12126</v>
      </c>
      <c r="S1229" s="340">
        <v>18</v>
      </c>
    </row>
    <row r="1230" spans="1:19" ht="46.5" x14ac:dyDescent="0.35">
      <c r="A1230" s="349">
        <v>1219</v>
      </c>
      <c r="B1230" s="387" t="s">
        <v>11224</v>
      </c>
      <c r="C1230" s="387" t="s">
        <v>11225</v>
      </c>
      <c r="D1230" s="388" t="s">
        <v>59</v>
      </c>
      <c r="E1230" s="388" t="s">
        <v>10082</v>
      </c>
      <c r="F1230" s="388" t="s">
        <v>10078</v>
      </c>
      <c r="G1230" s="388" t="s">
        <v>10078</v>
      </c>
      <c r="H1230" s="388" t="s">
        <v>2972</v>
      </c>
      <c r="I1230" s="387"/>
      <c r="J1230" s="389"/>
      <c r="K1230" s="387"/>
      <c r="L1230" s="387"/>
      <c r="M1230" s="387" t="s">
        <v>10084</v>
      </c>
      <c r="N1230" s="387"/>
      <c r="O1230" s="387" t="s">
        <v>57</v>
      </c>
      <c r="P1230" s="390">
        <v>98650000</v>
      </c>
      <c r="Q1230" s="387" t="s">
        <v>12183</v>
      </c>
      <c r="R1230" s="364" t="s">
        <v>12126</v>
      </c>
      <c r="S1230" s="340">
        <v>18</v>
      </c>
    </row>
    <row r="1231" spans="1:19" ht="47" thickBot="1" x14ac:dyDescent="0.4">
      <c r="A1231" s="357">
        <v>1220</v>
      </c>
      <c r="B1231" s="387" t="s">
        <v>11224</v>
      </c>
      <c r="C1231" s="387" t="s">
        <v>11225</v>
      </c>
      <c r="D1231" s="388" t="s">
        <v>97</v>
      </c>
      <c r="E1231" s="388" t="s">
        <v>10082</v>
      </c>
      <c r="F1231" s="388" t="s">
        <v>10078</v>
      </c>
      <c r="G1231" s="388" t="s">
        <v>10088</v>
      </c>
      <c r="H1231" s="388" t="s">
        <v>8956</v>
      </c>
      <c r="I1231" s="387" t="s">
        <v>12184</v>
      </c>
      <c r="J1231" s="389">
        <v>42153</v>
      </c>
      <c r="K1231" s="387" t="s">
        <v>12185</v>
      </c>
      <c r="L1231" s="387"/>
      <c r="M1231" s="387" t="s">
        <v>10084</v>
      </c>
      <c r="N1231" s="387"/>
      <c r="O1231" s="387" t="s">
        <v>57</v>
      </c>
      <c r="P1231" s="390">
        <v>137500000</v>
      </c>
      <c r="Q1231" s="387" t="s">
        <v>12186</v>
      </c>
      <c r="R1231" s="364" t="s">
        <v>12126</v>
      </c>
      <c r="S1231" s="340">
        <v>18</v>
      </c>
    </row>
    <row r="1232" spans="1:19" ht="46.5" x14ac:dyDescent="0.35">
      <c r="A1232" s="349">
        <v>1221</v>
      </c>
      <c r="B1232" s="387" t="s">
        <v>11224</v>
      </c>
      <c r="C1232" s="387" t="s">
        <v>11225</v>
      </c>
      <c r="D1232" s="388" t="s">
        <v>101</v>
      </c>
      <c r="E1232" s="388" t="s">
        <v>10082</v>
      </c>
      <c r="F1232" s="388" t="s">
        <v>10078</v>
      </c>
      <c r="G1232" s="388" t="s">
        <v>10078</v>
      </c>
      <c r="H1232" s="388" t="s">
        <v>12187</v>
      </c>
      <c r="I1232" s="387" t="s">
        <v>12188</v>
      </c>
      <c r="J1232" s="389">
        <v>42264</v>
      </c>
      <c r="K1232" s="387" t="s">
        <v>12189</v>
      </c>
      <c r="L1232" s="387"/>
      <c r="M1232" s="387" t="s">
        <v>10084</v>
      </c>
      <c r="N1232" s="387"/>
      <c r="O1232" s="387" t="s">
        <v>57</v>
      </c>
      <c r="P1232" s="390">
        <v>644490000</v>
      </c>
      <c r="Q1232" s="387" t="s">
        <v>12190</v>
      </c>
      <c r="R1232" s="364" t="s">
        <v>12126</v>
      </c>
      <c r="S1232" s="340">
        <v>18</v>
      </c>
    </row>
    <row r="1233" spans="1:19" ht="47" thickBot="1" x14ac:dyDescent="0.4">
      <c r="A1233" s="357">
        <v>1222</v>
      </c>
      <c r="B1233" s="387" t="s">
        <v>11224</v>
      </c>
      <c r="C1233" s="387" t="s">
        <v>11225</v>
      </c>
      <c r="D1233" s="388" t="s">
        <v>107</v>
      </c>
      <c r="E1233" s="388" t="s">
        <v>10082</v>
      </c>
      <c r="F1233" s="388" t="s">
        <v>10078</v>
      </c>
      <c r="G1233" s="388" t="s">
        <v>10088</v>
      </c>
      <c r="H1233" s="388"/>
      <c r="I1233" s="387" t="s">
        <v>12191</v>
      </c>
      <c r="J1233" s="389"/>
      <c r="K1233" s="387"/>
      <c r="L1233" s="387"/>
      <c r="M1233" s="387" t="s">
        <v>10084</v>
      </c>
      <c r="N1233" s="387"/>
      <c r="O1233" s="387" t="s">
        <v>44</v>
      </c>
      <c r="P1233" s="390">
        <v>200212000</v>
      </c>
      <c r="Q1233" s="387" t="s">
        <v>12192</v>
      </c>
      <c r="R1233" s="364" t="s">
        <v>12126</v>
      </c>
      <c r="S1233" s="340">
        <v>18</v>
      </c>
    </row>
    <row r="1234" spans="1:19" ht="87" x14ac:dyDescent="0.35">
      <c r="A1234" s="349">
        <v>1223</v>
      </c>
      <c r="B1234" s="387" t="s">
        <v>10900</v>
      </c>
      <c r="C1234" s="387" t="s">
        <v>10901</v>
      </c>
      <c r="D1234" s="388" t="s">
        <v>51</v>
      </c>
      <c r="E1234" s="388" t="s">
        <v>10082</v>
      </c>
      <c r="F1234" s="388" t="s">
        <v>10078</v>
      </c>
      <c r="G1234" s="388" t="s">
        <v>10078</v>
      </c>
      <c r="H1234" s="388" t="s">
        <v>12007</v>
      </c>
      <c r="I1234" s="387" t="s">
        <v>12193</v>
      </c>
      <c r="J1234" s="389">
        <v>43290</v>
      </c>
      <c r="K1234" s="387" t="s">
        <v>12194</v>
      </c>
      <c r="L1234" s="387"/>
      <c r="M1234" s="387" t="s">
        <v>10084</v>
      </c>
      <c r="N1234" s="387"/>
      <c r="O1234" s="387" t="s">
        <v>57</v>
      </c>
      <c r="P1234" s="390">
        <v>303179336</v>
      </c>
      <c r="Q1234" s="387" t="s">
        <v>12195</v>
      </c>
      <c r="R1234" s="364" t="s">
        <v>12126</v>
      </c>
      <c r="S1234" s="340">
        <v>18</v>
      </c>
    </row>
    <row r="1235" spans="1:19" ht="47" thickBot="1" x14ac:dyDescent="0.4">
      <c r="A1235" s="357">
        <v>1224</v>
      </c>
      <c r="B1235" s="387" t="s">
        <v>10475</v>
      </c>
      <c r="C1235" s="387" t="s">
        <v>10476</v>
      </c>
      <c r="D1235" s="388" t="s">
        <v>51</v>
      </c>
      <c r="E1235" s="388" t="s">
        <v>10082</v>
      </c>
      <c r="F1235" s="388" t="s">
        <v>10078</v>
      </c>
      <c r="G1235" s="388" t="s">
        <v>10088</v>
      </c>
      <c r="H1235" s="388" t="s">
        <v>11551</v>
      </c>
      <c r="I1235" s="387" t="s">
        <v>12196</v>
      </c>
      <c r="J1235" s="389">
        <v>42153</v>
      </c>
      <c r="K1235" s="387" t="s">
        <v>12197</v>
      </c>
      <c r="L1235" s="387"/>
      <c r="M1235" s="387" t="s">
        <v>10084</v>
      </c>
      <c r="N1235" s="387"/>
      <c r="O1235" s="387" t="s">
        <v>57</v>
      </c>
      <c r="P1235" s="390">
        <v>110200000</v>
      </c>
      <c r="Q1235" s="387" t="s">
        <v>12198</v>
      </c>
      <c r="R1235" s="364" t="s">
        <v>12126</v>
      </c>
      <c r="S1235" s="340">
        <v>18</v>
      </c>
    </row>
    <row r="1236" spans="1:19" ht="46.5" x14ac:dyDescent="0.35">
      <c r="A1236" s="349">
        <v>1225</v>
      </c>
      <c r="B1236" s="387" t="s">
        <v>10475</v>
      </c>
      <c r="C1236" s="387" t="s">
        <v>10476</v>
      </c>
      <c r="D1236" s="388" t="s">
        <v>59</v>
      </c>
      <c r="E1236" s="388" t="s">
        <v>10082</v>
      </c>
      <c r="F1236" s="388" t="s">
        <v>10078</v>
      </c>
      <c r="G1236" s="388" t="s">
        <v>10078</v>
      </c>
      <c r="H1236" s="388" t="s">
        <v>82</v>
      </c>
      <c r="I1236" s="387" t="s">
        <v>12123</v>
      </c>
      <c r="J1236" s="389">
        <v>44386</v>
      </c>
      <c r="K1236" s="387" t="s">
        <v>12124</v>
      </c>
      <c r="L1236" s="387"/>
      <c r="M1236" s="387" t="s">
        <v>10084</v>
      </c>
      <c r="N1236" s="387"/>
      <c r="O1236" s="387" t="s">
        <v>57</v>
      </c>
      <c r="P1236" s="390">
        <v>414658275.30000001</v>
      </c>
      <c r="Q1236" s="387" t="s">
        <v>12199</v>
      </c>
      <c r="R1236" s="364" t="s">
        <v>12126</v>
      </c>
      <c r="S1236" s="340">
        <v>18</v>
      </c>
    </row>
    <row r="1237" spans="1:19" ht="47" thickBot="1" x14ac:dyDescent="0.4">
      <c r="A1237" s="357">
        <v>1226</v>
      </c>
      <c r="B1237" s="387" t="s">
        <v>10720</v>
      </c>
      <c r="C1237" s="387" t="s">
        <v>10721</v>
      </c>
      <c r="D1237" s="388" t="s">
        <v>51</v>
      </c>
      <c r="E1237" s="388" t="s">
        <v>10082</v>
      </c>
      <c r="F1237" s="388" t="s">
        <v>10078</v>
      </c>
      <c r="G1237" s="388" t="s">
        <v>10078</v>
      </c>
      <c r="H1237" s="388" t="s">
        <v>2972</v>
      </c>
      <c r="I1237" s="387" t="s">
        <v>12200</v>
      </c>
      <c r="J1237" s="389">
        <v>43656</v>
      </c>
      <c r="K1237" s="387" t="s">
        <v>12201</v>
      </c>
      <c r="L1237" s="387"/>
      <c r="M1237" s="387" t="s">
        <v>10084</v>
      </c>
      <c r="N1237" s="387"/>
      <c r="O1237" s="387" t="s">
        <v>57</v>
      </c>
      <c r="P1237" s="390">
        <v>443479699.69999999</v>
      </c>
      <c r="Q1237" s="387" t="s">
        <v>12202</v>
      </c>
      <c r="R1237" s="364" t="s">
        <v>12126</v>
      </c>
      <c r="S1237" s="340">
        <v>18</v>
      </c>
    </row>
    <row r="1238" spans="1:19" ht="46.5" x14ac:dyDescent="0.35">
      <c r="A1238" s="349">
        <v>1227</v>
      </c>
      <c r="B1238" s="387" t="s">
        <v>10720</v>
      </c>
      <c r="C1238" s="387" t="s">
        <v>10721</v>
      </c>
      <c r="D1238" s="388" t="s">
        <v>59</v>
      </c>
      <c r="E1238" s="388" t="s">
        <v>10082</v>
      </c>
      <c r="F1238" s="388" t="s">
        <v>10078</v>
      </c>
      <c r="G1238" s="388" t="s">
        <v>10078</v>
      </c>
      <c r="H1238" s="388" t="s">
        <v>2972</v>
      </c>
      <c r="I1238" s="387" t="s">
        <v>12203</v>
      </c>
      <c r="J1238" s="389">
        <v>43656</v>
      </c>
      <c r="K1238" s="387" t="s">
        <v>12204</v>
      </c>
      <c r="L1238" s="387"/>
      <c r="M1238" s="387" t="s">
        <v>10084</v>
      </c>
      <c r="N1238" s="387"/>
      <c r="O1238" s="387" t="s">
        <v>57</v>
      </c>
      <c r="P1238" s="390">
        <v>443755418.19999999</v>
      </c>
      <c r="Q1238" s="387" t="s">
        <v>12205</v>
      </c>
      <c r="R1238" s="364" t="s">
        <v>12126</v>
      </c>
      <c r="S1238" s="340">
        <v>18</v>
      </c>
    </row>
    <row r="1239" spans="1:19" ht="47" thickBot="1" x14ac:dyDescent="0.4">
      <c r="A1239" s="357">
        <v>1228</v>
      </c>
      <c r="B1239" s="387" t="s">
        <v>10720</v>
      </c>
      <c r="C1239" s="387" t="s">
        <v>10721</v>
      </c>
      <c r="D1239" s="388" t="s">
        <v>97</v>
      </c>
      <c r="E1239" s="388" t="s">
        <v>10082</v>
      </c>
      <c r="F1239" s="388" t="s">
        <v>10078</v>
      </c>
      <c r="G1239" s="388" t="s">
        <v>10088</v>
      </c>
      <c r="H1239" s="388" t="s">
        <v>12206</v>
      </c>
      <c r="I1239" s="387" t="s">
        <v>8477</v>
      </c>
      <c r="J1239" s="389">
        <v>41933</v>
      </c>
      <c r="K1239" s="387" t="s">
        <v>12207</v>
      </c>
      <c r="L1239" s="387"/>
      <c r="M1239" s="387" t="s">
        <v>10084</v>
      </c>
      <c r="N1239" s="387"/>
      <c r="O1239" s="387" t="s">
        <v>57</v>
      </c>
      <c r="P1239" s="390">
        <v>181500000</v>
      </c>
      <c r="Q1239" s="387" t="s">
        <v>12208</v>
      </c>
      <c r="R1239" s="364" t="s">
        <v>12126</v>
      </c>
      <c r="S1239" s="340">
        <v>18</v>
      </c>
    </row>
    <row r="1240" spans="1:19" ht="46.5" x14ac:dyDescent="0.35">
      <c r="A1240" s="349">
        <v>1229</v>
      </c>
      <c r="B1240" s="387" t="s">
        <v>10720</v>
      </c>
      <c r="C1240" s="387" t="s">
        <v>10721</v>
      </c>
      <c r="D1240" s="388" t="s">
        <v>101</v>
      </c>
      <c r="E1240" s="388" t="s">
        <v>10082</v>
      </c>
      <c r="F1240" s="388" t="s">
        <v>10078</v>
      </c>
      <c r="G1240" s="388" t="s">
        <v>10088</v>
      </c>
      <c r="H1240" s="388" t="s">
        <v>12157</v>
      </c>
      <c r="I1240" s="387" t="s">
        <v>12209</v>
      </c>
      <c r="J1240" s="389">
        <v>41947</v>
      </c>
      <c r="K1240" s="387" t="s">
        <v>12210</v>
      </c>
      <c r="L1240" s="387"/>
      <c r="M1240" s="387" t="s">
        <v>10084</v>
      </c>
      <c r="N1240" s="387"/>
      <c r="O1240" s="387" t="s">
        <v>57</v>
      </c>
      <c r="P1240" s="390">
        <v>182400000</v>
      </c>
      <c r="Q1240" s="387" t="s">
        <v>12211</v>
      </c>
      <c r="R1240" s="364" t="s">
        <v>12126</v>
      </c>
      <c r="S1240" s="340">
        <v>18</v>
      </c>
    </row>
    <row r="1241" spans="1:19" ht="47" thickBot="1" x14ac:dyDescent="0.4">
      <c r="A1241" s="357">
        <v>1230</v>
      </c>
      <c r="B1241" s="387" t="s">
        <v>10720</v>
      </c>
      <c r="C1241" s="387" t="s">
        <v>10721</v>
      </c>
      <c r="D1241" s="388" t="s">
        <v>107</v>
      </c>
      <c r="E1241" s="388" t="s">
        <v>10082</v>
      </c>
      <c r="F1241" s="388" t="s">
        <v>10078</v>
      </c>
      <c r="G1241" s="388" t="s">
        <v>10088</v>
      </c>
      <c r="H1241" s="388" t="s">
        <v>11400</v>
      </c>
      <c r="I1241" s="387" t="s">
        <v>12212</v>
      </c>
      <c r="J1241" s="389">
        <v>41933</v>
      </c>
      <c r="K1241" s="387" t="s">
        <v>12213</v>
      </c>
      <c r="L1241" s="387"/>
      <c r="M1241" s="387" t="s">
        <v>10084</v>
      </c>
      <c r="N1241" s="387"/>
      <c r="O1241" s="387" t="s">
        <v>57</v>
      </c>
      <c r="P1241" s="390">
        <v>185850000</v>
      </c>
      <c r="Q1241" s="387" t="s">
        <v>12214</v>
      </c>
      <c r="R1241" s="364" t="s">
        <v>12126</v>
      </c>
      <c r="S1241" s="340">
        <v>18</v>
      </c>
    </row>
    <row r="1242" spans="1:19" ht="46.5" x14ac:dyDescent="0.35">
      <c r="A1242" s="349">
        <v>1231</v>
      </c>
      <c r="B1242" s="387" t="s">
        <v>10720</v>
      </c>
      <c r="C1242" s="387" t="s">
        <v>10721</v>
      </c>
      <c r="D1242" s="388" t="s">
        <v>112</v>
      </c>
      <c r="E1242" s="388" t="s">
        <v>10082</v>
      </c>
      <c r="F1242" s="388" t="s">
        <v>10078</v>
      </c>
      <c r="G1242" s="388" t="s">
        <v>10078</v>
      </c>
      <c r="H1242" s="388" t="s">
        <v>5537</v>
      </c>
      <c r="I1242" s="387" t="s">
        <v>12215</v>
      </c>
      <c r="J1242" s="389">
        <v>42313</v>
      </c>
      <c r="K1242" s="387" t="s">
        <v>12216</v>
      </c>
      <c r="L1242" s="387"/>
      <c r="M1242" s="387" t="s">
        <v>10084</v>
      </c>
      <c r="N1242" s="387"/>
      <c r="O1242" s="387" t="s">
        <v>57</v>
      </c>
      <c r="P1242" s="390">
        <v>443160000</v>
      </c>
      <c r="Q1242" s="387" t="s">
        <v>12217</v>
      </c>
      <c r="R1242" s="364" t="s">
        <v>12126</v>
      </c>
      <c r="S1242" s="340">
        <v>18</v>
      </c>
    </row>
    <row r="1243" spans="1:19" ht="47" thickBot="1" x14ac:dyDescent="0.4">
      <c r="A1243" s="357">
        <v>1232</v>
      </c>
      <c r="B1243" s="387" t="s">
        <v>10720</v>
      </c>
      <c r="C1243" s="387" t="s">
        <v>10721</v>
      </c>
      <c r="D1243" s="388" t="s">
        <v>116</v>
      </c>
      <c r="E1243" s="388" t="s">
        <v>10082</v>
      </c>
      <c r="F1243" s="388" t="s">
        <v>10078</v>
      </c>
      <c r="G1243" s="388" t="s">
        <v>10078</v>
      </c>
      <c r="H1243" s="388" t="s">
        <v>12218</v>
      </c>
      <c r="I1243" s="387" t="s">
        <v>12219</v>
      </c>
      <c r="J1243" s="389">
        <v>42299</v>
      </c>
      <c r="K1243" s="387" t="s">
        <v>12220</v>
      </c>
      <c r="L1243" s="387"/>
      <c r="M1243" s="387" t="s">
        <v>10084</v>
      </c>
      <c r="N1243" s="387"/>
      <c r="O1243" s="387" t="s">
        <v>57</v>
      </c>
      <c r="P1243" s="390">
        <v>1730820000</v>
      </c>
      <c r="Q1243" s="387" t="s">
        <v>12221</v>
      </c>
      <c r="R1243" s="364" t="s">
        <v>12126</v>
      </c>
      <c r="S1243" s="340">
        <v>18</v>
      </c>
    </row>
    <row r="1244" spans="1:19" ht="46.5" x14ac:dyDescent="0.35">
      <c r="A1244" s="349">
        <v>1233</v>
      </c>
      <c r="B1244" s="387" t="s">
        <v>10720</v>
      </c>
      <c r="C1244" s="387" t="s">
        <v>10721</v>
      </c>
      <c r="D1244" s="388" t="s">
        <v>841</v>
      </c>
      <c r="E1244" s="388" t="s">
        <v>10082</v>
      </c>
      <c r="F1244" s="388" t="s">
        <v>10078</v>
      </c>
      <c r="G1244" s="388" t="s">
        <v>10088</v>
      </c>
      <c r="H1244" s="388" t="s">
        <v>12222</v>
      </c>
      <c r="I1244" s="387" t="s">
        <v>12223</v>
      </c>
      <c r="J1244" s="389">
        <v>39799</v>
      </c>
      <c r="K1244" s="387" t="s">
        <v>12224</v>
      </c>
      <c r="L1244" s="387"/>
      <c r="M1244" s="387" t="s">
        <v>10084</v>
      </c>
      <c r="N1244" s="387"/>
      <c r="O1244" s="387" t="s">
        <v>57</v>
      </c>
      <c r="P1244" s="390">
        <v>583440000</v>
      </c>
      <c r="Q1244" s="387" t="s">
        <v>12225</v>
      </c>
      <c r="R1244" s="364" t="s">
        <v>12126</v>
      </c>
      <c r="S1244" s="340">
        <v>18</v>
      </c>
    </row>
    <row r="1245" spans="1:19" ht="47" thickBot="1" x14ac:dyDescent="0.4">
      <c r="A1245" s="357">
        <v>1234</v>
      </c>
      <c r="B1245" s="387" t="s">
        <v>10720</v>
      </c>
      <c r="C1245" s="387" t="s">
        <v>10721</v>
      </c>
      <c r="D1245" s="388" t="s">
        <v>904</v>
      </c>
      <c r="E1245" s="388" t="s">
        <v>10082</v>
      </c>
      <c r="F1245" s="388" t="s">
        <v>10078</v>
      </c>
      <c r="G1245" s="388" t="s">
        <v>10088</v>
      </c>
      <c r="H1245" s="388" t="s">
        <v>12226</v>
      </c>
      <c r="I1245" s="387" t="s">
        <v>8767</v>
      </c>
      <c r="J1245" s="389">
        <v>39435</v>
      </c>
      <c r="K1245" s="387" t="s">
        <v>12227</v>
      </c>
      <c r="L1245" s="387"/>
      <c r="M1245" s="387" t="s">
        <v>10084</v>
      </c>
      <c r="N1245" s="387"/>
      <c r="O1245" s="387" t="s">
        <v>57</v>
      </c>
      <c r="P1245" s="390">
        <v>1121362130</v>
      </c>
      <c r="Q1245" s="387" t="s">
        <v>12228</v>
      </c>
      <c r="R1245" s="364" t="s">
        <v>12126</v>
      </c>
      <c r="S1245" s="340">
        <v>18</v>
      </c>
    </row>
    <row r="1246" spans="1:19" ht="46.5" x14ac:dyDescent="0.35">
      <c r="A1246" s="349">
        <v>1235</v>
      </c>
      <c r="B1246" s="387" t="s">
        <v>10720</v>
      </c>
      <c r="C1246" s="387" t="s">
        <v>10721</v>
      </c>
      <c r="D1246" s="388" t="s">
        <v>122</v>
      </c>
      <c r="E1246" s="388" t="s">
        <v>10082</v>
      </c>
      <c r="F1246" s="388" t="s">
        <v>10078</v>
      </c>
      <c r="G1246" s="388" t="s">
        <v>10088</v>
      </c>
      <c r="H1246" s="388" t="s">
        <v>12229</v>
      </c>
      <c r="I1246" s="387" t="s">
        <v>12230</v>
      </c>
      <c r="J1246" s="389">
        <v>39330</v>
      </c>
      <c r="K1246" s="387" t="s">
        <v>12231</v>
      </c>
      <c r="L1246" s="387"/>
      <c r="M1246" s="387" t="s">
        <v>10084</v>
      </c>
      <c r="N1246" s="387"/>
      <c r="O1246" s="387" t="s">
        <v>57</v>
      </c>
      <c r="P1246" s="390">
        <v>1145725000</v>
      </c>
      <c r="Q1246" s="387" t="s">
        <v>12232</v>
      </c>
      <c r="R1246" s="364" t="s">
        <v>12126</v>
      </c>
      <c r="S1246" s="340">
        <v>18</v>
      </c>
    </row>
    <row r="1247" spans="1:19" ht="47" thickBot="1" x14ac:dyDescent="0.4">
      <c r="A1247" s="357">
        <v>1236</v>
      </c>
      <c r="B1247" s="387" t="s">
        <v>10720</v>
      </c>
      <c r="C1247" s="387" t="s">
        <v>10721</v>
      </c>
      <c r="D1247" s="388" t="s">
        <v>132</v>
      </c>
      <c r="E1247" s="388" t="s">
        <v>10082</v>
      </c>
      <c r="F1247" s="388" t="s">
        <v>10078</v>
      </c>
      <c r="G1247" s="388" t="s">
        <v>10088</v>
      </c>
      <c r="H1247" s="388" t="s">
        <v>8957</v>
      </c>
      <c r="I1247" s="387" t="s">
        <v>8746</v>
      </c>
      <c r="J1247" s="389">
        <v>39979</v>
      </c>
      <c r="K1247" s="387" t="s">
        <v>12233</v>
      </c>
      <c r="L1247" s="387"/>
      <c r="M1247" s="387" t="s">
        <v>10084</v>
      </c>
      <c r="N1247" s="387"/>
      <c r="O1247" s="387" t="s">
        <v>57</v>
      </c>
      <c r="P1247" s="390">
        <v>89800000</v>
      </c>
      <c r="Q1247" s="387" t="s">
        <v>12234</v>
      </c>
      <c r="R1247" s="364" t="s">
        <v>12126</v>
      </c>
      <c r="S1247" s="340">
        <v>18</v>
      </c>
    </row>
    <row r="1248" spans="1:19" ht="46.5" x14ac:dyDescent="0.35">
      <c r="A1248" s="349">
        <v>1237</v>
      </c>
      <c r="B1248" s="387" t="s">
        <v>10720</v>
      </c>
      <c r="C1248" s="387" t="s">
        <v>10721</v>
      </c>
      <c r="D1248" s="388" t="s">
        <v>137</v>
      </c>
      <c r="E1248" s="388" t="s">
        <v>10082</v>
      </c>
      <c r="F1248" s="388" t="s">
        <v>10078</v>
      </c>
      <c r="G1248" s="388" t="s">
        <v>10088</v>
      </c>
      <c r="H1248" s="388" t="s">
        <v>12235</v>
      </c>
      <c r="I1248" s="387" t="s">
        <v>12236</v>
      </c>
      <c r="J1248" s="389">
        <v>40156</v>
      </c>
      <c r="K1248" s="387" t="s">
        <v>12237</v>
      </c>
      <c r="L1248" s="387"/>
      <c r="M1248" s="387" t="s">
        <v>10084</v>
      </c>
      <c r="N1248" s="387"/>
      <c r="O1248" s="387" t="s">
        <v>57</v>
      </c>
      <c r="P1248" s="390">
        <v>89800000</v>
      </c>
      <c r="Q1248" s="387" t="s">
        <v>12238</v>
      </c>
      <c r="R1248" s="364" t="s">
        <v>12126</v>
      </c>
      <c r="S1248" s="340">
        <v>18</v>
      </c>
    </row>
    <row r="1249" spans="1:19" ht="47" thickBot="1" x14ac:dyDescent="0.4">
      <c r="A1249" s="357">
        <v>1238</v>
      </c>
      <c r="B1249" s="387" t="s">
        <v>10720</v>
      </c>
      <c r="C1249" s="387" t="s">
        <v>10721</v>
      </c>
      <c r="D1249" s="388" t="s">
        <v>146</v>
      </c>
      <c r="E1249" s="388" t="s">
        <v>10082</v>
      </c>
      <c r="F1249" s="388" t="s">
        <v>10078</v>
      </c>
      <c r="G1249" s="388" t="s">
        <v>10088</v>
      </c>
      <c r="H1249" s="388" t="s">
        <v>12239</v>
      </c>
      <c r="I1249" s="387" t="s">
        <v>12240</v>
      </c>
      <c r="J1249" s="389">
        <v>40154</v>
      </c>
      <c r="K1249" s="387" t="s">
        <v>12241</v>
      </c>
      <c r="L1249" s="387"/>
      <c r="M1249" s="387" t="s">
        <v>10084</v>
      </c>
      <c r="N1249" s="387"/>
      <c r="O1249" s="387" t="s">
        <v>57</v>
      </c>
      <c r="P1249" s="390">
        <v>246229900</v>
      </c>
      <c r="Q1249" s="387" t="s">
        <v>12242</v>
      </c>
      <c r="R1249" s="364" t="s">
        <v>12126</v>
      </c>
      <c r="S1249" s="340">
        <v>18</v>
      </c>
    </row>
    <row r="1250" spans="1:19" ht="46.5" x14ac:dyDescent="0.35">
      <c r="A1250" s="349">
        <v>1239</v>
      </c>
      <c r="B1250" s="387" t="s">
        <v>10720</v>
      </c>
      <c r="C1250" s="387" t="s">
        <v>10721</v>
      </c>
      <c r="D1250" s="388" t="s">
        <v>154</v>
      </c>
      <c r="E1250" s="388" t="s">
        <v>10082</v>
      </c>
      <c r="F1250" s="388" t="s">
        <v>10078</v>
      </c>
      <c r="G1250" s="388" t="s">
        <v>10088</v>
      </c>
      <c r="H1250" s="388" t="s">
        <v>12157</v>
      </c>
      <c r="I1250" s="387" t="s">
        <v>12243</v>
      </c>
      <c r="J1250" s="389">
        <v>40154</v>
      </c>
      <c r="K1250" s="387" t="s">
        <v>12244</v>
      </c>
      <c r="L1250" s="387"/>
      <c r="M1250" s="387" t="s">
        <v>10084</v>
      </c>
      <c r="N1250" s="387"/>
      <c r="O1250" s="387" t="s">
        <v>57</v>
      </c>
      <c r="P1250" s="390">
        <v>627725000</v>
      </c>
      <c r="Q1250" s="387" t="s">
        <v>12245</v>
      </c>
      <c r="R1250" s="364" t="s">
        <v>12126</v>
      </c>
      <c r="S1250" s="340">
        <v>18</v>
      </c>
    </row>
    <row r="1251" spans="1:19" ht="47" thickBot="1" x14ac:dyDescent="0.4">
      <c r="A1251" s="357">
        <v>1240</v>
      </c>
      <c r="B1251" s="387" t="s">
        <v>10720</v>
      </c>
      <c r="C1251" s="387" t="s">
        <v>10721</v>
      </c>
      <c r="D1251" s="388" t="s">
        <v>161</v>
      </c>
      <c r="E1251" s="388" t="s">
        <v>10082</v>
      </c>
      <c r="F1251" s="388" t="s">
        <v>10078</v>
      </c>
      <c r="G1251" s="388" t="s">
        <v>10088</v>
      </c>
      <c r="H1251" s="388" t="s">
        <v>12246</v>
      </c>
      <c r="I1251" s="387" t="s">
        <v>12247</v>
      </c>
      <c r="J1251" s="389">
        <v>40176</v>
      </c>
      <c r="K1251" s="387" t="s">
        <v>12248</v>
      </c>
      <c r="L1251" s="387"/>
      <c r="M1251" s="387" t="s">
        <v>10084</v>
      </c>
      <c r="N1251" s="387"/>
      <c r="O1251" s="387" t="s">
        <v>57</v>
      </c>
      <c r="P1251" s="390">
        <v>12816381500</v>
      </c>
      <c r="Q1251" s="387" t="s">
        <v>12249</v>
      </c>
      <c r="R1251" s="364" t="s">
        <v>12126</v>
      </c>
      <c r="S1251" s="340">
        <v>18</v>
      </c>
    </row>
    <row r="1252" spans="1:19" ht="46.5" x14ac:dyDescent="0.35">
      <c r="A1252" s="349">
        <v>1241</v>
      </c>
      <c r="B1252" s="387" t="s">
        <v>10720</v>
      </c>
      <c r="C1252" s="387" t="s">
        <v>10721</v>
      </c>
      <c r="D1252" s="388" t="s">
        <v>169</v>
      </c>
      <c r="E1252" s="388" t="s">
        <v>10082</v>
      </c>
      <c r="F1252" s="388" t="s">
        <v>10078</v>
      </c>
      <c r="G1252" s="388" t="s">
        <v>10088</v>
      </c>
      <c r="H1252" s="388" t="s">
        <v>12250</v>
      </c>
      <c r="I1252" s="387" t="s">
        <v>12243</v>
      </c>
      <c r="J1252" s="389">
        <v>40845</v>
      </c>
      <c r="K1252" s="387" t="s">
        <v>12251</v>
      </c>
      <c r="L1252" s="387"/>
      <c r="M1252" s="387" t="s">
        <v>10084</v>
      </c>
      <c r="N1252" s="387"/>
      <c r="O1252" s="387" t="s">
        <v>57</v>
      </c>
      <c r="P1252" s="390">
        <v>215870000</v>
      </c>
      <c r="Q1252" s="387" t="s">
        <v>12252</v>
      </c>
      <c r="R1252" s="364" t="s">
        <v>12126</v>
      </c>
      <c r="S1252" s="340">
        <v>18</v>
      </c>
    </row>
    <row r="1253" spans="1:19" ht="47" thickBot="1" x14ac:dyDescent="0.4">
      <c r="A1253" s="357">
        <v>1242</v>
      </c>
      <c r="B1253" s="387" t="s">
        <v>10720</v>
      </c>
      <c r="C1253" s="387" t="s">
        <v>10721</v>
      </c>
      <c r="D1253" s="388" t="s">
        <v>176</v>
      </c>
      <c r="E1253" s="388" t="s">
        <v>10082</v>
      </c>
      <c r="F1253" s="388" t="s">
        <v>10078</v>
      </c>
      <c r="G1253" s="388" t="s">
        <v>10088</v>
      </c>
      <c r="H1253" s="388" t="s">
        <v>12253</v>
      </c>
      <c r="I1253" s="387" t="s">
        <v>12254</v>
      </c>
      <c r="J1253" s="389">
        <v>40878</v>
      </c>
      <c r="K1253" s="387" t="s">
        <v>12255</v>
      </c>
      <c r="L1253" s="387"/>
      <c r="M1253" s="387" t="s">
        <v>10084</v>
      </c>
      <c r="N1253" s="387"/>
      <c r="O1253" s="387" t="s">
        <v>57</v>
      </c>
      <c r="P1253" s="390">
        <v>217650000</v>
      </c>
      <c r="Q1253" s="387" t="s">
        <v>12256</v>
      </c>
      <c r="R1253" s="364" t="s">
        <v>12126</v>
      </c>
      <c r="S1253" s="340">
        <v>18</v>
      </c>
    </row>
    <row r="1254" spans="1:19" ht="46.5" x14ac:dyDescent="0.35">
      <c r="A1254" s="349">
        <v>1243</v>
      </c>
      <c r="B1254" s="387" t="s">
        <v>10720</v>
      </c>
      <c r="C1254" s="387" t="s">
        <v>10721</v>
      </c>
      <c r="D1254" s="388" t="s">
        <v>1236</v>
      </c>
      <c r="E1254" s="388" t="s">
        <v>10082</v>
      </c>
      <c r="F1254" s="388" t="s">
        <v>10078</v>
      </c>
      <c r="G1254" s="388" t="s">
        <v>10088</v>
      </c>
      <c r="H1254" s="388" t="s">
        <v>231</v>
      </c>
      <c r="I1254" s="387" t="s">
        <v>12257</v>
      </c>
      <c r="J1254" s="389">
        <v>40845</v>
      </c>
      <c r="K1254" s="387" t="s">
        <v>12258</v>
      </c>
      <c r="L1254" s="387"/>
      <c r="M1254" s="387" t="s">
        <v>10084</v>
      </c>
      <c r="N1254" s="387"/>
      <c r="O1254" s="387" t="s">
        <v>57</v>
      </c>
      <c r="P1254" s="390">
        <v>218332000</v>
      </c>
      <c r="Q1254" s="387" t="s">
        <v>12259</v>
      </c>
      <c r="R1254" s="364" t="s">
        <v>12126</v>
      </c>
      <c r="S1254" s="340">
        <v>18</v>
      </c>
    </row>
    <row r="1255" spans="1:19" ht="47" thickBot="1" x14ac:dyDescent="0.4">
      <c r="A1255" s="357">
        <v>1244</v>
      </c>
      <c r="B1255" s="387" t="s">
        <v>10720</v>
      </c>
      <c r="C1255" s="387" t="s">
        <v>10721</v>
      </c>
      <c r="D1255" s="388" t="s">
        <v>187</v>
      </c>
      <c r="E1255" s="388" t="s">
        <v>10082</v>
      </c>
      <c r="F1255" s="388" t="s">
        <v>10078</v>
      </c>
      <c r="G1255" s="388" t="s">
        <v>10088</v>
      </c>
      <c r="H1255" s="388" t="s">
        <v>5537</v>
      </c>
      <c r="I1255" s="387" t="s">
        <v>12260</v>
      </c>
      <c r="J1255" s="389">
        <v>40673</v>
      </c>
      <c r="K1255" s="387" t="s">
        <v>12261</v>
      </c>
      <c r="L1255" s="387"/>
      <c r="M1255" s="387" t="s">
        <v>10084</v>
      </c>
      <c r="N1255" s="387"/>
      <c r="O1255" s="387" t="s">
        <v>57</v>
      </c>
      <c r="P1255" s="390">
        <v>413701200</v>
      </c>
      <c r="Q1255" s="387" t="s">
        <v>12262</v>
      </c>
      <c r="R1255" s="364" t="s">
        <v>12126</v>
      </c>
      <c r="S1255" s="340">
        <v>18</v>
      </c>
    </row>
    <row r="1256" spans="1:19" ht="46.5" x14ac:dyDescent="0.35">
      <c r="A1256" s="349">
        <v>1245</v>
      </c>
      <c r="B1256" s="387" t="s">
        <v>10720</v>
      </c>
      <c r="C1256" s="387" t="s">
        <v>10721</v>
      </c>
      <c r="D1256" s="388" t="s">
        <v>190</v>
      </c>
      <c r="E1256" s="388" t="s">
        <v>10082</v>
      </c>
      <c r="F1256" s="388" t="s">
        <v>10078</v>
      </c>
      <c r="G1256" s="388" t="s">
        <v>10088</v>
      </c>
      <c r="H1256" s="388" t="s">
        <v>443</v>
      </c>
      <c r="I1256" s="387" t="s">
        <v>12263</v>
      </c>
      <c r="J1256" s="389">
        <v>40880</v>
      </c>
      <c r="K1256" s="387" t="s">
        <v>12264</v>
      </c>
      <c r="L1256" s="387"/>
      <c r="M1256" s="387" t="s">
        <v>10084</v>
      </c>
      <c r="N1256" s="387"/>
      <c r="O1256" s="387" t="s">
        <v>57</v>
      </c>
      <c r="P1256" s="390">
        <v>978774000</v>
      </c>
      <c r="Q1256" s="387" t="s">
        <v>12265</v>
      </c>
      <c r="R1256" s="364" t="s">
        <v>12126</v>
      </c>
      <c r="S1256" s="340">
        <v>18</v>
      </c>
    </row>
    <row r="1257" spans="1:19" ht="47" thickBot="1" x14ac:dyDescent="0.4">
      <c r="A1257" s="357">
        <v>1246</v>
      </c>
      <c r="B1257" s="387" t="s">
        <v>10720</v>
      </c>
      <c r="C1257" s="387" t="s">
        <v>10721</v>
      </c>
      <c r="D1257" s="388" t="s">
        <v>192</v>
      </c>
      <c r="E1257" s="388" t="s">
        <v>10082</v>
      </c>
      <c r="F1257" s="388" t="s">
        <v>10078</v>
      </c>
      <c r="G1257" s="388" t="s">
        <v>10088</v>
      </c>
      <c r="H1257" s="388" t="s">
        <v>12266</v>
      </c>
      <c r="I1257" s="387" t="s">
        <v>12267</v>
      </c>
      <c r="J1257" s="389">
        <v>41264</v>
      </c>
      <c r="K1257" s="387" t="s">
        <v>12268</v>
      </c>
      <c r="L1257" s="387"/>
      <c r="M1257" s="387" t="s">
        <v>10084</v>
      </c>
      <c r="N1257" s="387"/>
      <c r="O1257" s="387" t="s">
        <v>57</v>
      </c>
      <c r="P1257" s="390">
        <v>857560000</v>
      </c>
      <c r="Q1257" s="387" t="s">
        <v>12269</v>
      </c>
      <c r="R1257" s="364" t="s">
        <v>12126</v>
      </c>
      <c r="S1257" s="340">
        <v>18</v>
      </c>
    </row>
    <row r="1258" spans="1:19" ht="46.5" x14ac:dyDescent="0.35">
      <c r="A1258" s="349">
        <v>1247</v>
      </c>
      <c r="B1258" s="387" t="s">
        <v>10720</v>
      </c>
      <c r="C1258" s="387" t="s">
        <v>10721</v>
      </c>
      <c r="D1258" s="388" t="s">
        <v>194</v>
      </c>
      <c r="E1258" s="388" t="s">
        <v>10082</v>
      </c>
      <c r="F1258" s="388" t="s">
        <v>10078</v>
      </c>
      <c r="G1258" s="388" t="s">
        <v>10088</v>
      </c>
      <c r="H1258" s="388" t="s">
        <v>11469</v>
      </c>
      <c r="I1258" s="387" t="s">
        <v>12270</v>
      </c>
      <c r="J1258" s="389">
        <v>41632</v>
      </c>
      <c r="K1258" s="387" t="s">
        <v>12271</v>
      </c>
      <c r="L1258" s="387"/>
      <c r="M1258" s="387" t="s">
        <v>10084</v>
      </c>
      <c r="N1258" s="387"/>
      <c r="O1258" s="387" t="s">
        <v>57</v>
      </c>
      <c r="P1258" s="390">
        <v>421316800</v>
      </c>
      <c r="Q1258" s="387" t="s">
        <v>12272</v>
      </c>
      <c r="R1258" s="364" t="s">
        <v>12126</v>
      </c>
      <c r="S1258" s="340">
        <v>18</v>
      </c>
    </row>
    <row r="1259" spans="1:19" ht="47" thickBot="1" x14ac:dyDescent="0.4">
      <c r="A1259" s="357">
        <v>1248</v>
      </c>
      <c r="B1259" s="387" t="s">
        <v>10720</v>
      </c>
      <c r="C1259" s="387" t="s">
        <v>10721</v>
      </c>
      <c r="D1259" s="388" t="s">
        <v>195</v>
      </c>
      <c r="E1259" s="388" t="s">
        <v>10082</v>
      </c>
      <c r="F1259" s="388" t="s">
        <v>10078</v>
      </c>
      <c r="G1259" s="388" t="s">
        <v>10088</v>
      </c>
      <c r="H1259" s="388" t="s">
        <v>12273</v>
      </c>
      <c r="I1259" s="387" t="s">
        <v>11473</v>
      </c>
      <c r="J1259" s="389">
        <v>41632</v>
      </c>
      <c r="K1259" s="387" t="s">
        <v>12274</v>
      </c>
      <c r="L1259" s="387"/>
      <c r="M1259" s="387" t="s">
        <v>10084</v>
      </c>
      <c r="N1259" s="387"/>
      <c r="O1259" s="387" t="s">
        <v>57</v>
      </c>
      <c r="P1259" s="390">
        <v>501173700</v>
      </c>
      <c r="Q1259" s="387" t="s">
        <v>12275</v>
      </c>
      <c r="R1259" s="364" t="s">
        <v>12126</v>
      </c>
      <c r="S1259" s="340">
        <v>18</v>
      </c>
    </row>
    <row r="1260" spans="1:19" ht="46.5" x14ac:dyDescent="0.35">
      <c r="A1260" s="349">
        <v>1249</v>
      </c>
      <c r="B1260" s="387" t="s">
        <v>10720</v>
      </c>
      <c r="C1260" s="387" t="s">
        <v>10721</v>
      </c>
      <c r="D1260" s="388" t="s">
        <v>199</v>
      </c>
      <c r="E1260" s="388" t="s">
        <v>10082</v>
      </c>
      <c r="F1260" s="388" t="s">
        <v>10078</v>
      </c>
      <c r="G1260" s="388" t="s">
        <v>10088</v>
      </c>
      <c r="H1260" s="388" t="s">
        <v>11407</v>
      </c>
      <c r="I1260" s="387" t="s">
        <v>12276</v>
      </c>
      <c r="J1260" s="389">
        <v>41933</v>
      </c>
      <c r="K1260" s="387" t="s">
        <v>12277</v>
      </c>
      <c r="L1260" s="387"/>
      <c r="M1260" s="387" t="s">
        <v>10084</v>
      </c>
      <c r="N1260" s="387"/>
      <c r="O1260" s="387" t="s">
        <v>57</v>
      </c>
      <c r="P1260" s="390">
        <v>167250000</v>
      </c>
      <c r="Q1260" s="387" t="s">
        <v>12278</v>
      </c>
      <c r="R1260" s="364" t="s">
        <v>12126</v>
      </c>
      <c r="S1260" s="340">
        <v>18</v>
      </c>
    </row>
    <row r="1261" spans="1:19" ht="47" thickBot="1" x14ac:dyDescent="0.4">
      <c r="A1261" s="357">
        <v>1250</v>
      </c>
      <c r="B1261" s="387" t="s">
        <v>12279</v>
      </c>
      <c r="C1261" s="387" t="s">
        <v>12280</v>
      </c>
      <c r="D1261" s="388" t="s">
        <v>51</v>
      </c>
      <c r="E1261" s="388" t="s">
        <v>10082</v>
      </c>
      <c r="F1261" s="388" t="s">
        <v>10078</v>
      </c>
      <c r="G1261" s="388" t="s">
        <v>10078</v>
      </c>
      <c r="H1261" s="388" t="s">
        <v>11656</v>
      </c>
      <c r="I1261" s="387" t="s">
        <v>12281</v>
      </c>
      <c r="J1261" s="389">
        <v>39400</v>
      </c>
      <c r="K1261" s="387" t="s">
        <v>12282</v>
      </c>
      <c r="L1261" s="387"/>
      <c r="M1261" s="387" t="s">
        <v>10084</v>
      </c>
      <c r="N1261" s="387"/>
      <c r="O1261" s="387" t="s">
        <v>57</v>
      </c>
      <c r="P1261" s="390">
        <v>181616000</v>
      </c>
      <c r="Q1261" s="387" t="s">
        <v>12283</v>
      </c>
      <c r="R1261" s="364" t="s">
        <v>12126</v>
      </c>
      <c r="S1261" s="340">
        <v>18</v>
      </c>
    </row>
    <row r="1262" spans="1:19" ht="46.5" x14ac:dyDescent="0.35">
      <c r="A1262" s="349">
        <v>1251</v>
      </c>
      <c r="B1262" s="387" t="s">
        <v>12279</v>
      </c>
      <c r="C1262" s="387" t="s">
        <v>12280</v>
      </c>
      <c r="D1262" s="388" t="s">
        <v>59</v>
      </c>
      <c r="E1262" s="388" t="s">
        <v>10082</v>
      </c>
      <c r="F1262" s="388" t="s">
        <v>10078</v>
      </c>
      <c r="G1262" s="388" t="s">
        <v>10078</v>
      </c>
      <c r="H1262" s="388" t="s">
        <v>12284</v>
      </c>
      <c r="I1262" s="387" t="s">
        <v>12285</v>
      </c>
      <c r="J1262" s="389">
        <v>38686</v>
      </c>
      <c r="K1262" s="387" t="s">
        <v>12286</v>
      </c>
      <c r="L1262" s="387"/>
      <c r="M1262" s="387" t="s">
        <v>10084</v>
      </c>
      <c r="N1262" s="387"/>
      <c r="O1262" s="387" t="s">
        <v>57</v>
      </c>
      <c r="P1262" s="390">
        <v>2377867500</v>
      </c>
      <c r="Q1262" s="387" t="s">
        <v>12287</v>
      </c>
      <c r="R1262" s="364" t="s">
        <v>12126</v>
      </c>
      <c r="S1262" s="340">
        <v>18</v>
      </c>
    </row>
    <row r="1263" spans="1:19" ht="47" thickBot="1" x14ac:dyDescent="0.4">
      <c r="A1263" s="357">
        <v>1252</v>
      </c>
      <c r="B1263" s="387" t="s">
        <v>12279</v>
      </c>
      <c r="C1263" s="387" t="s">
        <v>12280</v>
      </c>
      <c r="D1263" s="388" t="s">
        <v>97</v>
      </c>
      <c r="E1263" s="388" t="s">
        <v>10082</v>
      </c>
      <c r="F1263" s="388" t="s">
        <v>10078</v>
      </c>
      <c r="G1263" s="388" t="s">
        <v>10078</v>
      </c>
      <c r="H1263" s="388" t="s">
        <v>12288</v>
      </c>
      <c r="I1263" s="387" t="s">
        <v>12281</v>
      </c>
      <c r="J1263" s="389">
        <v>40310</v>
      </c>
      <c r="K1263" s="387" t="s">
        <v>12289</v>
      </c>
      <c r="L1263" s="387"/>
      <c r="M1263" s="387" t="s">
        <v>10084</v>
      </c>
      <c r="N1263" s="387"/>
      <c r="O1263" s="387" t="s">
        <v>57</v>
      </c>
      <c r="P1263" s="390">
        <v>49808000</v>
      </c>
      <c r="Q1263" s="387" t="s">
        <v>12290</v>
      </c>
      <c r="R1263" s="364" t="s">
        <v>12126</v>
      </c>
      <c r="S1263" s="340">
        <v>18</v>
      </c>
    </row>
    <row r="1264" spans="1:19" ht="46.5" x14ac:dyDescent="0.35">
      <c r="A1264" s="349">
        <v>1253</v>
      </c>
      <c r="B1264" s="387" t="s">
        <v>12279</v>
      </c>
      <c r="C1264" s="387" t="s">
        <v>12280</v>
      </c>
      <c r="D1264" s="388" t="s">
        <v>101</v>
      </c>
      <c r="E1264" s="388" t="s">
        <v>10082</v>
      </c>
      <c r="F1264" s="388" t="s">
        <v>10078</v>
      </c>
      <c r="G1264" s="388" t="s">
        <v>10078</v>
      </c>
      <c r="H1264" s="388" t="s">
        <v>12246</v>
      </c>
      <c r="I1264" s="387" t="s">
        <v>12291</v>
      </c>
      <c r="J1264" s="389">
        <v>40543</v>
      </c>
      <c r="K1264" s="387" t="s">
        <v>12292</v>
      </c>
      <c r="L1264" s="387"/>
      <c r="M1264" s="387" t="s">
        <v>10084</v>
      </c>
      <c r="N1264" s="387"/>
      <c r="O1264" s="387" t="s">
        <v>57</v>
      </c>
      <c r="P1264" s="390">
        <v>806891900</v>
      </c>
      <c r="Q1264" s="387" t="s">
        <v>12293</v>
      </c>
      <c r="R1264" s="364" t="s">
        <v>12126</v>
      </c>
      <c r="S1264" s="340">
        <v>18</v>
      </c>
    </row>
    <row r="1265" spans="1:19" ht="58.5" thickBot="1" x14ac:dyDescent="0.4">
      <c r="A1265" s="357">
        <v>1254</v>
      </c>
      <c r="B1265" s="387" t="s">
        <v>12279</v>
      </c>
      <c r="C1265" s="387" t="s">
        <v>12280</v>
      </c>
      <c r="D1265" s="388" t="s">
        <v>107</v>
      </c>
      <c r="E1265" s="388" t="s">
        <v>10082</v>
      </c>
      <c r="F1265" s="388" t="s">
        <v>10078</v>
      </c>
      <c r="G1265" s="388" t="s">
        <v>10078</v>
      </c>
      <c r="H1265" s="388" t="s">
        <v>12294</v>
      </c>
      <c r="I1265" s="387" t="s">
        <v>8902</v>
      </c>
      <c r="J1265" s="389">
        <v>40677</v>
      </c>
      <c r="K1265" s="387" t="s">
        <v>12295</v>
      </c>
      <c r="L1265" s="387"/>
      <c r="M1265" s="387" t="s">
        <v>10084</v>
      </c>
      <c r="N1265" s="387"/>
      <c r="O1265" s="387" t="s">
        <v>57</v>
      </c>
      <c r="P1265" s="390">
        <v>165272000</v>
      </c>
      <c r="Q1265" s="387" t="s">
        <v>12296</v>
      </c>
      <c r="R1265" s="364" t="s">
        <v>12126</v>
      </c>
      <c r="S1265" s="340">
        <v>18</v>
      </c>
    </row>
    <row r="1266" spans="1:19" ht="46.5" x14ac:dyDescent="0.35">
      <c r="A1266" s="349">
        <v>1255</v>
      </c>
      <c r="B1266" s="387" t="s">
        <v>12279</v>
      </c>
      <c r="C1266" s="387" t="s">
        <v>12280</v>
      </c>
      <c r="D1266" s="388" t="s">
        <v>112</v>
      </c>
      <c r="E1266" s="388" t="s">
        <v>10082</v>
      </c>
      <c r="F1266" s="388" t="s">
        <v>10078</v>
      </c>
      <c r="G1266" s="388" t="s">
        <v>10078</v>
      </c>
      <c r="H1266" s="388" t="s">
        <v>12294</v>
      </c>
      <c r="I1266" s="387" t="s">
        <v>12297</v>
      </c>
      <c r="J1266" s="389">
        <v>39784</v>
      </c>
      <c r="K1266" s="387" t="s">
        <v>12298</v>
      </c>
      <c r="L1266" s="387"/>
      <c r="M1266" s="387" t="s">
        <v>10084</v>
      </c>
      <c r="N1266" s="387"/>
      <c r="O1266" s="387" t="s">
        <v>57</v>
      </c>
      <c r="P1266" s="390">
        <v>12334000</v>
      </c>
      <c r="Q1266" s="387" t="s">
        <v>12299</v>
      </c>
      <c r="R1266" s="364" t="s">
        <v>12126</v>
      </c>
      <c r="S1266" s="340">
        <v>18</v>
      </c>
    </row>
    <row r="1267" spans="1:19" ht="47" thickBot="1" x14ac:dyDescent="0.4">
      <c r="A1267" s="357">
        <v>1256</v>
      </c>
      <c r="B1267" s="387" t="s">
        <v>12300</v>
      </c>
      <c r="C1267" s="387" t="s">
        <v>12301</v>
      </c>
      <c r="D1267" s="388" t="s">
        <v>51</v>
      </c>
      <c r="E1267" s="388" t="s">
        <v>10082</v>
      </c>
      <c r="F1267" s="388" t="s">
        <v>10078</v>
      </c>
      <c r="G1267" s="388" t="s">
        <v>10078</v>
      </c>
      <c r="H1267" s="388" t="s">
        <v>12302</v>
      </c>
      <c r="I1267" s="387" t="s">
        <v>12297</v>
      </c>
      <c r="J1267" s="389">
        <v>39689</v>
      </c>
      <c r="K1267" s="387" t="s">
        <v>12303</v>
      </c>
      <c r="L1267" s="387"/>
      <c r="M1267" s="387" t="s">
        <v>10084</v>
      </c>
      <c r="N1267" s="387"/>
      <c r="O1267" s="387" t="s">
        <v>57</v>
      </c>
      <c r="P1267" s="390">
        <v>20543000</v>
      </c>
      <c r="Q1267" s="387" t="s">
        <v>12304</v>
      </c>
      <c r="R1267" s="364" t="s">
        <v>12126</v>
      </c>
      <c r="S1267" s="340">
        <v>18</v>
      </c>
    </row>
    <row r="1268" spans="1:19" ht="46.5" x14ac:dyDescent="0.35">
      <c r="A1268" s="349">
        <v>1257</v>
      </c>
      <c r="B1268" s="387" t="s">
        <v>12300</v>
      </c>
      <c r="C1268" s="387" t="s">
        <v>12301</v>
      </c>
      <c r="D1268" s="388" t="s">
        <v>59</v>
      </c>
      <c r="E1268" s="388" t="s">
        <v>10082</v>
      </c>
      <c r="F1268" s="388" t="s">
        <v>10078</v>
      </c>
      <c r="G1268" s="388" t="s">
        <v>10078</v>
      </c>
      <c r="H1268" s="388" t="s">
        <v>12302</v>
      </c>
      <c r="I1268" s="387" t="s">
        <v>12247</v>
      </c>
      <c r="J1268" s="389">
        <v>40154</v>
      </c>
      <c r="K1268" s="387" t="s">
        <v>12305</v>
      </c>
      <c r="L1268" s="387"/>
      <c r="M1268" s="387" t="s">
        <v>10084</v>
      </c>
      <c r="N1268" s="387"/>
      <c r="O1268" s="387" t="s">
        <v>57</v>
      </c>
      <c r="P1268" s="390">
        <v>24734000</v>
      </c>
      <c r="Q1268" s="387" t="s">
        <v>12306</v>
      </c>
      <c r="R1268" s="364" t="s">
        <v>12126</v>
      </c>
      <c r="S1268" s="340">
        <v>18</v>
      </c>
    </row>
    <row r="1269" spans="1:19" ht="47" thickBot="1" x14ac:dyDescent="0.4">
      <c r="A1269" s="357">
        <v>1258</v>
      </c>
      <c r="B1269" s="387" t="s">
        <v>12300</v>
      </c>
      <c r="C1269" s="387" t="s">
        <v>12301</v>
      </c>
      <c r="D1269" s="388" t="s">
        <v>97</v>
      </c>
      <c r="E1269" s="388" t="s">
        <v>10082</v>
      </c>
      <c r="F1269" s="388" t="s">
        <v>10078</v>
      </c>
      <c r="G1269" s="388" t="s">
        <v>10078</v>
      </c>
      <c r="H1269" s="388" t="s">
        <v>12302</v>
      </c>
      <c r="I1269" s="387" t="s">
        <v>12307</v>
      </c>
      <c r="J1269" s="389">
        <v>41901</v>
      </c>
      <c r="K1269" s="387" t="s">
        <v>12308</v>
      </c>
      <c r="L1269" s="387"/>
      <c r="M1269" s="387" t="s">
        <v>10084</v>
      </c>
      <c r="N1269" s="387"/>
      <c r="O1269" s="387" t="s">
        <v>57</v>
      </c>
      <c r="P1269" s="390">
        <v>109835500</v>
      </c>
      <c r="Q1269" s="387" t="s">
        <v>12309</v>
      </c>
      <c r="R1269" s="364" t="s">
        <v>12126</v>
      </c>
      <c r="S1269" s="340">
        <v>18</v>
      </c>
    </row>
    <row r="1270" spans="1:19" ht="46.5" x14ac:dyDescent="0.35">
      <c r="A1270" s="349">
        <v>1259</v>
      </c>
      <c r="B1270" s="387" t="s">
        <v>12310</v>
      </c>
      <c r="C1270" s="387" t="s">
        <v>12311</v>
      </c>
      <c r="D1270" s="388" t="s">
        <v>51</v>
      </c>
      <c r="E1270" s="388" t="s">
        <v>10082</v>
      </c>
      <c r="F1270" s="388" t="s">
        <v>10078</v>
      </c>
      <c r="G1270" s="388" t="s">
        <v>10088</v>
      </c>
      <c r="H1270" s="388" t="s">
        <v>11291</v>
      </c>
      <c r="I1270" s="387" t="s">
        <v>12312</v>
      </c>
      <c r="J1270" s="389">
        <v>41901</v>
      </c>
      <c r="K1270" s="387" t="s">
        <v>12313</v>
      </c>
      <c r="L1270" s="387"/>
      <c r="M1270" s="387" t="s">
        <v>10084</v>
      </c>
      <c r="N1270" s="387"/>
      <c r="O1270" s="387" t="s">
        <v>57</v>
      </c>
      <c r="P1270" s="390">
        <v>98770000</v>
      </c>
      <c r="Q1270" s="387" t="s">
        <v>12314</v>
      </c>
      <c r="R1270" s="364" t="s">
        <v>12126</v>
      </c>
      <c r="S1270" s="340">
        <v>18</v>
      </c>
    </row>
    <row r="1271" spans="1:19" ht="47" thickBot="1" x14ac:dyDescent="0.4">
      <c r="A1271" s="357">
        <v>1260</v>
      </c>
      <c r="B1271" s="387" t="s">
        <v>12310</v>
      </c>
      <c r="C1271" s="387" t="s">
        <v>12311</v>
      </c>
      <c r="D1271" s="388" t="s">
        <v>59</v>
      </c>
      <c r="E1271" s="388" t="s">
        <v>10082</v>
      </c>
      <c r="F1271" s="388" t="s">
        <v>10078</v>
      </c>
      <c r="G1271" s="388" t="s">
        <v>10078</v>
      </c>
      <c r="H1271" s="388" t="s">
        <v>11415</v>
      </c>
      <c r="I1271" s="387" t="s">
        <v>12307</v>
      </c>
      <c r="J1271" s="389">
        <v>38586</v>
      </c>
      <c r="K1271" s="387" t="s">
        <v>12315</v>
      </c>
      <c r="L1271" s="387"/>
      <c r="M1271" s="387" t="s">
        <v>10084</v>
      </c>
      <c r="N1271" s="387"/>
      <c r="O1271" s="387" t="s">
        <v>57</v>
      </c>
      <c r="P1271" s="390">
        <v>18439000</v>
      </c>
      <c r="Q1271" s="387" t="s">
        <v>12316</v>
      </c>
      <c r="R1271" s="364" t="s">
        <v>12126</v>
      </c>
      <c r="S1271" s="340">
        <v>18</v>
      </c>
    </row>
    <row r="1272" spans="1:19" ht="72.5" x14ac:dyDescent="0.35">
      <c r="A1272" s="349">
        <v>1261</v>
      </c>
      <c r="B1272" s="387" t="s">
        <v>10650</v>
      </c>
      <c r="C1272" s="387" t="s">
        <v>10651</v>
      </c>
      <c r="D1272" s="388" t="s">
        <v>51</v>
      </c>
      <c r="E1272" s="388" t="s">
        <v>10082</v>
      </c>
      <c r="F1272" s="388"/>
      <c r="G1272" s="388" t="s">
        <v>10088</v>
      </c>
      <c r="H1272" s="388"/>
      <c r="I1272" s="387" t="s">
        <v>63</v>
      </c>
      <c r="J1272" s="389"/>
      <c r="K1272" s="387"/>
      <c r="L1272" s="387"/>
      <c r="M1272" s="387"/>
      <c r="N1272" s="387"/>
      <c r="O1272" s="387" t="s">
        <v>44</v>
      </c>
      <c r="P1272" s="390">
        <v>53214740.999999993</v>
      </c>
      <c r="Q1272" s="387" t="s">
        <v>12317</v>
      </c>
      <c r="R1272" s="364" t="s">
        <v>12126</v>
      </c>
      <c r="S1272" s="340">
        <v>18</v>
      </c>
    </row>
    <row r="1273" spans="1:19" ht="58.5" thickBot="1" x14ac:dyDescent="0.4">
      <c r="A1273" s="357">
        <v>1262</v>
      </c>
      <c r="B1273" s="387" t="s">
        <v>11632</v>
      </c>
      <c r="C1273" s="387" t="s">
        <v>11633</v>
      </c>
      <c r="D1273" s="388" t="s">
        <v>51</v>
      </c>
      <c r="E1273" s="388" t="s">
        <v>10082</v>
      </c>
      <c r="F1273" s="388" t="s">
        <v>10078</v>
      </c>
      <c r="G1273" s="388" t="s">
        <v>10088</v>
      </c>
      <c r="H1273" s="388" t="s">
        <v>11408</v>
      </c>
      <c r="I1273" s="387" t="s">
        <v>12188</v>
      </c>
      <c r="J1273" s="389">
        <v>42334</v>
      </c>
      <c r="K1273" s="387" t="s">
        <v>12318</v>
      </c>
      <c r="L1273" s="387"/>
      <c r="M1273" s="387" t="s">
        <v>10084</v>
      </c>
      <c r="N1273" s="387"/>
      <c r="O1273" s="387" t="s">
        <v>57</v>
      </c>
      <c r="P1273" s="390">
        <v>25154000</v>
      </c>
      <c r="Q1273" s="387" t="s">
        <v>12319</v>
      </c>
      <c r="R1273" s="364" t="s">
        <v>12126</v>
      </c>
      <c r="S1273" s="340">
        <v>18</v>
      </c>
    </row>
    <row r="1274" spans="1:19" ht="46.5" x14ac:dyDescent="0.35">
      <c r="A1274" s="349">
        <v>1263</v>
      </c>
      <c r="B1274" s="387" t="s">
        <v>12033</v>
      </c>
      <c r="C1274" s="387" t="s">
        <v>12034</v>
      </c>
      <c r="D1274" s="388" t="s">
        <v>51</v>
      </c>
      <c r="E1274" s="388" t="s">
        <v>10082</v>
      </c>
      <c r="F1274" s="388" t="s">
        <v>10078</v>
      </c>
      <c r="G1274" s="388" t="s">
        <v>10088</v>
      </c>
      <c r="H1274" s="388" t="s">
        <v>12320</v>
      </c>
      <c r="I1274" s="387" t="s">
        <v>12321</v>
      </c>
      <c r="J1274" s="389">
        <v>39791</v>
      </c>
      <c r="K1274" s="387" t="s">
        <v>12322</v>
      </c>
      <c r="L1274" s="387"/>
      <c r="M1274" s="387" t="s">
        <v>10084</v>
      </c>
      <c r="N1274" s="387"/>
      <c r="O1274" s="387" t="s">
        <v>57</v>
      </c>
      <c r="P1274" s="390">
        <v>77138000</v>
      </c>
      <c r="Q1274" s="387" t="s">
        <v>12323</v>
      </c>
      <c r="R1274" s="364" t="s">
        <v>12126</v>
      </c>
      <c r="S1274" s="340">
        <v>18</v>
      </c>
    </row>
    <row r="1275" spans="1:19" ht="47" thickBot="1" x14ac:dyDescent="0.4">
      <c r="A1275" s="357">
        <v>1264</v>
      </c>
      <c r="B1275" s="387" t="s">
        <v>12324</v>
      </c>
      <c r="C1275" s="387" t="s">
        <v>12325</v>
      </c>
      <c r="D1275" s="388" t="s">
        <v>51</v>
      </c>
      <c r="E1275" s="388" t="s">
        <v>10082</v>
      </c>
      <c r="F1275" s="388" t="s">
        <v>10078</v>
      </c>
      <c r="G1275" s="388" t="s">
        <v>10078</v>
      </c>
      <c r="H1275" s="388" t="s">
        <v>2972</v>
      </c>
      <c r="I1275" s="387" t="s">
        <v>12168</v>
      </c>
      <c r="J1275" s="389">
        <v>43662</v>
      </c>
      <c r="K1275" s="387" t="s">
        <v>12169</v>
      </c>
      <c r="L1275" s="387"/>
      <c r="M1275" s="387" t="s">
        <v>10084</v>
      </c>
      <c r="N1275" s="387"/>
      <c r="O1275" s="387" t="s">
        <v>57</v>
      </c>
      <c r="P1275" s="390">
        <v>856542190.69999993</v>
      </c>
      <c r="Q1275" s="387" t="s">
        <v>12326</v>
      </c>
      <c r="R1275" s="364" t="s">
        <v>12126</v>
      </c>
      <c r="S1275" s="340">
        <v>18</v>
      </c>
    </row>
    <row r="1276" spans="1:19" ht="87" x14ac:dyDescent="0.35">
      <c r="A1276" s="349">
        <v>1265</v>
      </c>
      <c r="B1276" s="387" t="s">
        <v>12324</v>
      </c>
      <c r="C1276" s="387" t="s">
        <v>12325</v>
      </c>
      <c r="D1276" s="388" t="s">
        <v>59</v>
      </c>
      <c r="E1276" s="388" t="s">
        <v>10082</v>
      </c>
      <c r="F1276" s="388" t="s">
        <v>10078</v>
      </c>
      <c r="G1276" s="388" t="s">
        <v>10078</v>
      </c>
      <c r="H1276" s="388" t="s">
        <v>12327</v>
      </c>
      <c r="I1276" s="387" t="s">
        <v>12193</v>
      </c>
      <c r="J1276" s="389">
        <v>44196</v>
      </c>
      <c r="K1276" s="387" t="s">
        <v>12328</v>
      </c>
      <c r="L1276" s="387"/>
      <c r="M1276" s="387" t="s">
        <v>10084</v>
      </c>
      <c r="N1276" s="387"/>
      <c r="O1276" s="387" t="s">
        <v>57</v>
      </c>
      <c r="P1276" s="390">
        <v>159122961</v>
      </c>
      <c r="Q1276" s="387" t="s">
        <v>12195</v>
      </c>
      <c r="R1276" s="364" t="s">
        <v>12126</v>
      </c>
      <c r="S1276" s="340">
        <v>18</v>
      </c>
    </row>
    <row r="1277" spans="1:19" ht="47" thickBot="1" x14ac:dyDescent="0.4">
      <c r="A1277" s="357">
        <v>1266</v>
      </c>
      <c r="B1277" s="387" t="s">
        <v>12329</v>
      </c>
      <c r="C1277" s="387" t="s">
        <v>12330</v>
      </c>
      <c r="D1277" s="388" t="s">
        <v>51</v>
      </c>
      <c r="E1277" s="388" t="s">
        <v>10082</v>
      </c>
      <c r="F1277" s="388" t="s">
        <v>10078</v>
      </c>
      <c r="G1277" s="388" t="s">
        <v>10078</v>
      </c>
      <c r="H1277" s="388" t="s">
        <v>2972</v>
      </c>
      <c r="I1277" s="387" t="s">
        <v>12123</v>
      </c>
      <c r="J1277" s="389">
        <v>44550</v>
      </c>
      <c r="K1277" s="387" t="s">
        <v>12331</v>
      </c>
      <c r="L1277" s="387"/>
      <c r="M1277" s="387" t="s">
        <v>10084</v>
      </c>
      <c r="N1277" s="387"/>
      <c r="O1277" s="387" t="s">
        <v>57</v>
      </c>
      <c r="P1277" s="390">
        <v>313624787.10000002</v>
      </c>
      <c r="Q1277" s="387" t="s">
        <v>12332</v>
      </c>
      <c r="R1277" s="364" t="s">
        <v>12126</v>
      </c>
      <c r="S1277" s="340">
        <v>18</v>
      </c>
    </row>
    <row r="1278" spans="1:19" ht="58" x14ac:dyDescent="0.35">
      <c r="A1278" s="349">
        <v>1267</v>
      </c>
      <c r="B1278" s="387" t="s">
        <v>10559</v>
      </c>
      <c r="C1278" s="387" t="s">
        <v>10560</v>
      </c>
      <c r="D1278" s="388" t="s">
        <v>51</v>
      </c>
      <c r="E1278" s="388" t="s">
        <v>10082</v>
      </c>
      <c r="F1278" s="388" t="s">
        <v>10078</v>
      </c>
      <c r="G1278" s="388" t="s">
        <v>10088</v>
      </c>
      <c r="H1278" s="388" t="s">
        <v>12333</v>
      </c>
      <c r="I1278" s="387" t="s">
        <v>12334</v>
      </c>
      <c r="J1278" s="389">
        <v>42926</v>
      </c>
      <c r="K1278" s="387" t="s">
        <v>12335</v>
      </c>
      <c r="L1278" s="387"/>
      <c r="M1278" s="387" t="s">
        <v>10084</v>
      </c>
      <c r="N1278" s="387"/>
      <c r="O1278" s="387" t="s">
        <v>57</v>
      </c>
      <c r="P1278" s="390">
        <v>2847711950</v>
      </c>
      <c r="Q1278" s="387" t="s">
        <v>12336</v>
      </c>
      <c r="R1278" s="364" t="s">
        <v>12126</v>
      </c>
      <c r="S1278" s="340">
        <v>18</v>
      </c>
    </row>
    <row r="1279" spans="1:19" ht="47" thickBot="1" x14ac:dyDescent="0.4">
      <c r="A1279" s="357">
        <v>1268</v>
      </c>
      <c r="B1279" s="387" t="s">
        <v>11322</v>
      </c>
      <c r="C1279" s="387" t="s">
        <v>11323</v>
      </c>
      <c r="D1279" s="388" t="s">
        <v>51</v>
      </c>
      <c r="E1279" s="388" t="s">
        <v>10082</v>
      </c>
      <c r="F1279" s="388" t="s">
        <v>10078</v>
      </c>
      <c r="G1279" s="388" t="s">
        <v>10078</v>
      </c>
      <c r="H1279" s="388" t="s">
        <v>12103</v>
      </c>
      <c r="I1279" s="387" t="s">
        <v>12337</v>
      </c>
      <c r="J1279" s="389"/>
      <c r="K1279" s="387"/>
      <c r="L1279" s="387"/>
      <c r="M1279" s="387" t="s">
        <v>10084</v>
      </c>
      <c r="N1279" s="387"/>
      <c r="O1279" s="387" t="s">
        <v>44</v>
      </c>
      <c r="P1279" s="390">
        <v>35000000</v>
      </c>
      <c r="Q1279" s="387" t="s">
        <v>12338</v>
      </c>
      <c r="R1279" s="364" t="s">
        <v>12126</v>
      </c>
      <c r="S1279" s="340">
        <v>18</v>
      </c>
    </row>
    <row r="1280" spans="1:19" ht="58" x14ac:dyDescent="0.35">
      <c r="A1280" s="349">
        <v>1269</v>
      </c>
      <c r="B1280" s="387" t="s">
        <v>10228</v>
      </c>
      <c r="C1280" s="387" t="s">
        <v>10229</v>
      </c>
      <c r="D1280" s="388" t="s">
        <v>51</v>
      </c>
      <c r="E1280" s="388" t="s">
        <v>10082</v>
      </c>
      <c r="F1280" s="388"/>
      <c r="G1280" s="388" t="s">
        <v>10078</v>
      </c>
      <c r="H1280" s="388"/>
      <c r="I1280" s="387" t="s">
        <v>63</v>
      </c>
      <c r="J1280" s="389"/>
      <c r="K1280" s="387"/>
      <c r="L1280" s="387"/>
      <c r="M1280" s="387"/>
      <c r="N1280" s="387"/>
      <c r="O1280" s="387" t="s">
        <v>44</v>
      </c>
      <c r="P1280" s="390">
        <v>17045080</v>
      </c>
      <c r="Q1280" s="387" t="s">
        <v>12339</v>
      </c>
      <c r="R1280" s="364" t="s">
        <v>12126</v>
      </c>
      <c r="S1280" s="340">
        <v>18</v>
      </c>
    </row>
    <row r="1281" spans="1:19" ht="58.5" thickBot="1" x14ac:dyDescent="0.4">
      <c r="A1281" s="357">
        <v>1270</v>
      </c>
      <c r="B1281" s="387" t="s">
        <v>10228</v>
      </c>
      <c r="C1281" s="387" t="s">
        <v>10229</v>
      </c>
      <c r="D1281" s="388" t="s">
        <v>59</v>
      </c>
      <c r="E1281" s="388" t="s">
        <v>10082</v>
      </c>
      <c r="F1281" s="388" t="s">
        <v>10078</v>
      </c>
      <c r="G1281" s="388" t="s">
        <v>10088</v>
      </c>
      <c r="H1281" s="388"/>
      <c r="I1281" s="387" t="s">
        <v>12340</v>
      </c>
      <c r="J1281" s="389"/>
      <c r="K1281" s="387" t="s">
        <v>12341</v>
      </c>
      <c r="L1281" s="387"/>
      <c r="M1281" s="387"/>
      <c r="N1281" s="387"/>
      <c r="O1281" s="387" t="s">
        <v>44</v>
      </c>
      <c r="P1281" s="390">
        <v>20181375</v>
      </c>
      <c r="Q1281" s="387" t="s">
        <v>12342</v>
      </c>
      <c r="R1281" s="364" t="s">
        <v>12126</v>
      </c>
      <c r="S1281" s="340">
        <v>18</v>
      </c>
    </row>
    <row r="1282" spans="1:19" ht="58" x14ac:dyDescent="0.35">
      <c r="A1282" s="349">
        <v>1271</v>
      </c>
      <c r="B1282" s="387" t="s">
        <v>10228</v>
      </c>
      <c r="C1282" s="387" t="s">
        <v>10229</v>
      </c>
      <c r="D1282" s="388" t="s">
        <v>97</v>
      </c>
      <c r="E1282" s="388" t="s">
        <v>10082</v>
      </c>
      <c r="F1282" s="388" t="s">
        <v>10078</v>
      </c>
      <c r="G1282" s="388" t="s">
        <v>10088</v>
      </c>
      <c r="H1282" s="388"/>
      <c r="I1282" s="387" t="s">
        <v>12340</v>
      </c>
      <c r="J1282" s="389"/>
      <c r="K1282" s="387" t="s">
        <v>12341</v>
      </c>
      <c r="L1282" s="387"/>
      <c r="M1282" s="387" t="s">
        <v>10084</v>
      </c>
      <c r="N1282" s="387"/>
      <c r="O1282" s="387" t="s">
        <v>44</v>
      </c>
      <c r="P1282" s="390">
        <v>12056553.999999998</v>
      </c>
      <c r="Q1282" s="387" t="s">
        <v>12343</v>
      </c>
      <c r="R1282" s="364" t="s">
        <v>12126</v>
      </c>
      <c r="S1282" s="340">
        <v>18</v>
      </c>
    </row>
    <row r="1283" spans="1:19" ht="47" thickBot="1" x14ac:dyDescent="0.4">
      <c r="A1283" s="357">
        <v>1272</v>
      </c>
      <c r="B1283" s="387" t="s">
        <v>12344</v>
      </c>
      <c r="C1283" s="387" t="s">
        <v>12345</v>
      </c>
      <c r="D1283" s="388" t="s">
        <v>51</v>
      </c>
      <c r="E1283" s="388" t="s">
        <v>10082</v>
      </c>
      <c r="F1283" s="388" t="s">
        <v>10078</v>
      </c>
      <c r="G1283" s="388" t="s">
        <v>10078</v>
      </c>
      <c r="H1283" s="388" t="s">
        <v>2972</v>
      </c>
      <c r="I1283" s="387" t="s">
        <v>12168</v>
      </c>
      <c r="J1283" s="389">
        <v>43662</v>
      </c>
      <c r="K1283" s="387" t="s">
        <v>12169</v>
      </c>
      <c r="L1283" s="387"/>
      <c r="M1283" s="387" t="s">
        <v>10084</v>
      </c>
      <c r="N1283" s="387"/>
      <c r="O1283" s="387" t="s">
        <v>57</v>
      </c>
      <c r="P1283" s="390">
        <v>912600042.60000002</v>
      </c>
      <c r="Q1283" s="387" t="s">
        <v>12346</v>
      </c>
      <c r="R1283" s="364" t="s">
        <v>12126</v>
      </c>
      <c r="S1283" s="340">
        <v>18</v>
      </c>
    </row>
    <row r="1284" spans="1:19" ht="46.5" x14ac:dyDescent="0.35">
      <c r="A1284" s="349">
        <v>1273</v>
      </c>
      <c r="B1284" s="387" t="s">
        <v>12344</v>
      </c>
      <c r="C1284" s="387" t="s">
        <v>12345</v>
      </c>
      <c r="D1284" s="388" t="s">
        <v>59</v>
      </c>
      <c r="E1284" s="388" t="s">
        <v>10082</v>
      </c>
      <c r="F1284" s="388" t="s">
        <v>10078</v>
      </c>
      <c r="G1284" s="388" t="s">
        <v>10078</v>
      </c>
      <c r="H1284" s="388" t="s">
        <v>2972</v>
      </c>
      <c r="I1284" s="387" t="s">
        <v>12168</v>
      </c>
      <c r="J1284" s="389">
        <v>43662</v>
      </c>
      <c r="K1284" s="387" t="s">
        <v>12169</v>
      </c>
      <c r="L1284" s="387"/>
      <c r="M1284" s="387" t="s">
        <v>10084</v>
      </c>
      <c r="N1284" s="387"/>
      <c r="O1284" s="387" t="s">
        <v>57</v>
      </c>
      <c r="P1284" s="390">
        <v>5862271743.5</v>
      </c>
      <c r="Q1284" s="387" t="s">
        <v>12347</v>
      </c>
      <c r="R1284" s="364" t="s">
        <v>12126</v>
      </c>
      <c r="S1284" s="340">
        <v>18</v>
      </c>
    </row>
    <row r="1285" spans="1:19" ht="47" thickBot="1" x14ac:dyDescent="0.4">
      <c r="A1285" s="357">
        <v>1274</v>
      </c>
      <c r="B1285" s="387" t="s">
        <v>12344</v>
      </c>
      <c r="C1285" s="387" t="s">
        <v>12345</v>
      </c>
      <c r="D1285" s="388" t="s">
        <v>97</v>
      </c>
      <c r="E1285" s="388" t="s">
        <v>10082</v>
      </c>
      <c r="F1285" s="388" t="s">
        <v>10078</v>
      </c>
      <c r="G1285" s="388" t="s">
        <v>10078</v>
      </c>
      <c r="H1285" s="388" t="s">
        <v>2972</v>
      </c>
      <c r="I1285" s="387" t="s">
        <v>12168</v>
      </c>
      <c r="J1285" s="389">
        <v>43662</v>
      </c>
      <c r="K1285" s="387" t="s">
        <v>12169</v>
      </c>
      <c r="L1285" s="387"/>
      <c r="M1285" s="387" t="s">
        <v>10084</v>
      </c>
      <c r="N1285" s="387"/>
      <c r="O1285" s="387" t="s">
        <v>57</v>
      </c>
      <c r="P1285" s="390">
        <v>5862271743.5</v>
      </c>
      <c r="Q1285" s="387" t="s">
        <v>12347</v>
      </c>
      <c r="R1285" s="364" t="s">
        <v>12126</v>
      </c>
      <c r="S1285" s="340">
        <v>18</v>
      </c>
    </row>
    <row r="1286" spans="1:19" ht="101.5" x14ac:dyDescent="0.35">
      <c r="A1286" s="349">
        <v>1275</v>
      </c>
      <c r="B1286" s="387" t="s">
        <v>10507</v>
      </c>
      <c r="C1286" s="387" t="s">
        <v>10508</v>
      </c>
      <c r="D1286" s="388" t="s">
        <v>51</v>
      </c>
      <c r="E1286" s="388" t="s">
        <v>10082</v>
      </c>
      <c r="F1286" s="388" t="s">
        <v>10078</v>
      </c>
      <c r="G1286" s="388" t="s">
        <v>10078</v>
      </c>
      <c r="H1286" s="388" t="s">
        <v>12348</v>
      </c>
      <c r="I1286" s="387" t="s">
        <v>12180</v>
      </c>
      <c r="J1286" s="389">
        <v>44196</v>
      </c>
      <c r="K1286" s="387" t="s">
        <v>12181</v>
      </c>
      <c r="L1286" s="387"/>
      <c r="M1286" s="387" t="s">
        <v>10084</v>
      </c>
      <c r="N1286" s="387"/>
      <c r="O1286" s="387" t="s">
        <v>57</v>
      </c>
      <c r="P1286" s="390">
        <v>4943972671</v>
      </c>
      <c r="Q1286" s="387" t="s">
        <v>12349</v>
      </c>
      <c r="R1286" s="364" t="s">
        <v>12126</v>
      </c>
      <c r="S1286" s="340">
        <v>18</v>
      </c>
    </row>
    <row r="1287" spans="1:19" ht="102" thickBot="1" x14ac:dyDescent="0.4">
      <c r="A1287" s="357">
        <v>1276</v>
      </c>
      <c r="B1287" s="387" t="s">
        <v>10507</v>
      </c>
      <c r="C1287" s="387" t="s">
        <v>10508</v>
      </c>
      <c r="D1287" s="388" t="s">
        <v>59</v>
      </c>
      <c r="E1287" s="388" t="s">
        <v>10082</v>
      </c>
      <c r="F1287" s="388" t="s">
        <v>10078</v>
      </c>
      <c r="G1287" s="388" t="s">
        <v>10078</v>
      </c>
      <c r="H1287" s="388" t="s">
        <v>12348</v>
      </c>
      <c r="I1287" s="387" t="s">
        <v>12180</v>
      </c>
      <c r="J1287" s="389">
        <v>44196</v>
      </c>
      <c r="K1287" s="387" t="s">
        <v>12181</v>
      </c>
      <c r="L1287" s="387"/>
      <c r="M1287" s="387" t="s">
        <v>10084</v>
      </c>
      <c r="N1287" s="387"/>
      <c r="O1287" s="387" t="s">
        <v>57</v>
      </c>
      <c r="P1287" s="390">
        <v>4943972671</v>
      </c>
      <c r="Q1287" s="387" t="s">
        <v>12349</v>
      </c>
      <c r="R1287" s="364" t="s">
        <v>12126</v>
      </c>
      <c r="S1287" s="340">
        <v>18</v>
      </c>
    </row>
    <row r="1288" spans="1:19" ht="46.5" x14ac:dyDescent="0.35">
      <c r="A1288" s="349">
        <v>1277</v>
      </c>
      <c r="B1288" s="387" t="s">
        <v>10507</v>
      </c>
      <c r="C1288" s="387" t="s">
        <v>10508</v>
      </c>
      <c r="D1288" s="388" t="s">
        <v>97</v>
      </c>
      <c r="E1288" s="388" t="s">
        <v>10082</v>
      </c>
      <c r="F1288" s="388" t="s">
        <v>10078</v>
      </c>
      <c r="G1288" s="388" t="s">
        <v>10078</v>
      </c>
      <c r="H1288" s="388" t="s">
        <v>12350</v>
      </c>
      <c r="I1288" s="387" t="s">
        <v>12123</v>
      </c>
      <c r="J1288" s="389">
        <v>44386</v>
      </c>
      <c r="K1288" s="387" t="s">
        <v>12124</v>
      </c>
      <c r="L1288" s="387"/>
      <c r="M1288" s="387" t="s">
        <v>10084</v>
      </c>
      <c r="N1288" s="387"/>
      <c r="O1288" s="387" t="s">
        <v>57</v>
      </c>
      <c r="P1288" s="390">
        <v>2528574318.5</v>
      </c>
      <c r="Q1288" s="387" t="s">
        <v>12351</v>
      </c>
      <c r="R1288" s="364" t="s">
        <v>12126</v>
      </c>
      <c r="S1288" s="340">
        <v>18</v>
      </c>
    </row>
    <row r="1289" spans="1:19" ht="47" thickBot="1" x14ac:dyDescent="0.4">
      <c r="A1289" s="357">
        <v>1278</v>
      </c>
      <c r="B1289" s="387" t="s">
        <v>10507</v>
      </c>
      <c r="C1289" s="387" t="s">
        <v>10508</v>
      </c>
      <c r="D1289" s="388" t="s">
        <v>101</v>
      </c>
      <c r="E1289" s="388" t="s">
        <v>10082</v>
      </c>
      <c r="F1289" s="388" t="s">
        <v>10078</v>
      </c>
      <c r="G1289" s="388" t="s">
        <v>10078</v>
      </c>
      <c r="H1289" s="388" t="s">
        <v>12350</v>
      </c>
      <c r="I1289" s="387" t="s">
        <v>12123</v>
      </c>
      <c r="J1289" s="389">
        <v>44386</v>
      </c>
      <c r="K1289" s="387" t="s">
        <v>12124</v>
      </c>
      <c r="L1289" s="387"/>
      <c r="M1289" s="387" t="s">
        <v>10084</v>
      </c>
      <c r="N1289" s="387"/>
      <c r="O1289" s="387" t="s">
        <v>57</v>
      </c>
      <c r="P1289" s="390">
        <v>2528574318.5</v>
      </c>
      <c r="Q1289" s="387" t="s">
        <v>12351</v>
      </c>
      <c r="R1289" s="364" t="s">
        <v>12126</v>
      </c>
      <c r="S1289" s="340">
        <v>18</v>
      </c>
    </row>
    <row r="1290" spans="1:19" ht="46.5" x14ac:dyDescent="0.35">
      <c r="A1290" s="349">
        <v>1279</v>
      </c>
      <c r="B1290" s="387" t="s">
        <v>10507</v>
      </c>
      <c r="C1290" s="387" t="s">
        <v>10508</v>
      </c>
      <c r="D1290" s="388" t="s">
        <v>107</v>
      </c>
      <c r="E1290" s="388" t="s">
        <v>10082</v>
      </c>
      <c r="F1290" s="388" t="s">
        <v>10078</v>
      </c>
      <c r="G1290" s="388" t="s">
        <v>10078</v>
      </c>
      <c r="H1290" s="388" t="s">
        <v>11384</v>
      </c>
      <c r="I1290" s="387" t="s">
        <v>12123</v>
      </c>
      <c r="J1290" s="389">
        <v>44386</v>
      </c>
      <c r="K1290" s="387" t="s">
        <v>12124</v>
      </c>
      <c r="L1290" s="387"/>
      <c r="M1290" s="387" t="s">
        <v>10084</v>
      </c>
      <c r="N1290" s="387"/>
      <c r="O1290" s="387" t="s">
        <v>57</v>
      </c>
      <c r="P1290" s="390">
        <v>468095360.30000001</v>
      </c>
      <c r="Q1290" s="387" t="s">
        <v>12352</v>
      </c>
      <c r="R1290" s="364" t="s">
        <v>12126</v>
      </c>
      <c r="S1290" s="340">
        <v>18</v>
      </c>
    </row>
    <row r="1291" spans="1:19" ht="87.5" thickBot="1" x14ac:dyDescent="0.4">
      <c r="A1291" s="357">
        <v>1280</v>
      </c>
      <c r="B1291" s="387" t="s">
        <v>10507</v>
      </c>
      <c r="C1291" s="387" t="s">
        <v>10508</v>
      </c>
      <c r="D1291" s="388" t="s">
        <v>112</v>
      </c>
      <c r="E1291" s="388" t="s">
        <v>10082</v>
      </c>
      <c r="F1291" s="388" t="s">
        <v>10078</v>
      </c>
      <c r="G1291" s="388" t="s">
        <v>10078</v>
      </c>
      <c r="H1291" s="388"/>
      <c r="I1291" s="387" t="s">
        <v>12353</v>
      </c>
      <c r="J1291" s="389"/>
      <c r="K1291" s="387"/>
      <c r="L1291" s="387"/>
      <c r="M1291" s="387" t="s">
        <v>10084</v>
      </c>
      <c r="N1291" s="387"/>
      <c r="O1291" s="387" t="s">
        <v>44</v>
      </c>
      <c r="P1291" s="390">
        <v>124058900</v>
      </c>
      <c r="Q1291" s="387" t="s">
        <v>12354</v>
      </c>
      <c r="R1291" s="364" t="s">
        <v>12126</v>
      </c>
      <c r="S1291" s="340">
        <v>18</v>
      </c>
    </row>
    <row r="1292" spans="1:19" ht="46.5" x14ac:dyDescent="0.35">
      <c r="A1292" s="349">
        <v>1281</v>
      </c>
      <c r="B1292" s="387" t="s">
        <v>12355</v>
      </c>
      <c r="C1292" s="387" t="s">
        <v>12356</v>
      </c>
      <c r="D1292" s="388" t="s">
        <v>51</v>
      </c>
      <c r="E1292" s="388" t="s">
        <v>10082</v>
      </c>
      <c r="F1292" s="388" t="s">
        <v>10078</v>
      </c>
      <c r="G1292" s="388" t="s">
        <v>10088</v>
      </c>
      <c r="H1292" s="388" t="s">
        <v>2972</v>
      </c>
      <c r="I1292" s="387" t="s">
        <v>12357</v>
      </c>
      <c r="J1292" s="389">
        <v>42788</v>
      </c>
      <c r="K1292" s="387" t="s">
        <v>12358</v>
      </c>
      <c r="L1292" s="387"/>
      <c r="M1292" s="387" t="s">
        <v>10084</v>
      </c>
      <c r="N1292" s="387"/>
      <c r="O1292" s="387" t="s">
        <v>57</v>
      </c>
      <c r="P1292" s="390">
        <v>132300000</v>
      </c>
      <c r="Q1292" s="387" t="s">
        <v>12359</v>
      </c>
      <c r="R1292" s="364" t="s">
        <v>12126</v>
      </c>
      <c r="S1292" s="340">
        <v>18</v>
      </c>
    </row>
    <row r="1293" spans="1:19" ht="87.5" thickBot="1" x14ac:dyDescent="0.4">
      <c r="A1293" s="357">
        <v>1282</v>
      </c>
      <c r="B1293" s="387" t="s">
        <v>10096</v>
      </c>
      <c r="C1293" s="387" t="s">
        <v>10097</v>
      </c>
      <c r="D1293" s="388" t="s">
        <v>51</v>
      </c>
      <c r="E1293" s="388" t="s">
        <v>10082</v>
      </c>
      <c r="F1293" s="388" t="s">
        <v>10078</v>
      </c>
      <c r="G1293" s="388" t="s">
        <v>10078</v>
      </c>
      <c r="H1293" s="388" t="s">
        <v>12360</v>
      </c>
      <c r="I1293" s="387" t="s">
        <v>12180</v>
      </c>
      <c r="J1293" s="389">
        <v>44196</v>
      </c>
      <c r="K1293" s="387" t="s">
        <v>12181</v>
      </c>
      <c r="L1293" s="387"/>
      <c r="M1293" s="387" t="s">
        <v>10084</v>
      </c>
      <c r="N1293" s="387"/>
      <c r="O1293" s="387" t="s">
        <v>57</v>
      </c>
      <c r="P1293" s="390">
        <v>1183339105</v>
      </c>
      <c r="Q1293" s="387" t="s">
        <v>12361</v>
      </c>
      <c r="R1293" s="364" t="s">
        <v>12126</v>
      </c>
      <c r="S1293" s="340">
        <v>18</v>
      </c>
    </row>
    <row r="1294" spans="1:19" ht="29" x14ac:dyDescent="0.35">
      <c r="A1294" s="349">
        <v>1283</v>
      </c>
      <c r="B1294" s="387" t="s">
        <v>10155</v>
      </c>
      <c r="C1294" s="387" t="s">
        <v>10156</v>
      </c>
      <c r="D1294" s="388" t="s">
        <v>51</v>
      </c>
      <c r="E1294" s="388" t="s">
        <v>10082</v>
      </c>
      <c r="F1294" s="388" t="s">
        <v>10078</v>
      </c>
      <c r="G1294" s="388" t="s">
        <v>10078</v>
      </c>
      <c r="H1294" s="388" t="s">
        <v>11882</v>
      </c>
      <c r="I1294" s="387" t="s">
        <v>12362</v>
      </c>
      <c r="J1294" s="389">
        <v>41890</v>
      </c>
      <c r="K1294" s="387" t="s">
        <v>12363</v>
      </c>
      <c r="L1294" s="387"/>
      <c r="M1294" s="387" t="s">
        <v>10084</v>
      </c>
      <c r="N1294" s="387"/>
      <c r="O1294" s="387" t="s">
        <v>57</v>
      </c>
      <c r="P1294" s="390">
        <v>2485466107</v>
      </c>
      <c r="Q1294" s="387" t="s">
        <v>12364</v>
      </c>
      <c r="R1294" s="387" t="s">
        <v>419</v>
      </c>
      <c r="S1294" s="340">
        <v>19</v>
      </c>
    </row>
    <row r="1295" spans="1:19" ht="29.5" thickBot="1" x14ac:dyDescent="0.4">
      <c r="A1295" s="357">
        <v>1284</v>
      </c>
      <c r="B1295" s="387" t="s">
        <v>10155</v>
      </c>
      <c r="C1295" s="387" t="s">
        <v>10156</v>
      </c>
      <c r="D1295" s="388" t="s">
        <v>59</v>
      </c>
      <c r="E1295" s="388" t="s">
        <v>10082</v>
      </c>
      <c r="F1295" s="388" t="s">
        <v>10078</v>
      </c>
      <c r="G1295" s="388" t="s">
        <v>10088</v>
      </c>
      <c r="H1295" s="388" t="s">
        <v>12253</v>
      </c>
      <c r="I1295" s="387" t="s">
        <v>12365</v>
      </c>
      <c r="J1295" s="389">
        <v>40616</v>
      </c>
      <c r="K1295" s="387" t="s">
        <v>12366</v>
      </c>
      <c r="L1295" s="387"/>
      <c r="M1295" s="387"/>
      <c r="N1295" s="387"/>
      <c r="O1295" s="387" t="s">
        <v>44</v>
      </c>
      <c r="P1295" s="390">
        <v>180151300</v>
      </c>
      <c r="Q1295" s="387" t="s">
        <v>12367</v>
      </c>
      <c r="R1295" s="387" t="s">
        <v>419</v>
      </c>
      <c r="S1295" s="340">
        <v>19</v>
      </c>
    </row>
    <row r="1296" spans="1:19" ht="43.5" x14ac:dyDescent="0.35">
      <c r="A1296" s="349">
        <v>1285</v>
      </c>
      <c r="B1296" s="387" t="s">
        <v>10486</v>
      </c>
      <c r="C1296" s="387" t="s">
        <v>10487</v>
      </c>
      <c r="D1296" s="388" t="s">
        <v>51</v>
      </c>
      <c r="E1296" s="388" t="s">
        <v>10082</v>
      </c>
      <c r="F1296" s="388" t="s">
        <v>10078</v>
      </c>
      <c r="G1296" s="388" t="s">
        <v>10078</v>
      </c>
      <c r="H1296" s="388" t="s">
        <v>8951</v>
      </c>
      <c r="I1296" s="387" t="s">
        <v>12368</v>
      </c>
      <c r="J1296" s="389">
        <v>43790</v>
      </c>
      <c r="K1296" s="387" t="s">
        <v>12369</v>
      </c>
      <c r="L1296" s="387"/>
      <c r="M1296" s="387" t="s">
        <v>10084</v>
      </c>
      <c r="N1296" s="387"/>
      <c r="O1296" s="387" t="s">
        <v>57</v>
      </c>
      <c r="P1296" s="390">
        <v>34605000</v>
      </c>
      <c r="Q1296" s="387" t="s">
        <v>12370</v>
      </c>
      <c r="R1296" s="387" t="s">
        <v>419</v>
      </c>
      <c r="S1296" s="340">
        <v>19</v>
      </c>
    </row>
    <row r="1297" spans="1:19" ht="29.5" thickBot="1" x14ac:dyDescent="0.4">
      <c r="A1297" s="357">
        <v>1286</v>
      </c>
      <c r="B1297" s="387" t="s">
        <v>10687</v>
      </c>
      <c r="C1297" s="387" t="s">
        <v>10688</v>
      </c>
      <c r="D1297" s="388" t="s">
        <v>51</v>
      </c>
      <c r="E1297" s="388" t="s">
        <v>10082</v>
      </c>
      <c r="F1297" s="388" t="s">
        <v>10078</v>
      </c>
      <c r="G1297" s="388" t="s">
        <v>10078</v>
      </c>
      <c r="H1297" s="388" t="s">
        <v>11318</v>
      </c>
      <c r="I1297" s="387" t="s">
        <v>12371</v>
      </c>
      <c r="J1297" s="389">
        <v>42703</v>
      </c>
      <c r="K1297" s="387" t="s">
        <v>12372</v>
      </c>
      <c r="L1297" s="387"/>
      <c r="M1297" s="387" t="s">
        <v>10084</v>
      </c>
      <c r="N1297" s="387"/>
      <c r="O1297" s="387" t="s">
        <v>57</v>
      </c>
      <c r="P1297" s="390">
        <v>49279000</v>
      </c>
      <c r="Q1297" s="387" t="s">
        <v>11907</v>
      </c>
      <c r="R1297" s="387" t="s">
        <v>419</v>
      </c>
      <c r="S1297" s="340">
        <v>19</v>
      </c>
    </row>
    <row r="1298" spans="1:19" ht="29" x14ac:dyDescent="0.35">
      <c r="A1298" s="349">
        <v>1287</v>
      </c>
      <c r="B1298" s="387" t="s">
        <v>10511</v>
      </c>
      <c r="C1298" s="387" t="s">
        <v>10512</v>
      </c>
      <c r="D1298" s="388" t="s">
        <v>51</v>
      </c>
      <c r="E1298" s="388" t="s">
        <v>10082</v>
      </c>
      <c r="F1298" s="388" t="s">
        <v>10078</v>
      </c>
      <c r="G1298" s="388" t="s">
        <v>10078</v>
      </c>
      <c r="H1298" s="388" t="s">
        <v>2972</v>
      </c>
      <c r="I1298" s="387" t="s">
        <v>12373</v>
      </c>
      <c r="J1298" s="389">
        <v>43446</v>
      </c>
      <c r="K1298" s="387" t="s">
        <v>12374</v>
      </c>
      <c r="L1298" s="387"/>
      <c r="M1298" s="387" t="s">
        <v>10084</v>
      </c>
      <c r="N1298" s="387"/>
      <c r="O1298" s="387" t="s">
        <v>57</v>
      </c>
      <c r="P1298" s="390">
        <v>9000000</v>
      </c>
      <c r="Q1298" s="387" t="s">
        <v>12375</v>
      </c>
      <c r="R1298" s="387" t="s">
        <v>419</v>
      </c>
      <c r="S1298" s="340">
        <v>19</v>
      </c>
    </row>
    <row r="1299" spans="1:19" ht="29.5" thickBot="1" x14ac:dyDescent="0.4">
      <c r="A1299" s="357">
        <v>1288</v>
      </c>
      <c r="B1299" s="387" t="s">
        <v>10511</v>
      </c>
      <c r="C1299" s="387" t="s">
        <v>10512</v>
      </c>
      <c r="D1299" s="388" t="s">
        <v>59</v>
      </c>
      <c r="E1299" s="388" t="s">
        <v>10082</v>
      </c>
      <c r="F1299" s="388" t="s">
        <v>10078</v>
      </c>
      <c r="G1299" s="388" t="s">
        <v>10078</v>
      </c>
      <c r="H1299" s="388" t="s">
        <v>2972</v>
      </c>
      <c r="I1299" s="387" t="s">
        <v>12376</v>
      </c>
      <c r="J1299" s="389">
        <v>43783</v>
      </c>
      <c r="K1299" s="387" t="s">
        <v>12377</v>
      </c>
      <c r="L1299" s="387"/>
      <c r="M1299" s="387" t="s">
        <v>10084</v>
      </c>
      <c r="N1299" s="387"/>
      <c r="O1299" s="387" t="s">
        <v>57</v>
      </c>
      <c r="P1299" s="390">
        <v>7500000</v>
      </c>
      <c r="Q1299" s="387" t="s">
        <v>12378</v>
      </c>
      <c r="R1299" s="387" t="s">
        <v>419</v>
      </c>
      <c r="S1299" s="340">
        <v>19</v>
      </c>
    </row>
    <row r="1300" spans="1:19" ht="29" x14ac:dyDescent="0.35">
      <c r="A1300" s="349">
        <v>1289</v>
      </c>
      <c r="B1300" s="387" t="s">
        <v>10096</v>
      </c>
      <c r="C1300" s="387" t="s">
        <v>10097</v>
      </c>
      <c r="D1300" s="388" t="s">
        <v>59</v>
      </c>
      <c r="E1300" s="388" t="s">
        <v>10082</v>
      </c>
      <c r="F1300" s="388" t="s">
        <v>10078</v>
      </c>
      <c r="G1300" s="388" t="s">
        <v>10078</v>
      </c>
      <c r="H1300" s="388" t="s">
        <v>12379</v>
      </c>
      <c r="I1300" s="387" t="s">
        <v>12376</v>
      </c>
      <c r="J1300" s="389">
        <v>43766</v>
      </c>
      <c r="K1300" s="387" t="s">
        <v>12380</v>
      </c>
      <c r="L1300" s="387"/>
      <c r="M1300" s="387" t="s">
        <v>10084</v>
      </c>
      <c r="N1300" s="387"/>
      <c r="O1300" s="387" t="s">
        <v>57</v>
      </c>
      <c r="P1300" s="390">
        <v>5480000</v>
      </c>
      <c r="Q1300" s="387" t="s">
        <v>12381</v>
      </c>
      <c r="R1300" s="387" t="s">
        <v>419</v>
      </c>
      <c r="S1300" s="340">
        <v>19</v>
      </c>
    </row>
    <row r="1301" spans="1:19" ht="160" thickBot="1" x14ac:dyDescent="0.4">
      <c r="A1301" s="357">
        <v>1290</v>
      </c>
      <c r="B1301" s="387" t="s">
        <v>10096</v>
      </c>
      <c r="C1301" s="387" t="s">
        <v>10097</v>
      </c>
      <c r="D1301" s="388" t="s">
        <v>97</v>
      </c>
      <c r="E1301" s="388" t="s">
        <v>10082</v>
      </c>
      <c r="F1301" s="388" t="s">
        <v>10078</v>
      </c>
      <c r="G1301" s="388" t="s">
        <v>10088</v>
      </c>
      <c r="H1301" s="388"/>
      <c r="I1301" s="387" t="s">
        <v>12382</v>
      </c>
      <c r="J1301" s="389">
        <v>45121</v>
      </c>
      <c r="K1301" s="387" t="s">
        <v>12383</v>
      </c>
      <c r="L1301" s="387"/>
      <c r="M1301" s="387" t="s">
        <v>10084</v>
      </c>
      <c r="N1301" s="387"/>
      <c r="O1301" s="387" t="s">
        <v>44</v>
      </c>
      <c r="P1301" s="390">
        <v>99770000</v>
      </c>
      <c r="Q1301" s="387" t="s">
        <v>12384</v>
      </c>
      <c r="R1301" s="387" t="s">
        <v>419</v>
      </c>
      <c r="S1301" s="340">
        <v>19</v>
      </c>
    </row>
    <row r="1302" spans="1:19" ht="29" x14ac:dyDescent="0.35">
      <c r="A1302" s="349">
        <v>1291</v>
      </c>
      <c r="B1302" s="387" t="s">
        <v>10155</v>
      </c>
      <c r="C1302" s="387" t="s">
        <v>10156</v>
      </c>
      <c r="D1302" s="388" t="s">
        <v>51</v>
      </c>
      <c r="E1302" s="388" t="s">
        <v>10082</v>
      </c>
      <c r="F1302" s="388" t="s">
        <v>10078</v>
      </c>
      <c r="G1302" s="388" t="s">
        <v>10088</v>
      </c>
      <c r="H1302" s="388" t="s">
        <v>82</v>
      </c>
      <c r="I1302" s="387" t="s">
        <v>12385</v>
      </c>
      <c r="J1302" s="389">
        <v>41536</v>
      </c>
      <c r="K1302" s="387" t="s">
        <v>12386</v>
      </c>
      <c r="L1302" s="387"/>
      <c r="M1302" s="387" t="s">
        <v>10084</v>
      </c>
      <c r="N1302" s="387"/>
      <c r="O1302" s="387" t="s">
        <v>57</v>
      </c>
      <c r="P1302" s="390">
        <v>324608000</v>
      </c>
      <c r="Q1302" s="387" t="s">
        <v>12387</v>
      </c>
      <c r="R1302" s="387" t="s">
        <v>440</v>
      </c>
      <c r="S1302" s="340">
        <v>20</v>
      </c>
    </row>
    <row r="1303" spans="1:19" ht="29.5" thickBot="1" x14ac:dyDescent="0.4">
      <c r="A1303" s="357">
        <v>1292</v>
      </c>
      <c r="B1303" s="387" t="s">
        <v>10155</v>
      </c>
      <c r="C1303" s="387" t="s">
        <v>10156</v>
      </c>
      <c r="D1303" s="388" t="s">
        <v>59</v>
      </c>
      <c r="E1303" s="388" t="s">
        <v>10082</v>
      </c>
      <c r="F1303" s="388" t="s">
        <v>10078</v>
      </c>
      <c r="G1303" s="388" t="s">
        <v>10088</v>
      </c>
      <c r="H1303" s="388" t="s">
        <v>12388</v>
      </c>
      <c r="I1303" s="387" t="s">
        <v>8836</v>
      </c>
      <c r="J1303" s="389">
        <v>40005</v>
      </c>
      <c r="K1303" s="387" t="s">
        <v>12389</v>
      </c>
      <c r="L1303" s="387"/>
      <c r="M1303" s="387" t="s">
        <v>10084</v>
      </c>
      <c r="N1303" s="387"/>
      <c r="O1303" s="387" t="s">
        <v>57</v>
      </c>
      <c r="P1303" s="390">
        <v>183007500</v>
      </c>
      <c r="Q1303" s="387" t="s">
        <v>12390</v>
      </c>
      <c r="R1303" s="387" t="s">
        <v>440</v>
      </c>
      <c r="S1303" s="340">
        <v>20</v>
      </c>
    </row>
    <row r="1304" spans="1:19" ht="29" x14ac:dyDescent="0.35">
      <c r="A1304" s="349">
        <v>1293</v>
      </c>
      <c r="B1304" s="387" t="s">
        <v>10155</v>
      </c>
      <c r="C1304" s="387" t="s">
        <v>10156</v>
      </c>
      <c r="D1304" s="388" t="s">
        <v>97</v>
      </c>
      <c r="E1304" s="388" t="s">
        <v>10082</v>
      </c>
      <c r="F1304" s="388" t="s">
        <v>10078</v>
      </c>
      <c r="G1304" s="388" t="s">
        <v>10088</v>
      </c>
      <c r="H1304" s="388" t="s">
        <v>12388</v>
      </c>
      <c r="I1304" s="387" t="s">
        <v>8836</v>
      </c>
      <c r="J1304" s="389">
        <v>40005</v>
      </c>
      <c r="K1304" s="387" t="s">
        <v>12391</v>
      </c>
      <c r="L1304" s="387"/>
      <c r="M1304" s="387" t="s">
        <v>10084</v>
      </c>
      <c r="N1304" s="387"/>
      <c r="O1304" s="387" t="s">
        <v>57</v>
      </c>
      <c r="P1304" s="390">
        <v>185466000</v>
      </c>
      <c r="Q1304" s="387" t="s">
        <v>12390</v>
      </c>
      <c r="R1304" s="387" t="s">
        <v>440</v>
      </c>
      <c r="S1304" s="340">
        <v>20</v>
      </c>
    </row>
    <row r="1305" spans="1:19" ht="29.5" thickBot="1" x14ac:dyDescent="0.4">
      <c r="A1305" s="357">
        <v>1294</v>
      </c>
      <c r="B1305" s="387" t="s">
        <v>10155</v>
      </c>
      <c r="C1305" s="387" t="s">
        <v>10156</v>
      </c>
      <c r="D1305" s="388" t="s">
        <v>101</v>
      </c>
      <c r="E1305" s="388" t="s">
        <v>10082</v>
      </c>
      <c r="F1305" s="388" t="s">
        <v>10071</v>
      </c>
      <c r="G1305" s="388" t="s">
        <v>10088</v>
      </c>
      <c r="H1305" s="388" t="s">
        <v>12388</v>
      </c>
      <c r="I1305" s="387" t="s">
        <v>8836</v>
      </c>
      <c r="J1305" s="389">
        <v>40005</v>
      </c>
      <c r="K1305" s="387" t="s">
        <v>12391</v>
      </c>
      <c r="L1305" s="387"/>
      <c r="M1305" s="387" t="s">
        <v>10084</v>
      </c>
      <c r="N1305" s="387"/>
      <c r="O1305" s="387" t="s">
        <v>57</v>
      </c>
      <c r="P1305" s="390">
        <v>185466000</v>
      </c>
      <c r="Q1305" s="387" t="s">
        <v>12390</v>
      </c>
      <c r="R1305" s="387" t="s">
        <v>440</v>
      </c>
      <c r="S1305" s="340">
        <v>20</v>
      </c>
    </row>
    <row r="1306" spans="1:19" ht="29" x14ac:dyDescent="0.35">
      <c r="A1306" s="349">
        <v>1295</v>
      </c>
      <c r="B1306" s="387" t="s">
        <v>10155</v>
      </c>
      <c r="C1306" s="387" t="s">
        <v>10156</v>
      </c>
      <c r="D1306" s="388" t="s">
        <v>107</v>
      </c>
      <c r="E1306" s="388" t="s">
        <v>10082</v>
      </c>
      <c r="F1306" s="388" t="s">
        <v>10078</v>
      </c>
      <c r="G1306" s="388" t="s">
        <v>10088</v>
      </c>
      <c r="H1306" s="388" t="s">
        <v>12388</v>
      </c>
      <c r="I1306" s="387" t="s">
        <v>8836</v>
      </c>
      <c r="J1306" s="389">
        <v>40005</v>
      </c>
      <c r="K1306" s="387" t="s">
        <v>12391</v>
      </c>
      <c r="L1306" s="387"/>
      <c r="M1306" s="387" t="s">
        <v>10084</v>
      </c>
      <c r="N1306" s="387"/>
      <c r="O1306" s="387" t="s">
        <v>57</v>
      </c>
      <c r="P1306" s="390">
        <v>185466000</v>
      </c>
      <c r="Q1306" s="387" t="s">
        <v>12390</v>
      </c>
      <c r="R1306" s="387" t="s">
        <v>440</v>
      </c>
      <c r="S1306" s="340">
        <v>20</v>
      </c>
    </row>
    <row r="1307" spans="1:19" ht="29.5" thickBot="1" x14ac:dyDescent="0.4">
      <c r="A1307" s="357">
        <v>1296</v>
      </c>
      <c r="B1307" s="387" t="s">
        <v>10155</v>
      </c>
      <c r="C1307" s="387" t="s">
        <v>10156</v>
      </c>
      <c r="D1307" s="388" t="s">
        <v>112</v>
      </c>
      <c r="E1307" s="388" t="s">
        <v>10082</v>
      </c>
      <c r="F1307" s="388" t="s">
        <v>10078</v>
      </c>
      <c r="G1307" s="388" t="s">
        <v>10088</v>
      </c>
      <c r="H1307" s="388" t="s">
        <v>3375</v>
      </c>
      <c r="I1307" s="387" t="s">
        <v>8836</v>
      </c>
      <c r="J1307" s="389">
        <v>39998</v>
      </c>
      <c r="K1307" s="387" t="s">
        <v>12389</v>
      </c>
      <c r="L1307" s="387"/>
      <c r="M1307" s="387" t="s">
        <v>10084</v>
      </c>
      <c r="N1307" s="387"/>
      <c r="O1307" s="387" t="s">
        <v>57</v>
      </c>
      <c r="P1307" s="390">
        <v>183007500</v>
      </c>
      <c r="Q1307" s="387" t="s">
        <v>12390</v>
      </c>
      <c r="R1307" s="387" t="s">
        <v>440</v>
      </c>
      <c r="S1307" s="340">
        <v>20</v>
      </c>
    </row>
    <row r="1308" spans="1:19" ht="29" x14ac:dyDescent="0.35">
      <c r="A1308" s="349">
        <v>1297</v>
      </c>
      <c r="B1308" s="387" t="s">
        <v>10155</v>
      </c>
      <c r="C1308" s="387" t="s">
        <v>10156</v>
      </c>
      <c r="D1308" s="388" t="s">
        <v>116</v>
      </c>
      <c r="E1308" s="388" t="s">
        <v>10082</v>
      </c>
      <c r="F1308" s="388" t="s">
        <v>10078</v>
      </c>
      <c r="G1308" s="388" t="s">
        <v>10088</v>
      </c>
      <c r="H1308" s="388" t="s">
        <v>12392</v>
      </c>
      <c r="I1308" s="387" t="s">
        <v>8836</v>
      </c>
      <c r="J1308" s="389">
        <v>40005</v>
      </c>
      <c r="K1308" s="387" t="s">
        <v>12391</v>
      </c>
      <c r="L1308" s="387"/>
      <c r="M1308" s="387" t="s">
        <v>10084</v>
      </c>
      <c r="N1308" s="387"/>
      <c r="O1308" s="387" t="s">
        <v>57</v>
      </c>
      <c r="P1308" s="390">
        <v>504202000</v>
      </c>
      <c r="Q1308" s="387" t="s">
        <v>12393</v>
      </c>
      <c r="R1308" s="387" t="s">
        <v>440</v>
      </c>
      <c r="S1308" s="340">
        <v>20</v>
      </c>
    </row>
    <row r="1309" spans="1:19" ht="29.5" thickBot="1" x14ac:dyDescent="0.4">
      <c r="A1309" s="357">
        <v>1298</v>
      </c>
      <c r="B1309" s="387" t="s">
        <v>10535</v>
      </c>
      <c r="C1309" s="387" t="s">
        <v>10536</v>
      </c>
      <c r="D1309" s="388" t="s">
        <v>51</v>
      </c>
      <c r="E1309" s="388" t="s">
        <v>10082</v>
      </c>
      <c r="F1309" s="388" t="s">
        <v>10078</v>
      </c>
      <c r="G1309" s="388" t="s">
        <v>10078</v>
      </c>
      <c r="H1309" s="388" t="s">
        <v>12394</v>
      </c>
      <c r="I1309" s="387" t="s">
        <v>11286</v>
      </c>
      <c r="J1309" s="389">
        <v>38817</v>
      </c>
      <c r="K1309" s="387" t="s">
        <v>12395</v>
      </c>
      <c r="L1309" s="387"/>
      <c r="M1309" s="387" t="s">
        <v>10084</v>
      </c>
      <c r="N1309" s="387"/>
      <c r="O1309" s="387" t="s">
        <v>57</v>
      </c>
      <c r="P1309" s="390">
        <v>26975000</v>
      </c>
      <c r="Q1309" s="387" t="s">
        <v>12396</v>
      </c>
      <c r="R1309" s="387" t="s">
        <v>440</v>
      </c>
      <c r="S1309" s="340">
        <v>20</v>
      </c>
    </row>
    <row r="1310" spans="1:19" ht="29" x14ac:dyDescent="0.35">
      <c r="A1310" s="349">
        <v>1299</v>
      </c>
      <c r="B1310" s="387" t="s">
        <v>10535</v>
      </c>
      <c r="C1310" s="387" t="s">
        <v>10536</v>
      </c>
      <c r="D1310" s="388" t="s">
        <v>59</v>
      </c>
      <c r="E1310" s="388" t="s">
        <v>10082</v>
      </c>
      <c r="F1310" s="388" t="s">
        <v>10078</v>
      </c>
      <c r="G1310" s="388" t="s">
        <v>10078</v>
      </c>
      <c r="H1310" s="388" t="s">
        <v>11364</v>
      </c>
      <c r="I1310" s="387" t="s">
        <v>12397</v>
      </c>
      <c r="J1310" s="389">
        <v>39007</v>
      </c>
      <c r="K1310" s="387" t="s">
        <v>12398</v>
      </c>
      <c r="L1310" s="387"/>
      <c r="M1310" s="387" t="s">
        <v>10084</v>
      </c>
      <c r="N1310" s="387"/>
      <c r="O1310" s="387" t="s">
        <v>57</v>
      </c>
      <c r="P1310" s="390">
        <v>71514000</v>
      </c>
      <c r="Q1310" s="387" t="s">
        <v>12399</v>
      </c>
      <c r="R1310" s="387" t="s">
        <v>440</v>
      </c>
      <c r="S1310" s="340">
        <v>20</v>
      </c>
    </row>
    <row r="1311" spans="1:19" ht="29.5" thickBot="1" x14ac:dyDescent="0.4">
      <c r="A1311" s="357">
        <v>1300</v>
      </c>
      <c r="B1311" s="387" t="s">
        <v>10535</v>
      </c>
      <c r="C1311" s="387" t="s">
        <v>10536</v>
      </c>
      <c r="D1311" s="388" t="s">
        <v>97</v>
      </c>
      <c r="E1311" s="388" t="s">
        <v>10082</v>
      </c>
      <c r="F1311" s="388" t="s">
        <v>10078</v>
      </c>
      <c r="G1311" s="388" t="s">
        <v>10078</v>
      </c>
      <c r="H1311" s="388" t="s">
        <v>12400</v>
      </c>
      <c r="I1311" s="387" t="s">
        <v>12401</v>
      </c>
      <c r="J1311" s="389">
        <v>44089</v>
      </c>
      <c r="K1311" s="387" t="s">
        <v>12402</v>
      </c>
      <c r="L1311" s="387"/>
      <c r="M1311" s="387" t="s">
        <v>10084</v>
      </c>
      <c r="N1311" s="387"/>
      <c r="O1311" s="387" t="s">
        <v>57</v>
      </c>
      <c r="P1311" s="390">
        <v>1072237000</v>
      </c>
      <c r="Q1311" s="387" t="s">
        <v>12403</v>
      </c>
      <c r="R1311" s="387" t="s">
        <v>440</v>
      </c>
      <c r="S1311" s="340">
        <v>20</v>
      </c>
    </row>
    <row r="1312" spans="1:19" ht="29" x14ac:dyDescent="0.35">
      <c r="A1312" s="349">
        <v>1301</v>
      </c>
      <c r="B1312" s="387" t="s">
        <v>10541</v>
      </c>
      <c r="C1312" s="387" t="s">
        <v>10542</v>
      </c>
      <c r="D1312" s="388" t="s">
        <v>51</v>
      </c>
      <c r="E1312" s="388" t="s">
        <v>10082</v>
      </c>
      <c r="F1312" s="388" t="s">
        <v>10078</v>
      </c>
      <c r="G1312" s="388" t="s">
        <v>10088</v>
      </c>
      <c r="H1312" s="388" t="s">
        <v>11333</v>
      </c>
      <c r="I1312" s="387" t="s">
        <v>12404</v>
      </c>
      <c r="J1312" s="389">
        <v>41593</v>
      </c>
      <c r="K1312" s="387" t="s">
        <v>12405</v>
      </c>
      <c r="L1312" s="387"/>
      <c r="M1312" s="387" t="s">
        <v>10084</v>
      </c>
      <c r="N1312" s="387"/>
      <c r="O1312" s="387" t="s">
        <v>57</v>
      </c>
      <c r="P1312" s="390">
        <v>24500000</v>
      </c>
      <c r="Q1312" s="387" t="s">
        <v>12406</v>
      </c>
      <c r="R1312" s="387" t="s">
        <v>440</v>
      </c>
      <c r="S1312" s="340">
        <v>20</v>
      </c>
    </row>
    <row r="1313" spans="1:19" ht="29.5" thickBot="1" x14ac:dyDescent="0.4">
      <c r="A1313" s="357">
        <v>1302</v>
      </c>
      <c r="B1313" s="387" t="s">
        <v>11224</v>
      </c>
      <c r="C1313" s="387" t="s">
        <v>11225</v>
      </c>
      <c r="D1313" s="388" t="s">
        <v>51</v>
      </c>
      <c r="E1313" s="388" t="s">
        <v>10082</v>
      </c>
      <c r="F1313" s="388" t="s">
        <v>10078</v>
      </c>
      <c r="G1313" s="388" t="s">
        <v>10088</v>
      </c>
      <c r="H1313" s="388" t="s">
        <v>12407</v>
      </c>
      <c r="I1313" s="387" t="s">
        <v>9591</v>
      </c>
      <c r="J1313" s="389">
        <v>38815</v>
      </c>
      <c r="K1313" s="387" t="s">
        <v>12408</v>
      </c>
      <c r="L1313" s="387"/>
      <c r="M1313" s="387" t="s">
        <v>10084</v>
      </c>
      <c r="N1313" s="387"/>
      <c r="O1313" s="387" t="s">
        <v>57</v>
      </c>
      <c r="P1313" s="390">
        <v>48892000</v>
      </c>
      <c r="Q1313" s="387" t="s">
        <v>12409</v>
      </c>
      <c r="R1313" s="387" t="s">
        <v>440</v>
      </c>
      <c r="S1313" s="340">
        <v>20</v>
      </c>
    </row>
    <row r="1314" spans="1:19" ht="29" x14ac:dyDescent="0.35">
      <c r="A1314" s="349">
        <v>1303</v>
      </c>
      <c r="B1314" s="387" t="s">
        <v>12410</v>
      </c>
      <c r="C1314" s="387" t="s">
        <v>12411</v>
      </c>
      <c r="D1314" s="388" t="s">
        <v>51</v>
      </c>
      <c r="E1314" s="388" t="s">
        <v>10082</v>
      </c>
      <c r="F1314" s="388" t="s">
        <v>10078</v>
      </c>
      <c r="G1314" s="388" t="s">
        <v>10078</v>
      </c>
      <c r="H1314" s="388" t="s">
        <v>11349</v>
      </c>
      <c r="I1314" s="387" t="s">
        <v>12412</v>
      </c>
      <c r="J1314" s="389"/>
      <c r="K1314" s="387"/>
      <c r="L1314" s="387"/>
      <c r="M1314" s="387" t="s">
        <v>10084</v>
      </c>
      <c r="N1314" s="387"/>
      <c r="O1314" s="387" t="s">
        <v>57</v>
      </c>
      <c r="P1314" s="390">
        <v>22236000</v>
      </c>
      <c r="Q1314" s="387" t="s">
        <v>12413</v>
      </c>
      <c r="R1314" s="387" t="s">
        <v>440</v>
      </c>
      <c r="S1314" s="340">
        <v>20</v>
      </c>
    </row>
    <row r="1315" spans="1:19" ht="44" thickBot="1" x14ac:dyDescent="0.4">
      <c r="A1315" s="357">
        <v>1304</v>
      </c>
      <c r="B1315" s="387" t="s">
        <v>10475</v>
      </c>
      <c r="C1315" s="387" t="s">
        <v>10476</v>
      </c>
      <c r="D1315" s="388" t="s">
        <v>51</v>
      </c>
      <c r="E1315" s="388" t="s">
        <v>10082</v>
      </c>
      <c r="F1315" s="388" t="s">
        <v>10078</v>
      </c>
      <c r="G1315" s="388" t="s">
        <v>10078</v>
      </c>
      <c r="H1315" s="388" t="s">
        <v>12414</v>
      </c>
      <c r="I1315" s="387" t="s">
        <v>12415</v>
      </c>
      <c r="J1315" s="389">
        <v>43663</v>
      </c>
      <c r="K1315" s="387" t="s">
        <v>12416</v>
      </c>
      <c r="L1315" s="387"/>
      <c r="M1315" s="387" t="s">
        <v>10084</v>
      </c>
      <c r="N1315" s="387"/>
      <c r="O1315" s="387" t="s">
        <v>57</v>
      </c>
      <c r="P1315" s="390">
        <v>352760000</v>
      </c>
      <c r="Q1315" s="387" t="s">
        <v>12417</v>
      </c>
      <c r="R1315" s="387" t="s">
        <v>440</v>
      </c>
      <c r="S1315" s="340">
        <v>20</v>
      </c>
    </row>
    <row r="1316" spans="1:19" ht="29" x14ac:dyDescent="0.35">
      <c r="A1316" s="349">
        <v>1305</v>
      </c>
      <c r="B1316" s="387" t="s">
        <v>10481</v>
      </c>
      <c r="C1316" s="387" t="s">
        <v>10482</v>
      </c>
      <c r="D1316" s="388" t="s">
        <v>51</v>
      </c>
      <c r="E1316" s="388" t="s">
        <v>10082</v>
      </c>
      <c r="F1316" s="388" t="s">
        <v>10078</v>
      </c>
      <c r="G1316" s="388" t="s">
        <v>10088</v>
      </c>
      <c r="H1316" s="388" t="s">
        <v>1433</v>
      </c>
      <c r="I1316" s="387" t="s">
        <v>8836</v>
      </c>
      <c r="J1316" s="389">
        <v>40005</v>
      </c>
      <c r="K1316" s="387" t="s">
        <v>12389</v>
      </c>
      <c r="L1316" s="387"/>
      <c r="M1316" s="387" t="s">
        <v>10084</v>
      </c>
      <c r="N1316" s="387"/>
      <c r="O1316" s="387" t="s">
        <v>57</v>
      </c>
      <c r="P1316" s="390">
        <v>407616600</v>
      </c>
      <c r="Q1316" s="387" t="s">
        <v>12418</v>
      </c>
      <c r="R1316" s="387" t="s">
        <v>440</v>
      </c>
      <c r="S1316" s="340">
        <v>20</v>
      </c>
    </row>
    <row r="1317" spans="1:19" ht="29.5" thickBot="1" x14ac:dyDescent="0.4">
      <c r="A1317" s="357">
        <v>1306</v>
      </c>
      <c r="B1317" s="387" t="s">
        <v>10481</v>
      </c>
      <c r="C1317" s="387" t="s">
        <v>10482</v>
      </c>
      <c r="D1317" s="388" t="s">
        <v>59</v>
      </c>
      <c r="E1317" s="388" t="s">
        <v>10082</v>
      </c>
      <c r="F1317" s="388" t="s">
        <v>10078</v>
      </c>
      <c r="G1317" s="388" t="s">
        <v>10088</v>
      </c>
      <c r="H1317" s="388" t="s">
        <v>11870</v>
      </c>
      <c r="I1317" s="387" t="s">
        <v>12419</v>
      </c>
      <c r="J1317" s="389"/>
      <c r="K1317" s="387" t="s">
        <v>12420</v>
      </c>
      <c r="L1317" s="387"/>
      <c r="M1317" s="387" t="s">
        <v>10084</v>
      </c>
      <c r="N1317" s="387"/>
      <c r="O1317" s="387" t="s">
        <v>57</v>
      </c>
      <c r="P1317" s="390">
        <v>65518000</v>
      </c>
      <c r="Q1317" s="387" t="s">
        <v>12421</v>
      </c>
      <c r="R1317" s="387" t="s">
        <v>440</v>
      </c>
      <c r="S1317" s="340">
        <v>20</v>
      </c>
    </row>
    <row r="1318" spans="1:19" ht="29" x14ac:dyDescent="0.35">
      <c r="A1318" s="349">
        <v>1307</v>
      </c>
      <c r="B1318" s="387" t="s">
        <v>11301</v>
      </c>
      <c r="C1318" s="387" t="s">
        <v>11302</v>
      </c>
      <c r="D1318" s="388" t="s">
        <v>51</v>
      </c>
      <c r="E1318" s="388" t="s">
        <v>10082</v>
      </c>
      <c r="F1318" s="388" t="s">
        <v>10078</v>
      </c>
      <c r="G1318" s="388" t="s">
        <v>10078</v>
      </c>
      <c r="H1318" s="388" t="s">
        <v>11686</v>
      </c>
      <c r="I1318" s="387" t="s">
        <v>12397</v>
      </c>
      <c r="J1318" s="389">
        <v>39011</v>
      </c>
      <c r="K1318" s="387" t="s">
        <v>12422</v>
      </c>
      <c r="L1318" s="387"/>
      <c r="M1318" s="387" t="s">
        <v>10084</v>
      </c>
      <c r="N1318" s="387"/>
      <c r="O1318" s="387" t="s">
        <v>57</v>
      </c>
      <c r="P1318" s="390">
        <v>281335000</v>
      </c>
      <c r="Q1318" s="387" t="s">
        <v>12423</v>
      </c>
      <c r="R1318" s="387" t="s">
        <v>440</v>
      </c>
      <c r="S1318" s="340">
        <v>20</v>
      </c>
    </row>
    <row r="1319" spans="1:19" ht="29.5" thickBot="1" x14ac:dyDescent="0.4">
      <c r="A1319" s="357">
        <v>1308</v>
      </c>
      <c r="B1319" s="387" t="s">
        <v>11301</v>
      </c>
      <c r="C1319" s="387" t="s">
        <v>11302</v>
      </c>
      <c r="D1319" s="388" t="s">
        <v>59</v>
      </c>
      <c r="E1319" s="388" t="s">
        <v>10082</v>
      </c>
      <c r="F1319" s="388" t="s">
        <v>10078</v>
      </c>
      <c r="G1319" s="388" t="s">
        <v>10088</v>
      </c>
      <c r="H1319" s="388" t="s">
        <v>12424</v>
      </c>
      <c r="I1319" s="387" t="s">
        <v>12425</v>
      </c>
      <c r="J1319" s="389">
        <v>38815</v>
      </c>
      <c r="K1319" s="387" t="s">
        <v>12426</v>
      </c>
      <c r="L1319" s="387"/>
      <c r="M1319" s="387" t="s">
        <v>10084</v>
      </c>
      <c r="N1319" s="387"/>
      <c r="O1319" s="387" t="s">
        <v>57</v>
      </c>
      <c r="P1319" s="390">
        <v>878103500</v>
      </c>
      <c r="Q1319" s="387" t="s">
        <v>12427</v>
      </c>
      <c r="R1319" s="387" t="s">
        <v>440</v>
      </c>
      <c r="S1319" s="340">
        <v>20</v>
      </c>
    </row>
    <row r="1320" spans="1:19" ht="29" x14ac:dyDescent="0.35">
      <c r="A1320" s="349">
        <v>1309</v>
      </c>
      <c r="B1320" s="387" t="s">
        <v>11301</v>
      </c>
      <c r="C1320" s="387" t="s">
        <v>11302</v>
      </c>
      <c r="D1320" s="388" t="s">
        <v>97</v>
      </c>
      <c r="E1320" s="388" t="s">
        <v>10082</v>
      </c>
      <c r="F1320" s="388" t="s">
        <v>10078</v>
      </c>
      <c r="G1320" s="388" t="s">
        <v>10078</v>
      </c>
      <c r="H1320" s="388" t="s">
        <v>11960</v>
      </c>
      <c r="I1320" s="387" t="s">
        <v>9600</v>
      </c>
      <c r="J1320" s="389">
        <v>41207</v>
      </c>
      <c r="K1320" s="387" t="s">
        <v>12428</v>
      </c>
      <c r="L1320" s="387"/>
      <c r="M1320" s="387" t="s">
        <v>10084</v>
      </c>
      <c r="N1320" s="387"/>
      <c r="O1320" s="387" t="s">
        <v>57</v>
      </c>
      <c r="P1320" s="390">
        <v>201088000</v>
      </c>
      <c r="Q1320" s="387" t="s">
        <v>12429</v>
      </c>
      <c r="R1320" s="387" t="s">
        <v>440</v>
      </c>
      <c r="S1320" s="340">
        <v>20</v>
      </c>
    </row>
    <row r="1321" spans="1:19" ht="29.5" thickBot="1" x14ac:dyDescent="0.4">
      <c r="A1321" s="357">
        <v>1310</v>
      </c>
      <c r="B1321" s="387" t="s">
        <v>10110</v>
      </c>
      <c r="C1321" s="387" t="s">
        <v>10111</v>
      </c>
      <c r="D1321" s="388" t="s">
        <v>51</v>
      </c>
      <c r="E1321" s="388" t="s">
        <v>10082</v>
      </c>
      <c r="F1321" s="388" t="s">
        <v>10078</v>
      </c>
      <c r="G1321" s="388" t="s">
        <v>10088</v>
      </c>
      <c r="H1321" s="388" t="s">
        <v>12430</v>
      </c>
      <c r="I1321" s="387" t="s">
        <v>12425</v>
      </c>
      <c r="J1321" s="389"/>
      <c r="K1321" s="387" t="s">
        <v>12431</v>
      </c>
      <c r="L1321" s="387"/>
      <c r="M1321" s="387" t="s">
        <v>10084</v>
      </c>
      <c r="N1321" s="387"/>
      <c r="O1321" s="387" t="s">
        <v>57</v>
      </c>
      <c r="P1321" s="390">
        <v>42200000</v>
      </c>
      <c r="Q1321" s="387" t="s">
        <v>12432</v>
      </c>
      <c r="R1321" s="387" t="s">
        <v>440</v>
      </c>
      <c r="S1321" s="340">
        <v>20</v>
      </c>
    </row>
    <row r="1322" spans="1:19" ht="29" x14ac:dyDescent="0.35">
      <c r="A1322" s="349">
        <v>1311</v>
      </c>
      <c r="B1322" s="387" t="s">
        <v>10110</v>
      </c>
      <c r="C1322" s="387" t="s">
        <v>10111</v>
      </c>
      <c r="D1322" s="388" t="s">
        <v>59</v>
      </c>
      <c r="E1322" s="388" t="s">
        <v>10082</v>
      </c>
      <c r="F1322" s="388" t="s">
        <v>10078</v>
      </c>
      <c r="G1322" s="388" t="s">
        <v>10078</v>
      </c>
      <c r="H1322" s="388" t="s">
        <v>11332</v>
      </c>
      <c r="I1322" s="387" t="s">
        <v>12433</v>
      </c>
      <c r="J1322" s="389">
        <v>42124</v>
      </c>
      <c r="K1322" s="387" t="s">
        <v>12434</v>
      </c>
      <c r="L1322" s="387"/>
      <c r="M1322" s="387" t="s">
        <v>10084</v>
      </c>
      <c r="N1322" s="387"/>
      <c r="O1322" s="387" t="s">
        <v>57</v>
      </c>
      <c r="P1322" s="390">
        <v>38750000</v>
      </c>
      <c r="Q1322" s="387" t="s">
        <v>12435</v>
      </c>
      <c r="R1322" s="387" t="s">
        <v>440</v>
      </c>
      <c r="S1322" s="340">
        <v>20</v>
      </c>
    </row>
    <row r="1323" spans="1:19" ht="29.5" thickBot="1" x14ac:dyDescent="0.4">
      <c r="A1323" s="357">
        <v>1312</v>
      </c>
      <c r="B1323" s="387" t="s">
        <v>10682</v>
      </c>
      <c r="C1323" s="387" t="s">
        <v>10683</v>
      </c>
      <c r="D1323" s="388" t="s">
        <v>51</v>
      </c>
      <c r="E1323" s="388" t="s">
        <v>10082</v>
      </c>
      <c r="F1323" s="388" t="s">
        <v>10078</v>
      </c>
      <c r="G1323" s="388" t="s">
        <v>10088</v>
      </c>
      <c r="H1323" s="388" t="s">
        <v>12436</v>
      </c>
      <c r="I1323" s="387" t="s">
        <v>12437</v>
      </c>
      <c r="J1323" s="389">
        <v>39559</v>
      </c>
      <c r="K1323" s="387" t="s">
        <v>12438</v>
      </c>
      <c r="L1323" s="387"/>
      <c r="M1323" s="387" t="s">
        <v>10084</v>
      </c>
      <c r="N1323" s="387"/>
      <c r="O1323" s="387" t="s">
        <v>57</v>
      </c>
      <c r="P1323" s="390">
        <v>878750000</v>
      </c>
      <c r="Q1323" s="387" t="s">
        <v>12439</v>
      </c>
      <c r="R1323" s="387" t="s">
        <v>440</v>
      </c>
      <c r="S1323" s="340">
        <v>20</v>
      </c>
    </row>
    <row r="1324" spans="1:19" ht="29" x14ac:dyDescent="0.35">
      <c r="A1324" s="349">
        <v>1313</v>
      </c>
      <c r="B1324" s="387" t="s">
        <v>10682</v>
      </c>
      <c r="C1324" s="387" t="s">
        <v>10683</v>
      </c>
      <c r="D1324" s="388" t="s">
        <v>59</v>
      </c>
      <c r="E1324" s="388" t="s">
        <v>10082</v>
      </c>
      <c r="F1324" s="388" t="s">
        <v>10078</v>
      </c>
      <c r="G1324" s="388" t="s">
        <v>10088</v>
      </c>
      <c r="H1324" s="388" t="s">
        <v>12440</v>
      </c>
      <c r="I1324" s="387" t="s">
        <v>12441</v>
      </c>
      <c r="J1324" s="389">
        <v>39890</v>
      </c>
      <c r="K1324" s="387" t="s">
        <v>12442</v>
      </c>
      <c r="L1324" s="387"/>
      <c r="M1324" s="387" t="s">
        <v>10084</v>
      </c>
      <c r="N1324" s="387"/>
      <c r="O1324" s="387" t="s">
        <v>57</v>
      </c>
      <c r="P1324" s="390">
        <v>3609504538</v>
      </c>
      <c r="Q1324" s="387" t="s">
        <v>12443</v>
      </c>
      <c r="R1324" s="387" t="s">
        <v>440</v>
      </c>
      <c r="S1324" s="340">
        <v>20</v>
      </c>
    </row>
    <row r="1325" spans="1:19" ht="29.5" thickBot="1" x14ac:dyDescent="0.4">
      <c r="A1325" s="357">
        <v>1314</v>
      </c>
      <c r="B1325" s="387" t="s">
        <v>10682</v>
      </c>
      <c r="C1325" s="387" t="s">
        <v>10683</v>
      </c>
      <c r="D1325" s="388" t="s">
        <v>97</v>
      </c>
      <c r="E1325" s="388" t="s">
        <v>10082</v>
      </c>
      <c r="F1325" s="388" t="s">
        <v>10078</v>
      </c>
      <c r="G1325" s="388" t="s">
        <v>10088</v>
      </c>
      <c r="H1325" s="388" t="s">
        <v>12444</v>
      </c>
      <c r="I1325" s="387" t="s">
        <v>12445</v>
      </c>
      <c r="J1325" s="389">
        <v>41120</v>
      </c>
      <c r="K1325" s="387" t="s">
        <v>12446</v>
      </c>
      <c r="L1325" s="387"/>
      <c r="M1325" s="387" t="s">
        <v>10084</v>
      </c>
      <c r="N1325" s="387"/>
      <c r="O1325" s="387" t="s">
        <v>57</v>
      </c>
      <c r="P1325" s="390">
        <v>5485861600</v>
      </c>
      <c r="Q1325" s="387" t="s">
        <v>12447</v>
      </c>
      <c r="R1325" s="387" t="s">
        <v>440</v>
      </c>
      <c r="S1325" s="340">
        <v>20</v>
      </c>
    </row>
    <row r="1326" spans="1:19" ht="72.5" x14ac:dyDescent="0.35">
      <c r="A1326" s="349">
        <v>1315</v>
      </c>
      <c r="B1326" s="387" t="s">
        <v>10682</v>
      </c>
      <c r="C1326" s="387" t="s">
        <v>10683</v>
      </c>
      <c r="D1326" s="388" t="s">
        <v>101</v>
      </c>
      <c r="E1326" s="388" t="s">
        <v>10082</v>
      </c>
      <c r="F1326" s="388" t="s">
        <v>10078</v>
      </c>
      <c r="G1326" s="388" t="s">
        <v>10078</v>
      </c>
      <c r="H1326" s="388" t="s">
        <v>12448</v>
      </c>
      <c r="I1326" s="387" t="s">
        <v>12449</v>
      </c>
      <c r="J1326" s="389">
        <v>43052</v>
      </c>
      <c r="K1326" s="387" t="s">
        <v>12450</v>
      </c>
      <c r="L1326" s="387"/>
      <c r="M1326" s="387" t="s">
        <v>10084</v>
      </c>
      <c r="N1326" s="387"/>
      <c r="O1326" s="387" t="s">
        <v>57</v>
      </c>
      <c r="P1326" s="390">
        <v>205898000</v>
      </c>
      <c r="Q1326" s="387" t="s">
        <v>12451</v>
      </c>
      <c r="R1326" s="387" t="s">
        <v>440</v>
      </c>
      <c r="S1326" s="340">
        <v>20</v>
      </c>
    </row>
    <row r="1327" spans="1:19" ht="29.5" thickBot="1" x14ac:dyDescent="0.4">
      <c r="A1327" s="357">
        <v>1316</v>
      </c>
      <c r="B1327" s="387" t="s">
        <v>10824</v>
      </c>
      <c r="C1327" s="387" t="s">
        <v>10825</v>
      </c>
      <c r="D1327" s="388" t="s">
        <v>51</v>
      </c>
      <c r="E1327" s="388" t="s">
        <v>10082</v>
      </c>
      <c r="F1327" s="388" t="s">
        <v>10078</v>
      </c>
      <c r="G1327" s="388" t="s">
        <v>10088</v>
      </c>
      <c r="H1327" s="388" t="s">
        <v>12452</v>
      </c>
      <c r="I1327" s="387" t="s">
        <v>12453</v>
      </c>
      <c r="J1327" s="389">
        <v>41169</v>
      </c>
      <c r="K1327" s="387" t="s">
        <v>12454</v>
      </c>
      <c r="L1327" s="387"/>
      <c r="M1327" s="387" t="s">
        <v>10084</v>
      </c>
      <c r="N1327" s="387"/>
      <c r="O1327" s="387" t="s">
        <v>57</v>
      </c>
      <c r="P1327" s="390">
        <v>328449000</v>
      </c>
      <c r="Q1327" s="387" t="s">
        <v>12455</v>
      </c>
      <c r="R1327" s="387" t="s">
        <v>440</v>
      </c>
      <c r="S1327" s="340">
        <v>20</v>
      </c>
    </row>
    <row r="1328" spans="1:19" ht="29" x14ac:dyDescent="0.35">
      <c r="A1328" s="349">
        <v>1317</v>
      </c>
      <c r="B1328" s="387" t="s">
        <v>10824</v>
      </c>
      <c r="C1328" s="387" t="s">
        <v>10825</v>
      </c>
      <c r="D1328" s="388" t="s">
        <v>59</v>
      </c>
      <c r="E1328" s="388" t="s">
        <v>10082</v>
      </c>
      <c r="F1328" s="388" t="s">
        <v>10078</v>
      </c>
      <c r="G1328" s="388" t="s">
        <v>10088</v>
      </c>
      <c r="H1328" s="388" t="s">
        <v>12456</v>
      </c>
      <c r="I1328" s="387" t="s">
        <v>12397</v>
      </c>
      <c r="J1328" s="389">
        <v>41155</v>
      </c>
      <c r="K1328" s="387" t="s">
        <v>12457</v>
      </c>
      <c r="L1328" s="387"/>
      <c r="M1328" s="387" t="s">
        <v>10084</v>
      </c>
      <c r="N1328" s="387"/>
      <c r="O1328" s="387" t="s">
        <v>57</v>
      </c>
      <c r="P1328" s="390">
        <v>4630109000</v>
      </c>
      <c r="Q1328" s="387" t="s">
        <v>12458</v>
      </c>
      <c r="R1328" s="387" t="s">
        <v>440</v>
      </c>
      <c r="S1328" s="340">
        <v>20</v>
      </c>
    </row>
    <row r="1329" spans="1:19" ht="29.5" thickBot="1" x14ac:dyDescent="0.4">
      <c r="A1329" s="357">
        <v>1318</v>
      </c>
      <c r="B1329" s="387" t="s">
        <v>10824</v>
      </c>
      <c r="C1329" s="387" t="s">
        <v>10825</v>
      </c>
      <c r="D1329" s="388" t="s">
        <v>97</v>
      </c>
      <c r="E1329" s="388" t="s">
        <v>10082</v>
      </c>
      <c r="F1329" s="388" t="s">
        <v>10071</v>
      </c>
      <c r="G1329" s="388" t="s">
        <v>10078</v>
      </c>
      <c r="H1329" s="388" t="s">
        <v>12459</v>
      </c>
      <c r="I1329" s="387" t="s">
        <v>12397</v>
      </c>
      <c r="J1329" s="389">
        <v>41935</v>
      </c>
      <c r="K1329" s="387" t="s">
        <v>12460</v>
      </c>
      <c r="L1329" s="387"/>
      <c r="M1329" s="387" t="s">
        <v>10084</v>
      </c>
      <c r="N1329" s="387"/>
      <c r="O1329" s="387" t="s">
        <v>57</v>
      </c>
      <c r="P1329" s="390">
        <v>149350000</v>
      </c>
      <c r="Q1329" s="387" t="s">
        <v>12461</v>
      </c>
      <c r="R1329" s="387" t="s">
        <v>440</v>
      </c>
      <c r="S1329" s="340">
        <v>20</v>
      </c>
    </row>
    <row r="1330" spans="1:19" ht="43.5" x14ac:dyDescent="0.35">
      <c r="A1330" s="349">
        <v>1319</v>
      </c>
      <c r="B1330" s="387" t="s">
        <v>10720</v>
      </c>
      <c r="C1330" s="387" t="s">
        <v>10721</v>
      </c>
      <c r="D1330" s="388" t="s">
        <v>51</v>
      </c>
      <c r="E1330" s="388" t="s">
        <v>10082</v>
      </c>
      <c r="F1330" s="388" t="s">
        <v>10078</v>
      </c>
      <c r="G1330" s="388" t="s">
        <v>10088</v>
      </c>
      <c r="H1330" s="388" t="s">
        <v>12157</v>
      </c>
      <c r="I1330" s="387" t="s">
        <v>12462</v>
      </c>
      <c r="J1330" s="389">
        <v>43286</v>
      </c>
      <c r="K1330" s="387" t="s">
        <v>12463</v>
      </c>
      <c r="L1330" s="387"/>
      <c r="M1330" s="387" t="s">
        <v>10084</v>
      </c>
      <c r="N1330" s="387"/>
      <c r="O1330" s="387" t="s">
        <v>57</v>
      </c>
      <c r="P1330" s="390">
        <v>524975000</v>
      </c>
      <c r="Q1330" s="387" t="s">
        <v>12464</v>
      </c>
      <c r="R1330" s="387" t="s">
        <v>440</v>
      </c>
      <c r="S1330" s="340">
        <v>20</v>
      </c>
    </row>
    <row r="1331" spans="1:19" ht="44" thickBot="1" x14ac:dyDescent="0.4">
      <c r="A1331" s="357">
        <v>1320</v>
      </c>
      <c r="B1331" s="387" t="s">
        <v>10720</v>
      </c>
      <c r="C1331" s="387" t="s">
        <v>10721</v>
      </c>
      <c r="D1331" s="388" t="s">
        <v>59</v>
      </c>
      <c r="E1331" s="388" t="s">
        <v>10082</v>
      </c>
      <c r="F1331" s="388" t="s">
        <v>10078</v>
      </c>
      <c r="G1331" s="388" t="s">
        <v>10088</v>
      </c>
      <c r="H1331" s="388" t="s">
        <v>11421</v>
      </c>
      <c r="I1331" s="387" t="s">
        <v>12465</v>
      </c>
      <c r="J1331" s="389">
        <v>41943</v>
      </c>
      <c r="K1331" s="387" t="s">
        <v>12466</v>
      </c>
      <c r="L1331" s="387"/>
      <c r="M1331" s="387" t="s">
        <v>10084</v>
      </c>
      <c r="N1331" s="387"/>
      <c r="O1331" s="387" t="s">
        <v>57</v>
      </c>
      <c r="P1331" s="390">
        <v>110375000</v>
      </c>
      <c r="Q1331" s="387" t="s">
        <v>12467</v>
      </c>
      <c r="R1331" s="387" t="s">
        <v>440</v>
      </c>
      <c r="S1331" s="340">
        <v>20</v>
      </c>
    </row>
    <row r="1332" spans="1:19" ht="43.5" x14ac:dyDescent="0.35">
      <c r="A1332" s="349">
        <v>1321</v>
      </c>
      <c r="B1332" s="387" t="s">
        <v>12310</v>
      </c>
      <c r="C1332" s="387" t="s">
        <v>12311</v>
      </c>
      <c r="D1332" s="388" t="s">
        <v>51</v>
      </c>
      <c r="E1332" s="388" t="s">
        <v>10082</v>
      </c>
      <c r="F1332" s="388" t="s">
        <v>10078</v>
      </c>
      <c r="G1332" s="388" t="s">
        <v>10078</v>
      </c>
      <c r="H1332" s="388" t="s">
        <v>8961</v>
      </c>
      <c r="I1332" s="387" t="s">
        <v>12468</v>
      </c>
      <c r="J1332" s="389">
        <v>43661</v>
      </c>
      <c r="K1332" s="387" t="s">
        <v>12469</v>
      </c>
      <c r="L1332" s="387"/>
      <c r="M1332" s="387" t="s">
        <v>10084</v>
      </c>
      <c r="N1332" s="387"/>
      <c r="O1332" s="387" t="s">
        <v>57</v>
      </c>
      <c r="P1332" s="390">
        <v>205672000</v>
      </c>
      <c r="Q1332" s="387" t="s">
        <v>12470</v>
      </c>
      <c r="R1332" s="387" t="s">
        <v>440</v>
      </c>
      <c r="S1332" s="340">
        <v>20</v>
      </c>
    </row>
    <row r="1333" spans="1:19" ht="29.5" thickBot="1" x14ac:dyDescent="0.4">
      <c r="A1333" s="357">
        <v>1322</v>
      </c>
      <c r="B1333" s="387" t="s">
        <v>12310</v>
      </c>
      <c r="C1333" s="387" t="s">
        <v>12311</v>
      </c>
      <c r="D1333" s="388" t="s">
        <v>59</v>
      </c>
      <c r="E1333" s="388" t="s">
        <v>10082</v>
      </c>
      <c r="F1333" s="388" t="s">
        <v>10078</v>
      </c>
      <c r="G1333" s="388" t="s">
        <v>10078</v>
      </c>
      <c r="H1333" s="388" t="s">
        <v>12103</v>
      </c>
      <c r="I1333" s="387" t="s">
        <v>9600</v>
      </c>
      <c r="J1333" s="389">
        <v>44089</v>
      </c>
      <c r="K1333" s="387" t="s">
        <v>12471</v>
      </c>
      <c r="L1333" s="387"/>
      <c r="M1333" s="387" t="s">
        <v>10084</v>
      </c>
      <c r="N1333" s="387"/>
      <c r="O1333" s="387" t="s">
        <v>57</v>
      </c>
      <c r="P1333" s="390">
        <v>77099000</v>
      </c>
      <c r="Q1333" s="387" t="s">
        <v>12472</v>
      </c>
      <c r="R1333" s="387" t="s">
        <v>440</v>
      </c>
      <c r="S1333" s="340">
        <v>20</v>
      </c>
    </row>
    <row r="1334" spans="1:19" ht="29" x14ac:dyDescent="0.35">
      <c r="A1334" s="349">
        <v>1323</v>
      </c>
      <c r="B1334" s="387" t="s">
        <v>12310</v>
      </c>
      <c r="C1334" s="387" t="s">
        <v>12311</v>
      </c>
      <c r="D1334" s="388" t="s">
        <v>97</v>
      </c>
      <c r="E1334" s="388" t="s">
        <v>10082</v>
      </c>
      <c r="F1334" s="388" t="s">
        <v>10078</v>
      </c>
      <c r="G1334" s="388" t="s">
        <v>10078</v>
      </c>
      <c r="H1334" s="388" t="s">
        <v>12103</v>
      </c>
      <c r="I1334" s="387" t="s">
        <v>9600</v>
      </c>
      <c r="J1334" s="389">
        <v>44089</v>
      </c>
      <c r="K1334" s="387" t="s">
        <v>12471</v>
      </c>
      <c r="L1334" s="387"/>
      <c r="M1334" s="387" t="s">
        <v>10084</v>
      </c>
      <c r="N1334" s="387"/>
      <c r="O1334" s="387" t="s">
        <v>57</v>
      </c>
      <c r="P1334" s="390">
        <v>77099000</v>
      </c>
      <c r="Q1334" s="387" t="s">
        <v>12472</v>
      </c>
      <c r="R1334" s="387" t="s">
        <v>440</v>
      </c>
      <c r="S1334" s="340">
        <v>20</v>
      </c>
    </row>
    <row r="1335" spans="1:19" ht="29.5" thickBot="1" x14ac:dyDescent="0.4">
      <c r="A1335" s="357">
        <v>1324</v>
      </c>
      <c r="B1335" s="387" t="s">
        <v>10650</v>
      </c>
      <c r="C1335" s="387" t="s">
        <v>10651</v>
      </c>
      <c r="D1335" s="388" t="s">
        <v>51</v>
      </c>
      <c r="E1335" s="388" t="s">
        <v>10082</v>
      </c>
      <c r="F1335" s="388" t="s">
        <v>10078</v>
      </c>
      <c r="G1335" s="388" t="s">
        <v>10088</v>
      </c>
      <c r="H1335" s="388" t="s">
        <v>5537</v>
      </c>
      <c r="I1335" s="387" t="s">
        <v>12473</v>
      </c>
      <c r="J1335" s="389">
        <v>42641</v>
      </c>
      <c r="K1335" s="387" t="s">
        <v>12474</v>
      </c>
      <c r="L1335" s="387"/>
      <c r="M1335" s="387" t="s">
        <v>10084</v>
      </c>
      <c r="N1335" s="387"/>
      <c r="O1335" s="387" t="s">
        <v>57</v>
      </c>
      <c r="P1335" s="390">
        <v>37800000</v>
      </c>
      <c r="Q1335" s="387" t="s">
        <v>12475</v>
      </c>
      <c r="R1335" s="387" t="s">
        <v>440</v>
      </c>
      <c r="S1335" s="340">
        <v>20</v>
      </c>
    </row>
    <row r="1336" spans="1:19" ht="29" x14ac:dyDescent="0.35">
      <c r="A1336" s="349">
        <v>1325</v>
      </c>
      <c r="B1336" s="387" t="s">
        <v>11313</v>
      </c>
      <c r="C1336" s="387" t="s">
        <v>11314</v>
      </c>
      <c r="D1336" s="388" t="s">
        <v>51</v>
      </c>
      <c r="E1336" s="388" t="s">
        <v>10082</v>
      </c>
      <c r="F1336" s="388" t="s">
        <v>10078</v>
      </c>
      <c r="G1336" s="388" t="s">
        <v>10078</v>
      </c>
      <c r="H1336" s="388" t="s">
        <v>11315</v>
      </c>
      <c r="I1336" s="387" t="s">
        <v>11286</v>
      </c>
      <c r="J1336" s="389">
        <v>38467</v>
      </c>
      <c r="K1336" s="387" t="s">
        <v>11316</v>
      </c>
      <c r="L1336" s="387"/>
      <c r="M1336" s="387" t="s">
        <v>10084</v>
      </c>
      <c r="N1336" s="387"/>
      <c r="O1336" s="387" t="s">
        <v>57</v>
      </c>
      <c r="P1336" s="390">
        <v>17500000</v>
      </c>
      <c r="Q1336" s="387" t="s">
        <v>11317</v>
      </c>
      <c r="R1336" s="387" t="s">
        <v>440</v>
      </c>
      <c r="S1336" s="340">
        <v>20</v>
      </c>
    </row>
    <row r="1337" spans="1:19" ht="58.5" thickBot="1" x14ac:dyDescent="0.4">
      <c r="A1337" s="357">
        <v>1326</v>
      </c>
      <c r="B1337" s="387" t="s">
        <v>12476</v>
      </c>
      <c r="C1337" s="387" t="s">
        <v>12477</v>
      </c>
      <c r="D1337" s="388" t="s">
        <v>51</v>
      </c>
      <c r="E1337" s="388" t="s">
        <v>10082</v>
      </c>
      <c r="F1337" s="388" t="s">
        <v>10078</v>
      </c>
      <c r="G1337" s="388" t="s">
        <v>10078</v>
      </c>
      <c r="H1337" s="388" t="s">
        <v>12478</v>
      </c>
      <c r="I1337" s="387" t="s">
        <v>12415</v>
      </c>
      <c r="J1337" s="389">
        <v>43663</v>
      </c>
      <c r="K1337" s="387" t="s">
        <v>12479</v>
      </c>
      <c r="L1337" s="387"/>
      <c r="M1337" s="387" t="s">
        <v>10084</v>
      </c>
      <c r="N1337" s="387"/>
      <c r="O1337" s="387" t="s">
        <v>57</v>
      </c>
      <c r="P1337" s="390">
        <v>271373000</v>
      </c>
      <c r="Q1337" s="387" t="s">
        <v>12480</v>
      </c>
      <c r="R1337" s="387" t="s">
        <v>440</v>
      </c>
      <c r="S1337" s="340">
        <v>20</v>
      </c>
    </row>
    <row r="1338" spans="1:19" ht="29" x14ac:dyDescent="0.35">
      <c r="A1338" s="349">
        <v>1327</v>
      </c>
      <c r="B1338" s="387" t="s">
        <v>10486</v>
      </c>
      <c r="C1338" s="387" t="s">
        <v>10487</v>
      </c>
      <c r="D1338" s="388" t="s">
        <v>51</v>
      </c>
      <c r="E1338" s="388" t="s">
        <v>10082</v>
      </c>
      <c r="F1338" s="388" t="s">
        <v>10078</v>
      </c>
      <c r="G1338" s="388" t="s">
        <v>10088</v>
      </c>
      <c r="H1338" s="388" t="s">
        <v>11297</v>
      </c>
      <c r="I1338" s="387" t="s">
        <v>12437</v>
      </c>
      <c r="J1338" s="389">
        <v>41029</v>
      </c>
      <c r="K1338" s="387" t="s">
        <v>12481</v>
      </c>
      <c r="L1338" s="387"/>
      <c r="M1338" s="387" t="s">
        <v>10084</v>
      </c>
      <c r="N1338" s="387"/>
      <c r="O1338" s="387" t="s">
        <v>57</v>
      </c>
      <c r="P1338" s="390">
        <v>59800000</v>
      </c>
      <c r="Q1338" s="387"/>
      <c r="R1338" s="387" t="s">
        <v>440</v>
      </c>
      <c r="S1338" s="340">
        <v>20</v>
      </c>
    </row>
    <row r="1339" spans="1:19" ht="29.5" thickBot="1" x14ac:dyDescent="0.4">
      <c r="A1339" s="357">
        <v>1328</v>
      </c>
      <c r="B1339" s="387" t="s">
        <v>10486</v>
      </c>
      <c r="C1339" s="387" t="s">
        <v>10487</v>
      </c>
      <c r="D1339" s="388" t="s">
        <v>59</v>
      </c>
      <c r="E1339" s="388" t="s">
        <v>10673</v>
      </c>
      <c r="F1339" s="388" t="s">
        <v>10078</v>
      </c>
      <c r="G1339" s="388" t="s">
        <v>10078</v>
      </c>
      <c r="H1339" s="388" t="s">
        <v>11451</v>
      </c>
      <c r="I1339" s="387" t="s">
        <v>12437</v>
      </c>
      <c r="J1339" s="389"/>
      <c r="K1339" s="387"/>
      <c r="L1339" s="387"/>
      <c r="M1339" s="387" t="s">
        <v>10084</v>
      </c>
      <c r="N1339" s="387"/>
      <c r="O1339" s="387" t="s">
        <v>57</v>
      </c>
      <c r="P1339" s="390">
        <v>59296000</v>
      </c>
      <c r="Q1339" s="387" t="s">
        <v>12482</v>
      </c>
      <c r="R1339" s="387" t="s">
        <v>440</v>
      </c>
      <c r="S1339" s="340">
        <v>20</v>
      </c>
    </row>
    <row r="1340" spans="1:19" ht="29" x14ac:dyDescent="0.35">
      <c r="A1340" s="349">
        <v>1329</v>
      </c>
      <c r="B1340" s="387" t="s">
        <v>11842</v>
      </c>
      <c r="C1340" s="387" t="s">
        <v>11843</v>
      </c>
      <c r="D1340" s="388" t="s">
        <v>51</v>
      </c>
      <c r="E1340" s="388" t="s">
        <v>10082</v>
      </c>
      <c r="F1340" s="388" t="s">
        <v>10078</v>
      </c>
      <c r="G1340" s="388" t="s">
        <v>10088</v>
      </c>
      <c r="H1340" s="388" t="s">
        <v>11686</v>
      </c>
      <c r="I1340" s="387" t="s">
        <v>12419</v>
      </c>
      <c r="J1340" s="389"/>
      <c r="K1340" s="387" t="s">
        <v>12483</v>
      </c>
      <c r="L1340" s="387"/>
      <c r="M1340" s="387" t="s">
        <v>10084</v>
      </c>
      <c r="N1340" s="387"/>
      <c r="O1340" s="387" t="s">
        <v>57</v>
      </c>
      <c r="P1340" s="390">
        <v>86500000</v>
      </c>
      <c r="Q1340" s="387" t="s">
        <v>12484</v>
      </c>
      <c r="R1340" s="387" t="s">
        <v>440</v>
      </c>
      <c r="S1340" s="340">
        <v>20</v>
      </c>
    </row>
    <row r="1341" spans="1:19" ht="29.5" thickBot="1" x14ac:dyDescent="0.4">
      <c r="A1341" s="357">
        <v>1330</v>
      </c>
      <c r="B1341" s="387" t="s">
        <v>10997</v>
      </c>
      <c r="C1341" s="387" t="s">
        <v>10998</v>
      </c>
      <c r="D1341" s="388" t="s">
        <v>51</v>
      </c>
      <c r="E1341" s="388" t="s">
        <v>10082</v>
      </c>
      <c r="F1341" s="388" t="s">
        <v>10078</v>
      </c>
      <c r="G1341" s="388" t="s">
        <v>10078</v>
      </c>
      <c r="H1341" s="388" t="s">
        <v>11451</v>
      </c>
      <c r="I1341" s="387" t="s">
        <v>12485</v>
      </c>
      <c r="J1341" s="389">
        <v>40058</v>
      </c>
      <c r="K1341" s="387" t="s">
        <v>12486</v>
      </c>
      <c r="L1341" s="387"/>
      <c r="M1341" s="387" t="s">
        <v>10084</v>
      </c>
      <c r="N1341" s="387"/>
      <c r="O1341" s="387" t="s">
        <v>57</v>
      </c>
      <c r="P1341" s="390">
        <v>27830000</v>
      </c>
      <c r="Q1341" s="387" t="s">
        <v>12487</v>
      </c>
      <c r="R1341" s="387" t="s">
        <v>440</v>
      </c>
      <c r="S1341" s="340">
        <v>20</v>
      </c>
    </row>
    <row r="1342" spans="1:19" ht="29" x14ac:dyDescent="0.35">
      <c r="A1342" s="349">
        <v>1331</v>
      </c>
      <c r="B1342" s="387" t="s">
        <v>10228</v>
      </c>
      <c r="C1342" s="387" t="s">
        <v>10229</v>
      </c>
      <c r="D1342" s="388" t="s">
        <v>51</v>
      </c>
      <c r="E1342" s="388" t="s">
        <v>10082</v>
      </c>
      <c r="F1342" s="388" t="s">
        <v>10078</v>
      </c>
      <c r="G1342" s="388" t="s">
        <v>10088</v>
      </c>
      <c r="H1342" s="388" t="s">
        <v>11425</v>
      </c>
      <c r="I1342" s="387" t="s">
        <v>12488</v>
      </c>
      <c r="J1342" s="389">
        <v>43286</v>
      </c>
      <c r="K1342" s="387" t="s">
        <v>12489</v>
      </c>
      <c r="L1342" s="387"/>
      <c r="M1342" s="387" t="s">
        <v>10084</v>
      </c>
      <c r="N1342" s="387"/>
      <c r="O1342" s="387" t="s">
        <v>57</v>
      </c>
      <c r="P1342" s="390">
        <v>121018500</v>
      </c>
      <c r="Q1342" s="387" t="s">
        <v>12490</v>
      </c>
      <c r="R1342" s="387" t="s">
        <v>440</v>
      </c>
      <c r="S1342" s="340">
        <v>20</v>
      </c>
    </row>
    <row r="1343" spans="1:19" ht="29.5" thickBot="1" x14ac:dyDescent="0.4">
      <c r="A1343" s="357">
        <v>1332</v>
      </c>
      <c r="B1343" s="387" t="s">
        <v>10228</v>
      </c>
      <c r="C1343" s="387" t="s">
        <v>10229</v>
      </c>
      <c r="D1343" s="388" t="s">
        <v>59</v>
      </c>
      <c r="E1343" s="388" t="s">
        <v>10082</v>
      </c>
      <c r="F1343" s="388" t="s">
        <v>10078</v>
      </c>
      <c r="G1343" s="388" t="s">
        <v>10088</v>
      </c>
      <c r="H1343" s="388" t="s">
        <v>11425</v>
      </c>
      <c r="I1343" s="387" t="s">
        <v>12433</v>
      </c>
      <c r="J1343" s="389">
        <v>43455</v>
      </c>
      <c r="K1343" s="387" t="s">
        <v>12489</v>
      </c>
      <c r="L1343" s="387"/>
      <c r="M1343" s="387" t="s">
        <v>10084</v>
      </c>
      <c r="N1343" s="387"/>
      <c r="O1343" s="387" t="s">
        <v>57</v>
      </c>
      <c r="P1343" s="390">
        <v>121018500</v>
      </c>
      <c r="Q1343" s="387" t="s">
        <v>12490</v>
      </c>
      <c r="R1343" s="387" t="s">
        <v>440</v>
      </c>
      <c r="S1343" s="340">
        <v>20</v>
      </c>
    </row>
    <row r="1344" spans="1:19" ht="29" x14ac:dyDescent="0.35">
      <c r="A1344" s="349">
        <v>1333</v>
      </c>
      <c r="B1344" s="387" t="s">
        <v>10228</v>
      </c>
      <c r="C1344" s="387" t="s">
        <v>10229</v>
      </c>
      <c r="D1344" s="388" t="s">
        <v>97</v>
      </c>
      <c r="E1344" s="388" t="s">
        <v>10082</v>
      </c>
      <c r="F1344" s="388" t="s">
        <v>10078</v>
      </c>
      <c r="G1344" s="388" t="s">
        <v>10088</v>
      </c>
      <c r="H1344" s="388" t="s">
        <v>11425</v>
      </c>
      <c r="I1344" s="387" t="s">
        <v>12433</v>
      </c>
      <c r="J1344" s="389"/>
      <c r="K1344" s="387" t="s">
        <v>12489</v>
      </c>
      <c r="L1344" s="387"/>
      <c r="M1344" s="387" t="s">
        <v>10084</v>
      </c>
      <c r="N1344" s="387"/>
      <c r="O1344" s="387" t="s">
        <v>57</v>
      </c>
      <c r="P1344" s="390">
        <v>121018500</v>
      </c>
      <c r="Q1344" s="387" t="s">
        <v>12490</v>
      </c>
      <c r="R1344" s="387" t="s">
        <v>440</v>
      </c>
      <c r="S1344" s="340">
        <v>20</v>
      </c>
    </row>
    <row r="1345" spans="1:19" ht="29.5" thickBot="1" x14ac:dyDescent="0.4">
      <c r="A1345" s="357">
        <v>1334</v>
      </c>
      <c r="B1345" s="387" t="s">
        <v>10228</v>
      </c>
      <c r="C1345" s="387" t="s">
        <v>10229</v>
      </c>
      <c r="D1345" s="388" t="s">
        <v>101</v>
      </c>
      <c r="E1345" s="388" t="s">
        <v>10082</v>
      </c>
      <c r="F1345" s="388" t="s">
        <v>10078</v>
      </c>
      <c r="G1345" s="388" t="s">
        <v>10088</v>
      </c>
      <c r="H1345" s="388" t="s">
        <v>11425</v>
      </c>
      <c r="I1345" s="387" t="s">
        <v>12433</v>
      </c>
      <c r="J1345" s="389">
        <v>43286</v>
      </c>
      <c r="K1345" s="387" t="s">
        <v>12489</v>
      </c>
      <c r="L1345" s="387"/>
      <c r="M1345" s="387" t="s">
        <v>10084</v>
      </c>
      <c r="N1345" s="387"/>
      <c r="O1345" s="387" t="s">
        <v>57</v>
      </c>
      <c r="P1345" s="390">
        <v>121018500</v>
      </c>
      <c r="Q1345" s="387" t="s">
        <v>12490</v>
      </c>
      <c r="R1345" s="387" t="s">
        <v>440</v>
      </c>
      <c r="S1345" s="340">
        <v>20</v>
      </c>
    </row>
    <row r="1346" spans="1:19" ht="29" x14ac:dyDescent="0.35">
      <c r="A1346" s="349">
        <v>1335</v>
      </c>
      <c r="B1346" s="387" t="s">
        <v>10228</v>
      </c>
      <c r="C1346" s="387" t="s">
        <v>10229</v>
      </c>
      <c r="D1346" s="388" t="s">
        <v>107</v>
      </c>
      <c r="E1346" s="388" t="s">
        <v>10082</v>
      </c>
      <c r="F1346" s="388" t="s">
        <v>10078</v>
      </c>
      <c r="G1346" s="388" t="s">
        <v>10088</v>
      </c>
      <c r="H1346" s="388" t="s">
        <v>11425</v>
      </c>
      <c r="I1346" s="387" t="s">
        <v>12488</v>
      </c>
      <c r="J1346" s="389">
        <v>43286</v>
      </c>
      <c r="K1346" s="387" t="s">
        <v>12491</v>
      </c>
      <c r="L1346" s="387"/>
      <c r="M1346" s="387" t="s">
        <v>10084</v>
      </c>
      <c r="N1346" s="387"/>
      <c r="O1346" s="387" t="s">
        <v>57</v>
      </c>
      <c r="P1346" s="390">
        <v>122114950</v>
      </c>
      <c r="Q1346" s="387" t="s">
        <v>12492</v>
      </c>
      <c r="R1346" s="387" t="s">
        <v>440</v>
      </c>
      <c r="S1346" s="340">
        <v>20</v>
      </c>
    </row>
    <row r="1347" spans="1:19" ht="29.5" thickBot="1" x14ac:dyDescent="0.4">
      <c r="A1347" s="357">
        <v>1336</v>
      </c>
      <c r="B1347" s="387" t="s">
        <v>10228</v>
      </c>
      <c r="C1347" s="387" t="s">
        <v>10229</v>
      </c>
      <c r="D1347" s="388" t="s">
        <v>112</v>
      </c>
      <c r="E1347" s="388" t="s">
        <v>10082</v>
      </c>
      <c r="F1347" s="388" t="s">
        <v>10078</v>
      </c>
      <c r="G1347" s="388" t="s">
        <v>10088</v>
      </c>
      <c r="H1347" s="388" t="s">
        <v>11425</v>
      </c>
      <c r="I1347" s="387" t="s">
        <v>12488</v>
      </c>
      <c r="J1347" s="389">
        <v>43286</v>
      </c>
      <c r="K1347" s="387" t="s">
        <v>12491</v>
      </c>
      <c r="L1347" s="387"/>
      <c r="M1347" s="387" t="s">
        <v>10084</v>
      </c>
      <c r="N1347" s="387"/>
      <c r="O1347" s="387" t="s">
        <v>57</v>
      </c>
      <c r="P1347" s="390">
        <v>122114950</v>
      </c>
      <c r="Q1347" s="387" t="s">
        <v>12492</v>
      </c>
      <c r="R1347" s="387" t="s">
        <v>440</v>
      </c>
      <c r="S1347" s="340">
        <v>20</v>
      </c>
    </row>
    <row r="1348" spans="1:19" ht="29" x14ac:dyDescent="0.35">
      <c r="A1348" s="349">
        <v>1337</v>
      </c>
      <c r="B1348" s="387" t="s">
        <v>10228</v>
      </c>
      <c r="C1348" s="387" t="s">
        <v>10229</v>
      </c>
      <c r="D1348" s="388" t="s">
        <v>116</v>
      </c>
      <c r="E1348" s="388" t="s">
        <v>10082</v>
      </c>
      <c r="F1348" s="388" t="s">
        <v>10078</v>
      </c>
      <c r="G1348" s="388" t="s">
        <v>10088</v>
      </c>
      <c r="H1348" s="388" t="s">
        <v>11425</v>
      </c>
      <c r="I1348" s="387" t="s">
        <v>12488</v>
      </c>
      <c r="J1348" s="389">
        <v>43286</v>
      </c>
      <c r="K1348" s="387" t="s">
        <v>12491</v>
      </c>
      <c r="L1348" s="387"/>
      <c r="M1348" s="387" t="s">
        <v>10084</v>
      </c>
      <c r="N1348" s="387"/>
      <c r="O1348" s="387" t="s">
        <v>57</v>
      </c>
      <c r="P1348" s="390">
        <v>122114950</v>
      </c>
      <c r="Q1348" s="387" t="s">
        <v>12492</v>
      </c>
      <c r="R1348" s="387" t="s">
        <v>440</v>
      </c>
      <c r="S1348" s="340">
        <v>20</v>
      </c>
    </row>
    <row r="1349" spans="1:19" ht="29.5" thickBot="1" x14ac:dyDescent="0.4">
      <c r="A1349" s="357">
        <v>1338</v>
      </c>
      <c r="B1349" s="387" t="s">
        <v>10228</v>
      </c>
      <c r="C1349" s="387" t="s">
        <v>10229</v>
      </c>
      <c r="D1349" s="388" t="s">
        <v>841</v>
      </c>
      <c r="E1349" s="388" t="s">
        <v>10082</v>
      </c>
      <c r="F1349" s="388" t="s">
        <v>10078</v>
      </c>
      <c r="G1349" s="388" t="s">
        <v>10088</v>
      </c>
      <c r="H1349" s="388" t="s">
        <v>11425</v>
      </c>
      <c r="I1349" s="387" t="s">
        <v>12488</v>
      </c>
      <c r="J1349" s="389">
        <v>43286</v>
      </c>
      <c r="K1349" s="387" t="s">
        <v>12491</v>
      </c>
      <c r="L1349" s="387"/>
      <c r="M1349" s="387" t="s">
        <v>10084</v>
      </c>
      <c r="N1349" s="387"/>
      <c r="O1349" s="387" t="s">
        <v>57</v>
      </c>
      <c r="P1349" s="390">
        <v>122114950</v>
      </c>
      <c r="Q1349" s="387" t="s">
        <v>12492</v>
      </c>
      <c r="R1349" s="387" t="s">
        <v>440</v>
      </c>
      <c r="S1349" s="340">
        <v>20</v>
      </c>
    </row>
    <row r="1350" spans="1:19" ht="29" x14ac:dyDescent="0.35">
      <c r="A1350" s="349">
        <v>1339</v>
      </c>
      <c r="B1350" s="387" t="s">
        <v>11382</v>
      </c>
      <c r="C1350" s="387" t="s">
        <v>11383</v>
      </c>
      <c r="D1350" s="388" t="s">
        <v>51</v>
      </c>
      <c r="E1350" s="388" t="s">
        <v>10082</v>
      </c>
      <c r="F1350" s="388" t="s">
        <v>10078</v>
      </c>
      <c r="G1350" s="388" t="s">
        <v>10088</v>
      </c>
      <c r="H1350" s="388" t="s">
        <v>11409</v>
      </c>
      <c r="I1350" s="387" t="s">
        <v>8836</v>
      </c>
      <c r="J1350" s="389"/>
      <c r="K1350" s="387" t="s">
        <v>12493</v>
      </c>
      <c r="L1350" s="387"/>
      <c r="M1350" s="387" t="s">
        <v>10084</v>
      </c>
      <c r="N1350" s="387"/>
      <c r="O1350" s="387" t="s">
        <v>57</v>
      </c>
      <c r="P1350" s="390">
        <v>466000000</v>
      </c>
      <c r="Q1350" s="387" t="s">
        <v>12494</v>
      </c>
      <c r="R1350" s="387" t="s">
        <v>440</v>
      </c>
      <c r="S1350" s="340">
        <v>20</v>
      </c>
    </row>
    <row r="1351" spans="1:19" ht="44" thickBot="1" x14ac:dyDescent="0.4">
      <c r="A1351" s="357">
        <v>1340</v>
      </c>
      <c r="B1351" s="387" t="s">
        <v>11073</v>
      </c>
      <c r="C1351" s="387" t="s">
        <v>11074</v>
      </c>
      <c r="D1351" s="388" t="s">
        <v>51</v>
      </c>
      <c r="E1351" s="388" t="s">
        <v>10082</v>
      </c>
      <c r="F1351" s="388" t="s">
        <v>10078</v>
      </c>
      <c r="G1351" s="388" t="s">
        <v>10078</v>
      </c>
      <c r="H1351" s="388" t="s">
        <v>8955</v>
      </c>
      <c r="I1351" s="387" t="s">
        <v>12415</v>
      </c>
      <c r="J1351" s="389">
        <v>43661</v>
      </c>
      <c r="K1351" s="387" t="s">
        <v>12495</v>
      </c>
      <c r="L1351" s="387"/>
      <c r="M1351" s="387" t="s">
        <v>10084</v>
      </c>
      <c r="N1351" s="387"/>
      <c r="O1351" s="387" t="s">
        <v>57</v>
      </c>
      <c r="P1351" s="390">
        <v>46724250</v>
      </c>
      <c r="Q1351" s="387" t="s">
        <v>12496</v>
      </c>
      <c r="R1351" s="387" t="s">
        <v>440</v>
      </c>
      <c r="S1351" s="340">
        <v>20</v>
      </c>
    </row>
    <row r="1352" spans="1:19" ht="43.5" x14ac:dyDescent="0.35">
      <c r="A1352" s="349">
        <v>1341</v>
      </c>
      <c r="B1352" s="387" t="s">
        <v>11073</v>
      </c>
      <c r="C1352" s="387" t="s">
        <v>11074</v>
      </c>
      <c r="D1352" s="388" t="s">
        <v>59</v>
      </c>
      <c r="E1352" s="388" t="s">
        <v>10082</v>
      </c>
      <c r="F1352" s="388" t="s">
        <v>10078</v>
      </c>
      <c r="G1352" s="388" t="s">
        <v>10078</v>
      </c>
      <c r="H1352" s="388" t="s">
        <v>8955</v>
      </c>
      <c r="I1352" s="387" t="s">
        <v>12415</v>
      </c>
      <c r="J1352" s="389">
        <v>43661</v>
      </c>
      <c r="K1352" s="387" t="s">
        <v>12495</v>
      </c>
      <c r="L1352" s="387"/>
      <c r="M1352" s="387" t="s">
        <v>10084</v>
      </c>
      <c r="N1352" s="387"/>
      <c r="O1352" s="387" t="s">
        <v>57</v>
      </c>
      <c r="P1352" s="390">
        <v>46724250</v>
      </c>
      <c r="Q1352" s="387" t="s">
        <v>12496</v>
      </c>
      <c r="R1352" s="387" t="s">
        <v>440</v>
      </c>
      <c r="S1352" s="340">
        <v>20</v>
      </c>
    </row>
    <row r="1353" spans="1:19" ht="44" thickBot="1" x14ac:dyDescent="0.4">
      <c r="A1353" s="357">
        <v>1342</v>
      </c>
      <c r="B1353" s="387" t="s">
        <v>11073</v>
      </c>
      <c r="C1353" s="387" t="s">
        <v>11074</v>
      </c>
      <c r="D1353" s="388" t="s">
        <v>97</v>
      </c>
      <c r="E1353" s="388" t="s">
        <v>10082</v>
      </c>
      <c r="F1353" s="388" t="s">
        <v>10078</v>
      </c>
      <c r="G1353" s="388" t="s">
        <v>10078</v>
      </c>
      <c r="H1353" s="388" t="s">
        <v>8955</v>
      </c>
      <c r="I1353" s="387" t="s">
        <v>12415</v>
      </c>
      <c r="J1353" s="389">
        <v>43661</v>
      </c>
      <c r="K1353" s="387" t="s">
        <v>12495</v>
      </c>
      <c r="L1353" s="387"/>
      <c r="M1353" s="387" t="s">
        <v>10084</v>
      </c>
      <c r="N1353" s="387"/>
      <c r="O1353" s="387" t="s">
        <v>57</v>
      </c>
      <c r="P1353" s="390">
        <v>46724250</v>
      </c>
      <c r="Q1353" s="387" t="s">
        <v>12496</v>
      </c>
      <c r="R1353" s="387" t="s">
        <v>440</v>
      </c>
      <c r="S1353" s="340">
        <v>20</v>
      </c>
    </row>
    <row r="1354" spans="1:19" ht="43.5" x14ac:dyDescent="0.35">
      <c r="A1354" s="349">
        <v>1343</v>
      </c>
      <c r="B1354" s="387" t="s">
        <v>11073</v>
      </c>
      <c r="C1354" s="387" t="s">
        <v>11074</v>
      </c>
      <c r="D1354" s="388" t="s">
        <v>101</v>
      </c>
      <c r="E1354" s="388" t="s">
        <v>10082</v>
      </c>
      <c r="F1354" s="388" t="s">
        <v>10078</v>
      </c>
      <c r="G1354" s="388" t="s">
        <v>10078</v>
      </c>
      <c r="H1354" s="388" t="s">
        <v>8955</v>
      </c>
      <c r="I1354" s="387" t="s">
        <v>12415</v>
      </c>
      <c r="J1354" s="389">
        <v>43661</v>
      </c>
      <c r="K1354" s="387" t="s">
        <v>12495</v>
      </c>
      <c r="L1354" s="387"/>
      <c r="M1354" s="387" t="s">
        <v>10084</v>
      </c>
      <c r="N1354" s="387"/>
      <c r="O1354" s="387" t="s">
        <v>57</v>
      </c>
      <c r="P1354" s="390">
        <v>46724250</v>
      </c>
      <c r="Q1354" s="387" t="s">
        <v>12496</v>
      </c>
      <c r="R1354" s="387" t="s">
        <v>440</v>
      </c>
      <c r="S1354" s="340">
        <v>20</v>
      </c>
    </row>
    <row r="1355" spans="1:19" ht="29.5" thickBot="1" x14ac:dyDescent="0.4">
      <c r="A1355" s="357">
        <v>1344</v>
      </c>
      <c r="B1355" s="387" t="s">
        <v>10832</v>
      </c>
      <c r="C1355" s="387" t="s">
        <v>10833</v>
      </c>
      <c r="D1355" s="388" t="s">
        <v>51</v>
      </c>
      <c r="E1355" s="388" t="s">
        <v>10082</v>
      </c>
      <c r="F1355" s="388" t="s">
        <v>10078</v>
      </c>
      <c r="G1355" s="388" t="s">
        <v>10088</v>
      </c>
      <c r="H1355" s="388" t="s">
        <v>11349</v>
      </c>
      <c r="I1355" s="387" t="s">
        <v>12433</v>
      </c>
      <c r="J1355" s="389"/>
      <c r="K1355" s="387" t="s">
        <v>12497</v>
      </c>
      <c r="L1355" s="387"/>
      <c r="M1355" s="387" t="s">
        <v>10084</v>
      </c>
      <c r="N1355" s="387"/>
      <c r="O1355" s="387" t="s">
        <v>57</v>
      </c>
      <c r="P1355" s="390">
        <v>55930000</v>
      </c>
      <c r="Q1355" s="387" t="s">
        <v>12498</v>
      </c>
      <c r="R1355" s="387" t="s">
        <v>440</v>
      </c>
      <c r="S1355" s="340">
        <v>20</v>
      </c>
    </row>
    <row r="1356" spans="1:19" ht="29" x14ac:dyDescent="0.35">
      <c r="A1356" s="349">
        <v>1345</v>
      </c>
      <c r="B1356" s="387" t="s">
        <v>10832</v>
      </c>
      <c r="C1356" s="387" t="s">
        <v>10833</v>
      </c>
      <c r="D1356" s="388" t="s">
        <v>59</v>
      </c>
      <c r="E1356" s="388" t="s">
        <v>10082</v>
      </c>
      <c r="F1356" s="388" t="s">
        <v>10078</v>
      </c>
      <c r="G1356" s="388" t="s">
        <v>10088</v>
      </c>
      <c r="H1356" s="388" t="s">
        <v>11349</v>
      </c>
      <c r="I1356" s="387" t="s">
        <v>12433</v>
      </c>
      <c r="J1356" s="389">
        <v>43286</v>
      </c>
      <c r="K1356" s="387" t="s">
        <v>12497</v>
      </c>
      <c r="L1356" s="387"/>
      <c r="M1356" s="387" t="s">
        <v>10084</v>
      </c>
      <c r="N1356" s="387"/>
      <c r="O1356" s="387" t="s">
        <v>57</v>
      </c>
      <c r="P1356" s="390">
        <v>55930000</v>
      </c>
      <c r="Q1356" s="387" t="s">
        <v>12498</v>
      </c>
      <c r="R1356" s="387" t="s">
        <v>440</v>
      </c>
      <c r="S1356" s="340">
        <v>20</v>
      </c>
    </row>
    <row r="1357" spans="1:19" ht="29.5" thickBot="1" x14ac:dyDescent="0.4">
      <c r="A1357" s="357">
        <v>1346</v>
      </c>
      <c r="B1357" s="387" t="s">
        <v>10832</v>
      </c>
      <c r="C1357" s="387" t="s">
        <v>10833</v>
      </c>
      <c r="D1357" s="388" t="s">
        <v>97</v>
      </c>
      <c r="E1357" s="388" t="s">
        <v>10082</v>
      </c>
      <c r="F1357" s="388" t="s">
        <v>10078</v>
      </c>
      <c r="G1357" s="388" t="s">
        <v>10088</v>
      </c>
      <c r="H1357" s="388" t="s">
        <v>11349</v>
      </c>
      <c r="I1357" s="387" t="s">
        <v>12433</v>
      </c>
      <c r="J1357" s="389">
        <v>43286</v>
      </c>
      <c r="K1357" s="387" t="s">
        <v>12497</v>
      </c>
      <c r="L1357" s="387"/>
      <c r="M1357" s="387" t="s">
        <v>10084</v>
      </c>
      <c r="N1357" s="387"/>
      <c r="O1357" s="387" t="s">
        <v>57</v>
      </c>
      <c r="P1357" s="390">
        <v>55930000</v>
      </c>
      <c r="Q1357" s="387" t="s">
        <v>12498</v>
      </c>
      <c r="R1357" s="387" t="s">
        <v>440</v>
      </c>
      <c r="S1357" s="340">
        <v>20</v>
      </c>
    </row>
    <row r="1358" spans="1:19" ht="29" x14ac:dyDescent="0.35">
      <c r="A1358" s="349">
        <v>1347</v>
      </c>
      <c r="B1358" s="387" t="s">
        <v>10832</v>
      </c>
      <c r="C1358" s="387" t="s">
        <v>10833</v>
      </c>
      <c r="D1358" s="388" t="s">
        <v>101</v>
      </c>
      <c r="E1358" s="388" t="s">
        <v>10082</v>
      </c>
      <c r="F1358" s="388" t="s">
        <v>10078</v>
      </c>
      <c r="G1358" s="388" t="s">
        <v>10088</v>
      </c>
      <c r="H1358" s="388" t="s">
        <v>11349</v>
      </c>
      <c r="I1358" s="387" t="s">
        <v>12433</v>
      </c>
      <c r="J1358" s="389">
        <v>43286</v>
      </c>
      <c r="K1358" s="387" t="s">
        <v>12497</v>
      </c>
      <c r="L1358" s="387"/>
      <c r="M1358" s="387" t="s">
        <v>10084</v>
      </c>
      <c r="N1358" s="387"/>
      <c r="O1358" s="387" t="s">
        <v>57</v>
      </c>
      <c r="P1358" s="390">
        <v>55930000</v>
      </c>
      <c r="Q1358" s="387" t="s">
        <v>12498</v>
      </c>
      <c r="R1358" s="387" t="s">
        <v>440</v>
      </c>
      <c r="S1358" s="340">
        <v>20</v>
      </c>
    </row>
    <row r="1359" spans="1:19" ht="44" thickBot="1" x14ac:dyDescent="0.4">
      <c r="A1359" s="357">
        <v>1348</v>
      </c>
      <c r="B1359" s="387" t="s">
        <v>10832</v>
      </c>
      <c r="C1359" s="387" t="s">
        <v>10833</v>
      </c>
      <c r="D1359" s="388" t="s">
        <v>107</v>
      </c>
      <c r="E1359" s="388" t="s">
        <v>10082</v>
      </c>
      <c r="F1359" s="388" t="s">
        <v>10078</v>
      </c>
      <c r="G1359" s="388" t="s">
        <v>10088</v>
      </c>
      <c r="H1359" s="388" t="s">
        <v>11349</v>
      </c>
      <c r="I1359" s="387" t="s">
        <v>12499</v>
      </c>
      <c r="J1359" s="389">
        <v>43377</v>
      </c>
      <c r="K1359" s="387" t="s">
        <v>12500</v>
      </c>
      <c r="L1359" s="387"/>
      <c r="M1359" s="387" t="s">
        <v>10084</v>
      </c>
      <c r="N1359" s="387"/>
      <c r="O1359" s="387" t="s">
        <v>57</v>
      </c>
      <c r="P1359" s="390">
        <v>56046100</v>
      </c>
      <c r="Q1359" s="387" t="s">
        <v>12501</v>
      </c>
      <c r="R1359" s="387" t="s">
        <v>440</v>
      </c>
      <c r="S1359" s="340">
        <v>20</v>
      </c>
    </row>
    <row r="1360" spans="1:19" ht="43.5" x14ac:dyDescent="0.35">
      <c r="A1360" s="349">
        <v>1349</v>
      </c>
      <c r="B1360" s="387" t="s">
        <v>10832</v>
      </c>
      <c r="C1360" s="387" t="s">
        <v>10833</v>
      </c>
      <c r="D1360" s="388" t="s">
        <v>112</v>
      </c>
      <c r="E1360" s="388" t="s">
        <v>10082</v>
      </c>
      <c r="F1360" s="388" t="s">
        <v>10078</v>
      </c>
      <c r="G1360" s="388" t="s">
        <v>10088</v>
      </c>
      <c r="H1360" s="388" t="s">
        <v>11349</v>
      </c>
      <c r="I1360" s="387" t="s">
        <v>12499</v>
      </c>
      <c r="J1360" s="389">
        <v>43377</v>
      </c>
      <c r="K1360" s="387" t="s">
        <v>12500</v>
      </c>
      <c r="L1360" s="387"/>
      <c r="M1360" s="387" t="s">
        <v>10084</v>
      </c>
      <c r="N1360" s="387"/>
      <c r="O1360" s="387" t="s">
        <v>57</v>
      </c>
      <c r="P1360" s="390">
        <v>56046100</v>
      </c>
      <c r="Q1360" s="387" t="s">
        <v>12501</v>
      </c>
      <c r="R1360" s="387" t="s">
        <v>440</v>
      </c>
      <c r="S1360" s="340">
        <v>20</v>
      </c>
    </row>
    <row r="1361" spans="1:19" ht="44" thickBot="1" x14ac:dyDescent="0.4">
      <c r="A1361" s="357">
        <v>1350</v>
      </c>
      <c r="B1361" s="387" t="s">
        <v>10832</v>
      </c>
      <c r="C1361" s="387" t="s">
        <v>10833</v>
      </c>
      <c r="D1361" s="388" t="s">
        <v>116</v>
      </c>
      <c r="E1361" s="388" t="s">
        <v>10082</v>
      </c>
      <c r="F1361" s="388" t="s">
        <v>10078</v>
      </c>
      <c r="G1361" s="388" t="s">
        <v>10088</v>
      </c>
      <c r="H1361" s="388" t="s">
        <v>11349</v>
      </c>
      <c r="I1361" s="387" t="s">
        <v>12502</v>
      </c>
      <c r="J1361" s="389">
        <v>43377</v>
      </c>
      <c r="K1361" s="387" t="s">
        <v>12500</v>
      </c>
      <c r="L1361" s="387"/>
      <c r="M1361" s="387" t="s">
        <v>10084</v>
      </c>
      <c r="N1361" s="387"/>
      <c r="O1361" s="387" t="s">
        <v>57</v>
      </c>
      <c r="P1361" s="390">
        <v>56046100</v>
      </c>
      <c r="Q1361" s="387" t="s">
        <v>12501</v>
      </c>
      <c r="R1361" s="387" t="s">
        <v>440</v>
      </c>
      <c r="S1361" s="340">
        <v>20</v>
      </c>
    </row>
    <row r="1362" spans="1:19" ht="43.5" x14ac:dyDescent="0.35">
      <c r="A1362" s="349">
        <v>1351</v>
      </c>
      <c r="B1362" s="387" t="s">
        <v>10832</v>
      </c>
      <c r="C1362" s="387" t="s">
        <v>10833</v>
      </c>
      <c r="D1362" s="388" t="s">
        <v>841</v>
      </c>
      <c r="E1362" s="388" t="s">
        <v>10082</v>
      </c>
      <c r="F1362" s="388" t="s">
        <v>10078</v>
      </c>
      <c r="G1362" s="388" t="s">
        <v>10088</v>
      </c>
      <c r="H1362" s="388" t="s">
        <v>11349</v>
      </c>
      <c r="I1362" s="387" t="s">
        <v>12503</v>
      </c>
      <c r="J1362" s="389">
        <v>43377</v>
      </c>
      <c r="K1362" s="387" t="s">
        <v>12500</v>
      </c>
      <c r="L1362" s="387"/>
      <c r="M1362" s="387" t="s">
        <v>10084</v>
      </c>
      <c r="N1362" s="387"/>
      <c r="O1362" s="387" t="s">
        <v>57</v>
      </c>
      <c r="P1362" s="390">
        <v>56046100</v>
      </c>
      <c r="Q1362" s="387" t="s">
        <v>12501</v>
      </c>
      <c r="R1362" s="387" t="s">
        <v>440</v>
      </c>
      <c r="S1362" s="340">
        <v>20</v>
      </c>
    </row>
    <row r="1363" spans="1:19" ht="29.5" thickBot="1" x14ac:dyDescent="0.4">
      <c r="A1363" s="357">
        <v>1352</v>
      </c>
      <c r="B1363" s="387" t="s">
        <v>10832</v>
      </c>
      <c r="C1363" s="387" t="s">
        <v>10833</v>
      </c>
      <c r="D1363" s="388" t="s">
        <v>904</v>
      </c>
      <c r="E1363" s="388" t="s">
        <v>10082</v>
      </c>
      <c r="F1363" s="388" t="s">
        <v>10078</v>
      </c>
      <c r="G1363" s="388" t="s">
        <v>10078</v>
      </c>
      <c r="H1363" s="388" t="s">
        <v>11349</v>
      </c>
      <c r="I1363" s="387" t="s">
        <v>12504</v>
      </c>
      <c r="J1363" s="389">
        <v>44154</v>
      </c>
      <c r="K1363" s="387" t="s">
        <v>12505</v>
      </c>
      <c r="L1363" s="387"/>
      <c r="M1363" s="387" t="s">
        <v>10084</v>
      </c>
      <c r="N1363" s="387"/>
      <c r="O1363" s="387" t="s">
        <v>57</v>
      </c>
      <c r="P1363" s="390">
        <v>62635166.600000001</v>
      </c>
      <c r="Q1363" s="387" t="s">
        <v>12506</v>
      </c>
      <c r="R1363" s="387" t="s">
        <v>440</v>
      </c>
      <c r="S1363" s="340">
        <v>20</v>
      </c>
    </row>
    <row r="1364" spans="1:19" ht="29" x14ac:dyDescent="0.35">
      <c r="A1364" s="349">
        <v>1353</v>
      </c>
      <c r="B1364" s="387" t="s">
        <v>10832</v>
      </c>
      <c r="C1364" s="387" t="s">
        <v>10833</v>
      </c>
      <c r="D1364" s="388" t="s">
        <v>122</v>
      </c>
      <c r="E1364" s="388" t="s">
        <v>10082</v>
      </c>
      <c r="F1364" s="388" t="s">
        <v>10078</v>
      </c>
      <c r="G1364" s="388" t="s">
        <v>10078</v>
      </c>
      <c r="H1364" s="388" t="s">
        <v>11349</v>
      </c>
      <c r="I1364" s="387" t="s">
        <v>12504</v>
      </c>
      <c r="J1364" s="389">
        <v>44154</v>
      </c>
      <c r="K1364" s="387" t="s">
        <v>12505</v>
      </c>
      <c r="L1364" s="387"/>
      <c r="M1364" s="387" t="s">
        <v>10084</v>
      </c>
      <c r="N1364" s="387"/>
      <c r="O1364" s="387" t="s">
        <v>57</v>
      </c>
      <c r="P1364" s="390">
        <v>62635166.600000001</v>
      </c>
      <c r="Q1364" s="387" t="s">
        <v>12506</v>
      </c>
      <c r="R1364" s="387" t="s">
        <v>440</v>
      </c>
      <c r="S1364" s="340">
        <v>20</v>
      </c>
    </row>
    <row r="1365" spans="1:19" ht="29.5" thickBot="1" x14ac:dyDescent="0.4">
      <c r="A1365" s="357">
        <v>1354</v>
      </c>
      <c r="B1365" s="387" t="s">
        <v>10832</v>
      </c>
      <c r="C1365" s="387" t="s">
        <v>10833</v>
      </c>
      <c r="D1365" s="388" t="s">
        <v>126</v>
      </c>
      <c r="E1365" s="388" t="s">
        <v>10082</v>
      </c>
      <c r="F1365" s="388" t="s">
        <v>10078</v>
      </c>
      <c r="G1365" s="388" t="s">
        <v>10078</v>
      </c>
      <c r="H1365" s="388" t="s">
        <v>11349</v>
      </c>
      <c r="I1365" s="387" t="s">
        <v>12504</v>
      </c>
      <c r="J1365" s="389">
        <v>44154</v>
      </c>
      <c r="K1365" s="387" t="s">
        <v>12505</v>
      </c>
      <c r="L1365" s="387"/>
      <c r="M1365" s="387" t="s">
        <v>10084</v>
      </c>
      <c r="N1365" s="387"/>
      <c r="O1365" s="387" t="s">
        <v>57</v>
      </c>
      <c r="P1365" s="390">
        <v>62635166.600000001</v>
      </c>
      <c r="Q1365" s="387" t="s">
        <v>12506</v>
      </c>
      <c r="R1365" s="387" t="s">
        <v>440</v>
      </c>
      <c r="S1365" s="340">
        <v>20</v>
      </c>
    </row>
    <row r="1366" spans="1:19" ht="29" x14ac:dyDescent="0.35">
      <c r="A1366" s="349">
        <v>1355</v>
      </c>
      <c r="B1366" s="387" t="s">
        <v>10832</v>
      </c>
      <c r="C1366" s="387" t="s">
        <v>10833</v>
      </c>
      <c r="D1366" s="388" t="s">
        <v>132</v>
      </c>
      <c r="E1366" s="388" t="s">
        <v>10082</v>
      </c>
      <c r="F1366" s="388" t="s">
        <v>10078</v>
      </c>
      <c r="G1366" s="388" t="s">
        <v>10078</v>
      </c>
      <c r="H1366" s="388" t="s">
        <v>11349</v>
      </c>
      <c r="I1366" s="387" t="s">
        <v>12504</v>
      </c>
      <c r="J1366" s="389">
        <v>44154</v>
      </c>
      <c r="K1366" s="387" t="s">
        <v>12505</v>
      </c>
      <c r="L1366" s="387"/>
      <c r="M1366" s="387" t="s">
        <v>10084</v>
      </c>
      <c r="N1366" s="387"/>
      <c r="O1366" s="387" t="s">
        <v>57</v>
      </c>
      <c r="P1366" s="390">
        <v>62635166.600000001</v>
      </c>
      <c r="Q1366" s="387" t="s">
        <v>12506</v>
      </c>
      <c r="R1366" s="387" t="s">
        <v>440</v>
      </c>
      <c r="S1366" s="340">
        <v>20</v>
      </c>
    </row>
    <row r="1367" spans="1:19" ht="29.5" thickBot="1" x14ac:dyDescent="0.4">
      <c r="A1367" s="357">
        <v>1356</v>
      </c>
      <c r="B1367" s="387" t="s">
        <v>10832</v>
      </c>
      <c r="C1367" s="387" t="s">
        <v>10833</v>
      </c>
      <c r="D1367" s="388" t="s">
        <v>137</v>
      </c>
      <c r="E1367" s="388" t="s">
        <v>10082</v>
      </c>
      <c r="F1367" s="388" t="s">
        <v>10078</v>
      </c>
      <c r="G1367" s="388" t="s">
        <v>10078</v>
      </c>
      <c r="H1367" s="388" t="s">
        <v>11349</v>
      </c>
      <c r="I1367" s="387" t="s">
        <v>12504</v>
      </c>
      <c r="J1367" s="389">
        <v>44154</v>
      </c>
      <c r="K1367" s="387" t="s">
        <v>12505</v>
      </c>
      <c r="L1367" s="387"/>
      <c r="M1367" s="387" t="s">
        <v>10084</v>
      </c>
      <c r="N1367" s="387"/>
      <c r="O1367" s="387" t="s">
        <v>57</v>
      </c>
      <c r="P1367" s="390">
        <v>62635166.600000001</v>
      </c>
      <c r="Q1367" s="387" t="s">
        <v>12506</v>
      </c>
      <c r="R1367" s="387" t="s">
        <v>440</v>
      </c>
      <c r="S1367" s="340">
        <v>20</v>
      </c>
    </row>
    <row r="1368" spans="1:19" ht="29" x14ac:dyDescent="0.35">
      <c r="A1368" s="349">
        <v>1357</v>
      </c>
      <c r="B1368" s="387" t="s">
        <v>10832</v>
      </c>
      <c r="C1368" s="387" t="s">
        <v>10833</v>
      </c>
      <c r="D1368" s="388" t="s">
        <v>146</v>
      </c>
      <c r="E1368" s="388" t="s">
        <v>10082</v>
      </c>
      <c r="F1368" s="388" t="s">
        <v>10078</v>
      </c>
      <c r="G1368" s="388" t="s">
        <v>10078</v>
      </c>
      <c r="H1368" s="388" t="s">
        <v>11349</v>
      </c>
      <c r="I1368" s="387" t="s">
        <v>12081</v>
      </c>
      <c r="J1368" s="389">
        <v>44154</v>
      </c>
      <c r="K1368" s="387" t="s">
        <v>12507</v>
      </c>
      <c r="L1368" s="387"/>
      <c r="M1368" s="387" t="s">
        <v>10084</v>
      </c>
      <c r="N1368" s="387"/>
      <c r="O1368" s="387" t="s">
        <v>57</v>
      </c>
      <c r="P1368" s="390">
        <v>62635166.700000003</v>
      </c>
      <c r="Q1368" s="387" t="s">
        <v>12508</v>
      </c>
      <c r="R1368" s="387" t="s">
        <v>440</v>
      </c>
      <c r="S1368" s="340">
        <v>20</v>
      </c>
    </row>
    <row r="1369" spans="1:19" ht="29.5" thickBot="1" x14ac:dyDescent="0.4">
      <c r="A1369" s="357">
        <v>1358</v>
      </c>
      <c r="B1369" s="387" t="s">
        <v>11091</v>
      </c>
      <c r="C1369" s="387" t="s">
        <v>11092</v>
      </c>
      <c r="D1369" s="388" t="s">
        <v>51</v>
      </c>
      <c r="E1369" s="388" t="s">
        <v>10082</v>
      </c>
      <c r="F1369" s="388" t="s">
        <v>10078</v>
      </c>
      <c r="G1369" s="388" t="s">
        <v>10088</v>
      </c>
      <c r="H1369" s="388" t="s">
        <v>11324</v>
      </c>
      <c r="I1369" s="387" t="s">
        <v>8004</v>
      </c>
      <c r="J1369" s="389">
        <v>41908</v>
      </c>
      <c r="K1369" s="387" t="s">
        <v>12509</v>
      </c>
      <c r="L1369" s="387"/>
      <c r="M1369" s="387" t="s">
        <v>10084</v>
      </c>
      <c r="N1369" s="387"/>
      <c r="O1369" s="387" t="s">
        <v>57</v>
      </c>
      <c r="P1369" s="390">
        <v>59750000</v>
      </c>
      <c r="Q1369" s="387" t="s">
        <v>12510</v>
      </c>
      <c r="R1369" s="387" t="s">
        <v>440</v>
      </c>
      <c r="S1369" s="340">
        <v>20</v>
      </c>
    </row>
    <row r="1370" spans="1:19" ht="29" x14ac:dyDescent="0.35">
      <c r="A1370" s="349">
        <v>1359</v>
      </c>
      <c r="B1370" s="387" t="s">
        <v>10511</v>
      </c>
      <c r="C1370" s="387" t="s">
        <v>10512</v>
      </c>
      <c r="D1370" s="388" t="s">
        <v>51</v>
      </c>
      <c r="E1370" s="388" t="s">
        <v>10082</v>
      </c>
      <c r="F1370" s="388" t="s">
        <v>10078</v>
      </c>
      <c r="G1370" s="388" t="s">
        <v>10088</v>
      </c>
      <c r="H1370" s="388" t="s">
        <v>11332</v>
      </c>
      <c r="I1370" s="387" t="s">
        <v>11286</v>
      </c>
      <c r="J1370" s="389">
        <v>39576</v>
      </c>
      <c r="K1370" s="387" t="s">
        <v>11330</v>
      </c>
      <c r="L1370" s="387"/>
      <c r="M1370" s="387" t="s">
        <v>10084</v>
      </c>
      <c r="N1370" s="387"/>
      <c r="O1370" s="387" t="s">
        <v>57</v>
      </c>
      <c r="P1370" s="390">
        <v>24950000</v>
      </c>
      <c r="Q1370" s="387" t="s">
        <v>11331</v>
      </c>
      <c r="R1370" s="387" t="s">
        <v>440</v>
      </c>
      <c r="S1370" s="340">
        <v>20</v>
      </c>
    </row>
    <row r="1371" spans="1:19" ht="29.5" thickBot="1" x14ac:dyDescent="0.4">
      <c r="A1371" s="357">
        <v>1360</v>
      </c>
      <c r="B1371" s="387" t="s">
        <v>12511</v>
      </c>
      <c r="C1371" s="387" t="s">
        <v>12512</v>
      </c>
      <c r="D1371" s="388" t="s">
        <v>51</v>
      </c>
      <c r="E1371" s="388" t="s">
        <v>10082</v>
      </c>
      <c r="F1371" s="388" t="s">
        <v>10078</v>
      </c>
      <c r="G1371" s="388" t="s">
        <v>10078</v>
      </c>
      <c r="H1371" s="388" t="s">
        <v>11384</v>
      </c>
      <c r="I1371" s="387" t="s">
        <v>9596</v>
      </c>
      <c r="J1371" s="389">
        <v>39937</v>
      </c>
      <c r="K1371" s="387" t="s">
        <v>12513</v>
      </c>
      <c r="L1371" s="387"/>
      <c r="M1371" s="387" t="s">
        <v>10084</v>
      </c>
      <c r="N1371" s="387"/>
      <c r="O1371" s="387" t="s">
        <v>57</v>
      </c>
      <c r="P1371" s="390">
        <v>49870000</v>
      </c>
      <c r="Q1371" s="387" t="s">
        <v>12514</v>
      </c>
      <c r="R1371" s="387" t="s">
        <v>440</v>
      </c>
      <c r="S1371" s="340">
        <v>20</v>
      </c>
    </row>
    <row r="1372" spans="1:19" ht="29" x14ac:dyDescent="0.35">
      <c r="A1372" s="349">
        <v>1361</v>
      </c>
      <c r="B1372" s="387" t="s">
        <v>12511</v>
      </c>
      <c r="C1372" s="387" t="s">
        <v>12512</v>
      </c>
      <c r="D1372" s="388" t="s">
        <v>59</v>
      </c>
      <c r="E1372" s="388" t="s">
        <v>10082</v>
      </c>
      <c r="F1372" s="388" t="s">
        <v>10078</v>
      </c>
      <c r="G1372" s="388" t="s">
        <v>10078</v>
      </c>
      <c r="H1372" s="388" t="s">
        <v>8956</v>
      </c>
      <c r="I1372" s="387" t="s">
        <v>9591</v>
      </c>
      <c r="J1372" s="389">
        <v>40010</v>
      </c>
      <c r="K1372" s="387" t="s">
        <v>12515</v>
      </c>
      <c r="L1372" s="387"/>
      <c r="M1372" s="387" t="s">
        <v>10084</v>
      </c>
      <c r="N1372" s="387"/>
      <c r="O1372" s="387" t="s">
        <v>57</v>
      </c>
      <c r="P1372" s="390">
        <v>54700000</v>
      </c>
      <c r="Q1372" s="387" t="s">
        <v>12516</v>
      </c>
      <c r="R1372" s="387" t="s">
        <v>440</v>
      </c>
      <c r="S1372" s="340">
        <v>20</v>
      </c>
    </row>
    <row r="1373" spans="1:19" ht="29.5" thickBot="1" x14ac:dyDescent="0.4">
      <c r="A1373" s="357">
        <v>1362</v>
      </c>
      <c r="B1373" s="387" t="s">
        <v>10096</v>
      </c>
      <c r="C1373" s="387" t="s">
        <v>10097</v>
      </c>
      <c r="D1373" s="388" t="s">
        <v>51</v>
      </c>
      <c r="E1373" s="388" t="s">
        <v>10082</v>
      </c>
      <c r="F1373" s="388" t="s">
        <v>10078</v>
      </c>
      <c r="G1373" s="388" t="s">
        <v>10078</v>
      </c>
      <c r="H1373" s="388" t="s">
        <v>12517</v>
      </c>
      <c r="I1373" s="387" t="s">
        <v>12518</v>
      </c>
      <c r="J1373" s="389">
        <v>41823</v>
      </c>
      <c r="K1373" s="387" t="s">
        <v>12519</v>
      </c>
      <c r="L1373" s="387"/>
      <c r="M1373" s="387" t="s">
        <v>10084</v>
      </c>
      <c r="N1373" s="387"/>
      <c r="O1373" s="387" t="s">
        <v>57</v>
      </c>
      <c r="P1373" s="390">
        <v>198600000</v>
      </c>
      <c r="Q1373" s="387" t="s">
        <v>12520</v>
      </c>
      <c r="R1373" s="387" t="s">
        <v>440</v>
      </c>
      <c r="S1373" s="340">
        <v>20</v>
      </c>
    </row>
    <row r="1374" spans="1:19" ht="43.5" x14ac:dyDescent="0.35">
      <c r="A1374" s="349">
        <v>1363</v>
      </c>
      <c r="B1374" s="387" t="s">
        <v>10096</v>
      </c>
      <c r="C1374" s="387" t="s">
        <v>10097</v>
      </c>
      <c r="D1374" s="388" t="s">
        <v>59</v>
      </c>
      <c r="E1374" s="388" t="s">
        <v>10082</v>
      </c>
      <c r="F1374" s="388" t="s">
        <v>10078</v>
      </c>
      <c r="G1374" s="388" t="s">
        <v>10078</v>
      </c>
      <c r="H1374" s="388" t="s">
        <v>12350</v>
      </c>
      <c r="I1374" s="387" t="s">
        <v>12468</v>
      </c>
      <c r="J1374" s="389">
        <v>43663</v>
      </c>
      <c r="K1374" s="387" t="s">
        <v>12521</v>
      </c>
      <c r="L1374" s="387"/>
      <c r="M1374" s="387" t="s">
        <v>10084</v>
      </c>
      <c r="N1374" s="387"/>
      <c r="O1374" s="387" t="s">
        <v>57</v>
      </c>
      <c r="P1374" s="390">
        <v>474300000</v>
      </c>
      <c r="Q1374" s="387" t="s">
        <v>12522</v>
      </c>
      <c r="R1374" s="387" t="s">
        <v>440</v>
      </c>
      <c r="S1374" s="340">
        <v>20</v>
      </c>
    </row>
    <row r="1375" spans="1:19" ht="29.5" thickBot="1" x14ac:dyDescent="0.4">
      <c r="A1375" s="357">
        <v>1364</v>
      </c>
      <c r="B1375" s="387" t="s">
        <v>10155</v>
      </c>
      <c r="C1375" s="387" t="s">
        <v>10156</v>
      </c>
      <c r="D1375" s="388" t="s">
        <v>51</v>
      </c>
      <c r="E1375" s="388" t="s">
        <v>10082</v>
      </c>
      <c r="F1375" s="388" t="s">
        <v>10071</v>
      </c>
      <c r="G1375" s="388" t="s">
        <v>10088</v>
      </c>
      <c r="H1375" s="388" t="s">
        <v>12116</v>
      </c>
      <c r="I1375" s="387" t="s">
        <v>12523</v>
      </c>
      <c r="J1375" s="389">
        <v>39263</v>
      </c>
      <c r="K1375" s="387" t="s">
        <v>63</v>
      </c>
      <c r="L1375" s="387"/>
      <c r="M1375" s="387" t="s">
        <v>10084</v>
      </c>
      <c r="N1375" s="387"/>
      <c r="O1375" s="387" t="s">
        <v>57</v>
      </c>
      <c r="P1375" s="390">
        <v>4343640500</v>
      </c>
      <c r="Q1375" s="387"/>
      <c r="R1375" s="387" t="s">
        <v>12524</v>
      </c>
      <c r="S1375" s="340">
        <v>21</v>
      </c>
    </row>
    <row r="1376" spans="1:19" ht="43.5" x14ac:dyDescent="0.35">
      <c r="A1376" s="349">
        <v>1365</v>
      </c>
      <c r="B1376" s="387" t="s">
        <v>10535</v>
      </c>
      <c r="C1376" s="387" t="s">
        <v>10536</v>
      </c>
      <c r="D1376" s="388" t="s">
        <v>51</v>
      </c>
      <c r="E1376" s="388" t="s">
        <v>10082</v>
      </c>
      <c r="F1376" s="388" t="s">
        <v>10078</v>
      </c>
      <c r="G1376" s="388" t="s">
        <v>10088</v>
      </c>
      <c r="H1376" s="388"/>
      <c r="I1376" s="387" t="s">
        <v>10548</v>
      </c>
      <c r="J1376" s="389">
        <v>44917</v>
      </c>
      <c r="K1376" s="387" t="s">
        <v>12525</v>
      </c>
      <c r="L1376" s="387"/>
      <c r="M1376" s="387"/>
      <c r="N1376" s="387"/>
      <c r="O1376" s="387" t="s">
        <v>44</v>
      </c>
      <c r="P1376" s="390">
        <v>182595000</v>
      </c>
      <c r="Q1376" s="387" t="s">
        <v>12526</v>
      </c>
      <c r="R1376" s="387" t="s">
        <v>12524</v>
      </c>
      <c r="S1376" s="340">
        <v>21</v>
      </c>
    </row>
    <row r="1377" spans="1:19" thickBot="1" x14ac:dyDescent="0.4">
      <c r="A1377" s="357">
        <v>1366</v>
      </c>
      <c r="B1377" s="387" t="s">
        <v>10660</v>
      </c>
      <c r="C1377" s="387" t="s">
        <v>10661</v>
      </c>
      <c r="D1377" s="388" t="s">
        <v>51</v>
      </c>
      <c r="E1377" s="388" t="s">
        <v>10082</v>
      </c>
      <c r="F1377" s="388" t="s">
        <v>10078</v>
      </c>
      <c r="G1377" s="388" t="s">
        <v>10078</v>
      </c>
      <c r="H1377" s="388" t="s">
        <v>11634</v>
      </c>
      <c r="I1377" s="387" t="s">
        <v>12527</v>
      </c>
      <c r="J1377" s="389">
        <v>44386</v>
      </c>
      <c r="K1377" s="387" t="s">
        <v>12528</v>
      </c>
      <c r="L1377" s="387"/>
      <c r="M1377" s="387" t="s">
        <v>10084</v>
      </c>
      <c r="N1377" s="387"/>
      <c r="O1377" s="387" t="s">
        <v>57</v>
      </c>
      <c r="P1377" s="390">
        <v>98988000</v>
      </c>
      <c r="Q1377" s="387" t="s">
        <v>12529</v>
      </c>
      <c r="R1377" s="387" t="s">
        <v>12524</v>
      </c>
      <c r="S1377" s="340">
        <v>21</v>
      </c>
    </row>
    <row r="1378" spans="1:19" ht="29" x14ac:dyDescent="0.35">
      <c r="A1378" s="349">
        <v>1367</v>
      </c>
      <c r="B1378" s="387" t="s">
        <v>10155</v>
      </c>
      <c r="C1378" s="387" t="s">
        <v>10156</v>
      </c>
      <c r="D1378" s="388" t="s">
        <v>51</v>
      </c>
      <c r="E1378" s="388" t="s">
        <v>10082</v>
      </c>
      <c r="F1378" s="388" t="s">
        <v>10078</v>
      </c>
      <c r="G1378" s="388" t="s">
        <v>10088</v>
      </c>
      <c r="H1378" s="388" t="s">
        <v>11407</v>
      </c>
      <c r="I1378" s="387" t="s">
        <v>12530</v>
      </c>
      <c r="J1378" s="389"/>
      <c r="K1378" s="387"/>
      <c r="L1378" s="387"/>
      <c r="M1378" s="387" t="s">
        <v>10084</v>
      </c>
      <c r="N1378" s="387"/>
      <c r="O1378" s="387" t="s">
        <v>57</v>
      </c>
      <c r="P1378" s="390">
        <v>181500000</v>
      </c>
      <c r="Q1378" s="387" t="s">
        <v>12531</v>
      </c>
      <c r="R1378" s="387" t="s">
        <v>495</v>
      </c>
      <c r="S1378" s="340">
        <v>22</v>
      </c>
    </row>
    <row r="1379" spans="1:19" ht="29.5" thickBot="1" x14ac:dyDescent="0.4">
      <c r="A1379" s="357">
        <v>1368</v>
      </c>
      <c r="B1379" s="387" t="s">
        <v>10155</v>
      </c>
      <c r="C1379" s="387" t="s">
        <v>10156</v>
      </c>
      <c r="D1379" s="388" t="s">
        <v>59</v>
      </c>
      <c r="E1379" s="388" t="s">
        <v>10082</v>
      </c>
      <c r="F1379" s="388" t="s">
        <v>10078</v>
      </c>
      <c r="G1379" s="388" t="s">
        <v>10088</v>
      </c>
      <c r="H1379" s="388" t="s">
        <v>11407</v>
      </c>
      <c r="I1379" s="387" t="s">
        <v>12530</v>
      </c>
      <c r="J1379" s="389"/>
      <c r="K1379" s="387"/>
      <c r="L1379" s="387"/>
      <c r="M1379" s="387" t="s">
        <v>10084</v>
      </c>
      <c r="N1379" s="387"/>
      <c r="O1379" s="387" t="s">
        <v>57</v>
      </c>
      <c r="P1379" s="390">
        <v>181500000</v>
      </c>
      <c r="Q1379" s="387" t="s">
        <v>12532</v>
      </c>
      <c r="R1379" s="387" t="s">
        <v>495</v>
      </c>
      <c r="S1379" s="340">
        <v>22</v>
      </c>
    </row>
    <row r="1380" spans="1:19" ht="29" x14ac:dyDescent="0.35">
      <c r="A1380" s="349">
        <v>1369</v>
      </c>
      <c r="B1380" s="387" t="s">
        <v>10155</v>
      </c>
      <c r="C1380" s="387" t="s">
        <v>10156</v>
      </c>
      <c r="D1380" s="388" t="s">
        <v>97</v>
      </c>
      <c r="E1380" s="388" t="s">
        <v>10082</v>
      </c>
      <c r="F1380" s="388" t="s">
        <v>10078</v>
      </c>
      <c r="G1380" s="388" t="s">
        <v>10088</v>
      </c>
      <c r="H1380" s="388" t="s">
        <v>11756</v>
      </c>
      <c r="I1380" s="387" t="s">
        <v>12533</v>
      </c>
      <c r="J1380" s="389">
        <v>38047</v>
      </c>
      <c r="K1380" s="387" t="s">
        <v>12534</v>
      </c>
      <c r="L1380" s="387"/>
      <c r="M1380" s="387" t="s">
        <v>10084</v>
      </c>
      <c r="N1380" s="387"/>
      <c r="O1380" s="387" t="s">
        <v>57</v>
      </c>
      <c r="P1380" s="390">
        <v>2802520076.0000005</v>
      </c>
      <c r="Q1380" s="387" t="s">
        <v>12535</v>
      </c>
      <c r="R1380" s="387" t="s">
        <v>495</v>
      </c>
      <c r="S1380" s="340">
        <v>22</v>
      </c>
    </row>
    <row r="1381" spans="1:19" ht="29.5" thickBot="1" x14ac:dyDescent="0.4">
      <c r="A1381" s="357">
        <v>1370</v>
      </c>
      <c r="B1381" s="387" t="s">
        <v>10535</v>
      </c>
      <c r="C1381" s="387" t="s">
        <v>10536</v>
      </c>
      <c r="D1381" s="388" t="s">
        <v>51</v>
      </c>
      <c r="E1381" s="388" t="s">
        <v>10082</v>
      </c>
      <c r="F1381" s="388" t="s">
        <v>10078</v>
      </c>
      <c r="G1381" s="388" t="s">
        <v>10088</v>
      </c>
      <c r="H1381" s="388" t="s">
        <v>11284</v>
      </c>
      <c r="I1381" s="387" t="s">
        <v>12536</v>
      </c>
      <c r="J1381" s="389">
        <v>41547</v>
      </c>
      <c r="K1381" s="387" t="s">
        <v>10539</v>
      </c>
      <c r="L1381" s="387"/>
      <c r="M1381" s="387" t="s">
        <v>10084</v>
      </c>
      <c r="N1381" s="387"/>
      <c r="O1381" s="387" t="s">
        <v>57</v>
      </c>
      <c r="P1381" s="390">
        <v>8794000</v>
      </c>
      <c r="Q1381" s="387" t="s">
        <v>10540</v>
      </c>
      <c r="R1381" s="387" t="s">
        <v>495</v>
      </c>
      <c r="S1381" s="340">
        <v>22</v>
      </c>
    </row>
    <row r="1382" spans="1:19" ht="58" x14ac:dyDescent="0.35">
      <c r="A1382" s="349">
        <v>1371</v>
      </c>
      <c r="B1382" s="387" t="s">
        <v>10535</v>
      </c>
      <c r="C1382" s="387" t="s">
        <v>10536</v>
      </c>
      <c r="D1382" s="388" t="s">
        <v>59</v>
      </c>
      <c r="E1382" s="388" t="s">
        <v>10082</v>
      </c>
      <c r="F1382" s="388" t="s">
        <v>10078</v>
      </c>
      <c r="G1382" s="388" t="s">
        <v>10078</v>
      </c>
      <c r="H1382" s="388" t="s">
        <v>12537</v>
      </c>
      <c r="I1382" s="387" t="s">
        <v>12538</v>
      </c>
      <c r="J1382" s="389">
        <v>41536</v>
      </c>
      <c r="K1382" s="387" t="s">
        <v>12539</v>
      </c>
      <c r="L1382" s="387"/>
      <c r="M1382" s="387" t="s">
        <v>10084</v>
      </c>
      <c r="N1382" s="387"/>
      <c r="O1382" s="387" t="s">
        <v>57</v>
      </c>
      <c r="P1382" s="390">
        <v>597498700</v>
      </c>
      <c r="Q1382" s="387" t="s">
        <v>12540</v>
      </c>
      <c r="R1382" s="387" t="s">
        <v>495</v>
      </c>
      <c r="S1382" s="340">
        <v>22</v>
      </c>
    </row>
    <row r="1383" spans="1:19" ht="87.5" thickBot="1" x14ac:dyDescent="0.4">
      <c r="A1383" s="357">
        <v>1372</v>
      </c>
      <c r="B1383" s="387" t="s">
        <v>10541</v>
      </c>
      <c r="C1383" s="387" t="s">
        <v>10542</v>
      </c>
      <c r="D1383" s="388" t="s">
        <v>51</v>
      </c>
      <c r="E1383" s="388" t="s">
        <v>10082</v>
      </c>
      <c r="F1383" s="388" t="s">
        <v>10078</v>
      </c>
      <c r="G1383" s="388" t="s">
        <v>10088</v>
      </c>
      <c r="H1383" s="388" t="s">
        <v>12157</v>
      </c>
      <c r="I1383" s="387" t="s">
        <v>12541</v>
      </c>
      <c r="J1383" s="389">
        <v>41040</v>
      </c>
      <c r="K1383" s="387" t="s">
        <v>12542</v>
      </c>
      <c r="L1383" s="387"/>
      <c r="M1383" s="387" t="s">
        <v>10084</v>
      </c>
      <c r="N1383" s="387"/>
      <c r="O1383" s="387" t="s">
        <v>57</v>
      </c>
      <c r="P1383" s="390">
        <v>281613500</v>
      </c>
      <c r="Q1383" s="387" t="s">
        <v>12543</v>
      </c>
      <c r="R1383" s="387" t="s">
        <v>495</v>
      </c>
      <c r="S1383" s="340">
        <v>22</v>
      </c>
    </row>
    <row r="1384" spans="1:19" ht="29" x14ac:dyDescent="0.35">
      <c r="A1384" s="349">
        <v>1373</v>
      </c>
      <c r="B1384" s="387" t="s">
        <v>11295</v>
      </c>
      <c r="C1384" s="387" t="s">
        <v>11296</v>
      </c>
      <c r="D1384" s="388" t="s">
        <v>51</v>
      </c>
      <c r="E1384" s="388" t="s">
        <v>10673</v>
      </c>
      <c r="F1384" s="388" t="s">
        <v>10078</v>
      </c>
      <c r="G1384" s="388" t="s">
        <v>10078</v>
      </c>
      <c r="H1384" s="388" t="s">
        <v>11447</v>
      </c>
      <c r="I1384" s="387" t="s">
        <v>12530</v>
      </c>
      <c r="J1384" s="389"/>
      <c r="K1384" s="387"/>
      <c r="L1384" s="387"/>
      <c r="M1384" s="387" t="s">
        <v>10084</v>
      </c>
      <c r="N1384" s="387"/>
      <c r="O1384" s="387" t="s">
        <v>57</v>
      </c>
      <c r="P1384" s="390">
        <v>31763000</v>
      </c>
      <c r="Q1384" s="387" t="s">
        <v>12544</v>
      </c>
      <c r="R1384" s="387" t="s">
        <v>495</v>
      </c>
      <c r="S1384" s="340">
        <v>22</v>
      </c>
    </row>
    <row r="1385" spans="1:19" ht="29.5" thickBot="1" x14ac:dyDescent="0.4">
      <c r="A1385" s="357">
        <v>1374</v>
      </c>
      <c r="B1385" s="387" t="s">
        <v>11295</v>
      </c>
      <c r="C1385" s="387" t="s">
        <v>11296</v>
      </c>
      <c r="D1385" s="388" t="s">
        <v>59</v>
      </c>
      <c r="E1385" s="388" t="s">
        <v>10082</v>
      </c>
      <c r="F1385" s="388" t="s">
        <v>10078</v>
      </c>
      <c r="G1385" s="388" t="s">
        <v>10078</v>
      </c>
      <c r="H1385" s="388" t="s">
        <v>11408</v>
      </c>
      <c r="I1385" s="387" t="s">
        <v>12530</v>
      </c>
      <c r="J1385" s="389"/>
      <c r="K1385" s="387"/>
      <c r="L1385" s="387"/>
      <c r="M1385" s="387" t="s">
        <v>10084</v>
      </c>
      <c r="N1385" s="387"/>
      <c r="O1385" s="387" t="s">
        <v>57</v>
      </c>
      <c r="P1385" s="390">
        <v>9750000</v>
      </c>
      <c r="Q1385" s="387" t="s">
        <v>12545</v>
      </c>
      <c r="R1385" s="387" t="s">
        <v>495</v>
      </c>
      <c r="S1385" s="340">
        <v>22</v>
      </c>
    </row>
    <row r="1386" spans="1:19" ht="29" x14ac:dyDescent="0.35">
      <c r="A1386" s="349">
        <v>1375</v>
      </c>
      <c r="B1386" s="387" t="s">
        <v>11295</v>
      </c>
      <c r="C1386" s="387" t="s">
        <v>11296</v>
      </c>
      <c r="D1386" s="388" t="s">
        <v>97</v>
      </c>
      <c r="E1386" s="388" t="s">
        <v>10082</v>
      </c>
      <c r="F1386" s="388" t="s">
        <v>10078</v>
      </c>
      <c r="G1386" s="388" t="s">
        <v>10078</v>
      </c>
      <c r="H1386" s="388" t="s">
        <v>11332</v>
      </c>
      <c r="I1386" s="387" t="s">
        <v>12530</v>
      </c>
      <c r="J1386" s="389"/>
      <c r="K1386" s="387"/>
      <c r="L1386" s="387"/>
      <c r="M1386" s="387" t="s">
        <v>10084</v>
      </c>
      <c r="N1386" s="387"/>
      <c r="O1386" s="387" t="s">
        <v>57</v>
      </c>
      <c r="P1386" s="390">
        <v>17016000</v>
      </c>
      <c r="Q1386" s="387" t="s">
        <v>12546</v>
      </c>
      <c r="R1386" s="387" t="s">
        <v>495</v>
      </c>
      <c r="S1386" s="340">
        <v>22</v>
      </c>
    </row>
    <row r="1387" spans="1:19" ht="29.5" thickBot="1" x14ac:dyDescent="0.4">
      <c r="A1387" s="357">
        <v>1376</v>
      </c>
      <c r="B1387" s="387" t="s">
        <v>11295</v>
      </c>
      <c r="C1387" s="387" t="s">
        <v>11296</v>
      </c>
      <c r="D1387" s="388" t="s">
        <v>101</v>
      </c>
      <c r="E1387" s="388" t="s">
        <v>10082</v>
      </c>
      <c r="F1387" s="388" t="s">
        <v>10078</v>
      </c>
      <c r="G1387" s="388" t="s">
        <v>10088</v>
      </c>
      <c r="H1387" s="388" t="s">
        <v>11349</v>
      </c>
      <c r="I1387" s="387" t="s">
        <v>12547</v>
      </c>
      <c r="J1387" s="389"/>
      <c r="K1387" s="387"/>
      <c r="L1387" s="387"/>
      <c r="M1387" s="387" t="s">
        <v>10084</v>
      </c>
      <c r="N1387" s="387"/>
      <c r="O1387" s="387" t="s">
        <v>57</v>
      </c>
      <c r="P1387" s="390">
        <v>28215000</v>
      </c>
      <c r="Q1387" s="387" t="s">
        <v>12548</v>
      </c>
      <c r="R1387" s="387" t="s">
        <v>495</v>
      </c>
      <c r="S1387" s="340">
        <v>22</v>
      </c>
    </row>
    <row r="1388" spans="1:19" ht="29" x14ac:dyDescent="0.35">
      <c r="A1388" s="349">
        <v>1377</v>
      </c>
      <c r="B1388" s="387" t="s">
        <v>11224</v>
      </c>
      <c r="C1388" s="387" t="s">
        <v>11225</v>
      </c>
      <c r="D1388" s="388" t="s">
        <v>51</v>
      </c>
      <c r="E1388" s="388" t="s">
        <v>10082</v>
      </c>
      <c r="F1388" s="388" t="s">
        <v>10078</v>
      </c>
      <c r="G1388" s="388" t="s">
        <v>10088</v>
      </c>
      <c r="H1388" s="388" t="s">
        <v>11384</v>
      </c>
      <c r="I1388" s="387" t="s">
        <v>12541</v>
      </c>
      <c r="J1388" s="389">
        <v>40421</v>
      </c>
      <c r="K1388" s="387" t="s">
        <v>12549</v>
      </c>
      <c r="L1388" s="387"/>
      <c r="M1388" s="387" t="s">
        <v>10084</v>
      </c>
      <c r="N1388" s="387"/>
      <c r="O1388" s="387" t="s">
        <v>57</v>
      </c>
      <c r="P1388" s="390">
        <v>106306400</v>
      </c>
      <c r="Q1388" s="387" t="s">
        <v>12550</v>
      </c>
      <c r="R1388" s="387" t="s">
        <v>495</v>
      </c>
      <c r="S1388" s="340">
        <v>22</v>
      </c>
    </row>
    <row r="1389" spans="1:19" ht="29.5" thickBot="1" x14ac:dyDescent="0.4">
      <c r="A1389" s="357">
        <v>1378</v>
      </c>
      <c r="B1389" s="387" t="s">
        <v>12551</v>
      </c>
      <c r="C1389" s="387" t="s">
        <v>12552</v>
      </c>
      <c r="D1389" s="388" t="s">
        <v>51</v>
      </c>
      <c r="E1389" s="388" t="s">
        <v>10082</v>
      </c>
      <c r="F1389" s="388" t="s">
        <v>10078</v>
      </c>
      <c r="G1389" s="388" t="s">
        <v>10078</v>
      </c>
      <c r="H1389" s="388" t="s">
        <v>11408</v>
      </c>
      <c r="I1389" s="387" t="s">
        <v>12530</v>
      </c>
      <c r="J1389" s="389"/>
      <c r="K1389" s="387"/>
      <c r="L1389" s="387"/>
      <c r="M1389" s="387" t="s">
        <v>10084</v>
      </c>
      <c r="N1389" s="387"/>
      <c r="O1389" s="387" t="s">
        <v>57</v>
      </c>
      <c r="P1389" s="390">
        <v>13613000</v>
      </c>
      <c r="Q1389" s="387" t="s">
        <v>12553</v>
      </c>
      <c r="R1389" s="387" t="s">
        <v>495</v>
      </c>
      <c r="S1389" s="340">
        <v>22</v>
      </c>
    </row>
    <row r="1390" spans="1:19" ht="43.5" x14ac:dyDescent="0.35">
      <c r="A1390" s="349">
        <v>1379</v>
      </c>
      <c r="B1390" s="387" t="s">
        <v>11830</v>
      </c>
      <c r="C1390" s="387" t="s">
        <v>11831</v>
      </c>
      <c r="D1390" s="388" t="s">
        <v>51</v>
      </c>
      <c r="E1390" s="388" t="s">
        <v>10082</v>
      </c>
      <c r="F1390" s="388" t="s">
        <v>10078</v>
      </c>
      <c r="G1390" s="388" t="s">
        <v>10088</v>
      </c>
      <c r="H1390" s="388" t="s">
        <v>12284</v>
      </c>
      <c r="I1390" s="387" t="s">
        <v>12541</v>
      </c>
      <c r="J1390" s="389">
        <v>40347</v>
      </c>
      <c r="K1390" s="387" t="s">
        <v>12554</v>
      </c>
      <c r="L1390" s="387"/>
      <c r="M1390" s="387" t="s">
        <v>10084</v>
      </c>
      <c r="N1390" s="387"/>
      <c r="O1390" s="387" t="s">
        <v>57</v>
      </c>
      <c r="P1390" s="390">
        <v>597672400</v>
      </c>
      <c r="Q1390" s="387" t="s">
        <v>12555</v>
      </c>
      <c r="R1390" s="387" t="s">
        <v>495</v>
      </c>
      <c r="S1390" s="340">
        <v>22</v>
      </c>
    </row>
    <row r="1391" spans="1:19" ht="29.5" thickBot="1" x14ac:dyDescent="0.4">
      <c r="A1391" s="357">
        <v>1380</v>
      </c>
      <c r="B1391" s="387" t="s">
        <v>11830</v>
      </c>
      <c r="C1391" s="387" t="s">
        <v>11831</v>
      </c>
      <c r="D1391" s="388" t="s">
        <v>59</v>
      </c>
      <c r="E1391" s="388" t="s">
        <v>10082</v>
      </c>
      <c r="F1391" s="388" t="s">
        <v>10078</v>
      </c>
      <c r="G1391" s="388" t="s">
        <v>10078</v>
      </c>
      <c r="H1391" s="388" t="s">
        <v>2972</v>
      </c>
      <c r="I1391" s="387" t="s">
        <v>63</v>
      </c>
      <c r="J1391" s="389"/>
      <c r="K1391" s="387"/>
      <c r="L1391" s="387"/>
      <c r="M1391" s="387" t="s">
        <v>10084</v>
      </c>
      <c r="N1391" s="387"/>
      <c r="O1391" s="387" t="s">
        <v>57</v>
      </c>
      <c r="P1391" s="390">
        <v>198918000</v>
      </c>
      <c r="Q1391" s="387" t="s">
        <v>12556</v>
      </c>
      <c r="R1391" s="387" t="s">
        <v>495</v>
      </c>
      <c r="S1391" s="340">
        <v>22</v>
      </c>
    </row>
    <row r="1392" spans="1:19" ht="29" x14ac:dyDescent="0.35">
      <c r="A1392" s="349">
        <v>1381</v>
      </c>
      <c r="B1392" s="387" t="s">
        <v>10481</v>
      </c>
      <c r="C1392" s="387" t="s">
        <v>10482</v>
      </c>
      <c r="D1392" s="388" t="s">
        <v>51</v>
      </c>
      <c r="E1392" s="388" t="s">
        <v>10082</v>
      </c>
      <c r="F1392" s="388" t="s">
        <v>10078</v>
      </c>
      <c r="G1392" s="388" t="s">
        <v>10088</v>
      </c>
      <c r="H1392" s="388" t="s">
        <v>11415</v>
      </c>
      <c r="I1392" s="387" t="s">
        <v>12538</v>
      </c>
      <c r="J1392" s="389"/>
      <c r="K1392" s="387"/>
      <c r="L1392" s="387"/>
      <c r="M1392" s="387" t="s">
        <v>10084</v>
      </c>
      <c r="N1392" s="387"/>
      <c r="O1392" s="387" t="s">
        <v>57</v>
      </c>
      <c r="P1392" s="390">
        <v>217800000</v>
      </c>
      <c r="Q1392" s="387" t="s">
        <v>12418</v>
      </c>
      <c r="R1392" s="387" t="s">
        <v>495</v>
      </c>
      <c r="S1392" s="340">
        <v>22</v>
      </c>
    </row>
    <row r="1393" spans="1:19" ht="58.5" thickBot="1" x14ac:dyDescent="0.4">
      <c r="A1393" s="357">
        <v>1382</v>
      </c>
      <c r="B1393" s="387" t="s">
        <v>10650</v>
      </c>
      <c r="C1393" s="387" t="s">
        <v>10651</v>
      </c>
      <c r="D1393" s="388" t="s">
        <v>51</v>
      </c>
      <c r="E1393" s="388" t="s">
        <v>10082</v>
      </c>
      <c r="F1393" s="388" t="s">
        <v>10071</v>
      </c>
      <c r="G1393" s="388" t="s">
        <v>10088</v>
      </c>
      <c r="H1393" s="388" t="s">
        <v>11844</v>
      </c>
      <c r="I1393" s="387" t="s">
        <v>12557</v>
      </c>
      <c r="J1393" s="389">
        <v>40781</v>
      </c>
      <c r="K1393" s="387" t="s">
        <v>12558</v>
      </c>
      <c r="L1393" s="387"/>
      <c r="M1393" s="387" t="s">
        <v>10084</v>
      </c>
      <c r="N1393" s="387"/>
      <c r="O1393" s="387" t="s">
        <v>57</v>
      </c>
      <c r="P1393" s="390">
        <v>273800000</v>
      </c>
      <c r="Q1393" s="387" t="s">
        <v>12559</v>
      </c>
      <c r="R1393" s="387" t="s">
        <v>495</v>
      </c>
      <c r="S1393" s="340">
        <v>22</v>
      </c>
    </row>
    <row r="1394" spans="1:19" ht="14.5" x14ac:dyDescent="0.35">
      <c r="A1394" s="349">
        <v>1383</v>
      </c>
      <c r="B1394" s="387" t="s">
        <v>10650</v>
      </c>
      <c r="C1394" s="387" t="s">
        <v>10651</v>
      </c>
      <c r="D1394" s="388" t="s">
        <v>59</v>
      </c>
      <c r="E1394" s="388" t="s">
        <v>10082</v>
      </c>
      <c r="F1394" s="388" t="s">
        <v>10078</v>
      </c>
      <c r="G1394" s="388" t="s">
        <v>10088</v>
      </c>
      <c r="H1394" s="388" t="s">
        <v>11870</v>
      </c>
      <c r="I1394" s="387" t="s">
        <v>12560</v>
      </c>
      <c r="J1394" s="389">
        <v>40351</v>
      </c>
      <c r="K1394" s="387" t="s">
        <v>12561</v>
      </c>
      <c r="L1394" s="387"/>
      <c r="M1394" s="387" t="s">
        <v>10084</v>
      </c>
      <c r="N1394" s="387"/>
      <c r="O1394" s="387" t="s">
        <v>57</v>
      </c>
      <c r="P1394" s="390">
        <v>74302300</v>
      </c>
      <c r="Q1394" s="387" t="s">
        <v>12562</v>
      </c>
      <c r="R1394" s="387" t="s">
        <v>495</v>
      </c>
      <c r="S1394" s="340">
        <v>22</v>
      </c>
    </row>
    <row r="1395" spans="1:19" ht="58.5" thickBot="1" x14ac:dyDescent="0.4">
      <c r="A1395" s="357">
        <v>1384</v>
      </c>
      <c r="B1395" s="387" t="s">
        <v>10650</v>
      </c>
      <c r="C1395" s="387" t="s">
        <v>10651</v>
      </c>
      <c r="D1395" s="388" t="s">
        <v>97</v>
      </c>
      <c r="E1395" s="388" t="s">
        <v>10082</v>
      </c>
      <c r="F1395" s="388" t="s">
        <v>10078</v>
      </c>
      <c r="G1395" s="388" t="s">
        <v>10088</v>
      </c>
      <c r="H1395" s="388" t="s">
        <v>8961</v>
      </c>
      <c r="I1395" s="387" t="s">
        <v>12563</v>
      </c>
      <c r="J1395" s="389">
        <v>40729</v>
      </c>
      <c r="K1395" s="387" t="s">
        <v>12564</v>
      </c>
      <c r="L1395" s="387"/>
      <c r="M1395" s="387" t="s">
        <v>10084</v>
      </c>
      <c r="N1395" s="387"/>
      <c r="O1395" s="387" t="s">
        <v>57</v>
      </c>
      <c r="P1395" s="390">
        <v>193000000</v>
      </c>
      <c r="Q1395" s="387" t="s">
        <v>12565</v>
      </c>
      <c r="R1395" s="387" t="s">
        <v>495</v>
      </c>
      <c r="S1395" s="340">
        <v>22</v>
      </c>
    </row>
    <row r="1396" spans="1:19" ht="29" x14ac:dyDescent="0.35">
      <c r="A1396" s="349">
        <v>1385</v>
      </c>
      <c r="B1396" s="387" t="s">
        <v>10486</v>
      </c>
      <c r="C1396" s="387" t="s">
        <v>10487</v>
      </c>
      <c r="D1396" s="388" t="s">
        <v>51</v>
      </c>
      <c r="E1396" s="388" t="s">
        <v>10082</v>
      </c>
      <c r="F1396" s="388" t="s">
        <v>10078</v>
      </c>
      <c r="G1396" s="388" t="s">
        <v>10078</v>
      </c>
      <c r="H1396" s="388" t="s">
        <v>2972</v>
      </c>
      <c r="I1396" s="387" t="s">
        <v>63</v>
      </c>
      <c r="J1396" s="389"/>
      <c r="K1396" s="387"/>
      <c r="L1396" s="387"/>
      <c r="M1396" s="387" t="s">
        <v>10084</v>
      </c>
      <c r="N1396" s="387"/>
      <c r="O1396" s="387" t="s">
        <v>57</v>
      </c>
      <c r="P1396" s="390">
        <v>82632000</v>
      </c>
      <c r="Q1396" s="387" t="s">
        <v>12566</v>
      </c>
      <c r="R1396" s="387" t="s">
        <v>495</v>
      </c>
      <c r="S1396" s="340">
        <v>22</v>
      </c>
    </row>
    <row r="1397" spans="1:19" ht="29.5" thickBot="1" x14ac:dyDescent="0.4">
      <c r="A1397" s="357">
        <v>1386</v>
      </c>
      <c r="B1397" s="387" t="s">
        <v>10486</v>
      </c>
      <c r="C1397" s="387" t="s">
        <v>10487</v>
      </c>
      <c r="D1397" s="388" t="s">
        <v>59</v>
      </c>
      <c r="E1397" s="388" t="s">
        <v>10082</v>
      </c>
      <c r="F1397" s="388" t="s">
        <v>10078</v>
      </c>
      <c r="G1397" s="388" t="s">
        <v>10088</v>
      </c>
      <c r="H1397" s="388" t="s">
        <v>11844</v>
      </c>
      <c r="I1397" s="387" t="s">
        <v>12541</v>
      </c>
      <c r="J1397" s="389"/>
      <c r="K1397" s="387"/>
      <c r="L1397" s="387"/>
      <c r="M1397" s="387" t="s">
        <v>10084</v>
      </c>
      <c r="N1397" s="387"/>
      <c r="O1397" s="387" t="s">
        <v>57</v>
      </c>
      <c r="P1397" s="390">
        <v>36225000</v>
      </c>
      <c r="Q1397" s="387" t="s">
        <v>12567</v>
      </c>
      <c r="R1397" s="387" t="s">
        <v>495</v>
      </c>
      <c r="S1397" s="340">
        <v>22</v>
      </c>
    </row>
    <row r="1398" spans="1:19" ht="43.5" x14ac:dyDescent="0.35">
      <c r="A1398" s="349">
        <v>1387</v>
      </c>
      <c r="B1398" s="387" t="s">
        <v>12568</v>
      </c>
      <c r="C1398" s="387" t="s">
        <v>12569</v>
      </c>
      <c r="D1398" s="388" t="s">
        <v>51</v>
      </c>
      <c r="E1398" s="388" t="s">
        <v>10082</v>
      </c>
      <c r="F1398" s="388" t="s">
        <v>10078</v>
      </c>
      <c r="G1398" s="388" t="s">
        <v>10088</v>
      </c>
      <c r="H1398" s="388" t="s">
        <v>12570</v>
      </c>
      <c r="I1398" s="387" t="s">
        <v>12530</v>
      </c>
      <c r="J1398" s="389"/>
      <c r="K1398" s="387"/>
      <c r="L1398" s="387"/>
      <c r="M1398" s="387" t="s">
        <v>10084</v>
      </c>
      <c r="N1398" s="387"/>
      <c r="O1398" s="387" t="s">
        <v>57</v>
      </c>
      <c r="P1398" s="390">
        <v>3300000</v>
      </c>
      <c r="Q1398" s="387" t="s">
        <v>12571</v>
      </c>
      <c r="R1398" s="387" t="s">
        <v>495</v>
      </c>
      <c r="S1398" s="340">
        <v>22</v>
      </c>
    </row>
    <row r="1399" spans="1:19" ht="44" thickBot="1" x14ac:dyDescent="0.4">
      <c r="A1399" s="357">
        <v>1388</v>
      </c>
      <c r="B1399" s="387" t="s">
        <v>12568</v>
      </c>
      <c r="C1399" s="387" t="s">
        <v>12569</v>
      </c>
      <c r="D1399" s="388" t="s">
        <v>59</v>
      </c>
      <c r="E1399" s="388" t="s">
        <v>10082</v>
      </c>
      <c r="F1399" s="388" t="s">
        <v>10078</v>
      </c>
      <c r="G1399" s="388" t="s">
        <v>10088</v>
      </c>
      <c r="H1399" s="388" t="s">
        <v>12570</v>
      </c>
      <c r="I1399" s="387" t="s">
        <v>12530</v>
      </c>
      <c r="J1399" s="389"/>
      <c r="K1399" s="387"/>
      <c r="L1399" s="387"/>
      <c r="M1399" s="387" t="s">
        <v>10084</v>
      </c>
      <c r="N1399" s="387"/>
      <c r="O1399" s="387" t="s">
        <v>57</v>
      </c>
      <c r="P1399" s="390">
        <v>3300000</v>
      </c>
      <c r="Q1399" s="387" t="s">
        <v>12571</v>
      </c>
      <c r="R1399" s="387" t="s">
        <v>495</v>
      </c>
      <c r="S1399" s="340">
        <v>22</v>
      </c>
    </row>
    <row r="1400" spans="1:19" ht="43.5" x14ac:dyDescent="0.35">
      <c r="A1400" s="349">
        <v>1389</v>
      </c>
      <c r="B1400" s="387" t="s">
        <v>12568</v>
      </c>
      <c r="C1400" s="387" t="s">
        <v>12569</v>
      </c>
      <c r="D1400" s="388" t="s">
        <v>97</v>
      </c>
      <c r="E1400" s="388" t="s">
        <v>10082</v>
      </c>
      <c r="F1400" s="388" t="s">
        <v>10078</v>
      </c>
      <c r="G1400" s="388" t="s">
        <v>10088</v>
      </c>
      <c r="H1400" s="388" t="s">
        <v>11324</v>
      </c>
      <c r="I1400" s="387" t="s">
        <v>12530</v>
      </c>
      <c r="J1400" s="389"/>
      <c r="K1400" s="387"/>
      <c r="L1400" s="387"/>
      <c r="M1400" s="387" t="s">
        <v>10084</v>
      </c>
      <c r="N1400" s="387"/>
      <c r="O1400" s="387" t="s">
        <v>57</v>
      </c>
      <c r="P1400" s="390">
        <v>5940000</v>
      </c>
      <c r="Q1400" s="387" t="s">
        <v>12571</v>
      </c>
      <c r="R1400" s="387" t="s">
        <v>495</v>
      </c>
      <c r="S1400" s="340">
        <v>22</v>
      </c>
    </row>
    <row r="1401" spans="1:19" ht="44" thickBot="1" x14ac:dyDescent="0.4">
      <c r="A1401" s="357">
        <v>1390</v>
      </c>
      <c r="B1401" s="387" t="s">
        <v>12568</v>
      </c>
      <c r="C1401" s="387" t="s">
        <v>12569</v>
      </c>
      <c r="D1401" s="388" t="s">
        <v>101</v>
      </c>
      <c r="E1401" s="388" t="s">
        <v>10082</v>
      </c>
      <c r="F1401" s="388" t="s">
        <v>10078</v>
      </c>
      <c r="G1401" s="388" t="s">
        <v>10088</v>
      </c>
      <c r="H1401" s="388" t="s">
        <v>11324</v>
      </c>
      <c r="I1401" s="387" t="s">
        <v>12530</v>
      </c>
      <c r="J1401" s="389"/>
      <c r="K1401" s="387"/>
      <c r="L1401" s="387"/>
      <c r="M1401" s="387" t="s">
        <v>10084</v>
      </c>
      <c r="N1401" s="387"/>
      <c r="O1401" s="387" t="s">
        <v>57</v>
      </c>
      <c r="P1401" s="390">
        <v>5940000</v>
      </c>
      <c r="Q1401" s="387" t="s">
        <v>12571</v>
      </c>
      <c r="R1401" s="387" t="s">
        <v>495</v>
      </c>
      <c r="S1401" s="340">
        <v>22</v>
      </c>
    </row>
    <row r="1402" spans="1:19" ht="43.5" x14ac:dyDescent="0.35">
      <c r="A1402" s="349">
        <v>1391</v>
      </c>
      <c r="B1402" s="387" t="s">
        <v>12568</v>
      </c>
      <c r="C1402" s="387" t="s">
        <v>12569</v>
      </c>
      <c r="D1402" s="388" t="s">
        <v>107</v>
      </c>
      <c r="E1402" s="388" t="s">
        <v>10082</v>
      </c>
      <c r="F1402" s="388" t="s">
        <v>10078</v>
      </c>
      <c r="G1402" s="388" t="s">
        <v>10088</v>
      </c>
      <c r="H1402" s="388" t="s">
        <v>11324</v>
      </c>
      <c r="I1402" s="387" t="s">
        <v>12530</v>
      </c>
      <c r="J1402" s="389"/>
      <c r="K1402" s="387"/>
      <c r="L1402" s="387"/>
      <c r="M1402" s="387" t="s">
        <v>10084</v>
      </c>
      <c r="N1402" s="387"/>
      <c r="O1402" s="387" t="s">
        <v>57</v>
      </c>
      <c r="P1402" s="390">
        <v>5940000</v>
      </c>
      <c r="Q1402" s="387" t="s">
        <v>12571</v>
      </c>
      <c r="R1402" s="387" t="s">
        <v>495</v>
      </c>
      <c r="S1402" s="340">
        <v>22</v>
      </c>
    </row>
    <row r="1403" spans="1:19" ht="44" thickBot="1" x14ac:dyDescent="0.4">
      <c r="A1403" s="357">
        <v>1392</v>
      </c>
      <c r="B1403" s="387" t="s">
        <v>12568</v>
      </c>
      <c r="C1403" s="387" t="s">
        <v>12569</v>
      </c>
      <c r="D1403" s="388" t="s">
        <v>112</v>
      </c>
      <c r="E1403" s="388" t="s">
        <v>10082</v>
      </c>
      <c r="F1403" s="388" t="s">
        <v>10078</v>
      </c>
      <c r="G1403" s="388" t="s">
        <v>10088</v>
      </c>
      <c r="H1403" s="388" t="s">
        <v>11324</v>
      </c>
      <c r="I1403" s="387" t="s">
        <v>12530</v>
      </c>
      <c r="J1403" s="389"/>
      <c r="K1403" s="387"/>
      <c r="L1403" s="387"/>
      <c r="M1403" s="387" t="s">
        <v>10084</v>
      </c>
      <c r="N1403" s="387"/>
      <c r="O1403" s="387" t="s">
        <v>57</v>
      </c>
      <c r="P1403" s="390">
        <v>5940000</v>
      </c>
      <c r="Q1403" s="387" t="s">
        <v>12571</v>
      </c>
      <c r="R1403" s="387" t="s">
        <v>495</v>
      </c>
      <c r="S1403" s="340">
        <v>22</v>
      </c>
    </row>
    <row r="1404" spans="1:19" ht="43.5" x14ac:dyDescent="0.35">
      <c r="A1404" s="349">
        <v>1393</v>
      </c>
      <c r="B1404" s="387" t="s">
        <v>12568</v>
      </c>
      <c r="C1404" s="387" t="s">
        <v>12569</v>
      </c>
      <c r="D1404" s="388" t="s">
        <v>116</v>
      </c>
      <c r="E1404" s="388" t="s">
        <v>10082</v>
      </c>
      <c r="F1404" s="388" t="s">
        <v>10078</v>
      </c>
      <c r="G1404" s="388" t="s">
        <v>10088</v>
      </c>
      <c r="H1404" s="388" t="s">
        <v>12572</v>
      </c>
      <c r="I1404" s="387" t="s">
        <v>12530</v>
      </c>
      <c r="J1404" s="389"/>
      <c r="K1404" s="387"/>
      <c r="L1404" s="387"/>
      <c r="M1404" s="387" t="s">
        <v>10084</v>
      </c>
      <c r="N1404" s="387"/>
      <c r="O1404" s="387" t="s">
        <v>57</v>
      </c>
      <c r="P1404" s="390">
        <v>44550000</v>
      </c>
      <c r="Q1404" s="387" t="s">
        <v>12571</v>
      </c>
      <c r="R1404" s="387" t="s">
        <v>495</v>
      </c>
      <c r="S1404" s="340">
        <v>22</v>
      </c>
    </row>
    <row r="1405" spans="1:19" ht="44" thickBot="1" x14ac:dyDescent="0.4">
      <c r="A1405" s="357">
        <v>1394</v>
      </c>
      <c r="B1405" s="387" t="s">
        <v>12568</v>
      </c>
      <c r="C1405" s="387" t="s">
        <v>12569</v>
      </c>
      <c r="D1405" s="388" t="s">
        <v>841</v>
      </c>
      <c r="E1405" s="388" t="s">
        <v>10082</v>
      </c>
      <c r="F1405" s="388" t="s">
        <v>10078</v>
      </c>
      <c r="G1405" s="388" t="s">
        <v>10088</v>
      </c>
      <c r="H1405" s="388" t="s">
        <v>12572</v>
      </c>
      <c r="I1405" s="387" t="s">
        <v>12530</v>
      </c>
      <c r="J1405" s="389"/>
      <c r="K1405" s="387"/>
      <c r="L1405" s="387"/>
      <c r="M1405" s="387" t="s">
        <v>10084</v>
      </c>
      <c r="N1405" s="387"/>
      <c r="O1405" s="387" t="s">
        <v>57</v>
      </c>
      <c r="P1405" s="390">
        <v>44550000</v>
      </c>
      <c r="Q1405" s="387" t="s">
        <v>12571</v>
      </c>
      <c r="R1405" s="387" t="s">
        <v>495</v>
      </c>
      <c r="S1405" s="340">
        <v>22</v>
      </c>
    </row>
    <row r="1406" spans="1:19" ht="43.5" x14ac:dyDescent="0.35">
      <c r="A1406" s="349">
        <v>1395</v>
      </c>
      <c r="B1406" s="387" t="s">
        <v>12568</v>
      </c>
      <c r="C1406" s="387" t="s">
        <v>12569</v>
      </c>
      <c r="D1406" s="388" t="s">
        <v>904</v>
      </c>
      <c r="E1406" s="388" t="s">
        <v>10082</v>
      </c>
      <c r="F1406" s="388" t="s">
        <v>10078</v>
      </c>
      <c r="G1406" s="388" t="s">
        <v>10088</v>
      </c>
      <c r="H1406" s="388" t="s">
        <v>12572</v>
      </c>
      <c r="I1406" s="387" t="s">
        <v>12573</v>
      </c>
      <c r="J1406" s="389"/>
      <c r="K1406" s="387"/>
      <c r="L1406" s="387"/>
      <c r="M1406" s="387" t="s">
        <v>10084</v>
      </c>
      <c r="N1406" s="387"/>
      <c r="O1406" s="387" t="s">
        <v>57</v>
      </c>
      <c r="P1406" s="390">
        <v>44550000</v>
      </c>
      <c r="Q1406" s="387" t="s">
        <v>12571</v>
      </c>
      <c r="R1406" s="387" t="s">
        <v>495</v>
      </c>
      <c r="S1406" s="340">
        <v>22</v>
      </c>
    </row>
    <row r="1407" spans="1:19" ht="44" thickBot="1" x14ac:dyDescent="0.4">
      <c r="A1407" s="357">
        <v>1396</v>
      </c>
      <c r="B1407" s="387" t="s">
        <v>12568</v>
      </c>
      <c r="C1407" s="387" t="s">
        <v>12569</v>
      </c>
      <c r="D1407" s="388" t="s">
        <v>122</v>
      </c>
      <c r="E1407" s="388" t="s">
        <v>10082</v>
      </c>
      <c r="F1407" s="388" t="s">
        <v>10078</v>
      </c>
      <c r="G1407" s="388" t="s">
        <v>10088</v>
      </c>
      <c r="H1407" s="388" t="s">
        <v>12572</v>
      </c>
      <c r="I1407" s="387" t="s">
        <v>12530</v>
      </c>
      <c r="J1407" s="389"/>
      <c r="K1407" s="387"/>
      <c r="L1407" s="387"/>
      <c r="M1407" s="387" t="s">
        <v>10084</v>
      </c>
      <c r="N1407" s="387"/>
      <c r="O1407" s="387" t="s">
        <v>57</v>
      </c>
      <c r="P1407" s="390">
        <v>44550000</v>
      </c>
      <c r="Q1407" s="387" t="s">
        <v>12571</v>
      </c>
      <c r="R1407" s="387" t="s">
        <v>495</v>
      </c>
      <c r="S1407" s="340">
        <v>22</v>
      </c>
    </row>
    <row r="1408" spans="1:19" ht="43.5" x14ac:dyDescent="0.35">
      <c r="A1408" s="349">
        <v>1397</v>
      </c>
      <c r="B1408" s="387" t="s">
        <v>12568</v>
      </c>
      <c r="C1408" s="387" t="s">
        <v>12569</v>
      </c>
      <c r="D1408" s="388" t="s">
        <v>126</v>
      </c>
      <c r="E1408" s="388" t="s">
        <v>10082</v>
      </c>
      <c r="F1408" s="388" t="s">
        <v>10078</v>
      </c>
      <c r="G1408" s="388" t="s">
        <v>10088</v>
      </c>
      <c r="H1408" s="388" t="s">
        <v>12572</v>
      </c>
      <c r="I1408" s="387" t="s">
        <v>12530</v>
      </c>
      <c r="J1408" s="389"/>
      <c r="K1408" s="387"/>
      <c r="L1408" s="387"/>
      <c r="M1408" s="387" t="s">
        <v>10084</v>
      </c>
      <c r="N1408" s="387"/>
      <c r="O1408" s="387" t="s">
        <v>57</v>
      </c>
      <c r="P1408" s="390">
        <v>44550000</v>
      </c>
      <c r="Q1408" s="387" t="s">
        <v>12571</v>
      </c>
      <c r="R1408" s="387" t="s">
        <v>495</v>
      </c>
      <c r="S1408" s="340">
        <v>22</v>
      </c>
    </row>
    <row r="1409" spans="1:19" ht="44" thickBot="1" x14ac:dyDescent="0.4">
      <c r="A1409" s="357">
        <v>1398</v>
      </c>
      <c r="B1409" s="387" t="s">
        <v>12568</v>
      </c>
      <c r="C1409" s="387" t="s">
        <v>12569</v>
      </c>
      <c r="D1409" s="388" t="s">
        <v>132</v>
      </c>
      <c r="E1409" s="388" t="s">
        <v>10082</v>
      </c>
      <c r="F1409" s="388" t="s">
        <v>10078</v>
      </c>
      <c r="G1409" s="388" t="s">
        <v>10088</v>
      </c>
      <c r="H1409" s="388" t="s">
        <v>12572</v>
      </c>
      <c r="I1409" s="387" t="s">
        <v>12530</v>
      </c>
      <c r="J1409" s="389"/>
      <c r="K1409" s="387"/>
      <c r="L1409" s="387"/>
      <c r="M1409" s="387" t="s">
        <v>10084</v>
      </c>
      <c r="N1409" s="387"/>
      <c r="O1409" s="387" t="s">
        <v>57</v>
      </c>
      <c r="P1409" s="390">
        <v>44550000</v>
      </c>
      <c r="Q1409" s="387" t="s">
        <v>12571</v>
      </c>
      <c r="R1409" s="387" t="s">
        <v>495</v>
      </c>
      <c r="S1409" s="340">
        <v>22</v>
      </c>
    </row>
    <row r="1410" spans="1:19" ht="43.5" x14ac:dyDescent="0.35">
      <c r="A1410" s="349">
        <v>1399</v>
      </c>
      <c r="B1410" s="387" t="s">
        <v>12568</v>
      </c>
      <c r="C1410" s="387" t="s">
        <v>12569</v>
      </c>
      <c r="D1410" s="388" t="s">
        <v>137</v>
      </c>
      <c r="E1410" s="388" t="s">
        <v>10082</v>
      </c>
      <c r="F1410" s="388" t="s">
        <v>10078</v>
      </c>
      <c r="G1410" s="388" t="s">
        <v>10088</v>
      </c>
      <c r="H1410" s="388" t="s">
        <v>12572</v>
      </c>
      <c r="I1410" s="387" t="s">
        <v>12530</v>
      </c>
      <c r="J1410" s="389"/>
      <c r="K1410" s="387"/>
      <c r="L1410" s="387"/>
      <c r="M1410" s="387" t="s">
        <v>10084</v>
      </c>
      <c r="N1410" s="387"/>
      <c r="O1410" s="387" t="s">
        <v>57</v>
      </c>
      <c r="P1410" s="390">
        <v>44550000</v>
      </c>
      <c r="Q1410" s="387" t="s">
        <v>12571</v>
      </c>
      <c r="R1410" s="387" t="s">
        <v>495</v>
      </c>
      <c r="S1410" s="340">
        <v>22</v>
      </c>
    </row>
    <row r="1411" spans="1:19" ht="44" thickBot="1" x14ac:dyDescent="0.4">
      <c r="A1411" s="357">
        <v>1400</v>
      </c>
      <c r="B1411" s="387" t="s">
        <v>12568</v>
      </c>
      <c r="C1411" s="387" t="s">
        <v>12569</v>
      </c>
      <c r="D1411" s="388" t="s">
        <v>146</v>
      </c>
      <c r="E1411" s="388" t="s">
        <v>10082</v>
      </c>
      <c r="F1411" s="388" t="s">
        <v>10078</v>
      </c>
      <c r="G1411" s="388" t="s">
        <v>10088</v>
      </c>
      <c r="H1411" s="388" t="s">
        <v>12572</v>
      </c>
      <c r="I1411" s="387" t="s">
        <v>12530</v>
      </c>
      <c r="J1411" s="389"/>
      <c r="K1411" s="387"/>
      <c r="L1411" s="387"/>
      <c r="M1411" s="387" t="s">
        <v>10084</v>
      </c>
      <c r="N1411" s="387"/>
      <c r="O1411" s="387" t="s">
        <v>57</v>
      </c>
      <c r="P1411" s="390">
        <v>44550000</v>
      </c>
      <c r="Q1411" s="387" t="s">
        <v>12571</v>
      </c>
      <c r="R1411" s="387" t="s">
        <v>495</v>
      </c>
      <c r="S1411" s="340">
        <v>22</v>
      </c>
    </row>
    <row r="1412" spans="1:19" ht="43.5" x14ac:dyDescent="0.35">
      <c r="A1412" s="349">
        <v>1401</v>
      </c>
      <c r="B1412" s="387" t="s">
        <v>12568</v>
      </c>
      <c r="C1412" s="387" t="s">
        <v>12569</v>
      </c>
      <c r="D1412" s="388" t="s">
        <v>154</v>
      </c>
      <c r="E1412" s="388" t="s">
        <v>10082</v>
      </c>
      <c r="F1412" s="388" t="s">
        <v>10078</v>
      </c>
      <c r="G1412" s="388" t="s">
        <v>10088</v>
      </c>
      <c r="H1412" s="388" t="s">
        <v>12572</v>
      </c>
      <c r="I1412" s="387" t="s">
        <v>12530</v>
      </c>
      <c r="J1412" s="389"/>
      <c r="K1412" s="387"/>
      <c r="L1412" s="387"/>
      <c r="M1412" s="387" t="s">
        <v>10084</v>
      </c>
      <c r="N1412" s="387"/>
      <c r="O1412" s="387" t="s">
        <v>57</v>
      </c>
      <c r="P1412" s="390">
        <v>44550000</v>
      </c>
      <c r="Q1412" s="387" t="s">
        <v>12571</v>
      </c>
      <c r="R1412" s="387" t="s">
        <v>495</v>
      </c>
      <c r="S1412" s="340">
        <v>22</v>
      </c>
    </row>
    <row r="1413" spans="1:19" ht="44" thickBot="1" x14ac:dyDescent="0.4">
      <c r="A1413" s="357">
        <v>1402</v>
      </c>
      <c r="B1413" s="387" t="s">
        <v>12568</v>
      </c>
      <c r="C1413" s="387" t="s">
        <v>12569</v>
      </c>
      <c r="D1413" s="388" t="s">
        <v>161</v>
      </c>
      <c r="E1413" s="388" t="s">
        <v>10082</v>
      </c>
      <c r="F1413" s="388" t="s">
        <v>10078</v>
      </c>
      <c r="G1413" s="388" t="s">
        <v>10088</v>
      </c>
      <c r="H1413" s="388" t="s">
        <v>12572</v>
      </c>
      <c r="I1413" s="387" t="s">
        <v>12530</v>
      </c>
      <c r="J1413" s="389"/>
      <c r="K1413" s="387"/>
      <c r="L1413" s="387"/>
      <c r="M1413" s="387" t="s">
        <v>10084</v>
      </c>
      <c r="N1413" s="387"/>
      <c r="O1413" s="387" t="s">
        <v>57</v>
      </c>
      <c r="P1413" s="390">
        <v>44550000</v>
      </c>
      <c r="Q1413" s="387" t="s">
        <v>12571</v>
      </c>
      <c r="R1413" s="387" t="s">
        <v>495</v>
      </c>
      <c r="S1413" s="340">
        <v>22</v>
      </c>
    </row>
    <row r="1414" spans="1:19" ht="43.5" x14ac:dyDescent="0.35">
      <c r="A1414" s="349">
        <v>1403</v>
      </c>
      <c r="B1414" s="387" t="s">
        <v>12568</v>
      </c>
      <c r="C1414" s="387" t="s">
        <v>12569</v>
      </c>
      <c r="D1414" s="388" t="s">
        <v>169</v>
      </c>
      <c r="E1414" s="388" t="s">
        <v>10082</v>
      </c>
      <c r="F1414" s="388" t="s">
        <v>10078</v>
      </c>
      <c r="G1414" s="388" t="s">
        <v>10088</v>
      </c>
      <c r="H1414" s="388" t="s">
        <v>12572</v>
      </c>
      <c r="I1414" s="387" t="s">
        <v>12530</v>
      </c>
      <c r="J1414" s="389"/>
      <c r="K1414" s="387"/>
      <c r="L1414" s="387"/>
      <c r="M1414" s="387" t="s">
        <v>10084</v>
      </c>
      <c r="N1414" s="387"/>
      <c r="O1414" s="387" t="s">
        <v>57</v>
      </c>
      <c r="P1414" s="390">
        <v>44550000</v>
      </c>
      <c r="Q1414" s="387" t="s">
        <v>12571</v>
      </c>
      <c r="R1414" s="387" t="s">
        <v>495</v>
      </c>
      <c r="S1414" s="340">
        <v>22</v>
      </c>
    </row>
    <row r="1415" spans="1:19" ht="29.5" thickBot="1" x14ac:dyDescent="0.4">
      <c r="A1415" s="357">
        <v>1404</v>
      </c>
      <c r="B1415" s="387" t="s">
        <v>10559</v>
      </c>
      <c r="C1415" s="387" t="s">
        <v>10560</v>
      </c>
      <c r="D1415" s="388" t="s">
        <v>51</v>
      </c>
      <c r="E1415" s="388" t="s">
        <v>10082</v>
      </c>
      <c r="F1415" s="388" t="s">
        <v>10078</v>
      </c>
      <c r="G1415" s="388" t="s">
        <v>10088</v>
      </c>
      <c r="H1415" s="388" t="s">
        <v>12574</v>
      </c>
      <c r="I1415" s="387" t="s">
        <v>12575</v>
      </c>
      <c r="J1415" s="389">
        <v>42548</v>
      </c>
      <c r="K1415" s="387" t="s">
        <v>12576</v>
      </c>
      <c r="L1415" s="387"/>
      <c r="M1415" s="387" t="s">
        <v>10084</v>
      </c>
      <c r="N1415" s="387"/>
      <c r="O1415" s="387" t="s">
        <v>57</v>
      </c>
      <c r="P1415" s="390">
        <v>449021000</v>
      </c>
      <c r="Q1415" s="387" t="s">
        <v>12577</v>
      </c>
      <c r="R1415" s="387" t="s">
        <v>495</v>
      </c>
      <c r="S1415" s="340">
        <v>22</v>
      </c>
    </row>
    <row r="1416" spans="1:19" ht="43.5" x14ac:dyDescent="0.35">
      <c r="A1416" s="349">
        <v>1405</v>
      </c>
      <c r="B1416" s="387" t="s">
        <v>10559</v>
      </c>
      <c r="C1416" s="387" t="s">
        <v>10560</v>
      </c>
      <c r="D1416" s="388" t="s">
        <v>59</v>
      </c>
      <c r="E1416" s="388" t="s">
        <v>10082</v>
      </c>
      <c r="F1416" s="388" t="s">
        <v>10078</v>
      </c>
      <c r="G1416" s="388" t="s">
        <v>10088</v>
      </c>
      <c r="H1416" s="388" t="s">
        <v>2972</v>
      </c>
      <c r="I1416" s="387" t="s">
        <v>12578</v>
      </c>
      <c r="J1416" s="389"/>
      <c r="K1416" s="387" t="s">
        <v>12579</v>
      </c>
      <c r="L1416" s="387"/>
      <c r="M1416" s="387" t="s">
        <v>10084</v>
      </c>
      <c r="N1416" s="387"/>
      <c r="O1416" s="387" t="s">
        <v>57</v>
      </c>
      <c r="P1416" s="390">
        <v>1544053300</v>
      </c>
      <c r="Q1416" s="387" t="s">
        <v>12580</v>
      </c>
      <c r="R1416" s="387" t="s">
        <v>495</v>
      </c>
      <c r="S1416" s="340">
        <v>22</v>
      </c>
    </row>
    <row r="1417" spans="1:19" ht="44" thickBot="1" x14ac:dyDescent="0.4">
      <c r="A1417" s="357">
        <v>1406</v>
      </c>
      <c r="B1417" s="387" t="s">
        <v>10997</v>
      </c>
      <c r="C1417" s="387" t="s">
        <v>10998</v>
      </c>
      <c r="D1417" s="388" t="s">
        <v>51</v>
      </c>
      <c r="E1417" s="388" t="s">
        <v>10082</v>
      </c>
      <c r="F1417" s="388" t="s">
        <v>10078</v>
      </c>
      <c r="G1417" s="388" t="s">
        <v>10078</v>
      </c>
      <c r="H1417" s="388" t="s">
        <v>12407</v>
      </c>
      <c r="I1417" s="387" t="s">
        <v>12581</v>
      </c>
      <c r="J1417" s="389">
        <v>41534</v>
      </c>
      <c r="K1417" s="387" t="s">
        <v>12582</v>
      </c>
      <c r="L1417" s="387"/>
      <c r="M1417" s="387" t="s">
        <v>10084</v>
      </c>
      <c r="N1417" s="387"/>
      <c r="O1417" s="387" t="s">
        <v>57</v>
      </c>
      <c r="P1417" s="390">
        <v>86050000</v>
      </c>
      <c r="Q1417" s="387" t="s">
        <v>12583</v>
      </c>
      <c r="R1417" s="387" t="s">
        <v>495</v>
      </c>
      <c r="S1417" s="340">
        <v>22</v>
      </c>
    </row>
    <row r="1418" spans="1:19" ht="29" x14ac:dyDescent="0.35">
      <c r="A1418" s="349">
        <v>1407</v>
      </c>
      <c r="B1418" s="387" t="s">
        <v>12344</v>
      </c>
      <c r="C1418" s="387" t="s">
        <v>12345</v>
      </c>
      <c r="D1418" s="388" t="s">
        <v>51</v>
      </c>
      <c r="E1418" s="388" t="s">
        <v>10082</v>
      </c>
      <c r="F1418" s="388" t="s">
        <v>10078</v>
      </c>
      <c r="G1418" s="388" t="s">
        <v>10088</v>
      </c>
      <c r="H1418" s="388" t="s">
        <v>12584</v>
      </c>
      <c r="I1418" s="387" t="s">
        <v>12547</v>
      </c>
      <c r="J1418" s="389"/>
      <c r="K1418" s="387"/>
      <c r="L1418" s="387"/>
      <c r="M1418" s="387" t="s">
        <v>10084</v>
      </c>
      <c r="N1418" s="387"/>
      <c r="O1418" s="387" t="s">
        <v>57</v>
      </c>
      <c r="P1418" s="390">
        <v>234585000</v>
      </c>
      <c r="Q1418" s="387" t="s">
        <v>8871</v>
      </c>
      <c r="R1418" s="387" t="s">
        <v>495</v>
      </c>
      <c r="S1418" s="340">
        <v>22</v>
      </c>
    </row>
    <row r="1419" spans="1:19" ht="29.5" thickBot="1" x14ac:dyDescent="0.4">
      <c r="A1419" s="357">
        <v>1408</v>
      </c>
      <c r="B1419" s="387" t="s">
        <v>11382</v>
      </c>
      <c r="C1419" s="387" t="s">
        <v>11383</v>
      </c>
      <c r="D1419" s="388" t="s">
        <v>51</v>
      </c>
      <c r="E1419" s="388" t="s">
        <v>10082</v>
      </c>
      <c r="F1419" s="388" t="s">
        <v>10078</v>
      </c>
      <c r="G1419" s="388" t="s">
        <v>10078</v>
      </c>
      <c r="H1419" s="388" t="s">
        <v>11870</v>
      </c>
      <c r="I1419" s="387" t="s">
        <v>12530</v>
      </c>
      <c r="J1419" s="389"/>
      <c r="K1419" s="387"/>
      <c r="L1419" s="387"/>
      <c r="M1419" s="387" t="s">
        <v>10084</v>
      </c>
      <c r="N1419" s="387"/>
      <c r="O1419" s="387" t="s">
        <v>57</v>
      </c>
      <c r="P1419" s="390">
        <v>40384000</v>
      </c>
      <c r="Q1419" s="387" t="s">
        <v>12585</v>
      </c>
      <c r="R1419" s="387" t="s">
        <v>495</v>
      </c>
      <c r="S1419" s="340">
        <v>22</v>
      </c>
    </row>
    <row r="1420" spans="1:19" ht="29" x14ac:dyDescent="0.35">
      <c r="A1420" s="349">
        <v>1409</v>
      </c>
      <c r="B1420" s="387" t="s">
        <v>11382</v>
      </c>
      <c r="C1420" s="387" t="s">
        <v>11383</v>
      </c>
      <c r="D1420" s="388" t="s">
        <v>59</v>
      </c>
      <c r="E1420" s="388" t="s">
        <v>10082</v>
      </c>
      <c r="F1420" s="388" t="s">
        <v>10078</v>
      </c>
      <c r="G1420" s="388" t="s">
        <v>10078</v>
      </c>
      <c r="H1420" s="388" t="s">
        <v>11324</v>
      </c>
      <c r="I1420" s="387" t="s">
        <v>12586</v>
      </c>
      <c r="J1420" s="389"/>
      <c r="K1420" s="387"/>
      <c r="L1420" s="387"/>
      <c r="M1420" s="387" t="s">
        <v>10084</v>
      </c>
      <c r="N1420" s="387"/>
      <c r="O1420" s="387" t="s">
        <v>57</v>
      </c>
      <c r="P1420" s="390">
        <v>66944000</v>
      </c>
      <c r="Q1420" s="387" t="s">
        <v>12587</v>
      </c>
      <c r="R1420" s="387" t="s">
        <v>495</v>
      </c>
      <c r="S1420" s="340">
        <v>22</v>
      </c>
    </row>
    <row r="1421" spans="1:19" ht="73" thickBot="1" x14ac:dyDescent="0.4">
      <c r="A1421" s="357">
        <v>1410</v>
      </c>
      <c r="B1421" s="387" t="s">
        <v>10832</v>
      </c>
      <c r="C1421" s="387" t="s">
        <v>10833</v>
      </c>
      <c r="D1421" s="388" t="s">
        <v>51</v>
      </c>
      <c r="E1421" s="388" t="s">
        <v>10082</v>
      </c>
      <c r="F1421" s="388" t="s">
        <v>10078</v>
      </c>
      <c r="G1421" s="388" t="s">
        <v>10078</v>
      </c>
      <c r="H1421" s="388" t="s">
        <v>1122</v>
      </c>
      <c r="I1421" s="387" t="s">
        <v>12530</v>
      </c>
      <c r="J1421" s="389">
        <v>41054</v>
      </c>
      <c r="K1421" s="387" t="s">
        <v>12588</v>
      </c>
      <c r="L1421" s="387"/>
      <c r="M1421" s="387" t="s">
        <v>10084</v>
      </c>
      <c r="N1421" s="387"/>
      <c r="O1421" s="387" t="s">
        <v>57</v>
      </c>
      <c r="P1421" s="390">
        <v>197007000</v>
      </c>
      <c r="Q1421" s="387" t="s">
        <v>12589</v>
      </c>
      <c r="R1421" s="387" t="s">
        <v>495</v>
      </c>
      <c r="S1421" s="340">
        <v>22</v>
      </c>
    </row>
    <row r="1422" spans="1:19" ht="43.5" x14ac:dyDescent="0.35">
      <c r="A1422" s="349">
        <v>1411</v>
      </c>
      <c r="B1422" s="387" t="s">
        <v>10832</v>
      </c>
      <c r="C1422" s="387" t="s">
        <v>10833</v>
      </c>
      <c r="D1422" s="388" t="s">
        <v>59</v>
      </c>
      <c r="E1422" s="388" t="s">
        <v>10082</v>
      </c>
      <c r="F1422" s="388" t="s">
        <v>10078</v>
      </c>
      <c r="G1422" s="388" t="s">
        <v>10078</v>
      </c>
      <c r="H1422" s="388" t="s">
        <v>12157</v>
      </c>
      <c r="I1422" s="387" t="s">
        <v>12590</v>
      </c>
      <c r="J1422" s="389">
        <v>44461</v>
      </c>
      <c r="K1422" s="387" t="s">
        <v>12591</v>
      </c>
      <c r="L1422" s="387"/>
      <c r="M1422" s="387" t="s">
        <v>10084</v>
      </c>
      <c r="N1422" s="387"/>
      <c r="O1422" s="387" t="s">
        <v>57</v>
      </c>
      <c r="P1422" s="390">
        <v>221267000</v>
      </c>
      <c r="Q1422" s="387" t="s">
        <v>12592</v>
      </c>
      <c r="R1422" s="387" t="s">
        <v>495</v>
      </c>
      <c r="S1422" s="340">
        <v>22</v>
      </c>
    </row>
    <row r="1423" spans="1:19" ht="29.5" thickBot="1" x14ac:dyDescent="0.4">
      <c r="A1423" s="357">
        <v>1412</v>
      </c>
      <c r="B1423" s="387" t="s">
        <v>10729</v>
      </c>
      <c r="C1423" s="387" t="s">
        <v>10730</v>
      </c>
      <c r="D1423" s="388" t="s">
        <v>51</v>
      </c>
      <c r="E1423" s="388" t="s">
        <v>10082</v>
      </c>
      <c r="F1423" s="388" t="s">
        <v>10078</v>
      </c>
      <c r="G1423" s="388" t="s">
        <v>10078</v>
      </c>
      <c r="H1423" s="388" t="s">
        <v>11870</v>
      </c>
      <c r="I1423" s="387" t="s">
        <v>12593</v>
      </c>
      <c r="J1423" s="389">
        <v>38502</v>
      </c>
      <c r="K1423" s="387" t="s">
        <v>12594</v>
      </c>
      <c r="L1423" s="387"/>
      <c r="M1423" s="387" t="s">
        <v>10084</v>
      </c>
      <c r="N1423" s="387"/>
      <c r="O1423" s="387" t="s">
        <v>57</v>
      </c>
      <c r="P1423" s="390">
        <v>40384000</v>
      </c>
      <c r="Q1423" s="387" t="s">
        <v>12595</v>
      </c>
      <c r="R1423" s="387" t="s">
        <v>495</v>
      </c>
      <c r="S1423" s="340">
        <v>22</v>
      </c>
    </row>
    <row r="1424" spans="1:19" ht="29" x14ac:dyDescent="0.35">
      <c r="A1424" s="349">
        <v>1413</v>
      </c>
      <c r="B1424" s="387" t="s">
        <v>10729</v>
      </c>
      <c r="C1424" s="387" t="s">
        <v>10730</v>
      </c>
      <c r="D1424" s="388" t="s">
        <v>59</v>
      </c>
      <c r="E1424" s="388" t="s">
        <v>10082</v>
      </c>
      <c r="F1424" s="388" t="s">
        <v>10078</v>
      </c>
      <c r="G1424" s="388" t="s">
        <v>10078</v>
      </c>
      <c r="H1424" s="388" t="s">
        <v>11318</v>
      </c>
      <c r="I1424" s="387" t="s">
        <v>12530</v>
      </c>
      <c r="J1424" s="389">
        <v>38579</v>
      </c>
      <c r="K1424" s="387" t="s">
        <v>12596</v>
      </c>
      <c r="L1424" s="387"/>
      <c r="M1424" s="387" t="s">
        <v>10084</v>
      </c>
      <c r="N1424" s="387"/>
      <c r="O1424" s="387" t="s">
        <v>57</v>
      </c>
      <c r="P1424" s="390">
        <v>68063000</v>
      </c>
      <c r="Q1424" s="387" t="s">
        <v>12597</v>
      </c>
      <c r="R1424" s="387" t="s">
        <v>495</v>
      </c>
      <c r="S1424" s="340">
        <v>22</v>
      </c>
    </row>
    <row r="1425" spans="1:19" ht="29.5" thickBot="1" x14ac:dyDescent="0.4">
      <c r="A1425" s="357">
        <v>1414</v>
      </c>
      <c r="B1425" s="387" t="s">
        <v>12598</v>
      </c>
      <c r="C1425" s="387" t="s">
        <v>12599</v>
      </c>
      <c r="D1425" s="388" t="s">
        <v>51</v>
      </c>
      <c r="E1425" s="388" t="s">
        <v>10082</v>
      </c>
      <c r="F1425" s="388" t="s">
        <v>10078</v>
      </c>
      <c r="G1425" s="388" t="s">
        <v>10088</v>
      </c>
      <c r="H1425" s="388" t="s">
        <v>8959</v>
      </c>
      <c r="I1425" s="387" t="s">
        <v>12600</v>
      </c>
      <c r="J1425" s="389">
        <v>40438</v>
      </c>
      <c r="K1425" s="387" t="s">
        <v>12601</v>
      </c>
      <c r="L1425" s="387"/>
      <c r="M1425" s="387" t="s">
        <v>10084</v>
      </c>
      <c r="N1425" s="387"/>
      <c r="O1425" s="387" t="s">
        <v>57</v>
      </c>
      <c r="P1425" s="390">
        <v>99126900</v>
      </c>
      <c r="Q1425" s="387" t="s">
        <v>12602</v>
      </c>
      <c r="R1425" s="387" t="s">
        <v>495</v>
      </c>
      <c r="S1425" s="340">
        <v>22</v>
      </c>
    </row>
    <row r="1426" spans="1:19" ht="72.5" x14ac:dyDescent="0.35">
      <c r="A1426" s="349">
        <v>1415</v>
      </c>
      <c r="B1426" s="387" t="s">
        <v>12598</v>
      </c>
      <c r="C1426" s="387" t="s">
        <v>12599</v>
      </c>
      <c r="D1426" s="388" t="s">
        <v>59</v>
      </c>
      <c r="E1426" s="388" t="s">
        <v>10082</v>
      </c>
      <c r="F1426" s="388" t="s">
        <v>10078</v>
      </c>
      <c r="G1426" s="388" t="s">
        <v>10088</v>
      </c>
      <c r="H1426" s="388" t="s">
        <v>11308</v>
      </c>
      <c r="I1426" s="387" t="s">
        <v>12603</v>
      </c>
      <c r="J1426" s="389">
        <v>40966</v>
      </c>
      <c r="K1426" s="387" t="s">
        <v>12604</v>
      </c>
      <c r="L1426" s="387"/>
      <c r="M1426" s="387" t="s">
        <v>10084</v>
      </c>
      <c r="N1426" s="387"/>
      <c r="O1426" s="387" t="s">
        <v>57</v>
      </c>
      <c r="P1426" s="390">
        <v>245530100</v>
      </c>
      <c r="Q1426" s="387" t="s">
        <v>12605</v>
      </c>
      <c r="R1426" s="387" t="s">
        <v>495</v>
      </c>
      <c r="S1426" s="340">
        <v>22</v>
      </c>
    </row>
    <row r="1427" spans="1:19" thickBot="1" x14ac:dyDescent="0.4">
      <c r="A1427" s="357">
        <v>1416</v>
      </c>
      <c r="B1427" s="387" t="s">
        <v>10096</v>
      </c>
      <c r="C1427" s="387" t="s">
        <v>10097</v>
      </c>
      <c r="D1427" s="388" t="s">
        <v>51</v>
      </c>
      <c r="E1427" s="388" t="s">
        <v>10082</v>
      </c>
      <c r="F1427" s="388" t="s">
        <v>10078</v>
      </c>
      <c r="G1427" s="388" t="s">
        <v>10078</v>
      </c>
      <c r="H1427" s="388" t="s">
        <v>2972</v>
      </c>
      <c r="I1427" s="387" t="s">
        <v>12606</v>
      </c>
      <c r="J1427" s="389">
        <v>43719</v>
      </c>
      <c r="K1427" s="387" t="s">
        <v>12607</v>
      </c>
      <c r="L1427" s="387"/>
      <c r="M1427" s="387" t="s">
        <v>10084</v>
      </c>
      <c r="N1427" s="387"/>
      <c r="O1427" s="387" t="s">
        <v>57</v>
      </c>
      <c r="P1427" s="390">
        <v>153985000</v>
      </c>
      <c r="Q1427" s="387" t="s">
        <v>12608</v>
      </c>
      <c r="R1427" s="387" t="s">
        <v>495</v>
      </c>
      <c r="S1427" s="340">
        <v>22</v>
      </c>
    </row>
    <row r="1428" spans="1:19" ht="43.5" x14ac:dyDescent="0.35">
      <c r="A1428" s="349">
        <v>1417</v>
      </c>
      <c r="B1428" s="387" t="s">
        <v>10155</v>
      </c>
      <c r="C1428" s="387" t="s">
        <v>10156</v>
      </c>
      <c r="D1428" s="388" t="s">
        <v>59</v>
      </c>
      <c r="E1428" s="388" t="s">
        <v>10082</v>
      </c>
      <c r="F1428" s="388" t="s">
        <v>10078</v>
      </c>
      <c r="G1428" s="388" t="s">
        <v>10088</v>
      </c>
      <c r="H1428" s="388" t="s">
        <v>163</v>
      </c>
      <c r="I1428" s="387" t="s">
        <v>12609</v>
      </c>
      <c r="J1428" s="389">
        <v>41101</v>
      </c>
      <c r="K1428" s="387" t="s">
        <v>12610</v>
      </c>
      <c r="L1428" s="387"/>
      <c r="M1428" s="387" t="s">
        <v>10084</v>
      </c>
      <c r="N1428" s="387"/>
      <c r="O1428" s="387" t="s">
        <v>57</v>
      </c>
      <c r="P1428" s="390">
        <v>429050000</v>
      </c>
      <c r="Q1428" s="387" t="s">
        <v>12611</v>
      </c>
      <c r="R1428" s="387" t="s">
        <v>12612</v>
      </c>
      <c r="S1428" s="340">
        <v>23</v>
      </c>
    </row>
    <row r="1429" spans="1:19" ht="44" thickBot="1" x14ac:dyDescent="0.4">
      <c r="A1429" s="357">
        <v>1418</v>
      </c>
      <c r="B1429" s="387" t="s">
        <v>10155</v>
      </c>
      <c r="C1429" s="387" t="s">
        <v>10156</v>
      </c>
      <c r="D1429" s="388" t="s">
        <v>97</v>
      </c>
      <c r="E1429" s="388" t="s">
        <v>10082</v>
      </c>
      <c r="F1429" s="388" t="s">
        <v>10071</v>
      </c>
      <c r="G1429" s="388" t="s">
        <v>10088</v>
      </c>
      <c r="H1429" s="388" t="s">
        <v>12613</v>
      </c>
      <c r="I1429" s="387" t="s">
        <v>11207</v>
      </c>
      <c r="J1429" s="389">
        <v>40148</v>
      </c>
      <c r="K1429" s="387" t="s">
        <v>12614</v>
      </c>
      <c r="L1429" s="387"/>
      <c r="M1429" s="387" t="s">
        <v>10084</v>
      </c>
      <c r="N1429" s="387"/>
      <c r="O1429" s="387" t="s">
        <v>57</v>
      </c>
      <c r="P1429" s="390">
        <v>15586324320</v>
      </c>
      <c r="Q1429" s="387" t="s">
        <v>12615</v>
      </c>
      <c r="R1429" s="387" t="s">
        <v>12612</v>
      </c>
      <c r="S1429" s="340">
        <v>23</v>
      </c>
    </row>
    <row r="1430" spans="1:19" ht="43.5" x14ac:dyDescent="0.35">
      <c r="A1430" s="349">
        <v>1419</v>
      </c>
      <c r="B1430" s="387" t="s">
        <v>10535</v>
      </c>
      <c r="C1430" s="387" t="s">
        <v>10536</v>
      </c>
      <c r="D1430" s="388" t="s">
        <v>59</v>
      </c>
      <c r="E1430" s="388" t="s">
        <v>10082</v>
      </c>
      <c r="F1430" s="388" t="s">
        <v>10078</v>
      </c>
      <c r="G1430" s="388" t="s">
        <v>10088</v>
      </c>
      <c r="H1430" s="388" t="s">
        <v>8954</v>
      </c>
      <c r="I1430" s="387" t="s">
        <v>10642</v>
      </c>
      <c r="J1430" s="389">
        <v>45669</v>
      </c>
      <c r="K1430" s="387" t="s">
        <v>12616</v>
      </c>
      <c r="L1430" s="387"/>
      <c r="M1430" s="387"/>
      <c r="N1430" s="387"/>
      <c r="O1430" s="387" t="s">
        <v>44</v>
      </c>
      <c r="P1430" s="390">
        <v>87419000</v>
      </c>
      <c r="Q1430" s="387" t="s">
        <v>12617</v>
      </c>
      <c r="R1430" s="387" t="s">
        <v>12612</v>
      </c>
      <c r="S1430" s="340">
        <v>23</v>
      </c>
    </row>
    <row r="1431" spans="1:19" ht="44" thickBot="1" x14ac:dyDescent="0.4">
      <c r="A1431" s="357">
        <v>1420</v>
      </c>
      <c r="B1431" s="387" t="s">
        <v>11224</v>
      </c>
      <c r="C1431" s="387" t="s">
        <v>11225</v>
      </c>
      <c r="D1431" s="388" t="s">
        <v>51</v>
      </c>
      <c r="E1431" s="388" t="s">
        <v>10082</v>
      </c>
      <c r="F1431" s="388" t="s">
        <v>10078</v>
      </c>
      <c r="G1431" s="388" t="s">
        <v>10078</v>
      </c>
      <c r="H1431" s="388" t="s">
        <v>12570</v>
      </c>
      <c r="I1431" s="387" t="s">
        <v>12618</v>
      </c>
      <c r="J1431" s="389">
        <v>43711</v>
      </c>
      <c r="K1431" s="387" t="s">
        <v>12619</v>
      </c>
      <c r="L1431" s="387"/>
      <c r="M1431" s="387" t="s">
        <v>10084</v>
      </c>
      <c r="N1431" s="387"/>
      <c r="O1431" s="387" t="s">
        <v>57</v>
      </c>
      <c r="P1431" s="390">
        <v>149191175</v>
      </c>
      <c r="Q1431" s="387" t="s">
        <v>12620</v>
      </c>
      <c r="R1431" s="387" t="s">
        <v>12612</v>
      </c>
      <c r="S1431" s="340">
        <v>23</v>
      </c>
    </row>
    <row r="1432" spans="1:19" ht="43.5" x14ac:dyDescent="0.35">
      <c r="A1432" s="349">
        <v>1421</v>
      </c>
      <c r="B1432" s="387" t="s">
        <v>11224</v>
      </c>
      <c r="C1432" s="387" t="s">
        <v>11225</v>
      </c>
      <c r="D1432" s="388" t="s">
        <v>59</v>
      </c>
      <c r="E1432" s="388" t="s">
        <v>10082</v>
      </c>
      <c r="F1432" s="388" t="s">
        <v>10078</v>
      </c>
      <c r="G1432" s="388" t="s">
        <v>10078</v>
      </c>
      <c r="H1432" s="388" t="s">
        <v>2972</v>
      </c>
      <c r="I1432" s="387" t="s">
        <v>10896</v>
      </c>
      <c r="J1432" s="389">
        <v>44056</v>
      </c>
      <c r="K1432" s="387" t="s">
        <v>12621</v>
      </c>
      <c r="L1432" s="387"/>
      <c r="M1432" s="387" t="s">
        <v>10084</v>
      </c>
      <c r="N1432" s="387"/>
      <c r="O1432" s="387" t="s">
        <v>57</v>
      </c>
      <c r="P1432" s="390">
        <v>49170000</v>
      </c>
      <c r="Q1432" s="387" t="s">
        <v>12622</v>
      </c>
      <c r="R1432" s="387" t="s">
        <v>12612</v>
      </c>
      <c r="S1432" s="340">
        <v>23</v>
      </c>
    </row>
    <row r="1433" spans="1:19" ht="44" thickBot="1" x14ac:dyDescent="0.4">
      <c r="A1433" s="357">
        <v>1422</v>
      </c>
      <c r="B1433" s="387" t="s">
        <v>10475</v>
      </c>
      <c r="C1433" s="387" t="s">
        <v>10476</v>
      </c>
      <c r="D1433" s="388" t="s">
        <v>51</v>
      </c>
      <c r="E1433" s="388" t="s">
        <v>10082</v>
      </c>
      <c r="F1433" s="388" t="s">
        <v>10078</v>
      </c>
      <c r="G1433" s="388" t="s">
        <v>10088</v>
      </c>
      <c r="H1433" s="388" t="s">
        <v>12623</v>
      </c>
      <c r="I1433" s="387" t="s">
        <v>12609</v>
      </c>
      <c r="J1433" s="389">
        <v>41122</v>
      </c>
      <c r="K1433" s="387" t="s">
        <v>12624</v>
      </c>
      <c r="L1433" s="387"/>
      <c r="M1433" s="387" t="s">
        <v>10084</v>
      </c>
      <c r="N1433" s="387"/>
      <c r="O1433" s="387" t="s">
        <v>57</v>
      </c>
      <c r="P1433" s="390">
        <v>634468250</v>
      </c>
      <c r="Q1433" s="387" t="s">
        <v>12625</v>
      </c>
      <c r="R1433" s="387" t="s">
        <v>12612</v>
      </c>
      <c r="S1433" s="340">
        <v>23</v>
      </c>
    </row>
    <row r="1434" spans="1:19" ht="58" x14ac:dyDescent="0.35">
      <c r="A1434" s="349">
        <v>1423</v>
      </c>
      <c r="B1434" s="387" t="s">
        <v>10660</v>
      </c>
      <c r="C1434" s="387" t="s">
        <v>10661</v>
      </c>
      <c r="D1434" s="388" t="s">
        <v>51</v>
      </c>
      <c r="E1434" s="388" t="s">
        <v>10082</v>
      </c>
      <c r="F1434" s="388"/>
      <c r="G1434" s="388"/>
      <c r="H1434" s="388" t="s">
        <v>12626</v>
      </c>
      <c r="I1434" s="387" t="s">
        <v>63</v>
      </c>
      <c r="J1434" s="389"/>
      <c r="K1434" s="387" t="s">
        <v>12627</v>
      </c>
      <c r="L1434" s="387"/>
      <c r="M1434" s="387"/>
      <c r="N1434" s="387"/>
      <c r="O1434" s="387" t="s">
        <v>44</v>
      </c>
      <c r="P1434" s="390">
        <v>90707250</v>
      </c>
      <c r="Q1434" s="387" t="s">
        <v>12628</v>
      </c>
      <c r="R1434" s="387" t="s">
        <v>12612</v>
      </c>
      <c r="S1434" s="340">
        <v>23</v>
      </c>
    </row>
    <row r="1435" spans="1:19" ht="44" thickBot="1" x14ac:dyDescent="0.4">
      <c r="A1435" s="357">
        <v>1424</v>
      </c>
      <c r="B1435" s="387" t="s">
        <v>12629</v>
      </c>
      <c r="C1435" s="387" t="s">
        <v>12630</v>
      </c>
      <c r="D1435" s="388" t="s">
        <v>51</v>
      </c>
      <c r="E1435" s="388" t="s">
        <v>10082</v>
      </c>
      <c r="F1435" s="388" t="s">
        <v>10078</v>
      </c>
      <c r="G1435" s="388" t="s">
        <v>10078</v>
      </c>
      <c r="H1435" s="388" t="s">
        <v>11297</v>
      </c>
      <c r="I1435" s="387" t="s">
        <v>12631</v>
      </c>
      <c r="J1435" s="389">
        <v>41964</v>
      </c>
      <c r="K1435" s="387" t="s">
        <v>12632</v>
      </c>
      <c r="L1435" s="387"/>
      <c r="M1435" s="387" t="s">
        <v>10084</v>
      </c>
      <c r="N1435" s="387"/>
      <c r="O1435" s="387" t="s">
        <v>57</v>
      </c>
      <c r="P1435" s="390">
        <v>147400000</v>
      </c>
      <c r="Q1435" s="387" t="s">
        <v>12633</v>
      </c>
      <c r="R1435" s="387" t="s">
        <v>12612</v>
      </c>
      <c r="S1435" s="340">
        <v>23</v>
      </c>
    </row>
    <row r="1436" spans="1:19" ht="43.5" x14ac:dyDescent="0.35">
      <c r="A1436" s="349">
        <v>1425</v>
      </c>
      <c r="B1436" s="387" t="s">
        <v>10765</v>
      </c>
      <c r="C1436" s="387" t="s">
        <v>10766</v>
      </c>
      <c r="D1436" s="388" t="s">
        <v>51</v>
      </c>
      <c r="E1436" s="388" t="s">
        <v>10082</v>
      </c>
      <c r="F1436" s="388" t="s">
        <v>10078</v>
      </c>
      <c r="G1436" s="388" t="s">
        <v>10078</v>
      </c>
      <c r="H1436" s="388" t="s">
        <v>12634</v>
      </c>
      <c r="I1436" s="387" t="s">
        <v>12635</v>
      </c>
      <c r="J1436" s="389">
        <v>41908</v>
      </c>
      <c r="K1436" s="387" t="s">
        <v>12636</v>
      </c>
      <c r="L1436" s="387"/>
      <c r="M1436" s="387" t="s">
        <v>10084</v>
      </c>
      <c r="N1436" s="387"/>
      <c r="O1436" s="387" t="s">
        <v>57</v>
      </c>
      <c r="P1436" s="390">
        <v>611118000</v>
      </c>
      <c r="Q1436" s="387" t="s">
        <v>12637</v>
      </c>
      <c r="R1436" s="387" t="s">
        <v>12612</v>
      </c>
      <c r="S1436" s="340">
        <v>23</v>
      </c>
    </row>
    <row r="1437" spans="1:19" ht="44" thickBot="1" x14ac:dyDescent="0.4">
      <c r="A1437" s="357">
        <v>1426</v>
      </c>
      <c r="B1437" s="387" t="s">
        <v>10096</v>
      </c>
      <c r="C1437" s="387" t="s">
        <v>10097</v>
      </c>
      <c r="D1437" s="388" t="s">
        <v>51</v>
      </c>
      <c r="E1437" s="388" t="s">
        <v>10082</v>
      </c>
      <c r="F1437" s="388" t="s">
        <v>10078</v>
      </c>
      <c r="G1437" s="388" t="s">
        <v>10088</v>
      </c>
      <c r="H1437" s="388" t="s">
        <v>11409</v>
      </c>
      <c r="I1437" s="387" t="s">
        <v>12638</v>
      </c>
      <c r="J1437" s="389">
        <v>43018</v>
      </c>
      <c r="K1437" s="387" t="s">
        <v>12639</v>
      </c>
      <c r="L1437" s="387"/>
      <c r="M1437" s="387" t="s">
        <v>10084</v>
      </c>
      <c r="N1437" s="387"/>
      <c r="O1437" s="387" t="s">
        <v>57</v>
      </c>
      <c r="P1437" s="390">
        <v>655430000</v>
      </c>
      <c r="Q1437" s="387" t="s">
        <v>12640</v>
      </c>
      <c r="R1437" s="387" t="s">
        <v>12612</v>
      </c>
      <c r="S1437" s="340">
        <v>23</v>
      </c>
    </row>
    <row r="1438" spans="1:19" ht="29" x14ac:dyDescent="0.35">
      <c r="A1438" s="349">
        <v>1427</v>
      </c>
      <c r="B1438" s="387" t="s">
        <v>10155</v>
      </c>
      <c r="C1438" s="387" t="s">
        <v>10156</v>
      </c>
      <c r="D1438" s="388" t="s">
        <v>51</v>
      </c>
      <c r="E1438" s="388" t="s">
        <v>10082</v>
      </c>
      <c r="F1438" s="388" t="s">
        <v>10078</v>
      </c>
      <c r="G1438" s="388" t="s">
        <v>10088</v>
      </c>
      <c r="H1438" s="388" t="s">
        <v>12641</v>
      </c>
      <c r="I1438" s="387" t="s">
        <v>12642</v>
      </c>
      <c r="J1438" s="389">
        <v>40178</v>
      </c>
      <c r="K1438" s="387" t="s">
        <v>12643</v>
      </c>
      <c r="L1438" s="387"/>
      <c r="M1438" s="387" t="s">
        <v>10084</v>
      </c>
      <c r="N1438" s="387"/>
      <c r="O1438" s="387" t="s">
        <v>57</v>
      </c>
      <c r="P1438" s="390">
        <v>6198925171</v>
      </c>
      <c r="Q1438" s="387" t="s">
        <v>12644</v>
      </c>
      <c r="R1438" s="387" t="s">
        <v>4460</v>
      </c>
      <c r="S1438" s="340">
        <v>24</v>
      </c>
    </row>
    <row r="1439" spans="1:19" ht="44" thickBot="1" x14ac:dyDescent="0.4">
      <c r="A1439" s="357">
        <v>1428</v>
      </c>
      <c r="B1439" s="387" t="s">
        <v>10535</v>
      </c>
      <c r="C1439" s="387" t="s">
        <v>10536</v>
      </c>
      <c r="D1439" s="388" t="s">
        <v>51</v>
      </c>
      <c r="E1439" s="388" t="s">
        <v>10082</v>
      </c>
      <c r="F1439" s="388" t="s">
        <v>10078</v>
      </c>
      <c r="G1439" s="388" t="s">
        <v>10078</v>
      </c>
      <c r="H1439" s="388" t="s">
        <v>12645</v>
      </c>
      <c r="I1439" s="387" t="s">
        <v>12642</v>
      </c>
      <c r="J1439" s="389">
        <v>41218</v>
      </c>
      <c r="K1439" s="387" t="s">
        <v>12646</v>
      </c>
      <c r="L1439" s="387"/>
      <c r="M1439" s="387" t="s">
        <v>10084</v>
      </c>
      <c r="N1439" s="387"/>
      <c r="O1439" s="387" t="s">
        <v>57</v>
      </c>
      <c r="P1439" s="390">
        <v>219083200</v>
      </c>
      <c r="Q1439" s="387" t="s">
        <v>12647</v>
      </c>
      <c r="R1439" s="387" t="s">
        <v>4460</v>
      </c>
      <c r="S1439" s="340">
        <v>24</v>
      </c>
    </row>
    <row r="1440" spans="1:19" ht="29" x14ac:dyDescent="0.35">
      <c r="A1440" s="349">
        <v>1429</v>
      </c>
      <c r="B1440" s="387" t="s">
        <v>10535</v>
      </c>
      <c r="C1440" s="387" t="s">
        <v>10536</v>
      </c>
      <c r="D1440" s="388" t="s">
        <v>59</v>
      </c>
      <c r="E1440" s="388" t="s">
        <v>10082</v>
      </c>
      <c r="F1440" s="388" t="s">
        <v>10071</v>
      </c>
      <c r="G1440" s="388" t="s">
        <v>10078</v>
      </c>
      <c r="H1440" s="388" t="s">
        <v>11551</v>
      </c>
      <c r="I1440" s="387" t="s">
        <v>12642</v>
      </c>
      <c r="J1440" s="389">
        <v>40826</v>
      </c>
      <c r="K1440" s="387" t="s">
        <v>12648</v>
      </c>
      <c r="L1440" s="387"/>
      <c r="M1440" s="387" t="s">
        <v>10084</v>
      </c>
      <c r="N1440" s="387"/>
      <c r="O1440" s="387" t="s">
        <v>57</v>
      </c>
      <c r="P1440" s="390">
        <v>98766000</v>
      </c>
      <c r="Q1440" s="387" t="s">
        <v>12649</v>
      </c>
      <c r="R1440" s="387" t="s">
        <v>4460</v>
      </c>
      <c r="S1440" s="340">
        <v>24</v>
      </c>
    </row>
    <row r="1441" spans="1:19" ht="44" thickBot="1" x14ac:dyDescent="0.4">
      <c r="A1441" s="357">
        <v>1430</v>
      </c>
      <c r="B1441" s="387" t="s">
        <v>10535</v>
      </c>
      <c r="C1441" s="387" t="s">
        <v>10536</v>
      </c>
      <c r="D1441" s="388" t="s">
        <v>97</v>
      </c>
      <c r="E1441" s="388" t="s">
        <v>10082</v>
      </c>
      <c r="F1441" s="388" t="s">
        <v>10078</v>
      </c>
      <c r="G1441" s="388" t="s">
        <v>10088</v>
      </c>
      <c r="H1441" s="388" t="s">
        <v>12650</v>
      </c>
      <c r="I1441" s="387" t="s">
        <v>12642</v>
      </c>
      <c r="J1441" s="389">
        <v>40809</v>
      </c>
      <c r="K1441" s="387" t="s">
        <v>12651</v>
      </c>
      <c r="L1441" s="387"/>
      <c r="M1441" s="387" t="s">
        <v>10084</v>
      </c>
      <c r="N1441" s="387"/>
      <c r="O1441" s="387" t="s">
        <v>57</v>
      </c>
      <c r="P1441" s="390">
        <v>146826100</v>
      </c>
      <c r="Q1441" s="387" t="s">
        <v>12652</v>
      </c>
      <c r="R1441" s="387" t="s">
        <v>4460</v>
      </c>
      <c r="S1441" s="340">
        <v>24</v>
      </c>
    </row>
    <row r="1442" spans="1:19" ht="29" x14ac:dyDescent="0.35">
      <c r="A1442" s="349">
        <v>1431</v>
      </c>
      <c r="B1442" s="387" t="s">
        <v>10535</v>
      </c>
      <c r="C1442" s="387" t="s">
        <v>10536</v>
      </c>
      <c r="D1442" s="388" t="s">
        <v>101</v>
      </c>
      <c r="E1442" s="388" t="s">
        <v>10082</v>
      </c>
      <c r="F1442" s="388" t="s">
        <v>10078</v>
      </c>
      <c r="G1442" s="388" t="s">
        <v>10088</v>
      </c>
      <c r="H1442" s="388" t="s">
        <v>12653</v>
      </c>
      <c r="I1442" s="387" t="s">
        <v>12642</v>
      </c>
      <c r="J1442" s="389">
        <v>40487</v>
      </c>
      <c r="K1442" s="387" t="s">
        <v>12654</v>
      </c>
      <c r="L1442" s="387"/>
      <c r="M1442" s="387" t="s">
        <v>10084</v>
      </c>
      <c r="N1442" s="387"/>
      <c r="O1442" s="387" t="s">
        <v>57</v>
      </c>
      <c r="P1442" s="390">
        <v>58586900</v>
      </c>
      <c r="Q1442" s="387" t="s">
        <v>12655</v>
      </c>
      <c r="R1442" s="387" t="s">
        <v>4460</v>
      </c>
      <c r="S1442" s="340">
        <v>24</v>
      </c>
    </row>
    <row r="1443" spans="1:19" ht="29.5" thickBot="1" x14ac:dyDescent="0.4">
      <c r="A1443" s="357">
        <v>1432</v>
      </c>
      <c r="B1443" s="387" t="s">
        <v>10535</v>
      </c>
      <c r="C1443" s="387" t="s">
        <v>10536</v>
      </c>
      <c r="D1443" s="388" t="s">
        <v>107</v>
      </c>
      <c r="E1443" s="388" t="s">
        <v>10082</v>
      </c>
      <c r="F1443" s="388" t="s">
        <v>10078</v>
      </c>
      <c r="G1443" s="388" t="s">
        <v>10078</v>
      </c>
      <c r="H1443" s="388" t="s">
        <v>12656</v>
      </c>
      <c r="I1443" s="387" t="s">
        <v>12642</v>
      </c>
      <c r="J1443" s="389">
        <v>40337</v>
      </c>
      <c r="K1443" s="387" t="s">
        <v>12657</v>
      </c>
      <c r="L1443" s="387"/>
      <c r="M1443" s="387" t="s">
        <v>10084</v>
      </c>
      <c r="N1443" s="387"/>
      <c r="O1443" s="387" t="s">
        <v>57</v>
      </c>
      <c r="P1443" s="390">
        <v>291243271</v>
      </c>
      <c r="Q1443" s="387" t="s">
        <v>12658</v>
      </c>
      <c r="R1443" s="387" t="s">
        <v>4460</v>
      </c>
      <c r="S1443" s="340">
        <v>24</v>
      </c>
    </row>
    <row r="1444" spans="1:19" ht="29" x14ac:dyDescent="0.35">
      <c r="A1444" s="349">
        <v>1433</v>
      </c>
      <c r="B1444" s="387" t="s">
        <v>10535</v>
      </c>
      <c r="C1444" s="387" t="s">
        <v>10536</v>
      </c>
      <c r="D1444" s="388" t="s">
        <v>112</v>
      </c>
      <c r="E1444" s="388" t="s">
        <v>10082</v>
      </c>
      <c r="F1444" s="388" t="s">
        <v>10078</v>
      </c>
      <c r="G1444" s="388" t="s">
        <v>10078</v>
      </c>
      <c r="H1444" s="388" t="s">
        <v>8957</v>
      </c>
      <c r="I1444" s="387" t="s">
        <v>12642</v>
      </c>
      <c r="J1444" s="389">
        <v>40416</v>
      </c>
      <c r="K1444" s="387" t="s">
        <v>12659</v>
      </c>
      <c r="L1444" s="387"/>
      <c r="M1444" s="387" t="s">
        <v>10084</v>
      </c>
      <c r="N1444" s="387"/>
      <c r="O1444" s="387" t="s">
        <v>57</v>
      </c>
      <c r="P1444" s="390">
        <v>235500000</v>
      </c>
      <c r="Q1444" s="387" t="s">
        <v>12660</v>
      </c>
      <c r="R1444" s="387" t="s">
        <v>4460</v>
      </c>
      <c r="S1444" s="340">
        <v>24</v>
      </c>
    </row>
    <row r="1445" spans="1:19" ht="29.5" thickBot="1" x14ac:dyDescent="0.4">
      <c r="A1445" s="357">
        <v>1434</v>
      </c>
      <c r="B1445" s="387" t="s">
        <v>10535</v>
      </c>
      <c r="C1445" s="387" t="s">
        <v>10536</v>
      </c>
      <c r="D1445" s="388" t="s">
        <v>116</v>
      </c>
      <c r="E1445" s="388" t="s">
        <v>10082</v>
      </c>
      <c r="F1445" s="388" t="s">
        <v>10078</v>
      </c>
      <c r="G1445" s="388" t="s">
        <v>10088</v>
      </c>
      <c r="H1445" s="388" t="s">
        <v>12661</v>
      </c>
      <c r="I1445" s="387" t="s">
        <v>12642</v>
      </c>
      <c r="J1445" s="389">
        <v>40337</v>
      </c>
      <c r="K1445" s="387" t="s">
        <v>12662</v>
      </c>
      <c r="L1445" s="387"/>
      <c r="M1445" s="387" t="s">
        <v>10084</v>
      </c>
      <c r="N1445" s="387"/>
      <c r="O1445" s="387" t="s">
        <v>57</v>
      </c>
      <c r="P1445" s="390">
        <v>495484747.99999994</v>
      </c>
      <c r="Q1445" s="387" t="s">
        <v>12663</v>
      </c>
      <c r="R1445" s="387" t="s">
        <v>4460</v>
      </c>
      <c r="S1445" s="340">
        <v>24</v>
      </c>
    </row>
    <row r="1446" spans="1:19" ht="29" x14ac:dyDescent="0.35">
      <c r="A1446" s="349">
        <v>1435</v>
      </c>
      <c r="B1446" s="387" t="s">
        <v>10535</v>
      </c>
      <c r="C1446" s="387" t="s">
        <v>10536</v>
      </c>
      <c r="D1446" s="388" t="s">
        <v>841</v>
      </c>
      <c r="E1446" s="388" t="s">
        <v>10082</v>
      </c>
      <c r="F1446" s="388" t="s">
        <v>10078</v>
      </c>
      <c r="G1446" s="388" t="s">
        <v>10078</v>
      </c>
      <c r="H1446" s="388" t="s">
        <v>12664</v>
      </c>
      <c r="I1446" s="387" t="s">
        <v>12642</v>
      </c>
      <c r="J1446" s="389">
        <v>40337</v>
      </c>
      <c r="K1446" s="387" t="s">
        <v>12657</v>
      </c>
      <c r="L1446" s="387"/>
      <c r="M1446" s="387" t="s">
        <v>10084</v>
      </c>
      <c r="N1446" s="387"/>
      <c r="O1446" s="387" t="s">
        <v>57</v>
      </c>
      <c r="P1446" s="390">
        <v>636764000</v>
      </c>
      <c r="Q1446" s="387" t="s">
        <v>12665</v>
      </c>
      <c r="R1446" s="387" t="s">
        <v>4460</v>
      </c>
      <c r="S1446" s="340">
        <v>24</v>
      </c>
    </row>
    <row r="1447" spans="1:19" ht="29.5" thickBot="1" x14ac:dyDescent="0.4">
      <c r="A1447" s="357">
        <v>1436</v>
      </c>
      <c r="B1447" s="387" t="s">
        <v>10535</v>
      </c>
      <c r="C1447" s="387" t="s">
        <v>10536</v>
      </c>
      <c r="D1447" s="388" t="s">
        <v>904</v>
      </c>
      <c r="E1447" s="388" t="s">
        <v>10082</v>
      </c>
      <c r="F1447" s="388" t="s">
        <v>10078</v>
      </c>
      <c r="G1447" s="388" t="s">
        <v>10088</v>
      </c>
      <c r="H1447" s="388" t="s">
        <v>12666</v>
      </c>
      <c r="I1447" s="387" t="s">
        <v>12642</v>
      </c>
      <c r="J1447" s="389">
        <v>40809</v>
      </c>
      <c r="K1447" s="387" t="s">
        <v>12667</v>
      </c>
      <c r="L1447" s="387"/>
      <c r="M1447" s="387" t="s">
        <v>10084</v>
      </c>
      <c r="N1447" s="387"/>
      <c r="O1447" s="387" t="s">
        <v>57</v>
      </c>
      <c r="P1447" s="390">
        <v>3802603000</v>
      </c>
      <c r="Q1447" s="387" t="s">
        <v>12668</v>
      </c>
      <c r="R1447" s="387" t="s">
        <v>4460</v>
      </c>
      <c r="S1447" s="340">
        <v>24</v>
      </c>
    </row>
    <row r="1448" spans="1:19" ht="43.5" x14ac:dyDescent="0.35">
      <c r="A1448" s="349">
        <v>1437</v>
      </c>
      <c r="B1448" s="387" t="s">
        <v>10535</v>
      </c>
      <c r="C1448" s="387" t="s">
        <v>10536</v>
      </c>
      <c r="D1448" s="388" t="s">
        <v>122</v>
      </c>
      <c r="E1448" s="388" t="s">
        <v>10082</v>
      </c>
      <c r="F1448" s="388" t="s">
        <v>10078</v>
      </c>
      <c r="G1448" s="388" t="s">
        <v>10088</v>
      </c>
      <c r="H1448" s="388" t="s">
        <v>12661</v>
      </c>
      <c r="I1448" s="387" t="s">
        <v>12642</v>
      </c>
      <c r="J1448" s="389">
        <v>40725</v>
      </c>
      <c r="K1448" s="387" t="s">
        <v>12669</v>
      </c>
      <c r="L1448" s="387"/>
      <c r="M1448" s="387" t="s">
        <v>10084</v>
      </c>
      <c r="N1448" s="387"/>
      <c r="O1448" s="387" t="s">
        <v>57</v>
      </c>
      <c r="P1448" s="390">
        <v>49068168</v>
      </c>
      <c r="Q1448" s="387" t="s">
        <v>12670</v>
      </c>
      <c r="R1448" s="387" t="s">
        <v>4460</v>
      </c>
      <c r="S1448" s="340">
        <v>24</v>
      </c>
    </row>
    <row r="1449" spans="1:19" ht="29.5" thickBot="1" x14ac:dyDescent="0.4">
      <c r="A1449" s="357">
        <v>1438</v>
      </c>
      <c r="B1449" s="387" t="s">
        <v>10535</v>
      </c>
      <c r="C1449" s="387" t="s">
        <v>10536</v>
      </c>
      <c r="D1449" s="388" t="s">
        <v>126</v>
      </c>
      <c r="E1449" s="388" t="s">
        <v>10082</v>
      </c>
      <c r="F1449" s="388" t="s">
        <v>10078</v>
      </c>
      <c r="G1449" s="388" t="s">
        <v>10078</v>
      </c>
      <c r="H1449" s="388"/>
      <c r="I1449" s="387" t="s">
        <v>12671</v>
      </c>
      <c r="J1449" s="389">
        <v>44854</v>
      </c>
      <c r="K1449" s="387" t="s">
        <v>12672</v>
      </c>
      <c r="L1449" s="387"/>
      <c r="M1449" s="387"/>
      <c r="N1449" s="387"/>
      <c r="O1449" s="387" t="s">
        <v>44</v>
      </c>
      <c r="P1449" s="390">
        <v>191580000</v>
      </c>
      <c r="Q1449" s="387" t="s">
        <v>12673</v>
      </c>
      <c r="R1449" s="387" t="s">
        <v>4460</v>
      </c>
      <c r="S1449" s="340">
        <v>24</v>
      </c>
    </row>
    <row r="1450" spans="1:19" ht="58" x14ac:dyDescent="0.35">
      <c r="A1450" s="349">
        <v>1439</v>
      </c>
      <c r="B1450" s="387" t="s">
        <v>10541</v>
      </c>
      <c r="C1450" s="387" t="s">
        <v>10542</v>
      </c>
      <c r="D1450" s="388" t="s">
        <v>51</v>
      </c>
      <c r="E1450" s="388" t="s">
        <v>10082</v>
      </c>
      <c r="F1450" s="388" t="s">
        <v>10071</v>
      </c>
      <c r="G1450" s="388" t="s">
        <v>10088</v>
      </c>
      <c r="H1450" s="388" t="s">
        <v>12664</v>
      </c>
      <c r="I1450" s="387" t="s">
        <v>12674</v>
      </c>
      <c r="J1450" s="389">
        <v>41563</v>
      </c>
      <c r="K1450" s="387" t="s">
        <v>12675</v>
      </c>
      <c r="L1450" s="387"/>
      <c r="M1450" s="387" t="s">
        <v>10084</v>
      </c>
      <c r="N1450" s="387"/>
      <c r="O1450" s="387" t="s">
        <v>57</v>
      </c>
      <c r="P1450" s="390">
        <v>1695159000</v>
      </c>
      <c r="Q1450" s="387" t="s">
        <v>12676</v>
      </c>
      <c r="R1450" s="387" t="s">
        <v>4460</v>
      </c>
      <c r="S1450" s="340">
        <v>24</v>
      </c>
    </row>
    <row r="1451" spans="1:19" ht="29.5" thickBot="1" x14ac:dyDescent="0.4">
      <c r="A1451" s="357">
        <v>1440</v>
      </c>
      <c r="B1451" s="387" t="s">
        <v>10541</v>
      </c>
      <c r="C1451" s="387" t="s">
        <v>10542</v>
      </c>
      <c r="D1451" s="388" t="s">
        <v>59</v>
      </c>
      <c r="E1451" s="388" t="s">
        <v>10082</v>
      </c>
      <c r="F1451" s="388" t="s">
        <v>10071</v>
      </c>
      <c r="G1451" s="388" t="s">
        <v>10088</v>
      </c>
      <c r="H1451" s="388" t="s">
        <v>3405</v>
      </c>
      <c r="I1451" s="387" t="s">
        <v>12677</v>
      </c>
      <c r="J1451" s="389">
        <v>42626</v>
      </c>
      <c r="K1451" s="387" t="s">
        <v>12678</v>
      </c>
      <c r="L1451" s="387"/>
      <c r="M1451" s="387" t="s">
        <v>10084</v>
      </c>
      <c r="N1451" s="387"/>
      <c r="O1451" s="387" t="s">
        <v>57</v>
      </c>
      <c r="P1451" s="390">
        <v>1083860704.0000002</v>
      </c>
      <c r="Q1451" s="387" t="s">
        <v>12679</v>
      </c>
      <c r="R1451" s="387" t="s">
        <v>4460</v>
      </c>
      <c r="S1451" s="340">
        <v>24</v>
      </c>
    </row>
    <row r="1452" spans="1:19" ht="43.5" x14ac:dyDescent="0.35">
      <c r="A1452" s="349">
        <v>1441</v>
      </c>
      <c r="B1452" s="387" t="s">
        <v>10650</v>
      </c>
      <c r="C1452" s="387" t="s">
        <v>10651</v>
      </c>
      <c r="D1452" s="388" t="s">
        <v>51</v>
      </c>
      <c r="E1452" s="388" t="s">
        <v>10082</v>
      </c>
      <c r="F1452" s="388" t="s">
        <v>10078</v>
      </c>
      <c r="G1452" s="388" t="s">
        <v>10088</v>
      </c>
      <c r="H1452" s="388" t="s">
        <v>12570</v>
      </c>
      <c r="I1452" s="387" t="s">
        <v>12680</v>
      </c>
      <c r="J1452" s="389">
        <v>41458</v>
      </c>
      <c r="K1452" s="387" t="s">
        <v>12681</v>
      </c>
      <c r="L1452" s="387"/>
      <c r="M1452" s="387" t="s">
        <v>10084</v>
      </c>
      <c r="N1452" s="387"/>
      <c r="O1452" s="387" t="s">
        <v>57</v>
      </c>
      <c r="P1452" s="390">
        <v>131600000</v>
      </c>
      <c r="Q1452" s="387" t="s">
        <v>12682</v>
      </c>
      <c r="R1452" s="387" t="s">
        <v>4460</v>
      </c>
      <c r="S1452" s="340">
        <v>24</v>
      </c>
    </row>
    <row r="1453" spans="1:19" thickBot="1" x14ac:dyDescent="0.4">
      <c r="A1453" s="357">
        <v>1442</v>
      </c>
      <c r="B1453" s="387" t="s">
        <v>10650</v>
      </c>
      <c r="C1453" s="387" t="s">
        <v>10651</v>
      </c>
      <c r="D1453" s="388" t="s">
        <v>59</v>
      </c>
      <c r="E1453" s="388" t="s">
        <v>10082</v>
      </c>
      <c r="F1453" s="388" t="s">
        <v>10078</v>
      </c>
      <c r="G1453" s="388" t="s">
        <v>10078</v>
      </c>
      <c r="H1453" s="388" t="s">
        <v>2972</v>
      </c>
      <c r="I1453" s="387" t="s">
        <v>12683</v>
      </c>
      <c r="J1453" s="389">
        <v>43663</v>
      </c>
      <c r="K1453" s="387" t="s">
        <v>12684</v>
      </c>
      <c r="L1453" s="387"/>
      <c r="M1453" s="387" t="s">
        <v>10084</v>
      </c>
      <c r="N1453" s="387"/>
      <c r="O1453" s="387" t="s">
        <v>57</v>
      </c>
      <c r="P1453" s="390">
        <v>87933648</v>
      </c>
      <c r="Q1453" s="387" t="s">
        <v>12685</v>
      </c>
      <c r="R1453" s="387" t="s">
        <v>4460</v>
      </c>
      <c r="S1453" s="340">
        <v>24</v>
      </c>
    </row>
    <row r="1454" spans="1:19" ht="43.5" x14ac:dyDescent="0.35">
      <c r="A1454" s="349">
        <v>1443</v>
      </c>
      <c r="B1454" s="387" t="s">
        <v>10486</v>
      </c>
      <c r="C1454" s="387" t="s">
        <v>10487</v>
      </c>
      <c r="D1454" s="388" t="s">
        <v>51</v>
      </c>
      <c r="E1454" s="388" t="s">
        <v>10082</v>
      </c>
      <c r="F1454" s="388" t="s">
        <v>10078</v>
      </c>
      <c r="G1454" s="388" t="s">
        <v>10088</v>
      </c>
      <c r="H1454" s="388" t="s">
        <v>88</v>
      </c>
      <c r="I1454" s="387" t="s">
        <v>12642</v>
      </c>
      <c r="J1454" s="389">
        <v>40814</v>
      </c>
      <c r="K1454" s="387" t="s">
        <v>12686</v>
      </c>
      <c r="L1454" s="387"/>
      <c r="M1454" s="387" t="s">
        <v>10084</v>
      </c>
      <c r="N1454" s="387"/>
      <c r="O1454" s="387" t="s">
        <v>57</v>
      </c>
      <c r="P1454" s="390">
        <v>221303268.99999997</v>
      </c>
      <c r="Q1454" s="387" t="s">
        <v>12687</v>
      </c>
      <c r="R1454" s="387" t="s">
        <v>4460</v>
      </c>
      <c r="S1454" s="340">
        <v>24</v>
      </c>
    </row>
    <row r="1455" spans="1:19" ht="29.5" thickBot="1" x14ac:dyDescent="0.4">
      <c r="A1455" s="357">
        <v>1444</v>
      </c>
      <c r="B1455" s="387" t="s">
        <v>10687</v>
      </c>
      <c r="C1455" s="387" t="s">
        <v>10688</v>
      </c>
      <c r="D1455" s="388" t="s">
        <v>51</v>
      </c>
      <c r="E1455" s="388" t="s">
        <v>10082</v>
      </c>
      <c r="F1455" s="388" t="s">
        <v>10078</v>
      </c>
      <c r="G1455" s="388" t="s">
        <v>10078</v>
      </c>
      <c r="H1455" s="388" t="s">
        <v>2972</v>
      </c>
      <c r="I1455" s="387" t="s">
        <v>12688</v>
      </c>
      <c r="J1455" s="389">
        <v>43560</v>
      </c>
      <c r="K1455" s="387" t="s">
        <v>12689</v>
      </c>
      <c r="L1455" s="387"/>
      <c r="M1455" s="387" t="s">
        <v>10084</v>
      </c>
      <c r="N1455" s="387"/>
      <c r="O1455" s="387" t="s">
        <v>57</v>
      </c>
      <c r="P1455" s="390">
        <v>221471000</v>
      </c>
      <c r="Q1455" s="387" t="s">
        <v>12690</v>
      </c>
      <c r="R1455" s="387" t="s">
        <v>4460</v>
      </c>
      <c r="S1455" s="340">
        <v>24</v>
      </c>
    </row>
    <row r="1456" spans="1:19" ht="29" x14ac:dyDescent="0.35">
      <c r="A1456" s="349">
        <v>1445</v>
      </c>
      <c r="B1456" s="387" t="s">
        <v>11842</v>
      </c>
      <c r="C1456" s="387" t="s">
        <v>11843</v>
      </c>
      <c r="D1456" s="388" t="s">
        <v>51</v>
      </c>
      <c r="E1456" s="388" t="s">
        <v>10082</v>
      </c>
      <c r="F1456" s="388" t="s">
        <v>10078</v>
      </c>
      <c r="G1456" s="388" t="s">
        <v>10078</v>
      </c>
      <c r="H1456" s="388" t="s">
        <v>11400</v>
      </c>
      <c r="I1456" s="387" t="s">
        <v>8889</v>
      </c>
      <c r="J1456" s="389">
        <v>42310</v>
      </c>
      <c r="K1456" s="387" t="s">
        <v>12691</v>
      </c>
      <c r="L1456" s="387"/>
      <c r="M1456" s="387" t="s">
        <v>10084</v>
      </c>
      <c r="N1456" s="387"/>
      <c r="O1456" s="387" t="s">
        <v>57</v>
      </c>
      <c r="P1456" s="390">
        <v>214900000</v>
      </c>
      <c r="Q1456" s="387" t="s">
        <v>12692</v>
      </c>
      <c r="R1456" s="387" t="s">
        <v>4460</v>
      </c>
      <c r="S1456" s="340">
        <v>24</v>
      </c>
    </row>
    <row r="1457" spans="1:19" ht="29.5" thickBot="1" x14ac:dyDescent="0.4">
      <c r="A1457" s="357">
        <v>1446</v>
      </c>
      <c r="B1457" s="387" t="s">
        <v>12693</v>
      </c>
      <c r="C1457" s="387" t="s">
        <v>12694</v>
      </c>
      <c r="D1457" s="388" t="s">
        <v>51</v>
      </c>
      <c r="E1457" s="388" t="s">
        <v>10082</v>
      </c>
      <c r="F1457" s="388"/>
      <c r="G1457" s="388"/>
      <c r="H1457" s="388"/>
      <c r="I1457" s="387" t="s">
        <v>63</v>
      </c>
      <c r="J1457" s="389"/>
      <c r="K1457" s="387" t="s">
        <v>12695</v>
      </c>
      <c r="L1457" s="387"/>
      <c r="M1457" s="387"/>
      <c r="N1457" s="387"/>
      <c r="O1457" s="387" t="s">
        <v>44</v>
      </c>
      <c r="P1457" s="390">
        <v>221155280</v>
      </c>
      <c r="Q1457" s="387" t="s">
        <v>12696</v>
      </c>
      <c r="R1457" s="387" t="s">
        <v>4460</v>
      </c>
      <c r="S1457" s="340">
        <v>24</v>
      </c>
    </row>
    <row r="1458" spans="1:19" ht="29" x14ac:dyDescent="0.35">
      <c r="A1458" s="349">
        <v>1447</v>
      </c>
      <c r="B1458" s="387" t="s">
        <v>11053</v>
      </c>
      <c r="C1458" s="387" t="s">
        <v>11054</v>
      </c>
      <c r="D1458" s="388" t="s">
        <v>51</v>
      </c>
      <c r="E1458" s="388" t="s">
        <v>10082</v>
      </c>
      <c r="F1458" s="388" t="s">
        <v>10078</v>
      </c>
      <c r="G1458" s="388" t="s">
        <v>10088</v>
      </c>
      <c r="H1458" s="388" t="s">
        <v>12697</v>
      </c>
      <c r="I1458" s="387" t="s">
        <v>10909</v>
      </c>
      <c r="J1458" s="389">
        <v>42660</v>
      </c>
      <c r="K1458" s="387" t="s">
        <v>12698</v>
      </c>
      <c r="L1458" s="387"/>
      <c r="M1458" s="387" t="s">
        <v>10084</v>
      </c>
      <c r="N1458" s="387"/>
      <c r="O1458" s="387" t="s">
        <v>57</v>
      </c>
      <c r="P1458" s="390">
        <v>751661708.10000002</v>
      </c>
      <c r="Q1458" s="387" t="s">
        <v>12699</v>
      </c>
      <c r="R1458" s="387" t="s">
        <v>4460</v>
      </c>
      <c r="S1458" s="340">
        <v>24</v>
      </c>
    </row>
    <row r="1459" spans="1:19" ht="29.5" thickBot="1" x14ac:dyDescent="0.4">
      <c r="A1459" s="357">
        <v>1448</v>
      </c>
      <c r="B1459" s="387" t="s">
        <v>11053</v>
      </c>
      <c r="C1459" s="387" t="s">
        <v>11054</v>
      </c>
      <c r="D1459" s="388" t="s">
        <v>59</v>
      </c>
      <c r="E1459" s="388" t="s">
        <v>10082</v>
      </c>
      <c r="F1459" s="388" t="s">
        <v>10078</v>
      </c>
      <c r="G1459" s="388" t="s">
        <v>10078</v>
      </c>
      <c r="H1459" s="388" t="s">
        <v>2972</v>
      </c>
      <c r="I1459" s="387" t="s">
        <v>11741</v>
      </c>
      <c r="J1459" s="389">
        <v>44299</v>
      </c>
      <c r="K1459" s="387" t="s">
        <v>12698</v>
      </c>
      <c r="L1459" s="387"/>
      <c r="M1459" s="387" t="s">
        <v>10084</v>
      </c>
      <c r="N1459" s="387"/>
      <c r="O1459" s="387" t="s">
        <v>57</v>
      </c>
      <c r="P1459" s="390">
        <v>379403023.10000002</v>
      </c>
      <c r="Q1459" s="387" t="s">
        <v>12700</v>
      </c>
      <c r="R1459" s="387" t="s">
        <v>4460</v>
      </c>
      <c r="S1459" s="340">
        <v>24</v>
      </c>
    </row>
    <row r="1460" spans="1:19" ht="58" x14ac:dyDescent="0.35">
      <c r="A1460" s="349">
        <v>1449</v>
      </c>
      <c r="B1460" s="387" t="s">
        <v>11682</v>
      </c>
      <c r="C1460" s="387" t="s">
        <v>11683</v>
      </c>
      <c r="D1460" s="388" t="s">
        <v>51</v>
      </c>
      <c r="E1460" s="388" t="s">
        <v>10082</v>
      </c>
      <c r="F1460" s="388" t="s">
        <v>10078</v>
      </c>
      <c r="G1460" s="388" t="s">
        <v>10088</v>
      </c>
      <c r="H1460" s="388" t="s">
        <v>12701</v>
      </c>
      <c r="I1460" s="387" t="s">
        <v>10909</v>
      </c>
      <c r="J1460" s="389">
        <v>41598</v>
      </c>
      <c r="K1460" s="387" t="s">
        <v>12702</v>
      </c>
      <c r="L1460" s="387"/>
      <c r="M1460" s="387" t="s">
        <v>10084</v>
      </c>
      <c r="N1460" s="387"/>
      <c r="O1460" s="387" t="s">
        <v>57</v>
      </c>
      <c r="P1460" s="390">
        <v>151070000</v>
      </c>
      <c r="Q1460" s="387" t="s">
        <v>12703</v>
      </c>
      <c r="R1460" s="387" t="s">
        <v>4460</v>
      </c>
      <c r="S1460" s="340">
        <v>24</v>
      </c>
    </row>
    <row r="1461" spans="1:19" ht="44" thickBot="1" x14ac:dyDescent="0.4">
      <c r="A1461" s="357">
        <v>1450</v>
      </c>
      <c r="B1461" s="387" t="s">
        <v>10511</v>
      </c>
      <c r="C1461" s="387" t="s">
        <v>10512</v>
      </c>
      <c r="D1461" s="388" t="s">
        <v>51</v>
      </c>
      <c r="E1461" s="388" t="s">
        <v>10082</v>
      </c>
      <c r="F1461" s="388" t="s">
        <v>10078</v>
      </c>
      <c r="G1461" s="388" t="s">
        <v>10078</v>
      </c>
      <c r="H1461" s="388" t="s">
        <v>11328</v>
      </c>
      <c r="I1461" s="387" t="s">
        <v>12704</v>
      </c>
      <c r="J1461" s="389">
        <v>40479</v>
      </c>
      <c r="K1461" s="387" t="s">
        <v>12705</v>
      </c>
      <c r="L1461" s="387"/>
      <c r="M1461" s="387" t="s">
        <v>10084</v>
      </c>
      <c r="N1461" s="387"/>
      <c r="O1461" s="387" t="s">
        <v>57</v>
      </c>
      <c r="P1461" s="390">
        <v>54781600</v>
      </c>
      <c r="Q1461" s="387" t="s">
        <v>12706</v>
      </c>
      <c r="R1461" s="387" t="s">
        <v>4460</v>
      </c>
      <c r="S1461" s="340">
        <v>24</v>
      </c>
    </row>
    <row r="1462" spans="1:19" ht="43.5" x14ac:dyDescent="0.35">
      <c r="A1462" s="349">
        <v>1451</v>
      </c>
      <c r="B1462" s="387" t="s">
        <v>12707</v>
      </c>
      <c r="C1462" s="387" t="s">
        <v>12708</v>
      </c>
      <c r="D1462" s="388" t="s">
        <v>51</v>
      </c>
      <c r="E1462" s="388" t="s">
        <v>10082</v>
      </c>
      <c r="F1462" s="388" t="s">
        <v>10078</v>
      </c>
      <c r="G1462" s="388" t="s">
        <v>10088</v>
      </c>
      <c r="H1462" s="388" t="s">
        <v>12302</v>
      </c>
      <c r="I1462" s="387" t="s">
        <v>12642</v>
      </c>
      <c r="J1462" s="389">
        <v>40809</v>
      </c>
      <c r="K1462" s="387" t="s">
        <v>12709</v>
      </c>
      <c r="L1462" s="387"/>
      <c r="M1462" s="387" t="s">
        <v>10084</v>
      </c>
      <c r="N1462" s="387"/>
      <c r="O1462" s="387" t="s">
        <v>57</v>
      </c>
      <c r="P1462" s="390">
        <v>207316000</v>
      </c>
      <c r="Q1462" s="387" t="s">
        <v>12710</v>
      </c>
      <c r="R1462" s="387" t="s">
        <v>4460</v>
      </c>
      <c r="S1462" s="340">
        <v>24</v>
      </c>
    </row>
    <row r="1463" spans="1:19" ht="29.5" thickBot="1" x14ac:dyDescent="0.4">
      <c r="A1463" s="357">
        <v>1452</v>
      </c>
      <c r="B1463" s="387" t="s">
        <v>10096</v>
      </c>
      <c r="C1463" s="387" t="s">
        <v>10097</v>
      </c>
      <c r="D1463" s="388" t="s">
        <v>51</v>
      </c>
      <c r="E1463" s="388" t="s">
        <v>10082</v>
      </c>
      <c r="F1463" s="388" t="s">
        <v>10078</v>
      </c>
      <c r="G1463" s="388" t="s">
        <v>10088</v>
      </c>
      <c r="H1463" s="388" t="s">
        <v>2972</v>
      </c>
      <c r="I1463" s="387" t="s">
        <v>12711</v>
      </c>
      <c r="J1463" s="389">
        <v>43193</v>
      </c>
      <c r="K1463" s="387" t="s">
        <v>12712</v>
      </c>
      <c r="L1463" s="387"/>
      <c r="M1463" s="387" t="s">
        <v>10084</v>
      </c>
      <c r="N1463" s="387"/>
      <c r="O1463" s="387" t="s">
        <v>57</v>
      </c>
      <c r="P1463" s="390">
        <v>269930957</v>
      </c>
      <c r="Q1463" s="387" t="s">
        <v>12713</v>
      </c>
      <c r="R1463" s="387" t="s">
        <v>4460</v>
      </c>
      <c r="S1463" s="340">
        <v>24</v>
      </c>
    </row>
    <row r="1464" spans="1:19" ht="14.5" x14ac:dyDescent="0.35">
      <c r="A1464" s="349">
        <v>1453</v>
      </c>
      <c r="B1464" s="387" t="s">
        <v>10096</v>
      </c>
      <c r="C1464" s="387" t="s">
        <v>10097</v>
      </c>
      <c r="D1464" s="388" t="s">
        <v>59</v>
      </c>
      <c r="E1464" s="388" t="s">
        <v>10082</v>
      </c>
      <c r="F1464" s="388" t="s">
        <v>10078</v>
      </c>
      <c r="G1464" s="388" t="s">
        <v>10078</v>
      </c>
      <c r="H1464" s="388" t="s">
        <v>2972</v>
      </c>
      <c r="I1464" s="387"/>
      <c r="J1464" s="389"/>
      <c r="K1464" s="387"/>
      <c r="L1464" s="387"/>
      <c r="M1464" s="387" t="s">
        <v>10084</v>
      </c>
      <c r="N1464" s="387"/>
      <c r="O1464" s="387" t="s">
        <v>57</v>
      </c>
      <c r="P1464" s="390">
        <v>221350000</v>
      </c>
      <c r="Q1464" s="387" t="s">
        <v>12714</v>
      </c>
      <c r="R1464" s="387" t="s">
        <v>4460</v>
      </c>
      <c r="S1464" s="340">
        <v>24</v>
      </c>
    </row>
    <row r="1465" spans="1:19" ht="29.5" thickBot="1" x14ac:dyDescent="0.4">
      <c r="A1465" s="357">
        <v>1454</v>
      </c>
      <c r="B1465" s="387" t="s">
        <v>10096</v>
      </c>
      <c r="C1465" s="387" t="s">
        <v>10097</v>
      </c>
      <c r="D1465" s="388" t="s">
        <v>97</v>
      </c>
      <c r="E1465" s="388" t="s">
        <v>10082</v>
      </c>
      <c r="F1465" s="388" t="s">
        <v>10078</v>
      </c>
      <c r="G1465" s="388" t="s">
        <v>10078</v>
      </c>
      <c r="H1465" s="388" t="s">
        <v>2972</v>
      </c>
      <c r="I1465" s="387" t="s">
        <v>63</v>
      </c>
      <c r="J1465" s="389"/>
      <c r="K1465" s="387"/>
      <c r="L1465" s="387"/>
      <c r="M1465" s="387" t="s">
        <v>10084</v>
      </c>
      <c r="N1465" s="387"/>
      <c r="O1465" s="387" t="s">
        <v>57</v>
      </c>
      <c r="P1465" s="390">
        <v>192450000</v>
      </c>
      <c r="Q1465" s="387" t="s">
        <v>12715</v>
      </c>
      <c r="R1465" s="387" t="s">
        <v>4460</v>
      </c>
      <c r="S1465" s="340">
        <v>24</v>
      </c>
    </row>
    <row r="1466" spans="1:19" ht="29" x14ac:dyDescent="0.35">
      <c r="A1466" s="349">
        <v>1455</v>
      </c>
      <c r="B1466" s="387" t="s">
        <v>10096</v>
      </c>
      <c r="C1466" s="387" t="s">
        <v>10097</v>
      </c>
      <c r="D1466" s="388" t="s">
        <v>101</v>
      </c>
      <c r="E1466" s="388" t="s">
        <v>10082</v>
      </c>
      <c r="F1466" s="388"/>
      <c r="G1466" s="388"/>
      <c r="H1466" s="388"/>
      <c r="I1466" s="387" t="s">
        <v>63</v>
      </c>
      <c r="J1466" s="389">
        <v>45625</v>
      </c>
      <c r="K1466" s="387" t="s">
        <v>12716</v>
      </c>
      <c r="L1466" s="387"/>
      <c r="M1466" s="387"/>
      <c r="N1466" s="387"/>
      <c r="O1466" s="387" t="s">
        <v>44</v>
      </c>
      <c r="P1466" s="390">
        <v>172083710</v>
      </c>
      <c r="Q1466" s="387" t="s">
        <v>12717</v>
      </c>
      <c r="R1466" s="387" t="s">
        <v>4460</v>
      </c>
      <c r="S1466" s="340">
        <v>24</v>
      </c>
    </row>
    <row r="1467" spans="1:19" ht="29.5" thickBot="1" x14ac:dyDescent="0.4">
      <c r="A1467" s="357">
        <v>1456</v>
      </c>
      <c r="B1467" s="387" t="s">
        <v>10155</v>
      </c>
      <c r="C1467" s="387" t="s">
        <v>10156</v>
      </c>
      <c r="D1467" s="388" t="s">
        <v>51</v>
      </c>
      <c r="E1467" s="388" t="s">
        <v>10082</v>
      </c>
      <c r="F1467" s="388" t="s">
        <v>10078</v>
      </c>
      <c r="G1467" s="388" t="s">
        <v>10078</v>
      </c>
      <c r="H1467" s="388" t="s">
        <v>11324</v>
      </c>
      <c r="I1467" s="387" t="s">
        <v>12718</v>
      </c>
      <c r="J1467" s="389"/>
      <c r="K1467" s="387"/>
      <c r="L1467" s="387"/>
      <c r="M1467" s="387" t="s">
        <v>10084</v>
      </c>
      <c r="N1467" s="387"/>
      <c r="O1467" s="387" t="s">
        <v>57</v>
      </c>
      <c r="P1467" s="390">
        <v>12227000</v>
      </c>
      <c r="Q1467" s="387" t="s">
        <v>12719</v>
      </c>
      <c r="R1467" s="387" t="s">
        <v>561</v>
      </c>
      <c r="S1467" s="340">
        <v>25</v>
      </c>
    </row>
    <row r="1468" spans="1:19" ht="29" x14ac:dyDescent="0.35">
      <c r="A1468" s="349">
        <v>1457</v>
      </c>
      <c r="B1468" s="387" t="s">
        <v>10155</v>
      </c>
      <c r="C1468" s="387" t="s">
        <v>10156</v>
      </c>
      <c r="D1468" s="388" t="s">
        <v>59</v>
      </c>
      <c r="E1468" s="388" t="s">
        <v>10082</v>
      </c>
      <c r="F1468" s="388" t="s">
        <v>10078</v>
      </c>
      <c r="G1468" s="388" t="s">
        <v>10078</v>
      </c>
      <c r="H1468" s="388" t="s">
        <v>12570</v>
      </c>
      <c r="I1468" s="387" t="s">
        <v>12720</v>
      </c>
      <c r="J1468" s="389"/>
      <c r="K1468" s="387"/>
      <c r="L1468" s="387"/>
      <c r="M1468" s="387" t="s">
        <v>10084</v>
      </c>
      <c r="N1468" s="387"/>
      <c r="O1468" s="387" t="s">
        <v>57</v>
      </c>
      <c r="P1468" s="390">
        <v>12975000</v>
      </c>
      <c r="Q1468" s="387" t="s">
        <v>12721</v>
      </c>
      <c r="R1468" s="387" t="s">
        <v>561</v>
      </c>
      <c r="S1468" s="340">
        <v>25</v>
      </c>
    </row>
    <row r="1469" spans="1:19" ht="29.5" thickBot="1" x14ac:dyDescent="0.4">
      <c r="A1469" s="357">
        <v>1458</v>
      </c>
      <c r="B1469" s="387" t="s">
        <v>10155</v>
      </c>
      <c r="C1469" s="387" t="s">
        <v>10156</v>
      </c>
      <c r="D1469" s="388" t="s">
        <v>97</v>
      </c>
      <c r="E1469" s="388" t="s">
        <v>10082</v>
      </c>
      <c r="F1469" s="388" t="s">
        <v>10078</v>
      </c>
      <c r="G1469" s="388" t="s">
        <v>10078</v>
      </c>
      <c r="H1469" s="388" t="s">
        <v>11870</v>
      </c>
      <c r="I1469" s="387" t="s">
        <v>12722</v>
      </c>
      <c r="J1469" s="389"/>
      <c r="K1469" s="387"/>
      <c r="L1469" s="387"/>
      <c r="M1469" s="387" t="s">
        <v>10084</v>
      </c>
      <c r="N1469" s="387"/>
      <c r="O1469" s="387" t="s">
        <v>57</v>
      </c>
      <c r="P1469" s="390">
        <v>15569000</v>
      </c>
      <c r="Q1469" s="387" t="s">
        <v>12723</v>
      </c>
      <c r="R1469" s="387" t="s">
        <v>561</v>
      </c>
      <c r="S1469" s="340">
        <v>25</v>
      </c>
    </row>
    <row r="1470" spans="1:19" ht="43.5" x14ac:dyDescent="0.35">
      <c r="A1470" s="349">
        <v>1459</v>
      </c>
      <c r="B1470" s="387" t="s">
        <v>10155</v>
      </c>
      <c r="C1470" s="387" t="s">
        <v>10156</v>
      </c>
      <c r="D1470" s="388" t="s">
        <v>101</v>
      </c>
      <c r="E1470" s="388" t="s">
        <v>10082</v>
      </c>
      <c r="F1470" s="388" t="s">
        <v>10078</v>
      </c>
      <c r="G1470" s="388" t="s">
        <v>10078</v>
      </c>
      <c r="H1470" s="388" t="s">
        <v>12116</v>
      </c>
      <c r="I1470" s="387" t="s">
        <v>12724</v>
      </c>
      <c r="J1470" s="389">
        <v>43714</v>
      </c>
      <c r="K1470" s="387" t="s">
        <v>12725</v>
      </c>
      <c r="L1470" s="387"/>
      <c r="M1470" s="387" t="s">
        <v>10084</v>
      </c>
      <c r="N1470" s="387"/>
      <c r="O1470" s="387" t="s">
        <v>57</v>
      </c>
      <c r="P1470" s="390">
        <v>172830000</v>
      </c>
      <c r="Q1470" s="387" t="s">
        <v>12726</v>
      </c>
      <c r="R1470" s="387" t="s">
        <v>561</v>
      </c>
      <c r="S1470" s="340">
        <v>25</v>
      </c>
    </row>
    <row r="1471" spans="1:19" ht="44" thickBot="1" x14ac:dyDescent="0.4">
      <c r="A1471" s="357">
        <v>1460</v>
      </c>
      <c r="B1471" s="387" t="s">
        <v>10155</v>
      </c>
      <c r="C1471" s="387" t="s">
        <v>10156</v>
      </c>
      <c r="D1471" s="388" t="s">
        <v>112</v>
      </c>
      <c r="E1471" s="388" t="s">
        <v>10082</v>
      </c>
      <c r="F1471" s="388" t="s">
        <v>10078</v>
      </c>
      <c r="G1471" s="388" t="s">
        <v>10078</v>
      </c>
      <c r="H1471" s="388" t="s">
        <v>12727</v>
      </c>
      <c r="I1471" s="387" t="s">
        <v>12728</v>
      </c>
      <c r="J1471" s="389"/>
      <c r="K1471" s="387"/>
      <c r="L1471" s="387"/>
      <c r="M1471" s="387" t="s">
        <v>10084</v>
      </c>
      <c r="N1471" s="387"/>
      <c r="O1471" s="387" t="s">
        <v>57</v>
      </c>
      <c r="P1471" s="390">
        <v>236280000</v>
      </c>
      <c r="Q1471" s="387" t="s">
        <v>12729</v>
      </c>
      <c r="R1471" s="387" t="s">
        <v>561</v>
      </c>
      <c r="S1471" s="340">
        <v>25</v>
      </c>
    </row>
    <row r="1472" spans="1:19" ht="29" x14ac:dyDescent="0.35">
      <c r="A1472" s="349">
        <v>1461</v>
      </c>
      <c r="B1472" s="387" t="s">
        <v>10155</v>
      </c>
      <c r="C1472" s="387" t="s">
        <v>10156</v>
      </c>
      <c r="D1472" s="388" t="s">
        <v>841</v>
      </c>
      <c r="E1472" s="388" t="s">
        <v>10082</v>
      </c>
      <c r="F1472" s="388" t="s">
        <v>10078</v>
      </c>
      <c r="G1472" s="388" t="s">
        <v>10078</v>
      </c>
      <c r="H1472" s="388" t="s">
        <v>11324</v>
      </c>
      <c r="I1472" s="387" t="s">
        <v>12730</v>
      </c>
      <c r="J1472" s="389"/>
      <c r="K1472" s="387"/>
      <c r="L1472" s="387"/>
      <c r="M1472" s="387" t="s">
        <v>10084</v>
      </c>
      <c r="N1472" s="387"/>
      <c r="O1472" s="387" t="s">
        <v>57</v>
      </c>
      <c r="P1472" s="390">
        <v>10616000</v>
      </c>
      <c r="Q1472" s="387" t="s">
        <v>12731</v>
      </c>
      <c r="R1472" s="387" t="s">
        <v>561</v>
      </c>
      <c r="S1472" s="340">
        <v>25</v>
      </c>
    </row>
    <row r="1473" spans="1:19" ht="29.5" thickBot="1" x14ac:dyDescent="0.4">
      <c r="A1473" s="357">
        <v>1462</v>
      </c>
      <c r="B1473" s="387" t="s">
        <v>10301</v>
      </c>
      <c r="C1473" s="387" t="s">
        <v>10302</v>
      </c>
      <c r="D1473" s="388" t="s">
        <v>51</v>
      </c>
      <c r="E1473" s="388" t="s">
        <v>10082</v>
      </c>
      <c r="F1473" s="388" t="s">
        <v>10078</v>
      </c>
      <c r="G1473" s="388" t="s">
        <v>10088</v>
      </c>
      <c r="H1473" s="388" t="s">
        <v>12407</v>
      </c>
      <c r="I1473" s="387" t="s">
        <v>9607</v>
      </c>
      <c r="J1473" s="389"/>
      <c r="K1473" s="387"/>
      <c r="L1473" s="387"/>
      <c r="M1473" s="387" t="s">
        <v>10084</v>
      </c>
      <c r="N1473" s="387"/>
      <c r="O1473" s="387" t="s">
        <v>57</v>
      </c>
      <c r="P1473" s="390">
        <v>35924000</v>
      </c>
      <c r="Q1473" s="387" t="s">
        <v>12732</v>
      </c>
      <c r="R1473" s="387" t="s">
        <v>561</v>
      </c>
      <c r="S1473" s="340">
        <v>25</v>
      </c>
    </row>
    <row r="1474" spans="1:19" ht="29" x14ac:dyDescent="0.35">
      <c r="A1474" s="349">
        <v>1463</v>
      </c>
      <c r="B1474" s="387" t="s">
        <v>10301</v>
      </c>
      <c r="C1474" s="387" t="s">
        <v>10302</v>
      </c>
      <c r="D1474" s="388" t="s">
        <v>59</v>
      </c>
      <c r="E1474" s="388" t="s">
        <v>10082</v>
      </c>
      <c r="F1474" s="388" t="s">
        <v>10078</v>
      </c>
      <c r="G1474" s="388" t="s">
        <v>10078</v>
      </c>
      <c r="H1474" s="388" t="s">
        <v>11324</v>
      </c>
      <c r="I1474" s="387" t="s">
        <v>9607</v>
      </c>
      <c r="J1474" s="389"/>
      <c r="K1474" s="387"/>
      <c r="L1474" s="387"/>
      <c r="M1474" s="387" t="s">
        <v>10084</v>
      </c>
      <c r="N1474" s="387"/>
      <c r="O1474" s="387" t="s">
        <v>57</v>
      </c>
      <c r="P1474" s="390">
        <v>36042000</v>
      </c>
      <c r="Q1474" s="387" t="s">
        <v>12733</v>
      </c>
      <c r="R1474" s="387" t="s">
        <v>561</v>
      </c>
      <c r="S1474" s="340">
        <v>25</v>
      </c>
    </row>
    <row r="1475" spans="1:19" ht="87.5" thickBot="1" x14ac:dyDescent="0.4">
      <c r="A1475" s="357">
        <v>1464</v>
      </c>
      <c r="B1475" s="387" t="s">
        <v>11632</v>
      </c>
      <c r="C1475" s="387" t="s">
        <v>11633</v>
      </c>
      <c r="D1475" s="388" t="s">
        <v>51</v>
      </c>
      <c r="E1475" s="388" t="s">
        <v>10082</v>
      </c>
      <c r="F1475" s="388" t="s">
        <v>10078</v>
      </c>
      <c r="G1475" s="388" t="s">
        <v>10088</v>
      </c>
      <c r="H1475" s="388" t="s">
        <v>5412</v>
      </c>
      <c r="I1475" s="387" t="s">
        <v>12734</v>
      </c>
      <c r="J1475" s="389"/>
      <c r="K1475" s="387" t="s">
        <v>12735</v>
      </c>
      <c r="L1475" s="387"/>
      <c r="M1475" s="387"/>
      <c r="N1475" s="387"/>
      <c r="O1475" s="387" t="s">
        <v>44</v>
      </c>
      <c r="P1475" s="390">
        <v>293746254.59999996</v>
      </c>
      <c r="Q1475" s="387" t="s">
        <v>12736</v>
      </c>
      <c r="R1475" s="387" t="s">
        <v>561</v>
      </c>
      <c r="S1475" s="340">
        <v>25</v>
      </c>
    </row>
    <row r="1476" spans="1:19" ht="29" x14ac:dyDescent="0.35">
      <c r="A1476" s="349">
        <v>1465</v>
      </c>
      <c r="B1476" s="387" t="s">
        <v>11842</v>
      </c>
      <c r="C1476" s="387" t="s">
        <v>11843</v>
      </c>
      <c r="D1476" s="388" t="s">
        <v>51</v>
      </c>
      <c r="E1476" s="388" t="s">
        <v>10082</v>
      </c>
      <c r="F1476" s="388" t="s">
        <v>10078</v>
      </c>
      <c r="G1476" s="388" t="s">
        <v>10078</v>
      </c>
      <c r="H1476" s="388" t="s">
        <v>12103</v>
      </c>
      <c r="I1476" s="387" t="s">
        <v>12376</v>
      </c>
      <c r="J1476" s="389">
        <v>41631</v>
      </c>
      <c r="K1476" s="387"/>
      <c r="L1476" s="387"/>
      <c r="M1476" s="387" t="s">
        <v>10084</v>
      </c>
      <c r="N1476" s="387"/>
      <c r="O1476" s="387" t="s">
        <v>57</v>
      </c>
      <c r="P1476" s="390">
        <v>20000000</v>
      </c>
      <c r="Q1476" s="387" t="s">
        <v>12737</v>
      </c>
      <c r="R1476" s="387" t="s">
        <v>561</v>
      </c>
      <c r="S1476" s="340">
        <v>25</v>
      </c>
    </row>
    <row r="1477" spans="1:19" ht="29.5" thickBot="1" x14ac:dyDescent="0.4">
      <c r="A1477" s="357">
        <v>1466</v>
      </c>
      <c r="B1477" s="387" t="s">
        <v>11006</v>
      </c>
      <c r="C1477" s="387" t="s">
        <v>11007</v>
      </c>
      <c r="D1477" s="388" t="s">
        <v>51</v>
      </c>
      <c r="E1477" s="388" t="s">
        <v>10082</v>
      </c>
      <c r="F1477" s="388" t="s">
        <v>10078</v>
      </c>
      <c r="G1477" s="388" t="s">
        <v>10088</v>
      </c>
      <c r="H1477" s="388" t="s">
        <v>11409</v>
      </c>
      <c r="I1477" s="387" t="s">
        <v>11741</v>
      </c>
      <c r="J1477" s="389">
        <v>39813</v>
      </c>
      <c r="K1477" s="387"/>
      <c r="L1477" s="387"/>
      <c r="M1477" s="387" t="s">
        <v>10084</v>
      </c>
      <c r="N1477" s="387"/>
      <c r="O1477" s="387" t="s">
        <v>57</v>
      </c>
      <c r="P1477" s="390">
        <v>437496618.40000004</v>
      </c>
      <c r="Q1477" s="387" t="s">
        <v>12738</v>
      </c>
      <c r="R1477" s="387" t="s">
        <v>561</v>
      </c>
      <c r="S1477" s="340">
        <v>25</v>
      </c>
    </row>
    <row r="1478" spans="1:19" ht="29" x14ac:dyDescent="0.35">
      <c r="A1478" s="349">
        <v>1467</v>
      </c>
      <c r="B1478" s="387" t="s">
        <v>10695</v>
      </c>
      <c r="C1478" s="387" t="s">
        <v>10696</v>
      </c>
      <c r="D1478" s="388" t="s">
        <v>51</v>
      </c>
      <c r="E1478" s="388" t="s">
        <v>10082</v>
      </c>
      <c r="F1478" s="388" t="s">
        <v>10078</v>
      </c>
      <c r="G1478" s="388" t="s">
        <v>10088</v>
      </c>
      <c r="H1478" s="388" t="s">
        <v>11409</v>
      </c>
      <c r="I1478" s="387" t="s">
        <v>12739</v>
      </c>
      <c r="J1478" s="389"/>
      <c r="K1478" s="387"/>
      <c r="L1478" s="387"/>
      <c r="M1478" s="387" t="s">
        <v>10084</v>
      </c>
      <c r="N1478" s="387"/>
      <c r="O1478" s="387" t="s">
        <v>57</v>
      </c>
      <c r="P1478" s="390">
        <v>647080777.5</v>
      </c>
      <c r="Q1478" s="387" t="s">
        <v>12740</v>
      </c>
      <c r="R1478" s="387" t="s">
        <v>561</v>
      </c>
      <c r="S1478" s="340">
        <v>25</v>
      </c>
    </row>
    <row r="1479" spans="1:19" ht="29.5" thickBot="1" x14ac:dyDescent="0.4">
      <c r="A1479" s="357">
        <v>1468</v>
      </c>
      <c r="B1479" s="387" t="s">
        <v>10695</v>
      </c>
      <c r="C1479" s="387" t="s">
        <v>10696</v>
      </c>
      <c r="D1479" s="388" t="s">
        <v>59</v>
      </c>
      <c r="E1479" s="388" t="s">
        <v>10082</v>
      </c>
      <c r="F1479" s="388" t="s">
        <v>10078</v>
      </c>
      <c r="G1479" s="388" t="s">
        <v>10088</v>
      </c>
      <c r="H1479" s="388" t="s">
        <v>11656</v>
      </c>
      <c r="I1479" s="387" t="s">
        <v>12741</v>
      </c>
      <c r="J1479" s="389"/>
      <c r="K1479" s="387"/>
      <c r="L1479" s="387"/>
      <c r="M1479" s="387" t="s">
        <v>10084</v>
      </c>
      <c r="N1479" s="387"/>
      <c r="O1479" s="387" t="s">
        <v>57</v>
      </c>
      <c r="P1479" s="390">
        <v>470250000</v>
      </c>
      <c r="Q1479" s="387" t="s">
        <v>12742</v>
      </c>
      <c r="R1479" s="387" t="s">
        <v>561</v>
      </c>
      <c r="S1479" s="340">
        <v>25</v>
      </c>
    </row>
    <row r="1480" spans="1:19" ht="29" x14ac:dyDescent="0.35">
      <c r="A1480" s="349">
        <v>1469</v>
      </c>
      <c r="B1480" s="387" t="s">
        <v>10695</v>
      </c>
      <c r="C1480" s="387" t="s">
        <v>10696</v>
      </c>
      <c r="D1480" s="388" t="s">
        <v>97</v>
      </c>
      <c r="E1480" s="388" t="s">
        <v>10082</v>
      </c>
      <c r="F1480" s="388" t="s">
        <v>10078</v>
      </c>
      <c r="G1480" s="388" t="s">
        <v>10088</v>
      </c>
      <c r="H1480" s="388" t="s">
        <v>11656</v>
      </c>
      <c r="I1480" s="387" t="s">
        <v>12743</v>
      </c>
      <c r="J1480" s="389"/>
      <c r="K1480" s="387"/>
      <c r="L1480" s="387"/>
      <c r="M1480" s="387" t="s">
        <v>10084</v>
      </c>
      <c r="N1480" s="387"/>
      <c r="O1480" s="387" t="s">
        <v>57</v>
      </c>
      <c r="P1480" s="390">
        <v>470250000</v>
      </c>
      <c r="Q1480" s="387" t="s">
        <v>12744</v>
      </c>
      <c r="R1480" s="387" t="s">
        <v>561</v>
      </c>
      <c r="S1480" s="340">
        <v>25</v>
      </c>
    </row>
    <row r="1481" spans="1:19" ht="29.5" thickBot="1" x14ac:dyDescent="0.4">
      <c r="A1481" s="357">
        <v>1470</v>
      </c>
      <c r="B1481" s="387" t="s">
        <v>10695</v>
      </c>
      <c r="C1481" s="387" t="s">
        <v>10696</v>
      </c>
      <c r="D1481" s="388" t="s">
        <v>101</v>
      </c>
      <c r="E1481" s="388" t="s">
        <v>10082</v>
      </c>
      <c r="F1481" s="388" t="s">
        <v>10078</v>
      </c>
      <c r="G1481" s="388" t="s">
        <v>10088</v>
      </c>
      <c r="H1481" s="388" t="s">
        <v>11656</v>
      </c>
      <c r="I1481" s="387" t="s">
        <v>12743</v>
      </c>
      <c r="J1481" s="389"/>
      <c r="K1481" s="387"/>
      <c r="L1481" s="387"/>
      <c r="M1481" s="387" t="s">
        <v>10084</v>
      </c>
      <c r="N1481" s="387"/>
      <c r="O1481" s="387" t="s">
        <v>57</v>
      </c>
      <c r="P1481" s="390">
        <v>470250000</v>
      </c>
      <c r="Q1481" s="387" t="s">
        <v>12745</v>
      </c>
      <c r="R1481" s="387" t="s">
        <v>561</v>
      </c>
      <c r="S1481" s="340">
        <v>25</v>
      </c>
    </row>
    <row r="1482" spans="1:19" ht="87" x14ac:dyDescent="0.35">
      <c r="A1482" s="349">
        <v>1471</v>
      </c>
      <c r="B1482" s="387" t="s">
        <v>10117</v>
      </c>
      <c r="C1482" s="387" t="s">
        <v>10118</v>
      </c>
      <c r="D1482" s="388" t="s">
        <v>51</v>
      </c>
      <c r="E1482" s="388" t="s">
        <v>10082</v>
      </c>
      <c r="F1482" s="388" t="s">
        <v>10078</v>
      </c>
      <c r="G1482" s="388" t="s">
        <v>10088</v>
      </c>
      <c r="H1482" s="388" t="s">
        <v>12253</v>
      </c>
      <c r="I1482" s="387" t="s">
        <v>12734</v>
      </c>
      <c r="J1482" s="389"/>
      <c r="K1482" s="387" t="s">
        <v>12735</v>
      </c>
      <c r="L1482" s="387"/>
      <c r="M1482" s="387"/>
      <c r="N1482" s="387"/>
      <c r="O1482" s="387" t="s">
        <v>44</v>
      </c>
      <c r="P1482" s="390">
        <v>30940000</v>
      </c>
      <c r="Q1482" s="387" t="s">
        <v>12746</v>
      </c>
      <c r="R1482" s="387" t="s">
        <v>561</v>
      </c>
      <c r="S1482" s="340">
        <v>25</v>
      </c>
    </row>
    <row r="1483" spans="1:19" ht="87.5" thickBot="1" x14ac:dyDescent="0.4">
      <c r="A1483" s="357">
        <v>1472</v>
      </c>
      <c r="B1483" s="387" t="s">
        <v>10117</v>
      </c>
      <c r="C1483" s="387" t="s">
        <v>10118</v>
      </c>
      <c r="D1483" s="388" t="s">
        <v>59</v>
      </c>
      <c r="E1483" s="388" t="s">
        <v>10082</v>
      </c>
      <c r="F1483" s="388"/>
      <c r="G1483" s="388"/>
      <c r="H1483" s="388" t="s">
        <v>11324</v>
      </c>
      <c r="I1483" s="387" t="s">
        <v>12734</v>
      </c>
      <c r="J1483" s="389"/>
      <c r="K1483" s="387" t="s">
        <v>12735</v>
      </c>
      <c r="L1483" s="387"/>
      <c r="M1483" s="387"/>
      <c r="N1483" s="387"/>
      <c r="O1483" s="387" t="s">
        <v>44</v>
      </c>
      <c r="P1483" s="390">
        <v>25200000</v>
      </c>
      <c r="Q1483" s="387" t="s">
        <v>12747</v>
      </c>
      <c r="R1483" s="387" t="s">
        <v>561</v>
      </c>
      <c r="S1483" s="340">
        <v>25</v>
      </c>
    </row>
    <row r="1484" spans="1:19" ht="29" x14ac:dyDescent="0.35">
      <c r="A1484" s="349">
        <v>1473</v>
      </c>
      <c r="B1484" s="387" t="s">
        <v>11382</v>
      </c>
      <c r="C1484" s="387" t="s">
        <v>11383</v>
      </c>
      <c r="D1484" s="388" t="s">
        <v>59</v>
      </c>
      <c r="E1484" s="388" t="s">
        <v>10082</v>
      </c>
      <c r="F1484" s="388" t="s">
        <v>10078</v>
      </c>
      <c r="G1484" s="388" t="s">
        <v>10088</v>
      </c>
      <c r="H1484" s="388" t="s">
        <v>11400</v>
      </c>
      <c r="I1484" s="387" t="s">
        <v>12748</v>
      </c>
      <c r="J1484" s="389">
        <v>39813</v>
      </c>
      <c r="K1484" s="387" t="s">
        <v>12749</v>
      </c>
      <c r="L1484" s="387"/>
      <c r="M1484" s="387" t="s">
        <v>10084</v>
      </c>
      <c r="N1484" s="387"/>
      <c r="O1484" s="387" t="s">
        <v>57</v>
      </c>
      <c r="P1484" s="390">
        <v>291600000</v>
      </c>
      <c r="Q1484" s="387" t="s">
        <v>12750</v>
      </c>
      <c r="R1484" s="387" t="s">
        <v>561</v>
      </c>
      <c r="S1484" s="340">
        <v>25</v>
      </c>
    </row>
    <row r="1485" spans="1:19" ht="29.5" thickBot="1" x14ac:dyDescent="0.4">
      <c r="A1485" s="357">
        <v>1474</v>
      </c>
      <c r="B1485" s="387" t="s">
        <v>11382</v>
      </c>
      <c r="C1485" s="387" t="s">
        <v>11383</v>
      </c>
      <c r="D1485" s="388" t="s">
        <v>97</v>
      </c>
      <c r="E1485" s="388" t="s">
        <v>10082</v>
      </c>
      <c r="F1485" s="388" t="s">
        <v>10078</v>
      </c>
      <c r="G1485" s="388" t="s">
        <v>10088</v>
      </c>
      <c r="H1485" s="388" t="s">
        <v>11409</v>
      </c>
      <c r="I1485" s="387" t="s">
        <v>12751</v>
      </c>
      <c r="J1485" s="389"/>
      <c r="K1485" s="387"/>
      <c r="L1485" s="387"/>
      <c r="M1485" s="387" t="s">
        <v>10084</v>
      </c>
      <c r="N1485" s="387"/>
      <c r="O1485" s="387" t="s">
        <v>57</v>
      </c>
      <c r="P1485" s="390">
        <v>457700000</v>
      </c>
      <c r="Q1485" s="387" t="s">
        <v>12752</v>
      </c>
      <c r="R1485" s="387" t="s">
        <v>561</v>
      </c>
      <c r="S1485" s="340">
        <v>25</v>
      </c>
    </row>
    <row r="1486" spans="1:19" ht="29" x14ac:dyDescent="0.35">
      <c r="A1486" s="349">
        <v>1475</v>
      </c>
      <c r="B1486" s="387" t="s">
        <v>11382</v>
      </c>
      <c r="C1486" s="387" t="s">
        <v>11383</v>
      </c>
      <c r="D1486" s="388" t="s">
        <v>101</v>
      </c>
      <c r="E1486" s="388" t="s">
        <v>10082</v>
      </c>
      <c r="F1486" s="388" t="s">
        <v>10078</v>
      </c>
      <c r="G1486" s="388" t="s">
        <v>10088</v>
      </c>
      <c r="H1486" s="388" t="s">
        <v>11409</v>
      </c>
      <c r="I1486" s="387" t="s">
        <v>12711</v>
      </c>
      <c r="J1486" s="389">
        <v>38145</v>
      </c>
      <c r="K1486" s="387" t="s">
        <v>12753</v>
      </c>
      <c r="L1486" s="387"/>
      <c r="M1486" s="387" t="s">
        <v>10084</v>
      </c>
      <c r="N1486" s="387"/>
      <c r="O1486" s="387" t="s">
        <v>57</v>
      </c>
      <c r="P1486" s="390">
        <v>291600000</v>
      </c>
      <c r="Q1486" s="387" t="s">
        <v>12754</v>
      </c>
      <c r="R1486" s="387" t="s">
        <v>561</v>
      </c>
      <c r="S1486" s="340">
        <v>25</v>
      </c>
    </row>
    <row r="1487" spans="1:19" ht="44" thickBot="1" x14ac:dyDescent="0.4">
      <c r="A1487" s="357">
        <v>1476</v>
      </c>
      <c r="B1487" s="387" t="s">
        <v>12755</v>
      </c>
      <c r="C1487" s="387" t="s">
        <v>12756</v>
      </c>
      <c r="D1487" s="388" t="s">
        <v>51</v>
      </c>
      <c r="E1487" s="388" t="s">
        <v>10673</v>
      </c>
      <c r="F1487" s="388" t="s">
        <v>10078</v>
      </c>
      <c r="G1487" s="388" t="s">
        <v>10078</v>
      </c>
      <c r="H1487" s="388" t="s">
        <v>11364</v>
      </c>
      <c r="I1487" s="387" t="s">
        <v>12757</v>
      </c>
      <c r="J1487" s="389"/>
      <c r="K1487" s="387"/>
      <c r="L1487" s="387"/>
      <c r="M1487" s="387" t="s">
        <v>10084</v>
      </c>
      <c r="N1487" s="387"/>
      <c r="O1487" s="387" t="s">
        <v>57</v>
      </c>
      <c r="P1487" s="390">
        <v>29753000</v>
      </c>
      <c r="Q1487" s="387" t="s">
        <v>12758</v>
      </c>
      <c r="R1487" s="387" t="s">
        <v>561</v>
      </c>
      <c r="S1487" s="340">
        <v>25</v>
      </c>
    </row>
    <row r="1488" spans="1:19" ht="29" x14ac:dyDescent="0.35">
      <c r="A1488" s="349">
        <v>1477</v>
      </c>
      <c r="B1488" s="387" t="s">
        <v>12755</v>
      </c>
      <c r="C1488" s="387" t="s">
        <v>12756</v>
      </c>
      <c r="D1488" s="388" t="s">
        <v>97</v>
      </c>
      <c r="E1488" s="388" t="s">
        <v>10082</v>
      </c>
      <c r="F1488" s="388" t="s">
        <v>10078</v>
      </c>
      <c r="G1488" s="388" t="s">
        <v>10078</v>
      </c>
      <c r="H1488" s="388" t="s">
        <v>11364</v>
      </c>
      <c r="I1488" s="387" t="s">
        <v>12759</v>
      </c>
      <c r="J1488" s="389"/>
      <c r="K1488" s="387"/>
      <c r="L1488" s="387"/>
      <c r="M1488" s="387" t="s">
        <v>10084</v>
      </c>
      <c r="N1488" s="387"/>
      <c r="O1488" s="387" t="s">
        <v>57</v>
      </c>
      <c r="P1488" s="390">
        <v>13950000</v>
      </c>
      <c r="Q1488" s="387" t="s">
        <v>12760</v>
      </c>
      <c r="R1488" s="387" t="s">
        <v>561</v>
      </c>
      <c r="S1488" s="340">
        <v>25</v>
      </c>
    </row>
    <row r="1489" spans="1:19" ht="29.5" thickBot="1" x14ac:dyDescent="0.4">
      <c r="A1489" s="357">
        <v>1478</v>
      </c>
      <c r="B1489" s="387" t="s">
        <v>12755</v>
      </c>
      <c r="C1489" s="387" t="s">
        <v>12756</v>
      </c>
      <c r="D1489" s="388" t="s">
        <v>101</v>
      </c>
      <c r="E1489" s="388" t="s">
        <v>10082</v>
      </c>
      <c r="F1489" s="388" t="s">
        <v>10078</v>
      </c>
      <c r="G1489" s="388" t="s">
        <v>10078</v>
      </c>
      <c r="H1489" s="388" t="s">
        <v>11686</v>
      </c>
      <c r="I1489" s="387" t="s">
        <v>8902</v>
      </c>
      <c r="J1489" s="389"/>
      <c r="K1489" s="387"/>
      <c r="L1489" s="387"/>
      <c r="M1489" s="387" t="s">
        <v>10084</v>
      </c>
      <c r="N1489" s="387"/>
      <c r="O1489" s="387" t="s">
        <v>57</v>
      </c>
      <c r="P1489" s="390">
        <v>22315000</v>
      </c>
      <c r="Q1489" s="387" t="s">
        <v>12761</v>
      </c>
      <c r="R1489" s="387" t="s">
        <v>561</v>
      </c>
      <c r="S1489" s="340">
        <v>25</v>
      </c>
    </row>
    <row r="1490" spans="1:19" ht="29" x14ac:dyDescent="0.35">
      <c r="A1490" s="349">
        <v>1479</v>
      </c>
      <c r="B1490" s="387" t="s">
        <v>12755</v>
      </c>
      <c r="C1490" s="387" t="s">
        <v>12756</v>
      </c>
      <c r="D1490" s="388" t="s">
        <v>107</v>
      </c>
      <c r="E1490" s="388" t="s">
        <v>10082</v>
      </c>
      <c r="F1490" s="388" t="s">
        <v>10078</v>
      </c>
      <c r="G1490" s="388" t="s">
        <v>10078</v>
      </c>
      <c r="H1490" s="388" t="s">
        <v>11324</v>
      </c>
      <c r="I1490" s="387" t="s">
        <v>12762</v>
      </c>
      <c r="J1490" s="389"/>
      <c r="K1490" s="387"/>
      <c r="L1490" s="387"/>
      <c r="M1490" s="387" t="s">
        <v>10084</v>
      </c>
      <c r="N1490" s="387"/>
      <c r="O1490" s="387" t="s">
        <v>57</v>
      </c>
      <c r="P1490" s="390">
        <v>22315000</v>
      </c>
      <c r="Q1490" s="387" t="s">
        <v>12763</v>
      </c>
      <c r="R1490" s="387" t="s">
        <v>561</v>
      </c>
      <c r="S1490" s="340">
        <v>25</v>
      </c>
    </row>
    <row r="1491" spans="1:19" ht="29.5" thickBot="1" x14ac:dyDescent="0.4">
      <c r="A1491" s="357">
        <v>1480</v>
      </c>
      <c r="B1491" s="387" t="s">
        <v>12755</v>
      </c>
      <c r="C1491" s="387" t="s">
        <v>12756</v>
      </c>
      <c r="D1491" s="388" t="s">
        <v>112</v>
      </c>
      <c r="E1491" s="388" t="s">
        <v>10082</v>
      </c>
      <c r="F1491" s="388" t="s">
        <v>10078</v>
      </c>
      <c r="G1491" s="388" t="s">
        <v>10078</v>
      </c>
      <c r="H1491" s="388" t="s">
        <v>11324</v>
      </c>
      <c r="I1491" s="387" t="s">
        <v>12762</v>
      </c>
      <c r="J1491" s="389"/>
      <c r="K1491" s="387"/>
      <c r="L1491" s="387"/>
      <c r="M1491" s="387" t="s">
        <v>10084</v>
      </c>
      <c r="N1491" s="387"/>
      <c r="O1491" s="387" t="s">
        <v>57</v>
      </c>
      <c r="P1491" s="390">
        <v>22315000</v>
      </c>
      <c r="Q1491" s="387" t="s">
        <v>12763</v>
      </c>
      <c r="R1491" s="387" t="s">
        <v>561</v>
      </c>
      <c r="S1491" s="340">
        <v>25</v>
      </c>
    </row>
    <row r="1492" spans="1:19" ht="14.5" x14ac:dyDescent="0.35">
      <c r="A1492" s="349">
        <v>1481</v>
      </c>
      <c r="B1492" s="387" t="s">
        <v>10729</v>
      </c>
      <c r="C1492" s="387" t="s">
        <v>10730</v>
      </c>
      <c r="D1492" s="388" t="s">
        <v>51</v>
      </c>
      <c r="E1492" s="388" t="s">
        <v>10082</v>
      </c>
      <c r="F1492" s="388" t="s">
        <v>10078</v>
      </c>
      <c r="G1492" s="388" t="s">
        <v>10078</v>
      </c>
      <c r="H1492" s="388" t="s">
        <v>12103</v>
      </c>
      <c r="I1492" s="387" t="s">
        <v>12764</v>
      </c>
      <c r="J1492" s="389">
        <v>41206</v>
      </c>
      <c r="K1492" s="387" t="s">
        <v>12765</v>
      </c>
      <c r="L1492" s="387"/>
      <c r="M1492" s="387" t="s">
        <v>10084</v>
      </c>
      <c r="N1492" s="387"/>
      <c r="O1492" s="387" t="s">
        <v>57</v>
      </c>
      <c r="P1492" s="390">
        <v>17000000</v>
      </c>
      <c r="Q1492" s="387" t="s">
        <v>12766</v>
      </c>
      <c r="R1492" s="387" t="s">
        <v>561</v>
      </c>
      <c r="S1492" s="340">
        <v>25</v>
      </c>
    </row>
    <row r="1493" spans="1:19" thickBot="1" x14ac:dyDescent="0.4">
      <c r="A1493" s="357">
        <v>1482</v>
      </c>
      <c r="B1493" s="387" t="s">
        <v>10096</v>
      </c>
      <c r="C1493" s="387" t="s">
        <v>10097</v>
      </c>
      <c r="D1493" s="388" t="s">
        <v>51</v>
      </c>
      <c r="E1493" s="388" t="s">
        <v>10082</v>
      </c>
      <c r="F1493" s="388" t="s">
        <v>10078</v>
      </c>
      <c r="G1493" s="388" t="s">
        <v>10088</v>
      </c>
      <c r="H1493" s="388" t="s">
        <v>11443</v>
      </c>
      <c r="I1493" s="387" t="s">
        <v>11741</v>
      </c>
      <c r="J1493" s="389">
        <v>39937</v>
      </c>
      <c r="K1493" s="387" t="s">
        <v>12767</v>
      </c>
      <c r="L1493" s="387"/>
      <c r="M1493" s="387" t="s">
        <v>10084</v>
      </c>
      <c r="N1493" s="387"/>
      <c r="O1493" s="387" t="s">
        <v>57</v>
      </c>
      <c r="P1493" s="390">
        <v>396410400</v>
      </c>
      <c r="Q1493" s="387"/>
      <c r="R1493" s="387" t="s">
        <v>561</v>
      </c>
      <c r="S1493" s="340">
        <v>25</v>
      </c>
    </row>
    <row r="1494" spans="1:19" ht="29" x14ac:dyDescent="0.35">
      <c r="A1494" s="349">
        <v>1483</v>
      </c>
      <c r="B1494" s="387" t="s">
        <v>10535</v>
      </c>
      <c r="C1494" s="387" t="s">
        <v>10536</v>
      </c>
      <c r="D1494" s="388" t="s">
        <v>51</v>
      </c>
      <c r="E1494" s="388" t="s">
        <v>10082</v>
      </c>
      <c r="F1494" s="388" t="s">
        <v>10078</v>
      </c>
      <c r="G1494" s="388" t="s">
        <v>10078</v>
      </c>
      <c r="H1494" s="388" t="s">
        <v>11447</v>
      </c>
      <c r="I1494" s="387" t="s">
        <v>12768</v>
      </c>
      <c r="J1494" s="389">
        <v>43054</v>
      </c>
      <c r="K1494" s="387" t="s">
        <v>12769</v>
      </c>
      <c r="L1494" s="387"/>
      <c r="M1494" s="387" t="s">
        <v>10084</v>
      </c>
      <c r="N1494" s="387"/>
      <c r="O1494" s="387" t="s">
        <v>57</v>
      </c>
      <c r="P1494" s="390">
        <v>19762500</v>
      </c>
      <c r="Q1494" s="387" t="s">
        <v>12770</v>
      </c>
      <c r="R1494" s="387" t="s">
        <v>903</v>
      </c>
      <c r="S1494" s="340">
        <v>41</v>
      </c>
    </row>
    <row r="1495" spans="1:19" ht="44" thickBot="1" x14ac:dyDescent="0.4">
      <c r="A1495" s="357">
        <v>1484</v>
      </c>
      <c r="B1495" s="387" t="s">
        <v>10535</v>
      </c>
      <c r="C1495" s="387" t="s">
        <v>10536</v>
      </c>
      <c r="D1495" s="388" t="s">
        <v>59</v>
      </c>
      <c r="E1495" s="388" t="s">
        <v>10082</v>
      </c>
      <c r="F1495" s="388" t="s">
        <v>10078</v>
      </c>
      <c r="G1495" s="388" t="s">
        <v>10088</v>
      </c>
      <c r="H1495" s="388" t="s">
        <v>12771</v>
      </c>
      <c r="I1495" s="387" t="s">
        <v>12772</v>
      </c>
      <c r="J1495" s="389">
        <v>40008</v>
      </c>
      <c r="K1495" s="387" t="s">
        <v>12773</v>
      </c>
      <c r="L1495" s="387"/>
      <c r="M1495" s="387" t="s">
        <v>10084</v>
      </c>
      <c r="N1495" s="387"/>
      <c r="O1495" s="387" t="s">
        <v>57</v>
      </c>
      <c r="P1495" s="390">
        <v>66150000</v>
      </c>
      <c r="Q1495" s="387" t="s">
        <v>12774</v>
      </c>
      <c r="R1495" s="387" t="s">
        <v>903</v>
      </c>
      <c r="S1495" s="340">
        <v>41</v>
      </c>
    </row>
    <row r="1496" spans="1:19" ht="29" x14ac:dyDescent="0.35">
      <c r="A1496" s="349">
        <v>1485</v>
      </c>
      <c r="B1496" s="387" t="s">
        <v>10541</v>
      </c>
      <c r="C1496" s="387" t="s">
        <v>10542</v>
      </c>
      <c r="D1496" s="388" t="s">
        <v>51</v>
      </c>
      <c r="E1496" s="388" t="s">
        <v>10082</v>
      </c>
      <c r="F1496" s="388"/>
      <c r="G1496" s="388"/>
      <c r="H1496" s="388"/>
      <c r="I1496" s="387" t="s">
        <v>63</v>
      </c>
      <c r="J1496" s="389"/>
      <c r="K1496" s="387"/>
      <c r="L1496" s="387"/>
      <c r="M1496" s="387"/>
      <c r="N1496" s="387"/>
      <c r="O1496" s="387" t="s">
        <v>44</v>
      </c>
      <c r="P1496" s="390">
        <v>874737614.39999998</v>
      </c>
      <c r="Q1496" s="387" t="s">
        <v>12775</v>
      </c>
      <c r="R1496" s="387" t="s">
        <v>903</v>
      </c>
      <c r="S1496" s="340">
        <v>41</v>
      </c>
    </row>
    <row r="1497" spans="1:19" ht="29.5" thickBot="1" x14ac:dyDescent="0.4">
      <c r="A1497" s="357">
        <v>1486</v>
      </c>
      <c r="B1497" s="387" t="s">
        <v>10650</v>
      </c>
      <c r="C1497" s="387" t="s">
        <v>10651</v>
      </c>
      <c r="D1497" s="388" t="s">
        <v>51</v>
      </c>
      <c r="E1497" s="388" t="s">
        <v>10082</v>
      </c>
      <c r="F1497" s="388" t="s">
        <v>10078</v>
      </c>
      <c r="G1497" s="388" t="s">
        <v>10078</v>
      </c>
      <c r="H1497" s="388" t="s">
        <v>2972</v>
      </c>
      <c r="I1497" s="387" t="s">
        <v>12776</v>
      </c>
      <c r="J1497" s="389">
        <v>44438</v>
      </c>
      <c r="K1497" s="387" t="s">
        <v>12777</v>
      </c>
      <c r="L1497" s="387"/>
      <c r="M1497" s="387" t="s">
        <v>10084</v>
      </c>
      <c r="N1497" s="387"/>
      <c r="O1497" s="387" t="s">
        <v>57</v>
      </c>
      <c r="P1497" s="390">
        <v>336200500</v>
      </c>
      <c r="Q1497" s="387" t="s">
        <v>12778</v>
      </c>
      <c r="R1497" s="387" t="s">
        <v>903</v>
      </c>
      <c r="S1497" s="340">
        <v>41</v>
      </c>
    </row>
    <row r="1498" spans="1:19" ht="29" x14ac:dyDescent="0.35">
      <c r="A1498" s="349">
        <v>1487</v>
      </c>
      <c r="B1498" s="387" t="s">
        <v>10650</v>
      </c>
      <c r="C1498" s="387" t="s">
        <v>10651</v>
      </c>
      <c r="D1498" s="388" t="s">
        <v>59</v>
      </c>
      <c r="E1498" s="388" t="s">
        <v>10082</v>
      </c>
      <c r="F1498" s="388" t="s">
        <v>10078</v>
      </c>
      <c r="G1498" s="388" t="s">
        <v>10078</v>
      </c>
      <c r="H1498" s="388" t="s">
        <v>2972</v>
      </c>
      <c r="I1498" s="387" t="s">
        <v>12094</v>
      </c>
      <c r="J1498" s="389">
        <v>44428</v>
      </c>
      <c r="K1498" s="387" t="s">
        <v>12779</v>
      </c>
      <c r="L1498" s="387"/>
      <c r="M1498" s="387" t="s">
        <v>10084</v>
      </c>
      <c r="N1498" s="387"/>
      <c r="O1498" s="387" t="s">
        <v>57</v>
      </c>
      <c r="P1498" s="390">
        <v>333996750</v>
      </c>
      <c r="Q1498" s="387" t="s">
        <v>12780</v>
      </c>
      <c r="R1498" s="387" t="s">
        <v>903</v>
      </c>
      <c r="S1498" s="340">
        <v>41</v>
      </c>
    </row>
    <row r="1499" spans="1:19" ht="44" thickBot="1" x14ac:dyDescent="0.4">
      <c r="A1499" s="357">
        <v>1488</v>
      </c>
      <c r="B1499" s="387" t="s">
        <v>10650</v>
      </c>
      <c r="C1499" s="387" t="s">
        <v>10651</v>
      </c>
      <c r="D1499" s="388" t="s">
        <v>97</v>
      </c>
      <c r="E1499" s="388" t="s">
        <v>10082</v>
      </c>
      <c r="F1499" s="388" t="s">
        <v>10078</v>
      </c>
      <c r="G1499" s="388" t="s">
        <v>10088</v>
      </c>
      <c r="H1499" s="388" t="s">
        <v>12781</v>
      </c>
      <c r="I1499" s="387" t="s">
        <v>12782</v>
      </c>
      <c r="J1499" s="389">
        <v>44809</v>
      </c>
      <c r="K1499" s="387" t="s">
        <v>12783</v>
      </c>
      <c r="L1499" s="387"/>
      <c r="M1499" s="387" t="s">
        <v>10084</v>
      </c>
      <c r="N1499" s="387"/>
      <c r="O1499" s="387" t="s">
        <v>44</v>
      </c>
      <c r="P1499" s="390">
        <v>332156350</v>
      </c>
      <c r="Q1499" s="387" t="s">
        <v>12784</v>
      </c>
      <c r="R1499" s="387" t="s">
        <v>903</v>
      </c>
      <c r="S1499" s="340">
        <v>41</v>
      </c>
    </row>
    <row r="1500" spans="1:19" ht="43.5" x14ac:dyDescent="0.35">
      <c r="A1500" s="349">
        <v>1489</v>
      </c>
      <c r="B1500" s="387" t="s">
        <v>10650</v>
      </c>
      <c r="C1500" s="387" t="s">
        <v>10651</v>
      </c>
      <c r="D1500" s="388" t="s">
        <v>101</v>
      </c>
      <c r="E1500" s="388" t="s">
        <v>10082</v>
      </c>
      <c r="F1500" s="388" t="s">
        <v>10078</v>
      </c>
      <c r="G1500" s="388" t="s">
        <v>10088</v>
      </c>
      <c r="H1500" s="388" t="s">
        <v>12781</v>
      </c>
      <c r="I1500" s="387" t="s">
        <v>12785</v>
      </c>
      <c r="J1500" s="389">
        <v>44809</v>
      </c>
      <c r="K1500" s="387" t="s">
        <v>12786</v>
      </c>
      <c r="L1500" s="387"/>
      <c r="M1500" s="387" t="s">
        <v>10084</v>
      </c>
      <c r="N1500" s="387"/>
      <c r="O1500" s="387" t="s">
        <v>44</v>
      </c>
      <c r="P1500" s="390">
        <v>331634250</v>
      </c>
      <c r="Q1500" s="387" t="s">
        <v>12787</v>
      </c>
      <c r="R1500" s="387" t="s">
        <v>903</v>
      </c>
      <c r="S1500" s="340">
        <v>41</v>
      </c>
    </row>
    <row r="1501" spans="1:19" ht="44" thickBot="1" x14ac:dyDescent="0.4">
      <c r="A1501" s="357">
        <v>1490</v>
      </c>
      <c r="B1501" s="387" t="s">
        <v>10650</v>
      </c>
      <c r="C1501" s="387" t="s">
        <v>10651</v>
      </c>
      <c r="D1501" s="388" t="s">
        <v>107</v>
      </c>
      <c r="E1501" s="388" t="s">
        <v>10082</v>
      </c>
      <c r="F1501" s="388" t="s">
        <v>10078</v>
      </c>
      <c r="G1501" s="388" t="s">
        <v>10088</v>
      </c>
      <c r="H1501" s="388" t="s">
        <v>12781</v>
      </c>
      <c r="I1501" s="387" t="s">
        <v>9975</v>
      </c>
      <c r="J1501" s="389">
        <v>44820</v>
      </c>
      <c r="K1501" s="387" t="s">
        <v>12788</v>
      </c>
      <c r="L1501" s="387"/>
      <c r="M1501" s="387" t="s">
        <v>10084</v>
      </c>
      <c r="N1501" s="387"/>
      <c r="O1501" s="387" t="s">
        <v>44</v>
      </c>
      <c r="P1501" s="390">
        <v>332050750</v>
      </c>
      <c r="Q1501" s="387" t="s">
        <v>12789</v>
      </c>
      <c r="R1501" s="387" t="s">
        <v>903</v>
      </c>
      <c r="S1501" s="340">
        <v>41</v>
      </c>
    </row>
    <row r="1502" spans="1:19" ht="43.5" x14ac:dyDescent="0.35">
      <c r="A1502" s="349">
        <v>1491</v>
      </c>
      <c r="B1502" s="387" t="s">
        <v>10650</v>
      </c>
      <c r="C1502" s="387" t="s">
        <v>10651</v>
      </c>
      <c r="D1502" s="388" t="s">
        <v>116</v>
      </c>
      <c r="E1502" s="388" t="s">
        <v>10082</v>
      </c>
      <c r="F1502" s="388" t="s">
        <v>10078</v>
      </c>
      <c r="G1502" s="388" t="s">
        <v>10088</v>
      </c>
      <c r="H1502" s="388" t="s">
        <v>12781</v>
      </c>
      <c r="I1502" s="387" t="s">
        <v>10849</v>
      </c>
      <c r="J1502" s="389">
        <v>44809</v>
      </c>
      <c r="K1502" s="387" t="s">
        <v>12790</v>
      </c>
      <c r="L1502" s="387"/>
      <c r="M1502" s="387" t="s">
        <v>10084</v>
      </c>
      <c r="N1502" s="387"/>
      <c r="O1502" s="387" t="s">
        <v>44</v>
      </c>
      <c r="P1502" s="390">
        <v>331675875</v>
      </c>
      <c r="Q1502" s="387" t="s">
        <v>12791</v>
      </c>
      <c r="R1502" s="387" t="s">
        <v>903</v>
      </c>
      <c r="S1502" s="340">
        <v>41</v>
      </c>
    </row>
    <row r="1503" spans="1:19" ht="44" thickBot="1" x14ac:dyDescent="0.4">
      <c r="A1503" s="357">
        <v>1492</v>
      </c>
      <c r="B1503" s="387" t="s">
        <v>10650</v>
      </c>
      <c r="C1503" s="387" t="s">
        <v>10651</v>
      </c>
      <c r="D1503" s="388" t="s">
        <v>841</v>
      </c>
      <c r="E1503" s="388" t="s">
        <v>10082</v>
      </c>
      <c r="F1503" s="388" t="s">
        <v>10078</v>
      </c>
      <c r="G1503" s="388" t="s">
        <v>10088</v>
      </c>
      <c r="H1503" s="388" t="s">
        <v>12781</v>
      </c>
      <c r="I1503" s="387" t="s">
        <v>12792</v>
      </c>
      <c r="J1503" s="389">
        <v>44809</v>
      </c>
      <c r="K1503" s="387" t="s">
        <v>12793</v>
      </c>
      <c r="L1503" s="387"/>
      <c r="M1503" s="387"/>
      <c r="N1503" s="387"/>
      <c r="O1503" s="387" t="s">
        <v>44</v>
      </c>
      <c r="P1503" s="390">
        <v>332061875</v>
      </c>
      <c r="Q1503" s="387" t="s">
        <v>12794</v>
      </c>
      <c r="R1503" s="387" t="s">
        <v>903</v>
      </c>
      <c r="S1503" s="340">
        <v>41</v>
      </c>
    </row>
    <row r="1504" spans="1:19" ht="43.5" x14ac:dyDescent="0.35">
      <c r="A1504" s="349">
        <v>1493</v>
      </c>
      <c r="B1504" s="387" t="s">
        <v>10650</v>
      </c>
      <c r="C1504" s="387" t="s">
        <v>10651</v>
      </c>
      <c r="D1504" s="388" t="s">
        <v>904</v>
      </c>
      <c r="E1504" s="388" t="s">
        <v>10082</v>
      </c>
      <c r="F1504" s="388" t="s">
        <v>10078</v>
      </c>
      <c r="G1504" s="388" t="s">
        <v>10088</v>
      </c>
      <c r="H1504" s="388" t="s">
        <v>12781</v>
      </c>
      <c r="I1504" s="387" t="s">
        <v>12795</v>
      </c>
      <c r="J1504" s="389">
        <v>44848</v>
      </c>
      <c r="K1504" s="387" t="s">
        <v>12796</v>
      </c>
      <c r="L1504" s="387"/>
      <c r="M1504" s="387" t="s">
        <v>10084</v>
      </c>
      <c r="N1504" s="387"/>
      <c r="O1504" s="387" t="s">
        <v>44</v>
      </c>
      <c r="P1504" s="390">
        <v>331106250</v>
      </c>
      <c r="Q1504" s="387" t="s">
        <v>12797</v>
      </c>
      <c r="R1504" s="387" t="s">
        <v>903</v>
      </c>
      <c r="S1504" s="340">
        <v>41</v>
      </c>
    </row>
    <row r="1505" spans="1:19" ht="73" thickBot="1" x14ac:dyDescent="0.4">
      <c r="A1505" s="357">
        <v>1494</v>
      </c>
      <c r="B1505" s="387" t="s">
        <v>10650</v>
      </c>
      <c r="C1505" s="387" t="s">
        <v>10651</v>
      </c>
      <c r="D1505" s="388" t="s">
        <v>122</v>
      </c>
      <c r="E1505" s="388" t="s">
        <v>10082</v>
      </c>
      <c r="F1505" s="388" t="s">
        <v>10078</v>
      </c>
      <c r="G1505" s="388" t="s">
        <v>10088</v>
      </c>
      <c r="H1505" s="388" t="s">
        <v>12798</v>
      </c>
      <c r="I1505" s="387" t="s">
        <v>12799</v>
      </c>
      <c r="J1505" s="389">
        <v>44809</v>
      </c>
      <c r="K1505" s="387" t="s">
        <v>12800</v>
      </c>
      <c r="L1505" s="387"/>
      <c r="M1505" s="387" t="s">
        <v>10084</v>
      </c>
      <c r="N1505" s="387"/>
      <c r="O1505" s="387" t="s">
        <v>44</v>
      </c>
      <c r="P1505" s="390">
        <v>332253475</v>
      </c>
      <c r="Q1505" s="387" t="s">
        <v>12801</v>
      </c>
      <c r="R1505" s="387" t="s">
        <v>903</v>
      </c>
      <c r="S1505" s="340">
        <v>41</v>
      </c>
    </row>
    <row r="1506" spans="1:19" ht="29" x14ac:dyDescent="0.35">
      <c r="A1506" s="349">
        <v>1495</v>
      </c>
      <c r="B1506" s="387" t="s">
        <v>10650</v>
      </c>
      <c r="C1506" s="387" t="s">
        <v>10651</v>
      </c>
      <c r="D1506" s="388" t="s">
        <v>126</v>
      </c>
      <c r="E1506" s="388" t="s">
        <v>10082</v>
      </c>
      <c r="F1506" s="388" t="s">
        <v>10078</v>
      </c>
      <c r="G1506" s="388" t="s">
        <v>10088</v>
      </c>
      <c r="H1506" s="388"/>
      <c r="I1506" s="387" t="s">
        <v>63</v>
      </c>
      <c r="J1506" s="389">
        <v>45132</v>
      </c>
      <c r="K1506" s="387" t="s">
        <v>12802</v>
      </c>
      <c r="L1506" s="387"/>
      <c r="M1506" s="387"/>
      <c r="N1506" s="387"/>
      <c r="O1506" s="387" t="s">
        <v>44</v>
      </c>
      <c r="P1506" s="390">
        <v>333997500</v>
      </c>
      <c r="Q1506" s="387" t="s">
        <v>12803</v>
      </c>
      <c r="R1506" s="387" t="s">
        <v>903</v>
      </c>
      <c r="S1506" s="340">
        <v>41</v>
      </c>
    </row>
    <row r="1507" spans="1:19" ht="29.5" thickBot="1" x14ac:dyDescent="0.4">
      <c r="A1507" s="357">
        <v>1496</v>
      </c>
      <c r="B1507" s="387" t="s">
        <v>10650</v>
      </c>
      <c r="C1507" s="387" t="s">
        <v>10651</v>
      </c>
      <c r="D1507" s="388" t="s">
        <v>132</v>
      </c>
      <c r="E1507" s="388" t="s">
        <v>10082</v>
      </c>
      <c r="F1507" s="388"/>
      <c r="G1507" s="388"/>
      <c r="H1507" s="388"/>
      <c r="I1507" s="387" t="s">
        <v>63</v>
      </c>
      <c r="J1507" s="389"/>
      <c r="K1507" s="387" t="s">
        <v>12804</v>
      </c>
      <c r="L1507" s="387"/>
      <c r="M1507" s="387"/>
      <c r="N1507" s="387"/>
      <c r="O1507" s="387" t="s">
        <v>44</v>
      </c>
      <c r="P1507" s="390">
        <v>321845400</v>
      </c>
      <c r="Q1507" s="387" t="s">
        <v>12805</v>
      </c>
      <c r="R1507" s="387" t="s">
        <v>903</v>
      </c>
      <c r="S1507" s="340">
        <v>41</v>
      </c>
    </row>
    <row r="1508" spans="1:19" ht="43.5" x14ac:dyDescent="0.35">
      <c r="A1508" s="349">
        <v>1497</v>
      </c>
      <c r="B1508" s="387" t="s">
        <v>11313</v>
      </c>
      <c r="C1508" s="387" t="s">
        <v>11314</v>
      </c>
      <c r="D1508" s="388" t="s">
        <v>51</v>
      </c>
      <c r="E1508" s="388" t="s">
        <v>10082</v>
      </c>
      <c r="F1508" s="388" t="s">
        <v>10078</v>
      </c>
      <c r="G1508" s="388" t="s">
        <v>10078</v>
      </c>
      <c r="H1508" s="388" t="s">
        <v>12781</v>
      </c>
      <c r="I1508" s="387" t="s">
        <v>12806</v>
      </c>
      <c r="J1508" s="389">
        <v>44809</v>
      </c>
      <c r="K1508" s="387" t="s">
        <v>12807</v>
      </c>
      <c r="L1508" s="387"/>
      <c r="M1508" s="387" t="s">
        <v>10084</v>
      </c>
      <c r="N1508" s="387"/>
      <c r="O1508" s="387" t="s">
        <v>44</v>
      </c>
      <c r="P1508" s="390">
        <v>332076400</v>
      </c>
      <c r="Q1508" s="387" t="s">
        <v>12808</v>
      </c>
      <c r="R1508" s="387" t="s">
        <v>903</v>
      </c>
      <c r="S1508" s="340">
        <v>41</v>
      </c>
    </row>
    <row r="1509" spans="1:19" ht="44" thickBot="1" x14ac:dyDescent="0.4">
      <c r="A1509" s="357">
        <v>1498</v>
      </c>
      <c r="B1509" s="387" t="s">
        <v>11313</v>
      </c>
      <c r="C1509" s="387" t="s">
        <v>11314</v>
      </c>
      <c r="D1509" s="388" t="s">
        <v>59</v>
      </c>
      <c r="E1509" s="388" t="s">
        <v>10082</v>
      </c>
      <c r="F1509" s="388" t="s">
        <v>10078</v>
      </c>
      <c r="G1509" s="388" t="s">
        <v>10078</v>
      </c>
      <c r="H1509" s="388" t="s">
        <v>12781</v>
      </c>
      <c r="I1509" s="387" t="s">
        <v>12809</v>
      </c>
      <c r="J1509" s="389">
        <v>44823</v>
      </c>
      <c r="K1509" s="387" t="s">
        <v>12810</v>
      </c>
      <c r="L1509" s="387"/>
      <c r="M1509" s="387" t="s">
        <v>10084</v>
      </c>
      <c r="N1509" s="387"/>
      <c r="O1509" s="387" t="s">
        <v>44</v>
      </c>
      <c r="P1509" s="390">
        <v>331648250</v>
      </c>
      <c r="Q1509" s="387" t="s">
        <v>12811</v>
      </c>
      <c r="R1509" s="387" t="s">
        <v>903</v>
      </c>
      <c r="S1509" s="340">
        <v>41</v>
      </c>
    </row>
    <row r="1510" spans="1:19" ht="29" x14ac:dyDescent="0.35">
      <c r="A1510" s="349">
        <v>1499</v>
      </c>
      <c r="B1510" s="387" t="s">
        <v>11632</v>
      </c>
      <c r="C1510" s="387" t="s">
        <v>11633</v>
      </c>
      <c r="D1510" s="388" t="s">
        <v>51</v>
      </c>
      <c r="E1510" s="388" t="s">
        <v>10082</v>
      </c>
      <c r="F1510" s="388" t="s">
        <v>10078</v>
      </c>
      <c r="G1510" s="388" t="s">
        <v>10078</v>
      </c>
      <c r="H1510" s="388" t="s">
        <v>2972</v>
      </c>
      <c r="I1510" s="387" t="s">
        <v>12812</v>
      </c>
      <c r="J1510" s="389">
        <v>44057</v>
      </c>
      <c r="K1510" s="387" t="s">
        <v>12813</v>
      </c>
      <c r="L1510" s="387"/>
      <c r="M1510" s="387" t="s">
        <v>10084</v>
      </c>
      <c r="N1510" s="387"/>
      <c r="O1510" s="387" t="s">
        <v>57</v>
      </c>
      <c r="P1510" s="390">
        <v>335826250</v>
      </c>
      <c r="Q1510" s="387" t="s">
        <v>12812</v>
      </c>
      <c r="R1510" s="387" t="s">
        <v>903</v>
      </c>
      <c r="S1510" s="340">
        <v>41</v>
      </c>
    </row>
    <row r="1511" spans="1:19" ht="29.5" thickBot="1" x14ac:dyDescent="0.4">
      <c r="A1511" s="357">
        <v>1500</v>
      </c>
      <c r="B1511" s="387" t="s">
        <v>11632</v>
      </c>
      <c r="C1511" s="387" t="s">
        <v>11633</v>
      </c>
      <c r="D1511" s="388" t="s">
        <v>59</v>
      </c>
      <c r="E1511" s="388" t="s">
        <v>10082</v>
      </c>
      <c r="F1511" s="388" t="s">
        <v>10078</v>
      </c>
      <c r="G1511" s="388" t="s">
        <v>10078</v>
      </c>
      <c r="H1511" s="388" t="s">
        <v>2972</v>
      </c>
      <c r="I1511" s="387" t="s">
        <v>12814</v>
      </c>
      <c r="J1511" s="389">
        <v>44057</v>
      </c>
      <c r="K1511" s="387" t="s">
        <v>12815</v>
      </c>
      <c r="L1511" s="387"/>
      <c r="M1511" s="387" t="s">
        <v>10084</v>
      </c>
      <c r="N1511" s="387"/>
      <c r="O1511" s="387" t="s">
        <v>57</v>
      </c>
      <c r="P1511" s="390">
        <v>335876250</v>
      </c>
      <c r="Q1511" s="387" t="s">
        <v>12816</v>
      </c>
      <c r="R1511" s="387" t="s">
        <v>903</v>
      </c>
      <c r="S1511" s="340">
        <v>41</v>
      </c>
    </row>
    <row r="1512" spans="1:19" ht="29" x14ac:dyDescent="0.35">
      <c r="A1512" s="349">
        <v>1501</v>
      </c>
      <c r="B1512" s="387" t="s">
        <v>11632</v>
      </c>
      <c r="C1512" s="387" t="s">
        <v>11633</v>
      </c>
      <c r="D1512" s="388" t="s">
        <v>97</v>
      </c>
      <c r="E1512" s="388" t="s">
        <v>10082</v>
      </c>
      <c r="F1512" s="388" t="s">
        <v>10078</v>
      </c>
      <c r="G1512" s="388" t="s">
        <v>10078</v>
      </c>
      <c r="H1512" s="388" t="s">
        <v>2972</v>
      </c>
      <c r="I1512" s="387" t="s">
        <v>12817</v>
      </c>
      <c r="J1512" s="389">
        <v>44057</v>
      </c>
      <c r="K1512" s="387" t="s">
        <v>12818</v>
      </c>
      <c r="L1512" s="387"/>
      <c r="M1512" s="387" t="s">
        <v>10084</v>
      </c>
      <c r="N1512" s="387"/>
      <c r="O1512" s="387" t="s">
        <v>57</v>
      </c>
      <c r="P1512" s="390">
        <v>434876250</v>
      </c>
      <c r="Q1512" s="387" t="s">
        <v>12819</v>
      </c>
      <c r="R1512" s="387" t="s">
        <v>903</v>
      </c>
      <c r="S1512" s="340">
        <v>41</v>
      </c>
    </row>
    <row r="1513" spans="1:19" ht="29.5" thickBot="1" x14ac:dyDescent="0.4">
      <c r="A1513" s="357">
        <v>1502</v>
      </c>
      <c r="B1513" s="387" t="s">
        <v>11632</v>
      </c>
      <c r="C1513" s="387" t="s">
        <v>11633</v>
      </c>
      <c r="D1513" s="388" t="s">
        <v>101</v>
      </c>
      <c r="E1513" s="388" t="s">
        <v>10082</v>
      </c>
      <c r="F1513" s="388" t="s">
        <v>10078</v>
      </c>
      <c r="G1513" s="388" t="s">
        <v>10078</v>
      </c>
      <c r="H1513" s="388" t="s">
        <v>2972</v>
      </c>
      <c r="I1513" s="387" t="s">
        <v>12820</v>
      </c>
      <c r="J1513" s="389">
        <v>44057</v>
      </c>
      <c r="K1513" s="387" t="s">
        <v>12821</v>
      </c>
      <c r="L1513" s="387"/>
      <c r="M1513" s="387" t="s">
        <v>10084</v>
      </c>
      <c r="N1513" s="387"/>
      <c r="O1513" s="387" t="s">
        <v>57</v>
      </c>
      <c r="P1513" s="390">
        <v>434926250</v>
      </c>
      <c r="Q1513" s="387" t="s">
        <v>12822</v>
      </c>
      <c r="R1513" s="387" t="s">
        <v>903</v>
      </c>
      <c r="S1513" s="340">
        <v>41</v>
      </c>
    </row>
    <row r="1514" spans="1:19" ht="29" x14ac:dyDescent="0.35">
      <c r="A1514" s="349">
        <v>1503</v>
      </c>
      <c r="B1514" s="387" t="s">
        <v>10497</v>
      </c>
      <c r="C1514" s="387" t="s">
        <v>10498</v>
      </c>
      <c r="D1514" s="388" t="s">
        <v>51</v>
      </c>
      <c r="E1514" s="388" t="s">
        <v>10082</v>
      </c>
      <c r="F1514" s="388"/>
      <c r="G1514" s="388"/>
      <c r="H1514" s="388"/>
      <c r="I1514" s="387" t="s">
        <v>63</v>
      </c>
      <c r="J1514" s="389">
        <v>45524</v>
      </c>
      <c r="K1514" s="387" t="s">
        <v>12823</v>
      </c>
      <c r="L1514" s="387"/>
      <c r="M1514" s="387"/>
      <c r="N1514" s="387"/>
      <c r="O1514" s="387" t="s">
        <v>44</v>
      </c>
      <c r="P1514" s="390">
        <v>134996200</v>
      </c>
      <c r="Q1514" s="387" t="s">
        <v>12824</v>
      </c>
      <c r="R1514" s="387" t="s">
        <v>903</v>
      </c>
      <c r="S1514" s="340">
        <v>41</v>
      </c>
    </row>
    <row r="1515" spans="1:19" ht="29.5" thickBot="1" x14ac:dyDescent="0.4">
      <c r="A1515" s="357">
        <v>1504</v>
      </c>
      <c r="B1515" s="387" t="s">
        <v>10501</v>
      </c>
      <c r="C1515" s="387" t="s">
        <v>10502</v>
      </c>
      <c r="D1515" s="388" t="s">
        <v>51</v>
      </c>
      <c r="E1515" s="388" t="s">
        <v>10082</v>
      </c>
      <c r="F1515" s="388" t="s">
        <v>10078</v>
      </c>
      <c r="G1515" s="388" t="s">
        <v>10078</v>
      </c>
      <c r="H1515" s="388" t="s">
        <v>2972</v>
      </c>
      <c r="I1515" s="387" t="s">
        <v>12825</v>
      </c>
      <c r="J1515" s="389">
        <v>44412</v>
      </c>
      <c r="K1515" s="387" t="s">
        <v>12826</v>
      </c>
      <c r="L1515" s="387"/>
      <c r="M1515" s="387" t="s">
        <v>10084</v>
      </c>
      <c r="N1515" s="387"/>
      <c r="O1515" s="387" t="s">
        <v>57</v>
      </c>
      <c r="P1515" s="390">
        <v>336292625</v>
      </c>
      <c r="Q1515" s="387" t="s">
        <v>12827</v>
      </c>
      <c r="R1515" s="387" t="s">
        <v>903</v>
      </c>
      <c r="S1515" s="340">
        <v>41</v>
      </c>
    </row>
    <row r="1516" spans="1:19" ht="29" x14ac:dyDescent="0.35">
      <c r="A1516" s="349">
        <v>1505</v>
      </c>
      <c r="B1516" s="387" t="s">
        <v>10501</v>
      </c>
      <c r="C1516" s="387" t="s">
        <v>10502</v>
      </c>
      <c r="D1516" s="388" t="s">
        <v>59</v>
      </c>
      <c r="E1516" s="388" t="s">
        <v>10082</v>
      </c>
      <c r="F1516" s="388" t="s">
        <v>10078</v>
      </c>
      <c r="G1516" s="388" t="s">
        <v>10078</v>
      </c>
      <c r="H1516" s="388" t="s">
        <v>2972</v>
      </c>
      <c r="I1516" s="387" t="s">
        <v>12828</v>
      </c>
      <c r="J1516" s="389">
        <v>44412</v>
      </c>
      <c r="K1516" s="387" t="s">
        <v>12829</v>
      </c>
      <c r="L1516" s="387"/>
      <c r="M1516" s="387" t="s">
        <v>10084</v>
      </c>
      <c r="N1516" s="387"/>
      <c r="O1516" s="387" t="s">
        <v>57</v>
      </c>
      <c r="P1516" s="390">
        <v>169902875</v>
      </c>
      <c r="Q1516" s="387" t="s">
        <v>12830</v>
      </c>
      <c r="R1516" s="387" t="s">
        <v>903</v>
      </c>
      <c r="S1516" s="340">
        <v>41</v>
      </c>
    </row>
    <row r="1517" spans="1:19" ht="58.5" thickBot="1" x14ac:dyDescent="0.4">
      <c r="A1517" s="357">
        <v>1506</v>
      </c>
      <c r="B1517" s="387" t="s">
        <v>10501</v>
      </c>
      <c r="C1517" s="387" t="s">
        <v>10502</v>
      </c>
      <c r="D1517" s="388" t="s">
        <v>97</v>
      </c>
      <c r="E1517" s="388" t="s">
        <v>10082</v>
      </c>
      <c r="F1517" s="388" t="s">
        <v>10078</v>
      </c>
      <c r="G1517" s="388" t="s">
        <v>10088</v>
      </c>
      <c r="H1517" s="388"/>
      <c r="I1517" s="387" t="s">
        <v>12831</v>
      </c>
      <c r="J1517" s="389">
        <v>44791</v>
      </c>
      <c r="K1517" s="387" t="s">
        <v>12832</v>
      </c>
      <c r="L1517" s="387"/>
      <c r="M1517" s="387" t="s">
        <v>10084</v>
      </c>
      <c r="N1517" s="387"/>
      <c r="O1517" s="387" t="s">
        <v>44</v>
      </c>
      <c r="P1517" s="390">
        <v>221167610</v>
      </c>
      <c r="Q1517" s="387" t="s">
        <v>12833</v>
      </c>
      <c r="R1517" s="387" t="s">
        <v>903</v>
      </c>
      <c r="S1517" s="340">
        <v>41</v>
      </c>
    </row>
    <row r="1518" spans="1:19" ht="58" x14ac:dyDescent="0.35">
      <c r="A1518" s="349">
        <v>1507</v>
      </c>
      <c r="B1518" s="387" t="s">
        <v>10501</v>
      </c>
      <c r="C1518" s="387" t="s">
        <v>10502</v>
      </c>
      <c r="D1518" s="388" t="s">
        <v>101</v>
      </c>
      <c r="E1518" s="388" t="s">
        <v>10082</v>
      </c>
      <c r="F1518" s="388" t="s">
        <v>10078</v>
      </c>
      <c r="G1518" s="388" t="s">
        <v>10088</v>
      </c>
      <c r="H1518" s="388"/>
      <c r="I1518" s="387" t="s">
        <v>12606</v>
      </c>
      <c r="J1518" s="389">
        <v>44791</v>
      </c>
      <c r="K1518" s="387" t="s">
        <v>12834</v>
      </c>
      <c r="L1518" s="387"/>
      <c r="M1518" s="387" t="s">
        <v>10084</v>
      </c>
      <c r="N1518" s="387"/>
      <c r="O1518" s="387" t="s">
        <v>44</v>
      </c>
      <c r="P1518" s="390">
        <v>221195285</v>
      </c>
      <c r="Q1518" s="387" t="s">
        <v>12835</v>
      </c>
      <c r="R1518" s="387" t="s">
        <v>903</v>
      </c>
      <c r="S1518" s="340">
        <v>41</v>
      </c>
    </row>
    <row r="1519" spans="1:19" ht="29.5" thickBot="1" x14ac:dyDescent="0.4">
      <c r="A1519" s="357">
        <v>1508</v>
      </c>
      <c r="B1519" s="387" t="s">
        <v>10511</v>
      </c>
      <c r="C1519" s="387" t="s">
        <v>10512</v>
      </c>
      <c r="D1519" s="388" t="s">
        <v>51</v>
      </c>
      <c r="E1519" s="388" t="s">
        <v>10082</v>
      </c>
      <c r="F1519" s="388" t="s">
        <v>10078</v>
      </c>
      <c r="G1519" s="388" t="s">
        <v>10078</v>
      </c>
      <c r="H1519" s="388" t="s">
        <v>2972</v>
      </c>
      <c r="I1519" s="387" t="s">
        <v>12836</v>
      </c>
      <c r="J1519" s="389">
        <v>43766</v>
      </c>
      <c r="K1519" s="387" t="s">
        <v>12837</v>
      </c>
      <c r="L1519" s="387"/>
      <c r="M1519" s="387" t="s">
        <v>10084</v>
      </c>
      <c r="N1519" s="387"/>
      <c r="O1519" s="387" t="s">
        <v>57</v>
      </c>
      <c r="P1519" s="390">
        <v>34650000</v>
      </c>
      <c r="Q1519" s="387" t="s">
        <v>12838</v>
      </c>
      <c r="R1519" s="387" t="s">
        <v>903</v>
      </c>
      <c r="S1519" s="340">
        <v>41</v>
      </c>
    </row>
    <row r="1520" spans="1:19" ht="29" x14ac:dyDescent="0.35">
      <c r="A1520" s="349">
        <v>1509</v>
      </c>
      <c r="B1520" s="387" t="s">
        <v>12839</v>
      </c>
      <c r="C1520" s="387" t="s">
        <v>12840</v>
      </c>
      <c r="D1520" s="388" t="s">
        <v>51</v>
      </c>
      <c r="E1520" s="388" t="s">
        <v>10082</v>
      </c>
      <c r="F1520" s="388" t="s">
        <v>10078</v>
      </c>
      <c r="G1520" s="388" t="s">
        <v>10078</v>
      </c>
      <c r="H1520" s="388" t="s">
        <v>2972</v>
      </c>
      <c r="I1520" s="387" t="s">
        <v>12776</v>
      </c>
      <c r="J1520" s="389">
        <v>44438</v>
      </c>
      <c r="K1520" s="387" t="s">
        <v>12841</v>
      </c>
      <c r="L1520" s="387"/>
      <c r="M1520" s="387" t="s">
        <v>10084</v>
      </c>
      <c r="N1520" s="387"/>
      <c r="O1520" s="387" t="s">
        <v>57</v>
      </c>
      <c r="P1520" s="390">
        <v>436351500</v>
      </c>
      <c r="Q1520" s="387" t="s">
        <v>12842</v>
      </c>
      <c r="R1520" s="387" t="s">
        <v>903</v>
      </c>
      <c r="S1520" s="340">
        <v>41</v>
      </c>
    </row>
    <row r="1521" spans="1:19" ht="29.5" thickBot="1" x14ac:dyDescent="0.4">
      <c r="A1521" s="357">
        <v>1510</v>
      </c>
      <c r="B1521" s="387" t="s">
        <v>12839</v>
      </c>
      <c r="C1521" s="387" t="s">
        <v>12840</v>
      </c>
      <c r="D1521" s="388" t="s">
        <v>59</v>
      </c>
      <c r="E1521" s="388" t="s">
        <v>10082</v>
      </c>
      <c r="F1521" s="388" t="s">
        <v>10078</v>
      </c>
      <c r="G1521" s="388" t="s">
        <v>10078</v>
      </c>
      <c r="H1521" s="388" t="s">
        <v>2972</v>
      </c>
      <c r="I1521" s="387" t="s">
        <v>12094</v>
      </c>
      <c r="J1521" s="389">
        <v>44428</v>
      </c>
      <c r="K1521" s="387" t="s">
        <v>12843</v>
      </c>
      <c r="L1521" s="387"/>
      <c r="M1521" s="387" t="s">
        <v>10084</v>
      </c>
      <c r="N1521" s="387"/>
      <c r="O1521" s="387" t="s">
        <v>57</v>
      </c>
      <c r="P1521" s="390">
        <v>435672750</v>
      </c>
      <c r="Q1521" s="387" t="s">
        <v>12844</v>
      </c>
      <c r="R1521" s="387" t="s">
        <v>903</v>
      </c>
      <c r="S1521" s="340">
        <v>41</v>
      </c>
    </row>
    <row r="1522" spans="1:19" ht="29" x14ac:dyDescent="0.35">
      <c r="A1522" s="349">
        <v>1511</v>
      </c>
      <c r="B1522" s="387" t="s">
        <v>12839</v>
      </c>
      <c r="C1522" s="387" t="s">
        <v>12840</v>
      </c>
      <c r="D1522" s="388" t="s">
        <v>97</v>
      </c>
      <c r="E1522" s="388" t="s">
        <v>10082</v>
      </c>
      <c r="F1522" s="388"/>
      <c r="G1522" s="388"/>
      <c r="H1522" s="388"/>
      <c r="I1522" s="387" t="s">
        <v>63</v>
      </c>
      <c r="J1522" s="389"/>
      <c r="K1522" s="387" t="s">
        <v>12845</v>
      </c>
      <c r="L1522" s="387"/>
      <c r="M1522" s="387"/>
      <c r="N1522" s="387"/>
      <c r="O1522" s="387" t="s">
        <v>44</v>
      </c>
      <c r="P1522" s="390">
        <v>434608455</v>
      </c>
      <c r="Q1522" s="387" t="s">
        <v>12846</v>
      </c>
      <c r="R1522" s="387" t="s">
        <v>903</v>
      </c>
      <c r="S1522" s="340">
        <v>41</v>
      </c>
    </row>
    <row r="1523" spans="1:19" ht="29.5" thickBot="1" x14ac:dyDescent="0.4">
      <c r="A1523" s="357">
        <v>1512</v>
      </c>
      <c r="B1523" s="387" t="s">
        <v>12839</v>
      </c>
      <c r="C1523" s="387" t="s">
        <v>12840</v>
      </c>
      <c r="D1523" s="388" t="s">
        <v>101</v>
      </c>
      <c r="E1523" s="388" t="s">
        <v>10082</v>
      </c>
      <c r="F1523" s="388"/>
      <c r="G1523" s="388"/>
      <c r="H1523" s="388"/>
      <c r="I1523" s="387" t="s">
        <v>63</v>
      </c>
      <c r="J1523" s="389"/>
      <c r="K1523" s="387" t="s">
        <v>12847</v>
      </c>
      <c r="L1523" s="387"/>
      <c r="M1523" s="387"/>
      <c r="N1523" s="387"/>
      <c r="O1523" s="387" t="s">
        <v>44</v>
      </c>
      <c r="P1523" s="390">
        <v>429902055</v>
      </c>
      <c r="Q1523" s="387" t="s">
        <v>12848</v>
      </c>
      <c r="R1523" s="387" t="s">
        <v>903</v>
      </c>
      <c r="S1523" s="340">
        <v>41</v>
      </c>
    </row>
    <row r="1524" spans="1:19" ht="29" x14ac:dyDescent="0.35">
      <c r="A1524" s="349">
        <v>1513</v>
      </c>
      <c r="B1524" s="387" t="s">
        <v>10096</v>
      </c>
      <c r="C1524" s="387" t="s">
        <v>10097</v>
      </c>
      <c r="D1524" s="388" t="s">
        <v>51</v>
      </c>
      <c r="E1524" s="388" t="s">
        <v>10082</v>
      </c>
      <c r="F1524" s="388" t="s">
        <v>10078</v>
      </c>
      <c r="G1524" s="388" t="s">
        <v>10078</v>
      </c>
      <c r="H1524" s="388" t="s">
        <v>2972</v>
      </c>
      <c r="I1524" s="387" t="s">
        <v>12849</v>
      </c>
      <c r="J1524" s="389">
        <v>44412</v>
      </c>
      <c r="K1524" s="387" t="s">
        <v>12850</v>
      </c>
      <c r="L1524" s="387"/>
      <c r="M1524" s="387" t="s">
        <v>10084</v>
      </c>
      <c r="N1524" s="387"/>
      <c r="O1524" s="387" t="s">
        <v>57</v>
      </c>
      <c r="P1524" s="390">
        <v>232765125</v>
      </c>
      <c r="Q1524" s="387" t="s">
        <v>12851</v>
      </c>
      <c r="R1524" s="387" t="s">
        <v>903</v>
      </c>
      <c r="S1524" s="340">
        <v>41</v>
      </c>
    </row>
    <row r="1525" spans="1:19" ht="29.5" thickBot="1" x14ac:dyDescent="0.4">
      <c r="A1525" s="357">
        <v>1514</v>
      </c>
      <c r="B1525" s="387" t="s">
        <v>10096</v>
      </c>
      <c r="C1525" s="387" t="s">
        <v>10097</v>
      </c>
      <c r="D1525" s="388" t="s">
        <v>59</v>
      </c>
      <c r="E1525" s="388" t="s">
        <v>10082</v>
      </c>
      <c r="F1525" s="388" t="s">
        <v>10078</v>
      </c>
      <c r="G1525" s="388" t="s">
        <v>10078</v>
      </c>
      <c r="H1525" s="388" t="s">
        <v>2972</v>
      </c>
      <c r="I1525" s="387" t="s">
        <v>12852</v>
      </c>
      <c r="J1525" s="389">
        <v>44412</v>
      </c>
      <c r="K1525" s="387" t="s">
        <v>12853</v>
      </c>
      <c r="L1525" s="387"/>
      <c r="M1525" s="387" t="s">
        <v>10084</v>
      </c>
      <c r="N1525" s="387"/>
      <c r="O1525" s="387" t="s">
        <v>57</v>
      </c>
      <c r="P1525" s="390">
        <v>206836625</v>
      </c>
      <c r="Q1525" s="387" t="s">
        <v>12854</v>
      </c>
      <c r="R1525" s="387" t="s">
        <v>903</v>
      </c>
      <c r="S1525" s="340">
        <v>41</v>
      </c>
    </row>
    <row r="1526" spans="1:19" ht="43.5" x14ac:dyDescent="0.35">
      <c r="A1526" s="349">
        <v>1515</v>
      </c>
      <c r="B1526" s="387" t="s">
        <v>10096</v>
      </c>
      <c r="C1526" s="387" t="s">
        <v>10097</v>
      </c>
      <c r="D1526" s="388" t="s">
        <v>97</v>
      </c>
      <c r="E1526" s="388" t="s">
        <v>10082</v>
      </c>
      <c r="F1526" s="388" t="s">
        <v>10078</v>
      </c>
      <c r="G1526" s="388" t="s">
        <v>10088</v>
      </c>
      <c r="H1526" s="388"/>
      <c r="I1526" s="387" t="s">
        <v>12831</v>
      </c>
      <c r="J1526" s="389">
        <v>44791</v>
      </c>
      <c r="K1526" s="387" t="s">
        <v>12855</v>
      </c>
      <c r="L1526" s="387"/>
      <c r="M1526" s="387" t="s">
        <v>10084</v>
      </c>
      <c r="N1526" s="387"/>
      <c r="O1526" s="387" t="s">
        <v>44</v>
      </c>
      <c r="P1526" s="390">
        <v>322716540</v>
      </c>
      <c r="Q1526" s="387" t="s">
        <v>12856</v>
      </c>
      <c r="R1526" s="387" t="s">
        <v>903</v>
      </c>
      <c r="S1526" s="340">
        <v>41</v>
      </c>
    </row>
    <row r="1527" spans="1:19" ht="58.5" thickBot="1" x14ac:dyDescent="0.4">
      <c r="A1527" s="357">
        <v>1516</v>
      </c>
      <c r="B1527" s="387" t="s">
        <v>10096</v>
      </c>
      <c r="C1527" s="387" t="s">
        <v>10097</v>
      </c>
      <c r="D1527" s="388" t="s">
        <v>101</v>
      </c>
      <c r="E1527" s="388" t="s">
        <v>10082</v>
      </c>
      <c r="F1527" s="388" t="s">
        <v>10078</v>
      </c>
      <c r="G1527" s="388" t="s">
        <v>10088</v>
      </c>
      <c r="H1527" s="388"/>
      <c r="I1527" s="387" t="s">
        <v>12606</v>
      </c>
      <c r="J1527" s="389">
        <v>44791</v>
      </c>
      <c r="K1527" s="387" t="s">
        <v>12857</v>
      </c>
      <c r="L1527" s="387"/>
      <c r="M1527" s="387" t="s">
        <v>10084</v>
      </c>
      <c r="N1527" s="387"/>
      <c r="O1527" s="387" t="s">
        <v>44</v>
      </c>
      <c r="P1527" s="390">
        <v>221244665</v>
      </c>
      <c r="Q1527" s="387" t="s">
        <v>12858</v>
      </c>
      <c r="R1527" s="387" t="s">
        <v>903</v>
      </c>
      <c r="S1527" s="340">
        <v>41</v>
      </c>
    </row>
    <row r="1528" spans="1:19" ht="29" x14ac:dyDescent="0.35">
      <c r="A1528" s="349">
        <v>1517</v>
      </c>
      <c r="B1528" s="387" t="s">
        <v>10096</v>
      </c>
      <c r="C1528" s="387" t="s">
        <v>10097</v>
      </c>
      <c r="D1528" s="388" t="s">
        <v>107</v>
      </c>
      <c r="E1528" s="388" t="s">
        <v>10082</v>
      </c>
      <c r="F1528" s="388"/>
      <c r="G1528" s="388"/>
      <c r="H1528" s="388"/>
      <c r="I1528" s="387" t="s">
        <v>63</v>
      </c>
      <c r="J1528" s="389">
        <v>45532</v>
      </c>
      <c r="K1528" s="387" t="s">
        <v>12859</v>
      </c>
      <c r="L1528" s="387"/>
      <c r="M1528" s="387"/>
      <c r="N1528" s="387"/>
      <c r="O1528" s="387" t="s">
        <v>44</v>
      </c>
      <c r="P1528" s="390">
        <v>298319210</v>
      </c>
      <c r="Q1528" s="387" t="s">
        <v>12860</v>
      </c>
      <c r="R1528" s="387" t="s">
        <v>903</v>
      </c>
      <c r="S1528" s="340">
        <v>41</v>
      </c>
    </row>
    <row r="1529" spans="1:19" ht="29.5" thickBot="1" x14ac:dyDescent="0.4">
      <c r="A1529" s="357">
        <v>1518</v>
      </c>
      <c r="B1529" s="387" t="s">
        <v>10096</v>
      </c>
      <c r="C1529" s="387" t="s">
        <v>10097</v>
      </c>
      <c r="D1529" s="388" t="s">
        <v>112</v>
      </c>
      <c r="E1529" s="388" t="s">
        <v>10082</v>
      </c>
      <c r="F1529" s="388"/>
      <c r="G1529" s="388"/>
      <c r="H1529" s="388"/>
      <c r="I1529" s="387" t="s">
        <v>63</v>
      </c>
      <c r="J1529" s="389">
        <v>45531</v>
      </c>
      <c r="K1529" s="387" t="s">
        <v>12861</v>
      </c>
      <c r="L1529" s="387"/>
      <c r="M1529" s="387"/>
      <c r="N1529" s="387"/>
      <c r="O1529" s="387" t="s">
        <v>44</v>
      </c>
      <c r="P1529" s="390">
        <v>293832800</v>
      </c>
      <c r="Q1529" s="387" t="s">
        <v>12862</v>
      </c>
      <c r="R1529" s="387" t="s">
        <v>903</v>
      </c>
      <c r="S1529" s="340">
        <v>41</v>
      </c>
    </row>
    <row r="1530" spans="1:19" ht="29" x14ac:dyDescent="0.35">
      <c r="A1530" s="349">
        <v>1519</v>
      </c>
      <c r="B1530" s="387" t="s">
        <v>10096</v>
      </c>
      <c r="C1530" s="387" t="s">
        <v>10097</v>
      </c>
      <c r="D1530" s="388" t="s">
        <v>116</v>
      </c>
      <c r="E1530" s="388" t="s">
        <v>10082</v>
      </c>
      <c r="F1530" s="388"/>
      <c r="G1530" s="388"/>
      <c r="H1530" s="388"/>
      <c r="I1530" s="387" t="s">
        <v>63</v>
      </c>
      <c r="J1530" s="389">
        <v>45531</v>
      </c>
      <c r="K1530" s="387" t="s">
        <v>12863</v>
      </c>
      <c r="L1530" s="387"/>
      <c r="M1530" s="387"/>
      <c r="N1530" s="387"/>
      <c r="O1530" s="387" t="s">
        <v>44</v>
      </c>
      <c r="P1530" s="390">
        <v>337584300</v>
      </c>
      <c r="Q1530" s="387" t="s">
        <v>12864</v>
      </c>
      <c r="R1530" s="387" t="s">
        <v>903</v>
      </c>
      <c r="S1530" s="340">
        <v>41</v>
      </c>
    </row>
    <row r="1531" spans="1:19" ht="29.5" thickBot="1" x14ac:dyDescent="0.4">
      <c r="A1531" s="357">
        <v>1520</v>
      </c>
      <c r="B1531" s="387" t="s">
        <v>10096</v>
      </c>
      <c r="C1531" s="387" t="s">
        <v>10097</v>
      </c>
      <c r="D1531" s="388" t="s">
        <v>841</v>
      </c>
      <c r="E1531" s="388" t="s">
        <v>10082</v>
      </c>
      <c r="F1531" s="388"/>
      <c r="G1531" s="388"/>
      <c r="H1531" s="388"/>
      <c r="I1531" s="387" t="s">
        <v>63</v>
      </c>
      <c r="J1531" s="389">
        <v>45537</v>
      </c>
      <c r="K1531" s="387" t="s">
        <v>12865</v>
      </c>
      <c r="L1531" s="387"/>
      <c r="M1531" s="387"/>
      <c r="N1531" s="387"/>
      <c r="O1531" s="387" t="s">
        <v>44</v>
      </c>
      <c r="P1531" s="390">
        <v>306490700</v>
      </c>
      <c r="Q1531" s="387" t="s">
        <v>12866</v>
      </c>
      <c r="R1531" s="387" t="s">
        <v>903</v>
      </c>
      <c r="S1531" s="340">
        <v>41</v>
      </c>
    </row>
    <row r="1532" spans="1:19" ht="29" x14ac:dyDescent="0.35">
      <c r="A1532" s="349">
        <v>1521</v>
      </c>
      <c r="B1532" s="387" t="s">
        <v>10155</v>
      </c>
      <c r="C1532" s="387" t="s">
        <v>10156</v>
      </c>
      <c r="D1532" s="388" t="s">
        <v>51</v>
      </c>
      <c r="E1532" s="388" t="s">
        <v>10082</v>
      </c>
      <c r="F1532" s="388" t="s">
        <v>10078</v>
      </c>
      <c r="G1532" s="388" t="s">
        <v>10088</v>
      </c>
      <c r="H1532" s="388" t="s">
        <v>12867</v>
      </c>
      <c r="I1532" s="387" t="s">
        <v>12868</v>
      </c>
      <c r="J1532" s="389"/>
      <c r="K1532" s="387"/>
      <c r="L1532" s="387"/>
      <c r="M1532" s="387" t="s">
        <v>10084</v>
      </c>
      <c r="N1532" s="387"/>
      <c r="O1532" s="387" t="s">
        <v>57</v>
      </c>
      <c r="P1532" s="390">
        <v>331526000</v>
      </c>
      <c r="Q1532" s="387" t="s">
        <v>12869</v>
      </c>
      <c r="R1532" s="387" t="s">
        <v>7787</v>
      </c>
      <c r="S1532" s="340">
        <v>42</v>
      </c>
    </row>
    <row r="1533" spans="1:19" ht="44" thickBot="1" x14ac:dyDescent="0.4">
      <c r="A1533" s="357">
        <v>1522</v>
      </c>
      <c r="B1533" s="387" t="s">
        <v>10155</v>
      </c>
      <c r="C1533" s="387" t="s">
        <v>10156</v>
      </c>
      <c r="D1533" s="388" t="s">
        <v>51</v>
      </c>
      <c r="E1533" s="388" t="s">
        <v>10082</v>
      </c>
      <c r="F1533" s="388" t="s">
        <v>10078</v>
      </c>
      <c r="G1533" s="388" t="s">
        <v>10088</v>
      </c>
      <c r="H1533" s="388" t="s">
        <v>12870</v>
      </c>
      <c r="I1533" s="387" t="s">
        <v>12871</v>
      </c>
      <c r="J1533" s="389">
        <v>43308</v>
      </c>
      <c r="K1533" s="387" t="s">
        <v>12872</v>
      </c>
      <c r="L1533" s="387"/>
      <c r="M1533" s="387" t="s">
        <v>10084</v>
      </c>
      <c r="N1533" s="387"/>
      <c r="O1533" s="387" t="s">
        <v>57</v>
      </c>
      <c r="P1533" s="390">
        <v>225964000</v>
      </c>
      <c r="Q1533" s="387" t="s">
        <v>12873</v>
      </c>
      <c r="R1533" s="387" t="s">
        <v>882</v>
      </c>
      <c r="S1533" s="340">
        <v>40</v>
      </c>
    </row>
    <row r="1534" spans="1:19" ht="29" x14ac:dyDescent="0.35">
      <c r="A1534" s="349">
        <v>1523</v>
      </c>
      <c r="B1534" s="387" t="s">
        <v>10155</v>
      </c>
      <c r="C1534" s="387" t="s">
        <v>10156</v>
      </c>
      <c r="D1534" s="388" t="s">
        <v>59</v>
      </c>
      <c r="E1534" s="388" t="s">
        <v>10082</v>
      </c>
      <c r="F1534" s="388" t="s">
        <v>10078</v>
      </c>
      <c r="G1534" s="388" t="s">
        <v>10088</v>
      </c>
      <c r="H1534" s="388" t="s">
        <v>12874</v>
      </c>
      <c r="I1534" s="387" t="s">
        <v>12875</v>
      </c>
      <c r="J1534" s="389"/>
      <c r="K1534" s="387"/>
      <c r="L1534" s="387"/>
      <c r="M1534" s="387" t="s">
        <v>10084</v>
      </c>
      <c r="N1534" s="387"/>
      <c r="O1534" s="387" t="s">
        <v>57</v>
      </c>
      <c r="P1534" s="390">
        <v>761765000</v>
      </c>
      <c r="Q1534" s="387" t="s">
        <v>12876</v>
      </c>
      <c r="R1534" s="387" t="s">
        <v>882</v>
      </c>
      <c r="S1534" s="340">
        <v>40</v>
      </c>
    </row>
    <row r="1535" spans="1:19" ht="29.5" thickBot="1" x14ac:dyDescent="0.4">
      <c r="A1535" s="357">
        <v>1524</v>
      </c>
      <c r="B1535" s="387" t="s">
        <v>10695</v>
      </c>
      <c r="C1535" s="387" t="s">
        <v>10696</v>
      </c>
      <c r="D1535" s="388" t="s">
        <v>51</v>
      </c>
      <c r="E1535" s="388" t="s">
        <v>10082</v>
      </c>
      <c r="F1535" s="388" t="s">
        <v>10078</v>
      </c>
      <c r="G1535" s="388" t="s">
        <v>10088</v>
      </c>
      <c r="H1535" s="388" t="s">
        <v>12877</v>
      </c>
      <c r="I1535" s="387" t="s">
        <v>12875</v>
      </c>
      <c r="J1535" s="389">
        <v>39988</v>
      </c>
      <c r="K1535" s="387" t="s">
        <v>12878</v>
      </c>
      <c r="L1535" s="387"/>
      <c r="M1535" s="387" t="s">
        <v>10084</v>
      </c>
      <c r="N1535" s="387"/>
      <c r="O1535" s="387" t="s">
        <v>57</v>
      </c>
      <c r="P1535" s="390">
        <v>586550000</v>
      </c>
      <c r="Q1535" s="387" t="s">
        <v>12879</v>
      </c>
      <c r="R1535" s="387" t="s">
        <v>882</v>
      </c>
      <c r="S1535" s="340">
        <v>40</v>
      </c>
    </row>
    <row r="1536" spans="1:19" ht="29" x14ac:dyDescent="0.35">
      <c r="A1536" s="349">
        <v>1525</v>
      </c>
      <c r="B1536" s="387" t="s">
        <v>11073</v>
      </c>
      <c r="C1536" s="387" t="s">
        <v>11074</v>
      </c>
      <c r="D1536" s="388" t="s">
        <v>51</v>
      </c>
      <c r="E1536" s="388" t="s">
        <v>10082</v>
      </c>
      <c r="F1536" s="388" t="s">
        <v>10078</v>
      </c>
      <c r="G1536" s="388" t="s">
        <v>10088</v>
      </c>
      <c r="H1536" s="388" t="s">
        <v>2972</v>
      </c>
      <c r="I1536" s="387" t="s">
        <v>12880</v>
      </c>
      <c r="J1536" s="389">
        <v>42248</v>
      </c>
      <c r="K1536" s="387" t="s">
        <v>12881</v>
      </c>
      <c r="L1536" s="387"/>
      <c r="M1536" s="387" t="s">
        <v>10084</v>
      </c>
      <c r="N1536" s="387"/>
      <c r="O1536" s="387" t="s">
        <v>57</v>
      </c>
      <c r="P1536" s="390">
        <v>642186000</v>
      </c>
      <c r="Q1536" s="387" t="s">
        <v>12882</v>
      </c>
      <c r="R1536" s="387" t="s">
        <v>882</v>
      </c>
      <c r="S1536" s="340">
        <v>40</v>
      </c>
    </row>
    <row r="1537" spans="1:19" ht="29.5" thickBot="1" x14ac:dyDescent="0.4">
      <c r="A1537" s="357">
        <v>1526</v>
      </c>
      <c r="B1537" s="387" t="s">
        <v>10511</v>
      </c>
      <c r="C1537" s="387" t="s">
        <v>10512</v>
      </c>
      <c r="D1537" s="388" t="s">
        <v>51</v>
      </c>
      <c r="E1537" s="388" t="s">
        <v>10082</v>
      </c>
      <c r="F1537" s="388" t="s">
        <v>10078</v>
      </c>
      <c r="G1537" s="388" t="s">
        <v>10078</v>
      </c>
      <c r="H1537" s="388" t="s">
        <v>11870</v>
      </c>
      <c r="I1537" s="387" t="s">
        <v>12883</v>
      </c>
      <c r="J1537" s="389">
        <v>43425</v>
      </c>
      <c r="K1537" s="387" t="s">
        <v>12884</v>
      </c>
      <c r="L1537" s="387"/>
      <c r="M1537" s="387" t="s">
        <v>10084</v>
      </c>
      <c r="N1537" s="387"/>
      <c r="O1537" s="387" t="s">
        <v>57</v>
      </c>
      <c r="P1537" s="390">
        <v>16000000</v>
      </c>
      <c r="Q1537" s="387" t="s">
        <v>12885</v>
      </c>
      <c r="R1537" s="387" t="s">
        <v>882</v>
      </c>
      <c r="S1537" s="340">
        <v>40</v>
      </c>
    </row>
    <row r="1538" spans="1:19" ht="29" x14ac:dyDescent="0.35">
      <c r="A1538" s="349">
        <v>1527</v>
      </c>
      <c r="B1538" s="387" t="s">
        <v>12707</v>
      </c>
      <c r="C1538" s="387" t="s">
        <v>12708</v>
      </c>
      <c r="D1538" s="388" t="s">
        <v>51</v>
      </c>
      <c r="E1538" s="388" t="s">
        <v>10082</v>
      </c>
      <c r="F1538" s="388" t="s">
        <v>10078</v>
      </c>
      <c r="G1538" s="388" t="s">
        <v>10078</v>
      </c>
      <c r="H1538" s="388" t="s">
        <v>2972</v>
      </c>
      <c r="I1538" s="387" t="s">
        <v>12886</v>
      </c>
      <c r="J1538" s="389">
        <v>43766</v>
      </c>
      <c r="K1538" s="387" t="s">
        <v>12887</v>
      </c>
      <c r="L1538" s="387"/>
      <c r="M1538" s="387" t="s">
        <v>10084</v>
      </c>
      <c r="N1538" s="387"/>
      <c r="O1538" s="387" t="s">
        <v>57</v>
      </c>
      <c r="P1538" s="390">
        <v>100575200</v>
      </c>
      <c r="Q1538" s="387" t="s">
        <v>12888</v>
      </c>
      <c r="R1538" s="387" t="s">
        <v>882</v>
      </c>
      <c r="S1538" s="340">
        <v>40</v>
      </c>
    </row>
    <row r="1539" spans="1:19" ht="29.5" thickBot="1" x14ac:dyDescent="0.4">
      <c r="A1539" s="357">
        <v>1528</v>
      </c>
      <c r="B1539" s="387" t="s">
        <v>10535</v>
      </c>
      <c r="C1539" s="387" t="s">
        <v>10536</v>
      </c>
      <c r="D1539" s="388" t="s">
        <v>51</v>
      </c>
      <c r="E1539" s="388" t="s">
        <v>10082</v>
      </c>
      <c r="F1539" s="388"/>
      <c r="G1539" s="388"/>
      <c r="H1539" s="388"/>
      <c r="I1539" s="387" t="s">
        <v>63</v>
      </c>
      <c r="J1539" s="389"/>
      <c r="K1539" s="387" t="s">
        <v>12889</v>
      </c>
      <c r="L1539" s="387"/>
      <c r="M1539" s="387"/>
      <c r="N1539" s="387"/>
      <c r="O1539" s="387" t="s">
        <v>44</v>
      </c>
      <c r="P1539" s="390">
        <v>209350000</v>
      </c>
      <c r="Q1539" s="387" t="s">
        <v>12890</v>
      </c>
      <c r="R1539" s="387" t="s">
        <v>859</v>
      </c>
      <c r="S1539" s="340">
        <v>39</v>
      </c>
    </row>
    <row r="1540" spans="1:19" ht="29" x14ac:dyDescent="0.35">
      <c r="A1540" s="349">
        <v>1529</v>
      </c>
      <c r="B1540" s="387" t="s">
        <v>10481</v>
      </c>
      <c r="C1540" s="387" t="s">
        <v>10482</v>
      </c>
      <c r="D1540" s="388" t="s">
        <v>51</v>
      </c>
      <c r="E1540" s="388" t="s">
        <v>10082</v>
      </c>
      <c r="F1540" s="388" t="s">
        <v>10078</v>
      </c>
      <c r="G1540" s="388" t="s">
        <v>10088</v>
      </c>
      <c r="H1540" s="388" t="s">
        <v>12891</v>
      </c>
      <c r="I1540" s="387" t="s">
        <v>12892</v>
      </c>
      <c r="J1540" s="389"/>
      <c r="K1540" s="387"/>
      <c r="L1540" s="387"/>
      <c r="M1540" s="387" t="s">
        <v>10084</v>
      </c>
      <c r="N1540" s="387"/>
      <c r="O1540" s="387" t="s">
        <v>57</v>
      </c>
      <c r="P1540" s="390">
        <v>556316250</v>
      </c>
      <c r="Q1540" s="387" t="s">
        <v>12893</v>
      </c>
      <c r="R1540" s="387" t="s">
        <v>859</v>
      </c>
      <c r="S1540" s="340">
        <v>39</v>
      </c>
    </row>
    <row r="1541" spans="1:19" ht="29.5" thickBot="1" x14ac:dyDescent="0.4">
      <c r="A1541" s="357">
        <v>1530</v>
      </c>
      <c r="B1541" s="387" t="s">
        <v>10481</v>
      </c>
      <c r="C1541" s="387" t="s">
        <v>10482</v>
      </c>
      <c r="D1541" s="388" t="s">
        <v>59</v>
      </c>
      <c r="E1541" s="388" t="s">
        <v>10082</v>
      </c>
      <c r="F1541" s="388"/>
      <c r="G1541" s="388"/>
      <c r="H1541" s="388"/>
      <c r="I1541" s="387" t="s">
        <v>63</v>
      </c>
      <c r="J1541" s="389"/>
      <c r="K1541" s="387" t="s">
        <v>12894</v>
      </c>
      <c r="L1541" s="387"/>
      <c r="M1541" s="387"/>
      <c r="N1541" s="387"/>
      <c r="O1541" s="387" t="s">
        <v>44</v>
      </c>
      <c r="P1541" s="390">
        <v>410300000</v>
      </c>
      <c r="Q1541" s="387" t="s">
        <v>12895</v>
      </c>
      <c r="R1541" s="387" t="s">
        <v>859</v>
      </c>
      <c r="S1541" s="340">
        <v>39</v>
      </c>
    </row>
    <row r="1542" spans="1:19" ht="29" x14ac:dyDescent="0.35">
      <c r="A1542" s="349">
        <v>1531</v>
      </c>
      <c r="B1542" s="387" t="s">
        <v>10765</v>
      </c>
      <c r="C1542" s="387" t="s">
        <v>10766</v>
      </c>
      <c r="D1542" s="388" t="s">
        <v>51</v>
      </c>
      <c r="E1542" s="388" t="s">
        <v>10082</v>
      </c>
      <c r="F1542" s="388" t="s">
        <v>10078</v>
      </c>
      <c r="G1542" s="388" t="s">
        <v>10078</v>
      </c>
      <c r="H1542" s="388" t="s">
        <v>12896</v>
      </c>
      <c r="I1542" s="387" t="s">
        <v>12897</v>
      </c>
      <c r="J1542" s="389">
        <v>44805</v>
      </c>
      <c r="K1542" s="387" t="s">
        <v>12898</v>
      </c>
      <c r="L1542" s="387"/>
      <c r="M1542" s="387"/>
      <c r="N1542" s="387"/>
      <c r="O1542" s="387" t="s">
        <v>44</v>
      </c>
      <c r="P1542" s="390">
        <v>199500000</v>
      </c>
      <c r="Q1542" s="387" t="s">
        <v>12899</v>
      </c>
      <c r="R1542" s="387" t="s">
        <v>859</v>
      </c>
      <c r="S1542" s="340">
        <v>39</v>
      </c>
    </row>
    <row r="1543" spans="1:19" ht="29.5" thickBot="1" x14ac:dyDescent="0.4">
      <c r="A1543" s="357">
        <v>1532</v>
      </c>
      <c r="B1543" s="387" t="s">
        <v>10155</v>
      </c>
      <c r="C1543" s="387" t="s">
        <v>10156</v>
      </c>
      <c r="D1543" s="388" t="s">
        <v>51</v>
      </c>
      <c r="E1543" s="388" t="s">
        <v>10082</v>
      </c>
      <c r="F1543" s="388" t="s">
        <v>10078</v>
      </c>
      <c r="G1543" s="388" t="s">
        <v>10078</v>
      </c>
      <c r="H1543" s="388" t="s">
        <v>12900</v>
      </c>
      <c r="I1543" s="387" t="s">
        <v>12901</v>
      </c>
      <c r="J1543" s="389">
        <v>42576</v>
      </c>
      <c r="K1543" s="387" t="s">
        <v>12902</v>
      </c>
      <c r="L1543" s="387"/>
      <c r="M1543" s="387" t="s">
        <v>10084</v>
      </c>
      <c r="N1543" s="387"/>
      <c r="O1543" s="387" t="s">
        <v>57</v>
      </c>
      <c r="P1543" s="390">
        <v>149700000</v>
      </c>
      <c r="Q1543" s="387" t="s">
        <v>12903</v>
      </c>
      <c r="R1543" s="387" t="s">
        <v>838</v>
      </c>
      <c r="S1543" s="340">
        <v>38</v>
      </c>
    </row>
    <row r="1544" spans="1:19" ht="29" x14ac:dyDescent="0.35">
      <c r="A1544" s="349">
        <v>1533</v>
      </c>
      <c r="B1544" s="387" t="s">
        <v>10155</v>
      </c>
      <c r="C1544" s="387" t="s">
        <v>10156</v>
      </c>
      <c r="D1544" s="388" t="s">
        <v>59</v>
      </c>
      <c r="E1544" s="388" t="s">
        <v>10082</v>
      </c>
      <c r="F1544" s="388" t="s">
        <v>10078</v>
      </c>
      <c r="G1544" s="388" t="s">
        <v>10088</v>
      </c>
      <c r="H1544" s="388" t="s">
        <v>12874</v>
      </c>
      <c r="I1544" s="387" t="s">
        <v>12904</v>
      </c>
      <c r="J1544" s="389"/>
      <c r="K1544" s="387"/>
      <c r="L1544" s="387"/>
      <c r="M1544" s="387" t="s">
        <v>10084</v>
      </c>
      <c r="N1544" s="387"/>
      <c r="O1544" s="387" t="s">
        <v>57</v>
      </c>
      <c r="P1544" s="390">
        <v>923013900</v>
      </c>
      <c r="Q1544" s="387" t="s">
        <v>12905</v>
      </c>
      <c r="R1544" s="387" t="s">
        <v>838</v>
      </c>
      <c r="S1544" s="340">
        <v>38</v>
      </c>
    </row>
    <row r="1545" spans="1:19" ht="29.5" thickBot="1" x14ac:dyDescent="0.4">
      <c r="A1545" s="357">
        <v>1534</v>
      </c>
      <c r="B1545" s="387" t="s">
        <v>11301</v>
      </c>
      <c r="C1545" s="387" t="s">
        <v>11302</v>
      </c>
      <c r="D1545" s="388" t="s">
        <v>51</v>
      </c>
      <c r="E1545" s="388" t="s">
        <v>10082</v>
      </c>
      <c r="F1545" s="388" t="s">
        <v>10078</v>
      </c>
      <c r="G1545" s="388" t="s">
        <v>10078</v>
      </c>
      <c r="H1545" s="388" t="s">
        <v>12906</v>
      </c>
      <c r="I1545" s="387" t="s">
        <v>12257</v>
      </c>
      <c r="J1545" s="389">
        <v>41598</v>
      </c>
      <c r="K1545" s="387" t="s">
        <v>12907</v>
      </c>
      <c r="L1545" s="387"/>
      <c r="M1545" s="387" t="s">
        <v>10084</v>
      </c>
      <c r="N1545" s="387"/>
      <c r="O1545" s="387" t="s">
        <v>57</v>
      </c>
      <c r="P1545" s="390">
        <v>1069785800</v>
      </c>
      <c r="Q1545" s="387" t="s">
        <v>12908</v>
      </c>
      <c r="R1545" s="387" t="s">
        <v>838</v>
      </c>
      <c r="S1545" s="340">
        <v>38</v>
      </c>
    </row>
    <row r="1546" spans="1:19" ht="29" x14ac:dyDescent="0.35">
      <c r="A1546" s="349">
        <v>1535</v>
      </c>
      <c r="B1546" s="387" t="s">
        <v>10117</v>
      </c>
      <c r="C1546" s="387" t="s">
        <v>10118</v>
      </c>
      <c r="D1546" s="388" t="s">
        <v>51</v>
      </c>
      <c r="E1546" s="388" t="s">
        <v>10082</v>
      </c>
      <c r="F1546" s="388" t="s">
        <v>10078</v>
      </c>
      <c r="G1546" s="388" t="s">
        <v>10088</v>
      </c>
      <c r="H1546" s="388" t="s">
        <v>12909</v>
      </c>
      <c r="I1546" s="387" t="s">
        <v>12910</v>
      </c>
      <c r="J1546" s="389">
        <v>39975</v>
      </c>
      <c r="K1546" s="387" t="s">
        <v>12911</v>
      </c>
      <c r="L1546" s="387"/>
      <c r="M1546" s="387" t="s">
        <v>10084</v>
      </c>
      <c r="N1546" s="387"/>
      <c r="O1546" s="387" t="s">
        <v>57</v>
      </c>
      <c r="P1546" s="390">
        <v>643590000</v>
      </c>
      <c r="Q1546" s="387" t="s">
        <v>12912</v>
      </c>
      <c r="R1546" s="387" t="s">
        <v>838</v>
      </c>
      <c r="S1546" s="340">
        <v>38</v>
      </c>
    </row>
    <row r="1547" spans="1:19" ht="29.5" thickBot="1" x14ac:dyDescent="0.4">
      <c r="A1547" s="357">
        <v>1536</v>
      </c>
      <c r="B1547" s="387" t="s">
        <v>11382</v>
      </c>
      <c r="C1547" s="387" t="s">
        <v>11383</v>
      </c>
      <c r="D1547" s="388" t="s">
        <v>51</v>
      </c>
      <c r="E1547" s="388" t="s">
        <v>10082</v>
      </c>
      <c r="F1547" s="388" t="s">
        <v>10078</v>
      </c>
      <c r="G1547" s="388" t="s">
        <v>10088</v>
      </c>
      <c r="H1547" s="388" t="s">
        <v>12913</v>
      </c>
      <c r="I1547" s="387" t="s">
        <v>12785</v>
      </c>
      <c r="J1547" s="389">
        <v>41113</v>
      </c>
      <c r="K1547" s="387" t="s">
        <v>12914</v>
      </c>
      <c r="L1547" s="387"/>
      <c r="M1547" s="387" t="s">
        <v>10084</v>
      </c>
      <c r="N1547" s="387"/>
      <c r="O1547" s="387" t="s">
        <v>57</v>
      </c>
      <c r="P1547" s="390">
        <v>241363600</v>
      </c>
      <c r="Q1547" s="387" t="s">
        <v>12915</v>
      </c>
      <c r="R1547" s="387" t="s">
        <v>838</v>
      </c>
      <c r="S1547" s="340">
        <v>38</v>
      </c>
    </row>
    <row r="1548" spans="1:19" ht="29" x14ac:dyDescent="0.35">
      <c r="A1548" s="349">
        <v>1537</v>
      </c>
      <c r="B1548" s="387" t="s">
        <v>11073</v>
      </c>
      <c r="C1548" s="387" t="s">
        <v>11074</v>
      </c>
      <c r="D1548" s="388" t="s">
        <v>51</v>
      </c>
      <c r="E1548" s="388" t="s">
        <v>10082</v>
      </c>
      <c r="F1548" s="388" t="s">
        <v>10078</v>
      </c>
      <c r="G1548" s="388" t="s">
        <v>10088</v>
      </c>
      <c r="H1548" s="388" t="s">
        <v>12900</v>
      </c>
      <c r="I1548" s="387" t="s">
        <v>12916</v>
      </c>
      <c r="J1548" s="389">
        <v>42317</v>
      </c>
      <c r="K1548" s="387" t="s">
        <v>12917</v>
      </c>
      <c r="L1548" s="387"/>
      <c r="M1548" s="387" t="s">
        <v>10084</v>
      </c>
      <c r="N1548" s="387"/>
      <c r="O1548" s="387" t="s">
        <v>57</v>
      </c>
      <c r="P1548" s="390">
        <v>154450000</v>
      </c>
      <c r="Q1548" s="387" t="s">
        <v>12918</v>
      </c>
      <c r="R1548" s="387" t="s">
        <v>838</v>
      </c>
      <c r="S1548" s="340">
        <v>38</v>
      </c>
    </row>
    <row r="1549" spans="1:19" ht="29.5" thickBot="1" x14ac:dyDescent="0.4">
      <c r="A1549" s="357">
        <v>1538</v>
      </c>
      <c r="B1549" s="387" t="s">
        <v>10511</v>
      </c>
      <c r="C1549" s="387" t="s">
        <v>10512</v>
      </c>
      <c r="D1549" s="388" t="s">
        <v>51</v>
      </c>
      <c r="E1549" s="388" t="s">
        <v>10082</v>
      </c>
      <c r="F1549" s="388" t="s">
        <v>10078</v>
      </c>
      <c r="G1549" s="388" t="s">
        <v>10088</v>
      </c>
      <c r="H1549" s="388" t="s">
        <v>11349</v>
      </c>
      <c r="I1549" s="387" t="s">
        <v>12919</v>
      </c>
      <c r="J1549" s="389">
        <v>43164</v>
      </c>
      <c r="K1549" s="387" t="s">
        <v>12920</v>
      </c>
      <c r="L1549" s="387"/>
      <c r="M1549" s="387" t="s">
        <v>10084</v>
      </c>
      <c r="N1549" s="387"/>
      <c r="O1549" s="387" t="s">
        <v>57</v>
      </c>
      <c r="P1549" s="390">
        <v>9750000</v>
      </c>
      <c r="Q1549" s="387" t="s">
        <v>12921</v>
      </c>
      <c r="R1549" s="387" t="s">
        <v>838</v>
      </c>
      <c r="S1549" s="340">
        <v>38</v>
      </c>
    </row>
    <row r="1550" spans="1:19" ht="29" x14ac:dyDescent="0.35">
      <c r="A1550" s="349">
        <v>1539</v>
      </c>
      <c r="B1550" s="387" t="s">
        <v>10096</v>
      </c>
      <c r="C1550" s="387" t="s">
        <v>10097</v>
      </c>
      <c r="D1550" s="388" t="s">
        <v>51</v>
      </c>
      <c r="E1550" s="388" t="s">
        <v>10082</v>
      </c>
      <c r="F1550" s="388" t="s">
        <v>10078</v>
      </c>
      <c r="G1550" s="388" t="s">
        <v>10088</v>
      </c>
      <c r="H1550" s="388" t="s">
        <v>2972</v>
      </c>
      <c r="I1550" s="387" t="s">
        <v>12922</v>
      </c>
      <c r="J1550" s="389">
        <v>43014</v>
      </c>
      <c r="K1550" s="387" t="s">
        <v>12923</v>
      </c>
      <c r="L1550" s="387"/>
      <c r="M1550" s="387" t="s">
        <v>10084</v>
      </c>
      <c r="N1550" s="387"/>
      <c r="O1550" s="387" t="s">
        <v>57</v>
      </c>
      <c r="P1550" s="390">
        <v>398811000</v>
      </c>
      <c r="Q1550" s="387" t="s">
        <v>12903</v>
      </c>
      <c r="R1550" s="387" t="s">
        <v>838</v>
      </c>
      <c r="S1550" s="340">
        <v>38</v>
      </c>
    </row>
    <row r="1551" spans="1:19" ht="29.5" thickBot="1" x14ac:dyDescent="0.4">
      <c r="A1551" s="357">
        <v>1540</v>
      </c>
      <c r="B1551" s="387" t="s">
        <v>10155</v>
      </c>
      <c r="C1551" s="387" t="s">
        <v>10156</v>
      </c>
      <c r="D1551" s="388" t="s">
        <v>51</v>
      </c>
      <c r="E1551" s="388" t="s">
        <v>10082</v>
      </c>
      <c r="F1551" s="388" t="s">
        <v>10078</v>
      </c>
      <c r="G1551" s="388" t="s">
        <v>10088</v>
      </c>
      <c r="H1551" s="388" t="s">
        <v>12924</v>
      </c>
      <c r="I1551" s="387" t="s">
        <v>12831</v>
      </c>
      <c r="J1551" s="389"/>
      <c r="K1551" s="387"/>
      <c r="L1551" s="387"/>
      <c r="M1551" s="387" t="s">
        <v>10084</v>
      </c>
      <c r="N1551" s="387"/>
      <c r="O1551" s="387" t="s">
        <v>57</v>
      </c>
      <c r="P1551" s="390">
        <v>633594000</v>
      </c>
      <c r="Q1551" s="387" t="s">
        <v>9720</v>
      </c>
      <c r="R1551" s="387" t="s">
        <v>817</v>
      </c>
      <c r="S1551" s="340">
        <v>37</v>
      </c>
    </row>
    <row r="1552" spans="1:19" ht="29" x14ac:dyDescent="0.35">
      <c r="A1552" s="349">
        <v>1541</v>
      </c>
      <c r="B1552" s="387" t="s">
        <v>10155</v>
      </c>
      <c r="C1552" s="387" t="s">
        <v>10156</v>
      </c>
      <c r="D1552" s="388" t="s">
        <v>59</v>
      </c>
      <c r="E1552" s="388" t="s">
        <v>10082</v>
      </c>
      <c r="F1552" s="388" t="s">
        <v>10078</v>
      </c>
      <c r="G1552" s="388" t="s">
        <v>10078</v>
      </c>
      <c r="H1552" s="388" t="s">
        <v>12925</v>
      </c>
      <c r="I1552" s="387" t="s">
        <v>12926</v>
      </c>
      <c r="J1552" s="389">
        <v>43305</v>
      </c>
      <c r="K1552" s="387" t="s">
        <v>12927</v>
      </c>
      <c r="L1552" s="387"/>
      <c r="M1552" s="387" t="s">
        <v>10084</v>
      </c>
      <c r="N1552" s="387"/>
      <c r="O1552" s="387" t="s">
        <v>57</v>
      </c>
      <c r="P1552" s="390">
        <v>102149800</v>
      </c>
      <c r="Q1552" s="387" t="s">
        <v>12928</v>
      </c>
      <c r="R1552" s="387" t="s">
        <v>817</v>
      </c>
      <c r="S1552" s="340">
        <v>37</v>
      </c>
    </row>
    <row r="1553" spans="1:19" ht="29.5" thickBot="1" x14ac:dyDescent="0.4">
      <c r="A1553" s="357">
        <v>1542</v>
      </c>
      <c r="B1553" s="387" t="s">
        <v>11053</v>
      </c>
      <c r="C1553" s="387" t="s">
        <v>11054</v>
      </c>
      <c r="D1553" s="388" t="s">
        <v>51</v>
      </c>
      <c r="E1553" s="388" t="s">
        <v>10082</v>
      </c>
      <c r="F1553" s="388" t="s">
        <v>10078</v>
      </c>
      <c r="G1553" s="388" t="s">
        <v>10088</v>
      </c>
      <c r="H1553" s="388" t="s">
        <v>12909</v>
      </c>
      <c r="I1553" s="387" t="s">
        <v>12831</v>
      </c>
      <c r="J1553" s="389">
        <v>41226</v>
      </c>
      <c r="K1553" s="387" t="s">
        <v>12929</v>
      </c>
      <c r="L1553" s="387"/>
      <c r="M1553" s="387" t="s">
        <v>10084</v>
      </c>
      <c r="N1553" s="387"/>
      <c r="O1553" s="387" t="s">
        <v>57</v>
      </c>
      <c r="P1553" s="390">
        <v>258500000</v>
      </c>
      <c r="Q1553" s="387" t="s">
        <v>12930</v>
      </c>
      <c r="R1553" s="387" t="s">
        <v>817</v>
      </c>
      <c r="S1553" s="340">
        <v>37</v>
      </c>
    </row>
    <row r="1554" spans="1:19" ht="29" x14ac:dyDescent="0.35">
      <c r="A1554" s="349">
        <v>1543</v>
      </c>
      <c r="B1554" s="387" t="s">
        <v>10117</v>
      </c>
      <c r="C1554" s="387" t="s">
        <v>10118</v>
      </c>
      <c r="D1554" s="388" t="s">
        <v>51</v>
      </c>
      <c r="E1554" s="388" t="s">
        <v>10082</v>
      </c>
      <c r="F1554" s="388" t="s">
        <v>10078</v>
      </c>
      <c r="G1554" s="388" t="s">
        <v>10088</v>
      </c>
      <c r="H1554" s="388" t="s">
        <v>12909</v>
      </c>
      <c r="I1554" s="387" t="s">
        <v>12931</v>
      </c>
      <c r="J1554" s="389">
        <v>39975</v>
      </c>
      <c r="K1554" s="387" t="s">
        <v>12932</v>
      </c>
      <c r="L1554" s="387"/>
      <c r="M1554" s="387" t="s">
        <v>10084</v>
      </c>
      <c r="N1554" s="387"/>
      <c r="O1554" s="387" t="s">
        <v>57</v>
      </c>
      <c r="P1554" s="390">
        <v>248000000</v>
      </c>
      <c r="Q1554" s="387" t="s">
        <v>12933</v>
      </c>
      <c r="R1554" s="387" t="s">
        <v>817</v>
      </c>
      <c r="S1554" s="340">
        <v>37</v>
      </c>
    </row>
    <row r="1555" spans="1:19" ht="29.5" thickBot="1" x14ac:dyDescent="0.4">
      <c r="A1555" s="357">
        <v>1544</v>
      </c>
      <c r="B1555" s="387" t="s">
        <v>10511</v>
      </c>
      <c r="C1555" s="387" t="s">
        <v>10512</v>
      </c>
      <c r="D1555" s="388" t="s">
        <v>51</v>
      </c>
      <c r="E1555" s="388" t="s">
        <v>10082</v>
      </c>
      <c r="F1555" s="388" t="s">
        <v>10078</v>
      </c>
      <c r="G1555" s="388" t="s">
        <v>10088</v>
      </c>
      <c r="H1555" s="388" t="s">
        <v>11613</v>
      </c>
      <c r="I1555" s="387" t="s">
        <v>12934</v>
      </c>
      <c r="J1555" s="389">
        <v>43164</v>
      </c>
      <c r="K1555" s="387" t="s">
        <v>12935</v>
      </c>
      <c r="L1555" s="387"/>
      <c r="M1555" s="387" t="s">
        <v>10084</v>
      </c>
      <c r="N1555" s="387"/>
      <c r="O1555" s="387" t="s">
        <v>57</v>
      </c>
      <c r="P1555" s="390">
        <v>11350000</v>
      </c>
      <c r="Q1555" s="387"/>
      <c r="R1555" s="387" t="s">
        <v>817</v>
      </c>
      <c r="S1555" s="340">
        <v>37</v>
      </c>
    </row>
    <row r="1556" spans="1:19" ht="29" x14ac:dyDescent="0.35">
      <c r="A1556" s="349">
        <v>1545</v>
      </c>
      <c r="B1556" s="387" t="s">
        <v>10155</v>
      </c>
      <c r="C1556" s="387" t="s">
        <v>10156</v>
      </c>
      <c r="D1556" s="388" t="s">
        <v>51</v>
      </c>
      <c r="E1556" s="388" t="s">
        <v>10082</v>
      </c>
      <c r="F1556" s="388" t="s">
        <v>10078</v>
      </c>
      <c r="G1556" s="388" t="s">
        <v>10088</v>
      </c>
      <c r="H1556" s="388" t="s">
        <v>12936</v>
      </c>
      <c r="I1556" s="387" t="s">
        <v>12937</v>
      </c>
      <c r="J1556" s="389"/>
      <c r="K1556" s="387"/>
      <c r="L1556" s="387"/>
      <c r="M1556" s="387" t="s">
        <v>10084</v>
      </c>
      <c r="N1556" s="387"/>
      <c r="O1556" s="387" t="s">
        <v>57</v>
      </c>
      <c r="P1556" s="390">
        <v>1406775000</v>
      </c>
      <c r="Q1556" s="387" t="s">
        <v>12938</v>
      </c>
      <c r="R1556" s="387" t="s">
        <v>797</v>
      </c>
      <c r="S1556" s="340">
        <v>36</v>
      </c>
    </row>
    <row r="1557" spans="1:19" ht="29.5" thickBot="1" x14ac:dyDescent="0.4">
      <c r="A1557" s="357">
        <v>1546</v>
      </c>
      <c r="B1557" s="387" t="s">
        <v>10559</v>
      </c>
      <c r="C1557" s="387" t="s">
        <v>10560</v>
      </c>
      <c r="D1557" s="388" t="s">
        <v>51</v>
      </c>
      <c r="E1557" s="388" t="s">
        <v>10082</v>
      </c>
      <c r="F1557" s="388" t="s">
        <v>10078</v>
      </c>
      <c r="G1557" s="388" t="s">
        <v>10088</v>
      </c>
      <c r="H1557" s="388" t="s">
        <v>12939</v>
      </c>
      <c r="I1557" s="387" t="s">
        <v>12940</v>
      </c>
      <c r="J1557" s="389">
        <v>42317</v>
      </c>
      <c r="K1557" s="387" t="s">
        <v>12941</v>
      </c>
      <c r="L1557" s="387"/>
      <c r="M1557" s="387" t="s">
        <v>10084</v>
      </c>
      <c r="N1557" s="387"/>
      <c r="O1557" s="387" t="s">
        <v>57</v>
      </c>
      <c r="P1557" s="390">
        <v>14650000</v>
      </c>
      <c r="Q1557" s="387" t="s">
        <v>12942</v>
      </c>
      <c r="R1557" s="387" t="s">
        <v>797</v>
      </c>
      <c r="S1557" s="340">
        <v>36</v>
      </c>
    </row>
    <row r="1558" spans="1:19" ht="29" x14ac:dyDescent="0.35">
      <c r="A1558" s="349">
        <v>1547</v>
      </c>
      <c r="B1558" s="387" t="s">
        <v>10695</v>
      </c>
      <c r="C1558" s="387" t="s">
        <v>10696</v>
      </c>
      <c r="D1558" s="388" t="s">
        <v>51</v>
      </c>
      <c r="E1558" s="388" t="s">
        <v>10082</v>
      </c>
      <c r="F1558" s="388" t="s">
        <v>10078</v>
      </c>
      <c r="G1558" s="388" t="s">
        <v>10088</v>
      </c>
      <c r="H1558" s="388" t="s">
        <v>231</v>
      </c>
      <c r="I1558" s="387" t="s">
        <v>12782</v>
      </c>
      <c r="J1558" s="389">
        <v>39988</v>
      </c>
      <c r="K1558" s="387" t="s">
        <v>12943</v>
      </c>
      <c r="L1558" s="387"/>
      <c r="M1558" s="387" t="s">
        <v>10084</v>
      </c>
      <c r="N1558" s="387"/>
      <c r="O1558" s="387" t="s">
        <v>57</v>
      </c>
      <c r="P1558" s="390">
        <v>747780000</v>
      </c>
      <c r="Q1558" s="387" t="s">
        <v>12944</v>
      </c>
      <c r="R1558" s="387" t="s">
        <v>797</v>
      </c>
      <c r="S1558" s="340">
        <v>36</v>
      </c>
    </row>
    <row r="1559" spans="1:19" ht="29.5" thickBot="1" x14ac:dyDescent="0.4">
      <c r="A1559" s="357">
        <v>1548</v>
      </c>
      <c r="B1559" s="387" t="s">
        <v>10155</v>
      </c>
      <c r="C1559" s="387" t="s">
        <v>10156</v>
      </c>
      <c r="D1559" s="388" t="s">
        <v>51</v>
      </c>
      <c r="E1559" s="388" t="s">
        <v>10082</v>
      </c>
      <c r="F1559" s="388" t="s">
        <v>10078</v>
      </c>
      <c r="G1559" s="388" t="s">
        <v>10078</v>
      </c>
      <c r="H1559" s="388" t="s">
        <v>12116</v>
      </c>
      <c r="I1559" s="387" t="s">
        <v>12945</v>
      </c>
      <c r="J1559" s="389"/>
      <c r="K1559" s="387"/>
      <c r="L1559" s="387"/>
      <c r="M1559" s="387" t="s">
        <v>10084</v>
      </c>
      <c r="N1559" s="387"/>
      <c r="O1559" s="387" t="s">
        <v>57</v>
      </c>
      <c r="P1559" s="390">
        <v>480076000</v>
      </c>
      <c r="Q1559" s="387"/>
      <c r="R1559" s="387" t="s">
        <v>775</v>
      </c>
      <c r="S1559" s="340">
        <v>35</v>
      </c>
    </row>
    <row r="1560" spans="1:19" ht="29" x14ac:dyDescent="0.35">
      <c r="A1560" s="349">
        <v>1549</v>
      </c>
      <c r="B1560" s="387" t="s">
        <v>10155</v>
      </c>
      <c r="C1560" s="387" t="s">
        <v>10156</v>
      </c>
      <c r="D1560" s="388" t="s">
        <v>59</v>
      </c>
      <c r="E1560" s="388" t="s">
        <v>10082</v>
      </c>
      <c r="F1560" s="388" t="s">
        <v>10078</v>
      </c>
      <c r="G1560" s="388" t="s">
        <v>10088</v>
      </c>
      <c r="H1560" s="388" t="s">
        <v>11409</v>
      </c>
      <c r="I1560" s="387" t="s">
        <v>10471</v>
      </c>
      <c r="J1560" s="389">
        <v>39890</v>
      </c>
      <c r="K1560" s="387" t="s">
        <v>12946</v>
      </c>
      <c r="L1560" s="387"/>
      <c r="M1560" s="387" t="s">
        <v>10084</v>
      </c>
      <c r="N1560" s="387"/>
      <c r="O1560" s="387" t="s">
        <v>57</v>
      </c>
      <c r="P1560" s="390">
        <v>197170000</v>
      </c>
      <c r="Q1560" s="387" t="s">
        <v>12947</v>
      </c>
      <c r="R1560" s="387" t="s">
        <v>775</v>
      </c>
      <c r="S1560" s="340">
        <v>35</v>
      </c>
    </row>
    <row r="1561" spans="1:19" ht="29.5" thickBot="1" x14ac:dyDescent="0.4">
      <c r="A1561" s="357">
        <v>1550</v>
      </c>
      <c r="B1561" s="387" t="s">
        <v>10301</v>
      </c>
      <c r="C1561" s="387" t="s">
        <v>10302</v>
      </c>
      <c r="D1561" s="388" t="s">
        <v>51</v>
      </c>
      <c r="E1561" s="388" t="s">
        <v>10082</v>
      </c>
      <c r="F1561" s="388" t="s">
        <v>10078</v>
      </c>
      <c r="G1561" s="388" t="s">
        <v>10078</v>
      </c>
      <c r="H1561" s="388" t="s">
        <v>11409</v>
      </c>
      <c r="I1561" s="387" t="s">
        <v>12948</v>
      </c>
      <c r="J1561" s="389">
        <v>43675</v>
      </c>
      <c r="K1561" s="387" t="s">
        <v>12949</v>
      </c>
      <c r="L1561" s="387"/>
      <c r="M1561" s="387" t="s">
        <v>10084</v>
      </c>
      <c r="N1561" s="387"/>
      <c r="O1561" s="387" t="s">
        <v>57</v>
      </c>
      <c r="P1561" s="390">
        <v>149666000</v>
      </c>
      <c r="Q1561" s="387" t="s">
        <v>12950</v>
      </c>
      <c r="R1561" s="387" t="s">
        <v>775</v>
      </c>
      <c r="S1561" s="340">
        <v>35</v>
      </c>
    </row>
    <row r="1562" spans="1:19" ht="29" x14ac:dyDescent="0.35">
      <c r="A1562" s="349">
        <v>1551</v>
      </c>
      <c r="B1562" s="387" t="s">
        <v>10481</v>
      </c>
      <c r="C1562" s="387" t="s">
        <v>10482</v>
      </c>
      <c r="D1562" s="388" t="s">
        <v>51</v>
      </c>
      <c r="E1562" s="388" t="s">
        <v>10082</v>
      </c>
      <c r="F1562" s="388" t="s">
        <v>10078</v>
      </c>
      <c r="G1562" s="388" t="s">
        <v>10088</v>
      </c>
      <c r="H1562" s="388" t="s">
        <v>12951</v>
      </c>
      <c r="I1562" s="387" t="s">
        <v>12952</v>
      </c>
      <c r="J1562" s="389"/>
      <c r="K1562" s="387"/>
      <c r="L1562" s="387"/>
      <c r="M1562" s="387" t="s">
        <v>10084</v>
      </c>
      <c r="N1562" s="387"/>
      <c r="O1562" s="387" t="s">
        <v>57</v>
      </c>
      <c r="P1562" s="390">
        <v>411263000</v>
      </c>
      <c r="Q1562" s="387" t="s">
        <v>12953</v>
      </c>
      <c r="R1562" s="387" t="s">
        <v>775</v>
      </c>
      <c r="S1562" s="340">
        <v>35</v>
      </c>
    </row>
    <row r="1563" spans="1:19" ht="29.5" thickBot="1" x14ac:dyDescent="0.4">
      <c r="A1563" s="357">
        <v>1552</v>
      </c>
      <c r="B1563" s="387" t="s">
        <v>10481</v>
      </c>
      <c r="C1563" s="387" t="s">
        <v>10482</v>
      </c>
      <c r="D1563" s="388" t="s">
        <v>59</v>
      </c>
      <c r="E1563" s="388" t="s">
        <v>10082</v>
      </c>
      <c r="F1563" s="388" t="s">
        <v>10078</v>
      </c>
      <c r="G1563" s="388" t="s">
        <v>10078</v>
      </c>
      <c r="H1563" s="388" t="s">
        <v>12954</v>
      </c>
      <c r="I1563" s="387" t="s">
        <v>12955</v>
      </c>
      <c r="J1563" s="389"/>
      <c r="K1563" s="387"/>
      <c r="L1563" s="387"/>
      <c r="M1563" s="387" t="s">
        <v>10084</v>
      </c>
      <c r="N1563" s="387"/>
      <c r="O1563" s="387" t="s">
        <v>57</v>
      </c>
      <c r="P1563" s="390">
        <v>835573000</v>
      </c>
      <c r="Q1563" s="387"/>
      <c r="R1563" s="387" t="s">
        <v>775</v>
      </c>
      <c r="S1563" s="340">
        <v>35</v>
      </c>
    </row>
    <row r="1564" spans="1:19" ht="29" x14ac:dyDescent="0.35">
      <c r="A1564" s="349">
        <v>1553</v>
      </c>
      <c r="B1564" s="387" t="s">
        <v>10824</v>
      </c>
      <c r="C1564" s="387" t="s">
        <v>10825</v>
      </c>
      <c r="D1564" s="388" t="s">
        <v>51</v>
      </c>
      <c r="E1564" s="388" t="s">
        <v>10082</v>
      </c>
      <c r="F1564" s="388" t="s">
        <v>10078</v>
      </c>
      <c r="G1564" s="388" t="s">
        <v>10078</v>
      </c>
      <c r="H1564" s="388" t="s">
        <v>2972</v>
      </c>
      <c r="I1564" s="387" t="s">
        <v>12799</v>
      </c>
      <c r="J1564" s="389">
        <v>43097</v>
      </c>
      <c r="K1564" s="387" t="s">
        <v>12956</v>
      </c>
      <c r="L1564" s="387"/>
      <c r="M1564" s="387" t="s">
        <v>10084</v>
      </c>
      <c r="N1564" s="387"/>
      <c r="O1564" s="387" t="s">
        <v>57</v>
      </c>
      <c r="P1564" s="390">
        <v>1249585550</v>
      </c>
      <c r="Q1564" s="387" t="s">
        <v>12950</v>
      </c>
      <c r="R1564" s="387" t="s">
        <v>775</v>
      </c>
      <c r="S1564" s="340">
        <v>35</v>
      </c>
    </row>
    <row r="1565" spans="1:19" ht="29.5" thickBot="1" x14ac:dyDescent="0.4">
      <c r="A1565" s="357">
        <v>1554</v>
      </c>
      <c r="B1565" s="387" t="s">
        <v>10486</v>
      </c>
      <c r="C1565" s="387" t="s">
        <v>10487</v>
      </c>
      <c r="D1565" s="388" t="s">
        <v>51</v>
      </c>
      <c r="E1565" s="388" t="s">
        <v>10082</v>
      </c>
      <c r="F1565" s="388" t="s">
        <v>10078</v>
      </c>
      <c r="G1565" s="388" t="s">
        <v>10078</v>
      </c>
      <c r="H1565" s="388" t="s">
        <v>11870</v>
      </c>
      <c r="I1565" s="387" t="s">
        <v>12957</v>
      </c>
      <c r="J1565" s="389"/>
      <c r="K1565" s="387"/>
      <c r="L1565" s="387"/>
      <c r="M1565" s="387" t="s">
        <v>10084</v>
      </c>
      <c r="N1565" s="387"/>
      <c r="O1565" s="387" t="s">
        <v>57</v>
      </c>
      <c r="P1565" s="390">
        <v>6900000</v>
      </c>
      <c r="Q1565" s="387"/>
      <c r="R1565" s="387" t="s">
        <v>775</v>
      </c>
      <c r="S1565" s="340">
        <v>35</v>
      </c>
    </row>
    <row r="1566" spans="1:19" ht="29" x14ac:dyDescent="0.35">
      <c r="A1566" s="349">
        <v>1555</v>
      </c>
      <c r="B1566" s="387" t="s">
        <v>12958</v>
      </c>
      <c r="C1566" s="387" t="s">
        <v>12959</v>
      </c>
      <c r="D1566" s="388" t="s">
        <v>51</v>
      </c>
      <c r="E1566" s="388" t="s">
        <v>10082</v>
      </c>
      <c r="F1566" s="388" t="s">
        <v>10078</v>
      </c>
      <c r="G1566" s="388" t="s">
        <v>10088</v>
      </c>
      <c r="H1566" s="388" t="s">
        <v>12960</v>
      </c>
      <c r="I1566" s="387" t="s">
        <v>12945</v>
      </c>
      <c r="J1566" s="389"/>
      <c r="K1566" s="387"/>
      <c r="L1566" s="387"/>
      <c r="M1566" s="387" t="s">
        <v>10084</v>
      </c>
      <c r="N1566" s="387"/>
      <c r="O1566" s="387" t="s">
        <v>57</v>
      </c>
      <c r="P1566" s="390">
        <v>280047000</v>
      </c>
      <c r="Q1566" s="387"/>
      <c r="R1566" s="387" t="s">
        <v>775</v>
      </c>
      <c r="S1566" s="340">
        <v>35</v>
      </c>
    </row>
    <row r="1567" spans="1:19" ht="29.5" thickBot="1" x14ac:dyDescent="0.4">
      <c r="A1567" s="357">
        <v>1556</v>
      </c>
      <c r="B1567" s="387" t="s">
        <v>11073</v>
      </c>
      <c r="C1567" s="387" t="s">
        <v>11074</v>
      </c>
      <c r="D1567" s="388" t="s">
        <v>51</v>
      </c>
      <c r="E1567" s="388" t="s">
        <v>10082</v>
      </c>
      <c r="F1567" s="388" t="s">
        <v>10078</v>
      </c>
      <c r="G1567" s="388" t="s">
        <v>10078</v>
      </c>
      <c r="H1567" s="388" t="s">
        <v>11465</v>
      </c>
      <c r="I1567" s="387" t="s">
        <v>12961</v>
      </c>
      <c r="J1567" s="389">
        <v>43782</v>
      </c>
      <c r="K1567" s="387" t="s">
        <v>12962</v>
      </c>
      <c r="L1567" s="387"/>
      <c r="M1567" s="387" t="s">
        <v>10084</v>
      </c>
      <c r="N1567" s="387"/>
      <c r="O1567" s="387" t="s">
        <v>57</v>
      </c>
      <c r="P1567" s="390">
        <v>149550000</v>
      </c>
      <c r="Q1567" s="387" t="s">
        <v>12950</v>
      </c>
      <c r="R1567" s="387" t="s">
        <v>775</v>
      </c>
      <c r="S1567" s="340">
        <v>35</v>
      </c>
    </row>
    <row r="1568" spans="1:19" ht="29" x14ac:dyDescent="0.35">
      <c r="A1568" s="349">
        <v>1557</v>
      </c>
      <c r="B1568" s="387" t="s">
        <v>11073</v>
      </c>
      <c r="C1568" s="387" t="s">
        <v>11074</v>
      </c>
      <c r="D1568" s="388" t="s">
        <v>59</v>
      </c>
      <c r="E1568" s="388" t="s">
        <v>10082</v>
      </c>
      <c r="F1568" s="388" t="s">
        <v>10078</v>
      </c>
      <c r="G1568" s="388" t="s">
        <v>10078</v>
      </c>
      <c r="H1568" s="388" t="s">
        <v>2972</v>
      </c>
      <c r="I1568" s="387" t="s">
        <v>12963</v>
      </c>
      <c r="J1568" s="389">
        <v>43782</v>
      </c>
      <c r="K1568" s="387" t="s">
        <v>12964</v>
      </c>
      <c r="L1568" s="387"/>
      <c r="M1568" s="387" t="s">
        <v>10084</v>
      </c>
      <c r="N1568" s="387"/>
      <c r="O1568" s="387" t="s">
        <v>57</v>
      </c>
      <c r="P1568" s="390">
        <v>99700000</v>
      </c>
      <c r="Q1568" s="387" t="s">
        <v>12950</v>
      </c>
      <c r="R1568" s="387" t="s">
        <v>775</v>
      </c>
      <c r="S1568" s="340">
        <v>35</v>
      </c>
    </row>
    <row r="1569" spans="1:19" ht="29.5" thickBot="1" x14ac:dyDescent="0.4">
      <c r="A1569" s="357">
        <v>1558</v>
      </c>
      <c r="B1569" s="387" t="s">
        <v>11073</v>
      </c>
      <c r="C1569" s="387" t="s">
        <v>11074</v>
      </c>
      <c r="D1569" s="388" t="s">
        <v>97</v>
      </c>
      <c r="E1569" s="388" t="s">
        <v>10082</v>
      </c>
      <c r="F1569" s="388" t="s">
        <v>10078</v>
      </c>
      <c r="G1569" s="388" t="s">
        <v>10088</v>
      </c>
      <c r="H1569" s="388" t="s">
        <v>11882</v>
      </c>
      <c r="I1569" s="387" t="s">
        <v>12965</v>
      </c>
      <c r="J1569" s="389">
        <v>40497</v>
      </c>
      <c r="K1569" s="387" t="s">
        <v>12966</v>
      </c>
      <c r="L1569" s="387"/>
      <c r="M1569" s="387" t="s">
        <v>10084</v>
      </c>
      <c r="N1569" s="387"/>
      <c r="O1569" s="387" t="s">
        <v>57</v>
      </c>
      <c r="P1569" s="390">
        <v>1043920000</v>
      </c>
      <c r="Q1569" s="387" t="s">
        <v>12967</v>
      </c>
      <c r="R1569" s="387" t="s">
        <v>775</v>
      </c>
      <c r="S1569" s="340">
        <v>35</v>
      </c>
    </row>
    <row r="1570" spans="1:19" ht="29" x14ac:dyDescent="0.35">
      <c r="A1570" s="349">
        <v>1559</v>
      </c>
      <c r="B1570" s="387" t="s">
        <v>10096</v>
      </c>
      <c r="C1570" s="387" t="s">
        <v>10097</v>
      </c>
      <c r="D1570" s="388" t="s">
        <v>51</v>
      </c>
      <c r="E1570" s="388" t="s">
        <v>10082</v>
      </c>
      <c r="F1570" s="388" t="s">
        <v>10078</v>
      </c>
      <c r="G1570" s="388" t="s">
        <v>10088</v>
      </c>
      <c r="H1570" s="388" t="s">
        <v>12968</v>
      </c>
      <c r="I1570" s="387" t="s">
        <v>12969</v>
      </c>
      <c r="J1570" s="389">
        <v>43014</v>
      </c>
      <c r="K1570" s="387" t="s">
        <v>12970</v>
      </c>
      <c r="L1570" s="387"/>
      <c r="M1570" s="387" t="s">
        <v>10084</v>
      </c>
      <c r="N1570" s="387"/>
      <c r="O1570" s="387" t="s">
        <v>57</v>
      </c>
      <c r="P1570" s="390">
        <v>99179000</v>
      </c>
      <c r="Q1570" s="387" t="s">
        <v>12950</v>
      </c>
      <c r="R1570" s="387" t="s">
        <v>775</v>
      </c>
      <c r="S1570" s="340">
        <v>35</v>
      </c>
    </row>
    <row r="1571" spans="1:19" ht="29.5" thickBot="1" x14ac:dyDescent="0.4">
      <c r="A1571" s="357">
        <v>1560</v>
      </c>
      <c r="B1571" s="387" t="s">
        <v>10155</v>
      </c>
      <c r="C1571" s="387" t="s">
        <v>10156</v>
      </c>
      <c r="D1571" s="388" t="s">
        <v>51</v>
      </c>
      <c r="E1571" s="388" t="s">
        <v>10082</v>
      </c>
      <c r="F1571" s="388" t="s">
        <v>10078</v>
      </c>
      <c r="G1571" s="388" t="s">
        <v>10088</v>
      </c>
      <c r="H1571" s="388" t="s">
        <v>231</v>
      </c>
      <c r="I1571" s="387" t="s">
        <v>8561</v>
      </c>
      <c r="J1571" s="389">
        <v>42173</v>
      </c>
      <c r="K1571" s="387" t="s">
        <v>12971</v>
      </c>
      <c r="L1571" s="387"/>
      <c r="M1571" s="387" t="s">
        <v>10084</v>
      </c>
      <c r="N1571" s="387"/>
      <c r="O1571" s="387" t="s">
        <v>57</v>
      </c>
      <c r="P1571" s="390">
        <v>648762000</v>
      </c>
      <c r="Q1571" s="387" t="s">
        <v>12972</v>
      </c>
      <c r="R1571" s="387" t="s">
        <v>8058</v>
      </c>
      <c r="S1571" s="340">
        <v>1</v>
      </c>
    </row>
    <row r="1572" spans="1:19" ht="29" x14ac:dyDescent="0.35">
      <c r="A1572" s="349">
        <v>1561</v>
      </c>
      <c r="B1572" s="387" t="s">
        <v>10765</v>
      </c>
      <c r="C1572" s="387" t="s">
        <v>10766</v>
      </c>
      <c r="D1572" s="388" t="s">
        <v>51</v>
      </c>
      <c r="E1572" s="388" t="s">
        <v>10082</v>
      </c>
      <c r="F1572" s="388" t="s">
        <v>10078</v>
      </c>
      <c r="G1572" s="388" t="s">
        <v>10088</v>
      </c>
      <c r="H1572" s="388" t="s">
        <v>12973</v>
      </c>
      <c r="I1572" s="387" t="s">
        <v>8561</v>
      </c>
      <c r="J1572" s="389">
        <v>43328</v>
      </c>
      <c r="K1572" s="387" t="s">
        <v>12974</v>
      </c>
      <c r="L1572" s="387"/>
      <c r="M1572" s="387" t="s">
        <v>10084</v>
      </c>
      <c r="N1572" s="387"/>
      <c r="O1572" s="387" t="s">
        <v>57</v>
      </c>
      <c r="P1572" s="390">
        <v>221172000</v>
      </c>
      <c r="Q1572" s="387" t="s">
        <v>12975</v>
      </c>
      <c r="R1572" s="387" t="s">
        <v>8058</v>
      </c>
      <c r="S1572" s="340">
        <v>1</v>
      </c>
    </row>
    <row r="1573" spans="1:19" ht="29.5" thickBot="1" x14ac:dyDescent="0.4">
      <c r="A1573" s="357">
        <v>1562</v>
      </c>
      <c r="B1573" s="387" t="s">
        <v>10080</v>
      </c>
      <c r="C1573" s="387" t="s">
        <v>10081</v>
      </c>
      <c r="D1573" s="388" t="s">
        <v>51</v>
      </c>
      <c r="E1573" s="388" t="s">
        <v>10082</v>
      </c>
      <c r="F1573" s="388" t="s">
        <v>10078</v>
      </c>
      <c r="G1573" s="388" t="s">
        <v>10078</v>
      </c>
      <c r="H1573" s="388" t="s">
        <v>12157</v>
      </c>
      <c r="I1573" s="387" t="s">
        <v>9083</v>
      </c>
      <c r="J1573" s="389"/>
      <c r="K1573" s="387"/>
      <c r="L1573" s="387"/>
      <c r="M1573" s="387" t="s">
        <v>10084</v>
      </c>
      <c r="N1573" s="387"/>
      <c r="O1573" s="387" t="s">
        <v>422</v>
      </c>
      <c r="P1573" s="390">
        <v>208000000</v>
      </c>
      <c r="Q1573" s="387" t="s">
        <v>8603</v>
      </c>
      <c r="R1573" s="387" t="s">
        <v>8060</v>
      </c>
      <c r="S1573" s="340">
        <v>1</v>
      </c>
    </row>
    <row r="1574" spans="1:19" ht="29" x14ac:dyDescent="0.35">
      <c r="A1574" s="349">
        <v>1563</v>
      </c>
      <c r="B1574" s="387" t="s">
        <v>10080</v>
      </c>
      <c r="C1574" s="387" t="s">
        <v>10081</v>
      </c>
      <c r="D1574" s="388" t="s">
        <v>59</v>
      </c>
      <c r="E1574" s="388" t="s">
        <v>10082</v>
      </c>
      <c r="F1574" s="388" t="s">
        <v>10078</v>
      </c>
      <c r="G1574" s="388" t="s">
        <v>10078</v>
      </c>
      <c r="H1574" s="388" t="s">
        <v>12976</v>
      </c>
      <c r="I1574" s="387" t="s">
        <v>9083</v>
      </c>
      <c r="J1574" s="389"/>
      <c r="K1574" s="387"/>
      <c r="L1574" s="387"/>
      <c r="M1574" s="387" t="s">
        <v>10084</v>
      </c>
      <c r="N1574" s="387"/>
      <c r="O1574" s="387" t="s">
        <v>57</v>
      </c>
      <c r="P1574" s="390">
        <v>264298000</v>
      </c>
      <c r="Q1574" s="387"/>
      <c r="R1574" s="387" t="s">
        <v>8060</v>
      </c>
      <c r="S1574" s="340">
        <v>1</v>
      </c>
    </row>
    <row r="1575" spans="1:19" ht="29.5" thickBot="1" x14ac:dyDescent="0.4">
      <c r="A1575" s="357">
        <v>1564</v>
      </c>
      <c r="B1575" s="387" t="s">
        <v>10080</v>
      </c>
      <c r="C1575" s="387" t="s">
        <v>10081</v>
      </c>
      <c r="D1575" s="388" t="s">
        <v>97</v>
      </c>
      <c r="E1575" s="388" t="s">
        <v>10082</v>
      </c>
      <c r="F1575" s="388" t="s">
        <v>10078</v>
      </c>
      <c r="G1575" s="388" t="s">
        <v>10078</v>
      </c>
      <c r="H1575" s="388" t="s">
        <v>1122</v>
      </c>
      <c r="I1575" s="387" t="s">
        <v>9083</v>
      </c>
      <c r="J1575" s="389"/>
      <c r="K1575" s="387"/>
      <c r="L1575" s="387"/>
      <c r="M1575" s="387" t="s">
        <v>10084</v>
      </c>
      <c r="N1575" s="387"/>
      <c r="O1575" s="387" t="s">
        <v>57</v>
      </c>
      <c r="P1575" s="390">
        <v>778951500</v>
      </c>
      <c r="Q1575" s="387"/>
      <c r="R1575" s="387" t="s">
        <v>8060</v>
      </c>
      <c r="S1575" s="340">
        <v>1</v>
      </c>
    </row>
    <row r="1576" spans="1:19" ht="29" x14ac:dyDescent="0.35">
      <c r="A1576" s="349">
        <v>1565</v>
      </c>
      <c r="B1576" s="387" t="s">
        <v>10110</v>
      </c>
      <c r="C1576" s="387" t="s">
        <v>10111</v>
      </c>
      <c r="D1576" s="388" t="s">
        <v>51</v>
      </c>
      <c r="E1576" s="388" t="s">
        <v>10082</v>
      </c>
      <c r="F1576" s="388" t="s">
        <v>10078</v>
      </c>
      <c r="G1576" s="388" t="s">
        <v>10078</v>
      </c>
      <c r="H1576" s="388" t="s">
        <v>12302</v>
      </c>
      <c r="I1576" s="387" t="s">
        <v>8561</v>
      </c>
      <c r="J1576" s="389">
        <v>43588</v>
      </c>
      <c r="K1576" s="387" t="s">
        <v>12977</v>
      </c>
      <c r="L1576" s="387"/>
      <c r="M1576" s="387" t="s">
        <v>10084</v>
      </c>
      <c r="N1576" s="387"/>
      <c r="O1576" s="387" t="s">
        <v>57</v>
      </c>
      <c r="P1576" s="390">
        <v>103436550</v>
      </c>
      <c r="Q1576" s="387" t="s">
        <v>12978</v>
      </c>
      <c r="R1576" s="387" t="s">
        <v>8060</v>
      </c>
      <c r="S1576" s="340">
        <v>1</v>
      </c>
    </row>
    <row r="1577" spans="1:19" ht="29.5" thickBot="1" x14ac:dyDescent="0.4">
      <c r="A1577" s="357">
        <v>1566</v>
      </c>
      <c r="B1577" s="387" t="s">
        <v>10092</v>
      </c>
      <c r="C1577" s="387" t="s">
        <v>10093</v>
      </c>
      <c r="D1577" s="388" t="s">
        <v>51</v>
      </c>
      <c r="E1577" s="388" t="s">
        <v>10082</v>
      </c>
      <c r="F1577" s="388" t="s">
        <v>10078</v>
      </c>
      <c r="G1577" s="388" t="s">
        <v>10088</v>
      </c>
      <c r="H1577" s="388" t="s">
        <v>12979</v>
      </c>
      <c r="I1577" s="387" t="s">
        <v>12980</v>
      </c>
      <c r="J1577" s="389">
        <v>41904</v>
      </c>
      <c r="K1577" s="387" t="s">
        <v>12981</v>
      </c>
      <c r="L1577" s="387"/>
      <c r="M1577" s="387" t="s">
        <v>10084</v>
      </c>
      <c r="N1577" s="387"/>
      <c r="O1577" s="387" t="s">
        <v>57</v>
      </c>
      <c r="P1577" s="390">
        <v>147500000</v>
      </c>
      <c r="Q1577" s="387" t="s">
        <v>12982</v>
      </c>
      <c r="R1577" s="387" t="s">
        <v>8060</v>
      </c>
      <c r="S1577" s="340">
        <v>1</v>
      </c>
    </row>
    <row r="1578" spans="1:19" ht="29" x14ac:dyDescent="0.35">
      <c r="A1578" s="349">
        <v>1567</v>
      </c>
      <c r="B1578" s="387" t="s">
        <v>10997</v>
      </c>
      <c r="C1578" s="387" t="s">
        <v>10998</v>
      </c>
      <c r="D1578" s="388" t="s">
        <v>51</v>
      </c>
      <c r="E1578" s="388" t="s">
        <v>10082</v>
      </c>
      <c r="F1578" s="388" t="s">
        <v>10078</v>
      </c>
      <c r="G1578" s="388" t="s">
        <v>10088</v>
      </c>
      <c r="H1578" s="388" t="s">
        <v>1122</v>
      </c>
      <c r="I1578" s="387" t="s">
        <v>9083</v>
      </c>
      <c r="J1578" s="389"/>
      <c r="K1578" s="387"/>
      <c r="L1578" s="387"/>
      <c r="M1578" s="387" t="s">
        <v>10084</v>
      </c>
      <c r="N1578" s="387"/>
      <c r="O1578" s="387" t="s">
        <v>57</v>
      </c>
      <c r="P1578" s="390">
        <v>218675000</v>
      </c>
      <c r="Q1578" s="387"/>
      <c r="R1578" s="387" t="s">
        <v>8060</v>
      </c>
      <c r="S1578" s="340">
        <v>1</v>
      </c>
    </row>
    <row r="1579" spans="1:19" thickBot="1" x14ac:dyDescent="0.4">
      <c r="A1579" s="357">
        <v>1568</v>
      </c>
      <c r="B1579" s="387" t="s">
        <v>10765</v>
      </c>
      <c r="C1579" s="387" t="s">
        <v>10766</v>
      </c>
      <c r="D1579" s="388" t="s">
        <v>51</v>
      </c>
      <c r="E1579" s="388" t="s">
        <v>10082</v>
      </c>
      <c r="F1579" s="388" t="s">
        <v>10078</v>
      </c>
      <c r="G1579" s="388" t="s">
        <v>10078</v>
      </c>
      <c r="H1579" s="388" t="s">
        <v>2972</v>
      </c>
      <c r="I1579" s="387" t="s">
        <v>8561</v>
      </c>
      <c r="J1579" s="389">
        <v>42881</v>
      </c>
      <c r="K1579" s="387" t="s">
        <v>12983</v>
      </c>
      <c r="L1579" s="387"/>
      <c r="M1579" s="387" t="s">
        <v>10084</v>
      </c>
      <c r="N1579" s="387"/>
      <c r="O1579" s="387" t="s">
        <v>57</v>
      </c>
      <c r="P1579" s="390">
        <v>441899000</v>
      </c>
      <c r="Q1579" s="387" t="s">
        <v>12984</v>
      </c>
      <c r="R1579" s="387" t="s">
        <v>8060</v>
      </c>
      <c r="S1579" s="340">
        <v>1</v>
      </c>
    </row>
    <row r="1580" spans="1:19" ht="29" x14ac:dyDescent="0.35">
      <c r="A1580" s="349">
        <v>1569</v>
      </c>
      <c r="B1580" s="387" t="s">
        <v>10085</v>
      </c>
      <c r="C1580" s="387" t="s">
        <v>10086</v>
      </c>
      <c r="D1580" s="388" t="s">
        <v>51</v>
      </c>
      <c r="E1580" s="388" t="s">
        <v>10082</v>
      </c>
      <c r="F1580" s="388" t="s">
        <v>10078</v>
      </c>
      <c r="G1580" s="388" t="s">
        <v>10078</v>
      </c>
      <c r="H1580" s="388" t="s">
        <v>11308</v>
      </c>
      <c r="I1580" s="387" t="s">
        <v>9083</v>
      </c>
      <c r="J1580" s="389"/>
      <c r="K1580" s="387"/>
      <c r="L1580" s="387"/>
      <c r="M1580" s="387" t="s">
        <v>10084</v>
      </c>
      <c r="N1580" s="387"/>
      <c r="O1580" s="387" t="s">
        <v>57</v>
      </c>
      <c r="P1580" s="390">
        <v>75901000</v>
      </c>
      <c r="Q1580" s="387"/>
      <c r="R1580" s="387" t="s">
        <v>8060</v>
      </c>
      <c r="S1580" s="340">
        <v>1</v>
      </c>
    </row>
    <row r="1581" spans="1:19" ht="29.5" thickBot="1" x14ac:dyDescent="0.4">
      <c r="A1581" s="357">
        <v>1570</v>
      </c>
      <c r="B1581" s="387" t="s">
        <v>10085</v>
      </c>
      <c r="C1581" s="387" t="s">
        <v>10086</v>
      </c>
      <c r="D1581" s="388" t="s">
        <v>59</v>
      </c>
      <c r="E1581" s="388" t="s">
        <v>10082</v>
      </c>
      <c r="F1581" s="388" t="s">
        <v>10078</v>
      </c>
      <c r="G1581" s="388" t="s">
        <v>10088</v>
      </c>
      <c r="H1581" s="388" t="s">
        <v>8952</v>
      </c>
      <c r="I1581" s="387" t="s">
        <v>9083</v>
      </c>
      <c r="J1581" s="389"/>
      <c r="K1581" s="387"/>
      <c r="L1581" s="387"/>
      <c r="M1581" s="387" t="s">
        <v>10084</v>
      </c>
      <c r="N1581" s="387"/>
      <c r="O1581" s="387" t="s">
        <v>57</v>
      </c>
      <c r="P1581" s="390">
        <v>99687500</v>
      </c>
      <c r="Q1581" s="387"/>
      <c r="R1581" s="387" t="s">
        <v>8060</v>
      </c>
      <c r="S1581" s="340">
        <v>1</v>
      </c>
    </row>
    <row r="1582" spans="1:19" ht="29" x14ac:dyDescent="0.35">
      <c r="A1582" s="349">
        <v>1571</v>
      </c>
      <c r="B1582" s="387" t="s">
        <v>10080</v>
      </c>
      <c r="C1582" s="387" t="s">
        <v>10081</v>
      </c>
      <c r="D1582" s="388" t="s">
        <v>51</v>
      </c>
      <c r="E1582" s="388" t="s">
        <v>10082</v>
      </c>
      <c r="F1582" s="388" t="s">
        <v>10078</v>
      </c>
      <c r="G1582" s="388" t="s">
        <v>10078</v>
      </c>
      <c r="H1582" s="388" t="s">
        <v>11400</v>
      </c>
      <c r="I1582" s="387" t="s">
        <v>9083</v>
      </c>
      <c r="J1582" s="389"/>
      <c r="K1582" s="387"/>
      <c r="L1582" s="387"/>
      <c r="M1582" s="387" t="s">
        <v>10084</v>
      </c>
      <c r="N1582" s="387"/>
      <c r="O1582" s="387" t="s">
        <v>57</v>
      </c>
      <c r="P1582" s="390">
        <v>125469000</v>
      </c>
      <c r="Q1582" s="387"/>
      <c r="R1582" s="387" t="s">
        <v>8063</v>
      </c>
      <c r="S1582" s="340">
        <v>1</v>
      </c>
    </row>
    <row r="1583" spans="1:19" ht="29.5" thickBot="1" x14ac:dyDescent="0.4">
      <c r="A1583" s="357">
        <v>1572</v>
      </c>
      <c r="B1583" s="387" t="s">
        <v>10080</v>
      </c>
      <c r="C1583" s="387" t="s">
        <v>10081</v>
      </c>
      <c r="D1583" s="388" t="s">
        <v>59</v>
      </c>
      <c r="E1583" s="388" t="s">
        <v>10082</v>
      </c>
      <c r="F1583" s="388" t="s">
        <v>10078</v>
      </c>
      <c r="G1583" s="388" t="s">
        <v>10078</v>
      </c>
      <c r="H1583" s="388" t="s">
        <v>12976</v>
      </c>
      <c r="I1583" s="387" t="s">
        <v>9083</v>
      </c>
      <c r="J1583" s="389"/>
      <c r="K1583" s="387"/>
      <c r="L1583" s="387"/>
      <c r="M1583" s="387" t="s">
        <v>10084</v>
      </c>
      <c r="N1583" s="387"/>
      <c r="O1583" s="387" t="s">
        <v>57</v>
      </c>
      <c r="P1583" s="390">
        <v>221850000</v>
      </c>
      <c r="Q1583" s="387"/>
      <c r="R1583" s="387" t="s">
        <v>8063</v>
      </c>
      <c r="S1583" s="340">
        <v>1</v>
      </c>
    </row>
    <row r="1584" spans="1:19" ht="29" x14ac:dyDescent="0.35">
      <c r="A1584" s="349">
        <v>1573</v>
      </c>
      <c r="B1584" s="387" t="s">
        <v>10080</v>
      </c>
      <c r="C1584" s="387" t="s">
        <v>10081</v>
      </c>
      <c r="D1584" s="388" t="s">
        <v>97</v>
      </c>
      <c r="E1584" s="388" t="s">
        <v>10082</v>
      </c>
      <c r="F1584" s="388" t="s">
        <v>10078</v>
      </c>
      <c r="G1584" s="388" t="s">
        <v>10078</v>
      </c>
      <c r="H1584" s="388" t="s">
        <v>12976</v>
      </c>
      <c r="I1584" s="387" t="s">
        <v>9083</v>
      </c>
      <c r="J1584" s="389"/>
      <c r="K1584" s="387"/>
      <c r="L1584" s="387"/>
      <c r="M1584" s="387" t="s">
        <v>10084</v>
      </c>
      <c r="N1584" s="387"/>
      <c r="O1584" s="387" t="s">
        <v>57</v>
      </c>
      <c r="P1584" s="390">
        <v>221850000</v>
      </c>
      <c r="Q1584" s="387"/>
      <c r="R1584" s="387" t="s">
        <v>8063</v>
      </c>
      <c r="S1584" s="340">
        <v>1</v>
      </c>
    </row>
    <row r="1585" spans="1:19" ht="29.5" thickBot="1" x14ac:dyDescent="0.4">
      <c r="A1585" s="357">
        <v>1574</v>
      </c>
      <c r="B1585" s="387" t="s">
        <v>10080</v>
      </c>
      <c r="C1585" s="387" t="s">
        <v>10081</v>
      </c>
      <c r="D1585" s="388" t="s">
        <v>101</v>
      </c>
      <c r="E1585" s="388" t="s">
        <v>10082</v>
      </c>
      <c r="F1585" s="388" t="s">
        <v>10078</v>
      </c>
      <c r="G1585" s="388" t="s">
        <v>10078</v>
      </c>
      <c r="H1585" s="388" t="s">
        <v>1122</v>
      </c>
      <c r="I1585" s="387" t="s">
        <v>9083</v>
      </c>
      <c r="J1585" s="389"/>
      <c r="K1585" s="387"/>
      <c r="L1585" s="387"/>
      <c r="M1585" s="387" t="s">
        <v>10084</v>
      </c>
      <c r="N1585" s="387"/>
      <c r="O1585" s="387" t="s">
        <v>57</v>
      </c>
      <c r="P1585" s="390">
        <v>265249000</v>
      </c>
      <c r="Q1585" s="387"/>
      <c r="R1585" s="387" t="s">
        <v>8063</v>
      </c>
      <c r="S1585" s="340">
        <v>1</v>
      </c>
    </row>
    <row r="1586" spans="1:19" ht="29" x14ac:dyDescent="0.35">
      <c r="A1586" s="349">
        <v>1575</v>
      </c>
      <c r="B1586" s="387" t="s">
        <v>10080</v>
      </c>
      <c r="C1586" s="387" t="s">
        <v>10081</v>
      </c>
      <c r="D1586" s="388" t="s">
        <v>107</v>
      </c>
      <c r="E1586" s="388" t="s">
        <v>10082</v>
      </c>
      <c r="F1586" s="388" t="s">
        <v>10078</v>
      </c>
      <c r="G1586" s="388" t="s">
        <v>10078</v>
      </c>
      <c r="H1586" s="388" t="s">
        <v>12157</v>
      </c>
      <c r="I1586" s="387" t="s">
        <v>9083</v>
      </c>
      <c r="J1586" s="389"/>
      <c r="K1586" s="387"/>
      <c r="L1586" s="387"/>
      <c r="M1586" s="387" t="s">
        <v>10084</v>
      </c>
      <c r="N1586" s="387"/>
      <c r="O1586" s="387" t="s">
        <v>422</v>
      </c>
      <c r="P1586" s="390">
        <v>194337500</v>
      </c>
      <c r="Q1586" s="387" t="s">
        <v>8603</v>
      </c>
      <c r="R1586" s="387" t="s">
        <v>8063</v>
      </c>
      <c r="S1586" s="340">
        <v>1</v>
      </c>
    </row>
    <row r="1587" spans="1:19" ht="29.5" thickBot="1" x14ac:dyDescent="0.4">
      <c r="A1587" s="357">
        <v>1576</v>
      </c>
      <c r="B1587" s="387" t="s">
        <v>10080</v>
      </c>
      <c r="C1587" s="387" t="s">
        <v>10081</v>
      </c>
      <c r="D1587" s="388" t="s">
        <v>112</v>
      </c>
      <c r="E1587" s="388" t="s">
        <v>10082</v>
      </c>
      <c r="F1587" s="388" t="s">
        <v>10078</v>
      </c>
      <c r="G1587" s="388" t="s">
        <v>10088</v>
      </c>
      <c r="H1587" s="388" t="s">
        <v>11303</v>
      </c>
      <c r="I1587" s="387" t="s">
        <v>9083</v>
      </c>
      <c r="J1587" s="389">
        <v>42149</v>
      </c>
      <c r="K1587" s="387" t="s">
        <v>12985</v>
      </c>
      <c r="L1587" s="387"/>
      <c r="M1587" s="387" t="s">
        <v>10084</v>
      </c>
      <c r="N1587" s="387"/>
      <c r="O1587" s="387" t="s">
        <v>57</v>
      </c>
      <c r="P1587" s="390">
        <v>220998000</v>
      </c>
      <c r="Q1587" s="387" t="s">
        <v>12986</v>
      </c>
      <c r="R1587" s="387" t="s">
        <v>8063</v>
      </c>
      <c r="S1587" s="340">
        <v>1</v>
      </c>
    </row>
    <row r="1588" spans="1:19" ht="29" x14ac:dyDescent="0.35">
      <c r="A1588" s="349">
        <v>1577</v>
      </c>
      <c r="B1588" s="387" t="s">
        <v>10110</v>
      </c>
      <c r="C1588" s="387" t="s">
        <v>10111</v>
      </c>
      <c r="D1588" s="388" t="s">
        <v>51</v>
      </c>
      <c r="E1588" s="388" t="s">
        <v>10082</v>
      </c>
      <c r="F1588" s="388" t="s">
        <v>10078</v>
      </c>
      <c r="G1588" s="388" t="s">
        <v>10088</v>
      </c>
      <c r="H1588" s="388" t="s">
        <v>11447</v>
      </c>
      <c r="I1588" s="387" t="s">
        <v>9083</v>
      </c>
      <c r="J1588" s="389">
        <v>43256</v>
      </c>
      <c r="K1588" s="387" t="s">
        <v>12987</v>
      </c>
      <c r="L1588" s="387"/>
      <c r="M1588" s="387" t="s">
        <v>10084</v>
      </c>
      <c r="N1588" s="387"/>
      <c r="O1588" s="387" t="s">
        <v>57</v>
      </c>
      <c r="P1588" s="390">
        <v>110329000</v>
      </c>
      <c r="Q1588" s="387" t="s">
        <v>12988</v>
      </c>
      <c r="R1588" s="387" t="s">
        <v>8063</v>
      </c>
      <c r="S1588" s="340">
        <v>1</v>
      </c>
    </row>
    <row r="1589" spans="1:19" ht="29.5" thickBot="1" x14ac:dyDescent="0.4">
      <c r="A1589" s="357">
        <v>1578</v>
      </c>
      <c r="B1589" s="387" t="s">
        <v>10092</v>
      </c>
      <c r="C1589" s="387" t="s">
        <v>10093</v>
      </c>
      <c r="D1589" s="388" t="s">
        <v>51</v>
      </c>
      <c r="E1589" s="388" t="s">
        <v>10082</v>
      </c>
      <c r="F1589" s="388" t="s">
        <v>10078</v>
      </c>
      <c r="G1589" s="388" t="s">
        <v>10078</v>
      </c>
      <c r="H1589" s="388" t="s">
        <v>12979</v>
      </c>
      <c r="I1589" s="387" t="s">
        <v>9083</v>
      </c>
      <c r="J1589" s="389"/>
      <c r="K1589" s="387"/>
      <c r="L1589" s="387"/>
      <c r="M1589" s="387" t="s">
        <v>10084</v>
      </c>
      <c r="N1589" s="387"/>
      <c r="O1589" s="387" t="s">
        <v>57</v>
      </c>
      <c r="P1589" s="390">
        <v>150681955</v>
      </c>
      <c r="Q1589" s="387"/>
      <c r="R1589" s="387" t="s">
        <v>8063</v>
      </c>
      <c r="S1589" s="340">
        <v>1</v>
      </c>
    </row>
    <row r="1590" spans="1:19" ht="14.5" x14ac:dyDescent="0.35">
      <c r="A1590" s="349">
        <v>1579</v>
      </c>
      <c r="B1590" s="387" t="s">
        <v>10765</v>
      </c>
      <c r="C1590" s="387" t="s">
        <v>10766</v>
      </c>
      <c r="D1590" s="388" t="s">
        <v>51</v>
      </c>
      <c r="E1590" s="388" t="s">
        <v>10082</v>
      </c>
      <c r="F1590" s="388" t="s">
        <v>10078</v>
      </c>
      <c r="G1590" s="388" t="s">
        <v>10078</v>
      </c>
      <c r="H1590" s="388" t="s">
        <v>2972</v>
      </c>
      <c r="I1590" s="387" t="s">
        <v>8561</v>
      </c>
      <c r="J1590" s="389">
        <v>43049</v>
      </c>
      <c r="K1590" s="387" t="s">
        <v>12989</v>
      </c>
      <c r="L1590" s="387"/>
      <c r="M1590" s="387" t="s">
        <v>10084</v>
      </c>
      <c r="N1590" s="387"/>
      <c r="O1590" s="387" t="s">
        <v>57</v>
      </c>
      <c r="P1590" s="390">
        <v>220900000</v>
      </c>
      <c r="Q1590" s="387" t="s">
        <v>12990</v>
      </c>
      <c r="R1590" s="387" t="s">
        <v>8063</v>
      </c>
      <c r="S1590" s="340">
        <v>1</v>
      </c>
    </row>
    <row r="1591" spans="1:19" ht="29.5" thickBot="1" x14ac:dyDescent="0.4">
      <c r="A1591" s="357">
        <v>1580</v>
      </c>
      <c r="B1591" s="387" t="s">
        <v>10765</v>
      </c>
      <c r="C1591" s="387" t="s">
        <v>10766</v>
      </c>
      <c r="D1591" s="388" t="s">
        <v>59</v>
      </c>
      <c r="E1591" s="388" t="s">
        <v>10082</v>
      </c>
      <c r="F1591" s="388" t="s">
        <v>10078</v>
      </c>
      <c r="G1591" s="388" t="s">
        <v>10088</v>
      </c>
      <c r="H1591" s="388" t="s">
        <v>12991</v>
      </c>
      <c r="I1591" s="387" t="s">
        <v>12992</v>
      </c>
      <c r="J1591" s="389"/>
      <c r="K1591" s="387" t="s">
        <v>12993</v>
      </c>
      <c r="L1591" s="387"/>
      <c r="M1591" s="387"/>
      <c r="N1591" s="387"/>
      <c r="O1591" s="387" t="s">
        <v>44</v>
      </c>
      <c r="P1591" s="390">
        <v>137456070</v>
      </c>
      <c r="Q1591" s="387" t="s">
        <v>12994</v>
      </c>
      <c r="R1591" s="387" t="s">
        <v>8063</v>
      </c>
      <c r="S1591" s="340">
        <v>1</v>
      </c>
    </row>
    <row r="1592" spans="1:19" ht="29" x14ac:dyDescent="0.35">
      <c r="A1592" s="349">
        <v>1581</v>
      </c>
      <c r="B1592" s="387" t="s">
        <v>10096</v>
      </c>
      <c r="C1592" s="387" t="s">
        <v>10097</v>
      </c>
      <c r="D1592" s="388" t="s">
        <v>51</v>
      </c>
      <c r="E1592" s="388" t="s">
        <v>10082</v>
      </c>
      <c r="F1592" s="388" t="s">
        <v>10078</v>
      </c>
      <c r="G1592" s="388" t="s">
        <v>10088</v>
      </c>
      <c r="H1592" s="388" t="s">
        <v>1433</v>
      </c>
      <c r="I1592" s="387" t="s">
        <v>9083</v>
      </c>
      <c r="J1592" s="389">
        <v>42881</v>
      </c>
      <c r="K1592" s="387" t="s">
        <v>12995</v>
      </c>
      <c r="L1592" s="387"/>
      <c r="M1592" s="387" t="s">
        <v>10084</v>
      </c>
      <c r="N1592" s="387"/>
      <c r="O1592" s="387" t="s">
        <v>57</v>
      </c>
      <c r="P1592" s="390">
        <v>221166000</v>
      </c>
      <c r="Q1592" s="387" t="s">
        <v>12996</v>
      </c>
      <c r="R1592" s="387" t="s">
        <v>8063</v>
      </c>
      <c r="S1592" s="340">
        <v>1</v>
      </c>
    </row>
    <row r="1593" spans="1:19" ht="29.5" thickBot="1" x14ac:dyDescent="0.4">
      <c r="A1593" s="357">
        <v>1582</v>
      </c>
      <c r="B1593" s="387" t="s">
        <v>10080</v>
      </c>
      <c r="C1593" s="387" t="s">
        <v>10081</v>
      </c>
      <c r="D1593" s="388" t="s">
        <v>51</v>
      </c>
      <c r="E1593" s="388" t="s">
        <v>10082</v>
      </c>
      <c r="F1593" s="388" t="s">
        <v>10078</v>
      </c>
      <c r="G1593" s="388" t="s">
        <v>10078</v>
      </c>
      <c r="H1593" s="388" t="s">
        <v>12997</v>
      </c>
      <c r="I1593" s="387" t="s">
        <v>12998</v>
      </c>
      <c r="J1593" s="389"/>
      <c r="K1593" s="387"/>
      <c r="L1593" s="387"/>
      <c r="M1593" s="387" t="s">
        <v>10084</v>
      </c>
      <c r="N1593" s="387"/>
      <c r="O1593" s="387" t="s">
        <v>57</v>
      </c>
      <c r="P1593" s="390">
        <v>313673000</v>
      </c>
      <c r="Q1593" s="387"/>
      <c r="R1593" s="387" t="s">
        <v>8066</v>
      </c>
      <c r="S1593" s="340">
        <v>1</v>
      </c>
    </row>
    <row r="1594" spans="1:19" ht="29" x14ac:dyDescent="0.35">
      <c r="A1594" s="349">
        <v>1583</v>
      </c>
      <c r="B1594" s="387" t="s">
        <v>10080</v>
      </c>
      <c r="C1594" s="387" t="s">
        <v>10081</v>
      </c>
      <c r="D1594" s="388" t="s">
        <v>59</v>
      </c>
      <c r="E1594" s="388" t="s">
        <v>10082</v>
      </c>
      <c r="F1594" s="388" t="s">
        <v>10078</v>
      </c>
      <c r="G1594" s="388" t="s">
        <v>10078</v>
      </c>
      <c r="H1594" s="388" t="s">
        <v>11960</v>
      </c>
      <c r="I1594" s="387" t="s">
        <v>12998</v>
      </c>
      <c r="J1594" s="389"/>
      <c r="K1594" s="387"/>
      <c r="L1594" s="387"/>
      <c r="M1594" s="387" t="s">
        <v>10084</v>
      </c>
      <c r="N1594" s="387"/>
      <c r="O1594" s="387" t="s">
        <v>57</v>
      </c>
      <c r="P1594" s="390">
        <v>250938000</v>
      </c>
      <c r="Q1594" s="387"/>
      <c r="R1594" s="387" t="s">
        <v>8066</v>
      </c>
      <c r="S1594" s="340">
        <v>1</v>
      </c>
    </row>
    <row r="1595" spans="1:19" ht="29.5" thickBot="1" x14ac:dyDescent="0.4">
      <c r="A1595" s="357">
        <v>1584</v>
      </c>
      <c r="B1595" s="387" t="s">
        <v>10080</v>
      </c>
      <c r="C1595" s="387" t="s">
        <v>10081</v>
      </c>
      <c r="D1595" s="388" t="s">
        <v>97</v>
      </c>
      <c r="E1595" s="388" t="s">
        <v>10082</v>
      </c>
      <c r="F1595" s="388" t="s">
        <v>10078</v>
      </c>
      <c r="G1595" s="388" t="s">
        <v>10078</v>
      </c>
      <c r="H1595" s="388" t="s">
        <v>11421</v>
      </c>
      <c r="I1595" s="387" t="s">
        <v>12998</v>
      </c>
      <c r="J1595" s="389"/>
      <c r="K1595" s="387"/>
      <c r="L1595" s="387"/>
      <c r="M1595" s="387" t="s">
        <v>10084</v>
      </c>
      <c r="N1595" s="387"/>
      <c r="O1595" s="387" t="s">
        <v>57</v>
      </c>
      <c r="P1595" s="390">
        <v>62735000</v>
      </c>
      <c r="Q1595" s="387"/>
      <c r="R1595" s="387" t="s">
        <v>8066</v>
      </c>
      <c r="S1595" s="340">
        <v>1</v>
      </c>
    </row>
    <row r="1596" spans="1:19" ht="29" x14ac:dyDescent="0.35">
      <c r="A1596" s="349">
        <v>1585</v>
      </c>
      <c r="B1596" s="387" t="s">
        <v>10080</v>
      </c>
      <c r="C1596" s="387" t="s">
        <v>10081</v>
      </c>
      <c r="D1596" s="388" t="s">
        <v>101</v>
      </c>
      <c r="E1596" s="388" t="s">
        <v>10082</v>
      </c>
      <c r="F1596" s="388" t="s">
        <v>10078</v>
      </c>
      <c r="G1596" s="388" t="s">
        <v>10078</v>
      </c>
      <c r="H1596" s="388" t="s">
        <v>12157</v>
      </c>
      <c r="I1596" s="387" t="s">
        <v>12998</v>
      </c>
      <c r="J1596" s="389"/>
      <c r="K1596" s="387"/>
      <c r="L1596" s="387"/>
      <c r="M1596" s="387" t="s">
        <v>10084</v>
      </c>
      <c r="N1596" s="387"/>
      <c r="O1596" s="387" t="s">
        <v>422</v>
      </c>
      <c r="P1596" s="390">
        <v>194337500</v>
      </c>
      <c r="Q1596" s="387" t="s">
        <v>8603</v>
      </c>
      <c r="R1596" s="387" t="s">
        <v>8066</v>
      </c>
      <c r="S1596" s="340">
        <v>1</v>
      </c>
    </row>
    <row r="1597" spans="1:19" ht="29.5" thickBot="1" x14ac:dyDescent="0.4">
      <c r="A1597" s="357">
        <v>1586</v>
      </c>
      <c r="B1597" s="387" t="s">
        <v>10092</v>
      </c>
      <c r="C1597" s="387" t="s">
        <v>10093</v>
      </c>
      <c r="D1597" s="388" t="s">
        <v>51</v>
      </c>
      <c r="E1597" s="388" t="s">
        <v>10082</v>
      </c>
      <c r="F1597" s="388" t="s">
        <v>10078</v>
      </c>
      <c r="G1597" s="388" t="s">
        <v>10078</v>
      </c>
      <c r="H1597" s="388" t="s">
        <v>12979</v>
      </c>
      <c r="I1597" s="387" t="s">
        <v>12998</v>
      </c>
      <c r="J1597" s="389"/>
      <c r="K1597" s="387"/>
      <c r="L1597" s="387"/>
      <c r="M1597" s="387" t="s">
        <v>10084</v>
      </c>
      <c r="N1597" s="387"/>
      <c r="O1597" s="387" t="s">
        <v>57</v>
      </c>
      <c r="P1597" s="390">
        <v>132275750</v>
      </c>
      <c r="Q1597" s="387"/>
      <c r="R1597" s="387" t="s">
        <v>8066</v>
      </c>
      <c r="S1597" s="340">
        <v>1</v>
      </c>
    </row>
    <row r="1598" spans="1:19" ht="29" x14ac:dyDescent="0.35">
      <c r="A1598" s="349">
        <v>1587</v>
      </c>
      <c r="B1598" s="387" t="s">
        <v>10085</v>
      </c>
      <c r="C1598" s="387" t="s">
        <v>10086</v>
      </c>
      <c r="D1598" s="388" t="s">
        <v>51</v>
      </c>
      <c r="E1598" s="388" t="s">
        <v>10082</v>
      </c>
      <c r="F1598" s="388" t="s">
        <v>10078</v>
      </c>
      <c r="G1598" s="388" t="s">
        <v>10078</v>
      </c>
      <c r="H1598" s="388" t="s">
        <v>11308</v>
      </c>
      <c r="I1598" s="387" t="s">
        <v>12998</v>
      </c>
      <c r="J1598" s="389"/>
      <c r="K1598" s="387"/>
      <c r="L1598" s="387"/>
      <c r="M1598" s="387" t="s">
        <v>10084</v>
      </c>
      <c r="N1598" s="387"/>
      <c r="O1598" s="387" t="s">
        <v>57</v>
      </c>
      <c r="P1598" s="390">
        <v>147920000</v>
      </c>
      <c r="Q1598" s="387"/>
      <c r="R1598" s="387" t="s">
        <v>8066</v>
      </c>
      <c r="S1598" s="340">
        <v>1</v>
      </c>
    </row>
    <row r="1599" spans="1:19" ht="29.5" thickBot="1" x14ac:dyDescent="0.4">
      <c r="A1599" s="357">
        <v>1588</v>
      </c>
      <c r="B1599" s="387" t="s">
        <v>10080</v>
      </c>
      <c r="C1599" s="387" t="s">
        <v>10081</v>
      </c>
      <c r="D1599" s="388" t="s">
        <v>51</v>
      </c>
      <c r="E1599" s="388" t="s">
        <v>10082</v>
      </c>
      <c r="F1599" s="388" t="s">
        <v>10078</v>
      </c>
      <c r="G1599" s="388" t="s">
        <v>10078</v>
      </c>
      <c r="H1599" s="388" t="s">
        <v>12187</v>
      </c>
      <c r="I1599" s="387" t="s">
        <v>12999</v>
      </c>
      <c r="J1599" s="389"/>
      <c r="K1599" s="387"/>
      <c r="L1599" s="387"/>
      <c r="M1599" s="387" t="s">
        <v>10084</v>
      </c>
      <c r="N1599" s="387"/>
      <c r="O1599" s="387" t="s">
        <v>57</v>
      </c>
      <c r="P1599" s="390">
        <v>954939512</v>
      </c>
      <c r="Q1599" s="387"/>
      <c r="R1599" s="387" t="s">
        <v>8070</v>
      </c>
      <c r="S1599" s="340">
        <v>1</v>
      </c>
    </row>
    <row r="1600" spans="1:19" ht="29" x14ac:dyDescent="0.35">
      <c r="A1600" s="349">
        <v>1589</v>
      </c>
      <c r="B1600" s="387" t="s">
        <v>10080</v>
      </c>
      <c r="C1600" s="387" t="s">
        <v>10081</v>
      </c>
      <c r="D1600" s="388" t="s">
        <v>59</v>
      </c>
      <c r="E1600" s="388" t="s">
        <v>10082</v>
      </c>
      <c r="F1600" s="388" t="s">
        <v>10078</v>
      </c>
      <c r="G1600" s="388" t="s">
        <v>10078</v>
      </c>
      <c r="H1600" s="388" t="s">
        <v>11409</v>
      </c>
      <c r="I1600" s="387" t="s">
        <v>12999</v>
      </c>
      <c r="J1600" s="389"/>
      <c r="K1600" s="387"/>
      <c r="L1600" s="387"/>
      <c r="M1600" s="387" t="s">
        <v>10084</v>
      </c>
      <c r="N1600" s="387"/>
      <c r="O1600" s="387" t="s">
        <v>422</v>
      </c>
      <c r="P1600" s="390">
        <v>108000000</v>
      </c>
      <c r="Q1600" s="387" t="s">
        <v>8603</v>
      </c>
      <c r="R1600" s="387" t="s">
        <v>8070</v>
      </c>
      <c r="S1600" s="340">
        <v>1</v>
      </c>
    </row>
    <row r="1601" spans="1:19" ht="29.5" thickBot="1" x14ac:dyDescent="0.4">
      <c r="A1601" s="357">
        <v>1590</v>
      </c>
      <c r="B1601" s="387" t="s">
        <v>10110</v>
      </c>
      <c r="C1601" s="387" t="s">
        <v>10111</v>
      </c>
      <c r="D1601" s="388" t="s">
        <v>59</v>
      </c>
      <c r="E1601" s="388" t="s">
        <v>10082</v>
      </c>
      <c r="F1601" s="388" t="s">
        <v>10078</v>
      </c>
      <c r="G1601" s="388" t="s">
        <v>10088</v>
      </c>
      <c r="H1601" s="388" t="s">
        <v>13000</v>
      </c>
      <c r="I1601" s="387" t="s">
        <v>13001</v>
      </c>
      <c r="J1601" s="389"/>
      <c r="K1601" s="387" t="s">
        <v>13002</v>
      </c>
      <c r="L1601" s="387"/>
      <c r="M1601" s="387"/>
      <c r="N1601" s="387"/>
      <c r="O1601" s="387" t="s">
        <v>44</v>
      </c>
      <c r="P1601" s="390">
        <v>148139500</v>
      </c>
      <c r="Q1601" s="387" t="s">
        <v>13003</v>
      </c>
      <c r="R1601" s="387" t="s">
        <v>8070</v>
      </c>
      <c r="S1601" s="340">
        <v>1</v>
      </c>
    </row>
    <row r="1602" spans="1:19" ht="29" x14ac:dyDescent="0.35">
      <c r="A1602" s="349">
        <v>1591</v>
      </c>
      <c r="B1602" s="387" t="s">
        <v>10085</v>
      </c>
      <c r="C1602" s="387" t="s">
        <v>10086</v>
      </c>
      <c r="D1602" s="388" t="s">
        <v>51</v>
      </c>
      <c r="E1602" s="388" t="s">
        <v>10082</v>
      </c>
      <c r="F1602" s="388" t="s">
        <v>10078</v>
      </c>
      <c r="G1602" s="388" t="s">
        <v>10078</v>
      </c>
      <c r="H1602" s="388" t="s">
        <v>11308</v>
      </c>
      <c r="I1602" s="387" t="s">
        <v>12999</v>
      </c>
      <c r="J1602" s="389"/>
      <c r="K1602" s="387"/>
      <c r="L1602" s="387"/>
      <c r="M1602" s="387" t="s">
        <v>10084</v>
      </c>
      <c r="N1602" s="387"/>
      <c r="O1602" s="387" t="s">
        <v>57</v>
      </c>
      <c r="P1602" s="390">
        <v>78070000</v>
      </c>
      <c r="Q1602" s="387"/>
      <c r="R1602" s="387" t="s">
        <v>8070</v>
      </c>
      <c r="S1602" s="340">
        <v>1</v>
      </c>
    </row>
    <row r="1603" spans="1:19" ht="29.5" thickBot="1" x14ac:dyDescent="0.4">
      <c r="A1603" s="357">
        <v>1592</v>
      </c>
      <c r="B1603" s="387" t="s">
        <v>10146</v>
      </c>
      <c r="C1603" s="387" t="s">
        <v>10147</v>
      </c>
      <c r="D1603" s="388" t="s">
        <v>51</v>
      </c>
      <c r="E1603" s="388" t="s">
        <v>10082</v>
      </c>
      <c r="F1603" s="388" t="s">
        <v>10078</v>
      </c>
      <c r="G1603" s="388" t="s">
        <v>10088</v>
      </c>
      <c r="H1603" s="388" t="s">
        <v>8957</v>
      </c>
      <c r="I1603" s="387" t="s">
        <v>12999</v>
      </c>
      <c r="J1603" s="389">
        <v>41906</v>
      </c>
      <c r="K1603" s="387" t="s">
        <v>13004</v>
      </c>
      <c r="L1603" s="387"/>
      <c r="M1603" s="387" t="s">
        <v>10084</v>
      </c>
      <c r="N1603" s="387"/>
      <c r="O1603" s="387" t="s">
        <v>57</v>
      </c>
      <c r="P1603" s="390">
        <v>183750000</v>
      </c>
      <c r="Q1603" s="387" t="s">
        <v>13005</v>
      </c>
      <c r="R1603" s="387" t="s">
        <v>8070</v>
      </c>
      <c r="S1603" s="340">
        <v>1</v>
      </c>
    </row>
    <row r="1604" spans="1:19" ht="29" x14ac:dyDescent="0.35">
      <c r="A1604" s="349">
        <v>1593</v>
      </c>
      <c r="B1604" s="387" t="s">
        <v>10080</v>
      </c>
      <c r="C1604" s="387" t="s">
        <v>10081</v>
      </c>
      <c r="D1604" s="388" t="s">
        <v>51</v>
      </c>
      <c r="E1604" s="388" t="s">
        <v>10082</v>
      </c>
      <c r="F1604" s="388" t="s">
        <v>10078</v>
      </c>
      <c r="G1604" s="388" t="s">
        <v>10078</v>
      </c>
      <c r="H1604" s="388" t="s">
        <v>11960</v>
      </c>
      <c r="I1604" s="387" t="s">
        <v>13006</v>
      </c>
      <c r="J1604" s="389"/>
      <c r="K1604" s="387"/>
      <c r="L1604" s="387"/>
      <c r="M1604" s="387" t="s">
        <v>10084</v>
      </c>
      <c r="N1604" s="387"/>
      <c r="O1604" s="387" t="s">
        <v>57</v>
      </c>
      <c r="P1604" s="390">
        <v>461175222</v>
      </c>
      <c r="Q1604" s="387"/>
      <c r="R1604" s="387" t="s">
        <v>8072</v>
      </c>
      <c r="S1604" s="340">
        <v>1</v>
      </c>
    </row>
    <row r="1605" spans="1:19" ht="29.5" thickBot="1" x14ac:dyDescent="0.4">
      <c r="A1605" s="357">
        <v>1594</v>
      </c>
      <c r="B1605" s="387" t="s">
        <v>10080</v>
      </c>
      <c r="C1605" s="387" t="s">
        <v>10081</v>
      </c>
      <c r="D1605" s="388" t="s">
        <v>59</v>
      </c>
      <c r="E1605" s="388" t="s">
        <v>10082</v>
      </c>
      <c r="F1605" s="388" t="s">
        <v>10078</v>
      </c>
      <c r="G1605" s="388" t="s">
        <v>10078</v>
      </c>
      <c r="H1605" s="388" t="s">
        <v>11400</v>
      </c>
      <c r="I1605" s="387" t="s">
        <v>13006</v>
      </c>
      <c r="J1605" s="389"/>
      <c r="K1605" s="387"/>
      <c r="L1605" s="387"/>
      <c r="M1605" s="387" t="s">
        <v>10084</v>
      </c>
      <c r="N1605" s="387"/>
      <c r="O1605" s="387" t="s">
        <v>57</v>
      </c>
      <c r="P1605" s="390">
        <v>125469000</v>
      </c>
      <c r="Q1605" s="387"/>
      <c r="R1605" s="387" t="s">
        <v>8072</v>
      </c>
      <c r="S1605" s="340">
        <v>1</v>
      </c>
    </row>
    <row r="1606" spans="1:19" ht="29" x14ac:dyDescent="0.35">
      <c r="A1606" s="349">
        <v>1595</v>
      </c>
      <c r="B1606" s="387" t="s">
        <v>10080</v>
      </c>
      <c r="C1606" s="387" t="s">
        <v>10081</v>
      </c>
      <c r="D1606" s="388" t="s">
        <v>97</v>
      </c>
      <c r="E1606" s="388" t="s">
        <v>10082</v>
      </c>
      <c r="F1606" s="388" t="s">
        <v>10078</v>
      </c>
      <c r="G1606" s="388" t="s">
        <v>10078</v>
      </c>
      <c r="H1606" s="388" t="s">
        <v>11960</v>
      </c>
      <c r="I1606" s="387" t="s">
        <v>13006</v>
      </c>
      <c r="J1606" s="389"/>
      <c r="K1606" s="387"/>
      <c r="L1606" s="387"/>
      <c r="M1606" s="387" t="s">
        <v>10084</v>
      </c>
      <c r="N1606" s="387"/>
      <c r="O1606" s="387" t="s">
        <v>57</v>
      </c>
      <c r="P1606" s="390">
        <v>349968750</v>
      </c>
      <c r="Q1606" s="387"/>
      <c r="R1606" s="387" t="s">
        <v>8072</v>
      </c>
      <c r="S1606" s="340">
        <v>1</v>
      </c>
    </row>
    <row r="1607" spans="1:19" ht="29.5" thickBot="1" x14ac:dyDescent="0.4">
      <c r="A1607" s="357">
        <v>1596</v>
      </c>
      <c r="B1607" s="387" t="s">
        <v>10080</v>
      </c>
      <c r="C1607" s="387" t="s">
        <v>10081</v>
      </c>
      <c r="D1607" s="388" t="s">
        <v>101</v>
      </c>
      <c r="E1607" s="388" t="s">
        <v>10082</v>
      </c>
      <c r="F1607" s="388" t="s">
        <v>10078</v>
      </c>
      <c r="G1607" s="388" t="s">
        <v>10078</v>
      </c>
      <c r="H1607" s="388" t="s">
        <v>11409</v>
      </c>
      <c r="I1607" s="387" t="s">
        <v>13006</v>
      </c>
      <c r="J1607" s="389"/>
      <c r="K1607" s="387"/>
      <c r="L1607" s="387"/>
      <c r="M1607" s="387" t="s">
        <v>10084</v>
      </c>
      <c r="N1607" s="387"/>
      <c r="O1607" s="387" t="s">
        <v>422</v>
      </c>
      <c r="P1607" s="390">
        <v>120000000</v>
      </c>
      <c r="Q1607" s="387" t="s">
        <v>8603</v>
      </c>
      <c r="R1607" s="387" t="s">
        <v>8072</v>
      </c>
      <c r="S1607" s="340">
        <v>1</v>
      </c>
    </row>
    <row r="1608" spans="1:19" ht="29" x14ac:dyDescent="0.35">
      <c r="A1608" s="349">
        <v>1597</v>
      </c>
      <c r="B1608" s="387" t="s">
        <v>10092</v>
      </c>
      <c r="C1608" s="387" t="s">
        <v>10093</v>
      </c>
      <c r="D1608" s="388" t="s">
        <v>51</v>
      </c>
      <c r="E1608" s="388" t="s">
        <v>10082</v>
      </c>
      <c r="F1608" s="388" t="s">
        <v>10078</v>
      </c>
      <c r="G1608" s="388" t="s">
        <v>10078</v>
      </c>
      <c r="H1608" s="388" t="s">
        <v>12979</v>
      </c>
      <c r="I1608" s="387" t="s">
        <v>13007</v>
      </c>
      <c r="J1608" s="389">
        <v>41564</v>
      </c>
      <c r="K1608" s="387" t="s">
        <v>13008</v>
      </c>
      <c r="L1608" s="387"/>
      <c r="M1608" s="387" t="s">
        <v>10084</v>
      </c>
      <c r="N1608" s="387"/>
      <c r="O1608" s="387" t="s">
        <v>57</v>
      </c>
      <c r="P1608" s="390">
        <v>155154520</v>
      </c>
      <c r="Q1608" s="387"/>
      <c r="R1608" s="387" t="s">
        <v>8072</v>
      </c>
      <c r="S1608" s="340">
        <v>1</v>
      </c>
    </row>
    <row r="1609" spans="1:19" ht="44" thickBot="1" x14ac:dyDescent="0.4">
      <c r="A1609" s="357">
        <v>1598</v>
      </c>
      <c r="B1609" s="387" t="s">
        <v>10085</v>
      </c>
      <c r="C1609" s="387" t="s">
        <v>10086</v>
      </c>
      <c r="D1609" s="388" t="s">
        <v>51</v>
      </c>
      <c r="E1609" s="388" t="s">
        <v>10082</v>
      </c>
      <c r="F1609" s="388" t="s">
        <v>10078</v>
      </c>
      <c r="G1609" s="388" t="s">
        <v>10078</v>
      </c>
      <c r="H1609" s="388" t="s">
        <v>11634</v>
      </c>
      <c r="I1609" s="387" t="s">
        <v>13006</v>
      </c>
      <c r="J1609" s="389">
        <v>41585</v>
      </c>
      <c r="K1609" s="387" t="s">
        <v>13009</v>
      </c>
      <c r="L1609" s="387"/>
      <c r="M1609" s="387" t="s">
        <v>10084</v>
      </c>
      <c r="N1609" s="387"/>
      <c r="O1609" s="387" t="s">
        <v>57</v>
      </c>
      <c r="P1609" s="390">
        <v>137500000</v>
      </c>
      <c r="Q1609" s="387" t="s">
        <v>13010</v>
      </c>
      <c r="R1609" s="387" t="s">
        <v>8072</v>
      </c>
      <c r="S1609" s="340">
        <v>1</v>
      </c>
    </row>
    <row r="1610" spans="1:19" ht="29" x14ac:dyDescent="0.35">
      <c r="A1610" s="349">
        <v>1599</v>
      </c>
      <c r="B1610" s="387" t="s">
        <v>10085</v>
      </c>
      <c r="C1610" s="387" t="s">
        <v>10086</v>
      </c>
      <c r="D1610" s="388" t="s">
        <v>59</v>
      </c>
      <c r="E1610" s="388" t="s">
        <v>10082</v>
      </c>
      <c r="F1610" s="388" t="s">
        <v>10078</v>
      </c>
      <c r="G1610" s="388" t="s">
        <v>10078</v>
      </c>
      <c r="H1610" s="388" t="s">
        <v>11308</v>
      </c>
      <c r="I1610" s="387" t="s">
        <v>13006</v>
      </c>
      <c r="J1610" s="389"/>
      <c r="K1610" s="387"/>
      <c r="L1610" s="387"/>
      <c r="M1610" s="387" t="s">
        <v>10084</v>
      </c>
      <c r="N1610" s="387"/>
      <c r="O1610" s="387" t="s">
        <v>57</v>
      </c>
      <c r="P1610" s="390">
        <v>78070000</v>
      </c>
      <c r="Q1610" s="387"/>
      <c r="R1610" s="387" t="s">
        <v>8072</v>
      </c>
      <c r="S1610" s="340">
        <v>1</v>
      </c>
    </row>
    <row r="1611" spans="1:19" ht="29.5" thickBot="1" x14ac:dyDescent="0.4">
      <c r="A1611" s="357">
        <v>1600</v>
      </c>
      <c r="B1611" s="387" t="s">
        <v>10085</v>
      </c>
      <c r="C1611" s="387" t="s">
        <v>10086</v>
      </c>
      <c r="D1611" s="388" t="s">
        <v>97</v>
      </c>
      <c r="E1611" s="388" t="s">
        <v>10082</v>
      </c>
      <c r="F1611" s="388" t="s">
        <v>10078</v>
      </c>
      <c r="G1611" s="388" t="s">
        <v>10078</v>
      </c>
      <c r="H1611" s="388" t="s">
        <v>11308</v>
      </c>
      <c r="I1611" s="387" t="s">
        <v>13006</v>
      </c>
      <c r="J1611" s="389"/>
      <c r="K1611" s="387"/>
      <c r="L1611" s="387"/>
      <c r="M1611" s="387" t="s">
        <v>10084</v>
      </c>
      <c r="N1611" s="387"/>
      <c r="O1611" s="387" t="s">
        <v>57</v>
      </c>
      <c r="P1611" s="390">
        <v>78070000</v>
      </c>
      <c r="Q1611" s="387"/>
      <c r="R1611" s="387" t="s">
        <v>8072</v>
      </c>
      <c r="S1611" s="340">
        <v>1</v>
      </c>
    </row>
    <row r="1612" spans="1:19" ht="29" x14ac:dyDescent="0.35">
      <c r="A1612" s="349">
        <v>1601</v>
      </c>
      <c r="B1612" s="387" t="s">
        <v>10085</v>
      </c>
      <c r="C1612" s="387" t="s">
        <v>10086</v>
      </c>
      <c r="D1612" s="388" t="s">
        <v>101</v>
      </c>
      <c r="E1612" s="388" t="s">
        <v>10082</v>
      </c>
      <c r="F1612" s="388" t="s">
        <v>10078</v>
      </c>
      <c r="G1612" s="388" t="s">
        <v>10078</v>
      </c>
      <c r="H1612" s="388" t="s">
        <v>11308</v>
      </c>
      <c r="I1612" s="387" t="s">
        <v>13006</v>
      </c>
      <c r="J1612" s="389"/>
      <c r="K1612" s="387"/>
      <c r="L1612" s="387"/>
      <c r="M1612" s="387" t="s">
        <v>10084</v>
      </c>
      <c r="N1612" s="387"/>
      <c r="O1612" s="387" t="s">
        <v>57</v>
      </c>
      <c r="P1612" s="390">
        <v>188288000</v>
      </c>
      <c r="Q1612" s="387"/>
      <c r="R1612" s="387" t="s">
        <v>8072</v>
      </c>
      <c r="S1612" s="340">
        <v>1</v>
      </c>
    </row>
    <row r="1613" spans="1:19" ht="29.5" thickBot="1" x14ac:dyDescent="0.4">
      <c r="A1613" s="357">
        <v>1602</v>
      </c>
      <c r="B1613" s="387" t="s">
        <v>10080</v>
      </c>
      <c r="C1613" s="387" t="s">
        <v>10081</v>
      </c>
      <c r="D1613" s="388" t="s">
        <v>51</v>
      </c>
      <c r="E1613" s="388" t="s">
        <v>10082</v>
      </c>
      <c r="F1613" s="388" t="s">
        <v>10078</v>
      </c>
      <c r="G1613" s="388" t="s">
        <v>10078</v>
      </c>
      <c r="H1613" s="388" t="s">
        <v>11960</v>
      </c>
      <c r="I1613" s="387" t="s">
        <v>13006</v>
      </c>
      <c r="J1613" s="389"/>
      <c r="K1613" s="387"/>
      <c r="L1613" s="387"/>
      <c r="M1613" s="387" t="s">
        <v>10084</v>
      </c>
      <c r="N1613" s="387"/>
      <c r="O1613" s="387" t="s">
        <v>57</v>
      </c>
      <c r="P1613" s="390">
        <v>243968000</v>
      </c>
      <c r="Q1613" s="387"/>
      <c r="R1613" s="387" t="s">
        <v>8075</v>
      </c>
      <c r="S1613" s="340">
        <v>1</v>
      </c>
    </row>
    <row r="1614" spans="1:19" ht="29" x14ac:dyDescent="0.35">
      <c r="A1614" s="349">
        <v>1603</v>
      </c>
      <c r="B1614" s="387" t="s">
        <v>10080</v>
      </c>
      <c r="C1614" s="387" t="s">
        <v>10081</v>
      </c>
      <c r="D1614" s="388" t="s">
        <v>59</v>
      </c>
      <c r="E1614" s="388" t="s">
        <v>10082</v>
      </c>
      <c r="F1614" s="388" t="s">
        <v>10078</v>
      </c>
      <c r="G1614" s="388" t="s">
        <v>10078</v>
      </c>
      <c r="H1614" s="388" t="s">
        <v>13011</v>
      </c>
      <c r="I1614" s="387" t="s">
        <v>13006</v>
      </c>
      <c r="J1614" s="389"/>
      <c r="K1614" s="387"/>
      <c r="L1614" s="387"/>
      <c r="M1614" s="387" t="s">
        <v>10084</v>
      </c>
      <c r="N1614" s="387"/>
      <c r="O1614" s="387" t="s">
        <v>422</v>
      </c>
      <c r="P1614" s="390">
        <v>120000000</v>
      </c>
      <c r="Q1614" s="387" t="s">
        <v>8603</v>
      </c>
      <c r="R1614" s="387" t="s">
        <v>8075</v>
      </c>
      <c r="S1614" s="340">
        <v>1</v>
      </c>
    </row>
    <row r="1615" spans="1:19" ht="29.5" thickBot="1" x14ac:dyDescent="0.4">
      <c r="A1615" s="357">
        <v>1604</v>
      </c>
      <c r="B1615" s="387" t="s">
        <v>10080</v>
      </c>
      <c r="C1615" s="387" t="s">
        <v>10081</v>
      </c>
      <c r="D1615" s="388" t="s">
        <v>97</v>
      </c>
      <c r="E1615" s="388" t="s">
        <v>10082</v>
      </c>
      <c r="F1615" s="388" t="s">
        <v>10078</v>
      </c>
      <c r="G1615" s="388" t="s">
        <v>10078</v>
      </c>
      <c r="H1615" s="388" t="s">
        <v>1122</v>
      </c>
      <c r="I1615" s="387" t="s">
        <v>13006</v>
      </c>
      <c r="J1615" s="389"/>
      <c r="K1615" s="387"/>
      <c r="L1615" s="387"/>
      <c r="M1615" s="387" t="s">
        <v>10084</v>
      </c>
      <c r="N1615" s="387"/>
      <c r="O1615" s="387" t="s">
        <v>57</v>
      </c>
      <c r="P1615" s="390">
        <v>459337208</v>
      </c>
      <c r="Q1615" s="387"/>
      <c r="R1615" s="387" t="s">
        <v>8075</v>
      </c>
      <c r="S1615" s="340">
        <v>1</v>
      </c>
    </row>
    <row r="1616" spans="1:19" ht="29" x14ac:dyDescent="0.35">
      <c r="A1616" s="349">
        <v>1605</v>
      </c>
      <c r="B1616" s="387" t="s">
        <v>10110</v>
      </c>
      <c r="C1616" s="387" t="s">
        <v>10111</v>
      </c>
      <c r="D1616" s="388" t="s">
        <v>51</v>
      </c>
      <c r="E1616" s="388" t="s">
        <v>10082</v>
      </c>
      <c r="F1616" s="388" t="s">
        <v>10078</v>
      </c>
      <c r="G1616" s="388" t="s">
        <v>10078</v>
      </c>
      <c r="H1616" s="388" t="s">
        <v>11332</v>
      </c>
      <c r="I1616" s="387" t="s">
        <v>13006</v>
      </c>
      <c r="J1616" s="389"/>
      <c r="K1616" s="387"/>
      <c r="L1616" s="387"/>
      <c r="M1616" s="387" t="s">
        <v>10084</v>
      </c>
      <c r="N1616" s="387"/>
      <c r="O1616" s="387" t="s">
        <v>57</v>
      </c>
      <c r="P1616" s="390">
        <v>32340000</v>
      </c>
      <c r="Q1616" s="387"/>
      <c r="R1616" s="387" t="s">
        <v>8075</v>
      </c>
      <c r="S1616" s="340">
        <v>1</v>
      </c>
    </row>
    <row r="1617" spans="1:19" ht="29.5" thickBot="1" x14ac:dyDescent="0.4">
      <c r="A1617" s="357">
        <v>1606</v>
      </c>
      <c r="B1617" s="387" t="s">
        <v>10092</v>
      </c>
      <c r="C1617" s="387" t="s">
        <v>10093</v>
      </c>
      <c r="D1617" s="388" t="s">
        <v>51</v>
      </c>
      <c r="E1617" s="388" t="s">
        <v>10082</v>
      </c>
      <c r="F1617" s="388" t="s">
        <v>10078</v>
      </c>
      <c r="G1617" s="388" t="s">
        <v>10078</v>
      </c>
      <c r="H1617" s="388" t="s">
        <v>12979</v>
      </c>
      <c r="I1617" s="387" t="s">
        <v>13006</v>
      </c>
      <c r="J1617" s="389"/>
      <c r="K1617" s="387"/>
      <c r="L1617" s="387"/>
      <c r="M1617" s="387" t="s">
        <v>10084</v>
      </c>
      <c r="N1617" s="387"/>
      <c r="O1617" s="387" t="s">
        <v>57</v>
      </c>
      <c r="P1617" s="390">
        <v>153334954</v>
      </c>
      <c r="Q1617" s="387"/>
      <c r="R1617" s="387" t="s">
        <v>8075</v>
      </c>
      <c r="S1617" s="340">
        <v>1</v>
      </c>
    </row>
    <row r="1618" spans="1:19" ht="29" x14ac:dyDescent="0.35">
      <c r="A1618" s="349">
        <v>1607</v>
      </c>
      <c r="B1618" s="387" t="s">
        <v>10085</v>
      </c>
      <c r="C1618" s="387" t="s">
        <v>10086</v>
      </c>
      <c r="D1618" s="388" t="s">
        <v>51</v>
      </c>
      <c r="E1618" s="388" t="s">
        <v>10082</v>
      </c>
      <c r="F1618" s="388" t="s">
        <v>10078</v>
      </c>
      <c r="G1618" s="388" t="s">
        <v>10078</v>
      </c>
      <c r="H1618" s="388" t="s">
        <v>11308</v>
      </c>
      <c r="I1618" s="387" t="s">
        <v>13006</v>
      </c>
      <c r="J1618" s="389"/>
      <c r="K1618" s="387"/>
      <c r="L1618" s="387"/>
      <c r="M1618" s="387" t="s">
        <v>10084</v>
      </c>
      <c r="N1618" s="387"/>
      <c r="O1618" s="387" t="s">
        <v>57</v>
      </c>
      <c r="P1618" s="390">
        <v>279641286</v>
      </c>
      <c r="Q1618" s="387"/>
      <c r="R1618" s="387" t="s">
        <v>8075</v>
      </c>
      <c r="S1618" s="340">
        <v>1</v>
      </c>
    </row>
    <row r="1619" spans="1:19" ht="29.5" thickBot="1" x14ac:dyDescent="0.4">
      <c r="A1619" s="357">
        <v>1608</v>
      </c>
      <c r="B1619" s="387" t="s">
        <v>10085</v>
      </c>
      <c r="C1619" s="387" t="s">
        <v>10086</v>
      </c>
      <c r="D1619" s="388" t="s">
        <v>59</v>
      </c>
      <c r="E1619" s="388" t="s">
        <v>10082</v>
      </c>
      <c r="F1619" s="388" t="s">
        <v>10078</v>
      </c>
      <c r="G1619" s="388" t="s">
        <v>10078</v>
      </c>
      <c r="H1619" s="388" t="s">
        <v>11308</v>
      </c>
      <c r="I1619" s="387" t="s">
        <v>13006</v>
      </c>
      <c r="J1619" s="389"/>
      <c r="K1619" s="387"/>
      <c r="L1619" s="387"/>
      <c r="M1619" s="387" t="s">
        <v>10084</v>
      </c>
      <c r="N1619" s="387"/>
      <c r="O1619" s="387" t="s">
        <v>57</v>
      </c>
      <c r="P1619" s="390">
        <v>58800000</v>
      </c>
      <c r="Q1619" s="387"/>
      <c r="R1619" s="387" t="s">
        <v>8075</v>
      </c>
      <c r="S1619" s="340">
        <v>1</v>
      </c>
    </row>
    <row r="1620" spans="1:19" ht="29" x14ac:dyDescent="0.35">
      <c r="A1620" s="349">
        <v>1609</v>
      </c>
      <c r="B1620" s="387" t="s">
        <v>10085</v>
      </c>
      <c r="C1620" s="387" t="s">
        <v>10086</v>
      </c>
      <c r="D1620" s="388" t="s">
        <v>97</v>
      </c>
      <c r="E1620" s="388" t="s">
        <v>10082</v>
      </c>
      <c r="F1620" s="388" t="s">
        <v>10078</v>
      </c>
      <c r="G1620" s="388" t="s">
        <v>10088</v>
      </c>
      <c r="H1620" s="388" t="s">
        <v>11421</v>
      </c>
      <c r="I1620" s="387" t="s">
        <v>13006</v>
      </c>
      <c r="J1620" s="389"/>
      <c r="K1620" s="387"/>
      <c r="L1620" s="387"/>
      <c r="M1620" s="387" t="s">
        <v>10084</v>
      </c>
      <c r="N1620" s="387"/>
      <c r="O1620" s="387" t="s">
        <v>57</v>
      </c>
      <c r="P1620" s="390">
        <v>99604000</v>
      </c>
      <c r="Q1620" s="387"/>
      <c r="R1620" s="387" t="s">
        <v>8075</v>
      </c>
      <c r="S1620" s="340">
        <v>1</v>
      </c>
    </row>
    <row r="1621" spans="1:19" ht="29.5" thickBot="1" x14ac:dyDescent="0.4">
      <c r="A1621" s="357">
        <v>1610</v>
      </c>
      <c r="B1621" s="387" t="s">
        <v>10085</v>
      </c>
      <c r="C1621" s="387" t="s">
        <v>10086</v>
      </c>
      <c r="D1621" s="388" t="s">
        <v>101</v>
      </c>
      <c r="E1621" s="388" t="s">
        <v>10082</v>
      </c>
      <c r="F1621" s="388" t="s">
        <v>10078</v>
      </c>
      <c r="G1621" s="388" t="s">
        <v>10078</v>
      </c>
      <c r="H1621" s="388" t="s">
        <v>11308</v>
      </c>
      <c r="I1621" s="387" t="s">
        <v>13006</v>
      </c>
      <c r="J1621" s="389"/>
      <c r="K1621" s="387"/>
      <c r="L1621" s="387"/>
      <c r="M1621" s="387" t="s">
        <v>10084</v>
      </c>
      <c r="N1621" s="387"/>
      <c r="O1621" s="387" t="s">
        <v>57</v>
      </c>
      <c r="P1621" s="390">
        <v>58800000</v>
      </c>
      <c r="Q1621" s="387"/>
      <c r="R1621" s="387" t="s">
        <v>8075</v>
      </c>
      <c r="S1621" s="340">
        <v>1</v>
      </c>
    </row>
    <row r="1622" spans="1:19" ht="43.5" x14ac:dyDescent="0.35">
      <c r="A1622" s="349">
        <v>1611</v>
      </c>
      <c r="B1622" s="387" t="s">
        <v>10085</v>
      </c>
      <c r="C1622" s="387" t="s">
        <v>10086</v>
      </c>
      <c r="D1622" s="388" t="s">
        <v>107</v>
      </c>
      <c r="E1622" s="388" t="s">
        <v>10082</v>
      </c>
      <c r="F1622" s="388" t="s">
        <v>10078</v>
      </c>
      <c r="G1622" s="388" t="s">
        <v>10078</v>
      </c>
      <c r="H1622" s="388" t="s">
        <v>11634</v>
      </c>
      <c r="I1622" s="387" t="s">
        <v>13006</v>
      </c>
      <c r="J1622" s="389">
        <v>41585</v>
      </c>
      <c r="K1622" s="387" t="s">
        <v>13012</v>
      </c>
      <c r="L1622" s="387"/>
      <c r="M1622" s="387" t="s">
        <v>10084</v>
      </c>
      <c r="N1622" s="387"/>
      <c r="O1622" s="387" t="s">
        <v>57</v>
      </c>
      <c r="P1622" s="390">
        <v>137500000</v>
      </c>
      <c r="Q1622" s="387" t="s">
        <v>13013</v>
      </c>
      <c r="R1622" s="387" t="s">
        <v>8075</v>
      </c>
      <c r="S1622" s="340">
        <v>1</v>
      </c>
    </row>
    <row r="1623" spans="1:19" ht="44" thickBot="1" x14ac:dyDescent="0.4">
      <c r="A1623" s="357">
        <v>1612</v>
      </c>
      <c r="B1623" s="387" t="s">
        <v>10155</v>
      </c>
      <c r="C1623" s="387" t="s">
        <v>10156</v>
      </c>
      <c r="D1623" s="388" t="s">
        <v>51</v>
      </c>
      <c r="E1623" s="388" t="s">
        <v>10082</v>
      </c>
      <c r="F1623" s="388" t="s">
        <v>10078</v>
      </c>
      <c r="G1623" s="388" t="s">
        <v>10078</v>
      </c>
      <c r="H1623" s="388" t="s">
        <v>12623</v>
      </c>
      <c r="I1623" s="387" t="s">
        <v>13014</v>
      </c>
      <c r="J1623" s="389">
        <v>43966</v>
      </c>
      <c r="K1623" s="387" t="s">
        <v>13015</v>
      </c>
      <c r="L1623" s="387"/>
      <c r="M1623" s="387" t="s">
        <v>10084</v>
      </c>
      <c r="N1623" s="387"/>
      <c r="O1623" s="387" t="s">
        <v>57</v>
      </c>
      <c r="P1623" s="390">
        <v>197350000</v>
      </c>
      <c r="Q1623" s="387" t="s">
        <v>13016</v>
      </c>
      <c r="R1623" s="387" t="s">
        <v>8078</v>
      </c>
      <c r="S1623" s="340">
        <v>1</v>
      </c>
    </row>
    <row r="1624" spans="1:19" ht="29" x14ac:dyDescent="0.35">
      <c r="A1624" s="349">
        <v>1613</v>
      </c>
      <c r="B1624" s="387" t="s">
        <v>10080</v>
      </c>
      <c r="C1624" s="387" t="s">
        <v>10081</v>
      </c>
      <c r="D1624" s="388" t="s">
        <v>51</v>
      </c>
      <c r="E1624" s="388" t="s">
        <v>10082</v>
      </c>
      <c r="F1624" s="388" t="s">
        <v>10078</v>
      </c>
      <c r="G1624" s="388" t="s">
        <v>10078</v>
      </c>
      <c r="H1624" s="388" t="s">
        <v>12266</v>
      </c>
      <c r="I1624" s="387" t="s">
        <v>9837</v>
      </c>
      <c r="J1624" s="389"/>
      <c r="K1624" s="387"/>
      <c r="L1624" s="387"/>
      <c r="M1624" s="387" t="s">
        <v>10084</v>
      </c>
      <c r="N1624" s="387"/>
      <c r="O1624" s="387" t="s">
        <v>57</v>
      </c>
      <c r="P1624" s="390">
        <v>225844000</v>
      </c>
      <c r="Q1624" s="387"/>
      <c r="R1624" s="387" t="s">
        <v>8078</v>
      </c>
      <c r="S1624" s="340">
        <v>1</v>
      </c>
    </row>
    <row r="1625" spans="1:19" ht="29.5" thickBot="1" x14ac:dyDescent="0.4">
      <c r="A1625" s="357">
        <v>1614</v>
      </c>
      <c r="B1625" s="387" t="s">
        <v>10080</v>
      </c>
      <c r="C1625" s="387" t="s">
        <v>10081</v>
      </c>
      <c r="D1625" s="388" t="s">
        <v>59</v>
      </c>
      <c r="E1625" s="388" t="s">
        <v>10082</v>
      </c>
      <c r="F1625" s="388" t="s">
        <v>10078</v>
      </c>
      <c r="G1625" s="388" t="s">
        <v>10078</v>
      </c>
      <c r="H1625" s="388" t="s">
        <v>11605</v>
      </c>
      <c r="I1625" s="387" t="s">
        <v>9837</v>
      </c>
      <c r="J1625" s="389"/>
      <c r="K1625" s="387"/>
      <c r="L1625" s="387"/>
      <c r="M1625" s="387" t="s">
        <v>10084</v>
      </c>
      <c r="N1625" s="387"/>
      <c r="O1625" s="387" t="s">
        <v>422</v>
      </c>
      <c r="P1625" s="390">
        <v>110000000</v>
      </c>
      <c r="Q1625" s="387" t="s">
        <v>8603</v>
      </c>
      <c r="R1625" s="387" t="s">
        <v>8078</v>
      </c>
      <c r="S1625" s="340">
        <v>1</v>
      </c>
    </row>
    <row r="1626" spans="1:19" ht="29" x14ac:dyDescent="0.35">
      <c r="A1626" s="349">
        <v>1615</v>
      </c>
      <c r="B1626" s="387" t="s">
        <v>10080</v>
      </c>
      <c r="C1626" s="387" t="s">
        <v>10081</v>
      </c>
      <c r="D1626" s="388" t="s">
        <v>97</v>
      </c>
      <c r="E1626" s="388" t="s">
        <v>10082</v>
      </c>
      <c r="F1626" s="388" t="s">
        <v>10078</v>
      </c>
      <c r="G1626" s="388" t="s">
        <v>10078</v>
      </c>
      <c r="H1626" s="388" t="s">
        <v>163</v>
      </c>
      <c r="I1626" s="387" t="s">
        <v>9837</v>
      </c>
      <c r="J1626" s="389"/>
      <c r="K1626" s="387"/>
      <c r="L1626" s="387"/>
      <c r="M1626" s="387" t="s">
        <v>10084</v>
      </c>
      <c r="N1626" s="387"/>
      <c r="O1626" s="387" t="s">
        <v>57</v>
      </c>
      <c r="P1626" s="390">
        <v>381848000</v>
      </c>
      <c r="Q1626" s="387"/>
      <c r="R1626" s="387" t="s">
        <v>8078</v>
      </c>
      <c r="S1626" s="340">
        <v>1</v>
      </c>
    </row>
    <row r="1627" spans="1:19" ht="29.5" thickBot="1" x14ac:dyDescent="0.4">
      <c r="A1627" s="357">
        <v>1616</v>
      </c>
      <c r="B1627" s="387" t="s">
        <v>10110</v>
      </c>
      <c r="C1627" s="387" t="s">
        <v>10111</v>
      </c>
      <c r="D1627" s="388" t="s">
        <v>51</v>
      </c>
      <c r="E1627" s="388" t="s">
        <v>10082</v>
      </c>
      <c r="F1627" s="388" t="s">
        <v>10078</v>
      </c>
      <c r="G1627" s="388" t="s">
        <v>10078</v>
      </c>
      <c r="H1627" s="388" t="s">
        <v>11349</v>
      </c>
      <c r="I1627" s="387" t="s">
        <v>13017</v>
      </c>
      <c r="J1627" s="389">
        <v>43712</v>
      </c>
      <c r="K1627" s="387" t="s">
        <v>13018</v>
      </c>
      <c r="L1627" s="387"/>
      <c r="M1627" s="387" t="s">
        <v>10084</v>
      </c>
      <c r="N1627" s="387"/>
      <c r="O1627" s="387" t="s">
        <v>57</v>
      </c>
      <c r="P1627" s="390">
        <v>122434500</v>
      </c>
      <c r="Q1627" s="387" t="s">
        <v>13019</v>
      </c>
      <c r="R1627" s="387" t="s">
        <v>8078</v>
      </c>
      <c r="S1627" s="340">
        <v>1</v>
      </c>
    </row>
    <row r="1628" spans="1:19" ht="43.5" x14ac:dyDescent="0.35">
      <c r="A1628" s="349">
        <v>1617</v>
      </c>
      <c r="B1628" s="387" t="s">
        <v>10110</v>
      </c>
      <c r="C1628" s="387" t="s">
        <v>10111</v>
      </c>
      <c r="D1628" s="388" t="s">
        <v>59</v>
      </c>
      <c r="E1628" s="388" t="s">
        <v>10082</v>
      </c>
      <c r="F1628" s="388" t="s">
        <v>10078</v>
      </c>
      <c r="G1628" s="388" t="s">
        <v>10078</v>
      </c>
      <c r="H1628" s="388" t="s">
        <v>11349</v>
      </c>
      <c r="I1628" s="387" t="s">
        <v>13020</v>
      </c>
      <c r="J1628" s="389">
        <v>43588</v>
      </c>
      <c r="K1628" s="387" t="s">
        <v>13021</v>
      </c>
      <c r="L1628" s="387"/>
      <c r="M1628" s="387" t="s">
        <v>10084</v>
      </c>
      <c r="N1628" s="387"/>
      <c r="O1628" s="387" t="s">
        <v>57</v>
      </c>
      <c r="P1628" s="390">
        <v>127083600</v>
      </c>
      <c r="Q1628" s="387" t="s">
        <v>13022</v>
      </c>
      <c r="R1628" s="387" t="s">
        <v>8078</v>
      </c>
      <c r="S1628" s="340">
        <v>1</v>
      </c>
    </row>
    <row r="1629" spans="1:19" ht="44" thickBot="1" x14ac:dyDescent="0.4">
      <c r="A1629" s="357">
        <v>1618</v>
      </c>
      <c r="B1629" s="387" t="s">
        <v>10110</v>
      </c>
      <c r="C1629" s="387" t="s">
        <v>10111</v>
      </c>
      <c r="D1629" s="388" t="s">
        <v>97</v>
      </c>
      <c r="E1629" s="388" t="s">
        <v>10082</v>
      </c>
      <c r="F1629" s="388" t="s">
        <v>10078</v>
      </c>
      <c r="G1629" s="388" t="s">
        <v>10078</v>
      </c>
      <c r="H1629" s="388" t="s">
        <v>11870</v>
      </c>
      <c r="I1629" s="387" t="s">
        <v>13014</v>
      </c>
      <c r="J1629" s="389">
        <v>43966</v>
      </c>
      <c r="K1629" s="387" t="s">
        <v>13023</v>
      </c>
      <c r="L1629" s="387"/>
      <c r="M1629" s="387" t="s">
        <v>10084</v>
      </c>
      <c r="N1629" s="387"/>
      <c r="O1629" s="387" t="s">
        <v>57</v>
      </c>
      <c r="P1629" s="390">
        <v>76950000</v>
      </c>
      <c r="Q1629" s="387" t="s">
        <v>13024</v>
      </c>
      <c r="R1629" s="387" t="s">
        <v>8078</v>
      </c>
      <c r="S1629" s="340">
        <v>1</v>
      </c>
    </row>
    <row r="1630" spans="1:19" ht="43.5" x14ac:dyDescent="0.35">
      <c r="A1630" s="349">
        <v>1619</v>
      </c>
      <c r="B1630" s="387" t="s">
        <v>10092</v>
      </c>
      <c r="C1630" s="387" t="s">
        <v>10093</v>
      </c>
      <c r="D1630" s="388" t="s">
        <v>51</v>
      </c>
      <c r="E1630" s="388" t="s">
        <v>10082</v>
      </c>
      <c r="F1630" s="388" t="s">
        <v>10078</v>
      </c>
      <c r="G1630" s="388" t="s">
        <v>10078</v>
      </c>
      <c r="H1630" s="388" t="s">
        <v>11308</v>
      </c>
      <c r="I1630" s="387" t="s">
        <v>13020</v>
      </c>
      <c r="J1630" s="389">
        <v>43966</v>
      </c>
      <c r="K1630" s="387" t="s">
        <v>13025</v>
      </c>
      <c r="L1630" s="387"/>
      <c r="M1630" s="387" t="s">
        <v>10084</v>
      </c>
      <c r="N1630" s="387"/>
      <c r="O1630" s="387" t="s">
        <v>57</v>
      </c>
      <c r="P1630" s="390">
        <v>76881500</v>
      </c>
      <c r="Q1630" s="387" t="s">
        <v>13026</v>
      </c>
      <c r="R1630" s="387" t="s">
        <v>8078</v>
      </c>
      <c r="S1630" s="340">
        <v>1</v>
      </c>
    </row>
    <row r="1631" spans="1:19" ht="29.5" thickBot="1" x14ac:dyDescent="0.4">
      <c r="A1631" s="357">
        <v>1620</v>
      </c>
      <c r="B1631" s="387" t="s">
        <v>10765</v>
      </c>
      <c r="C1631" s="387" t="s">
        <v>10766</v>
      </c>
      <c r="D1631" s="388" t="s">
        <v>51</v>
      </c>
      <c r="E1631" s="388" t="s">
        <v>10082</v>
      </c>
      <c r="F1631" s="388" t="s">
        <v>10078</v>
      </c>
      <c r="G1631" s="388" t="s">
        <v>10078</v>
      </c>
      <c r="H1631" s="388" t="s">
        <v>2972</v>
      </c>
      <c r="I1631" s="387" t="s">
        <v>13027</v>
      </c>
      <c r="J1631" s="389">
        <v>42465</v>
      </c>
      <c r="K1631" s="387" t="s">
        <v>13028</v>
      </c>
      <c r="L1631" s="387"/>
      <c r="M1631" s="387" t="s">
        <v>10084</v>
      </c>
      <c r="N1631" s="387"/>
      <c r="O1631" s="387" t="s">
        <v>57</v>
      </c>
      <c r="P1631" s="390">
        <v>441966000</v>
      </c>
      <c r="Q1631" s="387" t="s">
        <v>13029</v>
      </c>
      <c r="R1631" s="387" t="s">
        <v>8078</v>
      </c>
      <c r="S1631" s="340">
        <v>1</v>
      </c>
    </row>
    <row r="1632" spans="1:19" ht="29" x14ac:dyDescent="0.35">
      <c r="A1632" s="349">
        <v>1621</v>
      </c>
      <c r="B1632" s="387" t="s">
        <v>10085</v>
      </c>
      <c r="C1632" s="387" t="s">
        <v>10086</v>
      </c>
      <c r="D1632" s="388" t="s">
        <v>51</v>
      </c>
      <c r="E1632" s="388" t="s">
        <v>10082</v>
      </c>
      <c r="F1632" s="388" t="s">
        <v>10078</v>
      </c>
      <c r="G1632" s="388" t="s">
        <v>10078</v>
      </c>
      <c r="H1632" s="388" t="s">
        <v>12157</v>
      </c>
      <c r="I1632" s="387" t="s">
        <v>9837</v>
      </c>
      <c r="J1632" s="389"/>
      <c r="K1632" s="387"/>
      <c r="L1632" s="387"/>
      <c r="M1632" s="387" t="s">
        <v>10084</v>
      </c>
      <c r="N1632" s="387"/>
      <c r="O1632" s="387" t="s">
        <v>57</v>
      </c>
      <c r="P1632" s="390">
        <v>100375000</v>
      </c>
      <c r="Q1632" s="387"/>
      <c r="R1632" s="387" t="s">
        <v>8078</v>
      </c>
      <c r="S1632" s="340">
        <v>1</v>
      </c>
    </row>
    <row r="1633" spans="1:19" ht="29.5" thickBot="1" x14ac:dyDescent="0.4">
      <c r="A1633" s="357">
        <v>1622</v>
      </c>
      <c r="B1633" s="387" t="s">
        <v>10085</v>
      </c>
      <c r="C1633" s="387" t="s">
        <v>10086</v>
      </c>
      <c r="D1633" s="388" t="s">
        <v>59</v>
      </c>
      <c r="E1633" s="388" t="s">
        <v>10082</v>
      </c>
      <c r="F1633" s="388" t="s">
        <v>10078</v>
      </c>
      <c r="G1633" s="388" t="s">
        <v>10078</v>
      </c>
      <c r="H1633" s="388" t="s">
        <v>12157</v>
      </c>
      <c r="I1633" s="387" t="s">
        <v>9837</v>
      </c>
      <c r="J1633" s="389"/>
      <c r="K1633" s="387"/>
      <c r="L1633" s="387"/>
      <c r="M1633" s="387" t="s">
        <v>10084</v>
      </c>
      <c r="N1633" s="387"/>
      <c r="O1633" s="387" t="s">
        <v>57</v>
      </c>
      <c r="P1633" s="390">
        <v>777044600</v>
      </c>
      <c r="Q1633" s="387"/>
      <c r="R1633" s="387" t="s">
        <v>8078</v>
      </c>
      <c r="S1633" s="340">
        <v>1</v>
      </c>
    </row>
    <row r="1634" spans="1:19" ht="29" x14ac:dyDescent="0.35">
      <c r="A1634" s="349">
        <v>1623</v>
      </c>
      <c r="B1634" s="387" t="s">
        <v>10096</v>
      </c>
      <c r="C1634" s="387" t="s">
        <v>10097</v>
      </c>
      <c r="D1634" s="388" t="s">
        <v>51</v>
      </c>
      <c r="E1634" s="388" t="s">
        <v>10082</v>
      </c>
      <c r="F1634" s="388" t="s">
        <v>10078</v>
      </c>
      <c r="G1634" s="388" t="s">
        <v>10078</v>
      </c>
      <c r="H1634" s="388" t="s">
        <v>2972</v>
      </c>
      <c r="I1634" s="387" t="s">
        <v>13030</v>
      </c>
      <c r="J1634" s="389">
        <v>44398</v>
      </c>
      <c r="K1634" s="387" t="s">
        <v>13031</v>
      </c>
      <c r="L1634" s="387"/>
      <c r="M1634" s="387" t="s">
        <v>10084</v>
      </c>
      <c r="N1634" s="387"/>
      <c r="O1634" s="387" t="s">
        <v>57</v>
      </c>
      <c r="P1634" s="390">
        <v>221725000</v>
      </c>
      <c r="Q1634" s="387" t="s">
        <v>13032</v>
      </c>
      <c r="R1634" s="387" t="s">
        <v>8078</v>
      </c>
      <c r="S1634" s="340">
        <v>1</v>
      </c>
    </row>
    <row r="1635" spans="1:19" ht="29.5" thickBot="1" x14ac:dyDescent="0.4">
      <c r="A1635" s="357">
        <v>1624</v>
      </c>
      <c r="B1635" s="387" t="s">
        <v>10096</v>
      </c>
      <c r="C1635" s="387" t="s">
        <v>10097</v>
      </c>
      <c r="D1635" s="388" t="s">
        <v>59</v>
      </c>
      <c r="E1635" s="388" t="s">
        <v>10082</v>
      </c>
      <c r="F1635" s="388" t="s">
        <v>10078</v>
      </c>
      <c r="G1635" s="388" t="s">
        <v>10088</v>
      </c>
      <c r="H1635" s="388" t="s">
        <v>13033</v>
      </c>
      <c r="I1635" s="387" t="s">
        <v>9837</v>
      </c>
      <c r="J1635" s="389">
        <v>42151</v>
      </c>
      <c r="K1635" s="387" t="s">
        <v>13034</v>
      </c>
      <c r="L1635" s="387"/>
      <c r="M1635" s="387" t="s">
        <v>10084</v>
      </c>
      <c r="N1635" s="387"/>
      <c r="O1635" s="387" t="s">
        <v>57</v>
      </c>
      <c r="P1635" s="390">
        <v>221284500</v>
      </c>
      <c r="Q1635" s="387" t="s">
        <v>13035</v>
      </c>
      <c r="R1635" s="387" t="s">
        <v>8078</v>
      </c>
      <c r="S1635" s="340">
        <v>1</v>
      </c>
    </row>
    <row r="1636" spans="1:19" ht="29" x14ac:dyDescent="0.35">
      <c r="A1636" s="349">
        <v>1625</v>
      </c>
      <c r="B1636" s="387" t="s">
        <v>10080</v>
      </c>
      <c r="C1636" s="387" t="s">
        <v>10081</v>
      </c>
      <c r="D1636" s="388" t="s">
        <v>51</v>
      </c>
      <c r="E1636" s="388" t="s">
        <v>10082</v>
      </c>
      <c r="F1636" s="388" t="s">
        <v>10078</v>
      </c>
      <c r="G1636" s="388" t="s">
        <v>10078</v>
      </c>
      <c r="H1636" s="388" t="s">
        <v>11960</v>
      </c>
      <c r="I1636" s="387" t="s">
        <v>9837</v>
      </c>
      <c r="J1636" s="389"/>
      <c r="K1636" s="387"/>
      <c r="L1636" s="387"/>
      <c r="M1636" s="387" t="s">
        <v>10084</v>
      </c>
      <c r="N1636" s="387"/>
      <c r="O1636" s="387" t="s">
        <v>57</v>
      </c>
      <c r="P1636" s="390">
        <v>554094000</v>
      </c>
      <c r="Q1636" s="387"/>
      <c r="R1636" s="387" t="s">
        <v>8079</v>
      </c>
      <c r="S1636" s="340">
        <v>1</v>
      </c>
    </row>
    <row r="1637" spans="1:19" ht="29.5" thickBot="1" x14ac:dyDescent="0.4">
      <c r="A1637" s="357">
        <v>1626</v>
      </c>
      <c r="B1637" s="387" t="s">
        <v>10080</v>
      </c>
      <c r="C1637" s="387" t="s">
        <v>10081</v>
      </c>
      <c r="D1637" s="388" t="s">
        <v>59</v>
      </c>
      <c r="E1637" s="388" t="s">
        <v>10082</v>
      </c>
      <c r="F1637" s="388" t="s">
        <v>10078</v>
      </c>
      <c r="G1637" s="388" t="s">
        <v>10078</v>
      </c>
      <c r="H1637" s="388" t="s">
        <v>13036</v>
      </c>
      <c r="I1637" s="387" t="s">
        <v>9837</v>
      </c>
      <c r="J1637" s="389"/>
      <c r="K1637" s="387"/>
      <c r="L1637" s="387"/>
      <c r="M1637" s="387" t="s">
        <v>10084</v>
      </c>
      <c r="N1637" s="387"/>
      <c r="O1637" s="387" t="s">
        <v>422</v>
      </c>
      <c r="P1637" s="390">
        <v>110000000</v>
      </c>
      <c r="Q1637" s="387" t="s">
        <v>8603</v>
      </c>
      <c r="R1637" s="387" t="s">
        <v>8079</v>
      </c>
      <c r="S1637" s="340">
        <v>1</v>
      </c>
    </row>
    <row r="1638" spans="1:19" ht="29" x14ac:dyDescent="0.35">
      <c r="A1638" s="349">
        <v>1627</v>
      </c>
      <c r="B1638" s="387" t="s">
        <v>10080</v>
      </c>
      <c r="C1638" s="387" t="s">
        <v>10081</v>
      </c>
      <c r="D1638" s="388" t="s">
        <v>97</v>
      </c>
      <c r="E1638" s="388" t="s">
        <v>10082</v>
      </c>
      <c r="F1638" s="388" t="s">
        <v>10078</v>
      </c>
      <c r="G1638" s="388" t="s">
        <v>10078</v>
      </c>
      <c r="H1638" s="388" t="s">
        <v>13037</v>
      </c>
      <c r="I1638" s="387" t="s">
        <v>9837</v>
      </c>
      <c r="J1638" s="389"/>
      <c r="K1638" s="387"/>
      <c r="L1638" s="387"/>
      <c r="M1638" s="387" t="s">
        <v>10084</v>
      </c>
      <c r="N1638" s="387"/>
      <c r="O1638" s="387" t="s">
        <v>57</v>
      </c>
      <c r="P1638" s="390">
        <v>326219000</v>
      </c>
      <c r="Q1638" s="387"/>
      <c r="R1638" s="387" t="s">
        <v>8079</v>
      </c>
      <c r="S1638" s="340">
        <v>1</v>
      </c>
    </row>
    <row r="1639" spans="1:19" ht="29.5" thickBot="1" x14ac:dyDescent="0.4">
      <c r="A1639" s="357">
        <v>1628</v>
      </c>
      <c r="B1639" s="387" t="s">
        <v>10110</v>
      </c>
      <c r="C1639" s="387" t="s">
        <v>10111</v>
      </c>
      <c r="D1639" s="388" t="s">
        <v>51</v>
      </c>
      <c r="E1639" s="388" t="s">
        <v>10082</v>
      </c>
      <c r="F1639" s="388" t="s">
        <v>10078</v>
      </c>
      <c r="G1639" s="388" t="s">
        <v>10088</v>
      </c>
      <c r="H1639" s="388" t="s">
        <v>11332</v>
      </c>
      <c r="I1639" s="387" t="s">
        <v>9837</v>
      </c>
      <c r="J1639" s="389">
        <v>42149</v>
      </c>
      <c r="K1639" s="387" t="s">
        <v>13038</v>
      </c>
      <c r="L1639" s="387"/>
      <c r="M1639" s="387" t="s">
        <v>10084</v>
      </c>
      <c r="N1639" s="387"/>
      <c r="O1639" s="387" t="s">
        <v>57</v>
      </c>
      <c r="P1639" s="390">
        <v>192079000</v>
      </c>
      <c r="Q1639" s="387" t="s">
        <v>13039</v>
      </c>
      <c r="R1639" s="387" t="s">
        <v>8079</v>
      </c>
      <c r="S1639" s="340">
        <v>1</v>
      </c>
    </row>
    <row r="1640" spans="1:19" ht="72.5" x14ac:dyDescent="0.35">
      <c r="A1640" s="349">
        <v>1629</v>
      </c>
      <c r="B1640" s="387" t="s">
        <v>10110</v>
      </c>
      <c r="C1640" s="387" t="s">
        <v>10111</v>
      </c>
      <c r="D1640" s="388" t="s">
        <v>97</v>
      </c>
      <c r="E1640" s="388" t="s">
        <v>10082</v>
      </c>
      <c r="F1640" s="388" t="s">
        <v>10078</v>
      </c>
      <c r="G1640" s="388" t="s">
        <v>10088</v>
      </c>
      <c r="H1640" s="388" t="s">
        <v>12623</v>
      </c>
      <c r="I1640" s="387" t="s">
        <v>13040</v>
      </c>
      <c r="J1640" s="389"/>
      <c r="K1640" s="387" t="s">
        <v>13041</v>
      </c>
      <c r="L1640" s="387"/>
      <c r="M1640" s="387"/>
      <c r="N1640" s="387"/>
      <c r="O1640" s="387" t="s">
        <v>44</v>
      </c>
      <c r="P1640" s="390">
        <v>263258800</v>
      </c>
      <c r="Q1640" s="387" t="s">
        <v>13042</v>
      </c>
      <c r="R1640" s="387" t="s">
        <v>8079</v>
      </c>
      <c r="S1640" s="340">
        <v>1</v>
      </c>
    </row>
    <row r="1641" spans="1:19" ht="29.5" thickBot="1" x14ac:dyDescent="0.4">
      <c r="A1641" s="357">
        <v>1630</v>
      </c>
      <c r="B1641" s="387" t="s">
        <v>10092</v>
      </c>
      <c r="C1641" s="387" t="s">
        <v>10093</v>
      </c>
      <c r="D1641" s="388" t="s">
        <v>51</v>
      </c>
      <c r="E1641" s="388" t="s">
        <v>10082</v>
      </c>
      <c r="F1641" s="388" t="s">
        <v>10078</v>
      </c>
      <c r="G1641" s="388" t="s">
        <v>10088</v>
      </c>
      <c r="H1641" s="388" t="s">
        <v>12979</v>
      </c>
      <c r="I1641" s="387" t="s">
        <v>9837</v>
      </c>
      <c r="J1641" s="389">
        <v>40770</v>
      </c>
      <c r="K1641" s="387" t="s">
        <v>13043</v>
      </c>
      <c r="L1641" s="387"/>
      <c r="M1641" s="387" t="s">
        <v>10084</v>
      </c>
      <c r="N1641" s="387"/>
      <c r="O1641" s="387" t="s">
        <v>422</v>
      </c>
      <c r="P1641" s="390">
        <v>158274975</v>
      </c>
      <c r="Q1641" s="387" t="s">
        <v>13044</v>
      </c>
      <c r="R1641" s="387" t="s">
        <v>8079</v>
      </c>
      <c r="S1641" s="340">
        <v>1</v>
      </c>
    </row>
    <row r="1642" spans="1:19" ht="29" x14ac:dyDescent="0.35">
      <c r="A1642" s="349">
        <v>1631</v>
      </c>
      <c r="B1642" s="387" t="s">
        <v>10765</v>
      </c>
      <c r="C1642" s="387" t="s">
        <v>10766</v>
      </c>
      <c r="D1642" s="388" t="s">
        <v>51</v>
      </c>
      <c r="E1642" s="388" t="s">
        <v>10082</v>
      </c>
      <c r="F1642" s="388" t="s">
        <v>10078</v>
      </c>
      <c r="G1642" s="388" t="s">
        <v>10078</v>
      </c>
      <c r="H1642" s="388" t="s">
        <v>2972</v>
      </c>
      <c r="I1642" s="387" t="s">
        <v>13045</v>
      </c>
      <c r="J1642" s="389">
        <v>42149</v>
      </c>
      <c r="K1642" s="387" t="s">
        <v>13046</v>
      </c>
      <c r="L1642" s="387"/>
      <c r="M1642" s="387" t="s">
        <v>10084</v>
      </c>
      <c r="N1642" s="387"/>
      <c r="O1642" s="387" t="s">
        <v>57</v>
      </c>
      <c r="P1642" s="390">
        <v>442498000</v>
      </c>
      <c r="Q1642" s="387" t="s">
        <v>13047</v>
      </c>
      <c r="R1642" s="387" t="s">
        <v>8079</v>
      </c>
      <c r="S1642" s="340">
        <v>1</v>
      </c>
    </row>
    <row r="1643" spans="1:19" ht="29.5" thickBot="1" x14ac:dyDescent="0.4">
      <c r="A1643" s="357">
        <v>1632</v>
      </c>
      <c r="B1643" s="387" t="s">
        <v>10085</v>
      </c>
      <c r="C1643" s="387" t="s">
        <v>10086</v>
      </c>
      <c r="D1643" s="388" t="s">
        <v>51</v>
      </c>
      <c r="E1643" s="388" t="s">
        <v>10082</v>
      </c>
      <c r="F1643" s="388" t="s">
        <v>10078</v>
      </c>
      <c r="G1643" s="388" t="s">
        <v>10078</v>
      </c>
      <c r="H1643" s="388" t="s">
        <v>11686</v>
      </c>
      <c r="I1643" s="387" t="s">
        <v>9837</v>
      </c>
      <c r="J1643" s="389"/>
      <c r="K1643" s="387"/>
      <c r="L1643" s="387"/>
      <c r="M1643" s="387" t="s">
        <v>10084</v>
      </c>
      <c r="N1643" s="387"/>
      <c r="O1643" s="387" t="s">
        <v>57</v>
      </c>
      <c r="P1643" s="390">
        <v>75281000</v>
      </c>
      <c r="Q1643" s="387"/>
      <c r="R1643" s="387" t="s">
        <v>8079</v>
      </c>
      <c r="S1643" s="340">
        <v>1</v>
      </c>
    </row>
    <row r="1644" spans="1:19" ht="29" x14ac:dyDescent="0.35">
      <c r="A1644" s="349">
        <v>1633</v>
      </c>
      <c r="B1644" s="387" t="s">
        <v>10085</v>
      </c>
      <c r="C1644" s="387" t="s">
        <v>10086</v>
      </c>
      <c r="D1644" s="388" t="s">
        <v>59</v>
      </c>
      <c r="E1644" s="388" t="s">
        <v>10082</v>
      </c>
      <c r="F1644" s="388" t="s">
        <v>10078</v>
      </c>
      <c r="G1644" s="388" t="s">
        <v>10078</v>
      </c>
      <c r="H1644" s="388" t="s">
        <v>12157</v>
      </c>
      <c r="I1644" s="387" t="s">
        <v>9837</v>
      </c>
      <c r="J1644" s="389"/>
      <c r="K1644" s="387"/>
      <c r="L1644" s="387"/>
      <c r="M1644" s="387" t="s">
        <v>10084</v>
      </c>
      <c r="N1644" s="387"/>
      <c r="O1644" s="387" t="s">
        <v>57</v>
      </c>
      <c r="P1644" s="390">
        <v>100375000</v>
      </c>
      <c r="Q1644" s="387"/>
      <c r="R1644" s="387" t="s">
        <v>8079</v>
      </c>
      <c r="S1644" s="340">
        <v>1</v>
      </c>
    </row>
    <row r="1645" spans="1:19" ht="29.5" thickBot="1" x14ac:dyDescent="0.4">
      <c r="A1645" s="357">
        <v>1634</v>
      </c>
      <c r="B1645" s="387" t="s">
        <v>10085</v>
      </c>
      <c r="C1645" s="387" t="s">
        <v>10086</v>
      </c>
      <c r="D1645" s="388" t="s">
        <v>97</v>
      </c>
      <c r="E1645" s="388" t="s">
        <v>10082</v>
      </c>
      <c r="F1645" s="388" t="s">
        <v>10078</v>
      </c>
      <c r="G1645" s="388" t="s">
        <v>10078</v>
      </c>
      <c r="H1645" s="388" t="s">
        <v>11686</v>
      </c>
      <c r="I1645" s="387" t="s">
        <v>9837</v>
      </c>
      <c r="J1645" s="389"/>
      <c r="K1645" s="387"/>
      <c r="L1645" s="387"/>
      <c r="M1645" s="387" t="s">
        <v>10084</v>
      </c>
      <c r="N1645" s="387"/>
      <c r="O1645" s="387" t="s">
        <v>57</v>
      </c>
      <c r="P1645" s="390">
        <v>75281000</v>
      </c>
      <c r="Q1645" s="387"/>
      <c r="R1645" s="387" t="s">
        <v>8079</v>
      </c>
      <c r="S1645" s="340">
        <v>1</v>
      </c>
    </row>
    <row r="1646" spans="1:19" ht="29" x14ac:dyDescent="0.35">
      <c r="A1646" s="349">
        <v>1635</v>
      </c>
      <c r="B1646" s="387" t="s">
        <v>10080</v>
      </c>
      <c r="C1646" s="387" t="s">
        <v>10081</v>
      </c>
      <c r="D1646" s="388" t="s">
        <v>51</v>
      </c>
      <c r="E1646" s="388" t="s">
        <v>10082</v>
      </c>
      <c r="F1646" s="388" t="s">
        <v>10078</v>
      </c>
      <c r="G1646" s="388" t="s">
        <v>10078</v>
      </c>
      <c r="H1646" s="388" t="s">
        <v>1122</v>
      </c>
      <c r="I1646" s="387" t="s">
        <v>9837</v>
      </c>
      <c r="J1646" s="389"/>
      <c r="K1646" s="387"/>
      <c r="L1646" s="387"/>
      <c r="M1646" s="387" t="s">
        <v>10084</v>
      </c>
      <c r="N1646" s="387"/>
      <c r="O1646" s="387" t="s">
        <v>57</v>
      </c>
      <c r="P1646" s="390">
        <v>702509865</v>
      </c>
      <c r="Q1646" s="387"/>
      <c r="R1646" s="387" t="s">
        <v>13048</v>
      </c>
      <c r="S1646" s="340">
        <v>1</v>
      </c>
    </row>
    <row r="1647" spans="1:19" ht="29.5" thickBot="1" x14ac:dyDescent="0.4">
      <c r="A1647" s="357">
        <v>1636</v>
      </c>
      <c r="B1647" s="387" t="s">
        <v>10080</v>
      </c>
      <c r="C1647" s="387" t="s">
        <v>10081</v>
      </c>
      <c r="D1647" s="388" t="s">
        <v>59</v>
      </c>
      <c r="E1647" s="388" t="s">
        <v>10082</v>
      </c>
      <c r="F1647" s="388" t="s">
        <v>10078</v>
      </c>
      <c r="G1647" s="388" t="s">
        <v>10078</v>
      </c>
      <c r="H1647" s="388" t="s">
        <v>1122</v>
      </c>
      <c r="I1647" s="387" t="s">
        <v>9837</v>
      </c>
      <c r="J1647" s="389"/>
      <c r="K1647" s="387"/>
      <c r="L1647" s="387"/>
      <c r="M1647" s="387" t="s">
        <v>10084</v>
      </c>
      <c r="N1647" s="387"/>
      <c r="O1647" s="387" t="s">
        <v>57</v>
      </c>
      <c r="P1647" s="390">
        <v>146381000</v>
      </c>
      <c r="Q1647" s="387"/>
      <c r="R1647" s="387" t="s">
        <v>13048</v>
      </c>
      <c r="S1647" s="340">
        <v>1</v>
      </c>
    </row>
    <row r="1648" spans="1:19" ht="29" x14ac:dyDescent="0.35">
      <c r="A1648" s="349">
        <v>1637</v>
      </c>
      <c r="B1648" s="387" t="s">
        <v>10080</v>
      </c>
      <c r="C1648" s="387" t="s">
        <v>10081</v>
      </c>
      <c r="D1648" s="388" t="s">
        <v>97</v>
      </c>
      <c r="E1648" s="388" t="s">
        <v>10082</v>
      </c>
      <c r="F1648" s="388" t="s">
        <v>10078</v>
      </c>
      <c r="G1648" s="388" t="s">
        <v>10078</v>
      </c>
      <c r="H1648" s="388" t="s">
        <v>11400</v>
      </c>
      <c r="I1648" s="387" t="s">
        <v>9837</v>
      </c>
      <c r="J1648" s="389"/>
      <c r="K1648" s="387"/>
      <c r="L1648" s="387"/>
      <c r="M1648" s="387" t="s">
        <v>10084</v>
      </c>
      <c r="N1648" s="387"/>
      <c r="O1648" s="387" t="s">
        <v>57</v>
      </c>
      <c r="P1648" s="390">
        <v>298408984</v>
      </c>
      <c r="Q1648" s="387"/>
      <c r="R1648" s="387" t="s">
        <v>13048</v>
      </c>
      <c r="S1648" s="340">
        <v>1</v>
      </c>
    </row>
    <row r="1649" spans="1:19" ht="44" thickBot="1" x14ac:dyDescent="0.4">
      <c r="A1649" s="357">
        <v>1638</v>
      </c>
      <c r="B1649" s="387" t="s">
        <v>10110</v>
      </c>
      <c r="C1649" s="387" t="s">
        <v>10111</v>
      </c>
      <c r="D1649" s="388" t="s">
        <v>51</v>
      </c>
      <c r="E1649" s="388" t="s">
        <v>10082</v>
      </c>
      <c r="F1649" s="388" t="s">
        <v>10078</v>
      </c>
      <c r="G1649" s="388" t="s">
        <v>10088</v>
      </c>
      <c r="H1649" s="388" t="s">
        <v>11332</v>
      </c>
      <c r="I1649" s="387" t="s">
        <v>9837</v>
      </c>
      <c r="J1649" s="389">
        <v>42465</v>
      </c>
      <c r="K1649" s="387" t="s">
        <v>13049</v>
      </c>
      <c r="L1649" s="387"/>
      <c r="M1649" s="387" t="s">
        <v>10084</v>
      </c>
      <c r="N1649" s="387"/>
      <c r="O1649" s="387" t="s">
        <v>57</v>
      </c>
      <c r="P1649" s="390">
        <v>110454000</v>
      </c>
      <c r="Q1649" s="387" t="s">
        <v>13050</v>
      </c>
      <c r="R1649" s="387" t="s">
        <v>13048</v>
      </c>
      <c r="S1649" s="340">
        <v>1</v>
      </c>
    </row>
    <row r="1650" spans="1:19" ht="29" x14ac:dyDescent="0.35">
      <c r="A1650" s="349">
        <v>1639</v>
      </c>
      <c r="B1650" s="387" t="s">
        <v>10765</v>
      </c>
      <c r="C1650" s="387" t="s">
        <v>10766</v>
      </c>
      <c r="D1650" s="388" t="s">
        <v>51</v>
      </c>
      <c r="E1650" s="388" t="s">
        <v>10082</v>
      </c>
      <c r="F1650" s="388" t="s">
        <v>10078</v>
      </c>
      <c r="G1650" s="388" t="s">
        <v>10078</v>
      </c>
      <c r="H1650" s="388" t="s">
        <v>2972</v>
      </c>
      <c r="I1650" s="387" t="s">
        <v>13051</v>
      </c>
      <c r="J1650" s="389">
        <v>42299</v>
      </c>
      <c r="K1650" s="387" t="s">
        <v>13052</v>
      </c>
      <c r="L1650" s="387"/>
      <c r="M1650" s="387" t="s">
        <v>10084</v>
      </c>
      <c r="N1650" s="387"/>
      <c r="O1650" s="387" t="s">
        <v>57</v>
      </c>
      <c r="P1650" s="390">
        <v>418664500</v>
      </c>
      <c r="Q1650" s="387" t="s">
        <v>13053</v>
      </c>
      <c r="R1650" s="387" t="s">
        <v>13048</v>
      </c>
      <c r="S1650" s="340">
        <v>1</v>
      </c>
    </row>
    <row r="1651" spans="1:19" ht="29.5" thickBot="1" x14ac:dyDescent="0.4">
      <c r="A1651" s="357">
        <v>1640</v>
      </c>
      <c r="B1651" s="387" t="s">
        <v>10085</v>
      </c>
      <c r="C1651" s="387" t="s">
        <v>10086</v>
      </c>
      <c r="D1651" s="388" t="s">
        <v>51</v>
      </c>
      <c r="E1651" s="388" t="s">
        <v>10082</v>
      </c>
      <c r="F1651" s="388" t="s">
        <v>10078</v>
      </c>
      <c r="G1651" s="388" t="s">
        <v>10078</v>
      </c>
      <c r="H1651" s="388" t="s">
        <v>11308</v>
      </c>
      <c r="I1651" s="387" t="s">
        <v>9837</v>
      </c>
      <c r="J1651" s="389"/>
      <c r="K1651" s="387"/>
      <c r="L1651" s="387"/>
      <c r="M1651" s="387" t="s">
        <v>10084</v>
      </c>
      <c r="N1651" s="387"/>
      <c r="O1651" s="387" t="s">
        <v>57</v>
      </c>
      <c r="P1651" s="390">
        <v>60721000</v>
      </c>
      <c r="Q1651" s="387"/>
      <c r="R1651" s="387" t="s">
        <v>13048</v>
      </c>
      <c r="S1651" s="340">
        <v>1</v>
      </c>
    </row>
    <row r="1652" spans="1:19" ht="29" x14ac:dyDescent="0.35">
      <c r="A1652" s="349">
        <v>1641</v>
      </c>
      <c r="B1652" s="387" t="s">
        <v>10085</v>
      </c>
      <c r="C1652" s="387" t="s">
        <v>10086</v>
      </c>
      <c r="D1652" s="388" t="s">
        <v>59</v>
      </c>
      <c r="E1652" s="388" t="s">
        <v>10082</v>
      </c>
      <c r="F1652" s="388" t="s">
        <v>10078</v>
      </c>
      <c r="G1652" s="388" t="s">
        <v>10078</v>
      </c>
      <c r="H1652" s="388" t="s">
        <v>11308</v>
      </c>
      <c r="I1652" s="387" t="s">
        <v>9837</v>
      </c>
      <c r="J1652" s="389"/>
      <c r="K1652" s="387"/>
      <c r="L1652" s="387"/>
      <c r="M1652" s="387" t="s">
        <v>10084</v>
      </c>
      <c r="N1652" s="387"/>
      <c r="O1652" s="387" t="s">
        <v>57</v>
      </c>
      <c r="P1652" s="390">
        <v>60721000</v>
      </c>
      <c r="Q1652" s="387"/>
      <c r="R1652" s="387" t="s">
        <v>13048</v>
      </c>
      <c r="S1652" s="340">
        <v>1</v>
      </c>
    </row>
    <row r="1653" spans="1:19" ht="44" thickBot="1" x14ac:dyDescent="0.4">
      <c r="A1653" s="357">
        <v>1642</v>
      </c>
      <c r="B1653" s="387" t="s">
        <v>10085</v>
      </c>
      <c r="C1653" s="387" t="s">
        <v>10086</v>
      </c>
      <c r="D1653" s="388" t="s">
        <v>97</v>
      </c>
      <c r="E1653" s="388" t="s">
        <v>10082</v>
      </c>
      <c r="F1653" s="388" t="s">
        <v>10078</v>
      </c>
      <c r="G1653" s="388" t="s">
        <v>10088</v>
      </c>
      <c r="H1653" s="388" t="s">
        <v>8952</v>
      </c>
      <c r="I1653" s="387" t="s">
        <v>9837</v>
      </c>
      <c r="J1653" s="389">
        <v>41585</v>
      </c>
      <c r="K1653" s="387" t="s">
        <v>13054</v>
      </c>
      <c r="L1653" s="387"/>
      <c r="M1653" s="387" t="s">
        <v>10084</v>
      </c>
      <c r="N1653" s="387"/>
      <c r="O1653" s="387" t="s">
        <v>57</v>
      </c>
      <c r="P1653" s="390">
        <v>137500000</v>
      </c>
      <c r="Q1653" s="387" t="s">
        <v>13055</v>
      </c>
      <c r="R1653" s="387" t="s">
        <v>13048</v>
      </c>
      <c r="S1653" s="340">
        <v>1</v>
      </c>
    </row>
    <row r="1654" spans="1:19" ht="29" x14ac:dyDescent="0.35">
      <c r="A1654" s="349">
        <v>1643</v>
      </c>
      <c r="B1654" s="387" t="s">
        <v>10085</v>
      </c>
      <c r="C1654" s="387" t="s">
        <v>10086</v>
      </c>
      <c r="D1654" s="388" t="s">
        <v>101</v>
      </c>
      <c r="E1654" s="388" t="s">
        <v>10082</v>
      </c>
      <c r="F1654" s="388" t="s">
        <v>10078</v>
      </c>
      <c r="G1654" s="388" t="s">
        <v>10078</v>
      </c>
      <c r="H1654" s="388" t="s">
        <v>11308</v>
      </c>
      <c r="I1654" s="387" t="s">
        <v>9837</v>
      </c>
      <c r="J1654" s="389"/>
      <c r="K1654" s="387"/>
      <c r="L1654" s="387"/>
      <c r="M1654" s="387" t="s">
        <v>10084</v>
      </c>
      <c r="N1654" s="387"/>
      <c r="O1654" s="387" t="s">
        <v>57</v>
      </c>
      <c r="P1654" s="390">
        <v>60721000</v>
      </c>
      <c r="Q1654" s="387"/>
      <c r="R1654" s="387" t="s">
        <v>13048</v>
      </c>
      <c r="S1654" s="340">
        <v>1</v>
      </c>
    </row>
    <row r="1655" spans="1:19" ht="29.5" thickBot="1" x14ac:dyDescent="0.4">
      <c r="A1655" s="357">
        <v>1644</v>
      </c>
      <c r="B1655" s="387" t="s">
        <v>10096</v>
      </c>
      <c r="C1655" s="387" t="s">
        <v>10097</v>
      </c>
      <c r="D1655" s="388" t="s">
        <v>51</v>
      </c>
      <c r="E1655" s="388" t="s">
        <v>10082</v>
      </c>
      <c r="F1655" s="388" t="s">
        <v>10078</v>
      </c>
      <c r="G1655" s="388" t="s">
        <v>10088</v>
      </c>
      <c r="H1655" s="388" t="s">
        <v>11409</v>
      </c>
      <c r="I1655" s="387" t="s">
        <v>9837</v>
      </c>
      <c r="J1655" s="389">
        <v>42465</v>
      </c>
      <c r="K1655" s="387" t="s">
        <v>13056</v>
      </c>
      <c r="L1655" s="387"/>
      <c r="M1655" s="387" t="s">
        <v>10084</v>
      </c>
      <c r="N1655" s="387"/>
      <c r="O1655" s="387" t="s">
        <v>57</v>
      </c>
      <c r="P1655" s="390">
        <v>221387000</v>
      </c>
      <c r="Q1655" s="387" t="s">
        <v>13057</v>
      </c>
      <c r="R1655" s="387" t="s">
        <v>13048</v>
      </c>
      <c r="S1655" s="340">
        <v>1</v>
      </c>
    </row>
    <row r="1656" spans="1:19" ht="29" x14ac:dyDescent="0.35">
      <c r="A1656" s="349">
        <v>1645</v>
      </c>
      <c r="B1656" s="387" t="s">
        <v>10080</v>
      </c>
      <c r="C1656" s="387" t="s">
        <v>10081</v>
      </c>
      <c r="D1656" s="388" t="s">
        <v>51</v>
      </c>
      <c r="E1656" s="388" t="s">
        <v>10082</v>
      </c>
      <c r="F1656" s="388" t="s">
        <v>10078</v>
      </c>
      <c r="G1656" s="388" t="s">
        <v>10078</v>
      </c>
      <c r="H1656" s="388" t="s">
        <v>11605</v>
      </c>
      <c r="I1656" s="387" t="s">
        <v>13058</v>
      </c>
      <c r="J1656" s="389"/>
      <c r="K1656" s="387"/>
      <c r="L1656" s="387"/>
      <c r="M1656" s="387" t="s">
        <v>10084</v>
      </c>
      <c r="N1656" s="387"/>
      <c r="O1656" s="387" t="s">
        <v>422</v>
      </c>
      <c r="P1656" s="390">
        <v>369998000</v>
      </c>
      <c r="Q1656" s="387" t="s">
        <v>8603</v>
      </c>
      <c r="R1656" s="387" t="s">
        <v>8080</v>
      </c>
      <c r="S1656" s="340">
        <v>1</v>
      </c>
    </row>
    <row r="1657" spans="1:19" ht="29.5" thickBot="1" x14ac:dyDescent="0.4">
      <c r="A1657" s="357">
        <v>1646</v>
      </c>
      <c r="B1657" s="387" t="s">
        <v>10080</v>
      </c>
      <c r="C1657" s="387" t="s">
        <v>10081</v>
      </c>
      <c r="D1657" s="388" t="s">
        <v>59</v>
      </c>
      <c r="E1657" s="388" t="s">
        <v>10082</v>
      </c>
      <c r="F1657" s="388" t="s">
        <v>10078</v>
      </c>
      <c r="G1657" s="388" t="s">
        <v>10078</v>
      </c>
      <c r="H1657" s="388" t="s">
        <v>12997</v>
      </c>
      <c r="I1657" s="387" t="s">
        <v>13058</v>
      </c>
      <c r="J1657" s="389"/>
      <c r="K1657" s="387"/>
      <c r="L1657" s="387"/>
      <c r="M1657" s="387" t="s">
        <v>10084</v>
      </c>
      <c r="N1657" s="387"/>
      <c r="O1657" s="387" t="s">
        <v>57</v>
      </c>
      <c r="P1657" s="390">
        <v>456285000</v>
      </c>
      <c r="Q1657" s="387"/>
      <c r="R1657" s="387" t="s">
        <v>8080</v>
      </c>
      <c r="S1657" s="340">
        <v>1</v>
      </c>
    </row>
    <row r="1658" spans="1:19" ht="29" x14ac:dyDescent="0.35">
      <c r="A1658" s="349">
        <v>1647</v>
      </c>
      <c r="B1658" s="387" t="s">
        <v>10110</v>
      </c>
      <c r="C1658" s="387" t="s">
        <v>10111</v>
      </c>
      <c r="D1658" s="388" t="s">
        <v>51</v>
      </c>
      <c r="E1658" s="388" t="s">
        <v>10082</v>
      </c>
      <c r="F1658" s="388" t="s">
        <v>10078</v>
      </c>
      <c r="G1658" s="388" t="s">
        <v>10088</v>
      </c>
      <c r="H1658" s="388" t="s">
        <v>11408</v>
      </c>
      <c r="I1658" s="387" t="s">
        <v>13059</v>
      </c>
      <c r="J1658" s="389"/>
      <c r="K1658" s="387" t="s">
        <v>13060</v>
      </c>
      <c r="L1658" s="387"/>
      <c r="M1658" s="387"/>
      <c r="N1658" s="387"/>
      <c r="O1658" s="387" t="s">
        <v>44</v>
      </c>
      <c r="P1658" s="390">
        <v>88153530</v>
      </c>
      <c r="Q1658" s="387" t="s">
        <v>13061</v>
      </c>
      <c r="R1658" s="387" t="s">
        <v>8080</v>
      </c>
      <c r="S1658" s="340">
        <v>1</v>
      </c>
    </row>
    <row r="1659" spans="1:19" ht="29.5" thickBot="1" x14ac:dyDescent="0.4">
      <c r="A1659" s="357">
        <v>1648</v>
      </c>
      <c r="B1659" s="387" t="s">
        <v>10092</v>
      </c>
      <c r="C1659" s="387" t="s">
        <v>10093</v>
      </c>
      <c r="D1659" s="388" t="s">
        <v>51</v>
      </c>
      <c r="E1659" s="388" t="s">
        <v>10082</v>
      </c>
      <c r="F1659" s="388" t="s">
        <v>10078</v>
      </c>
      <c r="G1659" s="388" t="s">
        <v>10078</v>
      </c>
      <c r="H1659" s="388" t="s">
        <v>12979</v>
      </c>
      <c r="I1659" s="387" t="s">
        <v>13058</v>
      </c>
      <c r="J1659" s="389">
        <v>40770</v>
      </c>
      <c r="K1659" s="387" t="s">
        <v>13062</v>
      </c>
      <c r="L1659" s="387"/>
      <c r="M1659" s="387" t="s">
        <v>10084</v>
      </c>
      <c r="N1659" s="387"/>
      <c r="O1659" s="387" t="s">
        <v>422</v>
      </c>
      <c r="P1659" s="390">
        <v>241965180</v>
      </c>
      <c r="Q1659" s="387" t="s">
        <v>13063</v>
      </c>
      <c r="R1659" s="387" t="s">
        <v>8080</v>
      </c>
      <c r="S1659" s="340">
        <v>1</v>
      </c>
    </row>
    <row r="1660" spans="1:19" ht="29" x14ac:dyDescent="0.35">
      <c r="A1660" s="349">
        <v>1649</v>
      </c>
      <c r="B1660" s="387" t="s">
        <v>10765</v>
      </c>
      <c r="C1660" s="387" t="s">
        <v>10766</v>
      </c>
      <c r="D1660" s="388" t="s">
        <v>51</v>
      </c>
      <c r="E1660" s="388" t="s">
        <v>10082</v>
      </c>
      <c r="F1660" s="388" t="s">
        <v>10078</v>
      </c>
      <c r="G1660" s="388" t="s">
        <v>10078</v>
      </c>
      <c r="H1660" s="388" t="s">
        <v>2972</v>
      </c>
      <c r="I1660" s="387" t="s">
        <v>13064</v>
      </c>
      <c r="J1660" s="389">
        <v>42149</v>
      </c>
      <c r="K1660" s="387" t="s">
        <v>13065</v>
      </c>
      <c r="L1660" s="387"/>
      <c r="M1660" s="387" t="s">
        <v>10084</v>
      </c>
      <c r="N1660" s="387"/>
      <c r="O1660" s="387" t="s">
        <v>57</v>
      </c>
      <c r="P1660" s="390">
        <v>220500000</v>
      </c>
      <c r="Q1660" s="387" t="s">
        <v>13066</v>
      </c>
      <c r="R1660" s="387" t="s">
        <v>8080</v>
      </c>
      <c r="S1660" s="340">
        <v>1</v>
      </c>
    </row>
    <row r="1661" spans="1:19" ht="29.5" thickBot="1" x14ac:dyDescent="0.4">
      <c r="A1661" s="357">
        <v>1650</v>
      </c>
      <c r="B1661" s="387" t="s">
        <v>10085</v>
      </c>
      <c r="C1661" s="387" t="s">
        <v>10086</v>
      </c>
      <c r="D1661" s="388" t="s">
        <v>51</v>
      </c>
      <c r="E1661" s="388" t="s">
        <v>10082</v>
      </c>
      <c r="F1661" s="388" t="s">
        <v>10078</v>
      </c>
      <c r="G1661" s="388" t="s">
        <v>10078</v>
      </c>
      <c r="H1661" s="388" t="s">
        <v>11409</v>
      </c>
      <c r="I1661" s="387" t="s">
        <v>13067</v>
      </c>
      <c r="J1661" s="389">
        <v>39969</v>
      </c>
      <c r="K1661" s="387" t="s">
        <v>13068</v>
      </c>
      <c r="L1661" s="387"/>
      <c r="M1661" s="387" t="s">
        <v>10084</v>
      </c>
      <c r="N1661" s="387"/>
      <c r="O1661" s="387" t="s">
        <v>422</v>
      </c>
      <c r="P1661" s="390">
        <v>250145828</v>
      </c>
      <c r="Q1661" s="387" t="s">
        <v>13069</v>
      </c>
      <c r="R1661" s="387" t="s">
        <v>8080</v>
      </c>
      <c r="S1661" s="340">
        <v>1</v>
      </c>
    </row>
    <row r="1662" spans="1:19" ht="29" x14ac:dyDescent="0.35">
      <c r="A1662" s="349">
        <v>1651</v>
      </c>
      <c r="B1662" s="387" t="s">
        <v>10146</v>
      </c>
      <c r="C1662" s="387" t="s">
        <v>10147</v>
      </c>
      <c r="D1662" s="388" t="s">
        <v>51</v>
      </c>
      <c r="E1662" s="388" t="s">
        <v>10082</v>
      </c>
      <c r="F1662" s="388" t="s">
        <v>10078</v>
      </c>
      <c r="G1662" s="388" t="s">
        <v>10088</v>
      </c>
      <c r="H1662" s="388" t="s">
        <v>8960</v>
      </c>
      <c r="I1662" s="387" t="s">
        <v>13058</v>
      </c>
      <c r="J1662" s="389">
        <v>41934</v>
      </c>
      <c r="K1662" s="387" t="s">
        <v>13070</v>
      </c>
      <c r="L1662" s="387"/>
      <c r="M1662" s="387" t="s">
        <v>10084</v>
      </c>
      <c r="N1662" s="387"/>
      <c r="O1662" s="387" t="s">
        <v>57</v>
      </c>
      <c r="P1662" s="390">
        <v>199400000</v>
      </c>
      <c r="Q1662" s="387" t="s">
        <v>13071</v>
      </c>
      <c r="R1662" s="387" t="s">
        <v>8080</v>
      </c>
      <c r="S1662" s="340">
        <v>1</v>
      </c>
    </row>
    <row r="1663" spans="1:19" ht="29.5" thickBot="1" x14ac:dyDescent="0.4">
      <c r="A1663" s="357">
        <v>1652</v>
      </c>
      <c r="B1663" s="387" t="s">
        <v>10096</v>
      </c>
      <c r="C1663" s="387" t="s">
        <v>10097</v>
      </c>
      <c r="D1663" s="388" t="s">
        <v>51</v>
      </c>
      <c r="E1663" s="388" t="s">
        <v>10082</v>
      </c>
      <c r="F1663" s="388" t="s">
        <v>10078</v>
      </c>
      <c r="G1663" s="388" t="s">
        <v>10078</v>
      </c>
      <c r="H1663" s="388" t="s">
        <v>11324</v>
      </c>
      <c r="I1663" s="387" t="s">
        <v>13058</v>
      </c>
      <c r="J1663" s="389"/>
      <c r="K1663" s="387"/>
      <c r="L1663" s="387"/>
      <c r="M1663" s="387" t="s">
        <v>10084</v>
      </c>
      <c r="N1663" s="387"/>
      <c r="O1663" s="387" t="s">
        <v>57</v>
      </c>
      <c r="P1663" s="390">
        <v>420254000</v>
      </c>
      <c r="Q1663" s="387" t="s">
        <v>13072</v>
      </c>
      <c r="R1663" s="387" t="s">
        <v>8080</v>
      </c>
      <c r="S1663" s="340">
        <v>1</v>
      </c>
    </row>
    <row r="1664" spans="1:19" ht="43.5" x14ac:dyDescent="0.35">
      <c r="A1664" s="349">
        <v>1653</v>
      </c>
      <c r="B1664" s="387" t="s">
        <v>10096</v>
      </c>
      <c r="C1664" s="387" t="s">
        <v>10097</v>
      </c>
      <c r="D1664" s="388" t="s">
        <v>59</v>
      </c>
      <c r="E1664" s="388" t="s">
        <v>10082</v>
      </c>
      <c r="F1664" s="388" t="s">
        <v>10078</v>
      </c>
      <c r="G1664" s="388" t="s">
        <v>10088</v>
      </c>
      <c r="H1664" s="388" t="s">
        <v>11409</v>
      </c>
      <c r="I1664" s="387" t="s">
        <v>13073</v>
      </c>
      <c r="J1664" s="389"/>
      <c r="K1664" s="387" t="s">
        <v>13074</v>
      </c>
      <c r="L1664" s="387"/>
      <c r="M1664" s="387"/>
      <c r="N1664" s="387"/>
      <c r="O1664" s="387" t="s">
        <v>44</v>
      </c>
      <c r="P1664" s="390">
        <v>220891286.00000003</v>
      </c>
      <c r="Q1664" s="387" t="s">
        <v>13075</v>
      </c>
      <c r="R1664" s="387" t="s">
        <v>8080</v>
      </c>
      <c r="S1664" s="340">
        <v>1</v>
      </c>
    </row>
    <row r="1665" spans="1:19" ht="29.5" thickBot="1" x14ac:dyDescent="0.4">
      <c r="A1665" s="357">
        <v>1654</v>
      </c>
      <c r="B1665" s="387" t="s">
        <v>10155</v>
      </c>
      <c r="C1665" s="387" t="s">
        <v>10156</v>
      </c>
      <c r="D1665" s="388" t="s">
        <v>51</v>
      </c>
      <c r="E1665" s="388" t="s">
        <v>10082</v>
      </c>
      <c r="F1665" s="388" t="s">
        <v>10078</v>
      </c>
      <c r="G1665" s="388" t="s">
        <v>10078</v>
      </c>
      <c r="H1665" s="388" t="s">
        <v>11832</v>
      </c>
      <c r="I1665" s="387" t="s">
        <v>11500</v>
      </c>
      <c r="J1665" s="389"/>
      <c r="K1665" s="387"/>
      <c r="L1665" s="387"/>
      <c r="M1665" s="387" t="s">
        <v>10084</v>
      </c>
      <c r="N1665" s="387"/>
      <c r="O1665" s="387" t="s">
        <v>57</v>
      </c>
      <c r="P1665" s="390">
        <v>326283000</v>
      </c>
      <c r="Q1665" s="387"/>
      <c r="R1665" s="387" t="s">
        <v>8082</v>
      </c>
      <c r="S1665" s="340">
        <v>1</v>
      </c>
    </row>
    <row r="1666" spans="1:19" ht="29" x14ac:dyDescent="0.35">
      <c r="A1666" s="349">
        <v>1655</v>
      </c>
      <c r="B1666" s="387" t="s">
        <v>10155</v>
      </c>
      <c r="C1666" s="387" t="s">
        <v>10156</v>
      </c>
      <c r="D1666" s="388" t="s">
        <v>59</v>
      </c>
      <c r="E1666" s="388" t="s">
        <v>10082</v>
      </c>
      <c r="F1666" s="388" t="s">
        <v>10078</v>
      </c>
      <c r="G1666" s="388" t="s">
        <v>10078</v>
      </c>
      <c r="H1666" s="388" t="s">
        <v>11882</v>
      </c>
      <c r="I1666" s="387" t="s">
        <v>11500</v>
      </c>
      <c r="J1666" s="389"/>
      <c r="K1666" s="387"/>
      <c r="L1666" s="387"/>
      <c r="M1666" s="387" t="s">
        <v>10084</v>
      </c>
      <c r="N1666" s="387"/>
      <c r="O1666" s="387" t="s">
        <v>422</v>
      </c>
      <c r="P1666" s="390">
        <v>96000000</v>
      </c>
      <c r="Q1666" s="387" t="s">
        <v>8603</v>
      </c>
      <c r="R1666" s="387" t="s">
        <v>8082</v>
      </c>
      <c r="S1666" s="340">
        <v>1</v>
      </c>
    </row>
    <row r="1667" spans="1:19" ht="29.5" thickBot="1" x14ac:dyDescent="0.4">
      <c r="A1667" s="357">
        <v>1656</v>
      </c>
      <c r="B1667" s="387" t="s">
        <v>10481</v>
      </c>
      <c r="C1667" s="387" t="s">
        <v>10482</v>
      </c>
      <c r="D1667" s="388" t="s">
        <v>51</v>
      </c>
      <c r="E1667" s="388" t="s">
        <v>10082</v>
      </c>
      <c r="F1667" s="388" t="s">
        <v>10078</v>
      </c>
      <c r="G1667" s="388" t="s">
        <v>10088</v>
      </c>
      <c r="H1667" s="388" t="s">
        <v>1122</v>
      </c>
      <c r="I1667" s="387" t="s">
        <v>11500</v>
      </c>
      <c r="J1667" s="389">
        <v>43328</v>
      </c>
      <c r="K1667" s="387" t="s">
        <v>13076</v>
      </c>
      <c r="L1667" s="387"/>
      <c r="M1667" s="387" t="s">
        <v>10084</v>
      </c>
      <c r="N1667" s="387"/>
      <c r="O1667" s="387" t="s">
        <v>57</v>
      </c>
      <c r="P1667" s="390">
        <v>221193000</v>
      </c>
      <c r="Q1667" s="387" t="s">
        <v>13077</v>
      </c>
      <c r="R1667" s="387" t="s">
        <v>8082</v>
      </c>
      <c r="S1667" s="340">
        <v>1</v>
      </c>
    </row>
    <row r="1668" spans="1:19" ht="29" x14ac:dyDescent="0.35">
      <c r="A1668" s="349">
        <v>1657</v>
      </c>
      <c r="B1668" s="387" t="s">
        <v>10096</v>
      </c>
      <c r="C1668" s="387" t="s">
        <v>10097</v>
      </c>
      <c r="D1668" s="388" t="s">
        <v>51</v>
      </c>
      <c r="E1668" s="388" t="s">
        <v>10082</v>
      </c>
      <c r="F1668" s="388" t="s">
        <v>10078</v>
      </c>
      <c r="G1668" s="388" t="s">
        <v>10088</v>
      </c>
      <c r="H1668" s="388" t="s">
        <v>12664</v>
      </c>
      <c r="I1668" s="387" t="s">
        <v>11500</v>
      </c>
      <c r="J1668" s="389">
        <v>42949</v>
      </c>
      <c r="K1668" s="387" t="s">
        <v>13078</v>
      </c>
      <c r="L1668" s="387"/>
      <c r="M1668" s="387" t="s">
        <v>10084</v>
      </c>
      <c r="N1668" s="387"/>
      <c r="O1668" s="387" t="s">
        <v>57</v>
      </c>
      <c r="P1668" s="390">
        <v>221230000</v>
      </c>
      <c r="Q1668" s="387" t="s">
        <v>13079</v>
      </c>
      <c r="R1668" s="387" t="s">
        <v>8082</v>
      </c>
      <c r="S1668" s="340">
        <v>1</v>
      </c>
    </row>
    <row r="1669" spans="1:19" ht="29.5" thickBot="1" x14ac:dyDescent="0.4">
      <c r="A1669" s="357">
        <v>1658</v>
      </c>
      <c r="B1669" s="387" t="s">
        <v>10080</v>
      </c>
      <c r="C1669" s="387" t="s">
        <v>10081</v>
      </c>
      <c r="D1669" s="388" t="s">
        <v>51</v>
      </c>
      <c r="E1669" s="388" t="s">
        <v>10082</v>
      </c>
      <c r="F1669" s="388" t="s">
        <v>10078</v>
      </c>
      <c r="G1669" s="388" t="s">
        <v>10078</v>
      </c>
      <c r="H1669" s="388" t="s">
        <v>12266</v>
      </c>
      <c r="I1669" s="387" t="s">
        <v>13080</v>
      </c>
      <c r="J1669" s="389"/>
      <c r="K1669" s="387"/>
      <c r="L1669" s="387"/>
      <c r="M1669" s="387" t="s">
        <v>10084</v>
      </c>
      <c r="N1669" s="387"/>
      <c r="O1669" s="387" t="s">
        <v>57</v>
      </c>
      <c r="P1669" s="390">
        <v>265210000</v>
      </c>
      <c r="Q1669" s="387"/>
      <c r="R1669" s="387" t="s">
        <v>8084</v>
      </c>
      <c r="S1669" s="340">
        <v>1</v>
      </c>
    </row>
    <row r="1670" spans="1:19" ht="29" x14ac:dyDescent="0.35">
      <c r="A1670" s="349">
        <v>1659</v>
      </c>
      <c r="B1670" s="387" t="s">
        <v>10080</v>
      </c>
      <c r="C1670" s="387" t="s">
        <v>10081</v>
      </c>
      <c r="D1670" s="388" t="s">
        <v>59</v>
      </c>
      <c r="E1670" s="388" t="s">
        <v>10082</v>
      </c>
      <c r="F1670" s="388" t="s">
        <v>10078</v>
      </c>
      <c r="G1670" s="388" t="s">
        <v>10078</v>
      </c>
      <c r="H1670" s="388" t="s">
        <v>13081</v>
      </c>
      <c r="I1670" s="387" t="s">
        <v>13080</v>
      </c>
      <c r="J1670" s="389"/>
      <c r="K1670" s="387"/>
      <c r="L1670" s="387"/>
      <c r="M1670" s="387" t="s">
        <v>10084</v>
      </c>
      <c r="N1670" s="387"/>
      <c r="O1670" s="387" t="s">
        <v>57</v>
      </c>
      <c r="P1670" s="390">
        <v>578146000</v>
      </c>
      <c r="Q1670" s="387"/>
      <c r="R1670" s="387" t="s">
        <v>8084</v>
      </c>
      <c r="S1670" s="340">
        <v>1</v>
      </c>
    </row>
    <row r="1671" spans="1:19" ht="29.5" thickBot="1" x14ac:dyDescent="0.4">
      <c r="A1671" s="357">
        <v>1660</v>
      </c>
      <c r="B1671" s="387" t="s">
        <v>10080</v>
      </c>
      <c r="C1671" s="387" t="s">
        <v>10081</v>
      </c>
      <c r="D1671" s="388" t="s">
        <v>97</v>
      </c>
      <c r="E1671" s="388" t="s">
        <v>10082</v>
      </c>
      <c r="F1671" s="388" t="s">
        <v>10078</v>
      </c>
      <c r="G1671" s="388" t="s">
        <v>10078</v>
      </c>
      <c r="H1671" s="388" t="s">
        <v>163</v>
      </c>
      <c r="I1671" s="387" t="s">
        <v>13080</v>
      </c>
      <c r="J1671" s="389"/>
      <c r="K1671" s="387"/>
      <c r="L1671" s="387"/>
      <c r="M1671" s="387" t="s">
        <v>10084</v>
      </c>
      <c r="N1671" s="387"/>
      <c r="O1671" s="387" t="s">
        <v>57</v>
      </c>
      <c r="P1671" s="390">
        <v>209807000</v>
      </c>
      <c r="Q1671" s="387"/>
      <c r="R1671" s="387" t="s">
        <v>8084</v>
      </c>
      <c r="S1671" s="340">
        <v>1</v>
      </c>
    </row>
    <row r="1672" spans="1:19" ht="29" x14ac:dyDescent="0.35">
      <c r="A1672" s="349">
        <v>1661</v>
      </c>
      <c r="B1672" s="387" t="s">
        <v>10080</v>
      </c>
      <c r="C1672" s="387" t="s">
        <v>10081</v>
      </c>
      <c r="D1672" s="388" t="s">
        <v>101</v>
      </c>
      <c r="E1672" s="388" t="s">
        <v>10082</v>
      </c>
      <c r="F1672" s="388" t="s">
        <v>10078</v>
      </c>
      <c r="G1672" s="388" t="s">
        <v>10078</v>
      </c>
      <c r="H1672" s="388" t="s">
        <v>13082</v>
      </c>
      <c r="I1672" s="387" t="s">
        <v>13080</v>
      </c>
      <c r="J1672" s="389"/>
      <c r="K1672" s="387"/>
      <c r="L1672" s="387"/>
      <c r="M1672" s="387" t="s">
        <v>10084</v>
      </c>
      <c r="N1672" s="387"/>
      <c r="O1672" s="387" t="s">
        <v>422</v>
      </c>
      <c r="P1672" s="390">
        <v>101000000</v>
      </c>
      <c r="Q1672" s="387" t="s">
        <v>8603</v>
      </c>
      <c r="R1672" s="387" t="s">
        <v>8084</v>
      </c>
      <c r="S1672" s="340">
        <v>1</v>
      </c>
    </row>
    <row r="1673" spans="1:19" ht="29.5" thickBot="1" x14ac:dyDescent="0.4">
      <c r="A1673" s="357">
        <v>1662</v>
      </c>
      <c r="B1673" s="387" t="s">
        <v>10765</v>
      </c>
      <c r="C1673" s="387" t="s">
        <v>10766</v>
      </c>
      <c r="D1673" s="388" t="s">
        <v>51</v>
      </c>
      <c r="E1673" s="388" t="s">
        <v>10082</v>
      </c>
      <c r="F1673" s="388" t="s">
        <v>10078</v>
      </c>
      <c r="G1673" s="388" t="s">
        <v>10088</v>
      </c>
      <c r="H1673" s="388" t="s">
        <v>13083</v>
      </c>
      <c r="I1673" s="387" t="s">
        <v>13084</v>
      </c>
      <c r="J1673" s="389"/>
      <c r="K1673" s="387" t="s">
        <v>13085</v>
      </c>
      <c r="L1673" s="387"/>
      <c r="M1673" s="387"/>
      <c r="N1673" s="387"/>
      <c r="O1673" s="387" t="s">
        <v>44</v>
      </c>
      <c r="P1673" s="390">
        <v>110161545</v>
      </c>
      <c r="Q1673" s="387" t="s">
        <v>13086</v>
      </c>
      <c r="R1673" s="387" t="s">
        <v>8084</v>
      </c>
      <c r="S1673" s="340">
        <v>1</v>
      </c>
    </row>
    <row r="1674" spans="1:19" ht="29" x14ac:dyDescent="0.35">
      <c r="A1674" s="349">
        <v>1663</v>
      </c>
      <c r="B1674" s="387" t="s">
        <v>10146</v>
      </c>
      <c r="C1674" s="387" t="s">
        <v>10147</v>
      </c>
      <c r="D1674" s="388" t="s">
        <v>51</v>
      </c>
      <c r="E1674" s="388" t="s">
        <v>10082</v>
      </c>
      <c r="F1674" s="388" t="s">
        <v>10078</v>
      </c>
      <c r="G1674" s="388" t="s">
        <v>10078</v>
      </c>
      <c r="H1674" s="388" t="s">
        <v>13087</v>
      </c>
      <c r="I1674" s="387" t="s">
        <v>13088</v>
      </c>
      <c r="J1674" s="389">
        <v>43966</v>
      </c>
      <c r="K1674" s="387" t="s">
        <v>13089</v>
      </c>
      <c r="L1674" s="387"/>
      <c r="M1674" s="387" t="s">
        <v>10084</v>
      </c>
      <c r="N1674" s="387"/>
      <c r="O1674" s="387" t="s">
        <v>57</v>
      </c>
      <c r="P1674" s="390">
        <v>181010000</v>
      </c>
      <c r="Q1674" s="387" t="s">
        <v>13090</v>
      </c>
      <c r="R1674" s="387" t="s">
        <v>8084</v>
      </c>
      <c r="S1674" s="340">
        <v>1</v>
      </c>
    </row>
    <row r="1675" spans="1:19" ht="29.5" thickBot="1" x14ac:dyDescent="0.4">
      <c r="A1675" s="357">
        <v>1664</v>
      </c>
      <c r="B1675" s="387" t="s">
        <v>10080</v>
      </c>
      <c r="C1675" s="387" t="s">
        <v>10081</v>
      </c>
      <c r="D1675" s="388" t="s">
        <v>51</v>
      </c>
      <c r="E1675" s="388" t="s">
        <v>10082</v>
      </c>
      <c r="F1675" s="388" t="s">
        <v>10078</v>
      </c>
      <c r="G1675" s="388" t="s">
        <v>10078</v>
      </c>
      <c r="H1675" s="388" t="s">
        <v>13091</v>
      </c>
      <c r="I1675" s="387" t="s">
        <v>13092</v>
      </c>
      <c r="J1675" s="389"/>
      <c r="K1675" s="387"/>
      <c r="L1675" s="387"/>
      <c r="M1675" s="387" t="s">
        <v>10084</v>
      </c>
      <c r="N1675" s="387"/>
      <c r="O1675" s="387" t="s">
        <v>422</v>
      </c>
      <c r="P1675" s="390">
        <v>105750000</v>
      </c>
      <c r="Q1675" s="387" t="s">
        <v>8603</v>
      </c>
      <c r="R1675" s="387" t="s">
        <v>8086</v>
      </c>
      <c r="S1675" s="340">
        <v>1</v>
      </c>
    </row>
    <row r="1676" spans="1:19" ht="29" x14ac:dyDescent="0.35">
      <c r="A1676" s="349">
        <v>1665</v>
      </c>
      <c r="B1676" s="387" t="s">
        <v>10080</v>
      </c>
      <c r="C1676" s="387" t="s">
        <v>10081</v>
      </c>
      <c r="D1676" s="388" t="s">
        <v>59</v>
      </c>
      <c r="E1676" s="388" t="s">
        <v>10082</v>
      </c>
      <c r="F1676" s="388" t="s">
        <v>10078</v>
      </c>
      <c r="G1676" s="388" t="s">
        <v>10078</v>
      </c>
      <c r="H1676" s="388" t="s">
        <v>12157</v>
      </c>
      <c r="I1676" s="387" t="s">
        <v>13093</v>
      </c>
      <c r="J1676" s="389">
        <v>41904</v>
      </c>
      <c r="K1676" s="387" t="s">
        <v>13094</v>
      </c>
      <c r="L1676" s="387"/>
      <c r="M1676" s="387" t="s">
        <v>10084</v>
      </c>
      <c r="N1676" s="387"/>
      <c r="O1676" s="387" t="s">
        <v>57</v>
      </c>
      <c r="P1676" s="390">
        <v>135261120</v>
      </c>
      <c r="Q1676" s="387" t="s">
        <v>13095</v>
      </c>
      <c r="R1676" s="387" t="s">
        <v>8086</v>
      </c>
      <c r="S1676" s="340">
        <v>1</v>
      </c>
    </row>
    <row r="1677" spans="1:19" ht="29.5" thickBot="1" x14ac:dyDescent="0.4">
      <c r="A1677" s="357">
        <v>1666</v>
      </c>
      <c r="B1677" s="387" t="s">
        <v>10080</v>
      </c>
      <c r="C1677" s="387" t="s">
        <v>10081</v>
      </c>
      <c r="D1677" s="388" t="s">
        <v>97</v>
      </c>
      <c r="E1677" s="388" t="s">
        <v>10082</v>
      </c>
      <c r="F1677" s="388" t="s">
        <v>10078</v>
      </c>
      <c r="G1677" s="388" t="s">
        <v>10078</v>
      </c>
      <c r="H1677" s="388" t="s">
        <v>12157</v>
      </c>
      <c r="I1677" s="387" t="s">
        <v>13093</v>
      </c>
      <c r="J1677" s="389">
        <v>41904</v>
      </c>
      <c r="K1677" s="387" t="s">
        <v>13094</v>
      </c>
      <c r="L1677" s="387"/>
      <c r="M1677" s="387" t="s">
        <v>10084</v>
      </c>
      <c r="N1677" s="387"/>
      <c r="O1677" s="387" t="s">
        <v>57</v>
      </c>
      <c r="P1677" s="390">
        <v>135261120</v>
      </c>
      <c r="Q1677" s="387" t="s">
        <v>13096</v>
      </c>
      <c r="R1677" s="387" t="s">
        <v>8086</v>
      </c>
      <c r="S1677" s="340">
        <v>1</v>
      </c>
    </row>
    <row r="1678" spans="1:19" ht="29" x14ac:dyDescent="0.35">
      <c r="A1678" s="349">
        <v>1667</v>
      </c>
      <c r="B1678" s="387" t="s">
        <v>10080</v>
      </c>
      <c r="C1678" s="387" t="s">
        <v>10081</v>
      </c>
      <c r="D1678" s="388" t="s">
        <v>101</v>
      </c>
      <c r="E1678" s="388" t="s">
        <v>10082</v>
      </c>
      <c r="F1678" s="388" t="s">
        <v>10078</v>
      </c>
      <c r="G1678" s="388" t="s">
        <v>10078</v>
      </c>
      <c r="H1678" s="388" t="s">
        <v>11400</v>
      </c>
      <c r="I1678" s="387" t="s">
        <v>13092</v>
      </c>
      <c r="J1678" s="389"/>
      <c r="K1678" s="387"/>
      <c r="L1678" s="387"/>
      <c r="M1678" s="387" t="s">
        <v>10084</v>
      </c>
      <c r="N1678" s="387"/>
      <c r="O1678" s="387" t="s">
        <v>57</v>
      </c>
      <c r="P1678" s="390">
        <v>345837000</v>
      </c>
      <c r="Q1678" s="387"/>
      <c r="R1678" s="387" t="s">
        <v>8086</v>
      </c>
      <c r="S1678" s="340">
        <v>1</v>
      </c>
    </row>
    <row r="1679" spans="1:19" ht="29.5" thickBot="1" x14ac:dyDescent="0.4">
      <c r="A1679" s="357">
        <v>1668</v>
      </c>
      <c r="B1679" s="387" t="s">
        <v>10080</v>
      </c>
      <c r="C1679" s="387" t="s">
        <v>10081</v>
      </c>
      <c r="D1679" s="388" t="s">
        <v>107</v>
      </c>
      <c r="E1679" s="388" t="s">
        <v>10082</v>
      </c>
      <c r="F1679" s="388" t="s">
        <v>10078</v>
      </c>
      <c r="G1679" s="388" t="s">
        <v>10078</v>
      </c>
      <c r="H1679" s="388" t="s">
        <v>12266</v>
      </c>
      <c r="I1679" s="387" t="s">
        <v>13092</v>
      </c>
      <c r="J1679" s="389"/>
      <c r="K1679" s="387"/>
      <c r="L1679" s="387"/>
      <c r="M1679" s="387" t="s">
        <v>10084</v>
      </c>
      <c r="N1679" s="387"/>
      <c r="O1679" s="387" t="s">
        <v>57</v>
      </c>
      <c r="P1679" s="390">
        <v>329435700</v>
      </c>
      <c r="Q1679" s="387"/>
      <c r="R1679" s="387" t="s">
        <v>8086</v>
      </c>
      <c r="S1679" s="340">
        <v>1</v>
      </c>
    </row>
    <row r="1680" spans="1:19" ht="29" x14ac:dyDescent="0.35">
      <c r="A1680" s="349">
        <v>1669</v>
      </c>
      <c r="B1680" s="387" t="s">
        <v>10080</v>
      </c>
      <c r="C1680" s="387" t="s">
        <v>10081</v>
      </c>
      <c r="D1680" s="388" t="s">
        <v>112</v>
      </c>
      <c r="E1680" s="388" t="s">
        <v>10082</v>
      </c>
      <c r="F1680" s="388" t="s">
        <v>10078</v>
      </c>
      <c r="G1680" s="388" t="s">
        <v>10078</v>
      </c>
      <c r="H1680" s="388" t="s">
        <v>163</v>
      </c>
      <c r="I1680" s="387" t="s">
        <v>13092</v>
      </c>
      <c r="J1680" s="389"/>
      <c r="K1680" s="387"/>
      <c r="L1680" s="387"/>
      <c r="M1680" s="387" t="s">
        <v>10084</v>
      </c>
      <c r="N1680" s="387"/>
      <c r="O1680" s="387" t="s">
        <v>57</v>
      </c>
      <c r="P1680" s="390">
        <v>137516000</v>
      </c>
      <c r="Q1680" s="387"/>
      <c r="R1680" s="387" t="s">
        <v>8086</v>
      </c>
      <c r="S1680" s="340">
        <v>1</v>
      </c>
    </row>
    <row r="1681" spans="1:19" ht="29.5" thickBot="1" x14ac:dyDescent="0.4">
      <c r="A1681" s="357">
        <v>1670</v>
      </c>
      <c r="B1681" s="387" t="s">
        <v>10080</v>
      </c>
      <c r="C1681" s="387" t="s">
        <v>10081</v>
      </c>
      <c r="D1681" s="388" t="s">
        <v>116</v>
      </c>
      <c r="E1681" s="388" t="s">
        <v>10082</v>
      </c>
      <c r="F1681" s="388" t="s">
        <v>10078</v>
      </c>
      <c r="G1681" s="388" t="s">
        <v>10078</v>
      </c>
      <c r="H1681" s="388" t="s">
        <v>11465</v>
      </c>
      <c r="I1681" s="387" t="s">
        <v>13092</v>
      </c>
      <c r="J1681" s="389"/>
      <c r="K1681" s="387"/>
      <c r="L1681" s="387"/>
      <c r="M1681" s="387" t="s">
        <v>10084</v>
      </c>
      <c r="N1681" s="387"/>
      <c r="O1681" s="387" t="s">
        <v>57</v>
      </c>
      <c r="P1681" s="390">
        <v>160436000</v>
      </c>
      <c r="Q1681" s="387"/>
      <c r="R1681" s="387" t="s">
        <v>8086</v>
      </c>
      <c r="S1681" s="340">
        <v>1</v>
      </c>
    </row>
    <row r="1682" spans="1:19" ht="29" x14ac:dyDescent="0.35">
      <c r="A1682" s="349">
        <v>1671</v>
      </c>
      <c r="B1682" s="387" t="s">
        <v>10110</v>
      </c>
      <c r="C1682" s="387" t="s">
        <v>10111</v>
      </c>
      <c r="D1682" s="388" t="s">
        <v>51</v>
      </c>
      <c r="E1682" s="388" t="s">
        <v>10082</v>
      </c>
      <c r="F1682" s="388" t="s">
        <v>10078</v>
      </c>
      <c r="G1682" s="388" t="s">
        <v>10078</v>
      </c>
      <c r="H1682" s="388" t="s">
        <v>11332</v>
      </c>
      <c r="I1682" s="387" t="s">
        <v>13092</v>
      </c>
      <c r="J1682" s="389"/>
      <c r="K1682" s="387"/>
      <c r="L1682" s="387"/>
      <c r="M1682" s="387" t="s">
        <v>10084</v>
      </c>
      <c r="N1682" s="387"/>
      <c r="O1682" s="387" t="s">
        <v>57</v>
      </c>
      <c r="P1682" s="390">
        <v>10186000</v>
      </c>
      <c r="Q1682" s="387"/>
      <c r="R1682" s="387" t="s">
        <v>8086</v>
      </c>
      <c r="S1682" s="340">
        <v>1</v>
      </c>
    </row>
    <row r="1683" spans="1:19" ht="29.5" thickBot="1" x14ac:dyDescent="0.4">
      <c r="A1683" s="357">
        <v>1672</v>
      </c>
      <c r="B1683" s="387" t="s">
        <v>10110</v>
      </c>
      <c r="C1683" s="387" t="s">
        <v>10111</v>
      </c>
      <c r="D1683" s="388" t="s">
        <v>59</v>
      </c>
      <c r="E1683" s="388" t="s">
        <v>10082</v>
      </c>
      <c r="F1683" s="388" t="s">
        <v>10078</v>
      </c>
      <c r="G1683" s="388" t="s">
        <v>10078</v>
      </c>
      <c r="H1683" s="388" t="s">
        <v>11332</v>
      </c>
      <c r="I1683" s="387" t="s">
        <v>13092</v>
      </c>
      <c r="J1683" s="389"/>
      <c r="K1683" s="387"/>
      <c r="L1683" s="387"/>
      <c r="M1683" s="387" t="s">
        <v>10084</v>
      </c>
      <c r="N1683" s="387"/>
      <c r="O1683" s="387" t="s">
        <v>57</v>
      </c>
      <c r="P1683" s="390">
        <v>10186000</v>
      </c>
      <c r="Q1683" s="387"/>
      <c r="R1683" s="387" t="s">
        <v>8086</v>
      </c>
      <c r="S1683" s="340">
        <v>1</v>
      </c>
    </row>
    <row r="1684" spans="1:19" ht="43.5" x14ac:dyDescent="0.35">
      <c r="A1684" s="349">
        <v>1673</v>
      </c>
      <c r="B1684" s="387" t="s">
        <v>10092</v>
      </c>
      <c r="C1684" s="387" t="s">
        <v>10093</v>
      </c>
      <c r="D1684" s="388" t="s">
        <v>51</v>
      </c>
      <c r="E1684" s="388" t="s">
        <v>10082</v>
      </c>
      <c r="F1684" s="388" t="s">
        <v>10078</v>
      </c>
      <c r="G1684" s="388" t="s">
        <v>10078</v>
      </c>
      <c r="H1684" s="388" t="s">
        <v>12979</v>
      </c>
      <c r="I1684" s="387" t="s">
        <v>13093</v>
      </c>
      <c r="J1684" s="389">
        <v>41904</v>
      </c>
      <c r="K1684" s="387" t="s">
        <v>13097</v>
      </c>
      <c r="L1684" s="387"/>
      <c r="M1684" s="387" t="s">
        <v>10084</v>
      </c>
      <c r="N1684" s="387"/>
      <c r="O1684" s="387" t="s">
        <v>57</v>
      </c>
      <c r="P1684" s="390">
        <v>144500000</v>
      </c>
      <c r="Q1684" s="387" t="s">
        <v>13098</v>
      </c>
      <c r="R1684" s="387" t="s">
        <v>8086</v>
      </c>
      <c r="S1684" s="340">
        <v>1</v>
      </c>
    </row>
    <row r="1685" spans="1:19" ht="29.5" thickBot="1" x14ac:dyDescent="0.4">
      <c r="A1685" s="357">
        <v>1674</v>
      </c>
      <c r="B1685" s="387" t="s">
        <v>10765</v>
      </c>
      <c r="C1685" s="387" t="s">
        <v>10766</v>
      </c>
      <c r="D1685" s="388" t="s">
        <v>51</v>
      </c>
      <c r="E1685" s="388" t="s">
        <v>10082</v>
      </c>
      <c r="F1685" s="388" t="s">
        <v>10078</v>
      </c>
      <c r="G1685" s="388" t="s">
        <v>10088</v>
      </c>
      <c r="H1685" s="388" t="s">
        <v>13099</v>
      </c>
      <c r="I1685" s="387" t="s">
        <v>13100</v>
      </c>
      <c r="J1685" s="389"/>
      <c r="K1685" s="387" t="s">
        <v>13101</v>
      </c>
      <c r="L1685" s="387"/>
      <c r="M1685" s="387"/>
      <c r="N1685" s="387"/>
      <c r="O1685" s="387" t="s">
        <v>44</v>
      </c>
      <c r="P1685" s="390">
        <v>110210345</v>
      </c>
      <c r="Q1685" s="387" t="s">
        <v>13102</v>
      </c>
      <c r="R1685" s="387" t="s">
        <v>8086</v>
      </c>
      <c r="S1685" s="340">
        <v>1</v>
      </c>
    </row>
    <row r="1686" spans="1:19" ht="29" x14ac:dyDescent="0.35">
      <c r="A1686" s="349">
        <v>1675</v>
      </c>
      <c r="B1686" s="387" t="s">
        <v>10085</v>
      </c>
      <c r="C1686" s="387" t="s">
        <v>10086</v>
      </c>
      <c r="D1686" s="388" t="s">
        <v>51</v>
      </c>
      <c r="E1686" s="388" t="s">
        <v>10082</v>
      </c>
      <c r="F1686" s="388" t="s">
        <v>10078</v>
      </c>
      <c r="G1686" s="388" t="s">
        <v>10078</v>
      </c>
      <c r="H1686" s="388" t="s">
        <v>11421</v>
      </c>
      <c r="I1686" s="387" t="s">
        <v>13092</v>
      </c>
      <c r="J1686" s="389"/>
      <c r="K1686" s="387"/>
      <c r="L1686" s="387"/>
      <c r="M1686" s="387" t="s">
        <v>10084</v>
      </c>
      <c r="N1686" s="387"/>
      <c r="O1686" s="387" t="s">
        <v>57</v>
      </c>
      <c r="P1686" s="390">
        <v>219439000</v>
      </c>
      <c r="Q1686" s="387"/>
      <c r="R1686" s="387" t="s">
        <v>8086</v>
      </c>
      <c r="S1686" s="340">
        <v>1</v>
      </c>
    </row>
    <row r="1687" spans="1:19" ht="29.5" thickBot="1" x14ac:dyDescent="0.4">
      <c r="A1687" s="357">
        <v>1676</v>
      </c>
      <c r="B1687" s="387" t="s">
        <v>10085</v>
      </c>
      <c r="C1687" s="387" t="s">
        <v>10086</v>
      </c>
      <c r="D1687" s="388" t="s">
        <v>59</v>
      </c>
      <c r="E1687" s="388" t="s">
        <v>10082</v>
      </c>
      <c r="F1687" s="388" t="s">
        <v>10078</v>
      </c>
      <c r="G1687" s="388" t="s">
        <v>10078</v>
      </c>
      <c r="H1687" s="388" t="s">
        <v>11421</v>
      </c>
      <c r="I1687" s="387" t="s">
        <v>13092</v>
      </c>
      <c r="J1687" s="389"/>
      <c r="K1687" s="387"/>
      <c r="L1687" s="387"/>
      <c r="M1687" s="387" t="s">
        <v>10084</v>
      </c>
      <c r="N1687" s="387"/>
      <c r="O1687" s="387" t="s">
        <v>57</v>
      </c>
      <c r="P1687" s="390">
        <v>278484000</v>
      </c>
      <c r="Q1687" s="387"/>
      <c r="R1687" s="387" t="s">
        <v>8086</v>
      </c>
      <c r="S1687" s="340">
        <v>1</v>
      </c>
    </row>
    <row r="1688" spans="1:19" ht="29" x14ac:dyDescent="0.35">
      <c r="A1688" s="349">
        <v>1677</v>
      </c>
      <c r="B1688" s="387" t="s">
        <v>10085</v>
      </c>
      <c r="C1688" s="387" t="s">
        <v>10086</v>
      </c>
      <c r="D1688" s="388" t="s">
        <v>97</v>
      </c>
      <c r="E1688" s="388" t="s">
        <v>10082</v>
      </c>
      <c r="F1688" s="388" t="s">
        <v>10078</v>
      </c>
      <c r="G1688" s="388" t="s">
        <v>10078</v>
      </c>
      <c r="H1688" s="388" t="s">
        <v>11421</v>
      </c>
      <c r="I1688" s="387" t="s">
        <v>13092</v>
      </c>
      <c r="J1688" s="389"/>
      <c r="K1688" s="387"/>
      <c r="L1688" s="387"/>
      <c r="M1688" s="387" t="s">
        <v>10084</v>
      </c>
      <c r="N1688" s="387"/>
      <c r="O1688" s="387" t="s">
        <v>57</v>
      </c>
      <c r="P1688" s="390">
        <v>57299000</v>
      </c>
      <c r="Q1688" s="387"/>
      <c r="R1688" s="387" t="s">
        <v>8086</v>
      </c>
      <c r="S1688" s="340">
        <v>1</v>
      </c>
    </row>
    <row r="1689" spans="1:19" ht="29.5" thickBot="1" x14ac:dyDescent="0.4">
      <c r="A1689" s="357">
        <v>1678</v>
      </c>
      <c r="B1689" s="387" t="s">
        <v>10080</v>
      </c>
      <c r="C1689" s="387" t="s">
        <v>10081</v>
      </c>
      <c r="D1689" s="388" t="s">
        <v>51</v>
      </c>
      <c r="E1689" s="388" t="s">
        <v>10082</v>
      </c>
      <c r="F1689" s="388" t="s">
        <v>10078</v>
      </c>
      <c r="G1689" s="388" t="s">
        <v>10078</v>
      </c>
      <c r="H1689" s="388" t="s">
        <v>11400</v>
      </c>
      <c r="I1689" s="387" t="s">
        <v>13103</v>
      </c>
      <c r="J1689" s="389"/>
      <c r="K1689" s="387"/>
      <c r="L1689" s="387"/>
      <c r="M1689" s="387" t="s">
        <v>10084</v>
      </c>
      <c r="N1689" s="387"/>
      <c r="O1689" s="387" t="s">
        <v>57</v>
      </c>
      <c r="P1689" s="390">
        <v>53206000</v>
      </c>
      <c r="Q1689" s="387"/>
      <c r="R1689" s="387" t="s">
        <v>8088</v>
      </c>
      <c r="S1689" s="340">
        <v>1</v>
      </c>
    </row>
    <row r="1690" spans="1:19" ht="29" x14ac:dyDescent="0.35">
      <c r="A1690" s="349">
        <v>1679</v>
      </c>
      <c r="B1690" s="387" t="s">
        <v>10080</v>
      </c>
      <c r="C1690" s="387" t="s">
        <v>10081</v>
      </c>
      <c r="D1690" s="388" t="s">
        <v>59</v>
      </c>
      <c r="E1690" s="388" t="s">
        <v>10082</v>
      </c>
      <c r="F1690" s="388" t="s">
        <v>10078</v>
      </c>
      <c r="G1690" s="388" t="s">
        <v>10078</v>
      </c>
      <c r="H1690" s="388" t="s">
        <v>1122</v>
      </c>
      <c r="I1690" s="387" t="s">
        <v>13103</v>
      </c>
      <c r="J1690" s="389"/>
      <c r="K1690" s="387"/>
      <c r="L1690" s="387"/>
      <c r="M1690" s="387" t="s">
        <v>10084</v>
      </c>
      <c r="N1690" s="387"/>
      <c r="O1690" s="387" t="s">
        <v>57</v>
      </c>
      <c r="P1690" s="390">
        <v>211002000</v>
      </c>
      <c r="Q1690" s="387"/>
      <c r="R1690" s="387" t="s">
        <v>8088</v>
      </c>
      <c r="S1690" s="340">
        <v>1</v>
      </c>
    </row>
    <row r="1691" spans="1:19" ht="29.5" thickBot="1" x14ac:dyDescent="0.4">
      <c r="A1691" s="357">
        <v>1680</v>
      </c>
      <c r="B1691" s="387" t="s">
        <v>10080</v>
      </c>
      <c r="C1691" s="387" t="s">
        <v>10081</v>
      </c>
      <c r="D1691" s="388" t="s">
        <v>97</v>
      </c>
      <c r="E1691" s="388" t="s">
        <v>10082</v>
      </c>
      <c r="F1691" s="388" t="s">
        <v>10078</v>
      </c>
      <c r="G1691" s="388" t="s">
        <v>10078</v>
      </c>
      <c r="H1691" s="388" t="s">
        <v>1122</v>
      </c>
      <c r="I1691" s="387" t="s">
        <v>13103</v>
      </c>
      <c r="J1691" s="389"/>
      <c r="K1691" s="387"/>
      <c r="L1691" s="387"/>
      <c r="M1691" s="387" t="s">
        <v>10084</v>
      </c>
      <c r="N1691" s="387"/>
      <c r="O1691" s="387" t="s">
        <v>57</v>
      </c>
      <c r="P1691" s="390">
        <v>259271000</v>
      </c>
      <c r="Q1691" s="387"/>
      <c r="R1691" s="387" t="s">
        <v>8088</v>
      </c>
      <c r="S1691" s="340">
        <v>1</v>
      </c>
    </row>
    <row r="1692" spans="1:19" ht="29" x14ac:dyDescent="0.35">
      <c r="A1692" s="349">
        <v>1681</v>
      </c>
      <c r="B1692" s="387" t="s">
        <v>10080</v>
      </c>
      <c r="C1692" s="387" t="s">
        <v>10081</v>
      </c>
      <c r="D1692" s="388" t="s">
        <v>101</v>
      </c>
      <c r="E1692" s="388" t="s">
        <v>10082</v>
      </c>
      <c r="F1692" s="388" t="s">
        <v>10078</v>
      </c>
      <c r="G1692" s="388" t="s">
        <v>10078</v>
      </c>
      <c r="H1692" s="388" t="s">
        <v>11413</v>
      </c>
      <c r="I1692" s="387" t="s">
        <v>13103</v>
      </c>
      <c r="J1692" s="389"/>
      <c r="K1692" s="387"/>
      <c r="L1692" s="387"/>
      <c r="M1692" s="387" t="s">
        <v>10084</v>
      </c>
      <c r="N1692" s="387"/>
      <c r="O1692" s="387" t="s">
        <v>57</v>
      </c>
      <c r="P1692" s="390">
        <v>193714000</v>
      </c>
      <c r="Q1692" s="387"/>
      <c r="R1692" s="387" t="s">
        <v>8088</v>
      </c>
      <c r="S1692" s="340">
        <v>1</v>
      </c>
    </row>
    <row r="1693" spans="1:19" ht="29.5" thickBot="1" x14ac:dyDescent="0.4">
      <c r="A1693" s="357">
        <v>1682</v>
      </c>
      <c r="B1693" s="387" t="s">
        <v>10080</v>
      </c>
      <c r="C1693" s="387" t="s">
        <v>10081</v>
      </c>
      <c r="D1693" s="388" t="s">
        <v>107</v>
      </c>
      <c r="E1693" s="388" t="s">
        <v>10082</v>
      </c>
      <c r="F1693" s="388" t="s">
        <v>10078</v>
      </c>
      <c r="G1693" s="388" t="s">
        <v>10088</v>
      </c>
      <c r="H1693" s="388" t="s">
        <v>11308</v>
      </c>
      <c r="I1693" s="387" t="s">
        <v>13103</v>
      </c>
      <c r="J1693" s="389">
        <v>40778</v>
      </c>
      <c r="K1693" s="387" t="s">
        <v>13104</v>
      </c>
      <c r="L1693" s="387"/>
      <c r="M1693" s="387" t="s">
        <v>10084</v>
      </c>
      <c r="N1693" s="387"/>
      <c r="O1693" s="387" t="s">
        <v>422</v>
      </c>
      <c r="P1693" s="390">
        <v>133568000</v>
      </c>
      <c r="Q1693" s="387" t="s">
        <v>13105</v>
      </c>
      <c r="R1693" s="387" t="s">
        <v>8088</v>
      </c>
      <c r="S1693" s="340">
        <v>1</v>
      </c>
    </row>
    <row r="1694" spans="1:19" ht="43.5" x14ac:dyDescent="0.35">
      <c r="A1694" s="349">
        <v>1683</v>
      </c>
      <c r="B1694" s="387" t="s">
        <v>10110</v>
      </c>
      <c r="C1694" s="387" t="s">
        <v>10111</v>
      </c>
      <c r="D1694" s="388" t="s">
        <v>51</v>
      </c>
      <c r="E1694" s="388" t="s">
        <v>10082</v>
      </c>
      <c r="F1694" s="388" t="s">
        <v>10078</v>
      </c>
      <c r="G1694" s="388" t="s">
        <v>10078</v>
      </c>
      <c r="H1694" s="388" t="s">
        <v>13106</v>
      </c>
      <c r="I1694" s="387" t="s">
        <v>13107</v>
      </c>
      <c r="J1694" s="389">
        <v>44761</v>
      </c>
      <c r="K1694" s="387" t="s">
        <v>13108</v>
      </c>
      <c r="L1694" s="387"/>
      <c r="M1694" s="387"/>
      <c r="N1694" s="387"/>
      <c r="O1694" s="387" t="s">
        <v>44</v>
      </c>
      <c r="P1694" s="390">
        <v>85143335</v>
      </c>
      <c r="Q1694" s="387" t="s">
        <v>13109</v>
      </c>
      <c r="R1694" s="387" t="s">
        <v>8088</v>
      </c>
      <c r="S1694" s="340">
        <v>1</v>
      </c>
    </row>
    <row r="1695" spans="1:19" ht="29.5" thickBot="1" x14ac:dyDescent="0.4">
      <c r="A1695" s="357">
        <v>1684</v>
      </c>
      <c r="B1695" s="387" t="s">
        <v>10092</v>
      </c>
      <c r="C1695" s="387" t="s">
        <v>10093</v>
      </c>
      <c r="D1695" s="388" t="s">
        <v>51</v>
      </c>
      <c r="E1695" s="388" t="s">
        <v>10082</v>
      </c>
      <c r="F1695" s="388" t="s">
        <v>10078</v>
      </c>
      <c r="G1695" s="388" t="s">
        <v>10078</v>
      </c>
      <c r="H1695" s="388" t="s">
        <v>12979</v>
      </c>
      <c r="I1695" s="387" t="s">
        <v>13103</v>
      </c>
      <c r="J1695" s="389"/>
      <c r="K1695" s="387"/>
      <c r="L1695" s="387"/>
      <c r="M1695" s="387" t="s">
        <v>10084</v>
      </c>
      <c r="N1695" s="387"/>
      <c r="O1695" s="387" t="s">
        <v>57</v>
      </c>
      <c r="P1695" s="390">
        <v>125575000</v>
      </c>
      <c r="Q1695" s="387"/>
      <c r="R1695" s="387" t="s">
        <v>8088</v>
      </c>
      <c r="S1695" s="340">
        <v>1</v>
      </c>
    </row>
    <row r="1696" spans="1:19" ht="29" x14ac:dyDescent="0.35">
      <c r="A1696" s="349">
        <v>1685</v>
      </c>
      <c r="B1696" s="387" t="s">
        <v>10085</v>
      </c>
      <c r="C1696" s="387" t="s">
        <v>10086</v>
      </c>
      <c r="D1696" s="388" t="s">
        <v>51</v>
      </c>
      <c r="E1696" s="388" t="s">
        <v>10082</v>
      </c>
      <c r="F1696" s="388" t="s">
        <v>10078</v>
      </c>
      <c r="G1696" s="388" t="s">
        <v>10078</v>
      </c>
      <c r="H1696" s="388" t="s">
        <v>11421</v>
      </c>
      <c r="I1696" s="387" t="s">
        <v>13103</v>
      </c>
      <c r="J1696" s="389"/>
      <c r="K1696" s="387"/>
      <c r="L1696" s="387"/>
      <c r="M1696" s="387" t="s">
        <v>10084</v>
      </c>
      <c r="N1696" s="387"/>
      <c r="O1696" s="387" t="s">
        <v>57</v>
      </c>
      <c r="P1696" s="390">
        <v>26603000</v>
      </c>
      <c r="Q1696" s="387"/>
      <c r="R1696" s="387" t="s">
        <v>8088</v>
      </c>
      <c r="S1696" s="340">
        <v>1</v>
      </c>
    </row>
    <row r="1697" spans="1:19" ht="29.5" thickBot="1" x14ac:dyDescent="0.4">
      <c r="A1697" s="357">
        <v>1686</v>
      </c>
      <c r="B1697" s="387" t="s">
        <v>10085</v>
      </c>
      <c r="C1697" s="387" t="s">
        <v>10086</v>
      </c>
      <c r="D1697" s="388" t="s">
        <v>59</v>
      </c>
      <c r="E1697" s="388" t="s">
        <v>10082</v>
      </c>
      <c r="F1697" s="388" t="s">
        <v>10078</v>
      </c>
      <c r="G1697" s="388" t="s">
        <v>10078</v>
      </c>
      <c r="H1697" s="388" t="s">
        <v>11421</v>
      </c>
      <c r="I1697" s="387" t="s">
        <v>13103</v>
      </c>
      <c r="J1697" s="389"/>
      <c r="K1697" s="387"/>
      <c r="L1697" s="387"/>
      <c r="M1697" s="387" t="s">
        <v>10084</v>
      </c>
      <c r="N1697" s="387"/>
      <c r="O1697" s="387" t="s">
        <v>57</v>
      </c>
      <c r="P1697" s="390">
        <v>53206000</v>
      </c>
      <c r="Q1697" s="387"/>
      <c r="R1697" s="387" t="s">
        <v>8088</v>
      </c>
      <c r="S1697" s="340">
        <v>1</v>
      </c>
    </row>
    <row r="1698" spans="1:19" ht="29" x14ac:dyDescent="0.35">
      <c r="A1698" s="349">
        <v>1687</v>
      </c>
      <c r="B1698" s="387" t="s">
        <v>10085</v>
      </c>
      <c r="C1698" s="387" t="s">
        <v>10086</v>
      </c>
      <c r="D1698" s="388" t="s">
        <v>97</v>
      </c>
      <c r="E1698" s="388" t="s">
        <v>10082</v>
      </c>
      <c r="F1698" s="388" t="s">
        <v>10078</v>
      </c>
      <c r="G1698" s="388" t="s">
        <v>10078</v>
      </c>
      <c r="H1698" s="388" t="s">
        <v>11421</v>
      </c>
      <c r="I1698" s="387" t="s">
        <v>13103</v>
      </c>
      <c r="J1698" s="389"/>
      <c r="K1698" s="387"/>
      <c r="L1698" s="387"/>
      <c r="M1698" s="387" t="s">
        <v>10084</v>
      </c>
      <c r="N1698" s="387"/>
      <c r="O1698" s="387" t="s">
        <v>57</v>
      </c>
      <c r="P1698" s="390">
        <v>53206000</v>
      </c>
      <c r="Q1698" s="387"/>
      <c r="R1698" s="387" t="s">
        <v>8088</v>
      </c>
      <c r="S1698" s="340">
        <v>1</v>
      </c>
    </row>
    <row r="1699" spans="1:19" ht="29.5" thickBot="1" x14ac:dyDescent="0.4">
      <c r="A1699" s="357">
        <v>1688</v>
      </c>
      <c r="B1699" s="387" t="s">
        <v>10085</v>
      </c>
      <c r="C1699" s="387" t="s">
        <v>10086</v>
      </c>
      <c r="D1699" s="388" t="s">
        <v>101</v>
      </c>
      <c r="E1699" s="388" t="s">
        <v>10082</v>
      </c>
      <c r="F1699" s="388" t="s">
        <v>10078</v>
      </c>
      <c r="G1699" s="388" t="s">
        <v>10078</v>
      </c>
      <c r="H1699" s="388" t="s">
        <v>11421</v>
      </c>
      <c r="I1699" s="387" t="s">
        <v>13103</v>
      </c>
      <c r="J1699" s="389"/>
      <c r="K1699" s="387"/>
      <c r="L1699" s="387"/>
      <c r="M1699" s="387" t="s">
        <v>10084</v>
      </c>
      <c r="N1699" s="387"/>
      <c r="O1699" s="387" t="s">
        <v>57</v>
      </c>
      <c r="P1699" s="390">
        <v>53206000</v>
      </c>
      <c r="Q1699" s="387"/>
      <c r="R1699" s="387" t="s">
        <v>8088</v>
      </c>
      <c r="S1699" s="340">
        <v>1</v>
      </c>
    </row>
    <row r="1700" spans="1:19" ht="43.5" x14ac:dyDescent="0.35">
      <c r="A1700" s="349">
        <v>1689</v>
      </c>
      <c r="B1700" s="387" t="s">
        <v>10085</v>
      </c>
      <c r="C1700" s="387" t="s">
        <v>10086</v>
      </c>
      <c r="D1700" s="388" t="s">
        <v>107</v>
      </c>
      <c r="E1700" s="388" t="s">
        <v>10082</v>
      </c>
      <c r="F1700" s="388" t="s">
        <v>10078</v>
      </c>
      <c r="G1700" s="388" t="s">
        <v>10078</v>
      </c>
      <c r="H1700" s="388" t="s">
        <v>11384</v>
      </c>
      <c r="I1700" s="387" t="s">
        <v>13103</v>
      </c>
      <c r="J1700" s="389">
        <v>41528</v>
      </c>
      <c r="K1700" s="387" t="s">
        <v>13110</v>
      </c>
      <c r="L1700" s="387"/>
      <c r="M1700" s="387" t="s">
        <v>10084</v>
      </c>
      <c r="N1700" s="387"/>
      <c r="O1700" s="387" t="s">
        <v>57</v>
      </c>
      <c r="P1700" s="390">
        <v>136413000</v>
      </c>
      <c r="Q1700" s="387" t="s">
        <v>13111</v>
      </c>
      <c r="R1700" s="387" t="s">
        <v>8088</v>
      </c>
      <c r="S1700" s="340">
        <v>1</v>
      </c>
    </row>
    <row r="1701" spans="1:19" ht="44" thickBot="1" x14ac:dyDescent="0.4">
      <c r="A1701" s="357">
        <v>1690</v>
      </c>
      <c r="B1701" s="387" t="s">
        <v>10155</v>
      </c>
      <c r="C1701" s="387" t="s">
        <v>10156</v>
      </c>
      <c r="D1701" s="388" t="s">
        <v>51</v>
      </c>
      <c r="E1701" s="388" t="s">
        <v>10082</v>
      </c>
      <c r="F1701" s="388" t="s">
        <v>10078</v>
      </c>
      <c r="G1701" s="388" t="s">
        <v>10088</v>
      </c>
      <c r="H1701" s="388" t="s">
        <v>11308</v>
      </c>
      <c r="I1701" s="387"/>
      <c r="J1701" s="389">
        <v>44756</v>
      </c>
      <c r="K1701" s="387" t="s">
        <v>13112</v>
      </c>
      <c r="L1701" s="387"/>
      <c r="M1701" s="387"/>
      <c r="N1701" s="387"/>
      <c r="O1701" s="387" t="s">
        <v>44</v>
      </c>
      <c r="P1701" s="390">
        <v>221699700</v>
      </c>
      <c r="Q1701" s="387" t="s">
        <v>13113</v>
      </c>
      <c r="R1701" s="387" t="s">
        <v>8090</v>
      </c>
      <c r="S1701" s="340">
        <v>1</v>
      </c>
    </row>
    <row r="1702" spans="1:19" ht="29" x14ac:dyDescent="0.35">
      <c r="A1702" s="349">
        <v>1691</v>
      </c>
      <c r="B1702" s="387" t="s">
        <v>10080</v>
      </c>
      <c r="C1702" s="387" t="s">
        <v>10081</v>
      </c>
      <c r="D1702" s="388" t="s">
        <v>51</v>
      </c>
      <c r="E1702" s="388" t="s">
        <v>10082</v>
      </c>
      <c r="F1702" s="388" t="s">
        <v>10078</v>
      </c>
      <c r="G1702" s="388" t="s">
        <v>10078</v>
      </c>
      <c r="H1702" s="388" t="s">
        <v>3405</v>
      </c>
      <c r="I1702" s="387" t="s">
        <v>13114</v>
      </c>
      <c r="J1702" s="389">
        <v>41904</v>
      </c>
      <c r="K1702" s="387" t="s">
        <v>13115</v>
      </c>
      <c r="L1702" s="387"/>
      <c r="M1702" s="387" t="s">
        <v>10084</v>
      </c>
      <c r="N1702" s="387"/>
      <c r="O1702" s="387" t="s">
        <v>57</v>
      </c>
      <c r="P1702" s="390">
        <v>268322240</v>
      </c>
      <c r="Q1702" s="387" t="s">
        <v>13116</v>
      </c>
      <c r="R1702" s="387" t="s">
        <v>8090</v>
      </c>
      <c r="S1702" s="340">
        <v>1</v>
      </c>
    </row>
    <row r="1703" spans="1:19" ht="29.5" thickBot="1" x14ac:dyDescent="0.4">
      <c r="A1703" s="357">
        <v>1692</v>
      </c>
      <c r="B1703" s="387" t="s">
        <v>10080</v>
      </c>
      <c r="C1703" s="387" t="s">
        <v>10081</v>
      </c>
      <c r="D1703" s="388" t="s">
        <v>59</v>
      </c>
      <c r="E1703" s="388" t="s">
        <v>10082</v>
      </c>
      <c r="F1703" s="388" t="s">
        <v>10078</v>
      </c>
      <c r="G1703" s="388" t="s">
        <v>10078</v>
      </c>
      <c r="H1703" s="388" t="s">
        <v>1122</v>
      </c>
      <c r="I1703" s="387" t="s">
        <v>13114</v>
      </c>
      <c r="J1703" s="389"/>
      <c r="K1703" s="387"/>
      <c r="L1703" s="387"/>
      <c r="M1703" s="387" t="s">
        <v>10084</v>
      </c>
      <c r="N1703" s="387"/>
      <c r="O1703" s="387" t="s">
        <v>57</v>
      </c>
      <c r="P1703" s="390">
        <v>205435000</v>
      </c>
      <c r="Q1703" s="387"/>
      <c r="R1703" s="387" t="s">
        <v>8090</v>
      </c>
      <c r="S1703" s="340">
        <v>1</v>
      </c>
    </row>
    <row r="1704" spans="1:19" ht="29" x14ac:dyDescent="0.35">
      <c r="A1704" s="349">
        <v>1693</v>
      </c>
      <c r="B1704" s="387" t="s">
        <v>10080</v>
      </c>
      <c r="C1704" s="387" t="s">
        <v>10081</v>
      </c>
      <c r="D1704" s="388" t="s">
        <v>97</v>
      </c>
      <c r="E1704" s="388" t="s">
        <v>10082</v>
      </c>
      <c r="F1704" s="388" t="s">
        <v>10078</v>
      </c>
      <c r="G1704" s="388" t="s">
        <v>10078</v>
      </c>
      <c r="H1704" s="388" t="s">
        <v>11400</v>
      </c>
      <c r="I1704" s="387" t="s">
        <v>13114</v>
      </c>
      <c r="J1704" s="389"/>
      <c r="K1704" s="387"/>
      <c r="L1704" s="387"/>
      <c r="M1704" s="387" t="s">
        <v>10084</v>
      </c>
      <c r="N1704" s="387"/>
      <c r="O1704" s="387" t="s">
        <v>57</v>
      </c>
      <c r="P1704" s="390">
        <v>118690000</v>
      </c>
      <c r="Q1704" s="387"/>
      <c r="R1704" s="387" t="s">
        <v>8090</v>
      </c>
      <c r="S1704" s="340">
        <v>1</v>
      </c>
    </row>
    <row r="1705" spans="1:19" ht="29.5" thickBot="1" x14ac:dyDescent="0.4">
      <c r="A1705" s="357">
        <v>1694</v>
      </c>
      <c r="B1705" s="387" t="s">
        <v>10080</v>
      </c>
      <c r="C1705" s="387" t="s">
        <v>10081</v>
      </c>
      <c r="D1705" s="388" t="s">
        <v>101</v>
      </c>
      <c r="E1705" s="388" t="s">
        <v>10082</v>
      </c>
      <c r="F1705" s="388" t="s">
        <v>10078</v>
      </c>
      <c r="G1705" s="388" t="s">
        <v>10078</v>
      </c>
      <c r="H1705" s="388" t="s">
        <v>11400</v>
      </c>
      <c r="I1705" s="387" t="s">
        <v>13114</v>
      </c>
      <c r="J1705" s="389"/>
      <c r="K1705" s="387"/>
      <c r="L1705" s="387"/>
      <c r="M1705" s="387" t="s">
        <v>10084</v>
      </c>
      <c r="N1705" s="387"/>
      <c r="O1705" s="387" t="s">
        <v>57</v>
      </c>
      <c r="P1705" s="390">
        <v>349930000</v>
      </c>
      <c r="Q1705" s="387"/>
      <c r="R1705" s="387" t="s">
        <v>8090</v>
      </c>
      <c r="S1705" s="340">
        <v>1</v>
      </c>
    </row>
    <row r="1706" spans="1:19" ht="43.5" x14ac:dyDescent="0.35">
      <c r="A1706" s="349">
        <v>1695</v>
      </c>
      <c r="B1706" s="387" t="s">
        <v>10110</v>
      </c>
      <c r="C1706" s="387" t="s">
        <v>10111</v>
      </c>
      <c r="D1706" s="388" t="s">
        <v>51</v>
      </c>
      <c r="E1706" s="388" t="s">
        <v>10082</v>
      </c>
      <c r="F1706" s="388" t="s">
        <v>10078</v>
      </c>
      <c r="G1706" s="388" t="s">
        <v>10078</v>
      </c>
      <c r="H1706" s="388" t="s">
        <v>13106</v>
      </c>
      <c r="I1706" s="387" t="s">
        <v>13117</v>
      </c>
      <c r="J1706" s="389">
        <v>44760</v>
      </c>
      <c r="K1706" s="387" t="s">
        <v>13118</v>
      </c>
      <c r="L1706" s="387"/>
      <c r="M1706" s="387"/>
      <c r="N1706" s="387"/>
      <c r="O1706" s="387" t="s">
        <v>44</v>
      </c>
      <c r="P1706" s="390">
        <v>84738135</v>
      </c>
      <c r="Q1706" s="387" t="s">
        <v>13119</v>
      </c>
      <c r="R1706" s="387" t="s">
        <v>8090</v>
      </c>
      <c r="S1706" s="340">
        <v>1</v>
      </c>
    </row>
    <row r="1707" spans="1:19" ht="29.5" thickBot="1" x14ac:dyDescent="0.4">
      <c r="A1707" s="357">
        <v>1696</v>
      </c>
      <c r="B1707" s="387" t="s">
        <v>10092</v>
      </c>
      <c r="C1707" s="387" t="s">
        <v>10093</v>
      </c>
      <c r="D1707" s="388" t="s">
        <v>51</v>
      </c>
      <c r="E1707" s="388" t="s">
        <v>10082</v>
      </c>
      <c r="F1707" s="388" t="s">
        <v>10078</v>
      </c>
      <c r="G1707" s="388" t="s">
        <v>10078</v>
      </c>
      <c r="H1707" s="388" t="s">
        <v>12979</v>
      </c>
      <c r="I1707" s="387" t="s">
        <v>13114</v>
      </c>
      <c r="J1707" s="389"/>
      <c r="K1707" s="387"/>
      <c r="L1707" s="387"/>
      <c r="M1707" s="387" t="s">
        <v>10084</v>
      </c>
      <c r="N1707" s="387"/>
      <c r="O1707" s="387" t="s">
        <v>57</v>
      </c>
      <c r="P1707" s="390">
        <v>146502954</v>
      </c>
      <c r="Q1707" s="387"/>
      <c r="R1707" s="387" t="s">
        <v>8090</v>
      </c>
      <c r="S1707" s="340">
        <v>1</v>
      </c>
    </row>
    <row r="1708" spans="1:19" ht="29" x14ac:dyDescent="0.35">
      <c r="A1708" s="349">
        <v>1697</v>
      </c>
      <c r="B1708" s="387" t="s">
        <v>10085</v>
      </c>
      <c r="C1708" s="387" t="s">
        <v>10086</v>
      </c>
      <c r="D1708" s="388" t="s">
        <v>51</v>
      </c>
      <c r="E1708" s="388" t="s">
        <v>10082</v>
      </c>
      <c r="F1708" s="388" t="s">
        <v>10078</v>
      </c>
      <c r="G1708" s="388" t="s">
        <v>10078</v>
      </c>
      <c r="H1708" s="388" t="s">
        <v>8952</v>
      </c>
      <c r="I1708" s="387" t="s">
        <v>13114</v>
      </c>
      <c r="J1708" s="389"/>
      <c r="K1708" s="387"/>
      <c r="L1708" s="387"/>
      <c r="M1708" s="387" t="s">
        <v>10084</v>
      </c>
      <c r="N1708" s="387"/>
      <c r="O1708" s="387" t="s">
        <v>57</v>
      </c>
      <c r="P1708" s="390">
        <v>110496000</v>
      </c>
      <c r="Q1708" s="387"/>
      <c r="R1708" s="387" t="s">
        <v>8090</v>
      </c>
      <c r="S1708" s="340">
        <v>1</v>
      </c>
    </row>
    <row r="1709" spans="1:19" ht="29.5" thickBot="1" x14ac:dyDescent="0.4">
      <c r="A1709" s="357">
        <v>1698</v>
      </c>
      <c r="B1709" s="387" t="s">
        <v>10191</v>
      </c>
      <c r="C1709" s="387" t="s">
        <v>10192</v>
      </c>
      <c r="D1709" s="388" t="s">
        <v>51</v>
      </c>
      <c r="E1709" s="388" t="s">
        <v>10082</v>
      </c>
      <c r="F1709" s="388" t="s">
        <v>10078</v>
      </c>
      <c r="G1709" s="388" t="s">
        <v>10078</v>
      </c>
      <c r="H1709" s="388" t="s">
        <v>13120</v>
      </c>
      <c r="I1709" s="387" t="s">
        <v>13114</v>
      </c>
      <c r="J1709" s="389">
        <v>42941</v>
      </c>
      <c r="K1709" s="387" t="s">
        <v>13121</v>
      </c>
      <c r="L1709" s="387"/>
      <c r="M1709" s="387" t="s">
        <v>10084</v>
      </c>
      <c r="N1709" s="387"/>
      <c r="O1709" s="387" t="s">
        <v>57</v>
      </c>
      <c r="P1709" s="390">
        <v>221347000</v>
      </c>
      <c r="Q1709" s="387" t="s">
        <v>13122</v>
      </c>
      <c r="R1709" s="387" t="s">
        <v>8090</v>
      </c>
      <c r="S1709" s="340">
        <v>1</v>
      </c>
    </row>
    <row r="1710" spans="1:19" ht="29" x14ac:dyDescent="0.35">
      <c r="A1710" s="349">
        <v>1699</v>
      </c>
      <c r="B1710" s="387" t="s">
        <v>10080</v>
      </c>
      <c r="C1710" s="387" t="s">
        <v>10081</v>
      </c>
      <c r="D1710" s="388" t="s">
        <v>51</v>
      </c>
      <c r="E1710" s="388" t="s">
        <v>10082</v>
      </c>
      <c r="F1710" s="388" t="s">
        <v>10078</v>
      </c>
      <c r="G1710" s="388" t="s">
        <v>10078</v>
      </c>
      <c r="H1710" s="388" t="s">
        <v>11400</v>
      </c>
      <c r="I1710" s="387" t="s">
        <v>13123</v>
      </c>
      <c r="J1710" s="389"/>
      <c r="K1710" s="387"/>
      <c r="L1710" s="387"/>
      <c r="M1710" s="387" t="s">
        <v>10084</v>
      </c>
      <c r="N1710" s="387"/>
      <c r="O1710" s="387" t="s">
        <v>57</v>
      </c>
      <c r="P1710" s="390">
        <v>38881000</v>
      </c>
      <c r="Q1710" s="387"/>
      <c r="R1710" s="387" t="s">
        <v>8092</v>
      </c>
      <c r="S1710" s="340">
        <v>1</v>
      </c>
    </row>
    <row r="1711" spans="1:19" ht="29.5" thickBot="1" x14ac:dyDescent="0.4">
      <c r="A1711" s="357">
        <v>1700</v>
      </c>
      <c r="B1711" s="387" t="s">
        <v>10080</v>
      </c>
      <c r="C1711" s="387" t="s">
        <v>10081</v>
      </c>
      <c r="D1711" s="388" t="s">
        <v>59</v>
      </c>
      <c r="E1711" s="388" t="s">
        <v>10082</v>
      </c>
      <c r="F1711" s="388" t="s">
        <v>10078</v>
      </c>
      <c r="G1711" s="388" t="s">
        <v>10078</v>
      </c>
      <c r="H1711" s="388" t="s">
        <v>11400</v>
      </c>
      <c r="I1711" s="387" t="s">
        <v>13123</v>
      </c>
      <c r="J1711" s="389"/>
      <c r="K1711" s="387"/>
      <c r="L1711" s="387"/>
      <c r="M1711" s="387" t="s">
        <v>10084</v>
      </c>
      <c r="N1711" s="387"/>
      <c r="O1711" s="387" t="s">
        <v>57</v>
      </c>
      <c r="P1711" s="390">
        <v>38881000</v>
      </c>
      <c r="Q1711" s="387"/>
      <c r="R1711" s="387" t="s">
        <v>8092</v>
      </c>
      <c r="S1711" s="340">
        <v>1</v>
      </c>
    </row>
    <row r="1712" spans="1:19" ht="29" x14ac:dyDescent="0.35">
      <c r="A1712" s="349">
        <v>1701</v>
      </c>
      <c r="B1712" s="387" t="s">
        <v>10080</v>
      </c>
      <c r="C1712" s="387" t="s">
        <v>10081</v>
      </c>
      <c r="D1712" s="388" t="s">
        <v>97</v>
      </c>
      <c r="E1712" s="388" t="s">
        <v>10082</v>
      </c>
      <c r="F1712" s="388" t="s">
        <v>10078</v>
      </c>
      <c r="G1712" s="388" t="s">
        <v>10078</v>
      </c>
      <c r="H1712" s="388" t="s">
        <v>11400</v>
      </c>
      <c r="I1712" s="387" t="s">
        <v>13123</v>
      </c>
      <c r="J1712" s="389"/>
      <c r="K1712" s="387"/>
      <c r="L1712" s="387"/>
      <c r="M1712" s="387" t="s">
        <v>10084</v>
      </c>
      <c r="N1712" s="387"/>
      <c r="O1712" s="387" t="s">
        <v>57</v>
      </c>
      <c r="P1712" s="390">
        <v>336452000</v>
      </c>
      <c r="Q1712" s="387"/>
      <c r="R1712" s="387" t="s">
        <v>8092</v>
      </c>
      <c r="S1712" s="340">
        <v>1</v>
      </c>
    </row>
    <row r="1713" spans="1:19" ht="29.5" thickBot="1" x14ac:dyDescent="0.4">
      <c r="A1713" s="357">
        <v>1702</v>
      </c>
      <c r="B1713" s="387" t="s">
        <v>10080</v>
      </c>
      <c r="C1713" s="387" t="s">
        <v>10081</v>
      </c>
      <c r="D1713" s="388" t="s">
        <v>101</v>
      </c>
      <c r="E1713" s="388" t="s">
        <v>10082</v>
      </c>
      <c r="F1713" s="388" t="s">
        <v>10078</v>
      </c>
      <c r="G1713" s="388" t="s">
        <v>10078</v>
      </c>
      <c r="H1713" s="388" t="s">
        <v>11400</v>
      </c>
      <c r="I1713" s="387" t="s">
        <v>13123</v>
      </c>
      <c r="J1713" s="389"/>
      <c r="K1713" s="387"/>
      <c r="L1713" s="387"/>
      <c r="M1713" s="387" t="s">
        <v>10084</v>
      </c>
      <c r="N1713" s="387"/>
      <c r="O1713" s="387" t="s">
        <v>57</v>
      </c>
      <c r="P1713" s="390">
        <v>77762000</v>
      </c>
      <c r="Q1713" s="387"/>
      <c r="R1713" s="387" t="s">
        <v>8092</v>
      </c>
      <c r="S1713" s="340">
        <v>1</v>
      </c>
    </row>
    <row r="1714" spans="1:19" ht="29" x14ac:dyDescent="0.35">
      <c r="A1714" s="349">
        <v>1703</v>
      </c>
      <c r="B1714" s="387" t="s">
        <v>10080</v>
      </c>
      <c r="C1714" s="387" t="s">
        <v>10081</v>
      </c>
      <c r="D1714" s="388" t="s">
        <v>107</v>
      </c>
      <c r="E1714" s="388" t="s">
        <v>10082</v>
      </c>
      <c r="F1714" s="388" t="s">
        <v>10078</v>
      </c>
      <c r="G1714" s="388" t="s">
        <v>10078</v>
      </c>
      <c r="H1714" s="388" t="s">
        <v>1122</v>
      </c>
      <c r="I1714" s="387" t="s">
        <v>13123</v>
      </c>
      <c r="J1714" s="389"/>
      <c r="K1714" s="387"/>
      <c r="L1714" s="387"/>
      <c r="M1714" s="387" t="s">
        <v>10084</v>
      </c>
      <c r="N1714" s="387"/>
      <c r="O1714" s="387" t="s">
        <v>57</v>
      </c>
      <c r="P1714" s="390">
        <v>116643000</v>
      </c>
      <c r="Q1714" s="387"/>
      <c r="R1714" s="387" t="s">
        <v>8092</v>
      </c>
      <c r="S1714" s="340">
        <v>1</v>
      </c>
    </row>
    <row r="1715" spans="1:19" ht="29.5" thickBot="1" x14ac:dyDescent="0.4">
      <c r="A1715" s="357">
        <v>1704</v>
      </c>
      <c r="B1715" s="387" t="s">
        <v>10092</v>
      </c>
      <c r="C1715" s="387" t="s">
        <v>10093</v>
      </c>
      <c r="D1715" s="388" t="s">
        <v>51</v>
      </c>
      <c r="E1715" s="388" t="s">
        <v>10082</v>
      </c>
      <c r="F1715" s="388" t="s">
        <v>10078</v>
      </c>
      <c r="G1715" s="388" t="s">
        <v>10078</v>
      </c>
      <c r="H1715" s="388" t="s">
        <v>12979</v>
      </c>
      <c r="I1715" s="387" t="s">
        <v>13123</v>
      </c>
      <c r="J1715" s="389"/>
      <c r="K1715" s="387"/>
      <c r="L1715" s="387"/>
      <c r="M1715" s="387" t="s">
        <v>10084</v>
      </c>
      <c r="N1715" s="387"/>
      <c r="O1715" s="387" t="s">
        <v>57</v>
      </c>
      <c r="P1715" s="390">
        <v>131519954</v>
      </c>
      <c r="Q1715" s="387"/>
      <c r="R1715" s="387" t="s">
        <v>8092</v>
      </c>
      <c r="S1715" s="340">
        <v>1</v>
      </c>
    </row>
    <row r="1716" spans="1:19" ht="29" x14ac:dyDescent="0.35">
      <c r="A1716" s="349">
        <v>1705</v>
      </c>
      <c r="B1716" s="387" t="s">
        <v>10085</v>
      </c>
      <c r="C1716" s="387" t="s">
        <v>10086</v>
      </c>
      <c r="D1716" s="388" t="s">
        <v>51</v>
      </c>
      <c r="E1716" s="388" t="s">
        <v>10082</v>
      </c>
      <c r="F1716" s="388" t="s">
        <v>10078</v>
      </c>
      <c r="G1716" s="388" t="s">
        <v>10078</v>
      </c>
      <c r="H1716" s="388" t="s">
        <v>11421</v>
      </c>
      <c r="I1716" s="387" t="s">
        <v>13123</v>
      </c>
      <c r="J1716" s="389"/>
      <c r="K1716" s="387"/>
      <c r="L1716" s="387"/>
      <c r="M1716" s="387" t="s">
        <v>10084</v>
      </c>
      <c r="N1716" s="387"/>
      <c r="O1716" s="387" t="s">
        <v>57</v>
      </c>
      <c r="P1716" s="390">
        <v>99452000</v>
      </c>
      <c r="Q1716" s="387"/>
      <c r="R1716" s="387" t="s">
        <v>8092</v>
      </c>
      <c r="S1716" s="340">
        <v>1</v>
      </c>
    </row>
    <row r="1717" spans="1:19" ht="29.5" thickBot="1" x14ac:dyDescent="0.4">
      <c r="A1717" s="357">
        <v>1706</v>
      </c>
      <c r="B1717" s="387" t="s">
        <v>10191</v>
      </c>
      <c r="C1717" s="387" t="s">
        <v>10192</v>
      </c>
      <c r="D1717" s="388" t="s">
        <v>51</v>
      </c>
      <c r="E1717" s="388" t="s">
        <v>10082</v>
      </c>
      <c r="F1717" s="388" t="s">
        <v>10078</v>
      </c>
      <c r="G1717" s="388" t="s">
        <v>10078</v>
      </c>
      <c r="H1717" s="388" t="s">
        <v>12157</v>
      </c>
      <c r="I1717" s="387" t="s">
        <v>13123</v>
      </c>
      <c r="J1717" s="389">
        <v>42151</v>
      </c>
      <c r="K1717" s="387" t="s">
        <v>13124</v>
      </c>
      <c r="L1717" s="387"/>
      <c r="M1717" s="387" t="s">
        <v>10084</v>
      </c>
      <c r="N1717" s="387"/>
      <c r="O1717" s="387" t="s">
        <v>57</v>
      </c>
      <c r="P1717" s="390">
        <v>221218000</v>
      </c>
      <c r="Q1717" s="387" t="s">
        <v>13125</v>
      </c>
      <c r="R1717" s="387" t="s">
        <v>8092</v>
      </c>
      <c r="S1717" s="340">
        <v>1</v>
      </c>
    </row>
    <row r="1718" spans="1:19" ht="29" x14ac:dyDescent="0.35">
      <c r="A1718" s="349">
        <v>1707</v>
      </c>
      <c r="B1718" s="387" t="s">
        <v>10080</v>
      </c>
      <c r="C1718" s="387" t="s">
        <v>10081</v>
      </c>
      <c r="D1718" s="388" t="s">
        <v>51</v>
      </c>
      <c r="E1718" s="388" t="s">
        <v>10082</v>
      </c>
      <c r="F1718" s="388" t="s">
        <v>10078</v>
      </c>
      <c r="G1718" s="388" t="s">
        <v>10078</v>
      </c>
      <c r="H1718" s="388" t="s">
        <v>12157</v>
      </c>
      <c r="I1718" s="387" t="s">
        <v>13126</v>
      </c>
      <c r="J1718" s="389"/>
      <c r="K1718" s="387"/>
      <c r="L1718" s="387"/>
      <c r="M1718" s="387" t="s">
        <v>10084</v>
      </c>
      <c r="N1718" s="387"/>
      <c r="O1718" s="387" t="s">
        <v>57</v>
      </c>
      <c r="P1718" s="390">
        <v>58936000</v>
      </c>
      <c r="Q1718" s="387"/>
      <c r="R1718" s="387" t="s">
        <v>8094</v>
      </c>
      <c r="S1718" s="340">
        <v>1</v>
      </c>
    </row>
    <row r="1719" spans="1:19" ht="29.5" thickBot="1" x14ac:dyDescent="0.4">
      <c r="A1719" s="357">
        <v>1708</v>
      </c>
      <c r="B1719" s="387" t="s">
        <v>10080</v>
      </c>
      <c r="C1719" s="387" t="s">
        <v>10081</v>
      </c>
      <c r="D1719" s="388" t="s">
        <v>59</v>
      </c>
      <c r="E1719" s="388" t="s">
        <v>10082</v>
      </c>
      <c r="F1719" s="388" t="s">
        <v>10078</v>
      </c>
      <c r="G1719" s="388" t="s">
        <v>10088</v>
      </c>
      <c r="H1719" s="388" t="s">
        <v>11308</v>
      </c>
      <c r="I1719" s="387" t="s">
        <v>13126</v>
      </c>
      <c r="J1719" s="389"/>
      <c r="K1719" s="387"/>
      <c r="L1719" s="387"/>
      <c r="M1719" s="387" t="s">
        <v>10084</v>
      </c>
      <c r="N1719" s="387"/>
      <c r="O1719" s="387" t="s">
        <v>57</v>
      </c>
      <c r="P1719" s="390">
        <v>99612000</v>
      </c>
      <c r="Q1719" s="387"/>
      <c r="R1719" s="387" t="s">
        <v>8094</v>
      </c>
      <c r="S1719" s="340">
        <v>1</v>
      </c>
    </row>
    <row r="1720" spans="1:19" ht="29" x14ac:dyDescent="0.35">
      <c r="A1720" s="349">
        <v>1709</v>
      </c>
      <c r="B1720" s="387" t="s">
        <v>10080</v>
      </c>
      <c r="C1720" s="387" t="s">
        <v>10081</v>
      </c>
      <c r="D1720" s="388" t="s">
        <v>97</v>
      </c>
      <c r="E1720" s="388" t="s">
        <v>10082</v>
      </c>
      <c r="F1720" s="388" t="s">
        <v>10078</v>
      </c>
      <c r="G1720" s="388" t="s">
        <v>10078</v>
      </c>
      <c r="H1720" s="388" t="s">
        <v>12157</v>
      </c>
      <c r="I1720" s="387" t="s">
        <v>13126</v>
      </c>
      <c r="J1720" s="389"/>
      <c r="K1720" s="387"/>
      <c r="L1720" s="387"/>
      <c r="M1720" s="387" t="s">
        <v>10084</v>
      </c>
      <c r="N1720" s="387"/>
      <c r="O1720" s="387" t="s">
        <v>57</v>
      </c>
      <c r="P1720" s="390">
        <v>58936000</v>
      </c>
      <c r="Q1720" s="387"/>
      <c r="R1720" s="387" t="s">
        <v>8094</v>
      </c>
      <c r="S1720" s="340">
        <v>1</v>
      </c>
    </row>
    <row r="1721" spans="1:19" ht="29.5" thickBot="1" x14ac:dyDescent="0.4">
      <c r="A1721" s="357">
        <v>1710</v>
      </c>
      <c r="B1721" s="387" t="s">
        <v>10080</v>
      </c>
      <c r="C1721" s="387" t="s">
        <v>10081</v>
      </c>
      <c r="D1721" s="388" t="s">
        <v>101</v>
      </c>
      <c r="E1721" s="388" t="s">
        <v>10082</v>
      </c>
      <c r="F1721" s="388" t="s">
        <v>10078</v>
      </c>
      <c r="G1721" s="388" t="s">
        <v>10078</v>
      </c>
      <c r="H1721" s="388" t="s">
        <v>12157</v>
      </c>
      <c r="I1721" s="387" t="s">
        <v>13126</v>
      </c>
      <c r="J1721" s="389"/>
      <c r="K1721" s="387"/>
      <c r="L1721" s="387"/>
      <c r="M1721" s="387" t="s">
        <v>10084</v>
      </c>
      <c r="N1721" s="387"/>
      <c r="O1721" s="387" t="s">
        <v>57</v>
      </c>
      <c r="P1721" s="390">
        <v>58936000</v>
      </c>
      <c r="Q1721" s="387"/>
      <c r="R1721" s="387" t="s">
        <v>8094</v>
      </c>
      <c r="S1721" s="340">
        <v>1</v>
      </c>
    </row>
    <row r="1722" spans="1:19" ht="29" x14ac:dyDescent="0.35">
      <c r="A1722" s="349">
        <v>1711</v>
      </c>
      <c r="B1722" s="387" t="s">
        <v>10110</v>
      </c>
      <c r="C1722" s="387" t="s">
        <v>10111</v>
      </c>
      <c r="D1722" s="388" t="s">
        <v>51</v>
      </c>
      <c r="E1722" s="388" t="s">
        <v>10082</v>
      </c>
      <c r="F1722" s="388" t="s">
        <v>10078</v>
      </c>
      <c r="G1722" s="388" t="s">
        <v>10078</v>
      </c>
      <c r="H1722" s="388" t="s">
        <v>11332</v>
      </c>
      <c r="I1722" s="387" t="s">
        <v>13126</v>
      </c>
      <c r="J1722" s="389"/>
      <c r="K1722" s="387"/>
      <c r="L1722" s="387"/>
      <c r="M1722" s="387" t="s">
        <v>10084</v>
      </c>
      <c r="N1722" s="387"/>
      <c r="O1722" s="387" t="s">
        <v>57</v>
      </c>
      <c r="P1722" s="390">
        <v>6548000</v>
      </c>
      <c r="Q1722" s="387"/>
      <c r="R1722" s="387" t="s">
        <v>8094</v>
      </c>
      <c r="S1722" s="340">
        <v>1</v>
      </c>
    </row>
    <row r="1723" spans="1:19" ht="29.5" thickBot="1" x14ac:dyDescent="0.4">
      <c r="A1723" s="357">
        <v>1712</v>
      </c>
      <c r="B1723" s="387" t="s">
        <v>10092</v>
      </c>
      <c r="C1723" s="387" t="s">
        <v>10093</v>
      </c>
      <c r="D1723" s="388" t="s">
        <v>51</v>
      </c>
      <c r="E1723" s="388" t="s">
        <v>10082</v>
      </c>
      <c r="F1723" s="388" t="s">
        <v>10078</v>
      </c>
      <c r="G1723" s="388" t="s">
        <v>10078</v>
      </c>
      <c r="H1723" s="388" t="s">
        <v>12979</v>
      </c>
      <c r="I1723" s="387" t="s">
        <v>13126</v>
      </c>
      <c r="J1723" s="389"/>
      <c r="K1723" s="387"/>
      <c r="L1723" s="387"/>
      <c r="M1723" s="387" t="s">
        <v>10084</v>
      </c>
      <c r="N1723" s="387"/>
      <c r="O1723" s="387" t="s">
        <v>57</v>
      </c>
      <c r="P1723" s="390">
        <v>125525000</v>
      </c>
      <c r="Q1723" s="387"/>
      <c r="R1723" s="387" t="s">
        <v>8094</v>
      </c>
      <c r="S1723" s="340">
        <v>1</v>
      </c>
    </row>
    <row r="1724" spans="1:19" ht="29" x14ac:dyDescent="0.35">
      <c r="A1724" s="349">
        <v>1713</v>
      </c>
      <c r="B1724" s="387" t="s">
        <v>10085</v>
      </c>
      <c r="C1724" s="387" t="s">
        <v>10086</v>
      </c>
      <c r="D1724" s="388" t="s">
        <v>51</v>
      </c>
      <c r="E1724" s="388" t="s">
        <v>10082</v>
      </c>
      <c r="F1724" s="388" t="s">
        <v>10078</v>
      </c>
      <c r="G1724" s="388" t="s">
        <v>10088</v>
      </c>
      <c r="H1724" s="388" t="s">
        <v>12623</v>
      </c>
      <c r="I1724" s="387" t="s">
        <v>13126</v>
      </c>
      <c r="J1724" s="389"/>
      <c r="K1724" s="387"/>
      <c r="L1724" s="387"/>
      <c r="M1724" s="387" t="s">
        <v>10084</v>
      </c>
      <c r="N1724" s="387"/>
      <c r="O1724" s="387" t="s">
        <v>57</v>
      </c>
      <c r="P1724" s="390">
        <v>99538500</v>
      </c>
      <c r="Q1724" s="387"/>
      <c r="R1724" s="387" t="s">
        <v>8094</v>
      </c>
      <c r="S1724" s="340">
        <v>1</v>
      </c>
    </row>
    <row r="1725" spans="1:19" ht="29.5" thickBot="1" x14ac:dyDescent="0.4">
      <c r="A1725" s="357">
        <v>1714</v>
      </c>
      <c r="B1725" s="387" t="s">
        <v>10085</v>
      </c>
      <c r="C1725" s="387" t="s">
        <v>10086</v>
      </c>
      <c r="D1725" s="388" t="s">
        <v>59</v>
      </c>
      <c r="E1725" s="388" t="s">
        <v>10082</v>
      </c>
      <c r="F1725" s="388" t="s">
        <v>10078</v>
      </c>
      <c r="G1725" s="388" t="s">
        <v>10078</v>
      </c>
      <c r="H1725" s="388" t="s">
        <v>11308</v>
      </c>
      <c r="I1725" s="387" t="s">
        <v>13126</v>
      </c>
      <c r="J1725" s="389"/>
      <c r="K1725" s="387"/>
      <c r="L1725" s="387"/>
      <c r="M1725" s="387" t="s">
        <v>10084</v>
      </c>
      <c r="N1725" s="387"/>
      <c r="O1725" s="387" t="s">
        <v>57</v>
      </c>
      <c r="P1725" s="390">
        <v>226894400</v>
      </c>
      <c r="Q1725" s="387"/>
      <c r="R1725" s="387" t="s">
        <v>8094</v>
      </c>
      <c r="S1725" s="340">
        <v>1</v>
      </c>
    </row>
    <row r="1726" spans="1:19" ht="29" x14ac:dyDescent="0.35">
      <c r="A1726" s="349">
        <v>1715</v>
      </c>
      <c r="B1726" s="387" t="s">
        <v>10085</v>
      </c>
      <c r="C1726" s="387" t="s">
        <v>10086</v>
      </c>
      <c r="D1726" s="388" t="s">
        <v>97</v>
      </c>
      <c r="E1726" s="388" t="s">
        <v>10082</v>
      </c>
      <c r="F1726" s="388" t="s">
        <v>10078</v>
      </c>
      <c r="G1726" s="388" t="s">
        <v>10078</v>
      </c>
      <c r="H1726" s="388" t="s">
        <v>11308</v>
      </c>
      <c r="I1726" s="387" t="s">
        <v>13126</v>
      </c>
      <c r="J1726" s="389"/>
      <c r="K1726" s="387"/>
      <c r="L1726" s="387"/>
      <c r="M1726" s="387" t="s">
        <v>10084</v>
      </c>
      <c r="N1726" s="387"/>
      <c r="O1726" s="387" t="s">
        <v>57</v>
      </c>
      <c r="P1726" s="390">
        <v>45839000</v>
      </c>
      <c r="Q1726" s="387"/>
      <c r="R1726" s="387" t="s">
        <v>8094</v>
      </c>
      <c r="S1726" s="340">
        <v>1</v>
      </c>
    </row>
    <row r="1727" spans="1:19" ht="29.5" thickBot="1" x14ac:dyDescent="0.4">
      <c r="A1727" s="357">
        <v>1716</v>
      </c>
      <c r="B1727" s="387" t="s">
        <v>10085</v>
      </c>
      <c r="C1727" s="387" t="s">
        <v>10086</v>
      </c>
      <c r="D1727" s="388" t="s">
        <v>101</v>
      </c>
      <c r="E1727" s="388" t="s">
        <v>10082</v>
      </c>
      <c r="F1727" s="388" t="s">
        <v>10078</v>
      </c>
      <c r="G1727" s="388" t="s">
        <v>10078</v>
      </c>
      <c r="H1727" s="388" t="s">
        <v>11308</v>
      </c>
      <c r="I1727" s="387" t="s">
        <v>13126</v>
      </c>
      <c r="J1727" s="389"/>
      <c r="K1727" s="387"/>
      <c r="L1727" s="387"/>
      <c r="M1727" s="387" t="s">
        <v>10084</v>
      </c>
      <c r="N1727" s="387"/>
      <c r="O1727" s="387" t="s">
        <v>57</v>
      </c>
      <c r="P1727" s="390">
        <v>45839000</v>
      </c>
      <c r="Q1727" s="387"/>
      <c r="R1727" s="387" t="s">
        <v>8094</v>
      </c>
      <c r="S1727" s="340">
        <v>1</v>
      </c>
    </row>
    <row r="1728" spans="1:19" ht="29" x14ac:dyDescent="0.35">
      <c r="A1728" s="349">
        <v>1717</v>
      </c>
      <c r="B1728" s="387" t="s">
        <v>10085</v>
      </c>
      <c r="C1728" s="387" t="s">
        <v>10086</v>
      </c>
      <c r="D1728" s="388" t="s">
        <v>107</v>
      </c>
      <c r="E1728" s="388" t="s">
        <v>10082</v>
      </c>
      <c r="F1728" s="388" t="s">
        <v>10078</v>
      </c>
      <c r="G1728" s="388" t="s">
        <v>10078</v>
      </c>
      <c r="H1728" s="388" t="s">
        <v>11308</v>
      </c>
      <c r="I1728" s="387" t="s">
        <v>13126</v>
      </c>
      <c r="J1728" s="389"/>
      <c r="K1728" s="387"/>
      <c r="L1728" s="387"/>
      <c r="M1728" s="387" t="s">
        <v>10084</v>
      </c>
      <c r="N1728" s="387"/>
      <c r="O1728" s="387" t="s">
        <v>57</v>
      </c>
      <c r="P1728" s="390">
        <v>45839000</v>
      </c>
      <c r="Q1728" s="387"/>
      <c r="R1728" s="387" t="s">
        <v>8094</v>
      </c>
      <c r="S1728" s="340">
        <v>1</v>
      </c>
    </row>
    <row r="1729" spans="1:19" ht="29.5" thickBot="1" x14ac:dyDescent="0.4">
      <c r="A1729" s="357">
        <v>1718</v>
      </c>
      <c r="B1729" s="387" t="s">
        <v>10080</v>
      </c>
      <c r="C1729" s="387" t="s">
        <v>10081</v>
      </c>
      <c r="D1729" s="388" t="s">
        <v>51</v>
      </c>
      <c r="E1729" s="388" t="s">
        <v>10082</v>
      </c>
      <c r="F1729" s="388" t="s">
        <v>10078</v>
      </c>
      <c r="G1729" s="388" t="s">
        <v>10078</v>
      </c>
      <c r="H1729" s="388" t="s">
        <v>12906</v>
      </c>
      <c r="I1729" s="387" t="s">
        <v>13127</v>
      </c>
      <c r="J1729" s="389"/>
      <c r="K1729" s="387"/>
      <c r="L1729" s="387"/>
      <c r="M1729" s="387" t="s">
        <v>10084</v>
      </c>
      <c r="N1729" s="387"/>
      <c r="O1729" s="387" t="s">
        <v>57</v>
      </c>
      <c r="P1729" s="390">
        <v>901800000</v>
      </c>
      <c r="Q1729" s="387"/>
      <c r="R1729" s="387" t="s">
        <v>8096</v>
      </c>
      <c r="S1729" s="340">
        <v>1</v>
      </c>
    </row>
    <row r="1730" spans="1:19" ht="29" x14ac:dyDescent="0.35">
      <c r="A1730" s="349">
        <v>1719</v>
      </c>
      <c r="B1730" s="387" t="s">
        <v>10080</v>
      </c>
      <c r="C1730" s="387" t="s">
        <v>10081</v>
      </c>
      <c r="D1730" s="388" t="s">
        <v>59</v>
      </c>
      <c r="E1730" s="388" t="s">
        <v>10082</v>
      </c>
      <c r="F1730" s="388" t="s">
        <v>10078</v>
      </c>
      <c r="G1730" s="388" t="s">
        <v>10078</v>
      </c>
      <c r="H1730" s="388" t="s">
        <v>13128</v>
      </c>
      <c r="I1730" s="387" t="s">
        <v>13127</v>
      </c>
      <c r="J1730" s="389"/>
      <c r="K1730" s="387"/>
      <c r="L1730" s="387"/>
      <c r="M1730" s="387" t="s">
        <v>10084</v>
      </c>
      <c r="N1730" s="387"/>
      <c r="O1730" s="387" t="s">
        <v>422</v>
      </c>
      <c r="P1730" s="390">
        <v>92000000</v>
      </c>
      <c r="Q1730" s="387" t="s">
        <v>8603</v>
      </c>
      <c r="R1730" s="387" t="s">
        <v>8096</v>
      </c>
      <c r="S1730" s="340">
        <v>1</v>
      </c>
    </row>
    <row r="1731" spans="1:19" ht="44" thickBot="1" x14ac:dyDescent="0.4">
      <c r="A1731" s="357">
        <v>1720</v>
      </c>
      <c r="B1731" s="387" t="s">
        <v>10146</v>
      </c>
      <c r="C1731" s="387" t="s">
        <v>10147</v>
      </c>
      <c r="D1731" s="388" t="s">
        <v>51</v>
      </c>
      <c r="E1731" s="388" t="s">
        <v>10082</v>
      </c>
      <c r="F1731" s="388" t="s">
        <v>10078</v>
      </c>
      <c r="G1731" s="388" t="s">
        <v>10078</v>
      </c>
      <c r="H1731" s="388" t="s">
        <v>11551</v>
      </c>
      <c r="I1731" s="387" t="s">
        <v>13129</v>
      </c>
      <c r="J1731" s="389">
        <v>43966</v>
      </c>
      <c r="K1731" s="387" t="s">
        <v>13130</v>
      </c>
      <c r="L1731" s="387"/>
      <c r="M1731" s="387" t="s">
        <v>10084</v>
      </c>
      <c r="N1731" s="387"/>
      <c r="O1731" s="387" t="s">
        <v>57</v>
      </c>
      <c r="P1731" s="390">
        <v>99750000</v>
      </c>
      <c r="Q1731" s="387" t="s">
        <v>13131</v>
      </c>
      <c r="R1731" s="387" t="s">
        <v>8096</v>
      </c>
      <c r="S1731" s="340">
        <v>1</v>
      </c>
    </row>
    <row r="1732" spans="1:19" ht="29" x14ac:dyDescent="0.35">
      <c r="A1732" s="349">
        <v>1721</v>
      </c>
      <c r="B1732" s="387" t="s">
        <v>10080</v>
      </c>
      <c r="C1732" s="387" t="s">
        <v>10081</v>
      </c>
      <c r="D1732" s="388" t="s">
        <v>51</v>
      </c>
      <c r="E1732" s="388" t="s">
        <v>10082</v>
      </c>
      <c r="F1732" s="388" t="s">
        <v>10078</v>
      </c>
      <c r="G1732" s="388" t="s">
        <v>10078</v>
      </c>
      <c r="H1732" s="388" t="s">
        <v>11415</v>
      </c>
      <c r="I1732" s="387" t="s">
        <v>13132</v>
      </c>
      <c r="J1732" s="389"/>
      <c r="K1732" s="387"/>
      <c r="L1732" s="387"/>
      <c r="M1732" s="387" t="s">
        <v>10084</v>
      </c>
      <c r="N1732" s="387"/>
      <c r="O1732" s="387" t="s">
        <v>57</v>
      </c>
      <c r="P1732" s="390">
        <v>213196000</v>
      </c>
      <c r="Q1732" s="387"/>
      <c r="R1732" s="387" t="s">
        <v>8098</v>
      </c>
      <c r="S1732" s="340">
        <v>1</v>
      </c>
    </row>
    <row r="1733" spans="1:19" ht="29.5" thickBot="1" x14ac:dyDescent="0.4">
      <c r="A1733" s="357">
        <v>1722</v>
      </c>
      <c r="B1733" s="387" t="s">
        <v>10080</v>
      </c>
      <c r="C1733" s="387" t="s">
        <v>10081</v>
      </c>
      <c r="D1733" s="388" t="s">
        <v>59</v>
      </c>
      <c r="E1733" s="388" t="s">
        <v>10082</v>
      </c>
      <c r="F1733" s="388" t="s">
        <v>10078</v>
      </c>
      <c r="G1733" s="388" t="s">
        <v>10078</v>
      </c>
      <c r="H1733" s="388" t="s">
        <v>3405</v>
      </c>
      <c r="I1733" s="387" t="s">
        <v>13132</v>
      </c>
      <c r="J1733" s="389"/>
      <c r="K1733" s="387"/>
      <c r="L1733" s="387"/>
      <c r="M1733" s="387" t="s">
        <v>10084</v>
      </c>
      <c r="N1733" s="387"/>
      <c r="O1733" s="387" t="s">
        <v>57</v>
      </c>
      <c r="P1733" s="390">
        <v>534194000</v>
      </c>
      <c r="Q1733" s="387"/>
      <c r="R1733" s="387" t="s">
        <v>8098</v>
      </c>
      <c r="S1733" s="340">
        <v>1</v>
      </c>
    </row>
    <row r="1734" spans="1:19" ht="29" x14ac:dyDescent="0.35">
      <c r="A1734" s="349">
        <v>1723</v>
      </c>
      <c r="B1734" s="387" t="s">
        <v>10080</v>
      </c>
      <c r="C1734" s="387" t="s">
        <v>10081</v>
      </c>
      <c r="D1734" s="388" t="s">
        <v>97</v>
      </c>
      <c r="E1734" s="388" t="s">
        <v>10082</v>
      </c>
      <c r="F1734" s="388" t="s">
        <v>10078</v>
      </c>
      <c r="G1734" s="388" t="s">
        <v>10078</v>
      </c>
      <c r="H1734" s="388" t="s">
        <v>11400</v>
      </c>
      <c r="I1734" s="387" t="s">
        <v>13132</v>
      </c>
      <c r="J1734" s="389"/>
      <c r="K1734" s="387"/>
      <c r="L1734" s="387"/>
      <c r="M1734" s="387" t="s">
        <v>10084</v>
      </c>
      <c r="N1734" s="387"/>
      <c r="O1734" s="387" t="s">
        <v>57</v>
      </c>
      <c r="P1734" s="390">
        <v>85948000</v>
      </c>
      <c r="Q1734" s="387"/>
      <c r="R1734" s="387" t="s">
        <v>8098</v>
      </c>
      <c r="S1734" s="340">
        <v>1</v>
      </c>
    </row>
    <row r="1735" spans="1:19" ht="29.5" thickBot="1" x14ac:dyDescent="0.4">
      <c r="A1735" s="357">
        <v>1724</v>
      </c>
      <c r="B1735" s="387" t="s">
        <v>10080</v>
      </c>
      <c r="C1735" s="387" t="s">
        <v>10081</v>
      </c>
      <c r="D1735" s="388" t="s">
        <v>101</v>
      </c>
      <c r="E1735" s="388" t="s">
        <v>10082</v>
      </c>
      <c r="F1735" s="388" t="s">
        <v>10078</v>
      </c>
      <c r="G1735" s="388" t="s">
        <v>10078</v>
      </c>
      <c r="H1735" s="388" t="s">
        <v>3405</v>
      </c>
      <c r="I1735" s="387" t="s">
        <v>13132</v>
      </c>
      <c r="J1735" s="389"/>
      <c r="K1735" s="387"/>
      <c r="L1735" s="387"/>
      <c r="M1735" s="387" t="s">
        <v>10084</v>
      </c>
      <c r="N1735" s="387"/>
      <c r="O1735" s="387" t="s">
        <v>57</v>
      </c>
      <c r="P1735" s="390">
        <v>229194000</v>
      </c>
      <c r="Q1735" s="387"/>
      <c r="R1735" s="387" t="s">
        <v>8098</v>
      </c>
      <c r="S1735" s="340">
        <v>1</v>
      </c>
    </row>
    <row r="1736" spans="1:19" ht="29" x14ac:dyDescent="0.35">
      <c r="A1736" s="349">
        <v>1725</v>
      </c>
      <c r="B1736" s="387" t="s">
        <v>10085</v>
      </c>
      <c r="C1736" s="387" t="s">
        <v>10086</v>
      </c>
      <c r="D1736" s="388" t="s">
        <v>51</v>
      </c>
      <c r="E1736" s="388" t="s">
        <v>10082</v>
      </c>
      <c r="F1736" s="388" t="s">
        <v>10078</v>
      </c>
      <c r="G1736" s="388" t="s">
        <v>10078</v>
      </c>
      <c r="H1736" s="388" t="s">
        <v>11686</v>
      </c>
      <c r="I1736" s="387" t="s">
        <v>13132</v>
      </c>
      <c r="J1736" s="389"/>
      <c r="K1736" s="387"/>
      <c r="L1736" s="387"/>
      <c r="M1736" s="387" t="s">
        <v>10084</v>
      </c>
      <c r="N1736" s="387"/>
      <c r="O1736" s="387" t="s">
        <v>57</v>
      </c>
      <c r="P1736" s="390">
        <v>418776000</v>
      </c>
      <c r="Q1736" s="387"/>
      <c r="R1736" s="387" t="s">
        <v>8098</v>
      </c>
      <c r="S1736" s="340">
        <v>1</v>
      </c>
    </row>
    <row r="1737" spans="1:19" ht="29.5" thickBot="1" x14ac:dyDescent="0.4">
      <c r="A1737" s="357">
        <v>1726</v>
      </c>
      <c r="B1737" s="387" t="s">
        <v>10191</v>
      </c>
      <c r="C1737" s="387" t="s">
        <v>10192</v>
      </c>
      <c r="D1737" s="388" t="s">
        <v>51</v>
      </c>
      <c r="E1737" s="388" t="s">
        <v>10082</v>
      </c>
      <c r="F1737" s="388" t="s">
        <v>10078</v>
      </c>
      <c r="G1737" s="388" t="s">
        <v>10078</v>
      </c>
      <c r="H1737" s="388" t="s">
        <v>2972</v>
      </c>
      <c r="I1737" s="387" t="s">
        <v>13132</v>
      </c>
      <c r="J1737" s="389">
        <v>43227</v>
      </c>
      <c r="K1737" s="387" t="s">
        <v>13133</v>
      </c>
      <c r="L1737" s="387"/>
      <c r="M1737" s="387" t="s">
        <v>10084</v>
      </c>
      <c r="N1737" s="387"/>
      <c r="O1737" s="387" t="s">
        <v>57</v>
      </c>
      <c r="P1737" s="390">
        <v>221209000</v>
      </c>
      <c r="Q1737" s="387" t="s">
        <v>13134</v>
      </c>
      <c r="R1737" s="387" t="s">
        <v>8098</v>
      </c>
      <c r="S1737" s="340">
        <v>1</v>
      </c>
    </row>
    <row r="1738" spans="1:19" ht="29" x14ac:dyDescent="0.35">
      <c r="A1738" s="349">
        <v>1727</v>
      </c>
      <c r="B1738" s="387" t="s">
        <v>10080</v>
      </c>
      <c r="C1738" s="387" t="s">
        <v>10081</v>
      </c>
      <c r="D1738" s="388" t="s">
        <v>51</v>
      </c>
      <c r="E1738" s="388" t="s">
        <v>10082</v>
      </c>
      <c r="F1738" s="388" t="s">
        <v>10078</v>
      </c>
      <c r="G1738" s="388" t="s">
        <v>10078</v>
      </c>
      <c r="H1738" s="388" t="s">
        <v>13135</v>
      </c>
      <c r="I1738" s="387" t="s">
        <v>13136</v>
      </c>
      <c r="J1738" s="389"/>
      <c r="K1738" s="387"/>
      <c r="L1738" s="387"/>
      <c r="M1738" s="387" t="s">
        <v>10084</v>
      </c>
      <c r="N1738" s="387"/>
      <c r="O1738" s="387" t="s">
        <v>57</v>
      </c>
      <c r="P1738" s="390">
        <v>407728000</v>
      </c>
      <c r="Q1738" s="387"/>
      <c r="R1738" s="387" t="s">
        <v>8100</v>
      </c>
      <c r="S1738" s="340">
        <v>1</v>
      </c>
    </row>
    <row r="1739" spans="1:19" ht="29.5" thickBot="1" x14ac:dyDescent="0.4">
      <c r="A1739" s="357">
        <v>1728</v>
      </c>
      <c r="B1739" s="387" t="s">
        <v>10080</v>
      </c>
      <c r="C1739" s="387" t="s">
        <v>10081</v>
      </c>
      <c r="D1739" s="388" t="s">
        <v>59</v>
      </c>
      <c r="E1739" s="388" t="s">
        <v>10082</v>
      </c>
      <c r="F1739" s="388" t="s">
        <v>10078</v>
      </c>
      <c r="G1739" s="388" t="s">
        <v>10078</v>
      </c>
      <c r="H1739" s="388" t="s">
        <v>11465</v>
      </c>
      <c r="I1739" s="387" t="s">
        <v>13136</v>
      </c>
      <c r="J1739" s="389"/>
      <c r="K1739" s="387"/>
      <c r="L1739" s="387"/>
      <c r="M1739" s="387" t="s">
        <v>10084</v>
      </c>
      <c r="N1739" s="387"/>
      <c r="O1739" s="387" t="s">
        <v>57</v>
      </c>
      <c r="P1739" s="390">
        <v>239275000</v>
      </c>
      <c r="Q1739" s="387"/>
      <c r="R1739" s="387" t="s">
        <v>8100</v>
      </c>
      <c r="S1739" s="340">
        <v>1</v>
      </c>
    </row>
    <row r="1740" spans="1:19" ht="29" x14ac:dyDescent="0.35">
      <c r="A1740" s="349">
        <v>1729</v>
      </c>
      <c r="B1740" s="387" t="s">
        <v>10080</v>
      </c>
      <c r="C1740" s="387" t="s">
        <v>10081</v>
      </c>
      <c r="D1740" s="388" t="s">
        <v>97</v>
      </c>
      <c r="E1740" s="388" t="s">
        <v>10082</v>
      </c>
      <c r="F1740" s="388" t="s">
        <v>10078</v>
      </c>
      <c r="G1740" s="388" t="s">
        <v>10078</v>
      </c>
      <c r="H1740" s="388" t="s">
        <v>13128</v>
      </c>
      <c r="I1740" s="387" t="s">
        <v>13136</v>
      </c>
      <c r="J1740" s="389"/>
      <c r="K1740" s="387"/>
      <c r="L1740" s="387"/>
      <c r="M1740" s="387" t="s">
        <v>10084</v>
      </c>
      <c r="N1740" s="387"/>
      <c r="O1740" s="387" t="s">
        <v>422</v>
      </c>
      <c r="P1740" s="390">
        <v>90000000</v>
      </c>
      <c r="Q1740" s="387" t="s">
        <v>8603</v>
      </c>
      <c r="R1740" s="387" t="s">
        <v>8100</v>
      </c>
      <c r="S1740" s="340">
        <v>1</v>
      </c>
    </row>
    <row r="1741" spans="1:19" ht="29.5" thickBot="1" x14ac:dyDescent="0.4">
      <c r="A1741" s="357">
        <v>1730</v>
      </c>
      <c r="B1741" s="387" t="s">
        <v>10110</v>
      </c>
      <c r="C1741" s="387" t="s">
        <v>10111</v>
      </c>
      <c r="D1741" s="388" t="s">
        <v>51</v>
      </c>
      <c r="E1741" s="388" t="s">
        <v>10082</v>
      </c>
      <c r="F1741" s="388" t="s">
        <v>10078</v>
      </c>
      <c r="G1741" s="388" t="s">
        <v>10078</v>
      </c>
      <c r="H1741" s="388" t="s">
        <v>11328</v>
      </c>
      <c r="I1741" s="387" t="s">
        <v>13136</v>
      </c>
      <c r="J1741" s="389"/>
      <c r="K1741" s="387"/>
      <c r="L1741" s="387"/>
      <c r="M1741" s="387" t="s">
        <v>10084</v>
      </c>
      <c r="N1741" s="387"/>
      <c r="O1741" s="387" t="s">
        <v>57</v>
      </c>
      <c r="P1741" s="390">
        <v>14734000</v>
      </c>
      <c r="Q1741" s="387"/>
      <c r="R1741" s="387" t="s">
        <v>8100</v>
      </c>
      <c r="S1741" s="340">
        <v>1</v>
      </c>
    </row>
    <row r="1742" spans="1:19" ht="29" x14ac:dyDescent="0.35">
      <c r="A1742" s="349">
        <v>1731</v>
      </c>
      <c r="B1742" s="387" t="s">
        <v>10267</v>
      </c>
      <c r="C1742" s="387" t="s">
        <v>10268</v>
      </c>
      <c r="D1742" s="388" t="s">
        <v>51</v>
      </c>
      <c r="E1742" s="388" t="s">
        <v>10082</v>
      </c>
      <c r="F1742" s="388" t="s">
        <v>10078</v>
      </c>
      <c r="G1742" s="388" t="s">
        <v>10078</v>
      </c>
      <c r="H1742" s="388" t="s">
        <v>12626</v>
      </c>
      <c r="I1742" s="387" t="s">
        <v>13136</v>
      </c>
      <c r="J1742" s="389">
        <v>42275</v>
      </c>
      <c r="K1742" s="387" t="s">
        <v>13137</v>
      </c>
      <c r="L1742" s="387"/>
      <c r="M1742" s="387" t="s">
        <v>10084</v>
      </c>
      <c r="N1742" s="387"/>
      <c r="O1742" s="387" t="s">
        <v>57</v>
      </c>
      <c r="P1742" s="390">
        <v>202125000</v>
      </c>
      <c r="Q1742" s="387" t="s">
        <v>13138</v>
      </c>
      <c r="R1742" s="387" t="s">
        <v>8100</v>
      </c>
      <c r="S1742" s="340">
        <v>1</v>
      </c>
    </row>
    <row r="1743" spans="1:19" ht="29.5" thickBot="1" x14ac:dyDescent="0.4">
      <c r="A1743" s="357">
        <v>1732</v>
      </c>
      <c r="B1743" s="387" t="s">
        <v>10191</v>
      </c>
      <c r="C1743" s="387" t="s">
        <v>10192</v>
      </c>
      <c r="D1743" s="388" t="s">
        <v>51</v>
      </c>
      <c r="E1743" s="388" t="s">
        <v>10082</v>
      </c>
      <c r="F1743" s="388" t="s">
        <v>10078</v>
      </c>
      <c r="G1743" s="388" t="s">
        <v>10078</v>
      </c>
      <c r="H1743" s="388" t="s">
        <v>11297</v>
      </c>
      <c r="I1743" s="387" t="s">
        <v>13136</v>
      </c>
      <c r="J1743" s="389">
        <v>42151</v>
      </c>
      <c r="K1743" s="387" t="s">
        <v>13139</v>
      </c>
      <c r="L1743" s="387"/>
      <c r="M1743" s="387" t="s">
        <v>10084</v>
      </c>
      <c r="N1743" s="387"/>
      <c r="O1743" s="387" t="s">
        <v>57</v>
      </c>
      <c r="P1743" s="390">
        <v>420571000</v>
      </c>
      <c r="Q1743" s="387" t="s">
        <v>13140</v>
      </c>
      <c r="R1743" s="387" t="s">
        <v>8100</v>
      </c>
      <c r="S1743" s="340">
        <v>1</v>
      </c>
    </row>
    <row r="1744" spans="1:19" ht="29" x14ac:dyDescent="0.35">
      <c r="A1744" s="349">
        <v>1733</v>
      </c>
      <c r="B1744" s="387" t="s">
        <v>10080</v>
      </c>
      <c r="C1744" s="387" t="s">
        <v>10081</v>
      </c>
      <c r="D1744" s="388" t="s">
        <v>51</v>
      </c>
      <c r="E1744" s="388" t="s">
        <v>10082</v>
      </c>
      <c r="F1744" s="388" t="s">
        <v>10078</v>
      </c>
      <c r="G1744" s="388" t="s">
        <v>10078</v>
      </c>
      <c r="H1744" s="388" t="s">
        <v>12157</v>
      </c>
      <c r="I1744" s="387" t="s">
        <v>13141</v>
      </c>
      <c r="J1744" s="389"/>
      <c r="K1744" s="387"/>
      <c r="L1744" s="387"/>
      <c r="M1744" s="387" t="s">
        <v>10084</v>
      </c>
      <c r="N1744" s="387"/>
      <c r="O1744" s="387" t="s">
        <v>57</v>
      </c>
      <c r="P1744" s="390">
        <v>178251000</v>
      </c>
      <c r="Q1744" s="387"/>
      <c r="R1744" s="387" t="s">
        <v>8102</v>
      </c>
      <c r="S1744" s="340">
        <v>1</v>
      </c>
    </row>
    <row r="1745" spans="1:19" ht="29.5" thickBot="1" x14ac:dyDescent="0.4">
      <c r="A1745" s="357">
        <v>1734</v>
      </c>
      <c r="B1745" s="387" t="s">
        <v>10080</v>
      </c>
      <c r="C1745" s="387" t="s">
        <v>10081</v>
      </c>
      <c r="D1745" s="388" t="s">
        <v>59</v>
      </c>
      <c r="E1745" s="388" t="s">
        <v>10082</v>
      </c>
      <c r="F1745" s="388" t="s">
        <v>10078</v>
      </c>
      <c r="G1745" s="388" t="s">
        <v>10078</v>
      </c>
      <c r="H1745" s="388" t="s">
        <v>12157</v>
      </c>
      <c r="I1745" s="387" t="s">
        <v>13141</v>
      </c>
      <c r="J1745" s="389"/>
      <c r="K1745" s="387"/>
      <c r="L1745" s="387"/>
      <c r="M1745" s="387" t="s">
        <v>10084</v>
      </c>
      <c r="N1745" s="387"/>
      <c r="O1745" s="387" t="s">
        <v>57</v>
      </c>
      <c r="P1745" s="390">
        <v>421871000</v>
      </c>
      <c r="Q1745" s="387"/>
      <c r="R1745" s="387" t="s">
        <v>8102</v>
      </c>
      <c r="S1745" s="340">
        <v>1</v>
      </c>
    </row>
    <row r="1746" spans="1:19" ht="29" x14ac:dyDescent="0.35">
      <c r="A1746" s="349">
        <v>1735</v>
      </c>
      <c r="B1746" s="387" t="s">
        <v>10110</v>
      </c>
      <c r="C1746" s="387" t="s">
        <v>10111</v>
      </c>
      <c r="D1746" s="388" t="s">
        <v>51</v>
      </c>
      <c r="E1746" s="388" t="s">
        <v>10082</v>
      </c>
      <c r="F1746" s="388" t="s">
        <v>10078</v>
      </c>
      <c r="G1746" s="388" t="s">
        <v>10078</v>
      </c>
      <c r="H1746" s="388" t="s">
        <v>12103</v>
      </c>
      <c r="I1746" s="387" t="s">
        <v>13141</v>
      </c>
      <c r="J1746" s="389"/>
      <c r="K1746" s="387"/>
      <c r="L1746" s="387"/>
      <c r="M1746" s="387" t="s">
        <v>10084</v>
      </c>
      <c r="N1746" s="387"/>
      <c r="O1746" s="387" t="s">
        <v>57</v>
      </c>
      <c r="P1746" s="390">
        <v>26194000</v>
      </c>
      <c r="Q1746" s="387"/>
      <c r="R1746" s="387" t="s">
        <v>8102</v>
      </c>
      <c r="S1746" s="340">
        <v>1</v>
      </c>
    </row>
    <row r="1747" spans="1:19" ht="44" thickBot="1" x14ac:dyDescent="0.4">
      <c r="A1747" s="357">
        <v>1736</v>
      </c>
      <c r="B1747" s="387" t="s">
        <v>10110</v>
      </c>
      <c r="C1747" s="387" t="s">
        <v>10111</v>
      </c>
      <c r="D1747" s="388" t="s">
        <v>59</v>
      </c>
      <c r="E1747" s="388" t="s">
        <v>10082</v>
      </c>
      <c r="F1747" s="388" t="s">
        <v>10078</v>
      </c>
      <c r="G1747" s="388" t="s">
        <v>10078</v>
      </c>
      <c r="H1747" s="388" t="s">
        <v>13106</v>
      </c>
      <c r="I1747" s="387" t="s">
        <v>13142</v>
      </c>
      <c r="J1747" s="389">
        <v>44913</v>
      </c>
      <c r="K1747" s="387" t="s">
        <v>13143</v>
      </c>
      <c r="L1747" s="387"/>
      <c r="M1747" s="387"/>
      <c r="N1747" s="387"/>
      <c r="O1747" s="387" t="s">
        <v>44</v>
      </c>
      <c r="P1747" s="390">
        <v>87777530</v>
      </c>
      <c r="Q1747" s="387" t="s">
        <v>13144</v>
      </c>
      <c r="R1747" s="387" t="s">
        <v>8102</v>
      </c>
      <c r="S1747" s="340">
        <v>1</v>
      </c>
    </row>
    <row r="1748" spans="1:19" ht="43.5" x14ac:dyDescent="0.35">
      <c r="A1748" s="349">
        <v>1737</v>
      </c>
      <c r="B1748" s="387" t="s">
        <v>10085</v>
      </c>
      <c r="C1748" s="387" t="s">
        <v>10086</v>
      </c>
      <c r="D1748" s="388" t="s">
        <v>51</v>
      </c>
      <c r="E1748" s="388" t="s">
        <v>10082</v>
      </c>
      <c r="F1748" s="388" t="s">
        <v>10078</v>
      </c>
      <c r="G1748" s="388" t="s">
        <v>10078</v>
      </c>
      <c r="H1748" s="388" t="s">
        <v>11634</v>
      </c>
      <c r="I1748" s="387" t="s">
        <v>13141</v>
      </c>
      <c r="J1748" s="389">
        <v>41585</v>
      </c>
      <c r="K1748" s="387" t="s">
        <v>13145</v>
      </c>
      <c r="L1748" s="387"/>
      <c r="M1748" s="387" t="s">
        <v>10084</v>
      </c>
      <c r="N1748" s="387"/>
      <c r="O1748" s="387" t="s">
        <v>57</v>
      </c>
      <c r="P1748" s="390">
        <v>436750000</v>
      </c>
      <c r="Q1748" s="387" t="s">
        <v>13146</v>
      </c>
      <c r="R1748" s="387" t="s">
        <v>8102</v>
      </c>
      <c r="S1748" s="340">
        <v>1</v>
      </c>
    </row>
    <row r="1749" spans="1:19" ht="29.5" thickBot="1" x14ac:dyDescent="0.4">
      <c r="A1749" s="357">
        <v>1738</v>
      </c>
      <c r="B1749" s="387" t="s">
        <v>10080</v>
      </c>
      <c r="C1749" s="387" t="s">
        <v>10081</v>
      </c>
      <c r="D1749" s="388" t="s">
        <v>51</v>
      </c>
      <c r="E1749" s="388" t="s">
        <v>10082</v>
      </c>
      <c r="F1749" s="388" t="s">
        <v>10078</v>
      </c>
      <c r="G1749" s="388" t="s">
        <v>10078</v>
      </c>
      <c r="H1749" s="388" t="s">
        <v>1122</v>
      </c>
      <c r="I1749" s="387" t="s">
        <v>13147</v>
      </c>
      <c r="J1749" s="389"/>
      <c r="K1749" s="387"/>
      <c r="L1749" s="387"/>
      <c r="M1749" s="387" t="s">
        <v>10084</v>
      </c>
      <c r="N1749" s="387"/>
      <c r="O1749" s="387" t="s">
        <v>57</v>
      </c>
      <c r="P1749" s="390">
        <v>453643000</v>
      </c>
      <c r="Q1749" s="387"/>
      <c r="R1749" s="387" t="s">
        <v>8104</v>
      </c>
      <c r="S1749" s="340">
        <v>1</v>
      </c>
    </row>
    <row r="1750" spans="1:19" ht="29" x14ac:dyDescent="0.35">
      <c r="A1750" s="349">
        <v>1739</v>
      </c>
      <c r="B1750" s="387" t="s">
        <v>10080</v>
      </c>
      <c r="C1750" s="387" t="s">
        <v>10081</v>
      </c>
      <c r="D1750" s="388" t="s">
        <v>59</v>
      </c>
      <c r="E1750" s="388" t="s">
        <v>10082</v>
      </c>
      <c r="F1750" s="388" t="s">
        <v>10078</v>
      </c>
      <c r="G1750" s="388" t="s">
        <v>10078</v>
      </c>
      <c r="H1750" s="388" t="s">
        <v>11400</v>
      </c>
      <c r="I1750" s="387" t="s">
        <v>13147</v>
      </c>
      <c r="J1750" s="389"/>
      <c r="K1750" s="387"/>
      <c r="L1750" s="387"/>
      <c r="M1750" s="387" t="s">
        <v>10084</v>
      </c>
      <c r="N1750" s="387"/>
      <c r="O1750" s="387" t="s">
        <v>57</v>
      </c>
      <c r="P1750" s="390">
        <v>338004500</v>
      </c>
      <c r="Q1750" s="387"/>
      <c r="R1750" s="387" t="s">
        <v>8104</v>
      </c>
      <c r="S1750" s="340">
        <v>1</v>
      </c>
    </row>
    <row r="1751" spans="1:19" ht="29.5" thickBot="1" x14ac:dyDescent="0.4">
      <c r="A1751" s="357">
        <v>1740</v>
      </c>
      <c r="B1751" s="387" t="s">
        <v>10392</v>
      </c>
      <c r="C1751" s="387" t="s">
        <v>10393</v>
      </c>
      <c r="D1751" s="388" t="s">
        <v>51</v>
      </c>
      <c r="E1751" s="388" t="s">
        <v>10082</v>
      </c>
      <c r="F1751" s="388" t="s">
        <v>10078</v>
      </c>
      <c r="G1751" s="388" t="s">
        <v>10078</v>
      </c>
      <c r="H1751" s="388" t="s">
        <v>13120</v>
      </c>
      <c r="I1751" s="387" t="s">
        <v>13147</v>
      </c>
      <c r="J1751" s="389">
        <v>42275</v>
      </c>
      <c r="K1751" s="387" t="s">
        <v>13148</v>
      </c>
      <c r="L1751" s="387"/>
      <c r="M1751" s="387" t="s">
        <v>10084</v>
      </c>
      <c r="N1751" s="387"/>
      <c r="O1751" s="387" t="s">
        <v>57</v>
      </c>
      <c r="P1751" s="390">
        <v>197652773.00000003</v>
      </c>
      <c r="Q1751" s="387" t="s">
        <v>13149</v>
      </c>
      <c r="R1751" s="387" t="s">
        <v>8104</v>
      </c>
      <c r="S1751" s="340">
        <v>1</v>
      </c>
    </row>
    <row r="1752" spans="1:19" ht="29" x14ac:dyDescent="0.35">
      <c r="A1752" s="349">
        <v>1741</v>
      </c>
      <c r="B1752" s="387" t="s">
        <v>10092</v>
      </c>
      <c r="C1752" s="387" t="s">
        <v>10093</v>
      </c>
      <c r="D1752" s="388" t="s">
        <v>51</v>
      </c>
      <c r="E1752" s="388" t="s">
        <v>10082</v>
      </c>
      <c r="F1752" s="388" t="s">
        <v>10078</v>
      </c>
      <c r="G1752" s="388" t="s">
        <v>10078</v>
      </c>
      <c r="H1752" s="388" t="s">
        <v>12979</v>
      </c>
      <c r="I1752" s="387" t="s">
        <v>13147</v>
      </c>
      <c r="J1752" s="389"/>
      <c r="K1752" s="387"/>
      <c r="L1752" s="387"/>
      <c r="M1752" s="387" t="s">
        <v>10084</v>
      </c>
      <c r="N1752" s="387"/>
      <c r="O1752" s="387" t="s">
        <v>57</v>
      </c>
      <c r="P1752" s="390">
        <v>162282954</v>
      </c>
      <c r="Q1752" s="387"/>
      <c r="R1752" s="387" t="s">
        <v>8104</v>
      </c>
      <c r="S1752" s="340">
        <v>1</v>
      </c>
    </row>
    <row r="1753" spans="1:19" ht="29.5" thickBot="1" x14ac:dyDescent="0.4">
      <c r="A1753" s="357">
        <v>1742</v>
      </c>
      <c r="B1753" s="387" t="s">
        <v>13150</v>
      </c>
      <c r="C1753" s="387" t="s">
        <v>13151</v>
      </c>
      <c r="D1753" s="388" t="s">
        <v>51</v>
      </c>
      <c r="E1753" s="388" t="s">
        <v>10082</v>
      </c>
      <c r="F1753" s="388" t="s">
        <v>10078</v>
      </c>
      <c r="G1753" s="388" t="s">
        <v>10078</v>
      </c>
      <c r="H1753" s="388" t="s">
        <v>12157</v>
      </c>
      <c r="I1753" s="387" t="s">
        <v>13147</v>
      </c>
      <c r="J1753" s="389">
        <v>42151</v>
      </c>
      <c r="K1753" s="387" t="s">
        <v>13152</v>
      </c>
      <c r="L1753" s="387"/>
      <c r="M1753" s="387" t="s">
        <v>10084</v>
      </c>
      <c r="N1753" s="387"/>
      <c r="O1753" s="387" t="s">
        <v>57</v>
      </c>
      <c r="P1753" s="390">
        <v>318004000</v>
      </c>
      <c r="Q1753" s="387" t="s">
        <v>13153</v>
      </c>
      <c r="R1753" s="387" t="s">
        <v>8104</v>
      </c>
      <c r="S1753" s="340">
        <v>1</v>
      </c>
    </row>
    <row r="1754" spans="1:19" ht="29" x14ac:dyDescent="0.35">
      <c r="A1754" s="349">
        <v>1743</v>
      </c>
      <c r="B1754" s="387" t="s">
        <v>10191</v>
      </c>
      <c r="C1754" s="387" t="s">
        <v>10192</v>
      </c>
      <c r="D1754" s="388" t="s">
        <v>51</v>
      </c>
      <c r="E1754" s="388" t="s">
        <v>10082</v>
      </c>
      <c r="F1754" s="388" t="s">
        <v>10078</v>
      </c>
      <c r="G1754" s="388" t="s">
        <v>10078</v>
      </c>
      <c r="H1754" s="388" t="s">
        <v>2972</v>
      </c>
      <c r="I1754" s="387" t="s">
        <v>13147</v>
      </c>
      <c r="J1754" s="389">
        <v>43227</v>
      </c>
      <c r="K1754" s="387" t="s">
        <v>13154</v>
      </c>
      <c r="L1754" s="387"/>
      <c r="M1754" s="387" t="s">
        <v>10084</v>
      </c>
      <c r="N1754" s="387"/>
      <c r="O1754" s="387" t="s">
        <v>57</v>
      </c>
      <c r="P1754" s="390">
        <v>221217000</v>
      </c>
      <c r="Q1754" s="387" t="s">
        <v>13155</v>
      </c>
      <c r="R1754" s="387" t="s">
        <v>8104</v>
      </c>
      <c r="S1754" s="340">
        <v>1</v>
      </c>
    </row>
    <row r="1755" spans="1:19" ht="29.5" thickBot="1" x14ac:dyDescent="0.4">
      <c r="A1755" s="357">
        <v>1744</v>
      </c>
      <c r="B1755" s="387" t="s">
        <v>10080</v>
      </c>
      <c r="C1755" s="387" t="s">
        <v>10081</v>
      </c>
      <c r="D1755" s="388" t="s">
        <v>51</v>
      </c>
      <c r="E1755" s="388" t="s">
        <v>10082</v>
      </c>
      <c r="F1755" s="388" t="s">
        <v>10078</v>
      </c>
      <c r="G1755" s="388" t="s">
        <v>10078</v>
      </c>
      <c r="H1755" s="388" t="s">
        <v>11400</v>
      </c>
      <c r="I1755" s="387" t="s">
        <v>13156</v>
      </c>
      <c r="J1755" s="389"/>
      <c r="K1755" s="387"/>
      <c r="L1755" s="387"/>
      <c r="M1755" s="387" t="s">
        <v>10084</v>
      </c>
      <c r="N1755" s="387"/>
      <c r="O1755" s="387" t="s">
        <v>57</v>
      </c>
      <c r="P1755" s="390">
        <v>106412000</v>
      </c>
      <c r="Q1755" s="387"/>
      <c r="R1755" s="387" t="s">
        <v>8106</v>
      </c>
      <c r="S1755" s="340">
        <v>1</v>
      </c>
    </row>
    <row r="1756" spans="1:19" ht="29" x14ac:dyDescent="0.35">
      <c r="A1756" s="349">
        <v>1745</v>
      </c>
      <c r="B1756" s="387" t="s">
        <v>10080</v>
      </c>
      <c r="C1756" s="387" t="s">
        <v>10081</v>
      </c>
      <c r="D1756" s="388" t="s">
        <v>59</v>
      </c>
      <c r="E1756" s="388" t="s">
        <v>10082</v>
      </c>
      <c r="F1756" s="388" t="s">
        <v>10078</v>
      </c>
      <c r="G1756" s="388" t="s">
        <v>10078</v>
      </c>
      <c r="H1756" s="388" t="s">
        <v>1122</v>
      </c>
      <c r="I1756" s="387" t="s">
        <v>13156</v>
      </c>
      <c r="J1756" s="389"/>
      <c r="K1756" s="387"/>
      <c r="L1756" s="387"/>
      <c r="M1756" s="387" t="s">
        <v>10084</v>
      </c>
      <c r="N1756" s="387"/>
      <c r="O1756" s="387" t="s">
        <v>57</v>
      </c>
      <c r="P1756" s="390">
        <v>259317000</v>
      </c>
      <c r="Q1756" s="387"/>
      <c r="R1756" s="387" t="s">
        <v>8106</v>
      </c>
      <c r="S1756" s="340">
        <v>1</v>
      </c>
    </row>
    <row r="1757" spans="1:19" ht="29.5" thickBot="1" x14ac:dyDescent="0.4">
      <c r="A1757" s="357">
        <v>1746</v>
      </c>
      <c r="B1757" s="387" t="s">
        <v>10080</v>
      </c>
      <c r="C1757" s="387" t="s">
        <v>10081</v>
      </c>
      <c r="D1757" s="388" t="s">
        <v>97</v>
      </c>
      <c r="E1757" s="388" t="s">
        <v>10082</v>
      </c>
      <c r="F1757" s="388" t="s">
        <v>10078</v>
      </c>
      <c r="G1757" s="388" t="s">
        <v>10078</v>
      </c>
      <c r="H1757" s="388" t="s">
        <v>13157</v>
      </c>
      <c r="I1757" s="387" t="s">
        <v>13156</v>
      </c>
      <c r="J1757" s="389"/>
      <c r="K1757" s="387"/>
      <c r="L1757" s="387"/>
      <c r="M1757" s="387" t="s">
        <v>10084</v>
      </c>
      <c r="N1757" s="387"/>
      <c r="O1757" s="387" t="s">
        <v>57</v>
      </c>
      <c r="P1757" s="390">
        <v>317168000</v>
      </c>
      <c r="Q1757" s="387"/>
      <c r="R1757" s="387" t="s">
        <v>8106</v>
      </c>
      <c r="S1757" s="340">
        <v>1</v>
      </c>
    </row>
    <row r="1758" spans="1:19" ht="43.5" x14ac:dyDescent="0.35">
      <c r="A1758" s="349">
        <v>1747</v>
      </c>
      <c r="B1758" s="387" t="s">
        <v>10085</v>
      </c>
      <c r="C1758" s="387" t="s">
        <v>10086</v>
      </c>
      <c r="D1758" s="388" t="s">
        <v>51</v>
      </c>
      <c r="E1758" s="388" t="s">
        <v>10082</v>
      </c>
      <c r="F1758" s="388" t="s">
        <v>10078</v>
      </c>
      <c r="G1758" s="388" t="s">
        <v>10078</v>
      </c>
      <c r="H1758" s="388" t="s">
        <v>11634</v>
      </c>
      <c r="I1758" s="387" t="s">
        <v>13158</v>
      </c>
      <c r="J1758" s="389">
        <v>41585</v>
      </c>
      <c r="K1758" s="387" t="s">
        <v>13159</v>
      </c>
      <c r="L1758" s="387"/>
      <c r="M1758" s="387" t="s">
        <v>10084</v>
      </c>
      <c r="N1758" s="387"/>
      <c r="O1758" s="387" t="s">
        <v>57</v>
      </c>
      <c r="P1758" s="390">
        <v>137500000</v>
      </c>
      <c r="Q1758" s="387" t="s">
        <v>13160</v>
      </c>
      <c r="R1758" s="387" t="s">
        <v>8106</v>
      </c>
      <c r="S1758" s="340">
        <v>1</v>
      </c>
    </row>
    <row r="1759" spans="1:19" ht="29.5" thickBot="1" x14ac:dyDescent="0.4">
      <c r="A1759" s="357">
        <v>1748</v>
      </c>
      <c r="B1759" s="387" t="s">
        <v>10085</v>
      </c>
      <c r="C1759" s="387" t="s">
        <v>10086</v>
      </c>
      <c r="D1759" s="388" t="s">
        <v>59</v>
      </c>
      <c r="E1759" s="388" t="s">
        <v>10082</v>
      </c>
      <c r="F1759" s="388" t="s">
        <v>10078</v>
      </c>
      <c r="G1759" s="388" t="s">
        <v>10078</v>
      </c>
      <c r="H1759" s="388" t="s">
        <v>12623</v>
      </c>
      <c r="I1759" s="387" t="s">
        <v>13156</v>
      </c>
      <c r="J1759" s="389"/>
      <c r="K1759" s="387"/>
      <c r="L1759" s="387"/>
      <c r="M1759" s="387" t="s">
        <v>10084</v>
      </c>
      <c r="N1759" s="387"/>
      <c r="O1759" s="387" t="s">
        <v>57</v>
      </c>
      <c r="P1759" s="390">
        <v>69770000</v>
      </c>
      <c r="Q1759" s="387"/>
      <c r="R1759" s="387" t="s">
        <v>8106</v>
      </c>
      <c r="S1759" s="340">
        <v>1</v>
      </c>
    </row>
    <row r="1760" spans="1:19" ht="29" x14ac:dyDescent="0.35">
      <c r="A1760" s="349">
        <v>1749</v>
      </c>
      <c r="B1760" s="387" t="s">
        <v>10191</v>
      </c>
      <c r="C1760" s="387" t="s">
        <v>10192</v>
      </c>
      <c r="D1760" s="388" t="s">
        <v>51</v>
      </c>
      <c r="E1760" s="388" t="s">
        <v>10082</v>
      </c>
      <c r="F1760" s="388" t="s">
        <v>10078</v>
      </c>
      <c r="G1760" s="388" t="s">
        <v>10078</v>
      </c>
      <c r="H1760" s="388" t="s">
        <v>2972</v>
      </c>
      <c r="I1760" s="387" t="s">
        <v>13156</v>
      </c>
      <c r="J1760" s="389">
        <v>43223</v>
      </c>
      <c r="K1760" s="387" t="s">
        <v>13161</v>
      </c>
      <c r="L1760" s="387"/>
      <c r="M1760" s="387" t="s">
        <v>10084</v>
      </c>
      <c r="N1760" s="387"/>
      <c r="O1760" s="387" t="s">
        <v>57</v>
      </c>
      <c r="P1760" s="390">
        <v>221214000</v>
      </c>
      <c r="Q1760" s="387" t="s">
        <v>13162</v>
      </c>
      <c r="R1760" s="387" t="s">
        <v>8106</v>
      </c>
      <c r="S1760" s="340">
        <v>1</v>
      </c>
    </row>
    <row r="1761" spans="1:19" ht="29.5" thickBot="1" x14ac:dyDescent="0.4">
      <c r="A1761" s="357">
        <v>1750</v>
      </c>
      <c r="B1761" s="387" t="s">
        <v>10191</v>
      </c>
      <c r="C1761" s="387" t="s">
        <v>10192</v>
      </c>
      <c r="D1761" s="388" t="s">
        <v>59</v>
      </c>
      <c r="E1761" s="388" t="s">
        <v>10082</v>
      </c>
      <c r="F1761" s="388" t="s">
        <v>10078</v>
      </c>
      <c r="G1761" s="388" t="s">
        <v>10078</v>
      </c>
      <c r="H1761" s="388" t="s">
        <v>12157</v>
      </c>
      <c r="I1761" s="387" t="s">
        <v>13156</v>
      </c>
      <c r="J1761" s="389">
        <v>42474</v>
      </c>
      <c r="K1761" s="387" t="s">
        <v>13163</v>
      </c>
      <c r="L1761" s="387"/>
      <c r="M1761" s="387" t="s">
        <v>10084</v>
      </c>
      <c r="N1761" s="387"/>
      <c r="O1761" s="387" t="s">
        <v>57</v>
      </c>
      <c r="P1761" s="390">
        <v>221551000</v>
      </c>
      <c r="Q1761" s="387" t="s">
        <v>13164</v>
      </c>
      <c r="R1761" s="387" t="s">
        <v>8106</v>
      </c>
      <c r="S1761" s="340">
        <v>1</v>
      </c>
    </row>
    <row r="1762" spans="1:19" ht="29" x14ac:dyDescent="0.35">
      <c r="A1762" s="349">
        <v>1751</v>
      </c>
      <c r="B1762" s="387" t="s">
        <v>10080</v>
      </c>
      <c r="C1762" s="387" t="s">
        <v>10081</v>
      </c>
      <c r="D1762" s="388" t="s">
        <v>51</v>
      </c>
      <c r="E1762" s="388" t="s">
        <v>10082</v>
      </c>
      <c r="F1762" s="388" t="s">
        <v>10078</v>
      </c>
      <c r="G1762" s="388" t="s">
        <v>10078</v>
      </c>
      <c r="H1762" s="388" t="s">
        <v>1122</v>
      </c>
      <c r="I1762" s="387" t="s">
        <v>8323</v>
      </c>
      <c r="J1762" s="389"/>
      <c r="K1762" s="387"/>
      <c r="L1762" s="387"/>
      <c r="M1762" s="387" t="s">
        <v>10084</v>
      </c>
      <c r="N1762" s="387"/>
      <c r="O1762" s="387" t="s">
        <v>57</v>
      </c>
      <c r="P1762" s="390">
        <v>469756000</v>
      </c>
      <c r="Q1762" s="387"/>
      <c r="R1762" s="387" t="s">
        <v>8108</v>
      </c>
      <c r="S1762" s="340">
        <v>1</v>
      </c>
    </row>
    <row r="1763" spans="1:19" ht="29.5" thickBot="1" x14ac:dyDescent="0.4">
      <c r="A1763" s="357">
        <v>1752</v>
      </c>
      <c r="B1763" s="387" t="s">
        <v>10080</v>
      </c>
      <c r="C1763" s="387" t="s">
        <v>10081</v>
      </c>
      <c r="D1763" s="388" t="s">
        <v>59</v>
      </c>
      <c r="E1763" s="388" t="s">
        <v>10082</v>
      </c>
      <c r="F1763" s="388" t="s">
        <v>10078</v>
      </c>
      <c r="G1763" s="388" t="s">
        <v>10078</v>
      </c>
      <c r="H1763" s="388" t="s">
        <v>1122</v>
      </c>
      <c r="I1763" s="387" t="s">
        <v>8323</v>
      </c>
      <c r="J1763" s="389"/>
      <c r="K1763" s="387"/>
      <c r="L1763" s="387"/>
      <c r="M1763" s="387" t="s">
        <v>10084</v>
      </c>
      <c r="N1763" s="387"/>
      <c r="O1763" s="387" t="s">
        <v>57</v>
      </c>
      <c r="P1763" s="390">
        <v>226156000</v>
      </c>
      <c r="Q1763" s="387"/>
      <c r="R1763" s="387" t="s">
        <v>8108</v>
      </c>
      <c r="S1763" s="340">
        <v>1</v>
      </c>
    </row>
    <row r="1764" spans="1:19" ht="29" x14ac:dyDescent="0.35">
      <c r="A1764" s="349">
        <v>1753</v>
      </c>
      <c r="B1764" s="387" t="s">
        <v>10080</v>
      </c>
      <c r="C1764" s="387" t="s">
        <v>10081</v>
      </c>
      <c r="D1764" s="388" t="s">
        <v>97</v>
      </c>
      <c r="E1764" s="388" t="s">
        <v>10082</v>
      </c>
      <c r="F1764" s="388" t="s">
        <v>10078</v>
      </c>
      <c r="G1764" s="388" t="s">
        <v>10078</v>
      </c>
      <c r="H1764" s="388" t="s">
        <v>11400</v>
      </c>
      <c r="I1764" s="387" t="s">
        <v>8323</v>
      </c>
      <c r="J1764" s="389"/>
      <c r="K1764" s="387"/>
      <c r="L1764" s="387"/>
      <c r="M1764" s="387" t="s">
        <v>10084</v>
      </c>
      <c r="N1764" s="387"/>
      <c r="O1764" s="387" t="s">
        <v>57</v>
      </c>
      <c r="P1764" s="390">
        <v>110504000</v>
      </c>
      <c r="Q1764" s="387"/>
      <c r="R1764" s="387" t="s">
        <v>8108</v>
      </c>
      <c r="S1764" s="340">
        <v>1</v>
      </c>
    </row>
    <row r="1765" spans="1:19" ht="29.5" thickBot="1" x14ac:dyDescent="0.4">
      <c r="A1765" s="357">
        <v>1754</v>
      </c>
      <c r="B1765" s="387" t="s">
        <v>10080</v>
      </c>
      <c r="C1765" s="387" t="s">
        <v>10081</v>
      </c>
      <c r="D1765" s="388" t="s">
        <v>101</v>
      </c>
      <c r="E1765" s="388" t="s">
        <v>10082</v>
      </c>
      <c r="F1765" s="388" t="s">
        <v>10078</v>
      </c>
      <c r="G1765" s="388" t="s">
        <v>10078</v>
      </c>
      <c r="H1765" s="388" t="s">
        <v>13165</v>
      </c>
      <c r="I1765" s="387" t="s">
        <v>8323</v>
      </c>
      <c r="J1765" s="389"/>
      <c r="K1765" s="387"/>
      <c r="L1765" s="387"/>
      <c r="M1765" s="387" t="s">
        <v>10084</v>
      </c>
      <c r="N1765" s="387"/>
      <c r="O1765" s="387" t="s">
        <v>422</v>
      </c>
      <c r="P1765" s="390">
        <v>65000000</v>
      </c>
      <c r="Q1765" s="387" t="s">
        <v>8603</v>
      </c>
      <c r="R1765" s="387" t="s">
        <v>8108</v>
      </c>
      <c r="S1765" s="340">
        <v>1</v>
      </c>
    </row>
    <row r="1766" spans="1:19" ht="29" x14ac:dyDescent="0.35">
      <c r="A1766" s="349">
        <v>1755</v>
      </c>
      <c r="B1766" s="387" t="s">
        <v>10092</v>
      </c>
      <c r="C1766" s="387" t="s">
        <v>10093</v>
      </c>
      <c r="D1766" s="388" t="s">
        <v>51</v>
      </c>
      <c r="E1766" s="388" t="s">
        <v>10082</v>
      </c>
      <c r="F1766" s="388" t="s">
        <v>10078</v>
      </c>
      <c r="G1766" s="388" t="s">
        <v>10078</v>
      </c>
      <c r="H1766" s="388" t="s">
        <v>13166</v>
      </c>
      <c r="I1766" s="387" t="s">
        <v>13167</v>
      </c>
      <c r="J1766" s="389">
        <v>41564</v>
      </c>
      <c r="K1766" s="387" t="s">
        <v>13168</v>
      </c>
      <c r="L1766" s="387"/>
      <c r="M1766" s="387" t="s">
        <v>10084</v>
      </c>
      <c r="N1766" s="387"/>
      <c r="O1766" s="387" t="s">
        <v>57</v>
      </c>
      <c r="P1766" s="390">
        <v>148016666.59999999</v>
      </c>
      <c r="Q1766" s="387"/>
      <c r="R1766" s="387" t="s">
        <v>8108</v>
      </c>
      <c r="S1766" s="340">
        <v>1</v>
      </c>
    </row>
    <row r="1767" spans="1:19" ht="29.5" thickBot="1" x14ac:dyDescent="0.4">
      <c r="A1767" s="357">
        <v>1756</v>
      </c>
      <c r="B1767" s="387" t="s">
        <v>10085</v>
      </c>
      <c r="C1767" s="387" t="s">
        <v>10086</v>
      </c>
      <c r="D1767" s="388" t="s">
        <v>51</v>
      </c>
      <c r="E1767" s="388" t="s">
        <v>10082</v>
      </c>
      <c r="F1767" s="388" t="s">
        <v>10078</v>
      </c>
      <c r="G1767" s="388" t="s">
        <v>10078</v>
      </c>
      <c r="H1767" s="388" t="s">
        <v>11421</v>
      </c>
      <c r="I1767" s="387" t="s">
        <v>8323</v>
      </c>
      <c r="J1767" s="389"/>
      <c r="K1767" s="387"/>
      <c r="L1767" s="387"/>
      <c r="M1767" s="387" t="s">
        <v>10084</v>
      </c>
      <c r="N1767" s="387"/>
      <c r="O1767" s="387" t="s">
        <v>57</v>
      </c>
      <c r="P1767" s="390">
        <v>236052000</v>
      </c>
      <c r="Q1767" s="387"/>
      <c r="R1767" s="387" t="s">
        <v>8108</v>
      </c>
      <c r="S1767" s="340">
        <v>1</v>
      </c>
    </row>
    <row r="1768" spans="1:19" ht="29" x14ac:dyDescent="0.35">
      <c r="A1768" s="349">
        <v>1757</v>
      </c>
      <c r="B1768" s="387" t="s">
        <v>10085</v>
      </c>
      <c r="C1768" s="387" t="s">
        <v>10086</v>
      </c>
      <c r="D1768" s="388" t="s">
        <v>59</v>
      </c>
      <c r="E1768" s="388" t="s">
        <v>10082</v>
      </c>
      <c r="F1768" s="388" t="s">
        <v>10078</v>
      </c>
      <c r="G1768" s="388" t="s">
        <v>10078</v>
      </c>
      <c r="H1768" s="388" t="s">
        <v>11421</v>
      </c>
      <c r="I1768" s="387" t="s">
        <v>8323</v>
      </c>
      <c r="J1768" s="389"/>
      <c r="K1768" s="387"/>
      <c r="L1768" s="387"/>
      <c r="M1768" s="387" t="s">
        <v>10084</v>
      </c>
      <c r="N1768" s="387"/>
      <c r="O1768" s="387" t="s">
        <v>57</v>
      </c>
      <c r="P1768" s="390">
        <v>55252000</v>
      </c>
      <c r="Q1768" s="387"/>
      <c r="R1768" s="387" t="s">
        <v>8108</v>
      </c>
      <c r="S1768" s="340">
        <v>1</v>
      </c>
    </row>
    <row r="1769" spans="1:19" ht="29.5" thickBot="1" x14ac:dyDescent="0.4">
      <c r="A1769" s="357">
        <v>1758</v>
      </c>
      <c r="B1769" s="387" t="s">
        <v>10085</v>
      </c>
      <c r="C1769" s="387" t="s">
        <v>10086</v>
      </c>
      <c r="D1769" s="388" t="s">
        <v>97</v>
      </c>
      <c r="E1769" s="388" t="s">
        <v>10082</v>
      </c>
      <c r="F1769" s="388" t="s">
        <v>10078</v>
      </c>
      <c r="G1769" s="388" t="s">
        <v>10078</v>
      </c>
      <c r="H1769" s="388" t="s">
        <v>11421</v>
      </c>
      <c r="I1769" s="387" t="s">
        <v>8323</v>
      </c>
      <c r="J1769" s="389"/>
      <c r="K1769" s="387"/>
      <c r="L1769" s="387"/>
      <c r="M1769" s="387" t="s">
        <v>10084</v>
      </c>
      <c r="N1769" s="387"/>
      <c r="O1769" s="387" t="s">
        <v>57</v>
      </c>
      <c r="P1769" s="390">
        <v>55252000</v>
      </c>
      <c r="Q1769" s="387"/>
      <c r="R1769" s="387" t="s">
        <v>8108</v>
      </c>
      <c r="S1769" s="340">
        <v>1</v>
      </c>
    </row>
    <row r="1770" spans="1:19" ht="29" x14ac:dyDescent="0.35">
      <c r="A1770" s="349">
        <v>1759</v>
      </c>
      <c r="B1770" s="387" t="s">
        <v>10146</v>
      </c>
      <c r="C1770" s="387" t="s">
        <v>10147</v>
      </c>
      <c r="D1770" s="388" t="s">
        <v>51</v>
      </c>
      <c r="E1770" s="388" t="s">
        <v>10082</v>
      </c>
      <c r="F1770" s="388" t="s">
        <v>10078</v>
      </c>
      <c r="G1770" s="388" t="s">
        <v>10078</v>
      </c>
      <c r="H1770" s="388" t="s">
        <v>2980</v>
      </c>
      <c r="I1770" s="387" t="s">
        <v>13169</v>
      </c>
      <c r="J1770" s="389">
        <v>43966</v>
      </c>
      <c r="K1770" s="387" t="s">
        <v>13170</v>
      </c>
      <c r="L1770" s="387"/>
      <c r="M1770" s="387" t="s">
        <v>10084</v>
      </c>
      <c r="N1770" s="387"/>
      <c r="O1770" s="387" t="s">
        <v>57</v>
      </c>
      <c r="P1770" s="390">
        <v>339592000</v>
      </c>
      <c r="Q1770" s="387" t="s">
        <v>13171</v>
      </c>
      <c r="R1770" s="387" t="s">
        <v>8108</v>
      </c>
      <c r="S1770" s="340">
        <v>1</v>
      </c>
    </row>
    <row r="1771" spans="1:19" ht="29.5" thickBot="1" x14ac:dyDescent="0.4">
      <c r="A1771" s="357">
        <v>1760</v>
      </c>
      <c r="B1771" s="387" t="s">
        <v>10191</v>
      </c>
      <c r="C1771" s="387" t="s">
        <v>10192</v>
      </c>
      <c r="D1771" s="388" t="s">
        <v>51</v>
      </c>
      <c r="E1771" s="388" t="s">
        <v>10082</v>
      </c>
      <c r="F1771" s="388" t="s">
        <v>10078</v>
      </c>
      <c r="G1771" s="388" t="s">
        <v>10078</v>
      </c>
      <c r="H1771" s="388" t="s">
        <v>12157</v>
      </c>
      <c r="I1771" s="387" t="s">
        <v>8323</v>
      </c>
      <c r="J1771" s="389">
        <v>42474</v>
      </c>
      <c r="K1771" s="387" t="s">
        <v>13172</v>
      </c>
      <c r="L1771" s="387"/>
      <c r="M1771" s="387" t="s">
        <v>10084</v>
      </c>
      <c r="N1771" s="387"/>
      <c r="O1771" s="387" t="s">
        <v>57</v>
      </c>
      <c r="P1771" s="390">
        <v>221593000</v>
      </c>
      <c r="Q1771" s="387" t="s">
        <v>13173</v>
      </c>
      <c r="R1771" s="387" t="s">
        <v>8108</v>
      </c>
      <c r="S1771" s="340">
        <v>1</v>
      </c>
    </row>
    <row r="1772" spans="1:19" ht="29" x14ac:dyDescent="0.35">
      <c r="A1772" s="349">
        <v>1761</v>
      </c>
      <c r="B1772" s="387" t="s">
        <v>10080</v>
      </c>
      <c r="C1772" s="387" t="s">
        <v>10081</v>
      </c>
      <c r="D1772" s="388" t="s">
        <v>51</v>
      </c>
      <c r="E1772" s="388" t="s">
        <v>10082</v>
      </c>
      <c r="F1772" s="388" t="s">
        <v>10078</v>
      </c>
      <c r="G1772" s="388" t="s">
        <v>10078</v>
      </c>
      <c r="H1772" s="388" t="s">
        <v>12235</v>
      </c>
      <c r="I1772" s="387" t="s">
        <v>13174</v>
      </c>
      <c r="J1772" s="389"/>
      <c r="K1772" s="387"/>
      <c r="L1772" s="387"/>
      <c r="M1772" s="387" t="s">
        <v>10084</v>
      </c>
      <c r="N1772" s="387"/>
      <c r="O1772" s="387" t="s">
        <v>57</v>
      </c>
      <c r="P1772" s="390">
        <v>320872000</v>
      </c>
      <c r="Q1772" s="387"/>
      <c r="R1772" s="387" t="s">
        <v>8110</v>
      </c>
      <c r="S1772" s="340">
        <v>1</v>
      </c>
    </row>
    <row r="1773" spans="1:19" ht="29.5" thickBot="1" x14ac:dyDescent="0.4">
      <c r="A1773" s="357">
        <v>1762</v>
      </c>
      <c r="B1773" s="387" t="s">
        <v>10080</v>
      </c>
      <c r="C1773" s="387" t="s">
        <v>10081</v>
      </c>
      <c r="D1773" s="388" t="s">
        <v>59</v>
      </c>
      <c r="E1773" s="388" t="s">
        <v>10082</v>
      </c>
      <c r="F1773" s="388" t="s">
        <v>10078</v>
      </c>
      <c r="G1773" s="388" t="s">
        <v>10078</v>
      </c>
      <c r="H1773" s="388" t="s">
        <v>13175</v>
      </c>
      <c r="I1773" s="387" t="s">
        <v>13174</v>
      </c>
      <c r="J1773" s="389"/>
      <c r="K1773" s="387"/>
      <c r="L1773" s="387"/>
      <c r="M1773" s="387" t="s">
        <v>10084</v>
      </c>
      <c r="N1773" s="387"/>
      <c r="O1773" s="387" t="s">
        <v>57</v>
      </c>
      <c r="P1773" s="390">
        <v>530626000</v>
      </c>
      <c r="Q1773" s="387"/>
      <c r="R1773" s="387" t="s">
        <v>8110</v>
      </c>
      <c r="S1773" s="340">
        <v>1</v>
      </c>
    </row>
    <row r="1774" spans="1:19" ht="29" x14ac:dyDescent="0.35">
      <c r="A1774" s="349">
        <v>1763</v>
      </c>
      <c r="B1774" s="387" t="s">
        <v>10080</v>
      </c>
      <c r="C1774" s="387" t="s">
        <v>10081</v>
      </c>
      <c r="D1774" s="388" t="s">
        <v>97</v>
      </c>
      <c r="E1774" s="388" t="s">
        <v>10082</v>
      </c>
      <c r="F1774" s="388" t="s">
        <v>10078</v>
      </c>
      <c r="G1774" s="388" t="s">
        <v>10078</v>
      </c>
      <c r="H1774" s="388" t="s">
        <v>12235</v>
      </c>
      <c r="I1774" s="387" t="s">
        <v>13174</v>
      </c>
      <c r="J1774" s="389"/>
      <c r="K1774" s="387"/>
      <c r="L1774" s="387"/>
      <c r="M1774" s="387" t="s">
        <v>10084</v>
      </c>
      <c r="N1774" s="387"/>
      <c r="O1774" s="387" t="s">
        <v>57</v>
      </c>
      <c r="P1774" s="390">
        <v>412459222</v>
      </c>
      <c r="Q1774" s="387"/>
      <c r="R1774" s="387" t="s">
        <v>8110</v>
      </c>
      <c r="S1774" s="340">
        <v>1</v>
      </c>
    </row>
    <row r="1775" spans="1:19" ht="44" thickBot="1" x14ac:dyDescent="0.4">
      <c r="A1775" s="357">
        <v>1764</v>
      </c>
      <c r="B1775" s="387" t="s">
        <v>10110</v>
      </c>
      <c r="C1775" s="387" t="s">
        <v>10111</v>
      </c>
      <c r="D1775" s="388" t="s">
        <v>51</v>
      </c>
      <c r="E1775" s="388" t="s">
        <v>10082</v>
      </c>
      <c r="F1775" s="388" t="s">
        <v>10078</v>
      </c>
      <c r="G1775" s="388" t="s">
        <v>10078</v>
      </c>
      <c r="H1775" s="388" t="s">
        <v>11870</v>
      </c>
      <c r="I1775" s="387" t="s">
        <v>13176</v>
      </c>
      <c r="J1775" s="389">
        <v>43966</v>
      </c>
      <c r="K1775" s="387" t="s">
        <v>13177</v>
      </c>
      <c r="L1775" s="387"/>
      <c r="M1775" s="387" t="s">
        <v>10084</v>
      </c>
      <c r="N1775" s="387"/>
      <c r="O1775" s="387" t="s">
        <v>57</v>
      </c>
      <c r="P1775" s="390">
        <v>76100000</v>
      </c>
      <c r="Q1775" s="387" t="s">
        <v>13178</v>
      </c>
      <c r="R1775" s="387" t="s">
        <v>8110</v>
      </c>
      <c r="S1775" s="340">
        <v>1</v>
      </c>
    </row>
    <row r="1776" spans="1:19" ht="29" x14ac:dyDescent="0.35">
      <c r="A1776" s="349">
        <v>1765</v>
      </c>
      <c r="B1776" s="387" t="s">
        <v>10092</v>
      </c>
      <c r="C1776" s="387" t="s">
        <v>10093</v>
      </c>
      <c r="D1776" s="388" t="s">
        <v>51</v>
      </c>
      <c r="E1776" s="388" t="s">
        <v>10082</v>
      </c>
      <c r="F1776" s="388" t="s">
        <v>10078</v>
      </c>
      <c r="G1776" s="388" t="s">
        <v>10078</v>
      </c>
      <c r="H1776" s="388" t="s">
        <v>13166</v>
      </c>
      <c r="I1776" s="387" t="s">
        <v>13179</v>
      </c>
      <c r="J1776" s="389">
        <v>41564</v>
      </c>
      <c r="K1776" s="387" t="s">
        <v>13180</v>
      </c>
      <c r="L1776" s="387"/>
      <c r="M1776" s="387" t="s">
        <v>10084</v>
      </c>
      <c r="N1776" s="387"/>
      <c r="O1776" s="387" t="s">
        <v>57</v>
      </c>
      <c r="P1776" s="390">
        <v>148016666.59999999</v>
      </c>
      <c r="Q1776" s="387"/>
      <c r="R1776" s="387" t="s">
        <v>8110</v>
      </c>
      <c r="S1776" s="340">
        <v>1</v>
      </c>
    </row>
    <row r="1777" spans="1:19" ht="29.5" thickBot="1" x14ac:dyDescent="0.4">
      <c r="A1777" s="357">
        <v>1766</v>
      </c>
      <c r="B1777" s="387" t="s">
        <v>10085</v>
      </c>
      <c r="C1777" s="387" t="s">
        <v>10086</v>
      </c>
      <c r="D1777" s="388" t="s">
        <v>51</v>
      </c>
      <c r="E1777" s="388" t="s">
        <v>10082</v>
      </c>
      <c r="F1777" s="388" t="s">
        <v>10078</v>
      </c>
      <c r="G1777" s="388" t="s">
        <v>10078</v>
      </c>
      <c r="H1777" s="388" t="s">
        <v>12007</v>
      </c>
      <c r="I1777" s="387" t="s">
        <v>13174</v>
      </c>
      <c r="J1777" s="389"/>
      <c r="K1777" s="387"/>
      <c r="L1777" s="387"/>
      <c r="M1777" s="387" t="s">
        <v>10084</v>
      </c>
      <c r="N1777" s="387"/>
      <c r="O1777" s="387" t="s">
        <v>57</v>
      </c>
      <c r="P1777" s="390">
        <v>234266000</v>
      </c>
      <c r="Q1777" s="387"/>
      <c r="R1777" s="387" t="s">
        <v>8110</v>
      </c>
      <c r="S1777" s="340">
        <v>1</v>
      </c>
    </row>
    <row r="1778" spans="1:19" ht="29" x14ac:dyDescent="0.35">
      <c r="A1778" s="349">
        <v>1767</v>
      </c>
      <c r="B1778" s="387" t="s">
        <v>10085</v>
      </c>
      <c r="C1778" s="387" t="s">
        <v>10086</v>
      </c>
      <c r="D1778" s="388" t="s">
        <v>59</v>
      </c>
      <c r="E1778" s="388" t="s">
        <v>10082</v>
      </c>
      <c r="F1778" s="388" t="s">
        <v>10078</v>
      </c>
      <c r="G1778" s="388" t="s">
        <v>10078</v>
      </c>
      <c r="H1778" s="388" t="s">
        <v>12007</v>
      </c>
      <c r="I1778" s="387" t="s">
        <v>13174</v>
      </c>
      <c r="J1778" s="389"/>
      <c r="K1778" s="387"/>
      <c r="L1778" s="387"/>
      <c r="M1778" s="387" t="s">
        <v>10084</v>
      </c>
      <c r="N1778" s="387"/>
      <c r="O1778" s="387" t="s">
        <v>57</v>
      </c>
      <c r="P1778" s="390">
        <v>207266000</v>
      </c>
      <c r="Q1778" s="387"/>
      <c r="R1778" s="387" t="s">
        <v>8110</v>
      </c>
      <c r="S1778" s="340">
        <v>1</v>
      </c>
    </row>
    <row r="1779" spans="1:19" ht="44" thickBot="1" x14ac:dyDescent="0.4">
      <c r="A1779" s="357">
        <v>1768</v>
      </c>
      <c r="B1779" s="387" t="s">
        <v>10146</v>
      </c>
      <c r="C1779" s="387" t="s">
        <v>10147</v>
      </c>
      <c r="D1779" s="388" t="s">
        <v>51</v>
      </c>
      <c r="E1779" s="388" t="s">
        <v>10082</v>
      </c>
      <c r="F1779" s="388" t="s">
        <v>10078</v>
      </c>
      <c r="G1779" s="388" t="s">
        <v>10078</v>
      </c>
      <c r="H1779" s="388" t="s">
        <v>2980</v>
      </c>
      <c r="I1779" s="387" t="s">
        <v>13176</v>
      </c>
      <c r="J1779" s="389">
        <v>43966</v>
      </c>
      <c r="K1779" s="387" t="s">
        <v>13181</v>
      </c>
      <c r="L1779" s="387"/>
      <c r="M1779" s="387" t="s">
        <v>10084</v>
      </c>
      <c r="N1779" s="387"/>
      <c r="O1779" s="387" t="s">
        <v>57</v>
      </c>
      <c r="P1779" s="390">
        <v>339592000</v>
      </c>
      <c r="Q1779" s="387" t="s">
        <v>13182</v>
      </c>
      <c r="R1779" s="387" t="s">
        <v>8110</v>
      </c>
      <c r="S1779" s="340">
        <v>1</v>
      </c>
    </row>
    <row r="1780" spans="1:19" ht="29" x14ac:dyDescent="0.35">
      <c r="A1780" s="349">
        <v>1769</v>
      </c>
      <c r="B1780" s="387" t="s">
        <v>10191</v>
      </c>
      <c r="C1780" s="387" t="s">
        <v>10192</v>
      </c>
      <c r="D1780" s="388" t="s">
        <v>51</v>
      </c>
      <c r="E1780" s="388" t="s">
        <v>10082</v>
      </c>
      <c r="F1780" s="388" t="s">
        <v>10078</v>
      </c>
      <c r="G1780" s="388" t="s">
        <v>10078</v>
      </c>
      <c r="H1780" s="388" t="s">
        <v>13120</v>
      </c>
      <c r="I1780" s="387" t="s">
        <v>13174</v>
      </c>
      <c r="J1780" s="389">
        <v>42941</v>
      </c>
      <c r="K1780" s="387" t="s">
        <v>13183</v>
      </c>
      <c r="L1780" s="387"/>
      <c r="M1780" s="387" t="s">
        <v>10084</v>
      </c>
      <c r="N1780" s="387"/>
      <c r="O1780" s="387" t="s">
        <v>57</v>
      </c>
      <c r="P1780" s="390">
        <v>221323000</v>
      </c>
      <c r="Q1780" s="387" t="s">
        <v>13184</v>
      </c>
      <c r="R1780" s="387" t="s">
        <v>8110</v>
      </c>
      <c r="S1780" s="340">
        <v>1</v>
      </c>
    </row>
    <row r="1781" spans="1:19" ht="29.5" thickBot="1" x14ac:dyDescent="0.4">
      <c r="A1781" s="357">
        <v>1770</v>
      </c>
      <c r="B1781" s="387" t="s">
        <v>10080</v>
      </c>
      <c r="C1781" s="387" t="s">
        <v>10081</v>
      </c>
      <c r="D1781" s="388" t="s">
        <v>51</v>
      </c>
      <c r="E1781" s="388" t="s">
        <v>10082</v>
      </c>
      <c r="F1781" s="388" t="s">
        <v>10078</v>
      </c>
      <c r="G1781" s="388" t="s">
        <v>10078</v>
      </c>
      <c r="H1781" s="388" t="s">
        <v>1122</v>
      </c>
      <c r="I1781" s="387" t="s">
        <v>13185</v>
      </c>
      <c r="J1781" s="389"/>
      <c r="K1781" s="387"/>
      <c r="L1781" s="387"/>
      <c r="M1781" s="387" t="s">
        <v>10084</v>
      </c>
      <c r="N1781" s="387"/>
      <c r="O1781" s="387" t="s">
        <v>57</v>
      </c>
      <c r="P1781" s="390">
        <v>432922000</v>
      </c>
      <c r="Q1781" s="387"/>
      <c r="R1781" s="387" t="s">
        <v>8112</v>
      </c>
      <c r="S1781" s="340">
        <v>1</v>
      </c>
    </row>
    <row r="1782" spans="1:19" ht="29" x14ac:dyDescent="0.35">
      <c r="A1782" s="349">
        <v>1771</v>
      </c>
      <c r="B1782" s="387" t="s">
        <v>10080</v>
      </c>
      <c r="C1782" s="387" t="s">
        <v>10081</v>
      </c>
      <c r="D1782" s="388" t="s">
        <v>59</v>
      </c>
      <c r="E1782" s="388" t="s">
        <v>10082</v>
      </c>
      <c r="F1782" s="388" t="s">
        <v>10078</v>
      </c>
      <c r="G1782" s="388" t="s">
        <v>10078</v>
      </c>
      <c r="H1782" s="388" t="s">
        <v>1122</v>
      </c>
      <c r="I1782" s="387" t="s">
        <v>13185</v>
      </c>
      <c r="J1782" s="389"/>
      <c r="K1782" s="387"/>
      <c r="L1782" s="387"/>
      <c r="M1782" s="387" t="s">
        <v>10084</v>
      </c>
      <c r="N1782" s="387"/>
      <c r="O1782" s="387" t="s">
        <v>57</v>
      </c>
      <c r="P1782" s="390">
        <v>189394500</v>
      </c>
      <c r="Q1782" s="387"/>
      <c r="R1782" s="387" t="s">
        <v>8112</v>
      </c>
      <c r="S1782" s="340">
        <v>1</v>
      </c>
    </row>
    <row r="1783" spans="1:19" ht="29.5" thickBot="1" x14ac:dyDescent="0.4">
      <c r="A1783" s="357">
        <v>1772</v>
      </c>
      <c r="B1783" s="387" t="s">
        <v>10080</v>
      </c>
      <c r="C1783" s="387" t="s">
        <v>10081</v>
      </c>
      <c r="D1783" s="388" t="s">
        <v>97</v>
      </c>
      <c r="E1783" s="388" t="s">
        <v>10082</v>
      </c>
      <c r="F1783" s="388" t="s">
        <v>10078</v>
      </c>
      <c r="G1783" s="388" t="s">
        <v>10078</v>
      </c>
      <c r="H1783" s="388" t="s">
        <v>11400</v>
      </c>
      <c r="I1783" s="387" t="s">
        <v>13185</v>
      </c>
      <c r="J1783" s="389"/>
      <c r="K1783" s="387"/>
      <c r="L1783" s="387"/>
      <c r="M1783" s="387" t="s">
        <v>10084</v>
      </c>
      <c r="N1783" s="387"/>
      <c r="O1783" s="387" t="s">
        <v>57</v>
      </c>
      <c r="P1783" s="390">
        <v>85948000</v>
      </c>
      <c r="Q1783" s="387"/>
      <c r="R1783" s="387" t="s">
        <v>8112</v>
      </c>
      <c r="S1783" s="340">
        <v>1</v>
      </c>
    </row>
    <row r="1784" spans="1:19" ht="29" x14ac:dyDescent="0.35">
      <c r="A1784" s="349">
        <v>1773</v>
      </c>
      <c r="B1784" s="387" t="s">
        <v>10080</v>
      </c>
      <c r="C1784" s="387" t="s">
        <v>10081</v>
      </c>
      <c r="D1784" s="388" t="s">
        <v>101</v>
      </c>
      <c r="E1784" s="388" t="s">
        <v>10082</v>
      </c>
      <c r="F1784" s="388" t="s">
        <v>10078</v>
      </c>
      <c r="G1784" s="388" t="s">
        <v>10078</v>
      </c>
      <c r="H1784" s="388" t="s">
        <v>1433</v>
      </c>
      <c r="I1784" s="387" t="s">
        <v>13185</v>
      </c>
      <c r="J1784" s="389"/>
      <c r="K1784" s="387"/>
      <c r="L1784" s="387"/>
      <c r="M1784" s="387" t="s">
        <v>10084</v>
      </c>
      <c r="N1784" s="387"/>
      <c r="O1784" s="387" t="s">
        <v>422</v>
      </c>
      <c r="P1784" s="390">
        <v>90000000</v>
      </c>
      <c r="Q1784" s="387" t="s">
        <v>8603</v>
      </c>
      <c r="R1784" s="387" t="s">
        <v>8112</v>
      </c>
      <c r="S1784" s="340">
        <v>1</v>
      </c>
    </row>
    <row r="1785" spans="1:19" ht="29.5" thickBot="1" x14ac:dyDescent="0.4">
      <c r="A1785" s="357">
        <v>1774</v>
      </c>
      <c r="B1785" s="387" t="s">
        <v>10092</v>
      </c>
      <c r="C1785" s="387" t="s">
        <v>10093</v>
      </c>
      <c r="D1785" s="388" t="s">
        <v>51</v>
      </c>
      <c r="E1785" s="388" t="s">
        <v>10082</v>
      </c>
      <c r="F1785" s="388" t="s">
        <v>10078</v>
      </c>
      <c r="G1785" s="388" t="s">
        <v>10078</v>
      </c>
      <c r="H1785" s="388" t="s">
        <v>12979</v>
      </c>
      <c r="I1785" s="387" t="s">
        <v>13186</v>
      </c>
      <c r="J1785" s="389">
        <v>41564</v>
      </c>
      <c r="K1785" s="387" t="s">
        <v>13187</v>
      </c>
      <c r="L1785" s="387"/>
      <c r="M1785" s="387" t="s">
        <v>10084</v>
      </c>
      <c r="N1785" s="387"/>
      <c r="O1785" s="387" t="s">
        <v>57</v>
      </c>
      <c r="P1785" s="390">
        <v>155204520</v>
      </c>
      <c r="Q1785" s="387"/>
      <c r="R1785" s="387" t="s">
        <v>8112</v>
      </c>
      <c r="S1785" s="340">
        <v>1</v>
      </c>
    </row>
    <row r="1786" spans="1:19" ht="29" x14ac:dyDescent="0.35">
      <c r="A1786" s="349">
        <v>1775</v>
      </c>
      <c r="B1786" s="387" t="s">
        <v>10085</v>
      </c>
      <c r="C1786" s="387" t="s">
        <v>10086</v>
      </c>
      <c r="D1786" s="388" t="s">
        <v>51</v>
      </c>
      <c r="E1786" s="388" t="s">
        <v>10082</v>
      </c>
      <c r="F1786" s="388" t="s">
        <v>10078</v>
      </c>
      <c r="G1786" s="388" t="s">
        <v>10078</v>
      </c>
      <c r="H1786" s="388" t="s">
        <v>11421</v>
      </c>
      <c r="I1786" s="387" t="s">
        <v>13185</v>
      </c>
      <c r="J1786" s="389"/>
      <c r="K1786" s="387"/>
      <c r="L1786" s="387"/>
      <c r="M1786" s="387" t="s">
        <v>10084</v>
      </c>
      <c r="N1786" s="387"/>
      <c r="O1786" s="387" t="s">
        <v>57</v>
      </c>
      <c r="P1786" s="390">
        <v>112724000</v>
      </c>
      <c r="Q1786" s="387"/>
      <c r="R1786" s="387" t="s">
        <v>8112</v>
      </c>
      <c r="S1786" s="340">
        <v>1</v>
      </c>
    </row>
    <row r="1787" spans="1:19" ht="29.5" thickBot="1" x14ac:dyDescent="0.4">
      <c r="A1787" s="357">
        <v>1776</v>
      </c>
      <c r="B1787" s="387" t="s">
        <v>10146</v>
      </c>
      <c r="C1787" s="387" t="s">
        <v>10147</v>
      </c>
      <c r="D1787" s="388" t="s">
        <v>51</v>
      </c>
      <c r="E1787" s="388" t="s">
        <v>10082</v>
      </c>
      <c r="F1787" s="388" t="s">
        <v>10078</v>
      </c>
      <c r="G1787" s="388" t="s">
        <v>10078</v>
      </c>
      <c r="H1787" s="388" t="s">
        <v>8961</v>
      </c>
      <c r="I1787" s="387" t="s">
        <v>13188</v>
      </c>
      <c r="J1787" s="389">
        <v>43689</v>
      </c>
      <c r="K1787" s="387" t="s">
        <v>13189</v>
      </c>
      <c r="L1787" s="387"/>
      <c r="M1787" s="387" t="s">
        <v>10084</v>
      </c>
      <c r="N1787" s="387"/>
      <c r="O1787" s="387" t="s">
        <v>57</v>
      </c>
      <c r="P1787" s="390">
        <v>221613000</v>
      </c>
      <c r="Q1787" s="387" t="s">
        <v>13190</v>
      </c>
      <c r="R1787" s="387" t="s">
        <v>8112</v>
      </c>
      <c r="S1787" s="340">
        <v>1</v>
      </c>
    </row>
    <row r="1788" spans="1:19" ht="29" x14ac:dyDescent="0.35">
      <c r="A1788" s="349">
        <v>1777</v>
      </c>
      <c r="B1788" s="387" t="s">
        <v>10191</v>
      </c>
      <c r="C1788" s="387" t="s">
        <v>10192</v>
      </c>
      <c r="D1788" s="388" t="s">
        <v>51</v>
      </c>
      <c r="E1788" s="388" t="s">
        <v>10082</v>
      </c>
      <c r="F1788" s="388" t="s">
        <v>10078</v>
      </c>
      <c r="G1788" s="388" t="s">
        <v>10078</v>
      </c>
      <c r="H1788" s="388" t="s">
        <v>12157</v>
      </c>
      <c r="I1788" s="387" t="s">
        <v>13185</v>
      </c>
      <c r="J1788" s="389">
        <v>42151</v>
      </c>
      <c r="K1788" s="387" t="s">
        <v>13124</v>
      </c>
      <c r="L1788" s="387"/>
      <c r="M1788" s="387" t="s">
        <v>10084</v>
      </c>
      <c r="N1788" s="387"/>
      <c r="O1788" s="387" t="s">
        <v>57</v>
      </c>
      <c r="P1788" s="390">
        <v>221306000</v>
      </c>
      <c r="Q1788" s="387" t="s">
        <v>13191</v>
      </c>
      <c r="R1788" s="387" t="s">
        <v>8112</v>
      </c>
      <c r="S1788" s="340">
        <v>1</v>
      </c>
    </row>
    <row r="1789" spans="1:19" ht="29.5" thickBot="1" x14ac:dyDescent="0.4">
      <c r="A1789" s="357">
        <v>1778</v>
      </c>
      <c r="B1789" s="387" t="s">
        <v>10080</v>
      </c>
      <c r="C1789" s="387" t="s">
        <v>10081</v>
      </c>
      <c r="D1789" s="388" t="s">
        <v>51</v>
      </c>
      <c r="E1789" s="388" t="s">
        <v>10082</v>
      </c>
      <c r="F1789" s="388" t="s">
        <v>10078</v>
      </c>
      <c r="G1789" s="388" t="s">
        <v>10078</v>
      </c>
      <c r="H1789" s="388" t="s">
        <v>13165</v>
      </c>
      <c r="I1789" s="387" t="s">
        <v>13192</v>
      </c>
      <c r="J1789" s="389"/>
      <c r="K1789" s="387"/>
      <c r="L1789" s="387"/>
      <c r="M1789" s="387" t="s">
        <v>10084</v>
      </c>
      <c r="N1789" s="387"/>
      <c r="O1789" s="387" t="s">
        <v>422</v>
      </c>
      <c r="P1789" s="390">
        <v>115000000</v>
      </c>
      <c r="Q1789" s="387" t="s">
        <v>8603</v>
      </c>
      <c r="R1789" s="387" t="s">
        <v>8114</v>
      </c>
      <c r="S1789" s="340">
        <v>1</v>
      </c>
    </row>
    <row r="1790" spans="1:19" ht="29" x14ac:dyDescent="0.35">
      <c r="A1790" s="349">
        <v>1779</v>
      </c>
      <c r="B1790" s="387" t="s">
        <v>10080</v>
      </c>
      <c r="C1790" s="387" t="s">
        <v>10081</v>
      </c>
      <c r="D1790" s="388" t="s">
        <v>59</v>
      </c>
      <c r="E1790" s="388" t="s">
        <v>10082</v>
      </c>
      <c r="F1790" s="388" t="s">
        <v>10078</v>
      </c>
      <c r="G1790" s="388" t="s">
        <v>10078</v>
      </c>
      <c r="H1790" s="388" t="s">
        <v>12226</v>
      </c>
      <c r="I1790" s="387" t="s">
        <v>13192</v>
      </c>
      <c r="J1790" s="389"/>
      <c r="K1790" s="387"/>
      <c r="L1790" s="387"/>
      <c r="M1790" s="387" t="s">
        <v>10084</v>
      </c>
      <c r="N1790" s="387"/>
      <c r="O1790" s="387" t="s">
        <v>57</v>
      </c>
      <c r="P1790" s="390">
        <v>1059370000</v>
      </c>
      <c r="Q1790" s="387"/>
      <c r="R1790" s="387" t="s">
        <v>8114</v>
      </c>
      <c r="S1790" s="340">
        <v>1</v>
      </c>
    </row>
    <row r="1791" spans="1:19" ht="29.5" thickBot="1" x14ac:dyDescent="0.4">
      <c r="A1791" s="357">
        <v>1780</v>
      </c>
      <c r="B1791" s="387" t="s">
        <v>10092</v>
      </c>
      <c r="C1791" s="387" t="s">
        <v>10093</v>
      </c>
      <c r="D1791" s="388" t="s">
        <v>51</v>
      </c>
      <c r="E1791" s="388" t="s">
        <v>10082</v>
      </c>
      <c r="F1791" s="388" t="s">
        <v>10078</v>
      </c>
      <c r="G1791" s="388" t="s">
        <v>10078</v>
      </c>
      <c r="H1791" s="388" t="s">
        <v>12979</v>
      </c>
      <c r="I1791" s="387" t="s">
        <v>13193</v>
      </c>
      <c r="J1791" s="389">
        <v>41904</v>
      </c>
      <c r="K1791" s="387" t="s">
        <v>10339</v>
      </c>
      <c r="L1791" s="387"/>
      <c r="M1791" s="387" t="s">
        <v>10084</v>
      </c>
      <c r="N1791" s="387"/>
      <c r="O1791" s="387" t="s">
        <v>57</v>
      </c>
      <c r="P1791" s="390">
        <v>144500000</v>
      </c>
      <c r="Q1791" s="387" t="s">
        <v>13194</v>
      </c>
      <c r="R1791" s="387" t="s">
        <v>8114</v>
      </c>
      <c r="S1791" s="340">
        <v>1</v>
      </c>
    </row>
    <row r="1792" spans="1:19" ht="43.5" x14ac:dyDescent="0.35">
      <c r="A1792" s="349">
        <v>1781</v>
      </c>
      <c r="B1792" s="387" t="s">
        <v>10085</v>
      </c>
      <c r="C1792" s="387" t="s">
        <v>10086</v>
      </c>
      <c r="D1792" s="388" t="s">
        <v>51</v>
      </c>
      <c r="E1792" s="388" t="s">
        <v>10082</v>
      </c>
      <c r="F1792" s="388" t="s">
        <v>10078</v>
      </c>
      <c r="G1792" s="388" t="s">
        <v>10078</v>
      </c>
      <c r="H1792" s="388" t="s">
        <v>11634</v>
      </c>
      <c r="I1792" s="387" t="s">
        <v>13195</v>
      </c>
      <c r="J1792" s="389">
        <v>41585</v>
      </c>
      <c r="K1792" s="387" t="s">
        <v>13196</v>
      </c>
      <c r="L1792" s="387"/>
      <c r="M1792" s="387" t="s">
        <v>10084</v>
      </c>
      <c r="N1792" s="387"/>
      <c r="O1792" s="387" t="s">
        <v>57</v>
      </c>
      <c r="P1792" s="390">
        <v>137500000</v>
      </c>
      <c r="Q1792" s="387" t="s">
        <v>13197</v>
      </c>
      <c r="R1792" s="387" t="s">
        <v>8114</v>
      </c>
      <c r="S1792" s="340">
        <v>1</v>
      </c>
    </row>
    <row r="1793" spans="1:19" ht="29.5" thickBot="1" x14ac:dyDescent="0.4">
      <c r="A1793" s="357">
        <v>1782</v>
      </c>
      <c r="B1793" s="387" t="s">
        <v>10191</v>
      </c>
      <c r="C1793" s="387" t="s">
        <v>10192</v>
      </c>
      <c r="D1793" s="388" t="s">
        <v>51</v>
      </c>
      <c r="E1793" s="388" t="s">
        <v>10082</v>
      </c>
      <c r="F1793" s="388" t="s">
        <v>10078</v>
      </c>
      <c r="G1793" s="388" t="s">
        <v>10078</v>
      </c>
      <c r="H1793" s="388" t="s">
        <v>11443</v>
      </c>
      <c r="I1793" s="387" t="s">
        <v>13192</v>
      </c>
      <c r="J1793" s="389">
        <v>42474</v>
      </c>
      <c r="K1793" s="387" t="s">
        <v>13198</v>
      </c>
      <c r="L1793" s="387"/>
      <c r="M1793" s="387" t="s">
        <v>10084</v>
      </c>
      <c r="N1793" s="387"/>
      <c r="O1793" s="387" t="s">
        <v>57</v>
      </c>
      <c r="P1793" s="390">
        <v>221470000</v>
      </c>
      <c r="Q1793" s="387" t="s">
        <v>13199</v>
      </c>
      <c r="R1793" s="387" t="s">
        <v>8114</v>
      </c>
      <c r="S1793" s="340">
        <v>1</v>
      </c>
    </row>
    <row r="1794" spans="1:19" ht="29" x14ac:dyDescent="0.35">
      <c r="A1794" s="349">
        <v>1783</v>
      </c>
      <c r="B1794" s="387" t="s">
        <v>10191</v>
      </c>
      <c r="C1794" s="387" t="s">
        <v>10192</v>
      </c>
      <c r="D1794" s="388" t="s">
        <v>59</v>
      </c>
      <c r="E1794" s="388" t="s">
        <v>10082</v>
      </c>
      <c r="F1794" s="388" t="s">
        <v>10078</v>
      </c>
      <c r="G1794" s="388" t="s">
        <v>10078</v>
      </c>
      <c r="H1794" s="388" t="s">
        <v>2972</v>
      </c>
      <c r="I1794" s="387" t="s">
        <v>13192</v>
      </c>
      <c r="J1794" s="389">
        <v>43223</v>
      </c>
      <c r="K1794" s="387" t="s">
        <v>13200</v>
      </c>
      <c r="L1794" s="387"/>
      <c r="M1794" s="387" t="s">
        <v>10084</v>
      </c>
      <c r="N1794" s="387"/>
      <c r="O1794" s="387" t="s">
        <v>57</v>
      </c>
      <c r="P1794" s="390">
        <v>221216000</v>
      </c>
      <c r="Q1794" s="387" t="s">
        <v>13201</v>
      </c>
      <c r="R1794" s="387" t="s">
        <v>8114</v>
      </c>
      <c r="S1794" s="340">
        <v>1</v>
      </c>
    </row>
    <row r="1795" spans="1:19" ht="29.5" thickBot="1" x14ac:dyDescent="0.4">
      <c r="A1795" s="357">
        <v>1784</v>
      </c>
      <c r="B1795" s="387" t="s">
        <v>10080</v>
      </c>
      <c r="C1795" s="387" t="s">
        <v>10081</v>
      </c>
      <c r="D1795" s="388" t="s">
        <v>51</v>
      </c>
      <c r="E1795" s="388" t="s">
        <v>10082</v>
      </c>
      <c r="F1795" s="388" t="s">
        <v>10078</v>
      </c>
      <c r="G1795" s="388" t="s">
        <v>10078</v>
      </c>
      <c r="H1795" s="388" t="s">
        <v>1122</v>
      </c>
      <c r="I1795" s="387" t="s">
        <v>13202</v>
      </c>
      <c r="J1795" s="389"/>
      <c r="K1795" s="387"/>
      <c r="L1795" s="387"/>
      <c r="M1795" s="387" t="s">
        <v>10084</v>
      </c>
      <c r="N1795" s="387"/>
      <c r="O1795" s="387" t="s">
        <v>57</v>
      </c>
      <c r="P1795" s="390">
        <v>465922000</v>
      </c>
      <c r="Q1795" s="387"/>
      <c r="R1795" s="387" t="s">
        <v>8116</v>
      </c>
      <c r="S1795" s="340">
        <v>1</v>
      </c>
    </row>
    <row r="1796" spans="1:19" ht="29" x14ac:dyDescent="0.35">
      <c r="A1796" s="349">
        <v>1785</v>
      </c>
      <c r="B1796" s="387" t="s">
        <v>10080</v>
      </c>
      <c r="C1796" s="387" t="s">
        <v>10081</v>
      </c>
      <c r="D1796" s="388" t="s">
        <v>59</v>
      </c>
      <c r="E1796" s="388" t="s">
        <v>10082</v>
      </c>
      <c r="F1796" s="388" t="s">
        <v>10078</v>
      </c>
      <c r="G1796" s="388" t="s">
        <v>10078</v>
      </c>
      <c r="H1796" s="388" t="s">
        <v>1122</v>
      </c>
      <c r="I1796" s="387" t="s">
        <v>13202</v>
      </c>
      <c r="J1796" s="389"/>
      <c r="K1796" s="387"/>
      <c r="L1796" s="387"/>
      <c r="M1796" s="387" t="s">
        <v>10084</v>
      </c>
      <c r="N1796" s="387"/>
      <c r="O1796" s="387" t="s">
        <v>57</v>
      </c>
      <c r="P1796" s="390">
        <v>211119500</v>
      </c>
      <c r="Q1796" s="387"/>
      <c r="R1796" s="387" t="s">
        <v>8116</v>
      </c>
      <c r="S1796" s="340">
        <v>1</v>
      </c>
    </row>
    <row r="1797" spans="1:19" ht="29.5" thickBot="1" x14ac:dyDescent="0.4">
      <c r="A1797" s="357">
        <v>1786</v>
      </c>
      <c r="B1797" s="387" t="s">
        <v>10080</v>
      </c>
      <c r="C1797" s="387" t="s">
        <v>10081</v>
      </c>
      <c r="D1797" s="388" t="s">
        <v>97</v>
      </c>
      <c r="E1797" s="388" t="s">
        <v>10082</v>
      </c>
      <c r="F1797" s="388" t="s">
        <v>10078</v>
      </c>
      <c r="G1797" s="388" t="s">
        <v>10078</v>
      </c>
      <c r="H1797" s="388" t="s">
        <v>1122</v>
      </c>
      <c r="I1797" s="387" t="s">
        <v>13202</v>
      </c>
      <c r="J1797" s="389"/>
      <c r="K1797" s="387"/>
      <c r="L1797" s="387"/>
      <c r="M1797" s="387" t="s">
        <v>10084</v>
      </c>
      <c r="N1797" s="387"/>
      <c r="O1797" s="387" t="s">
        <v>57</v>
      </c>
      <c r="P1797" s="390">
        <v>360162000</v>
      </c>
      <c r="Q1797" s="387"/>
      <c r="R1797" s="387" t="s">
        <v>8116</v>
      </c>
      <c r="S1797" s="340">
        <v>1</v>
      </c>
    </row>
    <row r="1798" spans="1:19" ht="29" x14ac:dyDescent="0.35">
      <c r="A1798" s="349">
        <v>1787</v>
      </c>
      <c r="B1798" s="387" t="s">
        <v>10085</v>
      </c>
      <c r="C1798" s="387" t="s">
        <v>10086</v>
      </c>
      <c r="D1798" s="388" t="s">
        <v>51</v>
      </c>
      <c r="E1798" s="388" t="s">
        <v>10082</v>
      </c>
      <c r="F1798" s="388" t="s">
        <v>10078</v>
      </c>
      <c r="G1798" s="388" t="s">
        <v>10078</v>
      </c>
      <c r="H1798" s="388" t="s">
        <v>11421</v>
      </c>
      <c r="I1798" s="387" t="s">
        <v>13202</v>
      </c>
      <c r="J1798" s="389"/>
      <c r="K1798" s="387"/>
      <c r="L1798" s="387"/>
      <c r="M1798" s="387" t="s">
        <v>10084</v>
      </c>
      <c r="N1798" s="387"/>
      <c r="O1798" s="387" t="s">
        <v>57</v>
      </c>
      <c r="P1798" s="390">
        <v>112450000</v>
      </c>
      <c r="Q1798" s="387"/>
      <c r="R1798" s="387" t="s">
        <v>8116</v>
      </c>
      <c r="S1798" s="340">
        <v>1</v>
      </c>
    </row>
    <row r="1799" spans="1:19" ht="29.5" thickBot="1" x14ac:dyDescent="0.4">
      <c r="A1799" s="357">
        <v>1788</v>
      </c>
      <c r="B1799" s="387" t="s">
        <v>13150</v>
      </c>
      <c r="C1799" s="387" t="s">
        <v>13151</v>
      </c>
      <c r="D1799" s="388" t="s">
        <v>51</v>
      </c>
      <c r="E1799" s="388" t="s">
        <v>10082</v>
      </c>
      <c r="F1799" s="388" t="s">
        <v>10078</v>
      </c>
      <c r="G1799" s="388" t="s">
        <v>10078</v>
      </c>
      <c r="H1799" s="388" t="s">
        <v>12157</v>
      </c>
      <c r="I1799" s="387" t="s">
        <v>13202</v>
      </c>
      <c r="J1799" s="389">
        <v>42151</v>
      </c>
      <c r="K1799" s="387" t="s">
        <v>13203</v>
      </c>
      <c r="L1799" s="387"/>
      <c r="M1799" s="387" t="s">
        <v>10084</v>
      </c>
      <c r="N1799" s="387"/>
      <c r="O1799" s="387" t="s">
        <v>57</v>
      </c>
      <c r="P1799" s="390">
        <v>221139000</v>
      </c>
      <c r="Q1799" s="387" t="s">
        <v>13204</v>
      </c>
      <c r="R1799" s="387" t="s">
        <v>8116</v>
      </c>
      <c r="S1799" s="340">
        <v>1</v>
      </c>
    </row>
    <row r="1800" spans="1:19" ht="43.5" x14ac:dyDescent="0.35">
      <c r="A1800" s="349">
        <v>1789</v>
      </c>
      <c r="B1800" s="387" t="s">
        <v>10146</v>
      </c>
      <c r="C1800" s="387" t="s">
        <v>10147</v>
      </c>
      <c r="D1800" s="388" t="s">
        <v>51</v>
      </c>
      <c r="E1800" s="388" t="s">
        <v>10082</v>
      </c>
      <c r="F1800" s="388" t="s">
        <v>10078</v>
      </c>
      <c r="G1800" s="388" t="s">
        <v>10078</v>
      </c>
      <c r="H1800" s="388" t="s">
        <v>11324</v>
      </c>
      <c r="I1800" s="387" t="s">
        <v>13205</v>
      </c>
      <c r="J1800" s="389">
        <v>43588</v>
      </c>
      <c r="K1800" s="387" t="s">
        <v>13206</v>
      </c>
      <c r="L1800" s="387"/>
      <c r="M1800" s="387" t="s">
        <v>10084</v>
      </c>
      <c r="N1800" s="387"/>
      <c r="O1800" s="387" t="s">
        <v>57</v>
      </c>
      <c r="P1800" s="390">
        <v>139283750</v>
      </c>
      <c r="Q1800" s="387" t="s">
        <v>13207</v>
      </c>
      <c r="R1800" s="387" t="s">
        <v>8116</v>
      </c>
      <c r="S1800" s="340">
        <v>1</v>
      </c>
    </row>
    <row r="1801" spans="1:19" ht="29.5" thickBot="1" x14ac:dyDescent="0.4">
      <c r="A1801" s="357">
        <v>1790</v>
      </c>
      <c r="B1801" s="387" t="s">
        <v>10191</v>
      </c>
      <c r="C1801" s="387" t="s">
        <v>10192</v>
      </c>
      <c r="D1801" s="388" t="s">
        <v>51</v>
      </c>
      <c r="E1801" s="388" t="s">
        <v>10082</v>
      </c>
      <c r="F1801" s="388" t="s">
        <v>10078</v>
      </c>
      <c r="G1801" s="388" t="s">
        <v>10078</v>
      </c>
      <c r="H1801" s="388" t="s">
        <v>12157</v>
      </c>
      <c r="I1801" s="387" t="s">
        <v>13202</v>
      </c>
      <c r="J1801" s="389">
        <v>42937</v>
      </c>
      <c r="K1801" s="387" t="s">
        <v>13208</v>
      </c>
      <c r="L1801" s="387"/>
      <c r="M1801" s="387" t="s">
        <v>10084</v>
      </c>
      <c r="N1801" s="387"/>
      <c r="O1801" s="387" t="s">
        <v>57</v>
      </c>
      <c r="P1801" s="390">
        <v>221337000</v>
      </c>
      <c r="Q1801" s="387" t="s">
        <v>13209</v>
      </c>
      <c r="R1801" s="387" t="s">
        <v>8116</v>
      </c>
      <c r="S1801" s="340">
        <v>1</v>
      </c>
    </row>
    <row r="1802" spans="1:19" ht="29" x14ac:dyDescent="0.35">
      <c r="A1802" s="349">
        <v>1791</v>
      </c>
      <c r="B1802" s="387" t="s">
        <v>10080</v>
      </c>
      <c r="C1802" s="387" t="s">
        <v>10081</v>
      </c>
      <c r="D1802" s="388" t="s">
        <v>51</v>
      </c>
      <c r="E1802" s="388" t="s">
        <v>10082</v>
      </c>
      <c r="F1802" s="388" t="s">
        <v>10078</v>
      </c>
      <c r="G1802" s="388" t="s">
        <v>10078</v>
      </c>
      <c r="H1802" s="388" t="s">
        <v>13165</v>
      </c>
      <c r="I1802" s="387" t="s">
        <v>13210</v>
      </c>
      <c r="J1802" s="389"/>
      <c r="K1802" s="387"/>
      <c r="L1802" s="387"/>
      <c r="M1802" s="387" t="s">
        <v>10084</v>
      </c>
      <c r="N1802" s="387"/>
      <c r="O1802" s="387" t="s">
        <v>422</v>
      </c>
      <c r="P1802" s="390">
        <v>110000000</v>
      </c>
      <c r="Q1802" s="387" t="s">
        <v>8603</v>
      </c>
      <c r="R1802" s="387" t="s">
        <v>8118</v>
      </c>
      <c r="S1802" s="340">
        <v>1</v>
      </c>
    </row>
    <row r="1803" spans="1:19" ht="29.5" thickBot="1" x14ac:dyDescent="0.4">
      <c r="A1803" s="357">
        <v>1792</v>
      </c>
      <c r="B1803" s="387" t="s">
        <v>10080</v>
      </c>
      <c r="C1803" s="387" t="s">
        <v>10081</v>
      </c>
      <c r="D1803" s="388" t="s">
        <v>59</v>
      </c>
      <c r="E1803" s="388" t="s">
        <v>10082</v>
      </c>
      <c r="F1803" s="388" t="s">
        <v>10078</v>
      </c>
      <c r="G1803" s="388" t="s">
        <v>10078</v>
      </c>
      <c r="H1803" s="388" t="s">
        <v>12116</v>
      </c>
      <c r="I1803" s="387" t="s">
        <v>13210</v>
      </c>
      <c r="J1803" s="389"/>
      <c r="K1803" s="387"/>
      <c r="L1803" s="387"/>
      <c r="M1803" s="387" t="s">
        <v>10084</v>
      </c>
      <c r="N1803" s="387"/>
      <c r="O1803" s="387" t="s">
        <v>57</v>
      </c>
      <c r="P1803" s="390">
        <v>352154500</v>
      </c>
      <c r="Q1803" s="387"/>
      <c r="R1803" s="387" t="s">
        <v>8118</v>
      </c>
      <c r="S1803" s="340">
        <v>1</v>
      </c>
    </row>
    <row r="1804" spans="1:19" ht="29" x14ac:dyDescent="0.35">
      <c r="A1804" s="349">
        <v>1793</v>
      </c>
      <c r="B1804" s="387" t="s">
        <v>10092</v>
      </c>
      <c r="C1804" s="387" t="s">
        <v>10093</v>
      </c>
      <c r="D1804" s="388" t="s">
        <v>51</v>
      </c>
      <c r="E1804" s="388" t="s">
        <v>10082</v>
      </c>
      <c r="F1804" s="388" t="s">
        <v>10078</v>
      </c>
      <c r="G1804" s="388" t="s">
        <v>10078</v>
      </c>
      <c r="H1804" s="388" t="s">
        <v>12979</v>
      </c>
      <c r="I1804" s="387" t="s">
        <v>13210</v>
      </c>
      <c r="J1804" s="389">
        <v>41904</v>
      </c>
      <c r="K1804" s="387" t="s">
        <v>13211</v>
      </c>
      <c r="L1804" s="387"/>
      <c r="M1804" s="387" t="s">
        <v>10084</v>
      </c>
      <c r="N1804" s="387"/>
      <c r="O1804" s="387" t="s">
        <v>57</v>
      </c>
      <c r="P1804" s="390">
        <v>144500000</v>
      </c>
      <c r="Q1804" s="387" t="s">
        <v>13212</v>
      </c>
      <c r="R1804" s="387" t="s">
        <v>8118</v>
      </c>
      <c r="S1804" s="340">
        <v>1</v>
      </c>
    </row>
    <row r="1805" spans="1:19" ht="44" thickBot="1" x14ac:dyDescent="0.4">
      <c r="A1805" s="357">
        <v>1794</v>
      </c>
      <c r="B1805" s="387" t="s">
        <v>10085</v>
      </c>
      <c r="C1805" s="387" t="s">
        <v>10086</v>
      </c>
      <c r="D1805" s="388" t="s">
        <v>51</v>
      </c>
      <c r="E1805" s="388" t="s">
        <v>10082</v>
      </c>
      <c r="F1805" s="388" t="s">
        <v>10078</v>
      </c>
      <c r="G1805" s="388" t="s">
        <v>10078</v>
      </c>
      <c r="H1805" s="388" t="s">
        <v>11634</v>
      </c>
      <c r="I1805" s="387" t="s">
        <v>13210</v>
      </c>
      <c r="J1805" s="389">
        <v>41585</v>
      </c>
      <c r="K1805" s="387" t="s">
        <v>13213</v>
      </c>
      <c r="L1805" s="387"/>
      <c r="M1805" s="387" t="s">
        <v>10084</v>
      </c>
      <c r="N1805" s="387"/>
      <c r="O1805" s="387" t="s">
        <v>57</v>
      </c>
      <c r="P1805" s="390">
        <v>137500000</v>
      </c>
      <c r="Q1805" s="387" t="s">
        <v>13214</v>
      </c>
      <c r="R1805" s="387" t="s">
        <v>8118</v>
      </c>
      <c r="S1805" s="340">
        <v>1</v>
      </c>
    </row>
    <row r="1806" spans="1:19" ht="29" x14ac:dyDescent="0.35">
      <c r="A1806" s="349">
        <v>1795</v>
      </c>
      <c r="B1806" s="387" t="s">
        <v>10085</v>
      </c>
      <c r="C1806" s="387" t="s">
        <v>10086</v>
      </c>
      <c r="D1806" s="388" t="s">
        <v>59</v>
      </c>
      <c r="E1806" s="388" t="s">
        <v>10082</v>
      </c>
      <c r="F1806" s="388" t="s">
        <v>10078</v>
      </c>
      <c r="G1806" s="388" t="s">
        <v>10078</v>
      </c>
      <c r="H1806" s="388" t="s">
        <v>12623</v>
      </c>
      <c r="I1806" s="387" t="s">
        <v>13210</v>
      </c>
      <c r="J1806" s="389"/>
      <c r="K1806" s="387"/>
      <c r="L1806" s="387"/>
      <c r="M1806" s="387" t="s">
        <v>10084</v>
      </c>
      <c r="N1806" s="387"/>
      <c r="O1806" s="387" t="s">
        <v>57</v>
      </c>
      <c r="P1806" s="390">
        <v>69750000</v>
      </c>
      <c r="Q1806" s="387"/>
      <c r="R1806" s="387" t="s">
        <v>8118</v>
      </c>
      <c r="S1806" s="340">
        <v>1</v>
      </c>
    </row>
    <row r="1807" spans="1:19" ht="29.5" thickBot="1" x14ac:dyDescent="0.4">
      <c r="A1807" s="357">
        <v>1796</v>
      </c>
      <c r="B1807" s="387" t="s">
        <v>10146</v>
      </c>
      <c r="C1807" s="387" t="s">
        <v>10147</v>
      </c>
      <c r="D1807" s="388" t="s">
        <v>51</v>
      </c>
      <c r="E1807" s="388" t="s">
        <v>10082</v>
      </c>
      <c r="F1807" s="388" t="s">
        <v>10078</v>
      </c>
      <c r="G1807" s="388" t="s">
        <v>10078</v>
      </c>
      <c r="H1807" s="388" t="s">
        <v>8961</v>
      </c>
      <c r="I1807" s="387" t="s">
        <v>13215</v>
      </c>
      <c r="J1807" s="389">
        <v>43692</v>
      </c>
      <c r="K1807" s="387" t="s">
        <v>13216</v>
      </c>
      <c r="L1807" s="387"/>
      <c r="M1807" s="387" t="s">
        <v>10084</v>
      </c>
      <c r="N1807" s="387"/>
      <c r="O1807" s="387" t="s">
        <v>57</v>
      </c>
      <c r="P1807" s="390">
        <v>221608843.99999997</v>
      </c>
      <c r="Q1807" s="387" t="s">
        <v>13217</v>
      </c>
      <c r="R1807" s="387" t="s">
        <v>8118</v>
      </c>
      <c r="S1807" s="340">
        <v>1</v>
      </c>
    </row>
    <row r="1808" spans="1:19" ht="29" x14ac:dyDescent="0.35">
      <c r="A1808" s="349">
        <v>1797</v>
      </c>
      <c r="B1808" s="387" t="s">
        <v>10080</v>
      </c>
      <c r="C1808" s="387" t="s">
        <v>10081</v>
      </c>
      <c r="D1808" s="388" t="s">
        <v>51</v>
      </c>
      <c r="E1808" s="388" t="s">
        <v>10082</v>
      </c>
      <c r="F1808" s="388" t="s">
        <v>10078</v>
      </c>
      <c r="G1808" s="388" t="s">
        <v>10078</v>
      </c>
      <c r="H1808" s="388" t="s">
        <v>13165</v>
      </c>
      <c r="I1808" s="387" t="s">
        <v>13218</v>
      </c>
      <c r="J1808" s="389"/>
      <c r="K1808" s="387"/>
      <c r="L1808" s="387"/>
      <c r="M1808" s="387" t="s">
        <v>10084</v>
      </c>
      <c r="N1808" s="387"/>
      <c r="O1808" s="387" t="s">
        <v>422</v>
      </c>
      <c r="P1808" s="390">
        <v>160000000</v>
      </c>
      <c r="Q1808" s="387" t="s">
        <v>8603</v>
      </c>
      <c r="R1808" s="387" t="s">
        <v>8120</v>
      </c>
      <c r="S1808" s="340">
        <v>1</v>
      </c>
    </row>
    <row r="1809" spans="1:19" ht="29.5" thickBot="1" x14ac:dyDescent="0.4">
      <c r="A1809" s="357">
        <v>1798</v>
      </c>
      <c r="B1809" s="387" t="s">
        <v>10080</v>
      </c>
      <c r="C1809" s="387" t="s">
        <v>10081</v>
      </c>
      <c r="D1809" s="388" t="s">
        <v>59</v>
      </c>
      <c r="E1809" s="388" t="s">
        <v>10082</v>
      </c>
      <c r="F1809" s="388" t="s">
        <v>10078</v>
      </c>
      <c r="G1809" s="388" t="s">
        <v>10078</v>
      </c>
      <c r="H1809" s="388" t="s">
        <v>13219</v>
      </c>
      <c r="I1809" s="387" t="s">
        <v>13218</v>
      </c>
      <c r="J1809" s="389"/>
      <c r="K1809" s="387"/>
      <c r="L1809" s="387"/>
      <c r="M1809" s="387" t="s">
        <v>10084</v>
      </c>
      <c r="N1809" s="387"/>
      <c r="O1809" s="387" t="s">
        <v>57</v>
      </c>
      <c r="P1809" s="390">
        <v>721207000</v>
      </c>
      <c r="Q1809" s="387"/>
      <c r="R1809" s="387" t="s">
        <v>8120</v>
      </c>
      <c r="S1809" s="340">
        <v>1</v>
      </c>
    </row>
    <row r="1810" spans="1:19" ht="29" x14ac:dyDescent="0.35">
      <c r="A1810" s="349">
        <v>1799</v>
      </c>
      <c r="B1810" s="387" t="s">
        <v>10085</v>
      </c>
      <c r="C1810" s="387" t="s">
        <v>10086</v>
      </c>
      <c r="D1810" s="388" t="s">
        <v>51</v>
      </c>
      <c r="E1810" s="388" t="s">
        <v>10082</v>
      </c>
      <c r="F1810" s="388" t="s">
        <v>10078</v>
      </c>
      <c r="G1810" s="388" t="s">
        <v>10078</v>
      </c>
      <c r="H1810" s="388" t="s">
        <v>11421</v>
      </c>
      <c r="I1810" s="387" t="s">
        <v>13218</v>
      </c>
      <c r="J1810" s="389"/>
      <c r="K1810" s="387"/>
      <c r="L1810" s="387"/>
      <c r="M1810" s="387" t="s">
        <v>10084</v>
      </c>
      <c r="N1810" s="387"/>
      <c r="O1810" s="387" t="s">
        <v>57</v>
      </c>
      <c r="P1810" s="390">
        <v>99400000</v>
      </c>
      <c r="Q1810" s="387"/>
      <c r="R1810" s="387" t="s">
        <v>8120</v>
      </c>
      <c r="S1810" s="340">
        <v>1</v>
      </c>
    </row>
    <row r="1811" spans="1:19" ht="29.5" thickBot="1" x14ac:dyDescent="0.4">
      <c r="A1811" s="357">
        <v>1800</v>
      </c>
      <c r="B1811" s="387" t="s">
        <v>10080</v>
      </c>
      <c r="C1811" s="387" t="s">
        <v>10081</v>
      </c>
      <c r="D1811" s="388" t="s">
        <v>51</v>
      </c>
      <c r="E1811" s="388" t="s">
        <v>10082</v>
      </c>
      <c r="F1811" s="388" t="s">
        <v>10078</v>
      </c>
      <c r="G1811" s="388" t="s">
        <v>10078</v>
      </c>
      <c r="H1811" s="388" t="s">
        <v>13219</v>
      </c>
      <c r="I1811" s="387" t="s">
        <v>13220</v>
      </c>
      <c r="J1811" s="389"/>
      <c r="K1811" s="387"/>
      <c r="L1811" s="387"/>
      <c r="M1811" s="387" t="s">
        <v>10084</v>
      </c>
      <c r="N1811" s="387"/>
      <c r="O1811" s="387" t="s">
        <v>57</v>
      </c>
      <c r="P1811" s="390">
        <v>554598000</v>
      </c>
      <c r="Q1811" s="387"/>
      <c r="R1811" s="387" t="s">
        <v>8122</v>
      </c>
      <c r="S1811" s="340">
        <v>1</v>
      </c>
    </row>
    <row r="1812" spans="1:19" ht="29" x14ac:dyDescent="0.35">
      <c r="A1812" s="349">
        <v>1801</v>
      </c>
      <c r="B1812" s="387" t="s">
        <v>10080</v>
      </c>
      <c r="C1812" s="387" t="s">
        <v>10081</v>
      </c>
      <c r="D1812" s="388" t="s">
        <v>59</v>
      </c>
      <c r="E1812" s="388" t="s">
        <v>10082</v>
      </c>
      <c r="F1812" s="388" t="s">
        <v>10078</v>
      </c>
      <c r="G1812" s="388" t="s">
        <v>10078</v>
      </c>
      <c r="H1812" s="388" t="s">
        <v>13165</v>
      </c>
      <c r="I1812" s="387" t="s">
        <v>13220</v>
      </c>
      <c r="J1812" s="389"/>
      <c r="K1812" s="387"/>
      <c r="L1812" s="387"/>
      <c r="M1812" s="387" t="s">
        <v>10084</v>
      </c>
      <c r="N1812" s="387"/>
      <c r="O1812" s="387" t="s">
        <v>422</v>
      </c>
      <c r="P1812" s="390">
        <v>110000000</v>
      </c>
      <c r="Q1812" s="387" t="s">
        <v>8603</v>
      </c>
      <c r="R1812" s="387" t="s">
        <v>8122</v>
      </c>
      <c r="S1812" s="340">
        <v>1</v>
      </c>
    </row>
    <row r="1813" spans="1:19" ht="29.5" thickBot="1" x14ac:dyDescent="0.4">
      <c r="A1813" s="357">
        <v>1802</v>
      </c>
      <c r="B1813" s="387" t="s">
        <v>10146</v>
      </c>
      <c r="C1813" s="387" t="s">
        <v>10147</v>
      </c>
      <c r="D1813" s="388" t="s">
        <v>51</v>
      </c>
      <c r="E1813" s="388" t="s">
        <v>10082</v>
      </c>
      <c r="F1813" s="388" t="s">
        <v>10078</v>
      </c>
      <c r="G1813" s="388" t="s">
        <v>10078</v>
      </c>
      <c r="H1813" s="388" t="s">
        <v>11364</v>
      </c>
      <c r="I1813" s="387" t="s">
        <v>13220</v>
      </c>
      <c r="J1813" s="389">
        <v>41934</v>
      </c>
      <c r="K1813" s="387" t="s">
        <v>13221</v>
      </c>
      <c r="L1813" s="387"/>
      <c r="M1813" s="387" t="s">
        <v>10084</v>
      </c>
      <c r="N1813" s="387"/>
      <c r="O1813" s="387" t="s">
        <v>57</v>
      </c>
      <c r="P1813" s="390">
        <v>269250000</v>
      </c>
      <c r="Q1813" s="387" t="s">
        <v>13222</v>
      </c>
      <c r="R1813" s="387" t="s">
        <v>8122</v>
      </c>
      <c r="S1813" s="340">
        <v>1</v>
      </c>
    </row>
    <row r="1814" spans="1:19" ht="29" x14ac:dyDescent="0.35">
      <c r="A1814" s="349">
        <v>1803</v>
      </c>
      <c r="B1814" s="387" t="s">
        <v>10191</v>
      </c>
      <c r="C1814" s="387" t="s">
        <v>10192</v>
      </c>
      <c r="D1814" s="388" t="s">
        <v>51</v>
      </c>
      <c r="E1814" s="388" t="s">
        <v>10082</v>
      </c>
      <c r="F1814" s="388" t="s">
        <v>10078</v>
      </c>
      <c r="G1814" s="388" t="s">
        <v>10078</v>
      </c>
      <c r="H1814" s="388" t="s">
        <v>12157</v>
      </c>
      <c r="I1814" s="387" t="s">
        <v>13220</v>
      </c>
      <c r="J1814" s="389">
        <v>42474</v>
      </c>
      <c r="K1814" s="387" t="s">
        <v>13223</v>
      </c>
      <c r="L1814" s="387"/>
      <c r="M1814" s="387" t="s">
        <v>10084</v>
      </c>
      <c r="N1814" s="387"/>
      <c r="O1814" s="387" t="s">
        <v>57</v>
      </c>
      <c r="P1814" s="390">
        <v>299200000</v>
      </c>
      <c r="Q1814" s="387" t="s">
        <v>13224</v>
      </c>
      <c r="R1814" s="387" t="s">
        <v>8122</v>
      </c>
      <c r="S1814" s="340">
        <v>1</v>
      </c>
    </row>
    <row r="1815" spans="1:19" ht="29.5" thickBot="1" x14ac:dyDescent="0.4">
      <c r="A1815" s="357">
        <v>1804</v>
      </c>
      <c r="B1815" s="387" t="s">
        <v>10080</v>
      </c>
      <c r="C1815" s="387" t="s">
        <v>10081</v>
      </c>
      <c r="D1815" s="388" t="s">
        <v>51</v>
      </c>
      <c r="E1815" s="388" t="s">
        <v>10082</v>
      </c>
      <c r="F1815" s="388" t="s">
        <v>10078</v>
      </c>
      <c r="G1815" s="388" t="s">
        <v>10078</v>
      </c>
      <c r="H1815" s="388" t="s">
        <v>12157</v>
      </c>
      <c r="I1815" s="387" t="s">
        <v>13225</v>
      </c>
      <c r="J1815" s="389">
        <v>41906</v>
      </c>
      <c r="K1815" s="387" t="s">
        <v>13226</v>
      </c>
      <c r="L1815" s="387"/>
      <c r="M1815" s="387" t="s">
        <v>10084</v>
      </c>
      <c r="N1815" s="387"/>
      <c r="O1815" s="387" t="s">
        <v>57</v>
      </c>
      <c r="P1815" s="390">
        <v>156000000</v>
      </c>
      <c r="Q1815" s="387" t="s">
        <v>13227</v>
      </c>
      <c r="R1815" s="387" t="s">
        <v>13228</v>
      </c>
      <c r="S1815" s="340">
        <v>1</v>
      </c>
    </row>
    <row r="1816" spans="1:19" ht="29" x14ac:dyDescent="0.35">
      <c r="A1816" s="349">
        <v>1805</v>
      </c>
      <c r="B1816" s="387" t="s">
        <v>10080</v>
      </c>
      <c r="C1816" s="387" t="s">
        <v>10081</v>
      </c>
      <c r="D1816" s="388" t="s">
        <v>59</v>
      </c>
      <c r="E1816" s="388" t="s">
        <v>10082</v>
      </c>
      <c r="F1816" s="388" t="s">
        <v>10078</v>
      </c>
      <c r="G1816" s="388" t="s">
        <v>10078</v>
      </c>
      <c r="H1816" s="388" t="s">
        <v>12157</v>
      </c>
      <c r="I1816" s="387" t="s">
        <v>13225</v>
      </c>
      <c r="J1816" s="389">
        <v>41906</v>
      </c>
      <c r="K1816" s="387" t="s">
        <v>13226</v>
      </c>
      <c r="L1816" s="387"/>
      <c r="M1816" s="387" t="s">
        <v>10084</v>
      </c>
      <c r="N1816" s="387"/>
      <c r="O1816" s="387" t="s">
        <v>57</v>
      </c>
      <c r="P1816" s="390">
        <v>156000000</v>
      </c>
      <c r="Q1816" s="387" t="s">
        <v>13227</v>
      </c>
      <c r="R1816" s="387" t="s">
        <v>13228</v>
      </c>
      <c r="S1816" s="340">
        <v>1</v>
      </c>
    </row>
    <row r="1817" spans="1:19" ht="29.5" thickBot="1" x14ac:dyDescent="0.4">
      <c r="A1817" s="357">
        <v>1806</v>
      </c>
      <c r="B1817" s="387" t="s">
        <v>10392</v>
      </c>
      <c r="C1817" s="387" t="s">
        <v>10393</v>
      </c>
      <c r="D1817" s="388" t="s">
        <v>51</v>
      </c>
      <c r="E1817" s="388" t="s">
        <v>10082</v>
      </c>
      <c r="F1817" s="388" t="s">
        <v>10078</v>
      </c>
      <c r="G1817" s="388" t="s">
        <v>10078</v>
      </c>
      <c r="H1817" s="388" t="s">
        <v>2972</v>
      </c>
      <c r="I1817" s="387" t="s">
        <v>13225</v>
      </c>
      <c r="J1817" s="389">
        <v>42675</v>
      </c>
      <c r="K1817" s="387" t="s">
        <v>13229</v>
      </c>
      <c r="L1817" s="387"/>
      <c r="M1817" s="387" t="s">
        <v>10084</v>
      </c>
      <c r="N1817" s="387"/>
      <c r="O1817" s="387" t="s">
        <v>57</v>
      </c>
      <c r="P1817" s="390">
        <v>342875000</v>
      </c>
      <c r="Q1817" s="387" t="s">
        <v>13230</v>
      </c>
      <c r="R1817" s="387" t="s">
        <v>13228</v>
      </c>
      <c r="S1817" s="340">
        <v>1</v>
      </c>
    </row>
    <row r="1818" spans="1:19" ht="43.5" x14ac:dyDescent="0.35">
      <c r="A1818" s="349">
        <v>1807</v>
      </c>
      <c r="B1818" s="387" t="s">
        <v>10146</v>
      </c>
      <c r="C1818" s="387" t="s">
        <v>10147</v>
      </c>
      <c r="D1818" s="388" t="s">
        <v>51</v>
      </c>
      <c r="E1818" s="388" t="s">
        <v>10082</v>
      </c>
      <c r="F1818" s="388" t="s">
        <v>10078</v>
      </c>
      <c r="G1818" s="388" t="s">
        <v>10078</v>
      </c>
      <c r="H1818" s="388" t="s">
        <v>11551</v>
      </c>
      <c r="I1818" s="387" t="s">
        <v>13231</v>
      </c>
      <c r="J1818" s="389">
        <v>43966</v>
      </c>
      <c r="K1818" s="387" t="s">
        <v>13232</v>
      </c>
      <c r="L1818" s="387"/>
      <c r="M1818" s="387" t="s">
        <v>10084</v>
      </c>
      <c r="N1818" s="387"/>
      <c r="O1818" s="387" t="s">
        <v>57</v>
      </c>
      <c r="P1818" s="390">
        <v>328832000</v>
      </c>
      <c r="Q1818" s="387" t="s">
        <v>13233</v>
      </c>
      <c r="R1818" s="387" t="s">
        <v>13228</v>
      </c>
      <c r="S1818" s="340">
        <v>1</v>
      </c>
    </row>
    <row r="1819" spans="1:19" ht="29.5" thickBot="1" x14ac:dyDescent="0.4">
      <c r="A1819" s="357">
        <v>1808</v>
      </c>
      <c r="B1819" s="387" t="s">
        <v>10191</v>
      </c>
      <c r="C1819" s="387" t="s">
        <v>10192</v>
      </c>
      <c r="D1819" s="388" t="s">
        <v>51</v>
      </c>
      <c r="E1819" s="388" t="s">
        <v>10082</v>
      </c>
      <c r="F1819" s="388" t="s">
        <v>10078</v>
      </c>
      <c r="G1819" s="388" t="s">
        <v>10078</v>
      </c>
      <c r="H1819" s="388" t="s">
        <v>11461</v>
      </c>
      <c r="I1819" s="387" t="s">
        <v>13225</v>
      </c>
      <c r="J1819" s="389">
        <v>42151</v>
      </c>
      <c r="K1819" s="387" t="s">
        <v>13234</v>
      </c>
      <c r="L1819" s="387"/>
      <c r="M1819" s="387" t="s">
        <v>10084</v>
      </c>
      <c r="N1819" s="387"/>
      <c r="O1819" s="387" t="s">
        <v>57</v>
      </c>
      <c r="P1819" s="390">
        <v>193580000</v>
      </c>
      <c r="Q1819" s="387" t="s">
        <v>13235</v>
      </c>
      <c r="R1819" s="387" t="s">
        <v>13228</v>
      </c>
      <c r="S1819" s="340">
        <v>1</v>
      </c>
    </row>
    <row r="1820" spans="1:19" ht="29" x14ac:dyDescent="0.35">
      <c r="A1820" s="349">
        <v>1809</v>
      </c>
      <c r="B1820" s="387" t="s">
        <v>10080</v>
      </c>
      <c r="C1820" s="387" t="s">
        <v>10081</v>
      </c>
      <c r="D1820" s="388" t="s">
        <v>51</v>
      </c>
      <c r="E1820" s="388" t="s">
        <v>10082</v>
      </c>
      <c r="F1820" s="388" t="s">
        <v>10078</v>
      </c>
      <c r="G1820" s="388" t="s">
        <v>10078</v>
      </c>
      <c r="H1820" s="388" t="s">
        <v>2972</v>
      </c>
      <c r="I1820" s="387" t="s">
        <v>12965</v>
      </c>
      <c r="J1820" s="389">
        <v>44524</v>
      </c>
      <c r="K1820" s="387" t="s">
        <v>13236</v>
      </c>
      <c r="L1820" s="387"/>
      <c r="M1820" s="387" t="s">
        <v>10084</v>
      </c>
      <c r="N1820" s="387"/>
      <c r="O1820" s="387" t="s">
        <v>57</v>
      </c>
      <c r="P1820" s="390">
        <v>234032000</v>
      </c>
      <c r="Q1820" s="387" t="s">
        <v>13237</v>
      </c>
      <c r="R1820" s="387" t="s">
        <v>13238</v>
      </c>
      <c r="S1820" s="340">
        <v>1</v>
      </c>
    </row>
    <row r="1821" spans="1:19" ht="29.5" thickBot="1" x14ac:dyDescent="0.4">
      <c r="A1821" s="357">
        <v>1810</v>
      </c>
      <c r="B1821" s="387" t="s">
        <v>10110</v>
      </c>
      <c r="C1821" s="387" t="s">
        <v>10111</v>
      </c>
      <c r="D1821" s="388" t="s">
        <v>51</v>
      </c>
      <c r="E1821" s="388" t="s">
        <v>10082</v>
      </c>
      <c r="F1821" s="388" t="s">
        <v>10078</v>
      </c>
      <c r="G1821" s="388" t="s">
        <v>10078</v>
      </c>
      <c r="H1821" s="388" t="s">
        <v>11332</v>
      </c>
      <c r="I1821" s="387" t="s">
        <v>13239</v>
      </c>
      <c r="J1821" s="389">
        <v>44410</v>
      </c>
      <c r="K1821" s="387" t="s">
        <v>13240</v>
      </c>
      <c r="L1821" s="387"/>
      <c r="M1821" s="387" t="s">
        <v>10084</v>
      </c>
      <c r="N1821" s="387"/>
      <c r="O1821" s="387" t="s">
        <v>57</v>
      </c>
      <c r="P1821" s="390">
        <v>114080000</v>
      </c>
      <c r="Q1821" s="387" t="s">
        <v>13241</v>
      </c>
      <c r="R1821" s="387" t="s">
        <v>13238</v>
      </c>
      <c r="S1821" s="340">
        <v>1</v>
      </c>
    </row>
    <row r="1822" spans="1:19" ht="29" x14ac:dyDescent="0.35">
      <c r="A1822" s="349">
        <v>1811</v>
      </c>
      <c r="B1822" s="387" t="s">
        <v>10155</v>
      </c>
      <c r="C1822" s="387" t="s">
        <v>10156</v>
      </c>
      <c r="D1822" s="388" t="s">
        <v>51</v>
      </c>
      <c r="E1822" s="388" t="s">
        <v>10082</v>
      </c>
      <c r="F1822" s="388" t="s">
        <v>10078</v>
      </c>
      <c r="G1822" s="388" t="s">
        <v>10088</v>
      </c>
      <c r="H1822" s="388" t="s">
        <v>231</v>
      </c>
      <c r="I1822" s="387" t="s">
        <v>13242</v>
      </c>
      <c r="J1822" s="389">
        <v>41984</v>
      </c>
      <c r="K1822" s="387" t="s">
        <v>13243</v>
      </c>
      <c r="L1822" s="387"/>
      <c r="M1822" s="387" t="s">
        <v>10084</v>
      </c>
      <c r="N1822" s="387"/>
      <c r="O1822" s="387" t="s">
        <v>57</v>
      </c>
      <c r="P1822" s="390">
        <v>721535500</v>
      </c>
      <c r="Q1822" s="387" t="s">
        <v>13244</v>
      </c>
      <c r="R1822" s="387" t="s">
        <v>13245</v>
      </c>
      <c r="S1822" s="340">
        <v>1</v>
      </c>
    </row>
    <row r="1823" spans="1:19" ht="29.5" thickBot="1" x14ac:dyDescent="0.4">
      <c r="A1823" s="357">
        <v>1812</v>
      </c>
      <c r="B1823" s="387" t="s">
        <v>10146</v>
      </c>
      <c r="C1823" s="387" t="s">
        <v>10147</v>
      </c>
      <c r="D1823" s="388" t="s">
        <v>51</v>
      </c>
      <c r="E1823" s="388" t="s">
        <v>10082</v>
      </c>
      <c r="F1823" s="388" t="s">
        <v>10078</v>
      </c>
      <c r="G1823" s="388" t="s">
        <v>10088</v>
      </c>
      <c r="H1823" s="388" t="s">
        <v>12459</v>
      </c>
      <c r="I1823" s="387" t="s">
        <v>13242</v>
      </c>
      <c r="J1823" s="389">
        <v>43328</v>
      </c>
      <c r="K1823" s="387" t="s">
        <v>13246</v>
      </c>
      <c r="L1823" s="387"/>
      <c r="M1823" s="387" t="s">
        <v>10084</v>
      </c>
      <c r="N1823" s="387"/>
      <c r="O1823" s="387" t="s">
        <v>57</v>
      </c>
      <c r="P1823" s="390">
        <v>221174000</v>
      </c>
      <c r="Q1823" s="387" t="s">
        <v>13247</v>
      </c>
      <c r="R1823" s="387" t="s">
        <v>13245</v>
      </c>
      <c r="S1823" s="340">
        <v>1</v>
      </c>
    </row>
    <row r="1824" spans="1:19" ht="43.5" x14ac:dyDescent="0.35">
      <c r="A1824" s="349">
        <v>1813</v>
      </c>
      <c r="B1824" s="387" t="s">
        <v>10096</v>
      </c>
      <c r="C1824" s="387" t="s">
        <v>10097</v>
      </c>
      <c r="D1824" s="388" t="s">
        <v>51</v>
      </c>
      <c r="E1824" s="388" t="s">
        <v>10082</v>
      </c>
      <c r="F1824" s="388" t="s">
        <v>10078</v>
      </c>
      <c r="G1824" s="388" t="s">
        <v>10088</v>
      </c>
      <c r="H1824" s="388" t="s">
        <v>11333</v>
      </c>
      <c r="I1824" s="387" t="s">
        <v>13242</v>
      </c>
      <c r="J1824" s="389">
        <v>42328</v>
      </c>
      <c r="K1824" s="387" t="s">
        <v>13248</v>
      </c>
      <c r="L1824" s="387"/>
      <c r="M1824" s="387" t="s">
        <v>10084</v>
      </c>
      <c r="N1824" s="387"/>
      <c r="O1824" s="387" t="s">
        <v>57</v>
      </c>
      <c r="P1824" s="390">
        <v>221191000</v>
      </c>
      <c r="Q1824" s="387" t="s">
        <v>13249</v>
      </c>
      <c r="R1824" s="387" t="s">
        <v>13245</v>
      </c>
      <c r="S1824" s="340">
        <v>1</v>
      </c>
    </row>
    <row r="1825" spans="1:19" ht="29.5" thickBot="1" x14ac:dyDescent="0.4">
      <c r="A1825" s="357">
        <v>1814</v>
      </c>
      <c r="B1825" s="387" t="s">
        <v>10080</v>
      </c>
      <c r="C1825" s="387" t="s">
        <v>10081</v>
      </c>
      <c r="D1825" s="388" t="s">
        <v>51</v>
      </c>
      <c r="E1825" s="388" t="s">
        <v>10082</v>
      </c>
      <c r="F1825" s="388" t="s">
        <v>10078</v>
      </c>
      <c r="G1825" s="388" t="s">
        <v>10088</v>
      </c>
      <c r="H1825" s="388" t="s">
        <v>11421</v>
      </c>
      <c r="I1825" s="387" t="s">
        <v>13242</v>
      </c>
      <c r="J1825" s="389"/>
      <c r="K1825" s="387"/>
      <c r="L1825" s="387"/>
      <c r="M1825" s="387" t="s">
        <v>10084</v>
      </c>
      <c r="N1825" s="387"/>
      <c r="O1825" s="387" t="s">
        <v>57</v>
      </c>
      <c r="P1825" s="390">
        <v>194593675</v>
      </c>
      <c r="Q1825" s="387"/>
      <c r="R1825" s="387" t="s">
        <v>8127</v>
      </c>
      <c r="S1825" s="340">
        <v>1</v>
      </c>
    </row>
    <row r="1826" spans="1:19" ht="29" x14ac:dyDescent="0.35">
      <c r="A1826" s="349">
        <v>1815</v>
      </c>
      <c r="B1826" s="387" t="s">
        <v>10080</v>
      </c>
      <c r="C1826" s="387" t="s">
        <v>10081</v>
      </c>
      <c r="D1826" s="388" t="s">
        <v>59</v>
      </c>
      <c r="E1826" s="388" t="s">
        <v>10082</v>
      </c>
      <c r="F1826" s="388" t="s">
        <v>10078</v>
      </c>
      <c r="G1826" s="388" t="s">
        <v>10088</v>
      </c>
      <c r="H1826" s="388" t="s">
        <v>11400</v>
      </c>
      <c r="I1826" s="387" t="s">
        <v>13242</v>
      </c>
      <c r="J1826" s="389"/>
      <c r="K1826" s="387"/>
      <c r="L1826" s="387"/>
      <c r="M1826" s="387" t="s">
        <v>10084</v>
      </c>
      <c r="N1826" s="387"/>
      <c r="O1826" s="387" t="s">
        <v>57</v>
      </c>
      <c r="P1826" s="390">
        <v>205774000</v>
      </c>
      <c r="Q1826" s="387"/>
      <c r="R1826" s="387" t="s">
        <v>8127</v>
      </c>
      <c r="S1826" s="340">
        <v>1</v>
      </c>
    </row>
    <row r="1827" spans="1:19" ht="29.5" thickBot="1" x14ac:dyDescent="0.4">
      <c r="A1827" s="357">
        <v>1816</v>
      </c>
      <c r="B1827" s="387" t="s">
        <v>10080</v>
      </c>
      <c r="C1827" s="387" t="s">
        <v>10081</v>
      </c>
      <c r="D1827" s="388" t="s">
        <v>97</v>
      </c>
      <c r="E1827" s="388" t="s">
        <v>10082</v>
      </c>
      <c r="F1827" s="388" t="s">
        <v>10078</v>
      </c>
      <c r="G1827" s="388" t="s">
        <v>10078</v>
      </c>
      <c r="H1827" s="388" t="s">
        <v>1122</v>
      </c>
      <c r="I1827" s="387" t="s">
        <v>13242</v>
      </c>
      <c r="J1827" s="389"/>
      <c r="K1827" s="387"/>
      <c r="L1827" s="387"/>
      <c r="M1827" s="387" t="s">
        <v>10084</v>
      </c>
      <c r="N1827" s="387"/>
      <c r="O1827" s="387" t="s">
        <v>57</v>
      </c>
      <c r="P1827" s="390">
        <v>372975000</v>
      </c>
      <c r="Q1827" s="387"/>
      <c r="R1827" s="387" t="s">
        <v>8127</v>
      </c>
      <c r="S1827" s="340">
        <v>1</v>
      </c>
    </row>
    <row r="1828" spans="1:19" ht="29" x14ac:dyDescent="0.35">
      <c r="A1828" s="349">
        <v>1817</v>
      </c>
      <c r="B1828" s="387" t="s">
        <v>10080</v>
      </c>
      <c r="C1828" s="387" t="s">
        <v>10081</v>
      </c>
      <c r="D1828" s="388" t="s">
        <v>101</v>
      </c>
      <c r="E1828" s="388" t="s">
        <v>10082</v>
      </c>
      <c r="F1828" s="388" t="s">
        <v>10078</v>
      </c>
      <c r="G1828" s="388" t="s">
        <v>10078</v>
      </c>
      <c r="H1828" s="388" t="s">
        <v>11400</v>
      </c>
      <c r="I1828" s="387" t="s">
        <v>13242</v>
      </c>
      <c r="J1828" s="389"/>
      <c r="K1828" s="387"/>
      <c r="L1828" s="387"/>
      <c r="M1828" s="387" t="s">
        <v>10084</v>
      </c>
      <c r="N1828" s="387"/>
      <c r="O1828" s="387" t="s">
        <v>57</v>
      </c>
      <c r="P1828" s="390">
        <v>345851000</v>
      </c>
      <c r="Q1828" s="387"/>
      <c r="R1828" s="387" t="s">
        <v>8127</v>
      </c>
      <c r="S1828" s="340">
        <v>1</v>
      </c>
    </row>
    <row r="1829" spans="1:19" ht="29.5" thickBot="1" x14ac:dyDescent="0.4">
      <c r="A1829" s="357">
        <v>1818</v>
      </c>
      <c r="B1829" s="387" t="s">
        <v>10080</v>
      </c>
      <c r="C1829" s="387" t="s">
        <v>10081</v>
      </c>
      <c r="D1829" s="388" t="s">
        <v>107</v>
      </c>
      <c r="E1829" s="388" t="s">
        <v>10082</v>
      </c>
      <c r="F1829" s="388" t="s">
        <v>10078</v>
      </c>
      <c r="G1829" s="388" t="s">
        <v>10078</v>
      </c>
      <c r="H1829" s="388" t="s">
        <v>11882</v>
      </c>
      <c r="I1829" s="387" t="s">
        <v>13242</v>
      </c>
      <c r="J1829" s="389"/>
      <c r="K1829" s="387"/>
      <c r="L1829" s="387"/>
      <c r="M1829" s="387" t="s">
        <v>10084</v>
      </c>
      <c r="N1829" s="387"/>
      <c r="O1829" s="387" t="s">
        <v>422</v>
      </c>
      <c r="P1829" s="390">
        <v>96000000</v>
      </c>
      <c r="Q1829" s="387" t="s">
        <v>8603</v>
      </c>
      <c r="R1829" s="387" t="s">
        <v>8127</v>
      </c>
      <c r="S1829" s="340">
        <v>1</v>
      </c>
    </row>
    <row r="1830" spans="1:19" ht="43.5" x14ac:dyDescent="0.35">
      <c r="A1830" s="349">
        <v>1819</v>
      </c>
      <c r="B1830" s="387" t="s">
        <v>10080</v>
      </c>
      <c r="C1830" s="387" t="s">
        <v>10081</v>
      </c>
      <c r="D1830" s="388" t="s">
        <v>112</v>
      </c>
      <c r="E1830" s="388" t="s">
        <v>10082</v>
      </c>
      <c r="F1830" s="388" t="s">
        <v>10078</v>
      </c>
      <c r="G1830" s="388" t="s">
        <v>10088</v>
      </c>
      <c r="H1830" s="388" t="s">
        <v>12664</v>
      </c>
      <c r="I1830" s="387" t="s">
        <v>13250</v>
      </c>
      <c r="J1830" s="389">
        <v>44760</v>
      </c>
      <c r="K1830" s="387" t="s">
        <v>13251</v>
      </c>
      <c r="L1830" s="387"/>
      <c r="M1830" s="387"/>
      <c r="N1830" s="387"/>
      <c r="O1830" s="387" t="s">
        <v>44</v>
      </c>
      <c r="P1830" s="390">
        <v>475376800</v>
      </c>
      <c r="Q1830" s="387" t="s">
        <v>13252</v>
      </c>
      <c r="R1830" s="387" t="s">
        <v>8127</v>
      </c>
      <c r="S1830" s="340">
        <v>1</v>
      </c>
    </row>
    <row r="1831" spans="1:19" ht="29.5" thickBot="1" x14ac:dyDescent="0.4">
      <c r="A1831" s="357">
        <v>1820</v>
      </c>
      <c r="B1831" s="387" t="s">
        <v>10110</v>
      </c>
      <c r="C1831" s="387" t="s">
        <v>10111</v>
      </c>
      <c r="D1831" s="388" t="s">
        <v>51</v>
      </c>
      <c r="E1831" s="388" t="s">
        <v>10082</v>
      </c>
      <c r="F1831" s="388" t="s">
        <v>10078</v>
      </c>
      <c r="G1831" s="388" t="s">
        <v>10088</v>
      </c>
      <c r="H1831" s="388" t="s">
        <v>11332</v>
      </c>
      <c r="I1831" s="387" t="s">
        <v>13242</v>
      </c>
      <c r="J1831" s="389">
        <v>42151</v>
      </c>
      <c r="K1831" s="387" t="s">
        <v>13253</v>
      </c>
      <c r="L1831" s="387"/>
      <c r="M1831" s="387" t="s">
        <v>10084</v>
      </c>
      <c r="N1831" s="387"/>
      <c r="O1831" s="387" t="s">
        <v>57</v>
      </c>
      <c r="P1831" s="390">
        <v>82391500</v>
      </c>
      <c r="Q1831" s="387" t="s">
        <v>13254</v>
      </c>
      <c r="R1831" s="387" t="s">
        <v>8127</v>
      </c>
      <c r="S1831" s="340">
        <v>1</v>
      </c>
    </row>
    <row r="1832" spans="1:19" ht="29" x14ac:dyDescent="0.35">
      <c r="A1832" s="349">
        <v>1821</v>
      </c>
      <c r="B1832" s="387" t="s">
        <v>10085</v>
      </c>
      <c r="C1832" s="387" t="s">
        <v>10086</v>
      </c>
      <c r="D1832" s="388" t="s">
        <v>51</v>
      </c>
      <c r="E1832" s="388" t="s">
        <v>10082</v>
      </c>
      <c r="F1832" s="388" t="s">
        <v>10078</v>
      </c>
      <c r="G1832" s="388" t="s">
        <v>10088</v>
      </c>
      <c r="H1832" s="388" t="s">
        <v>11308</v>
      </c>
      <c r="I1832" s="387" t="s">
        <v>13242</v>
      </c>
      <c r="J1832" s="389"/>
      <c r="K1832" s="387"/>
      <c r="L1832" s="387"/>
      <c r="M1832" s="387" t="s">
        <v>10084</v>
      </c>
      <c r="N1832" s="387"/>
      <c r="O1832" s="387" t="s">
        <v>57</v>
      </c>
      <c r="P1832" s="390">
        <v>99650000</v>
      </c>
      <c r="Q1832" s="387"/>
      <c r="R1832" s="387" t="s">
        <v>8127</v>
      </c>
      <c r="S1832" s="340">
        <v>1</v>
      </c>
    </row>
    <row r="1833" spans="1:19" ht="44" thickBot="1" x14ac:dyDescent="0.4">
      <c r="A1833" s="357">
        <v>1822</v>
      </c>
      <c r="B1833" s="387" t="s">
        <v>10085</v>
      </c>
      <c r="C1833" s="387" t="s">
        <v>10086</v>
      </c>
      <c r="D1833" s="388" t="s">
        <v>59</v>
      </c>
      <c r="E1833" s="388" t="s">
        <v>10082</v>
      </c>
      <c r="F1833" s="388" t="s">
        <v>10078</v>
      </c>
      <c r="G1833" s="388" t="s">
        <v>10088</v>
      </c>
      <c r="H1833" s="388" t="s">
        <v>8956</v>
      </c>
      <c r="I1833" s="387" t="s">
        <v>13242</v>
      </c>
      <c r="J1833" s="389">
        <v>41528</v>
      </c>
      <c r="K1833" s="387" t="s">
        <v>13255</v>
      </c>
      <c r="L1833" s="387"/>
      <c r="M1833" s="387" t="s">
        <v>10084</v>
      </c>
      <c r="N1833" s="387"/>
      <c r="O1833" s="387" t="s">
        <v>57</v>
      </c>
      <c r="P1833" s="390">
        <v>136330000</v>
      </c>
      <c r="Q1833" s="387" t="s">
        <v>13256</v>
      </c>
      <c r="R1833" s="387" t="s">
        <v>8127</v>
      </c>
      <c r="S1833" s="340">
        <v>1</v>
      </c>
    </row>
    <row r="1834" spans="1:19" ht="29" x14ac:dyDescent="0.35">
      <c r="A1834" s="349">
        <v>1823</v>
      </c>
      <c r="B1834" s="387" t="s">
        <v>10096</v>
      </c>
      <c r="C1834" s="387" t="s">
        <v>10097</v>
      </c>
      <c r="D1834" s="388" t="s">
        <v>51</v>
      </c>
      <c r="E1834" s="388" t="s">
        <v>10082</v>
      </c>
      <c r="F1834" s="388" t="s">
        <v>10078</v>
      </c>
      <c r="G1834" s="388" t="s">
        <v>10088</v>
      </c>
      <c r="H1834" s="388" t="s">
        <v>13257</v>
      </c>
      <c r="I1834" s="387" t="s">
        <v>13242</v>
      </c>
      <c r="J1834" s="389">
        <v>42481</v>
      </c>
      <c r="K1834" s="387" t="s">
        <v>13258</v>
      </c>
      <c r="L1834" s="387"/>
      <c r="M1834" s="387" t="s">
        <v>10084</v>
      </c>
      <c r="N1834" s="387"/>
      <c r="O1834" s="387" t="s">
        <v>57</v>
      </c>
      <c r="P1834" s="390">
        <v>221259000</v>
      </c>
      <c r="Q1834" s="387" t="s">
        <v>13259</v>
      </c>
      <c r="R1834" s="387" t="s">
        <v>8127</v>
      </c>
      <c r="S1834" s="340">
        <v>1</v>
      </c>
    </row>
    <row r="1835" spans="1:19" ht="29.5" thickBot="1" x14ac:dyDescent="0.4">
      <c r="A1835" s="357">
        <v>1824</v>
      </c>
      <c r="B1835" s="387" t="s">
        <v>10080</v>
      </c>
      <c r="C1835" s="387" t="s">
        <v>10081</v>
      </c>
      <c r="D1835" s="388" t="s">
        <v>51</v>
      </c>
      <c r="E1835" s="388" t="s">
        <v>10082</v>
      </c>
      <c r="F1835" s="388" t="s">
        <v>10078</v>
      </c>
      <c r="G1835" s="388" t="s">
        <v>10078</v>
      </c>
      <c r="H1835" s="388" t="s">
        <v>11960</v>
      </c>
      <c r="I1835" s="387" t="s">
        <v>12094</v>
      </c>
      <c r="J1835" s="389"/>
      <c r="K1835" s="387"/>
      <c r="L1835" s="387"/>
      <c r="M1835" s="387" t="s">
        <v>10084</v>
      </c>
      <c r="N1835" s="387"/>
      <c r="O1835" s="387" t="s">
        <v>57</v>
      </c>
      <c r="P1835" s="390">
        <v>224658000</v>
      </c>
      <c r="Q1835" s="387"/>
      <c r="R1835" s="387" t="s">
        <v>8131</v>
      </c>
      <c r="S1835" s="340">
        <v>1</v>
      </c>
    </row>
    <row r="1836" spans="1:19" ht="29" x14ac:dyDescent="0.35">
      <c r="A1836" s="349">
        <v>1825</v>
      </c>
      <c r="B1836" s="387" t="s">
        <v>10080</v>
      </c>
      <c r="C1836" s="387" t="s">
        <v>10081</v>
      </c>
      <c r="D1836" s="388" t="s">
        <v>59</v>
      </c>
      <c r="E1836" s="388" t="s">
        <v>10082</v>
      </c>
      <c r="F1836" s="388" t="s">
        <v>10078</v>
      </c>
      <c r="G1836" s="388" t="s">
        <v>10078</v>
      </c>
      <c r="H1836" s="388" t="s">
        <v>11400</v>
      </c>
      <c r="I1836" s="387" t="s">
        <v>12094</v>
      </c>
      <c r="J1836" s="389"/>
      <c r="K1836" s="387"/>
      <c r="L1836" s="387"/>
      <c r="M1836" s="387" t="s">
        <v>10084</v>
      </c>
      <c r="N1836" s="387"/>
      <c r="O1836" s="387" t="s">
        <v>57</v>
      </c>
      <c r="P1836" s="390">
        <v>139805000</v>
      </c>
      <c r="Q1836" s="387"/>
      <c r="R1836" s="387" t="s">
        <v>8131</v>
      </c>
      <c r="S1836" s="340">
        <v>1</v>
      </c>
    </row>
    <row r="1837" spans="1:19" ht="29.5" thickBot="1" x14ac:dyDescent="0.4">
      <c r="A1837" s="357">
        <v>1826</v>
      </c>
      <c r="B1837" s="387" t="s">
        <v>10080</v>
      </c>
      <c r="C1837" s="387" t="s">
        <v>10081</v>
      </c>
      <c r="D1837" s="388" t="s">
        <v>97</v>
      </c>
      <c r="E1837" s="388" t="s">
        <v>10082</v>
      </c>
      <c r="F1837" s="388" t="s">
        <v>10078</v>
      </c>
      <c r="G1837" s="388" t="s">
        <v>10078</v>
      </c>
      <c r="H1837" s="388" t="s">
        <v>231</v>
      </c>
      <c r="I1837" s="387" t="s">
        <v>12094</v>
      </c>
      <c r="J1837" s="389"/>
      <c r="K1837" s="387"/>
      <c r="L1837" s="387"/>
      <c r="M1837" s="387" t="s">
        <v>10084</v>
      </c>
      <c r="N1837" s="387"/>
      <c r="O1837" s="387" t="s">
        <v>422</v>
      </c>
      <c r="P1837" s="390">
        <v>60000000</v>
      </c>
      <c r="Q1837" s="387"/>
      <c r="R1837" s="387" t="s">
        <v>8131</v>
      </c>
      <c r="S1837" s="340">
        <v>1</v>
      </c>
    </row>
    <row r="1838" spans="1:19" ht="29" x14ac:dyDescent="0.35">
      <c r="A1838" s="349">
        <v>1827</v>
      </c>
      <c r="B1838" s="387" t="s">
        <v>10110</v>
      </c>
      <c r="C1838" s="387" t="s">
        <v>10111</v>
      </c>
      <c r="D1838" s="388" t="s">
        <v>51</v>
      </c>
      <c r="E1838" s="388" t="s">
        <v>10082</v>
      </c>
      <c r="F1838" s="388" t="s">
        <v>10078</v>
      </c>
      <c r="G1838" s="388" t="s">
        <v>10088</v>
      </c>
      <c r="H1838" s="388" t="s">
        <v>2972</v>
      </c>
      <c r="I1838" s="387" t="s">
        <v>13260</v>
      </c>
      <c r="J1838" s="389">
        <v>43966</v>
      </c>
      <c r="K1838" s="387" t="s">
        <v>13261</v>
      </c>
      <c r="L1838" s="387"/>
      <c r="M1838" s="387" t="s">
        <v>10084</v>
      </c>
      <c r="N1838" s="387"/>
      <c r="O1838" s="387" t="s">
        <v>57</v>
      </c>
      <c r="P1838" s="390">
        <v>109725000</v>
      </c>
      <c r="Q1838" s="387"/>
      <c r="R1838" s="387" t="s">
        <v>8131</v>
      </c>
      <c r="S1838" s="340">
        <v>1</v>
      </c>
    </row>
    <row r="1839" spans="1:19" ht="29.5" thickBot="1" x14ac:dyDescent="0.4">
      <c r="A1839" s="357">
        <v>1828</v>
      </c>
      <c r="B1839" s="387" t="s">
        <v>10110</v>
      </c>
      <c r="C1839" s="387" t="s">
        <v>10111</v>
      </c>
      <c r="D1839" s="388" t="s">
        <v>112</v>
      </c>
      <c r="E1839" s="388" t="s">
        <v>10082</v>
      </c>
      <c r="F1839" s="388" t="s">
        <v>10078</v>
      </c>
      <c r="G1839" s="388" t="s">
        <v>10088</v>
      </c>
      <c r="H1839" s="388" t="s">
        <v>12407</v>
      </c>
      <c r="I1839" s="387" t="s">
        <v>13262</v>
      </c>
      <c r="J1839" s="389"/>
      <c r="K1839" s="387" t="s">
        <v>13263</v>
      </c>
      <c r="L1839" s="387"/>
      <c r="M1839" s="387"/>
      <c r="N1839" s="387"/>
      <c r="O1839" s="387" t="s">
        <v>44</v>
      </c>
      <c r="P1839" s="390">
        <v>148368350</v>
      </c>
      <c r="Q1839" s="387"/>
      <c r="R1839" s="387" t="s">
        <v>8131</v>
      </c>
      <c r="S1839" s="340">
        <v>1</v>
      </c>
    </row>
    <row r="1840" spans="1:19" ht="29" x14ac:dyDescent="0.35">
      <c r="A1840" s="349">
        <v>1829</v>
      </c>
      <c r="B1840" s="387" t="s">
        <v>10110</v>
      </c>
      <c r="C1840" s="387" t="s">
        <v>10111</v>
      </c>
      <c r="D1840" s="388" t="s">
        <v>116</v>
      </c>
      <c r="E1840" s="388" t="s">
        <v>10082</v>
      </c>
      <c r="F1840" s="388" t="s">
        <v>10078</v>
      </c>
      <c r="G1840" s="388" t="s">
        <v>10088</v>
      </c>
      <c r="H1840" s="388" t="s">
        <v>8960</v>
      </c>
      <c r="I1840" s="387" t="s">
        <v>13262</v>
      </c>
      <c r="J1840" s="389"/>
      <c r="K1840" s="387" t="s">
        <v>13264</v>
      </c>
      <c r="L1840" s="387"/>
      <c r="M1840" s="387"/>
      <c r="N1840" s="387"/>
      <c r="O1840" s="387" t="s">
        <v>44</v>
      </c>
      <c r="P1840" s="390">
        <v>232222200</v>
      </c>
      <c r="Q1840" s="387"/>
      <c r="R1840" s="387" t="s">
        <v>8131</v>
      </c>
      <c r="S1840" s="340">
        <v>1</v>
      </c>
    </row>
    <row r="1841" spans="1:19" ht="29.5" thickBot="1" x14ac:dyDescent="0.4">
      <c r="A1841" s="357">
        <v>1830</v>
      </c>
      <c r="B1841" s="387" t="s">
        <v>10110</v>
      </c>
      <c r="C1841" s="387" t="s">
        <v>10111</v>
      </c>
      <c r="D1841" s="388" t="s">
        <v>841</v>
      </c>
      <c r="E1841" s="388" t="s">
        <v>10082</v>
      </c>
      <c r="F1841" s="388" t="s">
        <v>10078</v>
      </c>
      <c r="G1841" s="388" t="s">
        <v>10088</v>
      </c>
      <c r="H1841" s="388" t="s">
        <v>11870</v>
      </c>
      <c r="I1841" s="387" t="s">
        <v>13262</v>
      </c>
      <c r="J1841" s="389"/>
      <c r="K1841" s="387" t="s">
        <v>13265</v>
      </c>
      <c r="L1841" s="387"/>
      <c r="M1841" s="387"/>
      <c r="N1841" s="387"/>
      <c r="O1841" s="387" t="s">
        <v>44</v>
      </c>
      <c r="P1841" s="390">
        <v>96373100</v>
      </c>
      <c r="Q1841" s="387"/>
      <c r="R1841" s="387" t="s">
        <v>8131</v>
      </c>
      <c r="S1841" s="340">
        <v>1</v>
      </c>
    </row>
    <row r="1842" spans="1:19" ht="29" x14ac:dyDescent="0.35">
      <c r="A1842" s="349">
        <v>1831</v>
      </c>
      <c r="B1842" s="387" t="s">
        <v>10110</v>
      </c>
      <c r="C1842" s="387" t="s">
        <v>10111</v>
      </c>
      <c r="D1842" s="388" t="s">
        <v>904</v>
      </c>
      <c r="E1842" s="388" t="s">
        <v>10082</v>
      </c>
      <c r="F1842" s="388" t="s">
        <v>10078</v>
      </c>
      <c r="G1842" s="388" t="s">
        <v>10088</v>
      </c>
      <c r="H1842" s="388" t="s">
        <v>12623</v>
      </c>
      <c r="I1842" s="387" t="s">
        <v>13262</v>
      </c>
      <c r="J1842" s="389"/>
      <c r="K1842" s="387" t="s">
        <v>13266</v>
      </c>
      <c r="L1842" s="387"/>
      <c r="M1842" s="387"/>
      <c r="N1842" s="387"/>
      <c r="O1842" s="387" t="s">
        <v>44</v>
      </c>
      <c r="P1842" s="390">
        <v>258688300</v>
      </c>
      <c r="Q1842" s="387"/>
      <c r="R1842" s="387" t="s">
        <v>8131</v>
      </c>
      <c r="S1842" s="340">
        <v>1</v>
      </c>
    </row>
    <row r="1843" spans="1:19" ht="29.5" thickBot="1" x14ac:dyDescent="0.4">
      <c r="A1843" s="357">
        <v>1832</v>
      </c>
      <c r="B1843" s="387" t="s">
        <v>10092</v>
      </c>
      <c r="C1843" s="387" t="s">
        <v>10093</v>
      </c>
      <c r="D1843" s="388" t="s">
        <v>51</v>
      </c>
      <c r="E1843" s="388" t="s">
        <v>10082</v>
      </c>
      <c r="F1843" s="388" t="s">
        <v>10078</v>
      </c>
      <c r="G1843" s="388" t="s">
        <v>10078</v>
      </c>
      <c r="H1843" s="388" t="s">
        <v>11536</v>
      </c>
      <c r="I1843" s="387" t="s">
        <v>13267</v>
      </c>
      <c r="J1843" s="389">
        <v>43966</v>
      </c>
      <c r="K1843" s="387" t="s">
        <v>13268</v>
      </c>
      <c r="L1843" s="387"/>
      <c r="M1843" s="387" t="s">
        <v>10084</v>
      </c>
      <c r="N1843" s="387"/>
      <c r="O1843" s="387" t="s">
        <v>57</v>
      </c>
      <c r="P1843" s="390">
        <v>197994000</v>
      </c>
      <c r="Q1843" s="387"/>
      <c r="R1843" s="387" t="s">
        <v>8131</v>
      </c>
      <c r="S1843" s="340">
        <v>1</v>
      </c>
    </row>
    <row r="1844" spans="1:19" ht="29" x14ac:dyDescent="0.35">
      <c r="A1844" s="349">
        <v>1833</v>
      </c>
      <c r="B1844" s="387" t="s">
        <v>10092</v>
      </c>
      <c r="C1844" s="387" t="s">
        <v>10093</v>
      </c>
      <c r="D1844" s="388" t="s">
        <v>59</v>
      </c>
      <c r="E1844" s="388" t="s">
        <v>10082</v>
      </c>
      <c r="F1844" s="388" t="s">
        <v>10078</v>
      </c>
      <c r="G1844" s="388" t="s">
        <v>10078</v>
      </c>
      <c r="H1844" s="388" t="s">
        <v>12979</v>
      </c>
      <c r="I1844" s="387" t="s">
        <v>12094</v>
      </c>
      <c r="J1844" s="389"/>
      <c r="K1844" s="387"/>
      <c r="L1844" s="387"/>
      <c r="M1844" s="387" t="s">
        <v>10084</v>
      </c>
      <c r="N1844" s="387"/>
      <c r="O1844" s="387" t="s">
        <v>57</v>
      </c>
      <c r="P1844" s="390">
        <v>128416000</v>
      </c>
      <c r="Q1844" s="387"/>
      <c r="R1844" s="387" t="s">
        <v>8131</v>
      </c>
      <c r="S1844" s="340">
        <v>1</v>
      </c>
    </row>
    <row r="1845" spans="1:19" ht="29.5" thickBot="1" x14ac:dyDescent="0.4">
      <c r="A1845" s="357">
        <v>1834</v>
      </c>
      <c r="B1845" s="387" t="s">
        <v>10085</v>
      </c>
      <c r="C1845" s="387" t="s">
        <v>10086</v>
      </c>
      <c r="D1845" s="388" t="s">
        <v>51</v>
      </c>
      <c r="E1845" s="388" t="s">
        <v>10082</v>
      </c>
      <c r="F1845" s="388" t="s">
        <v>10078</v>
      </c>
      <c r="G1845" s="388" t="s">
        <v>10078</v>
      </c>
      <c r="H1845" s="388" t="s">
        <v>13165</v>
      </c>
      <c r="I1845" s="387" t="s">
        <v>12094</v>
      </c>
      <c r="J1845" s="389"/>
      <c r="K1845" s="387"/>
      <c r="L1845" s="387"/>
      <c r="M1845" s="387" t="s">
        <v>10084</v>
      </c>
      <c r="N1845" s="387"/>
      <c r="O1845" s="387" t="s">
        <v>57</v>
      </c>
      <c r="P1845" s="390">
        <v>209587000</v>
      </c>
      <c r="Q1845" s="387"/>
      <c r="R1845" s="387" t="s">
        <v>8131</v>
      </c>
      <c r="S1845" s="340">
        <v>1</v>
      </c>
    </row>
    <row r="1846" spans="1:19" ht="29" x14ac:dyDescent="0.35">
      <c r="A1846" s="349">
        <v>1835</v>
      </c>
      <c r="B1846" s="387" t="s">
        <v>10085</v>
      </c>
      <c r="C1846" s="387" t="s">
        <v>10086</v>
      </c>
      <c r="D1846" s="388" t="s">
        <v>59</v>
      </c>
      <c r="E1846" s="388" t="s">
        <v>10082</v>
      </c>
      <c r="F1846" s="388" t="s">
        <v>10078</v>
      </c>
      <c r="G1846" s="388" t="s">
        <v>10078</v>
      </c>
      <c r="H1846" s="388" t="s">
        <v>11308</v>
      </c>
      <c r="I1846" s="387" t="s">
        <v>12094</v>
      </c>
      <c r="J1846" s="389"/>
      <c r="K1846" s="387"/>
      <c r="L1846" s="387"/>
      <c r="M1846" s="387" t="s">
        <v>10084</v>
      </c>
      <c r="N1846" s="387"/>
      <c r="O1846" s="387" t="s">
        <v>57</v>
      </c>
      <c r="P1846" s="390">
        <v>169644000</v>
      </c>
      <c r="Q1846" s="387"/>
      <c r="R1846" s="387" t="s">
        <v>8131</v>
      </c>
      <c r="S1846" s="340">
        <v>1</v>
      </c>
    </row>
    <row r="1847" spans="1:19" ht="29.5" thickBot="1" x14ac:dyDescent="0.4">
      <c r="A1847" s="357">
        <v>1836</v>
      </c>
      <c r="B1847" s="387" t="s">
        <v>10146</v>
      </c>
      <c r="C1847" s="387" t="s">
        <v>10147</v>
      </c>
      <c r="D1847" s="388" t="s">
        <v>51</v>
      </c>
      <c r="E1847" s="388" t="s">
        <v>10082</v>
      </c>
      <c r="F1847" s="388" t="s">
        <v>10078</v>
      </c>
      <c r="G1847" s="388" t="s">
        <v>10088</v>
      </c>
      <c r="H1847" s="388" t="s">
        <v>11308</v>
      </c>
      <c r="I1847" s="387" t="s">
        <v>12094</v>
      </c>
      <c r="J1847" s="389">
        <v>42474</v>
      </c>
      <c r="K1847" s="387" t="s">
        <v>13269</v>
      </c>
      <c r="L1847" s="387"/>
      <c r="M1847" s="387" t="s">
        <v>10084</v>
      </c>
      <c r="N1847" s="387"/>
      <c r="O1847" s="387" t="s">
        <v>57</v>
      </c>
      <c r="P1847" s="390">
        <v>221207000</v>
      </c>
      <c r="Q1847" s="387"/>
      <c r="R1847" s="387" t="s">
        <v>8131</v>
      </c>
      <c r="S1847" s="340">
        <v>1</v>
      </c>
    </row>
    <row r="1848" spans="1:19" ht="29" x14ac:dyDescent="0.35">
      <c r="A1848" s="349">
        <v>1837</v>
      </c>
      <c r="B1848" s="387" t="s">
        <v>10080</v>
      </c>
      <c r="C1848" s="387" t="s">
        <v>10081</v>
      </c>
      <c r="D1848" s="388" t="s">
        <v>51</v>
      </c>
      <c r="E1848" s="388" t="s">
        <v>10082</v>
      </c>
      <c r="F1848" s="388" t="s">
        <v>10078</v>
      </c>
      <c r="G1848" s="388" t="s">
        <v>10078</v>
      </c>
      <c r="H1848" s="388" t="s">
        <v>12623</v>
      </c>
      <c r="I1848" s="387" t="s">
        <v>13270</v>
      </c>
      <c r="J1848" s="389">
        <v>43966</v>
      </c>
      <c r="K1848" s="387" t="s">
        <v>13271</v>
      </c>
      <c r="L1848" s="387"/>
      <c r="M1848" s="387" t="s">
        <v>10084</v>
      </c>
      <c r="N1848" s="387"/>
      <c r="O1848" s="387" t="s">
        <v>57</v>
      </c>
      <c r="P1848" s="390">
        <v>221372000</v>
      </c>
      <c r="Q1848" s="387" t="s">
        <v>13272</v>
      </c>
      <c r="R1848" s="387" t="s">
        <v>8135</v>
      </c>
      <c r="S1848" s="340">
        <v>1</v>
      </c>
    </row>
    <row r="1849" spans="1:19" ht="29.5" thickBot="1" x14ac:dyDescent="0.4">
      <c r="A1849" s="357">
        <v>1838</v>
      </c>
      <c r="B1849" s="387" t="s">
        <v>10080</v>
      </c>
      <c r="C1849" s="387" t="s">
        <v>10081</v>
      </c>
      <c r="D1849" s="388" t="s">
        <v>59</v>
      </c>
      <c r="E1849" s="388" t="s">
        <v>10082</v>
      </c>
      <c r="F1849" s="388" t="s">
        <v>10078</v>
      </c>
      <c r="G1849" s="388" t="s">
        <v>10078</v>
      </c>
      <c r="H1849" s="388" t="s">
        <v>12623</v>
      </c>
      <c r="I1849" s="387" t="s">
        <v>13270</v>
      </c>
      <c r="J1849" s="389">
        <v>43966</v>
      </c>
      <c r="K1849" s="387" t="s">
        <v>13271</v>
      </c>
      <c r="L1849" s="387"/>
      <c r="M1849" s="387" t="s">
        <v>10084</v>
      </c>
      <c r="N1849" s="387"/>
      <c r="O1849" s="387" t="s">
        <v>57</v>
      </c>
      <c r="P1849" s="390">
        <v>193850000</v>
      </c>
      <c r="Q1849" s="387" t="s">
        <v>13272</v>
      </c>
      <c r="R1849" s="387" t="s">
        <v>8135</v>
      </c>
      <c r="S1849" s="340">
        <v>1</v>
      </c>
    </row>
    <row r="1850" spans="1:19" ht="29" x14ac:dyDescent="0.35">
      <c r="A1850" s="349">
        <v>1839</v>
      </c>
      <c r="B1850" s="387" t="s">
        <v>10080</v>
      </c>
      <c r="C1850" s="387" t="s">
        <v>10081</v>
      </c>
      <c r="D1850" s="388" t="s">
        <v>97</v>
      </c>
      <c r="E1850" s="388" t="s">
        <v>10082</v>
      </c>
      <c r="F1850" s="388" t="s">
        <v>10078</v>
      </c>
      <c r="G1850" s="388" t="s">
        <v>10088</v>
      </c>
      <c r="H1850" s="388" t="s">
        <v>13157</v>
      </c>
      <c r="I1850" s="387" t="s">
        <v>13273</v>
      </c>
      <c r="J1850" s="389">
        <v>41904</v>
      </c>
      <c r="K1850" s="387" t="s">
        <v>13274</v>
      </c>
      <c r="L1850" s="387"/>
      <c r="M1850" s="387" t="s">
        <v>10084</v>
      </c>
      <c r="N1850" s="387"/>
      <c r="O1850" s="387" t="s">
        <v>57</v>
      </c>
      <c r="P1850" s="390">
        <v>547248890</v>
      </c>
      <c r="Q1850" s="387" t="s">
        <v>13275</v>
      </c>
      <c r="R1850" s="387" t="s">
        <v>8135</v>
      </c>
      <c r="S1850" s="340">
        <v>1</v>
      </c>
    </row>
    <row r="1851" spans="1:19" ht="29.5" thickBot="1" x14ac:dyDescent="0.4">
      <c r="A1851" s="357">
        <v>1840</v>
      </c>
      <c r="B1851" s="387" t="s">
        <v>10080</v>
      </c>
      <c r="C1851" s="387" t="s">
        <v>10081</v>
      </c>
      <c r="D1851" s="388" t="s">
        <v>101</v>
      </c>
      <c r="E1851" s="388" t="s">
        <v>10082</v>
      </c>
      <c r="F1851" s="388" t="s">
        <v>10078</v>
      </c>
      <c r="G1851" s="388" t="s">
        <v>10088</v>
      </c>
      <c r="H1851" s="388" t="s">
        <v>11308</v>
      </c>
      <c r="I1851" s="387" t="s">
        <v>13276</v>
      </c>
      <c r="J1851" s="389"/>
      <c r="K1851" s="387"/>
      <c r="L1851" s="387"/>
      <c r="M1851" s="387" t="s">
        <v>10084</v>
      </c>
      <c r="N1851" s="387"/>
      <c r="O1851" s="387" t="s">
        <v>57</v>
      </c>
      <c r="P1851" s="390">
        <v>97928000</v>
      </c>
      <c r="Q1851" s="387"/>
      <c r="R1851" s="387" t="s">
        <v>8135</v>
      </c>
      <c r="S1851" s="340">
        <v>1</v>
      </c>
    </row>
    <row r="1852" spans="1:19" ht="29" x14ac:dyDescent="0.35">
      <c r="A1852" s="349">
        <v>1841</v>
      </c>
      <c r="B1852" s="387" t="s">
        <v>10080</v>
      </c>
      <c r="C1852" s="387" t="s">
        <v>10081</v>
      </c>
      <c r="D1852" s="388" t="s">
        <v>107</v>
      </c>
      <c r="E1852" s="388" t="s">
        <v>10082</v>
      </c>
      <c r="F1852" s="388" t="s">
        <v>10078</v>
      </c>
      <c r="G1852" s="388" t="s">
        <v>10088</v>
      </c>
      <c r="H1852" s="388" t="s">
        <v>11960</v>
      </c>
      <c r="I1852" s="387" t="s">
        <v>13276</v>
      </c>
      <c r="J1852" s="389"/>
      <c r="K1852" s="387"/>
      <c r="L1852" s="387"/>
      <c r="M1852" s="387" t="s">
        <v>10084</v>
      </c>
      <c r="N1852" s="387"/>
      <c r="O1852" s="387" t="s">
        <v>57</v>
      </c>
      <c r="P1852" s="390">
        <v>239891000</v>
      </c>
      <c r="Q1852" s="387" t="s">
        <v>10463</v>
      </c>
      <c r="R1852" s="387" t="s">
        <v>8135</v>
      </c>
      <c r="S1852" s="340">
        <v>1</v>
      </c>
    </row>
    <row r="1853" spans="1:19" ht="29.5" thickBot="1" x14ac:dyDescent="0.4">
      <c r="A1853" s="357">
        <v>1842</v>
      </c>
      <c r="B1853" s="387" t="s">
        <v>10080</v>
      </c>
      <c r="C1853" s="387" t="s">
        <v>10081</v>
      </c>
      <c r="D1853" s="388" t="s">
        <v>116</v>
      </c>
      <c r="E1853" s="388" t="s">
        <v>10082</v>
      </c>
      <c r="F1853" s="388" t="s">
        <v>10078</v>
      </c>
      <c r="G1853" s="388" t="s">
        <v>10088</v>
      </c>
      <c r="H1853" s="388" t="s">
        <v>12623</v>
      </c>
      <c r="I1853" s="387" t="s">
        <v>13277</v>
      </c>
      <c r="J1853" s="389"/>
      <c r="K1853" s="387" t="s">
        <v>13278</v>
      </c>
      <c r="L1853" s="387"/>
      <c r="M1853" s="387"/>
      <c r="N1853" s="387"/>
      <c r="O1853" s="387" t="s">
        <v>44</v>
      </c>
      <c r="P1853" s="390">
        <v>244104900</v>
      </c>
      <c r="Q1853" s="387" t="s">
        <v>13279</v>
      </c>
      <c r="R1853" s="387" t="s">
        <v>8135</v>
      </c>
      <c r="S1853" s="340">
        <v>1</v>
      </c>
    </row>
    <row r="1854" spans="1:19" ht="29" x14ac:dyDescent="0.35">
      <c r="A1854" s="349">
        <v>1843</v>
      </c>
      <c r="B1854" s="387" t="s">
        <v>10110</v>
      </c>
      <c r="C1854" s="387" t="s">
        <v>10111</v>
      </c>
      <c r="D1854" s="388" t="s">
        <v>51</v>
      </c>
      <c r="E1854" s="388" t="s">
        <v>10082</v>
      </c>
      <c r="F1854" s="388" t="s">
        <v>10078</v>
      </c>
      <c r="G1854" s="388" t="s">
        <v>10088</v>
      </c>
      <c r="H1854" s="388" t="s">
        <v>11332</v>
      </c>
      <c r="I1854" s="387" t="s">
        <v>13273</v>
      </c>
      <c r="J1854" s="389">
        <v>42149</v>
      </c>
      <c r="K1854" s="387" t="s">
        <v>13280</v>
      </c>
      <c r="L1854" s="387"/>
      <c r="M1854" s="387" t="s">
        <v>10084</v>
      </c>
      <c r="N1854" s="387"/>
      <c r="O1854" s="387" t="s">
        <v>57</v>
      </c>
      <c r="P1854" s="390">
        <v>106343500</v>
      </c>
      <c r="Q1854" s="387" t="s">
        <v>13281</v>
      </c>
      <c r="R1854" s="387" t="s">
        <v>8135</v>
      </c>
      <c r="S1854" s="340">
        <v>1</v>
      </c>
    </row>
    <row r="1855" spans="1:19" ht="44" thickBot="1" x14ac:dyDescent="0.4">
      <c r="A1855" s="357">
        <v>1844</v>
      </c>
      <c r="B1855" s="387" t="s">
        <v>10110</v>
      </c>
      <c r="C1855" s="387" t="s">
        <v>10111</v>
      </c>
      <c r="D1855" s="388" t="s">
        <v>59</v>
      </c>
      <c r="E1855" s="388" t="s">
        <v>10082</v>
      </c>
      <c r="F1855" s="388" t="s">
        <v>10078</v>
      </c>
      <c r="G1855" s="388" t="s">
        <v>10078</v>
      </c>
      <c r="H1855" s="388" t="s">
        <v>11870</v>
      </c>
      <c r="I1855" s="387" t="s">
        <v>13270</v>
      </c>
      <c r="J1855" s="389">
        <v>43966</v>
      </c>
      <c r="K1855" s="387" t="s">
        <v>13282</v>
      </c>
      <c r="L1855" s="387"/>
      <c r="M1855" s="387" t="s">
        <v>10084</v>
      </c>
      <c r="N1855" s="387"/>
      <c r="O1855" s="387" t="s">
        <v>57</v>
      </c>
      <c r="P1855" s="390">
        <v>77015000</v>
      </c>
      <c r="Q1855" s="387" t="s">
        <v>13283</v>
      </c>
      <c r="R1855" s="387" t="s">
        <v>8135</v>
      </c>
      <c r="S1855" s="340">
        <v>1</v>
      </c>
    </row>
    <row r="1856" spans="1:19" ht="58" x14ac:dyDescent="0.35">
      <c r="A1856" s="349">
        <v>1845</v>
      </c>
      <c r="B1856" s="387" t="s">
        <v>10110</v>
      </c>
      <c r="C1856" s="387" t="s">
        <v>10111</v>
      </c>
      <c r="D1856" s="388" t="s">
        <v>97</v>
      </c>
      <c r="E1856" s="388" t="s">
        <v>10082</v>
      </c>
      <c r="F1856" s="388" t="s">
        <v>10078</v>
      </c>
      <c r="G1856" s="388" t="s">
        <v>10088</v>
      </c>
      <c r="H1856" s="388" t="s">
        <v>11613</v>
      </c>
      <c r="I1856" s="387" t="s">
        <v>13284</v>
      </c>
      <c r="J1856" s="389">
        <v>43966</v>
      </c>
      <c r="K1856" s="387" t="s">
        <v>13285</v>
      </c>
      <c r="L1856" s="387"/>
      <c r="M1856" s="387" t="s">
        <v>10084</v>
      </c>
      <c r="N1856" s="387"/>
      <c r="O1856" s="387" t="s">
        <v>57</v>
      </c>
      <c r="P1856" s="390">
        <v>109725000</v>
      </c>
      <c r="Q1856" s="387" t="s">
        <v>13286</v>
      </c>
      <c r="R1856" s="387" t="s">
        <v>8135</v>
      </c>
      <c r="S1856" s="340">
        <v>1</v>
      </c>
    </row>
    <row r="1857" spans="1:19" ht="29.5" thickBot="1" x14ac:dyDescent="0.4">
      <c r="A1857" s="357">
        <v>1846</v>
      </c>
      <c r="B1857" s="387" t="s">
        <v>10092</v>
      </c>
      <c r="C1857" s="387" t="s">
        <v>10093</v>
      </c>
      <c r="D1857" s="388" t="s">
        <v>51</v>
      </c>
      <c r="E1857" s="388" t="s">
        <v>10082</v>
      </c>
      <c r="F1857" s="388" t="s">
        <v>10078</v>
      </c>
      <c r="G1857" s="388" t="s">
        <v>10088</v>
      </c>
      <c r="H1857" s="388" t="s">
        <v>12979</v>
      </c>
      <c r="I1857" s="387" t="s">
        <v>13287</v>
      </c>
      <c r="J1857" s="389">
        <v>41564</v>
      </c>
      <c r="K1857" s="387" t="s">
        <v>13288</v>
      </c>
      <c r="L1857" s="387"/>
      <c r="M1857" s="387" t="s">
        <v>10084</v>
      </c>
      <c r="N1857" s="387"/>
      <c r="O1857" s="387" t="s">
        <v>57</v>
      </c>
      <c r="P1857" s="390">
        <v>155164520</v>
      </c>
      <c r="Q1857" s="387"/>
      <c r="R1857" s="387" t="s">
        <v>8135</v>
      </c>
      <c r="S1857" s="340">
        <v>1</v>
      </c>
    </row>
    <row r="1858" spans="1:19" ht="29" x14ac:dyDescent="0.35">
      <c r="A1858" s="349">
        <v>1847</v>
      </c>
      <c r="B1858" s="387" t="s">
        <v>10085</v>
      </c>
      <c r="C1858" s="387" t="s">
        <v>10086</v>
      </c>
      <c r="D1858" s="388" t="s">
        <v>51</v>
      </c>
      <c r="E1858" s="388" t="s">
        <v>10082</v>
      </c>
      <c r="F1858" s="388" t="s">
        <v>10078</v>
      </c>
      <c r="G1858" s="388" t="s">
        <v>10078</v>
      </c>
      <c r="H1858" s="388" t="s">
        <v>11421</v>
      </c>
      <c r="I1858" s="387" t="s">
        <v>13276</v>
      </c>
      <c r="J1858" s="389"/>
      <c r="K1858" s="387"/>
      <c r="L1858" s="387"/>
      <c r="M1858" s="387" t="s">
        <v>10084</v>
      </c>
      <c r="N1858" s="387"/>
      <c r="O1858" s="387" t="s">
        <v>57</v>
      </c>
      <c r="P1858" s="390">
        <v>267428000</v>
      </c>
      <c r="Q1858" s="387"/>
      <c r="R1858" s="387" t="s">
        <v>8135</v>
      </c>
      <c r="S1858" s="340">
        <v>1</v>
      </c>
    </row>
    <row r="1859" spans="1:19" ht="29.5" thickBot="1" x14ac:dyDescent="0.4">
      <c r="A1859" s="357">
        <v>1848</v>
      </c>
      <c r="B1859" s="387" t="s">
        <v>10146</v>
      </c>
      <c r="C1859" s="387" t="s">
        <v>10147</v>
      </c>
      <c r="D1859" s="388" t="s">
        <v>51</v>
      </c>
      <c r="E1859" s="388" t="s">
        <v>10082</v>
      </c>
      <c r="F1859" s="388" t="s">
        <v>10078</v>
      </c>
      <c r="G1859" s="388" t="s">
        <v>10088</v>
      </c>
      <c r="H1859" s="388" t="s">
        <v>11308</v>
      </c>
      <c r="I1859" s="387" t="s">
        <v>13273</v>
      </c>
      <c r="J1859" s="389">
        <v>42937</v>
      </c>
      <c r="K1859" s="387" t="s">
        <v>13289</v>
      </c>
      <c r="L1859" s="387"/>
      <c r="M1859" s="387" t="s">
        <v>10084</v>
      </c>
      <c r="N1859" s="387"/>
      <c r="O1859" s="387" t="s">
        <v>57</v>
      </c>
      <c r="P1859" s="390">
        <v>221229000</v>
      </c>
      <c r="Q1859" s="387" t="s">
        <v>13290</v>
      </c>
      <c r="R1859" s="387" t="s">
        <v>8135</v>
      </c>
      <c r="S1859" s="340">
        <v>1</v>
      </c>
    </row>
    <row r="1860" spans="1:19" ht="29" x14ac:dyDescent="0.35">
      <c r="A1860" s="349">
        <v>1849</v>
      </c>
      <c r="B1860" s="387" t="s">
        <v>10146</v>
      </c>
      <c r="C1860" s="387" t="s">
        <v>10147</v>
      </c>
      <c r="D1860" s="388" t="s">
        <v>59</v>
      </c>
      <c r="E1860" s="388" t="s">
        <v>10082</v>
      </c>
      <c r="F1860" s="388" t="s">
        <v>10078</v>
      </c>
      <c r="G1860" s="388" t="s">
        <v>10088</v>
      </c>
      <c r="H1860" s="388" t="s">
        <v>10169</v>
      </c>
      <c r="I1860" s="387" t="s">
        <v>13277</v>
      </c>
      <c r="J1860" s="389"/>
      <c r="K1860" s="387" t="s">
        <v>13291</v>
      </c>
      <c r="L1860" s="387"/>
      <c r="M1860" s="387"/>
      <c r="N1860" s="387"/>
      <c r="O1860" s="387" t="s">
        <v>44</v>
      </c>
      <c r="P1860" s="390">
        <v>221164625</v>
      </c>
      <c r="Q1860" s="387" t="s">
        <v>13292</v>
      </c>
      <c r="R1860" s="387" t="s">
        <v>8135</v>
      </c>
      <c r="S1860" s="340">
        <v>1</v>
      </c>
    </row>
    <row r="1861" spans="1:19" ht="29.5" thickBot="1" x14ac:dyDescent="0.4">
      <c r="A1861" s="357">
        <v>1850</v>
      </c>
      <c r="B1861" s="387" t="s">
        <v>10096</v>
      </c>
      <c r="C1861" s="387" t="s">
        <v>10097</v>
      </c>
      <c r="D1861" s="388" t="s">
        <v>51</v>
      </c>
      <c r="E1861" s="388" t="s">
        <v>10082</v>
      </c>
      <c r="F1861" s="388" t="s">
        <v>10078</v>
      </c>
      <c r="G1861" s="388" t="s">
        <v>10088</v>
      </c>
      <c r="H1861" s="388" t="s">
        <v>5537</v>
      </c>
      <c r="I1861" s="387" t="s">
        <v>13273</v>
      </c>
      <c r="J1861" s="389">
        <v>43208</v>
      </c>
      <c r="K1861" s="387" t="s">
        <v>13293</v>
      </c>
      <c r="L1861" s="387"/>
      <c r="M1861" s="387" t="s">
        <v>10084</v>
      </c>
      <c r="N1861" s="387"/>
      <c r="O1861" s="387" t="s">
        <v>57</v>
      </c>
      <c r="P1861" s="390">
        <v>221165000</v>
      </c>
      <c r="Q1861" s="387" t="s">
        <v>13294</v>
      </c>
      <c r="R1861" s="387" t="s">
        <v>8135</v>
      </c>
      <c r="S1861" s="340">
        <v>1</v>
      </c>
    </row>
    <row r="1862" spans="1:19" ht="29" x14ac:dyDescent="0.35">
      <c r="A1862" s="349">
        <v>1851</v>
      </c>
      <c r="B1862" s="387" t="s">
        <v>10080</v>
      </c>
      <c r="C1862" s="387" t="s">
        <v>10081</v>
      </c>
      <c r="D1862" s="388" t="s">
        <v>51</v>
      </c>
      <c r="E1862" s="388" t="s">
        <v>10082</v>
      </c>
      <c r="F1862" s="388" t="s">
        <v>10078</v>
      </c>
      <c r="G1862" s="388" t="s">
        <v>10078</v>
      </c>
      <c r="H1862" s="388" t="s">
        <v>231</v>
      </c>
      <c r="I1862" s="387" t="s">
        <v>9989</v>
      </c>
      <c r="J1862" s="389"/>
      <c r="K1862" s="387"/>
      <c r="L1862" s="387"/>
      <c r="M1862" s="387" t="s">
        <v>10084</v>
      </c>
      <c r="N1862" s="387"/>
      <c r="O1862" s="387" t="s">
        <v>422</v>
      </c>
      <c r="P1862" s="390">
        <v>90000000</v>
      </c>
      <c r="Q1862" s="387" t="s">
        <v>8603</v>
      </c>
      <c r="R1862" s="387" t="s">
        <v>8136</v>
      </c>
      <c r="S1862" s="340">
        <v>1</v>
      </c>
    </row>
    <row r="1863" spans="1:19" ht="29.5" thickBot="1" x14ac:dyDescent="0.4">
      <c r="A1863" s="357">
        <v>1852</v>
      </c>
      <c r="B1863" s="387" t="s">
        <v>10080</v>
      </c>
      <c r="C1863" s="387" t="s">
        <v>10081</v>
      </c>
      <c r="D1863" s="388" t="s">
        <v>59</v>
      </c>
      <c r="E1863" s="388" t="s">
        <v>10082</v>
      </c>
      <c r="F1863" s="388" t="s">
        <v>10078</v>
      </c>
      <c r="G1863" s="388" t="s">
        <v>10088</v>
      </c>
      <c r="H1863" s="388" t="s">
        <v>13157</v>
      </c>
      <c r="I1863" s="387" t="s">
        <v>13295</v>
      </c>
      <c r="J1863" s="389">
        <v>41535</v>
      </c>
      <c r="K1863" s="387" t="s">
        <v>13296</v>
      </c>
      <c r="L1863" s="387"/>
      <c r="M1863" s="387" t="s">
        <v>10084</v>
      </c>
      <c r="N1863" s="387"/>
      <c r="O1863" s="387" t="s">
        <v>57</v>
      </c>
      <c r="P1863" s="390">
        <v>334650000</v>
      </c>
      <c r="Q1863" s="387"/>
      <c r="R1863" s="387" t="s">
        <v>8136</v>
      </c>
      <c r="S1863" s="340">
        <v>1</v>
      </c>
    </row>
    <row r="1864" spans="1:19" ht="29" x14ac:dyDescent="0.35">
      <c r="A1864" s="349">
        <v>1853</v>
      </c>
      <c r="B1864" s="387" t="s">
        <v>10080</v>
      </c>
      <c r="C1864" s="387" t="s">
        <v>10081</v>
      </c>
      <c r="D1864" s="388" t="s">
        <v>97</v>
      </c>
      <c r="E1864" s="388" t="s">
        <v>10082</v>
      </c>
      <c r="F1864" s="388" t="s">
        <v>10078</v>
      </c>
      <c r="G1864" s="388" t="s">
        <v>10078</v>
      </c>
      <c r="H1864" s="388" t="s">
        <v>1122</v>
      </c>
      <c r="I1864" s="387" t="s">
        <v>9989</v>
      </c>
      <c r="J1864" s="389"/>
      <c r="K1864" s="387"/>
      <c r="L1864" s="387"/>
      <c r="M1864" s="387" t="s">
        <v>10084</v>
      </c>
      <c r="N1864" s="387"/>
      <c r="O1864" s="387" t="s">
        <v>57</v>
      </c>
      <c r="P1864" s="390">
        <v>244103000</v>
      </c>
      <c r="Q1864" s="387"/>
      <c r="R1864" s="387" t="s">
        <v>8136</v>
      </c>
      <c r="S1864" s="340">
        <v>1</v>
      </c>
    </row>
    <row r="1865" spans="1:19" ht="29.5" thickBot="1" x14ac:dyDescent="0.4">
      <c r="A1865" s="357">
        <v>1854</v>
      </c>
      <c r="B1865" s="387" t="s">
        <v>10080</v>
      </c>
      <c r="C1865" s="387" t="s">
        <v>10081</v>
      </c>
      <c r="D1865" s="388" t="s">
        <v>101</v>
      </c>
      <c r="E1865" s="388" t="s">
        <v>10082</v>
      </c>
      <c r="F1865" s="388" t="s">
        <v>10078</v>
      </c>
      <c r="G1865" s="388" t="s">
        <v>10078</v>
      </c>
      <c r="H1865" s="388" t="s">
        <v>11400</v>
      </c>
      <c r="I1865" s="387" t="s">
        <v>9989</v>
      </c>
      <c r="J1865" s="389"/>
      <c r="K1865" s="387"/>
      <c r="L1865" s="387"/>
      <c r="M1865" s="387" t="s">
        <v>10084</v>
      </c>
      <c r="N1865" s="387"/>
      <c r="O1865" s="387" t="s">
        <v>57</v>
      </c>
      <c r="P1865" s="390">
        <v>144423000</v>
      </c>
      <c r="Q1865" s="387"/>
      <c r="R1865" s="387" t="s">
        <v>8136</v>
      </c>
      <c r="S1865" s="340">
        <v>1</v>
      </c>
    </row>
    <row r="1866" spans="1:19" ht="29" x14ac:dyDescent="0.35">
      <c r="A1866" s="349">
        <v>1855</v>
      </c>
      <c r="B1866" s="387" t="s">
        <v>10080</v>
      </c>
      <c r="C1866" s="387" t="s">
        <v>10081</v>
      </c>
      <c r="D1866" s="388" t="s">
        <v>107</v>
      </c>
      <c r="E1866" s="388" t="s">
        <v>10082</v>
      </c>
      <c r="F1866" s="388" t="s">
        <v>10078</v>
      </c>
      <c r="G1866" s="388" t="s">
        <v>10078</v>
      </c>
      <c r="H1866" s="388" t="s">
        <v>11400</v>
      </c>
      <c r="I1866" s="387" t="s">
        <v>9989</v>
      </c>
      <c r="J1866" s="389"/>
      <c r="K1866" s="387"/>
      <c r="L1866" s="387"/>
      <c r="M1866" s="387" t="s">
        <v>10084</v>
      </c>
      <c r="N1866" s="387"/>
      <c r="O1866" s="387" t="s">
        <v>57</v>
      </c>
      <c r="P1866" s="390">
        <v>144423000</v>
      </c>
      <c r="Q1866" s="387"/>
      <c r="R1866" s="387" t="s">
        <v>8136</v>
      </c>
      <c r="S1866" s="340">
        <v>1</v>
      </c>
    </row>
    <row r="1867" spans="1:19" ht="29.5" thickBot="1" x14ac:dyDescent="0.4">
      <c r="A1867" s="357">
        <v>1856</v>
      </c>
      <c r="B1867" s="387" t="s">
        <v>10110</v>
      </c>
      <c r="C1867" s="387" t="s">
        <v>10111</v>
      </c>
      <c r="D1867" s="388" t="s">
        <v>51</v>
      </c>
      <c r="E1867" s="388" t="s">
        <v>10082</v>
      </c>
      <c r="F1867" s="388" t="s">
        <v>10078</v>
      </c>
      <c r="G1867" s="388" t="s">
        <v>10078</v>
      </c>
      <c r="H1867" s="388" t="s">
        <v>11332</v>
      </c>
      <c r="I1867" s="387" t="s">
        <v>9989</v>
      </c>
      <c r="J1867" s="389"/>
      <c r="K1867" s="387"/>
      <c r="L1867" s="387"/>
      <c r="M1867" s="387" t="s">
        <v>10084</v>
      </c>
      <c r="N1867" s="387"/>
      <c r="O1867" s="387" t="s">
        <v>57</v>
      </c>
      <c r="P1867" s="390">
        <v>12838000</v>
      </c>
      <c r="Q1867" s="387"/>
      <c r="R1867" s="387" t="s">
        <v>8136</v>
      </c>
      <c r="S1867" s="340">
        <v>1</v>
      </c>
    </row>
    <row r="1868" spans="1:19" ht="29" x14ac:dyDescent="0.35">
      <c r="A1868" s="349">
        <v>1857</v>
      </c>
      <c r="B1868" s="387" t="s">
        <v>10110</v>
      </c>
      <c r="C1868" s="387" t="s">
        <v>10111</v>
      </c>
      <c r="D1868" s="388" t="s">
        <v>59</v>
      </c>
      <c r="E1868" s="388" t="s">
        <v>10082</v>
      </c>
      <c r="F1868" s="388" t="s">
        <v>10078</v>
      </c>
      <c r="G1868" s="388" t="s">
        <v>10088</v>
      </c>
      <c r="H1868" s="388" t="s">
        <v>11447</v>
      </c>
      <c r="I1868" s="387" t="s">
        <v>9989</v>
      </c>
      <c r="J1868" s="389">
        <v>42391</v>
      </c>
      <c r="K1868" s="387" t="s">
        <v>13297</v>
      </c>
      <c r="L1868" s="387"/>
      <c r="M1868" s="387" t="s">
        <v>10084</v>
      </c>
      <c r="N1868" s="387"/>
      <c r="O1868" s="387" t="s">
        <v>57</v>
      </c>
      <c r="P1868" s="390">
        <v>82568000</v>
      </c>
      <c r="Q1868" s="387" t="s">
        <v>13298</v>
      </c>
      <c r="R1868" s="387" t="s">
        <v>8136</v>
      </c>
      <c r="S1868" s="340">
        <v>1</v>
      </c>
    </row>
    <row r="1869" spans="1:19" ht="58.5" thickBot="1" x14ac:dyDescent="0.4">
      <c r="A1869" s="357">
        <v>1858</v>
      </c>
      <c r="B1869" s="387" t="s">
        <v>10110</v>
      </c>
      <c r="C1869" s="387" t="s">
        <v>10111</v>
      </c>
      <c r="D1869" s="388" t="s">
        <v>112</v>
      </c>
      <c r="E1869" s="388" t="s">
        <v>10082</v>
      </c>
      <c r="F1869" s="388" t="s">
        <v>10078</v>
      </c>
      <c r="G1869" s="388" t="s">
        <v>10088</v>
      </c>
      <c r="H1869" s="388" t="s">
        <v>12157</v>
      </c>
      <c r="I1869" s="387" t="s">
        <v>13299</v>
      </c>
      <c r="J1869" s="389"/>
      <c r="K1869" s="387" t="s">
        <v>13300</v>
      </c>
      <c r="L1869" s="387"/>
      <c r="M1869" s="387"/>
      <c r="N1869" s="387"/>
      <c r="O1869" s="387" t="s">
        <v>44</v>
      </c>
      <c r="P1869" s="390">
        <v>263834719.99999997</v>
      </c>
      <c r="Q1869" s="387" t="s">
        <v>13301</v>
      </c>
      <c r="R1869" s="387" t="s">
        <v>8136</v>
      </c>
      <c r="S1869" s="340">
        <v>1</v>
      </c>
    </row>
    <row r="1870" spans="1:19" ht="43.5" x14ac:dyDescent="0.35">
      <c r="A1870" s="349">
        <v>1859</v>
      </c>
      <c r="B1870" s="387" t="s">
        <v>10110</v>
      </c>
      <c r="C1870" s="387" t="s">
        <v>10111</v>
      </c>
      <c r="D1870" s="388" t="s">
        <v>116</v>
      </c>
      <c r="E1870" s="388" t="s">
        <v>10082</v>
      </c>
      <c r="F1870" s="388" t="s">
        <v>10078</v>
      </c>
      <c r="G1870" s="388" t="s">
        <v>10088</v>
      </c>
      <c r="H1870" s="388" t="s">
        <v>12157</v>
      </c>
      <c r="I1870" s="387" t="s">
        <v>13299</v>
      </c>
      <c r="J1870" s="389"/>
      <c r="K1870" s="387" t="s">
        <v>13302</v>
      </c>
      <c r="L1870" s="387"/>
      <c r="M1870" s="387"/>
      <c r="N1870" s="387"/>
      <c r="O1870" s="387" t="s">
        <v>44</v>
      </c>
      <c r="P1870" s="390">
        <v>244226360</v>
      </c>
      <c r="Q1870" s="387" t="s">
        <v>13303</v>
      </c>
      <c r="R1870" s="387" t="s">
        <v>8136</v>
      </c>
      <c r="S1870" s="340">
        <v>1</v>
      </c>
    </row>
    <row r="1871" spans="1:19" ht="44" thickBot="1" x14ac:dyDescent="0.4">
      <c r="A1871" s="357">
        <v>1860</v>
      </c>
      <c r="B1871" s="387" t="s">
        <v>10110</v>
      </c>
      <c r="C1871" s="387" t="s">
        <v>10111</v>
      </c>
      <c r="D1871" s="388" t="s">
        <v>841</v>
      </c>
      <c r="E1871" s="388" t="s">
        <v>10082</v>
      </c>
      <c r="F1871" s="388" t="s">
        <v>10078</v>
      </c>
      <c r="G1871" s="388" t="s">
        <v>10088</v>
      </c>
      <c r="H1871" s="388" t="s">
        <v>11315</v>
      </c>
      <c r="I1871" s="387" t="s">
        <v>13299</v>
      </c>
      <c r="J1871" s="389"/>
      <c r="K1871" s="387" t="s">
        <v>13304</v>
      </c>
      <c r="L1871" s="387"/>
      <c r="M1871" s="387"/>
      <c r="N1871" s="387"/>
      <c r="O1871" s="387" t="s">
        <v>44</v>
      </c>
      <c r="P1871" s="390">
        <v>148436000</v>
      </c>
      <c r="Q1871" s="387" t="s">
        <v>13305</v>
      </c>
      <c r="R1871" s="387" t="s">
        <v>8136</v>
      </c>
      <c r="S1871" s="340">
        <v>1</v>
      </c>
    </row>
    <row r="1872" spans="1:19" ht="29" x14ac:dyDescent="0.35">
      <c r="A1872" s="349">
        <v>1861</v>
      </c>
      <c r="B1872" s="387" t="s">
        <v>10092</v>
      </c>
      <c r="C1872" s="387" t="s">
        <v>10093</v>
      </c>
      <c r="D1872" s="388" t="s">
        <v>51</v>
      </c>
      <c r="E1872" s="388" t="s">
        <v>10082</v>
      </c>
      <c r="F1872" s="388" t="s">
        <v>10078</v>
      </c>
      <c r="G1872" s="388" t="s">
        <v>10078</v>
      </c>
      <c r="H1872" s="388" t="s">
        <v>12979</v>
      </c>
      <c r="I1872" s="387" t="s">
        <v>13306</v>
      </c>
      <c r="J1872" s="389">
        <v>41535</v>
      </c>
      <c r="K1872" s="387" t="s">
        <v>13307</v>
      </c>
      <c r="L1872" s="387"/>
      <c r="M1872" s="387" t="s">
        <v>10084</v>
      </c>
      <c r="N1872" s="387"/>
      <c r="O1872" s="387" t="s">
        <v>57</v>
      </c>
      <c r="P1872" s="390">
        <v>238309955</v>
      </c>
      <c r="Q1872" s="387"/>
      <c r="R1872" s="387" t="s">
        <v>8136</v>
      </c>
      <c r="S1872" s="340">
        <v>1</v>
      </c>
    </row>
    <row r="1873" spans="1:19" ht="29.5" thickBot="1" x14ac:dyDescent="0.4">
      <c r="A1873" s="357">
        <v>1862</v>
      </c>
      <c r="B1873" s="387" t="s">
        <v>10085</v>
      </c>
      <c r="C1873" s="387" t="s">
        <v>10086</v>
      </c>
      <c r="D1873" s="388" t="s">
        <v>51</v>
      </c>
      <c r="E1873" s="388" t="s">
        <v>10082</v>
      </c>
      <c r="F1873" s="388" t="s">
        <v>10078</v>
      </c>
      <c r="G1873" s="388" t="s">
        <v>10078</v>
      </c>
      <c r="H1873" s="388" t="s">
        <v>11308</v>
      </c>
      <c r="I1873" s="387" t="s">
        <v>9989</v>
      </c>
      <c r="J1873" s="389"/>
      <c r="K1873" s="387"/>
      <c r="L1873" s="387"/>
      <c r="M1873" s="387" t="s">
        <v>10084</v>
      </c>
      <c r="N1873" s="387"/>
      <c r="O1873" s="387" t="s">
        <v>57</v>
      </c>
      <c r="P1873" s="390">
        <v>259363000</v>
      </c>
      <c r="Q1873" s="387"/>
      <c r="R1873" s="387" t="s">
        <v>8136</v>
      </c>
      <c r="S1873" s="340">
        <v>1</v>
      </c>
    </row>
    <row r="1874" spans="1:19" ht="29" x14ac:dyDescent="0.35">
      <c r="A1874" s="349">
        <v>1863</v>
      </c>
      <c r="B1874" s="387" t="s">
        <v>10117</v>
      </c>
      <c r="C1874" s="387" t="s">
        <v>10118</v>
      </c>
      <c r="D1874" s="388" t="s">
        <v>51</v>
      </c>
      <c r="E1874" s="388" t="s">
        <v>10082</v>
      </c>
      <c r="F1874" s="388" t="s">
        <v>10078</v>
      </c>
      <c r="G1874" s="388" t="s">
        <v>10088</v>
      </c>
      <c r="H1874" s="388" t="s">
        <v>8949</v>
      </c>
      <c r="I1874" s="387" t="s">
        <v>13308</v>
      </c>
      <c r="J1874" s="389"/>
      <c r="K1874" s="387" t="s">
        <v>13309</v>
      </c>
      <c r="L1874" s="387"/>
      <c r="M1874" s="387"/>
      <c r="N1874" s="387"/>
      <c r="O1874" s="387" t="s">
        <v>44</v>
      </c>
      <c r="P1874" s="390">
        <v>199019450</v>
      </c>
      <c r="Q1874" s="387" t="s">
        <v>13310</v>
      </c>
      <c r="R1874" s="387" t="s">
        <v>8136</v>
      </c>
      <c r="S1874" s="340">
        <v>1</v>
      </c>
    </row>
    <row r="1875" spans="1:19" ht="44" thickBot="1" x14ac:dyDescent="0.4">
      <c r="A1875" s="357">
        <v>1864</v>
      </c>
      <c r="B1875" s="387" t="s">
        <v>10096</v>
      </c>
      <c r="C1875" s="387" t="s">
        <v>10097</v>
      </c>
      <c r="D1875" s="388" t="s">
        <v>51</v>
      </c>
      <c r="E1875" s="388" t="s">
        <v>10082</v>
      </c>
      <c r="F1875" s="388" t="s">
        <v>10078</v>
      </c>
      <c r="G1875" s="388" t="s">
        <v>10088</v>
      </c>
      <c r="H1875" s="388" t="s">
        <v>13311</v>
      </c>
      <c r="I1875" s="387" t="s">
        <v>9989</v>
      </c>
      <c r="J1875" s="389">
        <v>42328</v>
      </c>
      <c r="K1875" s="387" t="s">
        <v>13312</v>
      </c>
      <c r="L1875" s="387"/>
      <c r="M1875" s="387" t="s">
        <v>10084</v>
      </c>
      <c r="N1875" s="387"/>
      <c r="O1875" s="387" t="s">
        <v>57</v>
      </c>
      <c r="P1875" s="390">
        <v>641244000</v>
      </c>
      <c r="Q1875" s="387" t="s">
        <v>13313</v>
      </c>
      <c r="R1875" s="387" t="s">
        <v>8136</v>
      </c>
      <c r="S1875" s="340">
        <v>1</v>
      </c>
    </row>
    <row r="1876" spans="1:19" ht="29" x14ac:dyDescent="0.35">
      <c r="A1876" s="349">
        <v>1865</v>
      </c>
      <c r="B1876" s="387" t="s">
        <v>10096</v>
      </c>
      <c r="C1876" s="387" t="s">
        <v>10097</v>
      </c>
      <c r="D1876" s="388" t="s">
        <v>59</v>
      </c>
      <c r="E1876" s="388" t="s">
        <v>10082</v>
      </c>
      <c r="F1876" s="388" t="s">
        <v>10078</v>
      </c>
      <c r="G1876" s="388" t="s">
        <v>10088</v>
      </c>
      <c r="H1876" s="388" t="s">
        <v>13314</v>
      </c>
      <c r="I1876" s="387" t="s">
        <v>13308</v>
      </c>
      <c r="J1876" s="389"/>
      <c r="K1876" s="387" t="s">
        <v>13315</v>
      </c>
      <c r="L1876" s="387"/>
      <c r="M1876" s="387"/>
      <c r="N1876" s="387"/>
      <c r="O1876" s="387" t="s">
        <v>44</v>
      </c>
      <c r="P1876" s="390">
        <v>199052106.00000003</v>
      </c>
      <c r="Q1876" s="387" t="s">
        <v>13316</v>
      </c>
      <c r="R1876" s="387" t="s">
        <v>8136</v>
      </c>
      <c r="S1876" s="340">
        <v>1</v>
      </c>
    </row>
    <row r="1877" spans="1:19" ht="29.5" thickBot="1" x14ac:dyDescent="0.4">
      <c r="A1877" s="357">
        <v>1866</v>
      </c>
      <c r="B1877" s="387" t="s">
        <v>10080</v>
      </c>
      <c r="C1877" s="387" t="s">
        <v>10081</v>
      </c>
      <c r="D1877" s="388" t="s">
        <v>51</v>
      </c>
      <c r="E1877" s="388" t="s">
        <v>10082</v>
      </c>
      <c r="F1877" s="388" t="s">
        <v>10078</v>
      </c>
      <c r="G1877" s="388" t="s">
        <v>10078</v>
      </c>
      <c r="H1877" s="388" t="s">
        <v>11400</v>
      </c>
      <c r="I1877" s="387" t="s">
        <v>13317</v>
      </c>
      <c r="J1877" s="389"/>
      <c r="K1877" s="387"/>
      <c r="L1877" s="387"/>
      <c r="M1877" s="387" t="s">
        <v>10084</v>
      </c>
      <c r="N1877" s="387"/>
      <c r="O1877" s="387" t="s">
        <v>57</v>
      </c>
      <c r="P1877" s="390">
        <v>140500000</v>
      </c>
      <c r="Q1877" s="387"/>
      <c r="R1877" s="387" t="s">
        <v>13318</v>
      </c>
      <c r="S1877" s="340">
        <v>1</v>
      </c>
    </row>
    <row r="1878" spans="1:19" ht="29" x14ac:dyDescent="0.35">
      <c r="A1878" s="349">
        <v>1867</v>
      </c>
      <c r="B1878" s="387" t="s">
        <v>10080</v>
      </c>
      <c r="C1878" s="387" t="s">
        <v>10081</v>
      </c>
      <c r="D1878" s="388" t="s">
        <v>59</v>
      </c>
      <c r="E1878" s="388" t="s">
        <v>10082</v>
      </c>
      <c r="F1878" s="388" t="s">
        <v>10078</v>
      </c>
      <c r="G1878" s="388" t="s">
        <v>10078</v>
      </c>
      <c r="H1878" s="388" t="s">
        <v>11400</v>
      </c>
      <c r="I1878" s="387" t="s">
        <v>13317</v>
      </c>
      <c r="J1878" s="389"/>
      <c r="K1878" s="387"/>
      <c r="L1878" s="387"/>
      <c r="M1878" s="387" t="s">
        <v>10084</v>
      </c>
      <c r="N1878" s="387"/>
      <c r="O1878" s="387" t="s">
        <v>57</v>
      </c>
      <c r="P1878" s="390">
        <v>136400000</v>
      </c>
      <c r="Q1878" s="387"/>
      <c r="R1878" s="387" t="s">
        <v>13318</v>
      </c>
      <c r="S1878" s="340">
        <v>1</v>
      </c>
    </row>
    <row r="1879" spans="1:19" ht="29.5" thickBot="1" x14ac:dyDescent="0.4">
      <c r="A1879" s="357">
        <v>1868</v>
      </c>
      <c r="B1879" s="387" t="s">
        <v>10080</v>
      </c>
      <c r="C1879" s="387" t="s">
        <v>10081</v>
      </c>
      <c r="D1879" s="388" t="s">
        <v>97</v>
      </c>
      <c r="E1879" s="388" t="s">
        <v>10082</v>
      </c>
      <c r="F1879" s="388" t="s">
        <v>10078</v>
      </c>
      <c r="G1879" s="388" t="s">
        <v>10078</v>
      </c>
      <c r="H1879" s="388" t="s">
        <v>11400</v>
      </c>
      <c r="I1879" s="387" t="s">
        <v>13317</v>
      </c>
      <c r="J1879" s="389"/>
      <c r="K1879" s="387"/>
      <c r="L1879" s="387"/>
      <c r="M1879" s="387" t="s">
        <v>10084</v>
      </c>
      <c r="N1879" s="387"/>
      <c r="O1879" s="387" t="s">
        <v>57</v>
      </c>
      <c r="P1879" s="390">
        <v>136400000</v>
      </c>
      <c r="Q1879" s="387"/>
      <c r="R1879" s="387" t="s">
        <v>13318</v>
      </c>
      <c r="S1879" s="340">
        <v>1</v>
      </c>
    </row>
    <row r="1880" spans="1:19" ht="29" x14ac:dyDescent="0.35">
      <c r="A1880" s="349">
        <v>1869</v>
      </c>
      <c r="B1880" s="387" t="s">
        <v>10080</v>
      </c>
      <c r="C1880" s="387" t="s">
        <v>10081</v>
      </c>
      <c r="D1880" s="388" t="s">
        <v>101</v>
      </c>
      <c r="E1880" s="388" t="s">
        <v>10082</v>
      </c>
      <c r="F1880" s="388" t="s">
        <v>10078</v>
      </c>
      <c r="G1880" s="388" t="s">
        <v>10078</v>
      </c>
      <c r="H1880" s="388" t="s">
        <v>1122</v>
      </c>
      <c r="I1880" s="387" t="s">
        <v>13317</v>
      </c>
      <c r="J1880" s="389"/>
      <c r="K1880" s="387"/>
      <c r="L1880" s="387"/>
      <c r="M1880" s="387" t="s">
        <v>10084</v>
      </c>
      <c r="N1880" s="387"/>
      <c r="O1880" s="387" t="s">
        <v>57</v>
      </c>
      <c r="P1880" s="390">
        <v>995225129.19999993</v>
      </c>
      <c r="Q1880" s="387"/>
      <c r="R1880" s="387" t="s">
        <v>13318</v>
      </c>
      <c r="S1880" s="340">
        <v>1</v>
      </c>
    </row>
    <row r="1881" spans="1:19" ht="29.5" thickBot="1" x14ac:dyDescent="0.4">
      <c r="A1881" s="357">
        <v>1870</v>
      </c>
      <c r="B1881" s="387" t="s">
        <v>10080</v>
      </c>
      <c r="C1881" s="387" t="s">
        <v>10081</v>
      </c>
      <c r="D1881" s="388" t="s">
        <v>107</v>
      </c>
      <c r="E1881" s="388" t="s">
        <v>10082</v>
      </c>
      <c r="F1881" s="388" t="s">
        <v>10078</v>
      </c>
      <c r="G1881" s="388" t="s">
        <v>10078</v>
      </c>
      <c r="H1881" s="388" t="s">
        <v>1122</v>
      </c>
      <c r="I1881" s="387" t="s">
        <v>13317</v>
      </c>
      <c r="J1881" s="389"/>
      <c r="K1881" s="387"/>
      <c r="L1881" s="387"/>
      <c r="M1881" s="387" t="s">
        <v>10084</v>
      </c>
      <c r="N1881" s="387"/>
      <c r="O1881" s="387" t="s">
        <v>57</v>
      </c>
      <c r="P1881" s="390">
        <v>317238500</v>
      </c>
      <c r="Q1881" s="387"/>
      <c r="R1881" s="387" t="s">
        <v>13318</v>
      </c>
      <c r="S1881" s="340">
        <v>1</v>
      </c>
    </row>
    <row r="1882" spans="1:19" ht="29" x14ac:dyDescent="0.35">
      <c r="A1882" s="349">
        <v>1871</v>
      </c>
      <c r="B1882" s="387" t="s">
        <v>10080</v>
      </c>
      <c r="C1882" s="387" t="s">
        <v>10081</v>
      </c>
      <c r="D1882" s="388" t="s">
        <v>112</v>
      </c>
      <c r="E1882" s="388" t="s">
        <v>10082</v>
      </c>
      <c r="F1882" s="388" t="s">
        <v>10078</v>
      </c>
      <c r="G1882" s="388" t="s">
        <v>10078</v>
      </c>
      <c r="H1882" s="388" t="s">
        <v>13091</v>
      </c>
      <c r="I1882" s="387" t="s">
        <v>13317</v>
      </c>
      <c r="J1882" s="389"/>
      <c r="K1882" s="387"/>
      <c r="L1882" s="387"/>
      <c r="M1882" s="387" t="s">
        <v>10084</v>
      </c>
      <c r="N1882" s="387"/>
      <c r="O1882" s="387" t="s">
        <v>422</v>
      </c>
      <c r="P1882" s="390">
        <v>263195780.00000003</v>
      </c>
      <c r="Q1882" s="387" t="s">
        <v>8603</v>
      </c>
      <c r="R1882" s="387" t="s">
        <v>13318</v>
      </c>
      <c r="S1882" s="340">
        <v>1</v>
      </c>
    </row>
    <row r="1883" spans="1:19" ht="29.5" thickBot="1" x14ac:dyDescent="0.4">
      <c r="A1883" s="357">
        <v>1872</v>
      </c>
      <c r="B1883" s="387" t="s">
        <v>10110</v>
      </c>
      <c r="C1883" s="387" t="s">
        <v>10111</v>
      </c>
      <c r="D1883" s="388" t="s">
        <v>51</v>
      </c>
      <c r="E1883" s="388" t="s">
        <v>10082</v>
      </c>
      <c r="F1883" s="388" t="s">
        <v>10078</v>
      </c>
      <c r="G1883" s="388" t="s">
        <v>10078</v>
      </c>
      <c r="H1883" s="388" t="s">
        <v>11332</v>
      </c>
      <c r="I1883" s="387" t="s">
        <v>13317</v>
      </c>
      <c r="J1883" s="389"/>
      <c r="K1883" s="387"/>
      <c r="L1883" s="387"/>
      <c r="M1883" s="387" t="s">
        <v>10084</v>
      </c>
      <c r="N1883" s="387"/>
      <c r="O1883" s="387" t="s">
        <v>57</v>
      </c>
      <c r="P1883" s="390">
        <v>36064000</v>
      </c>
      <c r="Q1883" s="387"/>
      <c r="R1883" s="387" t="s">
        <v>13318</v>
      </c>
      <c r="S1883" s="340">
        <v>1</v>
      </c>
    </row>
    <row r="1884" spans="1:19" ht="29" x14ac:dyDescent="0.35">
      <c r="A1884" s="349">
        <v>1873</v>
      </c>
      <c r="B1884" s="387" t="s">
        <v>10092</v>
      </c>
      <c r="C1884" s="387" t="s">
        <v>10093</v>
      </c>
      <c r="D1884" s="388" t="s">
        <v>51</v>
      </c>
      <c r="E1884" s="388" t="s">
        <v>10082</v>
      </c>
      <c r="F1884" s="388" t="s">
        <v>10078</v>
      </c>
      <c r="G1884" s="388" t="s">
        <v>10078</v>
      </c>
      <c r="H1884" s="388" t="s">
        <v>12979</v>
      </c>
      <c r="I1884" s="387" t="s">
        <v>13319</v>
      </c>
      <c r="J1884" s="389"/>
      <c r="K1884" s="387"/>
      <c r="L1884" s="387"/>
      <c r="M1884" s="387" t="s">
        <v>10084</v>
      </c>
      <c r="N1884" s="387"/>
      <c r="O1884" s="387" t="s">
        <v>57</v>
      </c>
      <c r="P1884" s="390">
        <v>218565955</v>
      </c>
      <c r="Q1884" s="387"/>
      <c r="R1884" s="387" t="s">
        <v>13318</v>
      </c>
      <c r="S1884" s="340">
        <v>1</v>
      </c>
    </row>
    <row r="1885" spans="1:19" ht="29.5" thickBot="1" x14ac:dyDescent="0.4">
      <c r="A1885" s="357">
        <v>1874</v>
      </c>
      <c r="B1885" s="387" t="s">
        <v>10085</v>
      </c>
      <c r="C1885" s="387" t="s">
        <v>10086</v>
      </c>
      <c r="D1885" s="388" t="s">
        <v>51</v>
      </c>
      <c r="E1885" s="388" t="s">
        <v>10082</v>
      </c>
      <c r="F1885" s="388" t="s">
        <v>10078</v>
      </c>
      <c r="G1885" s="388" t="s">
        <v>10078</v>
      </c>
      <c r="H1885" s="388" t="s">
        <v>11308</v>
      </c>
      <c r="I1885" s="387" t="s">
        <v>13317</v>
      </c>
      <c r="J1885" s="389"/>
      <c r="K1885" s="387"/>
      <c r="L1885" s="387"/>
      <c r="M1885" s="387" t="s">
        <v>10084</v>
      </c>
      <c r="N1885" s="387"/>
      <c r="O1885" s="387" t="s">
        <v>57</v>
      </c>
      <c r="P1885" s="390">
        <v>190028290</v>
      </c>
      <c r="Q1885" s="387"/>
      <c r="R1885" s="387" t="s">
        <v>13318</v>
      </c>
      <c r="S1885" s="340">
        <v>1</v>
      </c>
    </row>
    <row r="1886" spans="1:19" ht="29" x14ac:dyDescent="0.35">
      <c r="A1886" s="349">
        <v>1875</v>
      </c>
      <c r="B1886" s="387" t="s">
        <v>10085</v>
      </c>
      <c r="C1886" s="387" t="s">
        <v>10086</v>
      </c>
      <c r="D1886" s="388" t="s">
        <v>59</v>
      </c>
      <c r="E1886" s="388" t="s">
        <v>10082</v>
      </c>
      <c r="F1886" s="388" t="s">
        <v>10078</v>
      </c>
      <c r="G1886" s="388" t="s">
        <v>10078</v>
      </c>
      <c r="H1886" s="388" t="s">
        <v>11308</v>
      </c>
      <c r="I1886" s="387" t="s">
        <v>13317</v>
      </c>
      <c r="J1886" s="389"/>
      <c r="K1886" s="387"/>
      <c r="L1886" s="387"/>
      <c r="M1886" s="387" t="s">
        <v>10084</v>
      </c>
      <c r="N1886" s="387"/>
      <c r="O1886" s="387" t="s">
        <v>57</v>
      </c>
      <c r="P1886" s="390">
        <v>306026000</v>
      </c>
      <c r="Q1886" s="387"/>
      <c r="R1886" s="387" t="s">
        <v>13318</v>
      </c>
      <c r="S1886" s="340">
        <v>1</v>
      </c>
    </row>
    <row r="1887" spans="1:19" ht="29.5" thickBot="1" x14ac:dyDescent="0.4">
      <c r="A1887" s="357">
        <v>1876</v>
      </c>
      <c r="B1887" s="387" t="s">
        <v>10085</v>
      </c>
      <c r="C1887" s="387" t="s">
        <v>10086</v>
      </c>
      <c r="D1887" s="388" t="s">
        <v>97</v>
      </c>
      <c r="E1887" s="388" t="s">
        <v>10082</v>
      </c>
      <c r="F1887" s="388" t="s">
        <v>10078</v>
      </c>
      <c r="G1887" s="388" t="s">
        <v>10088</v>
      </c>
      <c r="H1887" s="388" t="s">
        <v>11308</v>
      </c>
      <c r="I1887" s="387" t="s">
        <v>13317</v>
      </c>
      <c r="J1887" s="389"/>
      <c r="K1887" s="387"/>
      <c r="L1887" s="387"/>
      <c r="M1887" s="387" t="s">
        <v>10084</v>
      </c>
      <c r="N1887" s="387"/>
      <c r="O1887" s="387" t="s">
        <v>57</v>
      </c>
      <c r="P1887" s="390">
        <v>99643000</v>
      </c>
      <c r="Q1887" s="387"/>
      <c r="R1887" s="387" t="s">
        <v>13318</v>
      </c>
      <c r="S1887" s="340">
        <v>1</v>
      </c>
    </row>
    <row r="1888" spans="1:19" ht="29" x14ac:dyDescent="0.35">
      <c r="A1888" s="349">
        <v>1877</v>
      </c>
      <c r="B1888" s="387" t="s">
        <v>10080</v>
      </c>
      <c r="C1888" s="387" t="s">
        <v>10081</v>
      </c>
      <c r="D1888" s="388" t="s">
        <v>51</v>
      </c>
      <c r="E1888" s="388" t="s">
        <v>10082</v>
      </c>
      <c r="F1888" s="388" t="s">
        <v>10078</v>
      </c>
      <c r="G1888" s="388" t="s">
        <v>10078</v>
      </c>
      <c r="H1888" s="388" t="s">
        <v>13082</v>
      </c>
      <c r="I1888" s="387" t="s">
        <v>13242</v>
      </c>
      <c r="J1888" s="389"/>
      <c r="K1888" s="387"/>
      <c r="L1888" s="387"/>
      <c r="M1888" s="387" t="s">
        <v>10084</v>
      </c>
      <c r="N1888" s="387"/>
      <c r="O1888" s="387" t="s">
        <v>422</v>
      </c>
      <c r="P1888" s="390">
        <v>101000000</v>
      </c>
      <c r="Q1888" s="387" t="s">
        <v>8603</v>
      </c>
      <c r="R1888" s="387" t="s">
        <v>8140</v>
      </c>
      <c r="S1888" s="340">
        <v>1</v>
      </c>
    </row>
    <row r="1889" spans="1:19" ht="29.5" thickBot="1" x14ac:dyDescent="0.4">
      <c r="A1889" s="357">
        <v>1878</v>
      </c>
      <c r="B1889" s="387" t="s">
        <v>10080</v>
      </c>
      <c r="C1889" s="387" t="s">
        <v>10081</v>
      </c>
      <c r="D1889" s="388" t="s">
        <v>59</v>
      </c>
      <c r="E1889" s="388" t="s">
        <v>10082</v>
      </c>
      <c r="F1889" s="388" t="s">
        <v>10078</v>
      </c>
      <c r="G1889" s="388" t="s">
        <v>10088</v>
      </c>
      <c r="H1889" s="388" t="s">
        <v>1122</v>
      </c>
      <c r="I1889" s="387" t="s">
        <v>13242</v>
      </c>
      <c r="J1889" s="389"/>
      <c r="K1889" s="387"/>
      <c r="L1889" s="387"/>
      <c r="M1889" s="387" t="s">
        <v>10084</v>
      </c>
      <c r="N1889" s="387"/>
      <c r="O1889" s="387" t="s">
        <v>57</v>
      </c>
      <c r="P1889" s="390">
        <v>391109222</v>
      </c>
      <c r="Q1889" s="387"/>
      <c r="R1889" s="387" t="s">
        <v>8140</v>
      </c>
      <c r="S1889" s="340">
        <v>1</v>
      </c>
    </row>
    <row r="1890" spans="1:19" ht="29" x14ac:dyDescent="0.35">
      <c r="A1890" s="349">
        <v>1879</v>
      </c>
      <c r="B1890" s="387" t="s">
        <v>10080</v>
      </c>
      <c r="C1890" s="387" t="s">
        <v>10081</v>
      </c>
      <c r="D1890" s="388" t="s">
        <v>97</v>
      </c>
      <c r="E1890" s="388" t="s">
        <v>10082</v>
      </c>
      <c r="F1890" s="388" t="s">
        <v>10078</v>
      </c>
      <c r="G1890" s="388" t="s">
        <v>10088</v>
      </c>
      <c r="H1890" s="388" t="s">
        <v>11400</v>
      </c>
      <c r="I1890" s="387" t="s">
        <v>13242</v>
      </c>
      <c r="J1890" s="389"/>
      <c r="K1890" s="387"/>
      <c r="L1890" s="387"/>
      <c r="M1890" s="387" t="s">
        <v>10084</v>
      </c>
      <c r="N1890" s="387"/>
      <c r="O1890" s="387" t="s">
        <v>57</v>
      </c>
      <c r="P1890" s="390">
        <v>286788889.39999998</v>
      </c>
      <c r="Q1890" s="387"/>
      <c r="R1890" s="387" t="s">
        <v>8140</v>
      </c>
      <c r="S1890" s="340">
        <v>1</v>
      </c>
    </row>
    <row r="1891" spans="1:19" ht="29.5" thickBot="1" x14ac:dyDescent="0.4">
      <c r="A1891" s="357">
        <v>1880</v>
      </c>
      <c r="B1891" s="387" t="s">
        <v>10080</v>
      </c>
      <c r="C1891" s="387" t="s">
        <v>10081</v>
      </c>
      <c r="D1891" s="388" t="s">
        <v>101</v>
      </c>
      <c r="E1891" s="388" t="s">
        <v>10082</v>
      </c>
      <c r="F1891" s="388" t="s">
        <v>10078</v>
      </c>
      <c r="G1891" s="388" t="s">
        <v>10078</v>
      </c>
      <c r="H1891" s="388" t="s">
        <v>11400</v>
      </c>
      <c r="I1891" s="387" t="s">
        <v>13242</v>
      </c>
      <c r="J1891" s="389"/>
      <c r="K1891" s="387"/>
      <c r="L1891" s="387"/>
      <c r="M1891" s="387" t="s">
        <v>10084</v>
      </c>
      <c r="N1891" s="387"/>
      <c r="O1891" s="387" t="s">
        <v>57</v>
      </c>
      <c r="P1891" s="390">
        <v>100294000</v>
      </c>
      <c r="Q1891" s="387"/>
      <c r="R1891" s="387" t="s">
        <v>8140</v>
      </c>
      <c r="S1891" s="340">
        <v>1</v>
      </c>
    </row>
    <row r="1892" spans="1:19" ht="29" x14ac:dyDescent="0.35">
      <c r="A1892" s="349">
        <v>1881</v>
      </c>
      <c r="B1892" s="387" t="s">
        <v>10080</v>
      </c>
      <c r="C1892" s="387" t="s">
        <v>10081</v>
      </c>
      <c r="D1892" s="388" t="s">
        <v>107</v>
      </c>
      <c r="E1892" s="388" t="s">
        <v>10082</v>
      </c>
      <c r="F1892" s="388" t="s">
        <v>10078</v>
      </c>
      <c r="G1892" s="388" t="s">
        <v>10088</v>
      </c>
      <c r="H1892" s="388" t="s">
        <v>11400</v>
      </c>
      <c r="I1892" s="387" t="s">
        <v>13242</v>
      </c>
      <c r="J1892" s="389"/>
      <c r="K1892" s="387"/>
      <c r="L1892" s="387"/>
      <c r="M1892" s="387" t="s">
        <v>10084</v>
      </c>
      <c r="N1892" s="387"/>
      <c r="O1892" s="387" t="s">
        <v>57</v>
      </c>
      <c r="P1892" s="390">
        <v>765525000</v>
      </c>
      <c r="Q1892" s="387"/>
      <c r="R1892" s="387" t="s">
        <v>8140</v>
      </c>
      <c r="S1892" s="340">
        <v>1</v>
      </c>
    </row>
    <row r="1893" spans="1:19" ht="29.5" thickBot="1" x14ac:dyDescent="0.4">
      <c r="A1893" s="357">
        <v>1882</v>
      </c>
      <c r="B1893" s="387" t="s">
        <v>10080</v>
      </c>
      <c r="C1893" s="387" t="s">
        <v>10081</v>
      </c>
      <c r="D1893" s="388" t="s">
        <v>112</v>
      </c>
      <c r="E1893" s="388" t="s">
        <v>10082</v>
      </c>
      <c r="F1893" s="388" t="s">
        <v>10078</v>
      </c>
      <c r="G1893" s="388" t="s">
        <v>10088</v>
      </c>
      <c r="H1893" s="388" t="s">
        <v>11421</v>
      </c>
      <c r="I1893" s="387" t="s">
        <v>13242</v>
      </c>
      <c r="J1893" s="389"/>
      <c r="K1893" s="387"/>
      <c r="L1893" s="387"/>
      <c r="M1893" s="387" t="s">
        <v>10084</v>
      </c>
      <c r="N1893" s="387"/>
      <c r="O1893" s="387" t="s">
        <v>57</v>
      </c>
      <c r="P1893" s="390">
        <v>73491000</v>
      </c>
      <c r="Q1893" s="387"/>
      <c r="R1893" s="387" t="s">
        <v>8140</v>
      </c>
      <c r="S1893" s="340">
        <v>1</v>
      </c>
    </row>
    <row r="1894" spans="1:19" ht="29" x14ac:dyDescent="0.35">
      <c r="A1894" s="349">
        <v>1883</v>
      </c>
      <c r="B1894" s="387" t="s">
        <v>10110</v>
      </c>
      <c r="C1894" s="387" t="s">
        <v>10111</v>
      </c>
      <c r="D1894" s="388" t="s">
        <v>51</v>
      </c>
      <c r="E1894" s="388" t="s">
        <v>10082</v>
      </c>
      <c r="F1894" s="388" t="s">
        <v>10078</v>
      </c>
      <c r="G1894" s="388" t="s">
        <v>10078</v>
      </c>
      <c r="H1894" s="388" t="s">
        <v>11332</v>
      </c>
      <c r="I1894" s="387" t="s">
        <v>13242</v>
      </c>
      <c r="J1894" s="389"/>
      <c r="K1894" s="387"/>
      <c r="L1894" s="387"/>
      <c r="M1894" s="387" t="s">
        <v>10084</v>
      </c>
      <c r="N1894" s="387"/>
      <c r="O1894" s="387" t="s">
        <v>57</v>
      </c>
      <c r="P1894" s="390">
        <v>8915000</v>
      </c>
      <c r="Q1894" s="387"/>
      <c r="R1894" s="387" t="s">
        <v>8140</v>
      </c>
      <c r="S1894" s="340">
        <v>1</v>
      </c>
    </row>
    <row r="1895" spans="1:19" ht="29.5" thickBot="1" x14ac:dyDescent="0.4">
      <c r="A1895" s="357">
        <v>1884</v>
      </c>
      <c r="B1895" s="387" t="s">
        <v>10085</v>
      </c>
      <c r="C1895" s="387" t="s">
        <v>10086</v>
      </c>
      <c r="D1895" s="388" t="s">
        <v>51</v>
      </c>
      <c r="E1895" s="388" t="s">
        <v>10082</v>
      </c>
      <c r="F1895" s="388" t="s">
        <v>10078</v>
      </c>
      <c r="G1895" s="388" t="s">
        <v>10078</v>
      </c>
      <c r="H1895" s="388" t="s">
        <v>11308</v>
      </c>
      <c r="I1895" s="387" t="s">
        <v>13242</v>
      </c>
      <c r="J1895" s="389"/>
      <c r="K1895" s="387"/>
      <c r="L1895" s="387"/>
      <c r="M1895" s="387" t="s">
        <v>10084</v>
      </c>
      <c r="N1895" s="387"/>
      <c r="O1895" s="387" t="s">
        <v>57</v>
      </c>
      <c r="P1895" s="390">
        <v>62405000</v>
      </c>
      <c r="Q1895" s="387"/>
      <c r="R1895" s="387" t="s">
        <v>8140</v>
      </c>
      <c r="S1895" s="340">
        <v>1</v>
      </c>
    </row>
    <row r="1896" spans="1:19" ht="29" x14ac:dyDescent="0.35">
      <c r="A1896" s="349">
        <v>1885</v>
      </c>
      <c r="B1896" s="387" t="s">
        <v>10085</v>
      </c>
      <c r="C1896" s="387" t="s">
        <v>10086</v>
      </c>
      <c r="D1896" s="388" t="s">
        <v>59</v>
      </c>
      <c r="E1896" s="388" t="s">
        <v>10082</v>
      </c>
      <c r="F1896" s="388" t="s">
        <v>10078</v>
      </c>
      <c r="G1896" s="388" t="s">
        <v>10078</v>
      </c>
      <c r="H1896" s="388" t="s">
        <v>11308</v>
      </c>
      <c r="I1896" s="387" t="s">
        <v>13242</v>
      </c>
      <c r="J1896" s="389"/>
      <c r="K1896" s="387"/>
      <c r="L1896" s="387"/>
      <c r="M1896" s="387" t="s">
        <v>10084</v>
      </c>
      <c r="N1896" s="387"/>
      <c r="O1896" s="387" t="s">
        <v>57</v>
      </c>
      <c r="P1896" s="390">
        <v>297507600</v>
      </c>
      <c r="Q1896" s="387"/>
      <c r="R1896" s="387" t="s">
        <v>8140</v>
      </c>
      <c r="S1896" s="340">
        <v>1</v>
      </c>
    </row>
    <row r="1897" spans="1:19" ht="29.5" thickBot="1" x14ac:dyDescent="0.4">
      <c r="A1897" s="357">
        <v>1886</v>
      </c>
      <c r="B1897" s="387" t="s">
        <v>10096</v>
      </c>
      <c r="C1897" s="387" t="s">
        <v>10097</v>
      </c>
      <c r="D1897" s="388" t="s">
        <v>59</v>
      </c>
      <c r="E1897" s="388" t="s">
        <v>10082</v>
      </c>
      <c r="F1897" s="388" t="s">
        <v>10078</v>
      </c>
      <c r="G1897" s="388" t="s">
        <v>10088</v>
      </c>
      <c r="H1897" s="388" t="s">
        <v>13320</v>
      </c>
      <c r="I1897" s="387" t="s">
        <v>13321</v>
      </c>
      <c r="J1897" s="389"/>
      <c r="K1897" s="387" t="s">
        <v>13322</v>
      </c>
      <c r="L1897" s="387"/>
      <c r="M1897" s="387"/>
      <c r="N1897" s="387"/>
      <c r="O1897" s="387" t="s">
        <v>44</v>
      </c>
      <c r="P1897" s="390">
        <v>211394950</v>
      </c>
      <c r="Q1897" s="387" t="s">
        <v>13323</v>
      </c>
      <c r="R1897" s="387" t="s">
        <v>8140</v>
      </c>
      <c r="S1897" s="340">
        <v>1</v>
      </c>
    </row>
    <row r="1898" spans="1:19" ht="29" x14ac:dyDescent="0.35">
      <c r="A1898" s="349">
        <v>1887</v>
      </c>
      <c r="B1898" s="387" t="s">
        <v>10080</v>
      </c>
      <c r="C1898" s="387" t="s">
        <v>10081</v>
      </c>
      <c r="D1898" s="388" t="s">
        <v>51</v>
      </c>
      <c r="E1898" s="388" t="s">
        <v>10082</v>
      </c>
      <c r="F1898" s="388" t="s">
        <v>10078</v>
      </c>
      <c r="G1898" s="388" t="s">
        <v>10078</v>
      </c>
      <c r="H1898" s="388" t="s">
        <v>13324</v>
      </c>
      <c r="I1898" s="387" t="s">
        <v>12094</v>
      </c>
      <c r="J1898" s="389"/>
      <c r="K1898" s="387"/>
      <c r="L1898" s="387"/>
      <c r="M1898" s="387" t="s">
        <v>10084</v>
      </c>
      <c r="N1898" s="387"/>
      <c r="O1898" s="387" t="s">
        <v>422</v>
      </c>
      <c r="P1898" s="390">
        <v>55000000</v>
      </c>
      <c r="Q1898" s="387" t="s">
        <v>8603</v>
      </c>
      <c r="R1898" s="387" t="s">
        <v>8141</v>
      </c>
      <c r="S1898" s="340">
        <v>1</v>
      </c>
    </row>
    <row r="1899" spans="1:19" ht="29.5" thickBot="1" x14ac:dyDescent="0.4">
      <c r="A1899" s="357">
        <v>1888</v>
      </c>
      <c r="B1899" s="387" t="s">
        <v>10080</v>
      </c>
      <c r="C1899" s="387" t="s">
        <v>10081</v>
      </c>
      <c r="D1899" s="388" t="s">
        <v>59</v>
      </c>
      <c r="E1899" s="388" t="s">
        <v>10082</v>
      </c>
      <c r="F1899" s="388" t="s">
        <v>10078</v>
      </c>
      <c r="G1899" s="388" t="s">
        <v>10078</v>
      </c>
      <c r="H1899" s="388" t="s">
        <v>1122</v>
      </c>
      <c r="I1899" s="387" t="s">
        <v>12094</v>
      </c>
      <c r="J1899" s="389"/>
      <c r="K1899" s="387"/>
      <c r="L1899" s="387"/>
      <c r="M1899" s="387" t="s">
        <v>10084</v>
      </c>
      <c r="N1899" s="387"/>
      <c r="O1899" s="387" t="s">
        <v>57</v>
      </c>
      <c r="P1899" s="390">
        <v>455441000</v>
      </c>
      <c r="Q1899" s="387"/>
      <c r="R1899" s="387" t="s">
        <v>8141</v>
      </c>
      <c r="S1899" s="340">
        <v>1</v>
      </c>
    </row>
    <row r="1900" spans="1:19" ht="29" x14ac:dyDescent="0.35">
      <c r="A1900" s="349">
        <v>1889</v>
      </c>
      <c r="B1900" s="387" t="s">
        <v>10080</v>
      </c>
      <c r="C1900" s="387" t="s">
        <v>10081</v>
      </c>
      <c r="D1900" s="388" t="s">
        <v>97</v>
      </c>
      <c r="E1900" s="388" t="s">
        <v>10082</v>
      </c>
      <c r="F1900" s="388" t="s">
        <v>10078</v>
      </c>
      <c r="G1900" s="388" t="s">
        <v>10078</v>
      </c>
      <c r="H1900" s="388" t="s">
        <v>11400</v>
      </c>
      <c r="I1900" s="387" t="s">
        <v>12094</v>
      </c>
      <c r="J1900" s="389"/>
      <c r="K1900" s="387"/>
      <c r="L1900" s="387"/>
      <c r="M1900" s="387" t="s">
        <v>10084</v>
      </c>
      <c r="N1900" s="387"/>
      <c r="O1900" s="387" t="s">
        <v>57</v>
      </c>
      <c r="P1900" s="390">
        <v>238332500</v>
      </c>
      <c r="Q1900" s="387"/>
      <c r="R1900" s="387" t="s">
        <v>8141</v>
      </c>
      <c r="S1900" s="340">
        <v>1</v>
      </c>
    </row>
    <row r="1901" spans="1:19" ht="29.5" thickBot="1" x14ac:dyDescent="0.4">
      <c r="A1901" s="357">
        <v>1890</v>
      </c>
      <c r="B1901" s="387" t="s">
        <v>10080</v>
      </c>
      <c r="C1901" s="387" t="s">
        <v>10081</v>
      </c>
      <c r="D1901" s="388" t="s">
        <v>101</v>
      </c>
      <c r="E1901" s="388" t="s">
        <v>10082</v>
      </c>
      <c r="F1901" s="388" t="s">
        <v>10078</v>
      </c>
      <c r="G1901" s="388" t="s">
        <v>10078</v>
      </c>
      <c r="H1901" s="388" t="s">
        <v>11400</v>
      </c>
      <c r="I1901" s="387" t="s">
        <v>12094</v>
      </c>
      <c r="J1901" s="389"/>
      <c r="K1901" s="387"/>
      <c r="L1901" s="387"/>
      <c r="M1901" s="387" t="s">
        <v>10084</v>
      </c>
      <c r="N1901" s="387"/>
      <c r="O1901" s="387" t="s">
        <v>57</v>
      </c>
      <c r="P1901" s="390">
        <v>100294000</v>
      </c>
      <c r="Q1901" s="387"/>
      <c r="R1901" s="387" t="s">
        <v>8141</v>
      </c>
      <c r="S1901" s="340">
        <v>1</v>
      </c>
    </row>
    <row r="1902" spans="1:19" ht="29" x14ac:dyDescent="0.35">
      <c r="A1902" s="349">
        <v>1891</v>
      </c>
      <c r="B1902" s="387" t="s">
        <v>10080</v>
      </c>
      <c r="C1902" s="387" t="s">
        <v>10081</v>
      </c>
      <c r="D1902" s="388" t="s">
        <v>107</v>
      </c>
      <c r="E1902" s="388" t="s">
        <v>10082</v>
      </c>
      <c r="F1902" s="388" t="s">
        <v>10078</v>
      </c>
      <c r="G1902" s="388" t="s">
        <v>10078</v>
      </c>
      <c r="H1902" s="388" t="s">
        <v>2972</v>
      </c>
      <c r="I1902" s="387" t="s">
        <v>13325</v>
      </c>
      <c r="J1902" s="389">
        <v>44524</v>
      </c>
      <c r="K1902" s="387" t="s">
        <v>13326</v>
      </c>
      <c r="L1902" s="387"/>
      <c r="M1902" s="387" t="s">
        <v>10084</v>
      </c>
      <c r="N1902" s="387"/>
      <c r="O1902" s="387" t="s">
        <v>57</v>
      </c>
      <c r="P1902" s="390">
        <v>567717200</v>
      </c>
      <c r="Q1902" s="387" t="s">
        <v>13327</v>
      </c>
      <c r="R1902" s="387" t="s">
        <v>8141</v>
      </c>
      <c r="S1902" s="340">
        <v>1</v>
      </c>
    </row>
    <row r="1903" spans="1:19" ht="29.5" thickBot="1" x14ac:dyDescent="0.4">
      <c r="A1903" s="357">
        <v>1892</v>
      </c>
      <c r="B1903" s="387" t="s">
        <v>10080</v>
      </c>
      <c r="C1903" s="387" t="s">
        <v>10081</v>
      </c>
      <c r="D1903" s="388" t="s">
        <v>112</v>
      </c>
      <c r="E1903" s="388" t="s">
        <v>10082</v>
      </c>
      <c r="F1903" s="388" t="s">
        <v>10078</v>
      </c>
      <c r="G1903" s="388" t="s">
        <v>10078</v>
      </c>
      <c r="H1903" s="388" t="s">
        <v>11400</v>
      </c>
      <c r="I1903" s="387" t="s">
        <v>12094</v>
      </c>
      <c r="J1903" s="389"/>
      <c r="K1903" s="387"/>
      <c r="L1903" s="387"/>
      <c r="M1903" s="387" t="s">
        <v>10084</v>
      </c>
      <c r="N1903" s="387"/>
      <c r="O1903" s="387" t="s">
        <v>57</v>
      </c>
      <c r="P1903" s="390">
        <v>100294000</v>
      </c>
      <c r="Q1903" s="387"/>
      <c r="R1903" s="387" t="s">
        <v>8141</v>
      </c>
      <c r="S1903" s="340">
        <v>1</v>
      </c>
    </row>
    <row r="1904" spans="1:19" ht="29" x14ac:dyDescent="0.35">
      <c r="A1904" s="349">
        <v>1893</v>
      </c>
      <c r="B1904" s="387" t="s">
        <v>10110</v>
      </c>
      <c r="C1904" s="387" t="s">
        <v>10111</v>
      </c>
      <c r="D1904" s="388" t="s">
        <v>107</v>
      </c>
      <c r="E1904" s="388" t="s">
        <v>10082</v>
      </c>
      <c r="F1904" s="388" t="s">
        <v>10078</v>
      </c>
      <c r="G1904" s="388" t="s">
        <v>10088</v>
      </c>
      <c r="H1904" s="388" t="s">
        <v>12407</v>
      </c>
      <c r="I1904" s="387" t="s">
        <v>13328</v>
      </c>
      <c r="J1904" s="389"/>
      <c r="K1904" s="387" t="s">
        <v>13329</v>
      </c>
      <c r="L1904" s="387"/>
      <c r="M1904" s="387"/>
      <c r="N1904" s="387"/>
      <c r="O1904" s="387" t="s">
        <v>44</v>
      </c>
      <c r="P1904" s="390">
        <v>148468350</v>
      </c>
      <c r="Q1904" s="387" t="s">
        <v>13330</v>
      </c>
      <c r="R1904" s="387" t="s">
        <v>8141</v>
      </c>
      <c r="S1904" s="340">
        <v>1</v>
      </c>
    </row>
    <row r="1905" spans="1:19" ht="44" thickBot="1" x14ac:dyDescent="0.4">
      <c r="A1905" s="357">
        <v>1894</v>
      </c>
      <c r="B1905" s="387" t="s">
        <v>10110</v>
      </c>
      <c r="C1905" s="387" t="s">
        <v>10111</v>
      </c>
      <c r="D1905" s="388" t="s">
        <v>112</v>
      </c>
      <c r="E1905" s="388" t="s">
        <v>10082</v>
      </c>
      <c r="F1905" s="388" t="s">
        <v>10078</v>
      </c>
      <c r="G1905" s="388" t="s">
        <v>10088</v>
      </c>
      <c r="H1905" s="388" t="s">
        <v>11870</v>
      </c>
      <c r="I1905" s="387" t="s">
        <v>13328</v>
      </c>
      <c r="J1905" s="389"/>
      <c r="K1905" s="387" t="s">
        <v>13331</v>
      </c>
      <c r="L1905" s="387"/>
      <c r="M1905" s="387"/>
      <c r="N1905" s="387"/>
      <c r="O1905" s="387" t="s">
        <v>44</v>
      </c>
      <c r="P1905" s="390">
        <v>96923100</v>
      </c>
      <c r="Q1905" s="387" t="s">
        <v>13332</v>
      </c>
      <c r="R1905" s="387" t="s">
        <v>8141</v>
      </c>
      <c r="S1905" s="340">
        <v>1</v>
      </c>
    </row>
    <row r="1906" spans="1:19" ht="58" x14ac:dyDescent="0.35">
      <c r="A1906" s="349">
        <v>1895</v>
      </c>
      <c r="B1906" s="387" t="s">
        <v>10110</v>
      </c>
      <c r="C1906" s="387" t="s">
        <v>10111</v>
      </c>
      <c r="D1906" s="388" t="s">
        <v>116</v>
      </c>
      <c r="E1906" s="388" t="s">
        <v>10082</v>
      </c>
      <c r="F1906" s="388" t="s">
        <v>10078</v>
      </c>
      <c r="G1906" s="388" t="s">
        <v>10088</v>
      </c>
      <c r="H1906" s="388" t="s">
        <v>12623</v>
      </c>
      <c r="I1906" s="387" t="s">
        <v>13328</v>
      </c>
      <c r="J1906" s="389"/>
      <c r="K1906" s="387" t="s">
        <v>13333</v>
      </c>
      <c r="L1906" s="387"/>
      <c r="M1906" s="387"/>
      <c r="N1906" s="387"/>
      <c r="O1906" s="387" t="s">
        <v>44</v>
      </c>
      <c r="P1906" s="390">
        <v>258898300</v>
      </c>
      <c r="Q1906" s="387" t="s">
        <v>13334</v>
      </c>
      <c r="R1906" s="387" t="s">
        <v>8141</v>
      </c>
      <c r="S1906" s="340">
        <v>1</v>
      </c>
    </row>
    <row r="1907" spans="1:19" ht="44" thickBot="1" x14ac:dyDescent="0.4">
      <c r="A1907" s="357">
        <v>1896</v>
      </c>
      <c r="B1907" s="387" t="s">
        <v>10110</v>
      </c>
      <c r="C1907" s="387" t="s">
        <v>10111</v>
      </c>
      <c r="D1907" s="388" t="s">
        <v>841</v>
      </c>
      <c r="E1907" s="388" t="s">
        <v>10082</v>
      </c>
      <c r="F1907" s="388" t="s">
        <v>10078</v>
      </c>
      <c r="G1907" s="388" t="s">
        <v>10088</v>
      </c>
      <c r="H1907" s="388" t="s">
        <v>12623</v>
      </c>
      <c r="I1907" s="387" t="s">
        <v>13328</v>
      </c>
      <c r="J1907" s="389"/>
      <c r="K1907" s="387" t="s">
        <v>13335</v>
      </c>
      <c r="L1907" s="387"/>
      <c r="M1907" s="387"/>
      <c r="N1907" s="387"/>
      <c r="O1907" s="387" t="s">
        <v>44</v>
      </c>
      <c r="P1907" s="390">
        <v>232688400</v>
      </c>
      <c r="Q1907" s="387" t="s">
        <v>13336</v>
      </c>
      <c r="R1907" s="387" t="s">
        <v>8141</v>
      </c>
      <c r="S1907" s="340">
        <v>1</v>
      </c>
    </row>
    <row r="1908" spans="1:19" ht="43.5" x14ac:dyDescent="0.35">
      <c r="A1908" s="349">
        <v>1897</v>
      </c>
      <c r="B1908" s="387" t="s">
        <v>10110</v>
      </c>
      <c r="C1908" s="387" t="s">
        <v>10111</v>
      </c>
      <c r="D1908" s="388" t="s">
        <v>904</v>
      </c>
      <c r="E1908" s="388" t="s">
        <v>10082</v>
      </c>
      <c r="F1908" s="388" t="s">
        <v>10078</v>
      </c>
      <c r="G1908" s="388" t="s">
        <v>10088</v>
      </c>
      <c r="H1908" s="388" t="s">
        <v>13337</v>
      </c>
      <c r="I1908" s="387" t="s">
        <v>13328</v>
      </c>
      <c r="J1908" s="389"/>
      <c r="K1908" s="387" t="s">
        <v>13338</v>
      </c>
      <c r="L1908" s="387"/>
      <c r="M1908" s="387"/>
      <c r="N1908" s="387"/>
      <c r="O1908" s="387" t="s">
        <v>44</v>
      </c>
      <c r="P1908" s="390">
        <v>225460850</v>
      </c>
      <c r="Q1908" s="387" t="s">
        <v>13339</v>
      </c>
      <c r="R1908" s="387" t="s">
        <v>8141</v>
      </c>
      <c r="S1908" s="340">
        <v>1</v>
      </c>
    </row>
    <row r="1909" spans="1:19" ht="29.5" thickBot="1" x14ac:dyDescent="0.4">
      <c r="A1909" s="357">
        <v>1898</v>
      </c>
      <c r="B1909" s="387" t="s">
        <v>10092</v>
      </c>
      <c r="C1909" s="387" t="s">
        <v>10093</v>
      </c>
      <c r="D1909" s="388" t="s">
        <v>51</v>
      </c>
      <c r="E1909" s="388" t="s">
        <v>10082</v>
      </c>
      <c r="F1909" s="388" t="s">
        <v>10078</v>
      </c>
      <c r="G1909" s="388" t="s">
        <v>10078</v>
      </c>
      <c r="H1909" s="388" t="s">
        <v>12979</v>
      </c>
      <c r="I1909" s="387" t="s">
        <v>13340</v>
      </c>
      <c r="J1909" s="389">
        <v>41564</v>
      </c>
      <c r="K1909" s="387" t="s">
        <v>13341</v>
      </c>
      <c r="L1909" s="387"/>
      <c r="M1909" s="387" t="s">
        <v>10084</v>
      </c>
      <c r="N1909" s="387"/>
      <c r="O1909" s="387" t="s">
        <v>57</v>
      </c>
      <c r="P1909" s="390">
        <v>155164520</v>
      </c>
      <c r="Q1909" s="387"/>
      <c r="R1909" s="387" t="s">
        <v>8141</v>
      </c>
      <c r="S1909" s="340">
        <v>1</v>
      </c>
    </row>
    <row r="1910" spans="1:19" ht="29" x14ac:dyDescent="0.35">
      <c r="A1910" s="349">
        <v>1899</v>
      </c>
      <c r="B1910" s="387" t="s">
        <v>10085</v>
      </c>
      <c r="C1910" s="387" t="s">
        <v>10086</v>
      </c>
      <c r="D1910" s="388" t="s">
        <v>51</v>
      </c>
      <c r="E1910" s="388" t="s">
        <v>10082</v>
      </c>
      <c r="F1910" s="388" t="s">
        <v>10078</v>
      </c>
      <c r="G1910" s="388" t="s">
        <v>10078</v>
      </c>
      <c r="H1910" s="388" t="s">
        <v>1122</v>
      </c>
      <c r="I1910" s="387" t="s">
        <v>12094</v>
      </c>
      <c r="J1910" s="389"/>
      <c r="K1910" s="387"/>
      <c r="L1910" s="387"/>
      <c r="M1910" s="387" t="s">
        <v>10084</v>
      </c>
      <c r="N1910" s="387"/>
      <c r="O1910" s="387" t="s">
        <v>57</v>
      </c>
      <c r="P1910" s="390">
        <v>415736000</v>
      </c>
      <c r="Q1910" s="387"/>
      <c r="R1910" s="387" t="s">
        <v>8141</v>
      </c>
      <c r="S1910" s="340">
        <v>1</v>
      </c>
    </row>
    <row r="1911" spans="1:19" ht="29.5" thickBot="1" x14ac:dyDescent="0.4">
      <c r="A1911" s="357">
        <v>1900</v>
      </c>
      <c r="B1911" s="387" t="s">
        <v>10080</v>
      </c>
      <c r="C1911" s="387" t="s">
        <v>10081</v>
      </c>
      <c r="D1911" s="388" t="s">
        <v>51</v>
      </c>
      <c r="E1911" s="388" t="s">
        <v>10082</v>
      </c>
      <c r="F1911" s="388" t="s">
        <v>10078</v>
      </c>
      <c r="G1911" s="388" t="s">
        <v>10088</v>
      </c>
      <c r="H1911" s="388" t="s">
        <v>13342</v>
      </c>
      <c r="I1911" s="387" t="s">
        <v>13242</v>
      </c>
      <c r="J1911" s="389">
        <v>42275</v>
      </c>
      <c r="K1911" s="387" t="s">
        <v>13343</v>
      </c>
      <c r="L1911" s="387"/>
      <c r="M1911" s="387" t="s">
        <v>10084</v>
      </c>
      <c r="N1911" s="387"/>
      <c r="O1911" s="387" t="s">
        <v>57</v>
      </c>
      <c r="P1911" s="390">
        <v>383556158</v>
      </c>
      <c r="Q1911" s="387" t="s">
        <v>13344</v>
      </c>
      <c r="R1911" s="387" t="s">
        <v>8144</v>
      </c>
      <c r="S1911" s="340">
        <v>1</v>
      </c>
    </row>
    <row r="1912" spans="1:19" ht="29" x14ac:dyDescent="0.35">
      <c r="A1912" s="349">
        <v>1901</v>
      </c>
      <c r="B1912" s="387" t="s">
        <v>10080</v>
      </c>
      <c r="C1912" s="387" t="s">
        <v>10081</v>
      </c>
      <c r="D1912" s="388" t="s">
        <v>59</v>
      </c>
      <c r="E1912" s="388" t="s">
        <v>10082</v>
      </c>
      <c r="F1912" s="388" t="s">
        <v>10078</v>
      </c>
      <c r="G1912" s="388" t="s">
        <v>10088</v>
      </c>
      <c r="H1912" s="388" t="s">
        <v>12157</v>
      </c>
      <c r="I1912" s="387" t="s">
        <v>13242</v>
      </c>
      <c r="J1912" s="389">
        <v>41906</v>
      </c>
      <c r="K1912" s="387" t="s">
        <v>13345</v>
      </c>
      <c r="L1912" s="387"/>
      <c r="M1912" s="387" t="s">
        <v>10084</v>
      </c>
      <c r="N1912" s="387"/>
      <c r="O1912" s="387" t="s">
        <v>57</v>
      </c>
      <c r="P1912" s="390">
        <v>155250000</v>
      </c>
      <c r="Q1912" s="387" t="s">
        <v>13346</v>
      </c>
      <c r="R1912" s="387" t="s">
        <v>8144</v>
      </c>
      <c r="S1912" s="340">
        <v>1</v>
      </c>
    </row>
    <row r="1913" spans="1:19" ht="29.5" thickBot="1" x14ac:dyDescent="0.4">
      <c r="A1913" s="357">
        <v>1902</v>
      </c>
      <c r="B1913" s="387" t="s">
        <v>10080</v>
      </c>
      <c r="C1913" s="387" t="s">
        <v>10081</v>
      </c>
      <c r="D1913" s="388" t="s">
        <v>97</v>
      </c>
      <c r="E1913" s="388" t="s">
        <v>10082</v>
      </c>
      <c r="F1913" s="388" t="s">
        <v>10078</v>
      </c>
      <c r="G1913" s="388" t="s">
        <v>10088</v>
      </c>
      <c r="H1913" s="388" t="s">
        <v>12157</v>
      </c>
      <c r="I1913" s="387" t="s">
        <v>13242</v>
      </c>
      <c r="J1913" s="389">
        <v>41906</v>
      </c>
      <c r="K1913" s="387" t="s">
        <v>13345</v>
      </c>
      <c r="L1913" s="387"/>
      <c r="M1913" s="387" t="s">
        <v>10084</v>
      </c>
      <c r="N1913" s="387"/>
      <c r="O1913" s="387" t="s">
        <v>57</v>
      </c>
      <c r="P1913" s="390">
        <v>155250000</v>
      </c>
      <c r="Q1913" s="387" t="s">
        <v>13346</v>
      </c>
      <c r="R1913" s="387" t="s">
        <v>8144</v>
      </c>
      <c r="S1913" s="340">
        <v>1</v>
      </c>
    </row>
    <row r="1914" spans="1:19" ht="43.5" x14ac:dyDescent="0.35">
      <c r="A1914" s="349">
        <v>1903</v>
      </c>
      <c r="B1914" s="387" t="s">
        <v>10080</v>
      </c>
      <c r="C1914" s="387" t="s">
        <v>10081</v>
      </c>
      <c r="D1914" s="388" t="s">
        <v>101</v>
      </c>
      <c r="E1914" s="388" t="s">
        <v>10082</v>
      </c>
      <c r="F1914" s="388" t="s">
        <v>10078</v>
      </c>
      <c r="G1914" s="388" t="s">
        <v>10078</v>
      </c>
      <c r="H1914" s="388" t="s">
        <v>12664</v>
      </c>
      <c r="I1914" s="387" t="s">
        <v>13347</v>
      </c>
      <c r="J1914" s="389">
        <v>43588</v>
      </c>
      <c r="K1914" s="387" t="s">
        <v>13348</v>
      </c>
      <c r="L1914" s="387"/>
      <c r="M1914" s="387" t="s">
        <v>10084</v>
      </c>
      <c r="N1914" s="387"/>
      <c r="O1914" s="387" t="s">
        <v>57</v>
      </c>
      <c r="P1914" s="390">
        <v>312753000</v>
      </c>
      <c r="Q1914" s="387" t="s">
        <v>13349</v>
      </c>
      <c r="R1914" s="387" t="s">
        <v>8144</v>
      </c>
      <c r="S1914" s="340">
        <v>1</v>
      </c>
    </row>
    <row r="1915" spans="1:19" ht="29.5" thickBot="1" x14ac:dyDescent="0.4">
      <c r="A1915" s="357">
        <v>1904</v>
      </c>
      <c r="B1915" s="387" t="s">
        <v>10080</v>
      </c>
      <c r="C1915" s="387" t="s">
        <v>10081</v>
      </c>
      <c r="D1915" s="388" t="s">
        <v>107</v>
      </c>
      <c r="E1915" s="388" t="s">
        <v>10082</v>
      </c>
      <c r="F1915" s="388" t="s">
        <v>10078</v>
      </c>
      <c r="G1915" s="388" t="s">
        <v>10088</v>
      </c>
      <c r="H1915" s="388" t="s">
        <v>12157</v>
      </c>
      <c r="I1915" s="387" t="s">
        <v>13350</v>
      </c>
      <c r="J1915" s="389">
        <v>41906</v>
      </c>
      <c r="K1915" s="387" t="s">
        <v>13345</v>
      </c>
      <c r="L1915" s="387"/>
      <c r="M1915" s="387" t="s">
        <v>10084</v>
      </c>
      <c r="N1915" s="387"/>
      <c r="O1915" s="387" t="s">
        <v>57</v>
      </c>
      <c r="P1915" s="390">
        <v>155250000</v>
      </c>
      <c r="Q1915" s="387" t="s">
        <v>13346</v>
      </c>
      <c r="R1915" s="387" t="s">
        <v>8144</v>
      </c>
      <c r="S1915" s="340">
        <v>1</v>
      </c>
    </row>
    <row r="1916" spans="1:19" ht="29" x14ac:dyDescent="0.35">
      <c r="A1916" s="349">
        <v>1905</v>
      </c>
      <c r="B1916" s="387" t="s">
        <v>10110</v>
      </c>
      <c r="C1916" s="387" t="s">
        <v>10111</v>
      </c>
      <c r="D1916" s="388" t="s">
        <v>51</v>
      </c>
      <c r="E1916" s="388" t="s">
        <v>10082</v>
      </c>
      <c r="F1916" s="388" t="s">
        <v>10078</v>
      </c>
      <c r="G1916" s="388" t="s">
        <v>10088</v>
      </c>
      <c r="H1916" s="388" t="s">
        <v>11408</v>
      </c>
      <c r="I1916" s="387" t="s">
        <v>13242</v>
      </c>
      <c r="J1916" s="389">
        <v>42293</v>
      </c>
      <c r="K1916" s="387" t="s">
        <v>13351</v>
      </c>
      <c r="L1916" s="387"/>
      <c r="M1916" s="387" t="s">
        <v>10084</v>
      </c>
      <c r="N1916" s="387"/>
      <c r="O1916" s="387" t="s">
        <v>57</v>
      </c>
      <c r="P1916" s="390">
        <v>70000000</v>
      </c>
      <c r="Q1916" s="387" t="s">
        <v>13352</v>
      </c>
      <c r="R1916" s="387" t="s">
        <v>8144</v>
      </c>
      <c r="S1916" s="340">
        <v>1</v>
      </c>
    </row>
    <row r="1917" spans="1:19" ht="58.5" thickBot="1" x14ac:dyDescent="0.4">
      <c r="A1917" s="357">
        <v>1906</v>
      </c>
      <c r="B1917" s="387" t="s">
        <v>10110</v>
      </c>
      <c r="C1917" s="387" t="s">
        <v>10111</v>
      </c>
      <c r="D1917" s="388" t="s">
        <v>59</v>
      </c>
      <c r="E1917" s="388" t="s">
        <v>10082</v>
      </c>
      <c r="F1917" s="388" t="s">
        <v>10078</v>
      </c>
      <c r="G1917" s="388" t="s">
        <v>10088</v>
      </c>
      <c r="H1917" s="388" t="s">
        <v>12157</v>
      </c>
      <c r="I1917" s="387" t="s">
        <v>13353</v>
      </c>
      <c r="J1917" s="389"/>
      <c r="K1917" s="387" t="s">
        <v>13354</v>
      </c>
      <c r="L1917" s="387"/>
      <c r="M1917" s="387"/>
      <c r="N1917" s="387"/>
      <c r="O1917" s="387" t="s">
        <v>44</v>
      </c>
      <c r="P1917" s="390">
        <v>263924419.99999997</v>
      </c>
      <c r="Q1917" s="387" t="s">
        <v>13355</v>
      </c>
      <c r="R1917" s="387" t="s">
        <v>8144</v>
      </c>
      <c r="S1917" s="340">
        <v>1</v>
      </c>
    </row>
    <row r="1918" spans="1:19" ht="43.5" x14ac:dyDescent="0.35">
      <c r="A1918" s="349">
        <v>1907</v>
      </c>
      <c r="B1918" s="387" t="s">
        <v>10110</v>
      </c>
      <c r="C1918" s="387" t="s">
        <v>10111</v>
      </c>
      <c r="D1918" s="388" t="s">
        <v>97</v>
      </c>
      <c r="E1918" s="388" t="s">
        <v>10082</v>
      </c>
      <c r="F1918" s="388" t="s">
        <v>10078</v>
      </c>
      <c r="G1918" s="388" t="s">
        <v>10088</v>
      </c>
      <c r="H1918" s="388" t="s">
        <v>11870</v>
      </c>
      <c r="I1918" s="387" t="s">
        <v>13353</v>
      </c>
      <c r="J1918" s="389"/>
      <c r="K1918" s="387" t="s">
        <v>13356</v>
      </c>
      <c r="L1918" s="387"/>
      <c r="M1918" s="387"/>
      <c r="N1918" s="387"/>
      <c r="O1918" s="387" t="s">
        <v>44</v>
      </c>
      <c r="P1918" s="390">
        <v>96665000</v>
      </c>
      <c r="Q1918" s="387" t="s">
        <v>13357</v>
      </c>
      <c r="R1918" s="387" t="s">
        <v>8144</v>
      </c>
      <c r="S1918" s="340">
        <v>1</v>
      </c>
    </row>
    <row r="1919" spans="1:19" ht="44" thickBot="1" x14ac:dyDescent="0.4">
      <c r="A1919" s="357">
        <v>1908</v>
      </c>
      <c r="B1919" s="387" t="s">
        <v>10110</v>
      </c>
      <c r="C1919" s="387" t="s">
        <v>10111</v>
      </c>
      <c r="D1919" s="388" t="s">
        <v>101</v>
      </c>
      <c r="E1919" s="388" t="s">
        <v>10082</v>
      </c>
      <c r="F1919" s="388" t="s">
        <v>10078</v>
      </c>
      <c r="G1919" s="388" t="s">
        <v>10088</v>
      </c>
      <c r="H1919" s="388"/>
      <c r="I1919" s="387" t="s">
        <v>13353</v>
      </c>
      <c r="J1919" s="389"/>
      <c r="K1919" s="387" t="s">
        <v>13358</v>
      </c>
      <c r="L1919" s="387"/>
      <c r="M1919" s="387"/>
      <c r="N1919" s="387"/>
      <c r="O1919" s="387" t="s">
        <v>44</v>
      </c>
      <c r="P1919" s="390">
        <v>242901610</v>
      </c>
      <c r="Q1919" s="387" t="s">
        <v>13359</v>
      </c>
      <c r="R1919" s="387" t="s">
        <v>8144</v>
      </c>
      <c r="S1919" s="340">
        <v>1</v>
      </c>
    </row>
    <row r="1920" spans="1:19" ht="43.5" x14ac:dyDescent="0.35">
      <c r="A1920" s="349">
        <v>1909</v>
      </c>
      <c r="B1920" s="387" t="s">
        <v>10110</v>
      </c>
      <c r="C1920" s="387" t="s">
        <v>10111</v>
      </c>
      <c r="D1920" s="388" t="s">
        <v>107</v>
      </c>
      <c r="E1920" s="388" t="s">
        <v>10082</v>
      </c>
      <c r="F1920" s="388" t="s">
        <v>10078</v>
      </c>
      <c r="G1920" s="388" t="s">
        <v>10088</v>
      </c>
      <c r="H1920" s="388" t="s">
        <v>12407</v>
      </c>
      <c r="I1920" s="387" t="s">
        <v>13353</v>
      </c>
      <c r="J1920" s="389"/>
      <c r="K1920" s="387" t="s">
        <v>13360</v>
      </c>
      <c r="L1920" s="387"/>
      <c r="M1920" s="387"/>
      <c r="N1920" s="387"/>
      <c r="O1920" s="387" t="s">
        <v>44</v>
      </c>
      <c r="P1920" s="390">
        <v>147469000</v>
      </c>
      <c r="Q1920" s="387" t="s">
        <v>13361</v>
      </c>
      <c r="R1920" s="387" t="s">
        <v>8144</v>
      </c>
      <c r="S1920" s="340">
        <v>1</v>
      </c>
    </row>
    <row r="1921" spans="1:19" ht="44" thickBot="1" x14ac:dyDescent="0.4">
      <c r="A1921" s="357">
        <v>1910</v>
      </c>
      <c r="B1921" s="387" t="s">
        <v>10092</v>
      </c>
      <c r="C1921" s="387" t="s">
        <v>10093</v>
      </c>
      <c r="D1921" s="388" t="s">
        <v>51</v>
      </c>
      <c r="E1921" s="388" t="s">
        <v>10082</v>
      </c>
      <c r="F1921" s="388" t="s">
        <v>10078</v>
      </c>
      <c r="G1921" s="388" t="s">
        <v>10078</v>
      </c>
      <c r="H1921" s="388" t="s">
        <v>11536</v>
      </c>
      <c r="I1921" s="387" t="s">
        <v>13362</v>
      </c>
      <c r="J1921" s="389">
        <v>43966</v>
      </c>
      <c r="K1921" s="387" t="s">
        <v>13363</v>
      </c>
      <c r="L1921" s="387"/>
      <c r="M1921" s="387" t="s">
        <v>10084</v>
      </c>
      <c r="N1921" s="387"/>
      <c r="O1921" s="387" t="s">
        <v>57</v>
      </c>
      <c r="P1921" s="390">
        <v>195230000</v>
      </c>
      <c r="Q1921" s="387" t="s">
        <v>13364</v>
      </c>
      <c r="R1921" s="387" t="s">
        <v>8144</v>
      </c>
      <c r="S1921" s="340">
        <v>1</v>
      </c>
    </row>
    <row r="1922" spans="1:19" ht="29" x14ac:dyDescent="0.35">
      <c r="A1922" s="349">
        <v>1911</v>
      </c>
      <c r="B1922" s="387" t="s">
        <v>10146</v>
      </c>
      <c r="C1922" s="387" t="s">
        <v>10147</v>
      </c>
      <c r="D1922" s="388" t="s">
        <v>51</v>
      </c>
      <c r="E1922" s="388" t="s">
        <v>10082</v>
      </c>
      <c r="F1922" s="388" t="s">
        <v>10078</v>
      </c>
      <c r="G1922" s="388" t="s">
        <v>10088</v>
      </c>
      <c r="H1922" s="388" t="s">
        <v>11308</v>
      </c>
      <c r="I1922" s="387" t="s">
        <v>13242</v>
      </c>
      <c r="J1922" s="389">
        <v>42949</v>
      </c>
      <c r="K1922" s="387" t="s">
        <v>13365</v>
      </c>
      <c r="L1922" s="387"/>
      <c r="M1922" s="387" t="s">
        <v>10084</v>
      </c>
      <c r="N1922" s="387"/>
      <c r="O1922" s="387" t="s">
        <v>57</v>
      </c>
      <c r="P1922" s="390">
        <v>221228000</v>
      </c>
      <c r="Q1922" s="387" t="s">
        <v>13366</v>
      </c>
      <c r="R1922" s="387" t="s">
        <v>8144</v>
      </c>
      <c r="S1922" s="340">
        <v>1</v>
      </c>
    </row>
    <row r="1923" spans="1:19" ht="44" thickBot="1" x14ac:dyDescent="0.4">
      <c r="A1923" s="357">
        <v>1912</v>
      </c>
      <c r="B1923" s="387" t="s">
        <v>10096</v>
      </c>
      <c r="C1923" s="387" t="s">
        <v>10097</v>
      </c>
      <c r="D1923" s="388" t="s">
        <v>51</v>
      </c>
      <c r="E1923" s="388" t="s">
        <v>10082</v>
      </c>
      <c r="F1923" s="388" t="s">
        <v>10078</v>
      </c>
      <c r="G1923" s="388" t="s">
        <v>10088</v>
      </c>
      <c r="H1923" s="388" t="s">
        <v>13367</v>
      </c>
      <c r="I1923" s="387" t="s">
        <v>13368</v>
      </c>
      <c r="J1923" s="389"/>
      <c r="K1923" s="387" t="s">
        <v>13369</v>
      </c>
      <c r="L1923" s="387"/>
      <c r="M1923" s="387"/>
      <c r="N1923" s="387"/>
      <c r="O1923" s="387" t="s">
        <v>44</v>
      </c>
      <c r="P1923" s="390">
        <v>199572600</v>
      </c>
      <c r="Q1923" s="387" t="s">
        <v>13370</v>
      </c>
      <c r="R1923" s="387" t="s">
        <v>8144</v>
      </c>
      <c r="S1923" s="340">
        <v>1</v>
      </c>
    </row>
    <row r="1924" spans="1:19" ht="29" x14ac:dyDescent="0.35">
      <c r="A1924" s="349">
        <v>1913</v>
      </c>
      <c r="B1924" s="387" t="s">
        <v>10155</v>
      </c>
      <c r="C1924" s="387" t="s">
        <v>10156</v>
      </c>
      <c r="D1924" s="388" t="s">
        <v>51</v>
      </c>
      <c r="E1924" s="388" t="s">
        <v>10082</v>
      </c>
      <c r="F1924" s="388" t="s">
        <v>10078</v>
      </c>
      <c r="G1924" s="388" t="s">
        <v>10088</v>
      </c>
      <c r="H1924" s="388" t="s">
        <v>231</v>
      </c>
      <c r="I1924" s="387" t="s">
        <v>13371</v>
      </c>
      <c r="J1924" s="389">
        <v>41893</v>
      </c>
      <c r="K1924" s="387" t="s">
        <v>13372</v>
      </c>
      <c r="L1924" s="387"/>
      <c r="M1924" s="387" t="s">
        <v>10084</v>
      </c>
      <c r="N1924" s="387"/>
      <c r="O1924" s="387" t="s">
        <v>57</v>
      </c>
      <c r="P1924" s="390">
        <v>728896000</v>
      </c>
      <c r="Q1924" s="387" t="s">
        <v>13373</v>
      </c>
      <c r="R1924" s="387" t="s">
        <v>13374</v>
      </c>
      <c r="S1924" s="340">
        <v>1</v>
      </c>
    </row>
    <row r="1925" spans="1:19" ht="44" thickBot="1" x14ac:dyDescent="0.4">
      <c r="A1925" s="357">
        <v>1914</v>
      </c>
      <c r="B1925" s="387" t="s">
        <v>10080</v>
      </c>
      <c r="C1925" s="387" t="s">
        <v>10081</v>
      </c>
      <c r="D1925" s="388" t="s">
        <v>51</v>
      </c>
      <c r="E1925" s="388" t="s">
        <v>10082</v>
      </c>
      <c r="F1925" s="388" t="s">
        <v>10078</v>
      </c>
      <c r="G1925" s="388" t="s">
        <v>10078</v>
      </c>
      <c r="H1925" s="388" t="s">
        <v>12623</v>
      </c>
      <c r="I1925" s="387" t="s">
        <v>13375</v>
      </c>
      <c r="J1925" s="389">
        <v>43588</v>
      </c>
      <c r="K1925" s="387" t="s">
        <v>13376</v>
      </c>
      <c r="L1925" s="387"/>
      <c r="M1925" s="387" t="s">
        <v>10084</v>
      </c>
      <c r="N1925" s="387"/>
      <c r="O1925" s="387" t="s">
        <v>57</v>
      </c>
      <c r="P1925" s="390">
        <v>209842340</v>
      </c>
      <c r="Q1925" s="387" t="s">
        <v>13377</v>
      </c>
      <c r="R1925" s="387" t="s">
        <v>8150</v>
      </c>
      <c r="S1925" s="340">
        <v>1</v>
      </c>
    </row>
    <row r="1926" spans="1:19" ht="29" x14ac:dyDescent="0.35">
      <c r="A1926" s="349">
        <v>1915</v>
      </c>
      <c r="B1926" s="387" t="s">
        <v>10080</v>
      </c>
      <c r="C1926" s="387" t="s">
        <v>10081</v>
      </c>
      <c r="D1926" s="388" t="s">
        <v>59</v>
      </c>
      <c r="E1926" s="388" t="s">
        <v>10082</v>
      </c>
      <c r="F1926" s="388" t="s">
        <v>10078</v>
      </c>
      <c r="G1926" s="388" t="s">
        <v>10078</v>
      </c>
      <c r="H1926" s="388" t="s">
        <v>11960</v>
      </c>
      <c r="I1926" s="387" t="s">
        <v>13371</v>
      </c>
      <c r="J1926" s="389"/>
      <c r="K1926" s="387"/>
      <c r="L1926" s="387"/>
      <c r="M1926" s="387" t="s">
        <v>10084</v>
      </c>
      <c r="N1926" s="387"/>
      <c r="O1926" s="387" t="s">
        <v>57</v>
      </c>
      <c r="P1926" s="390">
        <v>385138000</v>
      </c>
      <c r="Q1926" s="387"/>
      <c r="R1926" s="387" t="s">
        <v>8150</v>
      </c>
      <c r="S1926" s="340">
        <v>1</v>
      </c>
    </row>
    <row r="1927" spans="1:19" ht="29.5" thickBot="1" x14ac:dyDescent="0.4">
      <c r="A1927" s="357">
        <v>1916</v>
      </c>
      <c r="B1927" s="387" t="s">
        <v>10080</v>
      </c>
      <c r="C1927" s="387" t="s">
        <v>10081</v>
      </c>
      <c r="D1927" s="388" t="s">
        <v>97</v>
      </c>
      <c r="E1927" s="388" t="s">
        <v>10082</v>
      </c>
      <c r="F1927" s="388" t="s">
        <v>10078</v>
      </c>
      <c r="G1927" s="388" t="s">
        <v>10078</v>
      </c>
      <c r="H1927" s="388" t="s">
        <v>11400</v>
      </c>
      <c r="I1927" s="387" t="s">
        <v>13371</v>
      </c>
      <c r="J1927" s="389"/>
      <c r="K1927" s="387"/>
      <c r="L1927" s="387"/>
      <c r="M1927" s="387" t="s">
        <v>10084</v>
      </c>
      <c r="N1927" s="387"/>
      <c r="O1927" s="387" t="s">
        <v>57</v>
      </c>
      <c r="P1927" s="390">
        <v>412245041</v>
      </c>
      <c r="Q1927" s="387"/>
      <c r="R1927" s="387" t="s">
        <v>8150</v>
      </c>
      <c r="S1927" s="340">
        <v>1</v>
      </c>
    </row>
    <row r="1928" spans="1:19" ht="29" x14ac:dyDescent="0.35">
      <c r="A1928" s="349">
        <v>1917</v>
      </c>
      <c r="B1928" s="387" t="s">
        <v>10080</v>
      </c>
      <c r="C1928" s="387" t="s">
        <v>10081</v>
      </c>
      <c r="D1928" s="388" t="s">
        <v>101</v>
      </c>
      <c r="E1928" s="388" t="s">
        <v>10082</v>
      </c>
      <c r="F1928" s="388" t="s">
        <v>10078</v>
      </c>
      <c r="G1928" s="388" t="s">
        <v>10078</v>
      </c>
      <c r="H1928" s="388" t="s">
        <v>11400</v>
      </c>
      <c r="I1928" s="387" t="s">
        <v>13371</v>
      </c>
      <c r="J1928" s="389"/>
      <c r="K1928" s="387"/>
      <c r="L1928" s="387"/>
      <c r="M1928" s="387" t="s">
        <v>10084</v>
      </c>
      <c r="N1928" s="387"/>
      <c r="O1928" s="387" t="s">
        <v>57</v>
      </c>
      <c r="P1928" s="390">
        <v>217699000</v>
      </c>
      <c r="Q1928" s="387"/>
      <c r="R1928" s="387" t="s">
        <v>8150</v>
      </c>
      <c r="S1928" s="340">
        <v>1</v>
      </c>
    </row>
    <row r="1929" spans="1:19" ht="29.5" thickBot="1" x14ac:dyDescent="0.4">
      <c r="A1929" s="357">
        <v>1918</v>
      </c>
      <c r="B1929" s="387" t="s">
        <v>10110</v>
      </c>
      <c r="C1929" s="387" t="s">
        <v>10111</v>
      </c>
      <c r="D1929" s="388" t="s">
        <v>51</v>
      </c>
      <c r="E1929" s="388" t="s">
        <v>10082</v>
      </c>
      <c r="F1929" s="388" t="s">
        <v>10078</v>
      </c>
      <c r="G1929" s="388" t="s">
        <v>10078</v>
      </c>
      <c r="H1929" s="388" t="s">
        <v>11408</v>
      </c>
      <c r="I1929" s="387" t="s">
        <v>13371</v>
      </c>
      <c r="J1929" s="389"/>
      <c r="K1929" s="387"/>
      <c r="L1929" s="387"/>
      <c r="M1929" s="387" t="s">
        <v>10084</v>
      </c>
      <c r="N1929" s="387"/>
      <c r="O1929" s="387" t="s">
        <v>57</v>
      </c>
      <c r="P1929" s="390">
        <v>9371000</v>
      </c>
      <c r="Q1929" s="387"/>
      <c r="R1929" s="387" t="s">
        <v>8150</v>
      </c>
      <c r="S1929" s="340">
        <v>1</v>
      </c>
    </row>
    <row r="1930" spans="1:19" ht="43.5" x14ac:dyDescent="0.35">
      <c r="A1930" s="349">
        <v>1919</v>
      </c>
      <c r="B1930" s="387" t="s">
        <v>10110</v>
      </c>
      <c r="C1930" s="387" t="s">
        <v>10111</v>
      </c>
      <c r="D1930" s="388" t="s">
        <v>107</v>
      </c>
      <c r="E1930" s="388" t="s">
        <v>10082</v>
      </c>
      <c r="F1930" s="388" t="s">
        <v>10078</v>
      </c>
      <c r="G1930" s="388" t="s">
        <v>10088</v>
      </c>
      <c r="H1930" s="388"/>
      <c r="I1930" s="387" t="s">
        <v>13378</v>
      </c>
      <c r="J1930" s="389"/>
      <c r="K1930" s="387" t="s">
        <v>13379</v>
      </c>
      <c r="L1930" s="387"/>
      <c r="M1930" s="387"/>
      <c r="N1930" s="387"/>
      <c r="O1930" s="387" t="s">
        <v>44</v>
      </c>
      <c r="P1930" s="390">
        <v>244366700</v>
      </c>
      <c r="Q1930" s="387" t="s">
        <v>13380</v>
      </c>
      <c r="R1930" s="387" t="s">
        <v>8150</v>
      </c>
      <c r="S1930" s="340">
        <v>1</v>
      </c>
    </row>
    <row r="1931" spans="1:19" ht="29.5" thickBot="1" x14ac:dyDescent="0.4">
      <c r="A1931" s="357">
        <v>1920</v>
      </c>
      <c r="B1931" s="387" t="s">
        <v>10110</v>
      </c>
      <c r="C1931" s="387" t="s">
        <v>10111</v>
      </c>
      <c r="D1931" s="388" t="s">
        <v>112</v>
      </c>
      <c r="E1931" s="388" t="s">
        <v>10082</v>
      </c>
      <c r="F1931" s="388" t="s">
        <v>10078</v>
      </c>
      <c r="G1931" s="388" t="s">
        <v>10088</v>
      </c>
      <c r="H1931" s="388" t="s">
        <v>12407</v>
      </c>
      <c r="I1931" s="387" t="s">
        <v>13378</v>
      </c>
      <c r="J1931" s="389"/>
      <c r="K1931" s="387" t="s">
        <v>13381</v>
      </c>
      <c r="L1931" s="387"/>
      <c r="M1931" s="387"/>
      <c r="N1931" s="387"/>
      <c r="O1931" s="387" t="s">
        <v>44</v>
      </c>
      <c r="P1931" s="390">
        <v>148445000</v>
      </c>
      <c r="Q1931" s="387" t="s">
        <v>13382</v>
      </c>
      <c r="R1931" s="387" t="s">
        <v>8150</v>
      </c>
      <c r="S1931" s="340">
        <v>1</v>
      </c>
    </row>
    <row r="1932" spans="1:19" ht="58" x14ac:dyDescent="0.35">
      <c r="A1932" s="349">
        <v>1921</v>
      </c>
      <c r="B1932" s="387" t="s">
        <v>10110</v>
      </c>
      <c r="C1932" s="387" t="s">
        <v>10111</v>
      </c>
      <c r="D1932" s="388" t="s">
        <v>116</v>
      </c>
      <c r="E1932" s="388" t="s">
        <v>10082</v>
      </c>
      <c r="F1932" s="388" t="s">
        <v>10078</v>
      </c>
      <c r="G1932" s="388" t="s">
        <v>10088</v>
      </c>
      <c r="H1932" s="388"/>
      <c r="I1932" s="387" t="s">
        <v>13378</v>
      </c>
      <c r="J1932" s="389"/>
      <c r="K1932" s="387" t="s">
        <v>13383</v>
      </c>
      <c r="L1932" s="387"/>
      <c r="M1932" s="387"/>
      <c r="N1932" s="387"/>
      <c r="O1932" s="387" t="s">
        <v>44</v>
      </c>
      <c r="P1932" s="390">
        <v>265920996.99999997</v>
      </c>
      <c r="Q1932" s="387" t="s">
        <v>13384</v>
      </c>
      <c r="R1932" s="387" t="s">
        <v>8150</v>
      </c>
      <c r="S1932" s="340">
        <v>1</v>
      </c>
    </row>
    <row r="1933" spans="1:19" ht="44" thickBot="1" x14ac:dyDescent="0.4">
      <c r="A1933" s="357">
        <v>1922</v>
      </c>
      <c r="B1933" s="387" t="s">
        <v>10765</v>
      </c>
      <c r="C1933" s="387" t="s">
        <v>10766</v>
      </c>
      <c r="D1933" s="388" t="s">
        <v>51</v>
      </c>
      <c r="E1933" s="388" t="s">
        <v>10082</v>
      </c>
      <c r="F1933" s="388" t="s">
        <v>10078</v>
      </c>
      <c r="G1933" s="388" t="s">
        <v>10088</v>
      </c>
      <c r="H1933" s="388" t="s">
        <v>13385</v>
      </c>
      <c r="I1933" s="387" t="s">
        <v>13386</v>
      </c>
      <c r="J1933" s="389"/>
      <c r="K1933" s="387" t="s">
        <v>13387</v>
      </c>
      <c r="L1933" s="387"/>
      <c r="M1933" s="387"/>
      <c r="N1933" s="387"/>
      <c r="O1933" s="387" t="s">
        <v>44</v>
      </c>
      <c r="P1933" s="390">
        <v>199622600</v>
      </c>
      <c r="Q1933" s="387" t="s">
        <v>13388</v>
      </c>
      <c r="R1933" s="387" t="s">
        <v>8150</v>
      </c>
      <c r="S1933" s="340">
        <v>1</v>
      </c>
    </row>
    <row r="1934" spans="1:19" ht="29" x14ac:dyDescent="0.35">
      <c r="A1934" s="349">
        <v>1923</v>
      </c>
      <c r="B1934" s="387" t="s">
        <v>10085</v>
      </c>
      <c r="C1934" s="387" t="s">
        <v>10086</v>
      </c>
      <c r="D1934" s="388" t="s">
        <v>51</v>
      </c>
      <c r="E1934" s="388" t="s">
        <v>10082</v>
      </c>
      <c r="F1934" s="388" t="s">
        <v>10078</v>
      </c>
      <c r="G1934" s="388" t="s">
        <v>10078</v>
      </c>
      <c r="H1934" s="388" t="s">
        <v>11308</v>
      </c>
      <c r="I1934" s="387" t="s">
        <v>13371</v>
      </c>
      <c r="J1934" s="389"/>
      <c r="K1934" s="387"/>
      <c r="L1934" s="387"/>
      <c r="M1934" s="387" t="s">
        <v>10084</v>
      </c>
      <c r="N1934" s="387"/>
      <c r="O1934" s="387" t="s">
        <v>57</v>
      </c>
      <c r="P1934" s="390">
        <v>378424400</v>
      </c>
      <c r="Q1934" s="387"/>
      <c r="R1934" s="387" t="s">
        <v>8150</v>
      </c>
      <c r="S1934" s="340">
        <v>1</v>
      </c>
    </row>
    <row r="1935" spans="1:19" ht="29.5" thickBot="1" x14ac:dyDescent="0.4">
      <c r="A1935" s="357">
        <v>1924</v>
      </c>
      <c r="B1935" s="387" t="s">
        <v>10085</v>
      </c>
      <c r="C1935" s="387" t="s">
        <v>10086</v>
      </c>
      <c r="D1935" s="388" t="s">
        <v>59</v>
      </c>
      <c r="E1935" s="388" t="s">
        <v>10082</v>
      </c>
      <c r="F1935" s="388" t="s">
        <v>10078</v>
      </c>
      <c r="G1935" s="388" t="s">
        <v>10078</v>
      </c>
      <c r="H1935" s="388" t="s">
        <v>11308</v>
      </c>
      <c r="I1935" s="387" t="s">
        <v>13371</v>
      </c>
      <c r="J1935" s="389"/>
      <c r="K1935" s="387"/>
      <c r="L1935" s="387"/>
      <c r="M1935" s="387" t="s">
        <v>10084</v>
      </c>
      <c r="N1935" s="387"/>
      <c r="O1935" s="387" t="s">
        <v>57</v>
      </c>
      <c r="P1935" s="390">
        <v>87465000</v>
      </c>
      <c r="Q1935" s="387"/>
      <c r="R1935" s="387" t="s">
        <v>8150</v>
      </c>
      <c r="S1935" s="340">
        <v>1</v>
      </c>
    </row>
    <row r="1936" spans="1:19" ht="29" x14ac:dyDescent="0.35">
      <c r="A1936" s="349">
        <v>1925</v>
      </c>
      <c r="B1936" s="387" t="s">
        <v>10096</v>
      </c>
      <c r="C1936" s="387" t="s">
        <v>10097</v>
      </c>
      <c r="D1936" s="388" t="s">
        <v>51</v>
      </c>
      <c r="E1936" s="388" t="s">
        <v>10082</v>
      </c>
      <c r="F1936" s="388" t="s">
        <v>10078</v>
      </c>
      <c r="G1936" s="388" t="s">
        <v>10088</v>
      </c>
      <c r="H1936" s="388" t="s">
        <v>11719</v>
      </c>
      <c r="I1936" s="387" t="s">
        <v>13371</v>
      </c>
      <c r="J1936" s="389"/>
      <c r="K1936" s="387"/>
      <c r="L1936" s="387"/>
      <c r="M1936" s="387" t="s">
        <v>10084</v>
      </c>
      <c r="N1936" s="387"/>
      <c r="O1936" s="387" t="s">
        <v>57</v>
      </c>
      <c r="P1936" s="390">
        <v>436558000</v>
      </c>
      <c r="Q1936" s="387" t="s">
        <v>13389</v>
      </c>
      <c r="R1936" s="387" t="s">
        <v>8150</v>
      </c>
      <c r="S1936" s="340">
        <v>1</v>
      </c>
    </row>
    <row r="1937" spans="1:19" ht="44" thickBot="1" x14ac:dyDescent="0.4">
      <c r="A1937" s="357">
        <v>1926</v>
      </c>
      <c r="B1937" s="387" t="s">
        <v>10096</v>
      </c>
      <c r="C1937" s="387" t="s">
        <v>10097</v>
      </c>
      <c r="D1937" s="388" t="s">
        <v>59</v>
      </c>
      <c r="E1937" s="388" t="s">
        <v>10082</v>
      </c>
      <c r="F1937" s="388" t="s">
        <v>10078</v>
      </c>
      <c r="G1937" s="388" t="s">
        <v>10088</v>
      </c>
      <c r="H1937" s="388" t="s">
        <v>13390</v>
      </c>
      <c r="I1937" s="387" t="s">
        <v>13386</v>
      </c>
      <c r="J1937" s="389"/>
      <c r="K1937" s="387" t="s">
        <v>13391</v>
      </c>
      <c r="L1937" s="387"/>
      <c r="M1937" s="387"/>
      <c r="N1937" s="387"/>
      <c r="O1937" s="387" t="s">
        <v>44</v>
      </c>
      <c r="P1937" s="390">
        <v>175622600</v>
      </c>
      <c r="Q1937" s="387" t="s">
        <v>13392</v>
      </c>
      <c r="R1937" s="387" t="s">
        <v>8150</v>
      </c>
      <c r="S1937" s="340">
        <v>1</v>
      </c>
    </row>
    <row r="1938" spans="1:19" ht="29" x14ac:dyDescent="0.35">
      <c r="A1938" s="349">
        <v>1927</v>
      </c>
      <c r="B1938" s="387" t="s">
        <v>10080</v>
      </c>
      <c r="C1938" s="387" t="s">
        <v>10081</v>
      </c>
      <c r="D1938" s="388" t="s">
        <v>51</v>
      </c>
      <c r="E1938" s="388" t="s">
        <v>10082</v>
      </c>
      <c r="F1938" s="388" t="s">
        <v>10078</v>
      </c>
      <c r="G1938" s="388" t="s">
        <v>10078</v>
      </c>
      <c r="H1938" s="388" t="s">
        <v>11400</v>
      </c>
      <c r="I1938" s="387" t="s">
        <v>13393</v>
      </c>
      <c r="J1938" s="389"/>
      <c r="K1938" s="387"/>
      <c r="L1938" s="387"/>
      <c r="M1938" s="387" t="s">
        <v>10084</v>
      </c>
      <c r="N1938" s="387"/>
      <c r="O1938" s="387" t="s">
        <v>57</v>
      </c>
      <c r="P1938" s="390">
        <v>139925000</v>
      </c>
      <c r="Q1938" s="387"/>
      <c r="R1938" s="387" t="s">
        <v>8154</v>
      </c>
      <c r="S1938" s="340">
        <v>1</v>
      </c>
    </row>
    <row r="1939" spans="1:19" ht="29.5" thickBot="1" x14ac:dyDescent="0.4">
      <c r="A1939" s="357">
        <v>1928</v>
      </c>
      <c r="B1939" s="387" t="s">
        <v>10080</v>
      </c>
      <c r="C1939" s="387" t="s">
        <v>10081</v>
      </c>
      <c r="D1939" s="388" t="s">
        <v>59</v>
      </c>
      <c r="E1939" s="388" t="s">
        <v>10082</v>
      </c>
      <c r="F1939" s="388" t="s">
        <v>10078</v>
      </c>
      <c r="G1939" s="388" t="s">
        <v>10078</v>
      </c>
      <c r="H1939" s="388" t="s">
        <v>11400</v>
      </c>
      <c r="I1939" s="387" t="s">
        <v>13393</v>
      </c>
      <c r="J1939" s="389"/>
      <c r="K1939" s="387"/>
      <c r="L1939" s="387"/>
      <c r="M1939" s="387" t="s">
        <v>10084</v>
      </c>
      <c r="N1939" s="387"/>
      <c r="O1939" s="387" t="s">
        <v>57</v>
      </c>
      <c r="P1939" s="390">
        <v>112455000</v>
      </c>
      <c r="Q1939" s="387"/>
      <c r="R1939" s="387" t="s">
        <v>8154</v>
      </c>
      <c r="S1939" s="340">
        <v>1</v>
      </c>
    </row>
    <row r="1940" spans="1:19" ht="29" x14ac:dyDescent="0.35">
      <c r="A1940" s="349">
        <v>1929</v>
      </c>
      <c r="B1940" s="387" t="s">
        <v>10080</v>
      </c>
      <c r="C1940" s="387" t="s">
        <v>10081</v>
      </c>
      <c r="D1940" s="388" t="s">
        <v>97</v>
      </c>
      <c r="E1940" s="388" t="s">
        <v>10082</v>
      </c>
      <c r="F1940" s="388" t="s">
        <v>10078</v>
      </c>
      <c r="G1940" s="388" t="s">
        <v>10078</v>
      </c>
      <c r="H1940" s="388" t="s">
        <v>11400</v>
      </c>
      <c r="I1940" s="387" t="s">
        <v>13393</v>
      </c>
      <c r="J1940" s="389"/>
      <c r="K1940" s="387"/>
      <c r="L1940" s="387"/>
      <c r="M1940" s="387" t="s">
        <v>10084</v>
      </c>
      <c r="N1940" s="387"/>
      <c r="O1940" s="387" t="s">
        <v>57</v>
      </c>
      <c r="P1940" s="390">
        <v>112455000</v>
      </c>
      <c r="Q1940" s="387"/>
      <c r="R1940" s="387" t="s">
        <v>8154</v>
      </c>
      <c r="S1940" s="340">
        <v>1</v>
      </c>
    </row>
    <row r="1941" spans="1:19" ht="29.5" thickBot="1" x14ac:dyDescent="0.4">
      <c r="A1941" s="357">
        <v>1930</v>
      </c>
      <c r="B1941" s="387" t="s">
        <v>10080</v>
      </c>
      <c r="C1941" s="387" t="s">
        <v>10081</v>
      </c>
      <c r="D1941" s="388" t="s">
        <v>101</v>
      </c>
      <c r="E1941" s="388" t="s">
        <v>10082</v>
      </c>
      <c r="F1941" s="388" t="s">
        <v>10078</v>
      </c>
      <c r="G1941" s="388" t="s">
        <v>10078</v>
      </c>
      <c r="H1941" s="388" t="s">
        <v>11400</v>
      </c>
      <c r="I1941" s="387" t="s">
        <v>13393</v>
      </c>
      <c r="J1941" s="389"/>
      <c r="K1941" s="387"/>
      <c r="L1941" s="387"/>
      <c r="M1941" s="387" t="s">
        <v>10084</v>
      </c>
      <c r="N1941" s="387"/>
      <c r="O1941" s="387" t="s">
        <v>57</v>
      </c>
      <c r="P1941" s="390">
        <v>112455000</v>
      </c>
      <c r="Q1941" s="387"/>
      <c r="R1941" s="387" t="s">
        <v>8154</v>
      </c>
      <c r="S1941" s="340">
        <v>1</v>
      </c>
    </row>
    <row r="1942" spans="1:19" ht="29" x14ac:dyDescent="0.35">
      <c r="A1942" s="349">
        <v>1931</v>
      </c>
      <c r="B1942" s="387" t="s">
        <v>10092</v>
      </c>
      <c r="C1942" s="387" t="s">
        <v>10093</v>
      </c>
      <c r="D1942" s="388" t="s">
        <v>51</v>
      </c>
      <c r="E1942" s="388" t="s">
        <v>10082</v>
      </c>
      <c r="F1942" s="388" t="s">
        <v>10078</v>
      </c>
      <c r="G1942" s="388" t="s">
        <v>10078</v>
      </c>
      <c r="H1942" s="388" t="s">
        <v>12979</v>
      </c>
      <c r="I1942" s="387" t="s">
        <v>13393</v>
      </c>
      <c r="J1942" s="389">
        <v>41564</v>
      </c>
      <c r="K1942" s="387" t="s">
        <v>13394</v>
      </c>
      <c r="L1942" s="387"/>
      <c r="M1942" s="387" t="s">
        <v>10084</v>
      </c>
      <c r="N1942" s="387"/>
      <c r="O1942" s="387" t="s">
        <v>57</v>
      </c>
      <c r="P1942" s="390">
        <v>155169520</v>
      </c>
      <c r="Q1942" s="387"/>
      <c r="R1942" s="387" t="s">
        <v>8154</v>
      </c>
      <c r="S1942" s="340">
        <v>1</v>
      </c>
    </row>
    <row r="1943" spans="1:19" ht="29.5" thickBot="1" x14ac:dyDescent="0.4">
      <c r="A1943" s="357">
        <v>1932</v>
      </c>
      <c r="B1943" s="387" t="s">
        <v>10085</v>
      </c>
      <c r="C1943" s="387" t="s">
        <v>10086</v>
      </c>
      <c r="D1943" s="388" t="s">
        <v>51</v>
      </c>
      <c r="E1943" s="388" t="s">
        <v>10082</v>
      </c>
      <c r="F1943" s="388" t="s">
        <v>10078</v>
      </c>
      <c r="G1943" s="388" t="s">
        <v>10078</v>
      </c>
      <c r="H1943" s="388" t="s">
        <v>11308</v>
      </c>
      <c r="I1943" s="387" t="s">
        <v>13393</v>
      </c>
      <c r="J1943" s="389"/>
      <c r="K1943" s="387"/>
      <c r="L1943" s="387"/>
      <c r="M1943" s="387" t="s">
        <v>10084</v>
      </c>
      <c r="N1943" s="387"/>
      <c r="O1943" s="387" t="s">
        <v>57</v>
      </c>
      <c r="P1943" s="390">
        <v>169722000</v>
      </c>
      <c r="Q1943" s="387"/>
      <c r="R1943" s="387" t="s">
        <v>8154</v>
      </c>
      <c r="S1943" s="340">
        <v>1</v>
      </c>
    </row>
    <row r="1944" spans="1:19" ht="43.5" x14ac:dyDescent="0.35">
      <c r="A1944" s="349">
        <v>1933</v>
      </c>
      <c r="B1944" s="387" t="s">
        <v>10085</v>
      </c>
      <c r="C1944" s="387" t="s">
        <v>10086</v>
      </c>
      <c r="D1944" s="388" t="s">
        <v>59</v>
      </c>
      <c r="E1944" s="388" t="s">
        <v>10082</v>
      </c>
      <c r="F1944" s="388" t="s">
        <v>10078</v>
      </c>
      <c r="G1944" s="388" t="s">
        <v>10078</v>
      </c>
      <c r="H1944" s="388" t="s">
        <v>11384</v>
      </c>
      <c r="I1944" s="387" t="s">
        <v>13393</v>
      </c>
      <c r="J1944" s="389">
        <v>41528</v>
      </c>
      <c r="K1944" s="387" t="s">
        <v>13395</v>
      </c>
      <c r="L1944" s="387"/>
      <c r="M1944" s="387" t="s">
        <v>10084</v>
      </c>
      <c r="N1944" s="387"/>
      <c r="O1944" s="387" t="s">
        <v>57</v>
      </c>
      <c r="P1944" s="390">
        <v>136338000</v>
      </c>
      <c r="Q1944" s="387" t="s">
        <v>13396</v>
      </c>
      <c r="R1944" s="387" t="s">
        <v>8154</v>
      </c>
      <c r="S1944" s="340">
        <v>1</v>
      </c>
    </row>
    <row r="1945" spans="1:19" ht="29.5" thickBot="1" x14ac:dyDescent="0.4">
      <c r="A1945" s="357">
        <v>1934</v>
      </c>
      <c r="B1945" s="387" t="s">
        <v>10146</v>
      </c>
      <c r="C1945" s="387" t="s">
        <v>10147</v>
      </c>
      <c r="D1945" s="388" t="s">
        <v>51</v>
      </c>
      <c r="E1945" s="388" t="s">
        <v>10082</v>
      </c>
      <c r="F1945" s="388" t="s">
        <v>10078</v>
      </c>
      <c r="G1945" s="388" t="s">
        <v>10088</v>
      </c>
      <c r="H1945" s="388" t="s">
        <v>12664</v>
      </c>
      <c r="I1945" s="387" t="s">
        <v>13393</v>
      </c>
      <c r="J1945" s="389">
        <v>42481</v>
      </c>
      <c r="K1945" s="387" t="s">
        <v>13397</v>
      </c>
      <c r="L1945" s="387"/>
      <c r="M1945" s="387" t="s">
        <v>10084</v>
      </c>
      <c r="N1945" s="387"/>
      <c r="O1945" s="387" t="s">
        <v>57</v>
      </c>
      <c r="P1945" s="390">
        <v>220917000</v>
      </c>
      <c r="Q1945" s="387" t="s">
        <v>13398</v>
      </c>
      <c r="R1945" s="387" t="s">
        <v>8154</v>
      </c>
      <c r="S1945" s="340">
        <v>1</v>
      </c>
    </row>
    <row r="1946" spans="1:19" ht="43.5" x14ac:dyDescent="0.35">
      <c r="A1946" s="349">
        <v>1935</v>
      </c>
      <c r="B1946" s="387" t="s">
        <v>10146</v>
      </c>
      <c r="C1946" s="387" t="s">
        <v>10147</v>
      </c>
      <c r="D1946" s="388" t="s">
        <v>59</v>
      </c>
      <c r="E1946" s="388" t="s">
        <v>10082</v>
      </c>
      <c r="F1946" s="388" t="s">
        <v>10078</v>
      </c>
      <c r="G1946" s="388" t="s">
        <v>10088</v>
      </c>
      <c r="H1946" s="388" t="s">
        <v>11318</v>
      </c>
      <c r="I1946" s="387"/>
      <c r="J1946" s="389">
        <v>44756</v>
      </c>
      <c r="K1946" s="387" t="s">
        <v>13399</v>
      </c>
      <c r="L1946" s="387"/>
      <c r="M1946" s="387"/>
      <c r="N1946" s="387"/>
      <c r="O1946" s="387" t="s">
        <v>44</v>
      </c>
      <c r="P1946" s="390">
        <v>194569000</v>
      </c>
      <c r="Q1946" s="387" t="s">
        <v>13400</v>
      </c>
      <c r="R1946" s="387" t="s">
        <v>8154</v>
      </c>
      <c r="S1946" s="340">
        <v>1</v>
      </c>
    </row>
    <row r="1947" spans="1:19" ht="29.5" thickBot="1" x14ac:dyDescent="0.4">
      <c r="A1947" s="357">
        <v>1936</v>
      </c>
      <c r="B1947" s="387" t="s">
        <v>10096</v>
      </c>
      <c r="C1947" s="387" t="s">
        <v>10097</v>
      </c>
      <c r="D1947" s="388" t="s">
        <v>51</v>
      </c>
      <c r="E1947" s="388" t="s">
        <v>10082</v>
      </c>
      <c r="F1947" s="388" t="s">
        <v>10078</v>
      </c>
      <c r="G1947" s="388" t="s">
        <v>10078</v>
      </c>
      <c r="H1947" s="388" t="s">
        <v>2972</v>
      </c>
      <c r="I1947" s="387" t="s">
        <v>13401</v>
      </c>
      <c r="J1947" s="389">
        <v>44398</v>
      </c>
      <c r="K1947" s="387" t="s">
        <v>13402</v>
      </c>
      <c r="L1947" s="387"/>
      <c r="M1947" s="387" t="s">
        <v>10084</v>
      </c>
      <c r="N1947" s="387"/>
      <c r="O1947" s="387" t="s">
        <v>57</v>
      </c>
      <c r="P1947" s="390">
        <v>131530000</v>
      </c>
      <c r="Q1947" s="387" t="s">
        <v>13403</v>
      </c>
      <c r="R1947" s="387" t="s">
        <v>8154</v>
      </c>
      <c r="S1947" s="340">
        <v>1</v>
      </c>
    </row>
    <row r="1948" spans="1:19" ht="29" x14ac:dyDescent="0.35">
      <c r="A1948" s="349">
        <v>1937</v>
      </c>
      <c r="B1948" s="387" t="s">
        <v>10080</v>
      </c>
      <c r="C1948" s="387" t="s">
        <v>10081</v>
      </c>
      <c r="D1948" s="388" t="s">
        <v>51</v>
      </c>
      <c r="E1948" s="388" t="s">
        <v>10082</v>
      </c>
      <c r="F1948" s="388" t="s">
        <v>10078</v>
      </c>
      <c r="G1948" s="388" t="s">
        <v>10088</v>
      </c>
      <c r="H1948" s="388" t="s">
        <v>3405</v>
      </c>
      <c r="I1948" s="387" t="s">
        <v>13404</v>
      </c>
      <c r="J1948" s="389">
        <v>41873</v>
      </c>
      <c r="K1948" s="387" t="s">
        <v>13405</v>
      </c>
      <c r="L1948" s="387"/>
      <c r="M1948" s="387" t="s">
        <v>10084</v>
      </c>
      <c r="N1948" s="387"/>
      <c r="O1948" s="387" t="s">
        <v>57</v>
      </c>
      <c r="P1948" s="390">
        <v>273222240</v>
      </c>
      <c r="Q1948" s="387" t="s">
        <v>13406</v>
      </c>
      <c r="R1948" s="387" t="s">
        <v>13407</v>
      </c>
      <c r="S1948" s="340">
        <v>1</v>
      </c>
    </row>
    <row r="1949" spans="1:19" ht="29.5" thickBot="1" x14ac:dyDescent="0.4">
      <c r="A1949" s="357">
        <v>1938</v>
      </c>
      <c r="B1949" s="387" t="s">
        <v>10080</v>
      </c>
      <c r="C1949" s="387" t="s">
        <v>10081</v>
      </c>
      <c r="D1949" s="388" t="s">
        <v>59</v>
      </c>
      <c r="E1949" s="388" t="s">
        <v>10082</v>
      </c>
      <c r="F1949" s="388" t="s">
        <v>10078</v>
      </c>
      <c r="G1949" s="388" t="s">
        <v>10078</v>
      </c>
      <c r="H1949" s="388" t="s">
        <v>11413</v>
      </c>
      <c r="I1949" s="387" t="s">
        <v>13404</v>
      </c>
      <c r="J1949" s="389"/>
      <c r="K1949" s="387"/>
      <c r="L1949" s="387"/>
      <c r="M1949" s="387" t="s">
        <v>10084</v>
      </c>
      <c r="N1949" s="387"/>
      <c r="O1949" s="387" t="s">
        <v>57</v>
      </c>
      <c r="P1949" s="390">
        <v>183300000</v>
      </c>
      <c r="Q1949" s="387"/>
      <c r="R1949" s="387" t="s">
        <v>13407</v>
      </c>
      <c r="S1949" s="340">
        <v>1</v>
      </c>
    </row>
    <row r="1950" spans="1:19" ht="29" x14ac:dyDescent="0.35">
      <c r="A1950" s="349">
        <v>1939</v>
      </c>
      <c r="B1950" s="387" t="s">
        <v>10080</v>
      </c>
      <c r="C1950" s="387" t="s">
        <v>10081</v>
      </c>
      <c r="D1950" s="388" t="s">
        <v>97</v>
      </c>
      <c r="E1950" s="388" t="s">
        <v>10082</v>
      </c>
      <c r="F1950" s="388" t="s">
        <v>10078</v>
      </c>
      <c r="G1950" s="388" t="s">
        <v>10088</v>
      </c>
      <c r="H1950" s="388" t="s">
        <v>11960</v>
      </c>
      <c r="I1950" s="387" t="s">
        <v>13404</v>
      </c>
      <c r="J1950" s="389"/>
      <c r="K1950" s="387"/>
      <c r="L1950" s="387"/>
      <c r="M1950" s="387" t="s">
        <v>10084</v>
      </c>
      <c r="N1950" s="387"/>
      <c r="O1950" s="387" t="s">
        <v>57</v>
      </c>
      <c r="P1950" s="390">
        <v>223418000</v>
      </c>
      <c r="Q1950" s="387" t="s">
        <v>10463</v>
      </c>
      <c r="R1950" s="387" t="s">
        <v>13407</v>
      </c>
      <c r="S1950" s="340">
        <v>1</v>
      </c>
    </row>
    <row r="1951" spans="1:19" ht="44" thickBot="1" x14ac:dyDescent="0.4">
      <c r="A1951" s="357">
        <v>1940</v>
      </c>
      <c r="B1951" s="387" t="s">
        <v>10110</v>
      </c>
      <c r="C1951" s="387" t="s">
        <v>10111</v>
      </c>
      <c r="D1951" s="388" t="s">
        <v>51</v>
      </c>
      <c r="E1951" s="388" t="s">
        <v>10082</v>
      </c>
      <c r="F1951" s="388" t="s">
        <v>10078</v>
      </c>
      <c r="G1951" s="388" t="s">
        <v>10088</v>
      </c>
      <c r="H1951" s="388" t="s">
        <v>11870</v>
      </c>
      <c r="I1951" s="387" t="s">
        <v>13408</v>
      </c>
      <c r="J1951" s="389"/>
      <c r="K1951" s="387" t="s">
        <v>13409</v>
      </c>
      <c r="L1951" s="387"/>
      <c r="M1951" s="387"/>
      <c r="N1951" s="387"/>
      <c r="O1951" s="387" t="s">
        <v>44</v>
      </c>
      <c r="P1951" s="390">
        <v>177939000</v>
      </c>
      <c r="Q1951" s="387" t="s">
        <v>13410</v>
      </c>
      <c r="R1951" s="387" t="s">
        <v>13407</v>
      </c>
      <c r="S1951" s="340">
        <v>1</v>
      </c>
    </row>
    <row r="1952" spans="1:19" ht="29" x14ac:dyDescent="0.35">
      <c r="A1952" s="349">
        <v>1941</v>
      </c>
      <c r="B1952" s="387" t="s">
        <v>10092</v>
      </c>
      <c r="C1952" s="387" t="s">
        <v>10093</v>
      </c>
      <c r="D1952" s="388" t="s">
        <v>51</v>
      </c>
      <c r="E1952" s="388" t="s">
        <v>10082</v>
      </c>
      <c r="F1952" s="388" t="s">
        <v>10078</v>
      </c>
      <c r="G1952" s="388" t="s">
        <v>10088</v>
      </c>
      <c r="H1952" s="388" t="s">
        <v>13166</v>
      </c>
      <c r="I1952" s="387" t="s">
        <v>13411</v>
      </c>
      <c r="J1952" s="389">
        <v>41564</v>
      </c>
      <c r="K1952" s="387" t="s">
        <v>13412</v>
      </c>
      <c r="L1952" s="387"/>
      <c r="M1952" s="387" t="s">
        <v>10084</v>
      </c>
      <c r="N1952" s="387"/>
      <c r="O1952" s="387" t="s">
        <v>57</v>
      </c>
      <c r="P1952" s="390">
        <v>148725000</v>
      </c>
      <c r="Q1952" s="387"/>
      <c r="R1952" s="387" t="s">
        <v>13407</v>
      </c>
      <c r="S1952" s="340">
        <v>1</v>
      </c>
    </row>
    <row r="1953" spans="1:19" ht="29.5" thickBot="1" x14ac:dyDescent="0.4">
      <c r="A1953" s="357">
        <v>1942</v>
      </c>
      <c r="B1953" s="387" t="s">
        <v>10117</v>
      </c>
      <c r="C1953" s="387" t="s">
        <v>10118</v>
      </c>
      <c r="D1953" s="388" t="s">
        <v>51</v>
      </c>
      <c r="E1953" s="388" t="s">
        <v>10082</v>
      </c>
      <c r="F1953" s="388"/>
      <c r="G1953" s="388"/>
      <c r="H1953" s="388" t="s">
        <v>8949</v>
      </c>
      <c r="I1953" s="387" t="s">
        <v>63</v>
      </c>
      <c r="J1953" s="389"/>
      <c r="K1953" s="387" t="s">
        <v>13413</v>
      </c>
      <c r="L1953" s="387"/>
      <c r="M1953" s="387"/>
      <c r="N1953" s="387"/>
      <c r="O1953" s="387" t="s">
        <v>44</v>
      </c>
      <c r="P1953" s="390">
        <v>199039450</v>
      </c>
      <c r="Q1953" s="387" t="s">
        <v>13414</v>
      </c>
      <c r="R1953" s="387" t="s">
        <v>13407</v>
      </c>
      <c r="S1953" s="340">
        <v>1</v>
      </c>
    </row>
    <row r="1954" spans="1:19" ht="29" x14ac:dyDescent="0.35">
      <c r="A1954" s="349">
        <v>1943</v>
      </c>
      <c r="B1954" s="387" t="s">
        <v>10146</v>
      </c>
      <c r="C1954" s="387" t="s">
        <v>10147</v>
      </c>
      <c r="D1954" s="388" t="s">
        <v>51</v>
      </c>
      <c r="E1954" s="388" t="s">
        <v>10082</v>
      </c>
      <c r="F1954" s="388" t="s">
        <v>10078</v>
      </c>
      <c r="G1954" s="388" t="s">
        <v>10078</v>
      </c>
      <c r="H1954" s="388" t="s">
        <v>11384</v>
      </c>
      <c r="I1954" s="387" t="s">
        <v>13411</v>
      </c>
      <c r="J1954" s="389">
        <v>42328</v>
      </c>
      <c r="K1954" s="387" t="s">
        <v>13415</v>
      </c>
      <c r="L1954" s="387"/>
      <c r="M1954" s="387" t="s">
        <v>10084</v>
      </c>
      <c r="N1954" s="387"/>
      <c r="O1954" s="387" t="s">
        <v>57</v>
      </c>
      <c r="P1954" s="390">
        <v>219173000</v>
      </c>
      <c r="Q1954" s="387" t="s">
        <v>13416</v>
      </c>
      <c r="R1954" s="387" t="s">
        <v>13407</v>
      </c>
      <c r="S1954" s="340">
        <v>1</v>
      </c>
    </row>
    <row r="1955" spans="1:19" ht="29.5" thickBot="1" x14ac:dyDescent="0.4">
      <c r="A1955" s="357">
        <v>1944</v>
      </c>
      <c r="B1955" s="387" t="s">
        <v>10096</v>
      </c>
      <c r="C1955" s="387" t="s">
        <v>10097</v>
      </c>
      <c r="D1955" s="388" t="s">
        <v>59</v>
      </c>
      <c r="E1955" s="388" t="s">
        <v>10082</v>
      </c>
      <c r="F1955" s="388" t="s">
        <v>10078</v>
      </c>
      <c r="G1955" s="388" t="s">
        <v>10088</v>
      </c>
      <c r="H1955" s="388" t="s">
        <v>13417</v>
      </c>
      <c r="I1955" s="387" t="s">
        <v>13418</v>
      </c>
      <c r="J1955" s="389"/>
      <c r="K1955" s="387" t="s">
        <v>13419</v>
      </c>
      <c r="L1955" s="387"/>
      <c r="M1955" s="387"/>
      <c r="N1955" s="387"/>
      <c r="O1955" s="387" t="s">
        <v>44</v>
      </c>
      <c r="P1955" s="390">
        <v>211478200</v>
      </c>
      <c r="Q1955" s="387" t="s">
        <v>13420</v>
      </c>
      <c r="R1955" s="387" t="s">
        <v>13407</v>
      </c>
      <c r="S1955" s="340">
        <v>1</v>
      </c>
    </row>
    <row r="1956" spans="1:19" ht="29" x14ac:dyDescent="0.35">
      <c r="A1956" s="349">
        <v>1945</v>
      </c>
      <c r="B1956" s="387" t="s">
        <v>10080</v>
      </c>
      <c r="C1956" s="387" t="s">
        <v>10081</v>
      </c>
      <c r="D1956" s="388" t="s">
        <v>51</v>
      </c>
      <c r="E1956" s="388" t="s">
        <v>10082</v>
      </c>
      <c r="F1956" s="388" t="s">
        <v>10078</v>
      </c>
      <c r="G1956" s="388" t="s">
        <v>10078</v>
      </c>
      <c r="H1956" s="388" t="s">
        <v>11960</v>
      </c>
      <c r="I1956" s="387" t="s">
        <v>13421</v>
      </c>
      <c r="J1956" s="389"/>
      <c r="K1956" s="387"/>
      <c r="L1956" s="387"/>
      <c r="M1956" s="387" t="s">
        <v>10084</v>
      </c>
      <c r="N1956" s="387"/>
      <c r="O1956" s="387" t="s">
        <v>57</v>
      </c>
      <c r="P1956" s="390">
        <v>244278000</v>
      </c>
      <c r="Q1956" s="387"/>
      <c r="R1956" s="387" t="s">
        <v>8157</v>
      </c>
      <c r="S1956" s="340">
        <v>1</v>
      </c>
    </row>
    <row r="1957" spans="1:19" ht="29.5" thickBot="1" x14ac:dyDescent="0.4">
      <c r="A1957" s="357">
        <v>1946</v>
      </c>
      <c r="B1957" s="387" t="s">
        <v>10080</v>
      </c>
      <c r="C1957" s="387" t="s">
        <v>10081</v>
      </c>
      <c r="D1957" s="388" t="s">
        <v>59</v>
      </c>
      <c r="E1957" s="388" t="s">
        <v>10082</v>
      </c>
      <c r="F1957" s="388" t="s">
        <v>10078</v>
      </c>
      <c r="G1957" s="388" t="s">
        <v>10078</v>
      </c>
      <c r="H1957" s="388" t="s">
        <v>13422</v>
      </c>
      <c r="I1957" s="387" t="s">
        <v>13421</v>
      </c>
      <c r="J1957" s="389"/>
      <c r="K1957" s="387"/>
      <c r="L1957" s="387"/>
      <c r="M1957" s="387" t="s">
        <v>10084</v>
      </c>
      <c r="N1957" s="387"/>
      <c r="O1957" s="387" t="s">
        <v>422</v>
      </c>
      <c r="P1957" s="390">
        <v>110000000</v>
      </c>
      <c r="Q1957" s="387" t="s">
        <v>8603</v>
      </c>
      <c r="R1957" s="387" t="s">
        <v>8157</v>
      </c>
      <c r="S1957" s="340">
        <v>1</v>
      </c>
    </row>
    <row r="1958" spans="1:19" ht="29" x14ac:dyDescent="0.35">
      <c r="A1958" s="349">
        <v>1947</v>
      </c>
      <c r="B1958" s="387" t="s">
        <v>10080</v>
      </c>
      <c r="C1958" s="387" t="s">
        <v>10081</v>
      </c>
      <c r="D1958" s="388" t="s">
        <v>97</v>
      </c>
      <c r="E1958" s="388" t="s">
        <v>10082</v>
      </c>
      <c r="F1958" s="388" t="s">
        <v>10078</v>
      </c>
      <c r="G1958" s="388" t="s">
        <v>10078</v>
      </c>
      <c r="H1958" s="388" t="s">
        <v>1122</v>
      </c>
      <c r="I1958" s="387" t="s">
        <v>13421</v>
      </c>
      <c r="J1958" s="389"/>
      <c r="K1958" s="387"/>
      <c r="L1958" s="387"/>
      <c r="M1958" s="387" t="s">
        <v>10084</v>
      </c>
      <c r="N1958" s="387"/>
      <c r="O1958" s="387" t="s">
        <v>57</v>
      </c>
      <c r="P1958" s="390">
        <v>162658000</v>
      </c>
      <c r="Q1958" s="387"/>
      <c r="R1958" s="387" t="s">
        <v>8157</v>
      </c>
      <c r="S1958" s="340">
        <v>1</v>
      </c>
    </row>
    <row r="1959" spans="1:19" ht="29.5" thickBot="1" x14ac:dyDescent="0.4">
      <c r="A1959" s="357">
        <v>1948</v>
      </c>
      <c r="B1959" s="387" t="s">
        <v>10080</v>
      </c>
      <c r="C1959" s="387" t="s">
        <v>10081</v>
      </c>
      <c r="D1959" s="388" t="s">
        <v>101</v>
      </c>
      <c r="E1959" s="388" t="s">
        <v>10082</v>
      </c>
      <c r="F1959" s="388" t="s">
        <v>10078</v>
      </c>
      <c r="G1959" s="388" t="s">
        <v>10078</v>
      </c>
      <c r="H1959" s="388" t="s">
        <v>1122</v>
      </c>
      <c r="I1959" s="387" t="s">
        <v>13421</v>
      </c>
      <c r="J1959" s="389"/>
      <c r="K1959" s="387"/>
      <c r="L1959" s="387"/>
      <c r="M1959" s="387" t="s">
        <v>10084</v>
      </c>
      <c r="N1959" s="387"/>
      <c r="O1959" s="387" t="s">
        <v>57</v>
      </c>
      <c r="P1959" s="390">
        <v>244855500</v>
      </c>
      <c r="Q1959" s="387"/>
      <c r="R1959" s="387" t="s">
        <v>8157</v>
      </c>
      <c r="S1959" s="340">
        <v>1</v>
      </c>
    </row>
    <row r="1960" spans="1:19" ht="29" x14ac:dyDescent="0.35">
      <c r="A1960" s="349">
        <v>1949</v>
      </c>
      <c r="B1960" s="387" t="s">
        <v>10080</v>
      </c>
      <c r="C1960" s="387" t="s">
        <v>10081</v>
      </c>
      <c r="D1960" s="388" t="s">
        <v>107</v>
      </c>
      <c r="E1960" s="388" t="s">
        <v>10082</v>
      </c>
      <c r="F1960" s="388" t="s">
        <v>10078</v>
      </c>
      <c r="G1960" s="388" t="s">
        <v>10078</v>
      </c>
      <c r="H1960" s="388" t="s">
        <v>11400</v>
      </c>
      <c r="I1960" s="387" t="s">
        <v>13421</v>
      </c>
      <c r="J1960" s="389"/>
      <c r="K1960" s="387"/>
      <c r="L1960" s="387"/>
      <c r="M1960" s="387" t="s">
        <v>10084</v>
      </c>
      <c r="N1960" s="387"/>
      <c r="O1960" s="387" t="s">
        <v>57</v>
      </c>
      <c r="P1960" s="390">
        <v>108439000</v>
      </c>
      <c r="Q1960" s="387"/>
      <c r="R1960" s="387" t="s">
        <v>8157</v>
      </c>
      <c r="S1960" s="340">
        <v>1</v>
      </c>
    </row>
    <row r="1961" spans="1:19" ht="29.5" thickBot="1" x14ac:dyDescent="0.4">
      <c r="A1961" s="357">
        <v>1950</v>
      </c>
      <c r="B1961" s="387" t="s">
        <v>10092</v>
      </c>
      <c r="C1961" s="387" t="s">
        <v>10093</v>
      </c>
      <c r="D1961" s="388" t="s">
        <v>51</v>
      </c>
      <c r="E1961" s="388" t="s">
        <v>10082</v>
      </c>
      <c r="F1961" s="388" t="s">
        <v>10078</v>
      </c>
      <c r="G1961" s="388" t="s">
        <v>10078</v>
      </c>
      <c r="H1961" s="388" t="s">
        <v>12979</v>
      </c>
      <c r="I1961" s="387" t="s">
        <v>13421</v>
      </c>
      <c r="J1961" s="389"/>
      <c r="K1961" s="387"/>
      <c r="L1961" s="387"/>
      <c r="M1961" s="387" t="s">
        <v>10084</v>
      </c>
      <c r="N1961" s="387"/>
      <c r="O1961" s="387" t="s">
        <v>57</v>
      </c>
      <c r="P1961" s="390">
        <v>146458484</v>
      </c>
      <c r="Q1961" s="387"/>
      <c r="R1961" s="387" t="s">
        <v>8157</v>
      </c>
      <c r="S1961" s="340">
        <v>1</v>
      </c>
    </row>
    <row r="1962" spans="1:19" ht="29" x14ac:dyDescent="0.35">
      <c r="A1962" s="349">
        <v>1951</v>
      </c>
      <c r="B1962" s="387" t="s">
        <v>10765</v>
      </c>
      <c r="C1962" s="387" t="s">
        <v>10766</v>
      </c>
      <c r="D1962" s="388" t="s">
        <v>51</v>
      </c>
      <c r="E1962" s="388" t="s">
        <v>10082</v>
      </c>
      <c r="F1962" s="388" t="s">
        <v>10078</v>
      </c>
      <c r="G1962" s="388" t="s">
        <v>10088</v>
      </c>
      <c r="H1962" s="388" t="s">
        <v>13423</v>
      </c>
      <c r="I1962" s="387" t="s">
        <v>13424</v>
      </c>
      <c r="J1962" s="389"/>
      <c r="K1962" s="387" t="s">
        <v>13425</v>
      </c>
      <c r="L1962" s="387"/>
      <c r="M1962" s="387"/>
      <c r="N1962" s="387"/>
      <c r="O1962" s="387" t="s">
        <v>44</v>
      </c>
      <c r="P1962" s="390">
        <v>220637945</v>
      </c>
      <c r="Q1962" s="387" t="s">
        <v>13426</v>
      </c>
      <c r="R1962" s="387" t="s">
        <v>8157</v>
      </c>
      <c r="S1962" s="340">
        <v>1</v>
      </c>
    </row>
    <row r="1963" spans="1:19" ht="44" thickBot="1" x14ac:dyDescent="0.4">
      <c r="A1963" s="357">
        <v>1952</v>
      </c>
      <c r="B1963" s="387" t="s">
        <v>10085</v>
      </c>
      <c r="C1963" s="387" t="s">
        <v>10086</v>
      </c>
      <c r="D1963" s="388" t="s">
        <v>51</v>
      </c>
      <c r="E1963" s="388" t="s">
        <v>10082</v>
      </c>
      <c r="F1963" s="388" t="s">
        <v>10078</v>
      </c>
      <c r="G1963" s="388" t="s">
        <v>10078</v>
      </c>
      <c r="H1963" s="388" t="s">
        <v>11384</v>
      </c>
      <c r="I1963" s="387" t="s">
        <v>13421</v>
      </c>
      <c r="J1963" s="389">
        <v>41528</v>
      </c>
      <c r="K1963" s="387" t="s">
        <v>13427</v>
      </c>
      <c r="L1963" s="387"/>
      <c r="M1963" s="387" t="s">
        <v>10084</v>
      </c>
      <c r="N1963" s="387"/>
      <c r="O1963" s="387" t="s">
        <v>57</v>
      </c>
      <c r="P1963" s="390">
        <v>136368000</v>
      </c>
      <c r="Q1963" s="387" t="s">
        <v>13428</v>
      </c>
      <c r="R1963" s="387" t="s">
        <v>8157</v>
      </c>
      <c r="S1963" s="340">
        <v>1</v>
      </c>
    </row>
    <row r="1964" spans="1:19" ht="29" x14ac:dyDescent="0.35">
      <c r="A1964" s="349">
        <v>1953</v>
      </c>
      <c r="B1964" s="387" t="s">
        <v>10085</v>
      </c>
      <c r="C1964" s="387" t="s">
        <v>10086</v>
      </c>
      <c r="D1964" s="388" t="s">
        <v>59</v>
      </c>
      <c r="E1964" s="388" t="s">
        <v>10082</v>
      </c>
      <c r="F1964" s="388" t="s">
        <v>10078</v>
      </c>
      <c r="G1964" s="388" t="s">
        <v>10088</v>
      </c>
      <c r="H1964" s="388" t="s">
        <v>12623</v>
      </c>
      <c r="I1964" s="387" t="s">
        <v>13421</v>
      </c>
      <c r="J1964" s="389"/>
      <c r="K1964" s="387"/>
      <c r="L1964" s="387"/>
      <c r="M1964" s="387" t="s">
        <v>10084</v>
      </c>
      <c r="N1964" s="387"/>
      <c r="O1964" s="387" t="s">
        <v>57</v>
      </c>
      <c r="P1964" s="390">
        <v>167264000</v>
      </c>
      <c r="Q1964" s="387"/>
      <c r="R1964" s="387" t="s">
        <v>8157</v>
      </c>
      <c r="S1964" s="340">
        <v>1</v>
      </c>
    </row>
    <row r="1965" spans="1:19" ht="44" thickBot="1" x14ac:dyDescent="0.4">
      <c r="A1965" s="357">
        <v>1954</v>
      </c>
      <c r="B1965" s="387" t="s">
        <v>10096</v>
      </c>
      <c r="C1965" s="387" t="s">
        <v>10097</v>
      </c>
      <c r="D1965" s="388" t="s">
        <v>51</v>
      </c>
      <c r="E1965" s="388" t="s">
        <v>10082</v>
      </c>
      <c r="F1965" s="388" t="s">
        <v>10078</v>
      </c>
      <c r="G1965" s="388" t="s">
        <v>10088</v>
      </c>
      <c r="H1965" s="388" t="s">
        <v>13165</v>
      </c>
      <c r="I1965" s="387" t="s">
        <v>13421</v>
      </c>
      <c r="J1965" s="389">
        <v>42481</v>
      </c>
      <c r="K1965" s="387" t="s">
        <v>13429</v>
      </c>
      <c r="L1965" s="387"/>
      <c r="M1965" s="387" t="s">
        <v>10084</v>
      </c>
      <c r="N1965" s="387"/>
      <c r="O1965" s="387" t="s">
        <v>57</v>
      </c>
      <c r="P1965" s="390">
        <v>221250000</v>
      </c>
      <c r="Q1965" s="387" t="s">
        <v>13430</v>
      </c>
      <c r="R1965" s="387" t="s">
        <v>8157</v>
      </c>
      <c r="S1965" s="340">
        <v>1</v>
      </c>
    </row>
    <row r="1966" spans="1:19" ht="29" x14ac:dyDescent="0.35">
      <c r="A1966" s="349">
        <v>1955</v>
      </c>
      <c r="B1966" s="387" t="s">
        <v>10080</v>
      </c>
      <c r="C1966" s="387" t="s">
        <v>10081</v>
      </c>
      <c r="D1966" s="388" t="s">
        <v>51</v>
      </c>
      <c r="E1966" s="388" t="s">
        <v>10082</v>
      </c>
      <c r="F1966" s="388" t="s">
        <v>10078</v>
      </c>
      <c r="G1966" s="388" t="s">
        <v>10078</v>
      </c>
      <c r="H1966" s="388" t="s">
        <v>11413</v>
      </c>
      <c r="I1966" s="387" t="s">
        <v>13393</v>
      </c>
      <c r="J1966" s="389"/>
      <c r="K1966" s="387"/>
      <c r="L1966" s="387"/>
      <c r="M1966" s="387" t="s">
        <v>10084</v>
      </c>
      <c r="N1966" s="387"/>
      <c r="O1966" s="387" t="s">
        <v>422</v>
      </c>
      <c r="P1966" s="390">
        <v>60000000</v>
      </c>
      <c r="Q1966" s="387" t="s">
        <v>8603</v>
      </c>
      <c r="R1966" s="387" t="s">
        <v>8158</v>
      </c>
      <c r="S1966" s="340">
        <v>1</v>
      </c>
    </row>
    <row r="1967" spans="1:19" ht="29.5" thickBot="1" x14ac:dyDescent="0.4">
      <c r="A1967" s="357">
        <v>1956</v>
      </c>
      <c r="B1967" s="387" t="s">
        <v>10080</v>
      </c>
      <c r="C1967" s="387" t="s">
        <v>10081</v>
      </c>
      <c r="D1967" s="388" t="s">
        <v>59</v>
      </c>
      <c r="E1967" s="388" t="s">
        <v>10082</v>
      </c>
      <c r="F1967" s="388" t="s">
        <v>10078</v>
      </c>
      <c r="G1967" s="388" t="s">
        <v>10078</v>
      </c>
      <c r="H1967" s="388" t="s">
        <v>11960</v>
      </c>
      <c r="I1967" s="387" t="s">
        <v>13393</v>
      </c>
      <c r="J1967" s="389"/>
      <c r="K1967" s="387"/>
      <c r="L1967" s="387"/>
      <c r="M1967" s="387" t="s">
        <v>10084</v>
      </c>
      <c r="N1967" s="387"/>
      <c r="O1967" s="387" t="s">
        <v>57</v>
      </c>
      <c r="P1967" s="390">
        <v>378858000</v>
      </c>
      <c r="Q1967" s="387"/>
      <c r="R1967" s="387" t="s">
        <v>8158</v>
      </c>
      <c r="S1967" s="340">
        <v>1</v>
      </c>
    </row>
    <row r="1968" spans="1:19" ht="29" x14ac:dyDescent="0.35">
      <c r="A1968" s="349">
        <v>1957</v>
      </c>
      <c r="B1968" s="387" t="s">
        <v>10080</v>
      </c>
      <c r="C1968" s="387" t="s">
        <v>10081</v>
      </c>
      <c r="D1968" s="388" t="s">
        <v>97</v>
      </c>
      <c r="E1968" s="388" t="s">
        <v>10082</v>
      </c>
      <c r="F1968" s="388" t="s">
        <v>10078</v>
      </c>
      <c r="G1968" s="388" t="s">
        <v>10088</v>
      </c>
      <c r="H1968" s="388" t="s">
        <v>11400</v>
      </c>
      <c r="I1968" s="387" t="s">
        <v>13393</v>
      </c>
      <c r="J1968" s="389"/>
      <c r="K1968" s="387"/>
      <c r="L1968" s="387"/>
      <c r="M1968" s="387" t="s">
        <v>10084</v>
      </c>
      <c r="N1968" s="387"/>
      <c r="O1968" s="387" t="s">
        <v>57</v>
      </c>
      <c r="P1968" s="390">
        <v>223583000</v>
      </c>
      <c r="Q1968" s="387"/>
      <c r="R1968" s="387" t="s">
        <v>8158</v>
      </c>
      <c r="S1968" s="340">
        <v>1</v>
      </c>
    </row>
    <row r="1969" spans="1:19" ht="29.5" thickBot="1" x14ac:dyDescent="0.4">
      <c r="A1969" s="357">
        <v>1958</v>
      </c>
      <c r="B1969" s="387" t="s">
        <v>10080</v>
      </c>
      <c r="C1969" s="387" t="s">
        <v>10081</v>
      </c>
      <c r="D1969" s="388" t="s">
        <v>101</v>
      </c>
      <c r="E1969" s="388" t="s">
        <v>10082</v>
      </c>
      <c r="F1969" s="388" t="s">
        <v>10078</v>
      </c>
      <c r="G1969" s="388" t="s">
        <v>10088</v>
      </c>
      <c r="H1969" s="388" t="s">
        <v>12157</v>
      </c>
      <c r="I1969" s="387" t="s">
        <v>13393</v>
      </c>
      <c r="J1969" s="389">
        <v>43259</v>
      </c>
      <c r="K1969" s="387" t="s">
        <v>13431</v>
      </c>
      <c r="L1969" s="387"/>
      <c r="M1969" s="387" t="s">
        <v>10084</v>
      </c>
      <c r="N1969" s="387"/>
      <c r="O1969" s="387" t="s">
        <v>57</v>
      </c>
      <c r="P1969" s="390">
        <v>221202000</v>
      </c>
      <c r="Q1969" s="387" t="s">
        <v>13432</v>
      </c>
      <c r="R1969" s="387" t="s">
        <v>8158</v>
      </c>
      <c r="S1969" s="340">
        <v>1</v>
      </c>
    </row>
    <row r="1970" spans="1:19" ht="29" x14ac:dyDescent="0.35">
      <c r="A1970" s="349">
        <v>1959</v>
      </c>
      <c r="B1970" s="387" t="s">
        <v>10092</v>
      </c>
      <c r="C1970" s="387" t="s">
        <v>10093</v>
      </c>
      <c r="D1970" s="388" t="s">
        <v>51</v>
      </c>
      <c r="E1970" s="388" t="s">
        <v>10082</v>
      </c>
      <c r="F1970" s="388" t="s">
        <v>10078</v>
      </c>
      <c r="G1970" s="388" t="s">
        <v>10078</v>
      </c>
      <c r="H1970" s="388" t="s">
        <v>12979</v>
      </c>
      <c r="I1970" s="387" t="s">
        <v>13393</v>
      </c>
      <c r="J1970" s="389"/>
      <c r="K1970" s="387"/>
      <c r="L1970" s="387"/>
      <c r="M1970" s="387" t="s">
        <v>10084</v>
      </c>
      <c r="N1970" s="387"/>
      <c r="O1970" s="387" t="s">
        <v>57</v>
      </c>
      <c r="P1970" s="390">
        <v>128658333.00000001</v>
      </c>
      <c r="Q1970" s="387"/>
      <c r="R1970" s="387" t="s">
        <v>8158</v>
      </c>
      <c r="S1970" s="340">
        <v>1</v>
      </c>
    </row>
    <row r="1971" spans="1:19" ht="29.5" thickBot="1" x14ac:dyDescent="0.4">
      <c r="A1971" s="357">
        <v>1960</v>
      </c>
      <c r="B1971" s="387" t="s">
        <v>10085</v>
      </c>
      <c r="C1971" s="387" t="s">
        <v>10086</v>
      </c>
      <c r="D1971" s="388" t="s">
        <v>51</v>
      </c>
      <c r="E1971" s="388" t="s">
        <v>10082</v>
      </c>
      <c r="F1971" s="388" t="s">
        <v>10078</v>
      </c>
      <c r="G1971" s="388" t="s">
        <v>10088</v>
      </c>
      <c r="H1971" s="388" t="s">
        <v>11308</v>
      </c>
      <c r="I1971" s="387" t="s">
        <v>13393</v>
      </c>
      <c r="J1971" s="389"/>
      <c r="K1971" s="387"/>
      <c r="L1971" s="387"/>
      <c r="M1971" s="387" t="s">
        <v>10084</v>
      </c>
      <c r="N1971" s="387"/>
      <c r="O1971" s="387" t="s">
        <v>57</v>
      </c>
      <c r="P1971" s="390">
        <v>99685500</v>
      </c>
      <c r="Q1971" s="387"/>
      <c r="R1971" s="387" t="s">
        <v>8158</v>
      </c>
      <c r="S1971" s="340">
        <v>1</v>
      </c>
    </row>
    <row r="1972" spans="1:19" ht="43.5" x14ac:dyDescent="0.35">
      <c r="A1972" s="349">
        <v>1961</v>
      </c>
      <c r="B1972" s="387" t="s">
        <v>10085</v>
      </c>
      <c r="C1972" s="387" t="s">
        <v>10086</v>
      </c>
      <c r="D1972" s="388" t="s">
        <v>59</v>
      </c>
      <c r="E1972" s="388" t="s">
        <v>10082</v>
      </c>
      <c r="F1972" s="388" t="s">
        <v>10078</v>
      </c>
      <c r="G1972" s="388" t="s">
        <v>10078</v>
      </c>
      <c r="H1972" s="388" t="s">
        <v>11384</v>
      </c>
      <c r="I1972" s="387" t="s">
        <v>13393</v>
      </c>
      <c r="J1972" s="389">
        <v>41528</v>
      </c>
      <c r="K1972" s="387" t="s">
        <v>13433</v>
      </c>
      <c r="L1972" s="387"/>
      <c r="M1972" s="387" t="s">
        <v>10084</v>
      </c>
      <c r="N1972" s="387"/>
      <c r="O1972" s="387" t="s">
        <v>57</v>
      </c>
      <c r="P1972" s="390">
        <v>136338000</v>
      </c>
      <c r="Q1972" s="387" t="s">
        <v>13434</v>
      </c>
      <c r="R1972" s="387" t="s">
        <v>8158</v>
      </c>
      <c r="S1972" s="340">
        <v>1</v>
      </c>
    </row>
    <row r="1973" spans="1:19" ht="29.5" thickBot="1" x14ac:dyDescent="0.4">
      <c r="A1973" s="357">
        <v>1962</v>
      </c>
      <c r="B1973" s="387" t="s">
        <v>10080</v>
      </c>
      <c r="C1973" s="387" t="s">
        <v>10081</v>
      </c>
      <c r="D1973" s="388" t="s">
        <v>51</v>
      </c>
      <c r="E1973" s="388" t="s">
        <v>10082</v>
      </c>
      <c r="F1973" s="388" t="s">
        <v>10078</v>
      </c>
      <c r="G1973" s="388" t="s">
        <v>10078</v>
      </c>
      <c r="H1973" s="388" t="s">
        <v>11400</v>
      </c>
      <c r="I1973" s="387" t="s">
        <v>13435</v>
      </c>
      <c r="J1973" s="389"/>
      <c r="K1973" s="387"/>
      <c r="L1973" s="387"/>
      <c r="M1973" s="387" t="s">
        <v>10084</v>
      </c>
      <c r="N1973" s="387"/>
      <c r="O1973" s="387" t="s">
        <v>57</v>
      </c>
      <c r="P1973" s="390">
        <v>112455000</v>
      </c>
      <c r="Q1973" s="387"/>
      <c r="R1973" s="387" t="s">
        <v>8160</v>
      </c>
      <c r="S1973" s="340">
        <v>1</v>
      </c>
    </row>
    <row r="1974" spans="1:19" ht="29" x14ac:dyDescent="0.35">
      <c r="A1974" s="349">
        <v>1963</v>
      </c>
      <c r="B1974" s="387" t="s">
        <v>10080</v>
      </c>
      <c r="C1974" s="387" t="s">
        <v>10081</v>
      </c>
      <c r="D1974" s="388" t="s">
        <v>59</v>
      </c>
      <c r="E1974" s="388" t="s">
        <v>10082</v>
      </c>
      <c r="F1974" s="388" t="s">
        <v>10078</v>
      </c>
      <c r="G1974" s="388" t="s">
        <v>10078</v>
      </c>
      <c r="H1974" s="388" t="s">
        <v>11400</v>
      </c>
      <c r="I1974" s="387" t="s">
        <v>13435</v>
      </c>
      <c r="J1974" s="389"/>
      <c r="K1974" s="387"/>
      <c r="L1974" s="387"/>
      <c r="M1974" s="387" t="s">
        <v>10084</v>
      </c>
      <c r="N1974" s="387"/>
      <c r="O1974" s="387" t="s">
        <v>57</v>
      </c>
      <c r="P1974" s="390">
        <v>112455000</v>
      </c>
      <c r="Q1974" s="387"/>
      <c r="R1974" s="387" t="s">
        <v>8160</v>
      </c>
      <c r="S1974" s="340">
        <v>1</v>
      </c>
    </row>
    <row r="1975" spans="1:19" ht="29.5" thickBot="1" x14ac:dyDescent="0.4">
      <c r="A1975" s="357">
        <v>1964</v>
      </c>
      <c r="B1975" s="387" t="s">
        <v>10080</v>
      </c>
      <c r="C1975" s="387" t="s">
        <v>10081</v>
      </c>
      <c r="D1975" s="388" t="s">
        <v>97</v>
      </c>
      <c r="E1975" s="388" t="s">
        <v>10082</v>
      </c>
      <c r="F1975" s="388" t="s">
        <v>10078</v>
      </c>
      <c r="G1975" s="388" t="s">
        <v>10078</v>
      </c>
      <c r="H1975" s="388" t="s">
        <v>11400</v>
      </c>
      <c r="I1975" s="387" t="s">
        <v>13435</v>
      </c>
      <c r="J1975" s="389"/>
      <c r="K1975" s="387"/>
      <c r="L1975" s="387"/>
      <c r="M1975" s="387" t="s">
        <v>10084</v>
      </c>
      <c r="N1975" s="387"/>
      <c r="O1975" s="387" t="s">
        <v>57</v>
      </c>
      <c r="P1975" s="390">
        <v>220031190</v>
      </c>
      <c r="Q1975" s="387"/>
      <c r="R1975" s="387" t="s">
        <v>8160</v>
      </c>
      <c r="S1975" s="340">
        <v>1</v>
      </c>
    </row>
    <row r="1976" spans="1:19" ht="29" x14ac:dyDescent="0.35">
      <c r="A1976" s="349">
        <v>1965</v>
      </c>
      <c r="B1976" s="387" t="s">
        <v>10080</v>
      </c>
      <c r="C1976" s="387" t="s">
        <v>10081</v>
      </c>
      <c r="D1976" s="388" t="s">
        <v>101</v>
      </c>
      <c r="E1976" s="388" t="s">
        <v>10082</v>
      </c>
      <c r="F1976" s="388" t="s">
        <v>10078</v>
      </c>
      <c r="G1976" s="388" t="s">
        <v>10078</v>
      </c>
      <c r="H1976" s="388" t="s">
        <v>13436</v>
      </c>
      <c r="I1976" s="387" t="s">
        <v>13435</v>
      </c>
      <c r="J1976" s="389"/>
      <c r="K1976" s="387"/>
      <c r="L1976" s="387"/>
      <c r="M1976" s="387" t="s">
        <v>10084</v>
      </c>
      <c r="N1976" s="387"/>
      <c r="O1976" s="387" t="s">
        <v>422</v>
      </c>
      <c r="P1976" s="390">
        <v>90000000</v>
      </c>
      <c r="Q1976" s="387" t="s">
        <v>8603</v>
      </c>
      <c r="R1976" s="387" t="s">
        <v>8160</v>
      </c>
      <c r="S1976" s="340">
        <v>1</v>
      </c>
    </row>
    <row r="1977" spans="1:19" ht="29.5" thickBot="1" x14ac:dyDescent="0.4">
      <c r="A1977" s="357">
        <v>1966</v>
      </c>
      <c r="B1977" s="387" t="s">
        <v>10092</v>
      </c>
      <c r="C1977" s="387" t="s">
        <v>10093</v>
      </c>
      <c r="D1977" s="388" t="s">
        <v>51</v>
      </c>
      <c r="E1977" s="388" t="s">
        <v>10082</v>
      </c>
      <c r="F1977" s="388" t="s">
        <v>10078</v>
      </c>
      <c r="G1977" s="388" t="s">
        <v>10078</v>
      </c>
      <c r="H1977" s="388" t="s">
        <v>11324</v>
      </c>
      <c r="I1977" s="387" t="s">
        <v>13435</v>
      </c>
      <c r="J1977" s="389"/>
      <c r="K1977" s="387"/>
      <c r="L1977" s="387"/>
      <c r="M1977" s="387" t="s">
        <v>10084</v>
      </c>
      <c r="N1977" s="387"/>
      <c r="O1977" s="387" t="s">
        <v>57</v>
      </c>
      <c r="P1977" s="390">
        <v>44982000</v>
      </c>
      <c r="Q1977" s="387"/>
      <c r="R1977" s="387" t="s">
        <v>8160</v>
      </c>
      <c r="S1977" s="340">
        <v>1</v>
      </c>
    </row>
    <row r="1978" spans="1:19" ht="29" x14ac:dyDescent="0.35">
      <c r="A1978" s="349">
        <v>1967</v>
      </c>
      <c r="B1978" s="387" t="s">
        <v>10085</v>
      </c>
      <c r="C1978" s="387" t="s">
        <v>10086</v>
      </c>
      <c r="D1978" s="388" t="s">
        <v>51</v>
      </c>
      <c r="E1978" s="388" t="s">
        <v>10082</v>
      </c>
      <c r="F1978" s="388" t="s">
        <v>10078</v>
      </c>
      <c r="G1978" s="388" t="s">
        <v>10078</v>
      </c>
      <c r="H1978" s="388" t="s">
        <v>11324</v>
      </c>
      <c r="I1978" s="387" t="s">
        <v>13435</v>
      </c>
      <c r="J1978" s="389"/>
      <c r="K1978" s="387"/>
      <c r="L1978" s="387"/>
      <c r="M1978" s="387" t="s">
        <v>10084</v>
      </c>
      <c r="N1978" s="387"/>
      <c r="O1978" s="387" t="s">
        <v>57</v>
      </c>
      <c r="P1978" s="390">
        <v>44982000</v>
      </c>
      <c r="Q1978" s="387"/>
      <c r="R1978" s="387" t="s">
        <v>8160</v>
      </c>
      <c r="S1978" s="340">
        <v>1</v>
      </c>
    </row>
    <row r="1979" spans="1:19" ht="29.5" thickBot="1" x14ac:dyDescent="0.4">
      <c r="A1979" s="357">
        <v>1968</v>
      </c>
      <c r="B1979" s="387" t="s">
        <v>10085</v>
      </c>
      <c r="C1979" s="387" t="s">
        <v>10086</v>
      </c>
      <c r="D1979" s="388" t="s">
        <v>59</v>
      </c>
      <c r="E1979" s="388" t="s">
        <v>10082</v>
      </c>
      <c r="F1979" s="388" t="s">
        <v>10078</v>
      </c>
      <c r="G1979" s="388" t="s">
        <v>10078</v>
      </c>
      <c r="H1979" s="388" t="s">
        <v>11308</v>
      </c>
      <c r="I1979" s="387" t="s">
        <v>13435</v>
      </c>
      <c r="J1979" s="389"/>
      <c r="K1979" s="387"/>
      <c r="L1979" s="387"/>
      <c r="M1979" s="387" t="s">
        <v>10084</v>
      </c>
      <c r="N1979" s="387"/>
      <c r="O1979" s="387" t="s">
        <v>57</v>
      </c>
      <c r="P1979" s="390">
        <v>69972000</v>
      </c>
      <c r="Q1979" s="387"/>
      <c r="R1979" s="387" t="s">
        <v>8160</v>
      </c>
      <c r="S1979" s="340">
        <v>1</v>
      </c>
    </row>
    <row r="1980" spans="1:19" ht="29" x14ac:dyDescent="0.35">
      <c r="A1980" s="349">
        <v>1969</v>
      </c>
      <c r="B1980" s="387" t="s">
        <v>10146</v>
      </c>
      <c r="C1980" s="387" t="s">
        <v>10147</v>
      </c>
      <c r="D1980" s="388" t="s">
        <v>51</v>
      </c>
      <c r="E1980" s="388" t="s">
        <v>10082</v>
      </c>
      <c r="F1980" s="388" t="s">
        <v>10078</v>
      </c>
      <c r="G1980" s="388" t="s">
        <v>10088</v>
      </c>
      <c r="H1980" s="388" t="s">
        <v>12253</v>
      </c>
      <c r="I1980" s="387" t="s">
        <v>13435</v>
      </c>
      <c r="J1980" s="389">
        <v>43248</v>
      </c>
      <c r="K1980" s="387" t="s">
        <v>13437</v>
      </c>
      <c r="L1980" s="387"/>
      <c r="M1980" s="387" t="s">
        <v>10084</v>
      </c>
      <c r="N1980" s="387"/>
      <c r="O1980" s="387" t="s">
        <v>57</v>
      </c>
      <c r="P1980" s="390">
        <v>221186000</v>
      </c>
      <c r="Q1980" s="387" t="s">
        <v>13438</v>
      </c>
      <c r="R1980" s="387" t="s">
        <v>8160</v>
      </c>
      <c r="S1980" s="340">
        <v>1</v>
      </c>
    </row>
    <row r="1981" spans="1:19" ht="29.5" thickBot="1" x14ac:dyDescent="0.4">
      <c r="A1981" s="357">
        <v>1970</v>
      </c>
      <c r="B1981" s="387" t="s">
        <v>10146</v>
      </c>
      <c r="C1981" s="387" t="s">
        <v>10147</v>
      </c>
      <c r="D1981" s="388" t="s">
        <v>59</v>
      </c>
      <c r="E1981" s="388" t="s">
        <v>10082</v>
      </c>
      <c r="F1981" s="388" t="s">
        <v>10078</v>
      </c>
      <c r="G1981" s="388" t="s">
        <v>10088</v>
      </c>
      <c r="H1981" s="388" t="s">
        <v>8957</v>
      </c>
      <c r="I1981" s="387" t="s">
        <v>13435</v>
      </c>
      <c r="J1981" s="389">
        <v>41906</v>
      </c>
      <c r="K1981" s="387" t="s">
        <v>13439</v>
      </c>
      <c r="L1981" s="387"/>
      <c r="M1981" s="387" t="s">
        <v>10084</v>
      </c>
      <c r="N1981" s="387"/>
      <c r="O1981" s="387" t="s">
        <v>57</v>
      </c>
      <c r="P1981" s="390">
        <v>183750000</v>
      </c>
      <c r="Q1981" s="387" t="s">
        <v>13440</v>
      </c>
      <c r="R1981" s="387" t="s">
        <v>8160</v>
      </c>
      <c r="S1981" s="340">
        <v>1</v>
      </c>
    </row>
    <row r="1982" spans="1:19" ht="43.5" x14ac:dyDescent="0.35">
      <c r="A1982" s="349">
        <v>1971</v>
      </c>
      <c r="B1982" s="387" t="s">
        <v>10096</v>
      </c>
      <c r="C1982" s="387" t="s">
        <v>10097</v>
      </c>
      <c r="D1982" s="388" t="s">
        <v>51</v>
      </c>
      <c r="E1982" s="388" t="s">
        <v>10082</v>
      </c>
      <c r="F1982" s="388" t="s">
        <v>10078</v>
      </c>
      <c r="G1982" s="388" t="s">
        <v>10088</v>
      </c>
      <c r="H1982" s="388" t="s">
        <v>1433</v>
      </c>
      <c r="I1982" s="387" t="s">
        <v>13435</v>
      </c>
      <c r="J1982" s="389">
        <v>42970</v>
      </c>
      <c r="K1982" s="387" t="s">
        <v>13441</v>
      </c>
      <c r="L1982" s="387"/>
      <c r="M1982" s="387" t="s">
        <v>10084</v>
      </c>
      <c r="N1982" s="387"/>
      <c r="O1982" s="387" t="s">
        <v>57</v>
      </c>
      <c r="P1982" s="390">
        <v>199100000</v>
      </c>
      <c r="Q1982" s="387" t="s">
        <v>13442</v>
      </c>
      <c r="R1982" s="387" t="s">
        <v>8160</v>
      </c>
      <c r="S1982" s="340">
        <v>1</v>
      </c>
    </row>
    <row r="1983" spans="1:19" ht="29.5" thickBot="1" x14ac:dyDescent="0.4">
      <c r="A1983" s="357">
        <v>1972</v>
      </c>
      <c r="B1983" s="387" t="s">
        <v>10080</v>
      </c>
      <c r="C1983" s="387" t="s">
        <v>10081</v>
      </c>
      <c r="D1983" s="388" t="s">
        <v>51</v>
      </c>
      <c r="E1983" s="388" t="s">
        <v>10082</v>
      </c>
      <c r="F1983" s="388" t="s">
        <v>10078</v>
      </c>
      <c r="G1983" s="388" t="s">
        <v>10088</v>
      </c>
      <c r="H1983" s="388" t="s">
        <v>11400</v>
      </c>
      <c r="I1983" s="387" t="s">
        <v>13371</v>
      </c>
      <c r="J1983" s="389"/>
      <c r="K1983" s="387"/>
      <c r="L1983" s="387"/>
      <c r="M1983" s="387" t="s">
        <v>10084</v>
      </c>
      <c r="N1983" s="387"/>
      <c r="O1983" s="387" t="s">
        <v>57</v>
      </c>
      <c r="P1983" s="390">
        <v>217699000</v>
      </c>
      <c r="Q1983" s="387"/>
      <c r="R1983" s="387" t="s">
        <v>8161</v>
      </c>
      <c r="S1983" s="340">
        <v>1</v>
      </c>
    </row>
    <row r="1984" spans="1:19" ht="29" x14ac:dyDescent="0.35">
      <c r="A1984" s="349">
        <v>1973</v>
      </c>
      <c r="B1984" s="387" t="s">
        <v>10080</v>
      </c>
      <c r="C1984" s="387" t="s">
        <v>10081</v>
      </c>
      <c r="D1984" s="388" t="s">
        <v>59</v>
      </c>
      <c r="E1984" s="388" t="s">
        <v>10082</v>
      </c>
      <c r="F1984" s="388" t="s">
        <v>10078</v>
      </c>
      <c r="G1984" s="388" t="s">
        <v>10088</v>
      </c>
      <c r="H1984" s="388" t="s">
        <v>13219</v>
      </c>
      <c r="I1984" s="387" t="s">
        <v>13371</v>
      </c>
      <c r="J1984" s="389"/>
      <c r="K1984" s="387"/>
      <c r="L1984" s="387"/>
      <c r="M1984" s="387" t="s">
        <v>10084</v>
      </c>
      <c r="N1984" s="387"/>
      <c r="O1984" s="387" t="s">
        <v>57</v>
      </c>
      <c r="P1984" s="390">
        <v>476952700</v>
      </c>
      <c r="Q1984" s="387"/>
      <c r="R1984" s="387" t="s">
        <v>8161</v>
      </c>
      <c r="S1984" s="340">
        <v>1</v>
      </c>
    </row>
    <row r="1985" spans="1:19" ht="29.5" thickBot="1" x14ac:dyDescent="0.4">
      <c r="A1985" s="357">
        <v>1974</v>
      </c>
      <c r="B1985" s="387" t="s">
        <v>10080</v>
      </c>
      <c r="C1985" s="387" t="s">
        <v>10081</v>
      </c>
      <c r="D1985" s="388" t="s">
        <v>97</v>
      </c>
      <c r="E1985" s="388" t="s">
        <v>10082</v>
      </c>
      <c r="F1985" s="388" t="s">
        <v>10078</v>
      </c>
      <c r="G1985" s="388" t="s">
        <v>10088</v>
      </c>
      <c r="H1985" s="388" t="s">
        <v>11400</v>
      </c>
      <c r="I1985" s="387" t="s">
        <v>13371</v>
      </c>
      <c r="J1985" s="389"/>
      <c r="K1985" s="387"/>
      <c r="L1985" s="387"/>
      <c r="M1985" s="387" t="s">
        <v>10084</v>
      </c>
      <c r="N1985" s="387"/>
      <c r="O1985" s="387" t="s">
        <v>57</v>
      </c>
      <c r="P1985" s="390">
        <v>221564000</v>
      </c>
      <c r="Q1985" s="387"/>
      <c r="R1985" s="387" t="s">
        <v>8161</v>
      </c>
      <c r="S1985" s="340">
        <v>1</v>
      </c>
    </row>
    <row r="1986" spans="1:19" ht="43.5" x14ac:dyDescent="0.35">
      <c r="A1986" s="349">
        <v>1975</v>
      </c>
      <c r="B1986" s="387" t="s">
        <v>10080</v>
      </c>
      <c r="C1986" s="387" t="s">
        <v>10081</v>
      </c>
      <c r="D1986" s="388" t="s">
        <v>101</v>
      </c>
      <c r="E1986" s="388" t="s">
        <v>10082</v>
      </c>
      <c r="F1986" s="388" t="s">
        <v>10078</v>
      </c>
      <c r="G1986" s="388" t="s">
        <v>10078</v>
      </c>
      <c r="H1986" s="388" t="s">
        <v>2972</v>
      </c>
      <c r="I1986" s="387" t="s">
        <v>13443</v>
      </c>
      <c r="J1986" s="389">
        <v>44392</v>
      </c>
      <c r="K1986" s="387" t="s">
        <v>13444</v>
      </c>
      <c r="L1986" s="387"/>
      <c r="M1986" s="387" t="s">
        <v>10084</v>
      </c>
      <c r="N1986" s="387"/>
      <c r="O1986" s="387" t="s">
        <v>57</v>
      </c>
      <c r="P1986" s="390">
        <v>984007600</v>
      </c>
      <c r="Q1986" s="387" t="s">
        <v>13445</v>
      </c>
      <c r="R1986" s="387" t="s">
        <v>8161</v>
      </c>
      <c r="S1986" s="340">
        <v>1</v>
      </c>
    </row>
    <row r="1987" spans="1:19" ht="29.5" thickBot="1" x14ac:dyDescent="0.4">
      <c r="A1987" s="357">
        <v>1976</v>
      </c>
      <c r="B1987" s="387" t="s">
        <v>10110</v>
      </c>
      <c r="C1987" s="387" t="s">
        <v>10111</v>
      </c>
      <c r="D1987" s="388" t="s">
        <v>51</v>
      </c>
      <c r="E1987" s="388" t="s">
        <v>10082</v>
      </c>
      <c r="F1987" s="388" t="s">
        <v>10078</v>
      </c>
      <c r="G1987" s="388" t="s">
        <v>10088</v>
      </c>
      <c r="H1987" s="388" t="s">
        <v>11408</v>
      </c>
      <c r="I1987" s="387" t="s">
        <v>13371</v>
      </c>
      <c r="J1987" s="389"/>
      <c r="K1987" s="387"/>
      <c r="L1987" s="387"/>
      <c r="M1987" s="387" t="s">
        <v>10084</v>
      </c>
      <c r="N1987" s="387"/>
      <c r="O1987" s="387" t="s">
        <v>57</v>
      </c>
      <c r="P1987" s="390">
        <v>13729000</v>
      </c>
      <c r="Q1987" s="387"/>
      <c r="R1987" s="387" t="s">
        <v>8161</v>
      </c>
      <c r="S1987" s="340">
        <v>1</v>
      </c>
    </row>
    <row r="1988" spans="1:19" ht="43.5" x14ac:dyDescent="0.35">
      <c r="A1988" s="349">
        <v>1977</v>
      </c>
      <c r="B1988" s="387" t="s">
        <v>10110</v>
      </c>
      <c r="C1988" s="387" t="s">
        <v>10111</v>
      </c>
      <c r="D1988" s="388" t="s">
        <v>59</v>
      </c>
      <c r="E1988" s="388" t="s">
        <v>10082</v>
      </c>
      <c r="F1988" s="388" t="s">
        <v>10078</v>
      </c>
      <c r="G1988" s="388" t="s">
        <v>10088</v>
      </c>
      <c r="H1988" s="388" t="s">
        <v>12623</v>
      </c>
      <c r="I1988" s="387" t="s">
        <v>13446</v>
      </c>
      <c r="J1988" s="389"/>
      <c r="K1988" s="387" t="s">
        <v>13447</v>
      </c>
      <c r="L1988" s="387"/>
      <c r="M1988" s="387"/>
      <c r="N1988" s="387"/>
      <c r="O1988" s="387" t="s">
        <v>44</v>
      </c>
      <c r="P1988" s="390">
        <v>258618100</v>
      </c>
      <c r="Q1988" s="387" t="s">
        <v>13448</v>
      </c>
      <c r="R1988" s="387" t="s">
        <v>8161</v>
      </c>
      <c r="S1988" s="340">
        <v>1</v>
      </c>
    </row>
    <row r="1989" spans="1:19" ht="29.5" thickBot="1" x14ac:dyDescent="0.4">
      <c r="A1989" s="357">
        <v>1978</v>
      </c>
      <c r="B1989" s="387" t="s">
        <v>10092</v>
      </c>
      <c r="C1989" s="387" t="s">
        <v>10093</v>
      </c>
      <c r="D1989" s="388" t="s">
        <v>51</v>
      </c>
      <c r="E1989" s="388" t="s">
        <v>10082</v>
      </c>
      <c r="F1989" s="388" t="s">
        <v>10078</v>
      </c>
      <c r="G1989" s="388" t="s">
        <v>10088</v>
      </c>
      <c r="H1989" s="388" t="s">
        <v>12979</v>
      </c>
      <c r="I1989" s="387" t="s">
        <v>13371</v>
      </c>
      <c r="J1989" s="389"/>
      <c r="K1989" s="387"/>
      <c r="L1989" s="387"/>
      <c r="M1989" s="387" t="s">
        <v>10084</v>
      </c>
      <c r="N1989" s="387"/>
      <c r="O1989" s="387" t="s">
        <v>57</v>
      </c>
      <c r="P1989" s="390">
        <v>152263955</v>
      </c>
      <c r="Q1989" s="387"/>
      <c r="R1989" s="387" t="s">
        <v>8161</v>
      </c>
      <c r="S1989" s="340">
        <v>1</v>
      </c>
    </row>
    <row r="1990" spans="1:19" ht="43.5" x14ac:dyDescent="0.35">
      <c r="A1990" s="349">
        <v>1979</v>
      </c>
      <c r="B1990" s="387" t="s">
        <v>10765</v>
      </c>
      <c r="C1990" s="387" t="s">
        <v>10766</v>
      </c>
      <c r="D1990" s="388" t="s">
        <v>51</v>
      </c>
      <c r="E1990" s="388" t="s">
        <v>10082</v>
      </c>
      <c r="F1990" s="388" t="s">
        <v>10078</v>
      </c>
      <c r="G1990" s="388" t="s">
        <v>10088</v>
      </c>
      <c r="H1990" s="388" t="s">
        <v>13449</v>
      </c>
      <c r="I1990" s="387" t="s">
        <v>13446</v>
      </c>
      <c r="J1990" s="389"/>
      <c r="K1990" s="387" t="s">
        <v>13450</v>
      </c>
      <c r="L1990" s="387"/>
      <c r="M1990" s="387"/>
      <c r="N1990" s="387"/>
      <c r="O1990" s="387" t="s">
        <v>44</v>
      </c>
      <c r="P1990" s="390">
        <v>99657398</v>
      </c>
      <c r="Q1990" s="387" t="s">
        <v>13451</v>
      </c>
      <c r="R1990" s="387" t="s">
        <v>8161</v>
      </c>
      <c r="S1990" s="340">
        <v>1</v>
      </c>
    </row>
    <row r="1991" spans="1:19" ht="29.5" thickBot="1" x14ac:dyDescent="0.4">
      <c r="A1991" s="357">
        <v>1980</v>
      </c>
      <c r="B1991" s="387" t="s">
        <v>10085</v>
      </c>
      <c r="C1991" s="387" t="s">
        <v>10086</v>
      </c>
      <c r="D1991" s="388" t="s">
        <v>51</v>
      </c>
      <c r="E1991" s="388" t="s">
        <v>10082</v>
      </c>
      <c r="F1991" s="388" t="s">
        <v>10078</v>
      </c>
      <c r="G1991" s="388" t="s">
        <v>10078</v>
      </c>
      <c r="H1991" s="388" t="s">
        <v>11308</v>
      </c>
      <c r="I1991" s="387" t="s">
        <v>13371</v>
      </c>
      <c r="J1991" s="389"/>
      <c r="K1991" s="387"/>
      <c r="L1991" s="387"/>
      <c r="M1991" s="387" t="s">
        <v>10084</v>
      </c>
      <c r="N1991" s="387"/>
      <c r="O1991" s="387" t="s">
        <v>57</v>
      </c>
      <c r="P1991" s="390">
        <v>12495000</v>
      </c>
      <c r="Q1991" s="387"/>
      <c r="R1991" s="387" t="s">
        <v>8161</v>
      </c>
      <c r="S1991" s="340">
        <v>1</v>
      </c>
    </row>
    <row r="1992" spans="1:19" ht="29" x14ac:dyDescent="0.35">
      <c r="A1992" s="349">
        <v>1981</v>
      </c>
      <c r="B1992" s="387" t="s">
        <v>10085</v>
      </c>
      <c r="C1992" s="387" t="s">
        <v>10086</v>
      </c>
      <c r="D1992" s="388" t="s">
        <v>59</v>
      </c>
      <c r="E1992" s="388" t="s">
        <v>10082</v>
      </c>
      <c r="F1992" s="388" t="s">
        <v>10078</v>
      </c>
      <c r="G1992" s="388" t="s">
        <v>10088</v>
      </c>
      <c r="H1992" s="388" t="s">
        <v>11308</v>
      </c>
      <c r="I1992" s="387" t="s">
        <v>13371</v>
      </c>
      <c r="J1992" s="389"/>
      <c r="K1992" s="387"/>
      <c r="L1992" s="387"/>
      <c r="M1992" s="387" t="s">
        <v>10084</v>
      </c>
      <c r="N1992" s="387"/>
      <c r="O1992" s="387" t="s">
        <v>57</v>
      </c>
      <c r="P1992" s="390">
        <v>128135000</v>
      </c>
      <c r="Q1992" s="387"/>
      <c r="R1992" s="387" t="s">
        <v>8161</v>
      </c>
      <c r="S1992" s="340">
        <v>1</v>
      </c>
    </row>
    <row r="1993" spans="1:19" ht="29.5" thickBot="1" x14ac:dyDescent="0.4">
      <c r="A1993" s="357">
        <v>1982</v>
      </c>
      <c r="B1993" s="387" t="s">
        <v>10146</v>
      </c>
      <c r="C1993" s="387" t="s">
        <v>10147</v>
      </c>
      <c r="D1993" s="388" t="s">
        <v>51</v>
      </c>
      <c r="E1993" s="388" t="s">
        <v>10082</v>
      </c>
      <c r="F1993" s="388" t="s">
        <v>10078</v>
      </c>
      <c r="G1993" s="388" t="s">
        <v>10088</v>
      </c>
      <c r="H1993" s="388" t="s">
        <v>11308</v>
      </c>
      <c r="I1993" s="387" t="s">
        <v>13371</v>
      </c>
      <c r="J1993" s="389">
        <v>42941</v>
      </c>
      <c r="K1993" s="387" t="s">
        <v>13452</v>
      </c>
      <c r="L1993" s="387"/>
      <c r="M1993" s="387" t="s">
        <v>10084</v>
      </c>
      <c r="N1993" s="387"/>
      <c r="O1993" s="387" t="s">
        <v>57</v>
      </c>
      <c r="P1993" s="390">
        <v>221218000</v>
      </c>
      <c r="Q1993" s="387" t="s">
        <v>13453</v>
      </c>
      <c r="R1993" s="387" t="s">
        <v>8161</v>
      </c>
      <c r="S1993" s="340">
        <v>1</v>
      </c>
    </row>
    <row r="1994" spans="1:19" ht="29" x14ac:dyDescent="0.35">
      <c r="A1994" s="349">
        <v>1983</v>
      </c>
      <c r="B1994" s="387" t="s">
        <v>10697</v>
      </c>
      <c r="C1994" s="387" t="s">
        <v>10698</v>
      </c>
      <c r="D1994" s="388" t="s">
        <v>51</v>
      </c>
      <c r="E1994" s="388" t="s">
        <v>10082</v>
      </c>
      <c r="F1994" s="388" t="s">
        <v>10078</v>
      </c>
      <c r="G1994" s="388" t="s">
        <v>10078</v>
      </c>
      <c r="H1994" s="388" t="s">
        <v>12157</v>
      </c>
      <c r="I1994" s="387" t="s">
        <v>13371</v>
      </c>
      <c r="J1994" s="389">
        <v>42328</v>
      </c>
      <c r="K1994" s="387" t="s">
        <v>13454</v>
      </c>
      <c r="L1994" s="387"/>
      <c r="M1994" s="387" t="s">
        <v>10084</v>
      </c>
      <c r="N1994" s="387"/>
      <c r="O1994" s="387" t="s">
        <v>57</v>
      </c>
      <c r="P1994" s="390">
        <v>267515000</v>
      </c>
      <c r="Q1994" s="387" t="s">
        <v>13455</v>
      </c>
      <c r="R1994" s="387" t="s">
        <v>8161</v>
      </c>
      <c r="S1994" s="340">
        <v>1</v>
      </c>
    </row>
    <row r="1995" spans="1:19" ht="44" thickBot="1" x14ac:dyDescent="0.4">
      <c r="A1995" s="357">
        <v>1984</v>
      </c>
      <c r="B1995" s="387" t="s">
        <v>10096</v>
      </c>
      <c r="C1995" s="387" t="s">
        <v>10097</v>
      </c>
      <c r="D1995" s="388" t="s">
        <v>51</v>
      </c>
      <c r="E1995" s="388" t="s">
        <v>10082</v>
      </c>
      <c r="F1995" s="388" t="s">
        <v>10078</v>
      </c>
      <c r="G1995" s="388" t="s">
        <v>10088</v>
      </c>
      <c r="H1995" s="388" t="s">
        <v>13456</v>
      </c>
      <c r="I1995" s="387" t="s">
        <v>13446</v>
      </c>
      <c r="J1995" s="389"/>
      <c r="K1995" s="387" t="s">
        <v>13457</v>
      </c>
      <c r="L1995" s="387"/>
      <c r="M1995" s="387"/>
      <c r="N1995" s="387"/>
      <c r="O1995" s="387" t="s">
        <v>44</v>
      </c>
      <c r="P1995" s="390">
        <v>199202106.00000003</v>
      </c>
      <c r="Q1995" s="387" t="s">
        <v>13458</v>
      </c>
      <c r="R1995" s="387" t="s">
        <v>8161</v>
      </c>
      <c r="S1995" s="340">
        <v>1</v>
      </c>
    </row>
    <row r="1996" spans="1:19" ht="29" x14ac:dyDescent="0.35">
      <c r="A1996" s="349">
        <v>1985</v>
      </c>
      <c r="B1996" s="387" t="s">
        <v>10080</v>
      </c>
      <c r="C1996" s="387" t="s">
        <v>10081</v>
      </c>
      <c r="D1996" s="388" t="s">
        <v>51</v>
      </c>
      <c r="E1996" s="388" t="s">
        <v>10082</v>
      </c>
      <c r="F1996" s="388" t="s">
        <v>10078</v>
      </c>
      <c r="G1996" s="388" t="s">
        <v>10078</v>
      </c>
      <c r="H1996" s="388" t="s">
        <v>12798</v>
      </c>
      <c r="I1996" s="387" t="s">
        <v>13459</v>
      </c>
      <c r="J1996" s="389">
        <v>43588</v>
      </c>
      <c r="K1996" s="387" t="s">
        <v>13460</v>
      </c>
      <c r="L1996" s="387"/>
      <c r="M1996" s="387" t="s">
        <v>10084</v>
      </c>
      <c r="N1996" s="387"/>
      <c r="O1996" s="387" t="s">
        <v>57</v>
      </c>
      <c r="P1996" s="390">
        <v>194680000</v>
      </c>
      <c r="Q1996" s="387" t="s">
        <v>13461</v>
      </c>
      <c r="R1996" s="387" t="s">
        <v>13462</v>
      </c>
      <c r="S1996" s="340">
        <v>1</v>
      </c>
    </row>
    <row r="1997" spans="1:19" ht="29.5" thickBot="1" x14ac:dyDescent="0.4">
      <c r="A1997" s="357">
        <v>1986</v>
      </c>
      <c r="B1997" s="387" t="s">
        <v>10080</v>
      </c>
      <c r="C1997" s="387" t="s">
        <v>10081</v>
      </c>
      <c r="D1997" s="388" t="s">
        <v>59</v>
      </c>
      <c r="E1997" s="388" t="s">
        <v>10082</v>
      </c>
      <c r="F1997" s="388" t="s">
        <v>10078</v>
      </c>
      <c r="G1997" s="388" t="s">
        <v>10088</v>
      </c>
      <c r="H1997" s="388" t="s">
        <v>12664</v>
      </c>
      <c r="I1997" s="387" t="s">
        <v>13463</v>
      </c>
      <c r="J1997" s="389">
        <v>43003</v>
      </c>
      <c r="K1997" s="387" t="s">
        <v>13464</v>
      </c>
      <c r="L1997" s="387"/>
      <c r="M1997" s="387" t="s">
        <v>10084</v>
      </c>
      <c r="N1997" s="387"/>
      <c r="O1997" s="387" t="s">
        <v>57</v>
      </c>
      <c r="P1997" s="390">
        <v>318625550</v>
      </c>
      <c r="Q1997" s="387" t="s">
        <v>13465</v>
      </c>
      <c r="R1997" s="387" t="s">
        <v>13462</v>
      </c>
      <c r="S1997" s="340">
        <v>1</v>
      </c>
    </row>
    <row r="1998" spans="1:19" ht="29" x14ac:dyDescent="0.35">
      <c r="A1998" s="349">
        <v>1987</v>
      </c>
      <c r="B1998" s="387" t="s">
        <v>10110</v>
      </c>
      <c r="C1998" s="387" t="s">
        <v>10111</v>
      </c>
      <c r="D1998" s="388" t="s">
        <v>59</v>
      </c>
      <c r="E1998" s="388" t="s">
        <v>10082</v>
      </c>
      <c r="F1998" s="388" t="s">
        <v>10078</v>
      </c>
      <c r="G1998" s="388" t="s">
        <v>10088</v>
      </c>
      <c r="H1998" s="388"/>
      <c r="I1998" s="387" t="s">
        <v>11422</v>
      </c>
      <c r="J1998" s="389"/>
      <c r="K1998" s="387" t="s">
        <v>13466</v>
      </c>
      <c r="L1998" s="387"/>
      <c r="M1998" s="387"/>
      <c r="N1998" s="387"/>
      <c r="O1998" s="387" t="s">
        <v>44</v>
      </c>
      <c r="P1998" s="390">
        <v>129540400</v>
      </c>
      <c r="Q1998" s="387" t="s">
        <v>13467</v>
      </c>
      <c r="R1998" s="387" t="s">
        <v>13462</v>
      </c>
      <c r="S1998" s="340">
        <v>1</v>
      </c>
    </row>
    <row r="1999" spans="1:19" ht="44" thickBot="1" x14ac:dyDescent="0.4">
      <c r="A1999" s="357">
        <v>1988</v>
      </c>
      <c r="B1999" s="387" t="s">
        <v>10110</v>
      </c>
      <c r="C1999" s="387" t="s">
        <v>10111</v>
      </c>
      <c r="D1999" s="388" t="s">
        <v>97</v>
      </c>
      <c r="E1999" s="388" t="s">
        <v>10082</v>
      </c>
      <c r="F1999" s="388" t="s">
        <v>10078</v>
      </c>
      <c r="G1999" s="388" t="s">
        <v>10088</v>
      </c>
      <c r="H1999" s="388" t="s">
        <v>11333</v>
      </c>
      <c r="I1999" s="387" t="s">
        <v>13468</v>
      </c>
      <c r="J1999" s="389"/>
      <c r="K1999" s="387" t="s">
        <v>13469</v>
      </c>
      <c r="L1999" s="387"/>
      <c r="M1999" s="387"/>
      <c r="N1999" s="387"/>
      <c r="O1999" s="387" t="s">
        <v>44</v>
      </c>
      <c r="P1999" s="390">
        <v>263664150.00000003</v>
      </c>
      <c r="Q1999" s="387" t="s">
        <v>13470</v>
      </c>
      <c r="R1999" s="387" t="s">
        <v>13462</v>
      </c>
      <c r="S1999" s="340">
        <v>1</v>
      </c>
    </row>
    <row r="2000" spans="1:19" ht="29" x14ac:dyDescent="0.35">
      <c r="A2000" s="349">
        <v>1989</v>
      </c>
      <c r="B2000" s="387" t="s">
        <v>10096</v>
      </c>
      <c r="C2000" s="387" t="s">
        <v>10097</v>
      </c>
      <c r="D2000" s="388" t="s">
        <v>51</v>
      </c>
      <c r="E2000" s="388" t="s">
        <v>10082</v>
      </c>
      <c r="F2000" s="388" t="s">
        <v>10078</v>
      </c>
      <c r="G2000" s="388" t="s">
        <v>10078</v>
      </c>
      <c r="H2000" s="388" t="s">
        <v>13471</v>
      </c>
      <c r="I2000" s="387" t="s">
        <v>13459</v>
      </c>
      <c r="J2000" s="389">
        <v>43669</v>
      </c>
      <c r="K2000" s="387" t="s">
        <v>13472</v>
      </c>
      <c r="L2000" s="387"/>
      <c r="M2000" s="387" t="s">
        <v>10084</v>
      </c>
      <c r="N2000" s="387"/>
      <c r="O2000" s="387" t="s">
        <v>57</v>
      </c>
      <c r="P2000" s="390">
        <v>221373312</v>
      </c>
      <c r="Q2000" s="387" t="s">
        <v>13473</v>
      </c>
      <c r="R2000" s="387" t="s">
        <v>13462</v>
      </c>
      <c r="S2000" s="340">
        <v>1</v>
      </c>
    </row>
    <row r="2001" spans="1:19" ht="29.5" thickBot="1" x14ac:dyDescent="0.4">
      <c r="A2001" s="357">
        <v>1990</v>
      </c>
      <c r="B2001" s="387" t="s">
        <v>10900</v>
      </c>
      <c r="C2001" s="387" t="s">
        <v>10901</v>
      </c>
      <c r="D2001" s="388" t="s">
        <v>51</v>
      </c>
      <c r="E2001" s="388" t="s">
        <v>10082</v>
      </c>
      <c r="F2001" s="388" t="s">
        <v>10078</v>
      </c>
      <c r="G2001" s="388" t="s">
        <v>10078</v>
      </c>
      <c r="H2001" s="388" t="s">
        <v>11291</v>
      </c>
      <c r="I2001" s="387" t="s">
        <v>13474</v>
      </c>
      <c r="J2001" s="389">
        <v>42299</v>
      </c>
      <c r="K2001" s="387" t="s">
        <v>13475</v>
      </c>
      <c r="L2001" s="387"/>
      <c r="M2001" s="387" t="s">
        <v>10084</v>
      </c>
      <c r="N2001" s="387"/>
      <c r="O2001" s="387" t="s">
        <v>57</v>
      </c>
      <c r="P2001" s="390">
        <v>54650000</v>
      </c>
      <c r="Q2001" s="387" t="s">
        <v>13476</v>
      </c>
      <c r="R2001" s="387" t="s">
        <v>8211</v>
      </c>
      <c r="S2001" s="340">
        <v>2</v>
      </c>
    </row>
    <row r="2002" spans="1:19" ht="14.5" x14ac:dyDescent="0.35">
      <c r="A2002" s="349">
        <v>1991</v>
      </c>
      <c r="B2002" s="387" t="s">
        <v>13477</v>
      </c>
      <c r="C2002" s="387" t="s">
        <v>13478</v>
      </c>
      <c r="D2002" s="388" t="s">
        <v>51</v>
      </c>
      <c r="E2002" s="388" t="s">
        <v>10082</v>
      </c>
      <c r="F2002" s="388" t="s">
        <v>10078</v>
      </c>
      <c r="G2002" s="388" t="s">
        <v>10088</v>
      </c>
      <c r="H2002" s="388" t="s">
        <v>11297</v>
      </c>
      <c r="I2002" s="387" t="s">
        <v>11410</v>
      </c>
      <c r="J2002" s="389">
        <v>40178</v>
      </c>
      <c r="K2002" s="387"/>
      <c r="L2002" s="387"/>
      <c r="M2002" s="387" t="s">
        <v>10084</v>
      </c>
      <c r="N2002" s="387"/>
      <c r="O2002" s="387" t="s">
        <v>57</v>
      </c>
      <c r="P2002" s="390">
        <v>102190000</v>
      </c>
      <c r="Q2002" s="387" t="s">
        <v>13479</v>
      </c>
      <c r="R2002" s="387" t="s">
        <v>8211</v>
      </c>
      <c r="S2002" s="340">
        <v>2</v>
      </c>
    </row>
    <row r="2003" spans="1:19" thickBot="1" x14ac:dyDescent="0.4">
      <c r="A2003" s="357">
        <v>1992</v>
      </c>
      <c r="B2003" s="387" t="s">
        <v>13477</v>
      </c>
      <c r="C2003" s="387" t="s">
        <v>13478</v>
      </c>
      <c r="D2003" s="388" t="s">
        <v>59</v>
      </c>
      <c r="E2003" s="388" t="s">
        <v>10082</v>
      </c>
      <c r="F2003" s="388" t="s">
        <v>10078</v>
      </c>
      <c r="G2003" s="388" t="s">
        <v>10088</v>
      </c>
      <c r="H2003" s="388" t="s">
        <v>11297</v>
      </c>
      <c r="I2003" s="387" t="s">
        <v>13480</v>
      </c>
      <c r="J2003" s="389">
        <v>40178</v>
      </c>
      <c r="K2003" s="387"/>
      <c r="L2003" s="387"/>
      <c r="M2003" s="387" t="s">
        <v>10084</v>
      </c>
      <c r="N2003" s="387"/>
      <c r="O2003" s="387" t="s">
        <v>57</v>
      </c>
      <c r="P2003" s="390">
        <v>264150000</v>
      </c>
      <c r="Q2003" s="387" t="s">
        <v>13481</v>
      </c>
      <c r="R2003" s="387" t="s">
        <v>8211</v>
      </c>
      <c r="S2003" s="340">
        <v>2</v>
      </c>
    </row>
    <row r="2004" spans="1:19" ht="29" x14ac:dyDescent="0.35">
      <c r="A2004" s="349">
        <v>1993</v>
      </c>
      <c r="B2004" s="387" t="s">
        <v>13477</v>
      </c>
      <c r="C2004" s="387" t="s">
        <v>13478</v>
      </c>
      <c r="D2004" s="388" t="s">
        <v>97</v>
      </c>
      <c r="E2004" s="388" t="s">
        <v>10082</v>
      </c>
      <c r="F2004" s="388" t="s">
        <v>10078</v>
      </c>
      <c r="G2004" s="388" t="s">
        <v>10088</v>
      </c>
      <c r="H2004" s="388" t="s">
        <v>11297</v>
      </c>
      <c r="I2004" s="387" t="s">
        <v>8219</v>
      </c>
      <c r="J2004" s="389">
        <v>42597</v>
      </c>
      <c r="K2004" s="387" t="s">
        <v>13482</v>
      </c>
      <c r="L2004" s="387"/>
      <c r="M2004" s="387" t="s">
        <v>10084</v>
      </c>
      <c r="N2004" s="387"/>
      <c r="O2004" s="387" t="s">
        <v>57</v>
      </c>
      <c r="P2004" s="390">
        <v>272500000</v>
      </c>
      <c r="Q2004" s="387" t="s">
        <v>13483</v>
      </c>
      <c r="R2004" s="387" t="s">
        <v>8211</v>
      </c>
      <c r="S2004" s="340">
        <v>2</v>
      </c>
    </row>
    <row r="2005" spans="1:19" ht="29.5" thickBot="1" x14ac:dyDescent="0.4">
      <c r="A2005" s="357">
        <v>1994</v>
      </c>
      <c r="B2005" s="387" t="s">
        <v>13477</v>
      </c>
      <c r="C2005" s="387" t="s">
        <v>13478</v>
      </c>
      <c r="D2005" s="388" t="s">
        <v>101</v>
      </c>
      <c r="E2005" s="388" t="s">
        <v>10082</v>
      </c>
      <c r="F2005" s="388" t="s">
        <v>10078</v>
      </c>
      <c r="G2005" s="388" t="s">
        <v>10088</v>
      </c>
      <c r="H2005" s="388" t="s">
        <v>11297</v>
      </c>
      <c r="I2005" s="387" t="s">
        <v>13484</v>
      </c>
      <c r="J2005" s="389">
        <v>42223</v>
      </c>
      <c r="K2005" s="387" t="s">
        <v>13485</v>
      </c>
      <c r="L2005" s="387"/>
      <c r="M2005" s="387" t="s">
        <v>10084</v>
      </c>
      <c r="N2005" s="387"/>
      <c r="O2005" s="387" t="s">
        <v>57</v>
      </c>
      <c r="P2005" s="390">
        <v>210774000</v>
      </c>
      <c r="Q2005" s="387" t="s">
        <v>13486</v>
      </c>
      <c r="R2005" s="387" t="s">
        <v>8211</v>
      </c>
      <c r="S2005" s="340">
        <v>2</v>
      </c>
    </row>
    <row r="2006" spans="1:19" ht="29" x14ac:dyDescent="0.35">
      <c r="A2006" s="349">
        <v>1995</v>
      </c>
      <c r="B2006" s="387" t="s">
        <v>13477</v>
      </c>
      <c r="C2006" s="387" t="s">
        <v>13478</v>
      </c>
      <c r="D2006" s="388" t="s">
        <v>107</v>
      </c>
      <c r="E2006" s="388" t="s">
        <v>10082</v>
      </c>
      <c r="F2006" s="388" t="s">
        <v>10078</v>
      </c>
      <c r="G2006" s="388" t="s">
        <v>10088</v>
      </c>
      <c r="H2006" s="388" t="s">
        <v>11400</v>
      </c>
      <c r="I2006" s="387" t="s">
        <v>13487</v>
      </c>
      <c r="J2006" s="389">
        <v>41904</v>
      </c>
      <c r="K2006" s="387" t="s">
        <v>13488</v>
      </c>
      <c r="L2006" s="387"/>
      <c r="M2006" s="387" t="s">
        <v>10084</v>
      </c>
      <c r="N2006" s="387"/>
      <c r="O2006" s="387" t="s">
        <v>57</v>
      </c>
      <c r="P2006" s="390">
        <v>268516000</v>
      </c>
      <c r="Q2006" s="387" t="s">
        <v>13489</v>
      </c>
      <c r="R2006" s="387" t="s">
        <v>8211</v>
      </c>
      <c r="S2006" s="340">
        <v>2</v>
      </c>
    </row>
    <row r="2007" spans="1:19" ht="29.5" thickBot="1" x14ac:dyDescent="0.4">
      <c r="A2007" s="357">
        <v>1996</v>
      </c>
      <c r="B2007" s="387" t="s">
        <v>13477</v>
      </c>
      <c r="C2007" s="387" t="s">
        <v>13478</v>
      </c>
      <c r="D2007" s="388" t="s">
        <v>112</v>
      </c>
      <c r="E2007" s="388" t="s">
        <v>10082</v>
      </c>
      <c r="F2007" s="388" t="s">
        <v>10078</v>
      </c>
      <c r="G2007" s="388" t="s">
        <v>10088</v>
      </c>
      <c r="H2007" s="388" t="s">
        <v>13033</v>
      </c>
      <c r="I2007" s="387" t="s">
        <v>13490</v>
      </c>
      <c r="J2007" s="389">
        <v>41904</v>
      </c>
      <c r="K2007" s="387" t="s">
        <v>13491</v>
      </c>
      <c r="L2007" s="387"/>
      <c r="M2007" s="387" t="s">
        <v>10084</v>
      </c>
      <c r="N2007" s="387"/>
      <c r="O2007" s="387" t="s">
        <v>57</v>
      </c>
      <c r="P2007" s="390">
        <v>269970000</v>
      </c>
      <c r="Q2007" s="387" t="s">
        <v>13492</v>
      </c>
      <c r="R2007" s="387" t="s">
        <v>8211</v>
      </c>
      <c r="S2007" s="340">
        <v>2</v>
      </c>
    </row>
    <row r="2008" spans="1:19" ht="29" x14ac:dyDescent="0.35">
      <c r="A2008" s="349">
        <v>1997</v>
      </c>
      <c r="B2008" s="387" t="s">
        <v>13477</v>
      </c>
      <c r="C2008" s="387" t="s">
        <v>13478</v>
      </c>
      <c r="D2008" s="388" t="s">
        <v>116</v>
      </c>
      <c r="E2008" s="388" t="s">
        <v>10082</v>
      </c>
      <c r="F2008" s="388" t="s">
        <v>10078</v>
      </c>
      <c r="G2008" s="388" t="s">
        <v>10078</v>
      </c>
      <c r="H2008" s="388" t="s">
        <v>11297</v>
      </c>
      <c r="I2008" s="387" t="s">
        <v>11628</v>
      </c>
      <c r="J2008" s="389">
        <v>39813</v>
      </c>
      <c r="K2008" s="387"/>
      <c r="L2008" s="387"/>
      <c r="M2008" s="387" t="s">
        <v>10084</v>
      </c>
      <c r="N2008" s="387"/>
      <c r="O2008" s="387" t="s">
        <v>57</v>
      </c>
      <c r="P2008" s="390">
        <v>152388000</v>
      </c>
      <c r="Q2008" s="387" t="s">
        <v>13493</v>
      </c>
      <c r="R2008" s="387" t="s">
        <v>8211</v>
      </c>
      <c r="S2008" s="340">
        <v>2</v>
      </c>
    </row>
    <row r="2009" spans="1:19" ht="29.5" thickBot="1" x14ac:dyDescent="0.4">
      <c r="A2009" s="357">
        <v>1998</v>
      </c>
      <c r="B2009" s="387" t="s">
        <v>13477</v>
      </c>
      <c r="C2009" s="387" t="s">
        <v>13478</v>
      </c>
      <c r="D2009" s="388" t="s">
        <v>841</v>
      </c>
      <c r="E2009" s="388" t="s">
        <v>10082</v>
      </c>
      <c r="F2009" s="388" t="s">
        <v>10078</v>
      </c>
      <c r="G2009" s="388" t="s">
        <v>10078</v>
      </c>
      <c r="H2009" s="388" t="s">
        <v>11297</v>
      </c>
      <c r="I2009" s="387" t="s">
        <v>13494</v>
      </c>
      <c r="J2009" s="389">
        <v>39813</v>
      </c>
      <c r="K2009" s="387"/>
      <c r="L2009" s="387"/>
      <c r="M2009" s="387" t="s">
        <v>10084</v>
      </c>
      <c r="N2009" s="387"/>
      <c r="O2009" s="387" t="s">
        <v>57</v>
      </c>
      <c r="P2009" s="390">
        <v>380404300</v>
      </c>
      <c r="Q2009" s="387" t="s">
        <v>13495</v>
      </c>
      <c r="R2009" s="387" t="s">
        <v>8211</v>
      </c>
      <c r="S2009" s="340">
        <v>2</v>
      </c>
    </row>
    <row r="2010" spans="1:19" ht="29" x14ac:dyDescent="0.35">
      <c r="A2010" s="349">
        <v>1999</v>
      </c>
      <c r="B2010" s="387" t="s">
        <v>13477</v>
      </c>
      <c r="C2010" s="387" t="s">
        <v>13478</v>
      </c>
      <c r="D2010" s="388" t="s">
        <v>904</v>
      </c>
      <c r="E2010" s="388" t="s">
        <v>10082</v>
      </c>
      <c r="F2010" s="388" t="s">
        <v>10078</v>
      </c>
      <c r="G2010" s="388" t="s">
        <v>10078</v>
      </c>
      <c r="H2010" s="388" t="s">
        <v>11297</v>
      </c>
      <c r="I2010" s="387" t="s">
        <v>13496</v>
      </c>
      <c r="J2010" s="389">
        <v>39813</v>
      </c>
      <c r="K2010" s="387"/>
      <c r="L2010" s="387"/>
      <c r="M2010" s="387" t="s">
        <v>10084</v>
      </c>
      <c r="N2010" s="387"/>
      <c r="O2010" s="387" t="s">
        <v>57</v>
      </c>
      <c r="P2010" s="390">
        <v>149621900</v>
      </c>
      <c r="Q2010" s="387" t="s">
        <v>13497</v>
      </c>
      <c r="R2010" s="387" t="s">
        <v>8211</v>
      </c>
      <c r="S2010" s="340">
        <v>2</v>
      </c>
    </row>
    <row r="2011" spans="1:19" ht="29.5" thickBot="1" x14ac:dyDescent="0.4">
      <c r="A2011" s="357">
        <v>2000</v>
      </c>
      <c r="B2011" s="387" t="s">
        <v>13477</v>
      </c>
      <c r="C2011" s="387" t="s">
        <v>13478</v>
      </c>
      <c r="D2011" s="388" t="s">
        <v>122</v>
      </c>
      <c r="E2011" s="388" t="s">
        <v>10082</v>
      </c>
      <c r="F2011" s="388" t="s">
        <v>10078</v>
      </c>
      <c r="G2011" s="388" t="s">
        <v>10088</v>
      </c>
      <c r="H2011" s="388" t="s">
        <v>12701</v>
      </c>
      <c r="I2011" s="387" t="s">
        <v>13498</v>
      </c>
      <c r="J2011" s="389">
        <v>39813</v>
      </c>
      <c r="K2011" s="387"/>
      <c r="L2011" s="387"/>
      <c r="M2011" s="387" t="s">
        <v>10084</v>
      </c>
      <c r="N2011" s="387"/>
      <c r="O2011" s="387" t="s">
        <v>57</v>
      </c>
      <c r="P2011" s="390">
        <v>512484000</v>
      </c>
      <c r="Q2011" s="387" t="s">
        <v>13499</v>
      </c>
      <c r="R2011" s="387" t="s">
        <v>8211</v>
      </c>
      <c r="S2011" s="340">
        <v>2</v>
      </c>
    </row>
    <row r="2012" spans="1:19" ht="29" x14ac:dyDescent="0.35">
      <c r="A2012" s="349">
        <v>2001</v>
      </c>
      <c r="B2012" s="387" t="s">
        <v>13477</v>
      </c>
      <c r="C2012" s="387" t="s">
        <v>13478</v>
      </c>
      <c r="D2012" s="388" t="s">
        <v>126</v>
      </c>
      <c r="E2012" s="388" t="s">
        <v>10082</v>
      </c>
      <c r="F2012" s="388" t="s">
        <v>10078</v>
      </c>
      <c r="G2012" s="388" t="s">
        <v>10078</v>
      </c>
      <c r="H2012" s="388" t="s">
        <v>11297</v>
      </c>
      <c r="I2012" s="387" t="s">
        <v>13500</v>
      </c>
      <c r="J2012" s="389">
        <v>40178</v>
      </c>
      <c r="K2012" s="387"/>
      <c r="L2012" s="387"/>
      <c r="M2012" s="387" t="s">
        <v>10084</v>
      </c>
      <c r="N2012" s="387"/>
      <c r="O2012" s="387" t="s">
        <v>57</v>
      </c>
      <c r="P2012" s="390">
        <v>81642900</v>
      </c>
      <c r="Q2012" s="387" t="s">
        <v>13501</v>
      </c>
      <c r="R2012" s="387" t="s">
        <v>8211</v>
      </c>
      <c r="S2012" s="340">
        <v>2</v>
      </c>
    </row>
    <row r="2013" spans="1:19" ht="29.5" thickBot="1" x14ac:dyDescent="0.4">
      <c r="A2013" s="357">
        <v>2002</v>
      </c>
      <c r="B2013" s="387" t="s">
        <v>13477</v>
      </c>
      <c r="C2013" s="387" t="s">
        <v>13478</v>
      </c>
      <c r="D2013" s="388" t="s">
        <v>132</v>
      </c>
      <c r="E2013" s="388" t="s">
        <v>10082</v>
      </c>
      <c r="F2013" s="388" t="s">
        <v>10078</v>
      </c>
      <c r="G2013" s="388" t="s">
        <v>10088</v>
      </c>
      <c r="H2013" s="388" t="s">
        <v>11415</v>
      </c>
      <c r="I2013" s="387" t="s">
        <v>13498</v>
      </c>
      <c r="J2013" s="389">
        <v>40178</v>
      </c>
      <c r="K2013" s="387"/>
      <c r="L2013" s="387"/>
      <c r="M2013" s="387" t="s">
        <v>10084</v>
      </c>
      <c r="N2013" s="387"/>
      <c r="O2013" s="387" t="s">
        <v>57</v>
      </c>
      <c r="P2013" s="390">
        <v>97200000</v>
      </c>
      <c r="Q2013" s="387" t="s">
        <v>13502</v>
      </c>
      <c r="R2013" s="387" t="s">
        <v>8211</v>
      </c>
      <c r="S2013" s="340">
        <v>2</v>
      </c>
    </row>
    <row r="2014" spans="1:19" ht="43.5" x14ac:dyDescent="0.35">
      <c r="A2014" s="349">
        <v>2003</v>
      </c>
      <c r="B2014" s="387" t="s">
        <v>13477</v>
      </c>
      <c r="C2014" s="387" t="s">
        <v>13478</v>
      </c>
      <c r="D2014" s="388" t="s">
        <v>137</v>
      </c>
      <c r="E2014" s="388" t="s">
        <v>10082</v>
      </c>
      <c r="F2014" s="388" t="s">
        <v>10078</v>
      </c>
      <c r="G2014" s="388" t="s">
        <v>10088</v>
      </c>
      <c r="H2014" s="388" t="s">
        <v>12771</v>
      </c>
      <c r="I2014" s="387" t="s">
        <v>13503</v>
      </c>
      <c r="J2014" s="389"/>
      <c r="K2014" s="387" t="s">
        <v>13504</v>
      </c>
      <c r="L2014" s="387"/>
      <c r="M2014" s="387" t="s">
        <v>10084</v>
      </c>
      <c r="N2014" s="387"/>
      <c r="O2014" s="387" t="s">
        <v>57</v>
      </c>
      <c r="P2014" s="390">
        <v>284758000</v>
      </c>
      <c r="Q2014" s="387" t="s">
        <v>13505</v>
      </c>
      <c r="R2014" s="387" t="s">
        <v>8211</v>
      </c>
      <c r="S2014" s="340">
        <v>2</v>
      </c>
    </row>
    <row r="2015" spans="1:19" ht="29.5" thickBot="1" x14ac:dyDescent="0.4">
      <c r="A2015" s="357">
        <v>2004</v>
      </c>
      <c r="B2015" s="387" t="s">
        <v>13477</v>
      </c>
      <c r="C2015" s="387" t="s">
        <v>13478</v>
      </c>
      <c r="D2015" s="388" t="s">
        <v>146</v>
      </c>
      <c r="E2015" s="388" t="s">
        <v>10082</v>
      </c>
      <c r="F2015" s="388" t="s">
        <v>10078</v>
      </c>
      <c r="G2015" s="388" t="s">
        <v>10088</v>
      </c>
      <c r="H2015" s="388" t="s">
        <v>11469</v>
      </c>
      <c r="I2015" s="387" t="s">
        <v>13506</v>
      </c>
      <c r="J2015" s="389">
        <v>41152</v>
      </c>
      <c r="K2015" s="387" t="s">
        <v>13507</v>
      </c>
      <c r="L2015" s="387"/>
      <c r="M2015" s="387" t="s">
        <v>10084</v>
      </c>
      <c r="N2015" s="387"/>
      <c r="O2015" s="387" t="s">
        <v>57</v>
      </c>
      <c r="P2015" s="390">
        <v>771068500</v>
      </c>
      <c r="Q2015" s="387" t="s">
        <v>13508</v>
      </c>
      <c r="R2015" s="387" t="s">
        <v>8211</v>
      </c>
      <c r="S2015" s="340">
        <v>2</v>
      </c>
    </row>
    <row r="2016" spans="1:19" ht="29" x14ac:dyDescent="0.35">
      <c r="A2016" s="349">
        <v>2005</v>
      </c>
      <c r="B2016" s="387" t="s">
        <v>13477</v>
      </c>
      <c r="C2016" s="387" t="s">
        <v>13478</v>
      </c>
      <c r="D2016" s="388" t="s">
        <v>154</v>
      </c>
      <c r="E2016" s="388" t="s">
        <v>10082</v>
      </c>
      <c r="F2016" s="388" t="s">
        <v>10078</v>
      </c>
      <c r="G2016" s="388" t="s">
        <v>10078</v>
      </c>
      <c r="H2016" s="388" t="s">
        <v>12157</v>
      </c>
      <c r="I2016" s="387" t="s">
        <v>13509</v>
      </c>
      <c r="J2016" s="389">
        <v>43714</v>
      </c>
      <c r="K2016" s="387" t="s">
        <v>13510</v>
      </c>
      <c r="L2016" s="387"/>
      <c r="M2016" s="387" t="s">
        <v>10084</v>
      </c>
      <c r="N2016" s="387"/>
      <c r="O2016" s="387" t="s">
        <v>57</v>
      </c>
      <c r="P2016" s="390">
        <v>445765000</v>
      </c>
      <c r="Q2016" s="387" t="s">
        <v>13511</v>
      </c>
      <c r="R2016" s="387" t="s">
        <v>8211</v>
      </c>
      <c r="S2016" s="340">
        <v>2</v>
      </c>
    </row>
    <row r="2017" spans="1:19" ht="44" thickBot="1" x14ac:dyDescent="0.4">
      <c r="A2017" s="357">
        <v>2006</v>
      </c>
      <c r="B2017" s="387" t="s">
        <v>13477</v>
      </c>
      <c r="C2017" s="387" t="s">
        <v>13478</v>
      </c>
      <c r="D2017" s="388" t="s">
        <v>161</v>
      </c>
      <c r="E2017" s="388" t="s">
        <v>10082</v>
      </c>
      <c r="F2017" s="388" t="s">
        <v>10078</v>
      </c>
      <c r="G2017" s="388" t="s">
        <v>10088</v>
      </c>
      <c r="H2017" s="388" t="s">
        <v>12584</v>
      </c>
      <c r="I2017" s="387" t="s">
        <v>13503</v>
      </c>
      <c r="J2017" s="389"/>
      <c r="K2017" s="387" t="s">
        <v>13512</v>
      </c>
      <c r="L2017" s="387"/>
      <c r="M2017" s="387" t="s">
        <v>10084</v>
      </c>
      <c r="N2017" s="387"/>
      <c r="O2017" s="387" t="s">
        <v>57</v>
      </c>
      <c r="P2017" s="390">
        <v>323283000</v>
      </c>
      <c r="Q2017" s="387" t="s">
        <v>13513</v>
      </c>
      <c r="R2017" s="387" t="s">
        <v>8211</v>
      </c>
      <c r="S2017" s="340">
        <v>2</v>
      </c>
    </row>
    <row r="2018" spans="1:19" ht="43.5" x14ac:dyDescent="0.35">
      <c r="A2018" s="349">
        <v>2007</v>
      </c>
      <c r="B2018" s="387" t="s">
        <v>13477</v>
      </c>
      <c r="C2018" s="387" t="s">
        <v>13478</v>
      </c>
      <c r="D2018" s="388" t="s">
        <v>169</v>
      </c>
      <c r="E2018" s="388" t="s">
        <v>10082</v>
      </c>
      <c r="F2018" s="388" t="s">
        <v>10078</v>
      </c>
      <c r="G2018" s="388" t="s">
        <v>10088</v>
      </c>
      <c r="H2018" s="388" t="s">
        <v>12584</v>
      </c>
      <c r="I2018" s="387" t="s">
        <v>13503</v>
      </c>
      <c r="J2018" s="389"/>
      <c r="K2018" s="387" t="s">
        <v>13514</v>
      </c>
      <c r="L2018" s="387"/>
      <c r="M2018" s="387" t="s">
        <v>10084</v>
      </c>
      <c r="N2018" s="387"/>
      <c r="O2018" s="387" t="s">
        <v>57</v>
      </c>
      <c r="P2018" s="390">
        <v>325849000</v>
      </c>
      <c r="Q2018" s="387" t="s">
        <v>13515</v>
      </c>
      <c r="R2018" s="387" t="s">
        <v>8211</v>
      </c>
      <c r="S2018" s="340">
        <v>2</v>
      </c>
    </row>
    <row r="2019" spans="1:19" ht="44" thickBot="1" x14ac:dyDescent="0.4">
      <c r="A2019" s="357">
        <v>2008</v>
      </c>
      <c r="B2019" s="387" t="s">
        <v>13516</v>
      </c>
      <c r="C2019" s="387" t="s">
        <v>13517</v>
      </c>
      <c r="D2019" s="388" t="s">
        <v>51</v>
      </c>
      <c r="E2019" s="388" t="s">
        <v>10082</v>
      </c>
      <c r="F2019" s="388" t="s">
        <v>10078</v>
      </c>
      <c r="G2019" s="388" t="s">
        <v>10088</v>
      </c>
      <c r="H2019" s="388" t="s">
        <v>11415</v>
      </c>
      <c r="I2019" s="387" t="s">
        <v>13518</v>
      </c>
      <c r="J2019" s="389">
        <v>40623</v>
      </c>
      <c r="K2019" s="387" t="s">
        <v>13519</v>
      </c>
      <c r="L2019" s="387"/>
      <c r="M2019" s="387"/>
      <c r="N2019" s="387"/>
      <c r="O2019" s="387" t="s">
        <v>422</v>
      </c>
      <c r="P2019" s="390">
        <v>169396000</v>
      </c>
      <c r="Q2019" s="387" t="s">
        <v>13520</v>
      </c>
      <c r="R2019" s="387" t="s">
        <v>8211</v>
      </c>
      <c r="S2019" s="340">
        <v>2</v>
      </c>
    </row>
    <row r="2020" spans="1:19" ht="14.5" x14ac:dyDescent="0.35">
      <c r="A2020" s="349">
        <v>2009</v>
      </c>
      <c r="B2020" s="387" t="s">
        <v>10486</v>
      </c>
      <c r="C2020" s="387" t="s">
        <v>10487</v>
      </c>
      <c r="D2020" s="388" t="s">
        <v>51</v>
      </c>
      <c r="E2020" s="388" t="s">
        <v>10082</v>
      </c>
      <c r="F2020" s="388" t="s">
        <v>10078</v>
      </c>
      <c r="G2020" s="388" t="s">
        <v>10088</v>
      </c>
      <c r="H2020" s="388" t="s">
        <v>11870</v>
      </c>
      <c r="I2020" s="387" t="s">
        <v>12257</v>
      </c>
      <c r="J2020" s="389">
        <v>40178</v>
      </c>
      <c r="K2020" s="387"/>
      <c r="L2020" s="387"/>
      <c r="M2020" s="387" t="s">
        <v>10084</v>
      </c>
      <c r="N2020" s="387"/>
      <c r="O2020" s="387" t="s">
        <v>57</v>
      </c>
      <c r="P2020" s="390">
        <v>32800000</v>
      </c>
      <c r="Q2020" s="387" t="s">
        <v>13521</v>
      </c>
      <c r="R2020" s="387" t="s">
        <v>8211</v>
      </c>
      <c r="S2020" s="340">
        <v>2</v>
      </c>
    </row>
    <row r="2021" spans="1:19" ht="29.5" thickBot="1" x14ac:dyDescent="0.4">
      <c r="A2021" s="357">
        <v>2010</v>
      </c>
      <c r="B2021" s="387" t="s">
        <v>11382</v>
      </c>
      <c r="C2021" s="387" t="s">
        <v>11383</v>
      </c>
      <c r="D2021" s="388" t="s">
        <v>51</v>
      </c>
      <c r="E2021" s="388" t="s">
        <v>10082</v>
      </c>
      <c r="F2021" s="388" t="s">
        <v>10078</v>
      </c>
      <c r="G2021" s="388" t="s">
        <v>10088</v>
      </c>
      <c r="H2021" s="388" t="s">
        <v>12623</v>
      </c>
      <c r="I2021" s="387" t="s">
        <v>13506</v>
      </c>
      <c r="J2021" s="389">
        <v>41145</v>
      </c>
      <c r="K2021" s="387" t="s">
        <v>13522</v>
      </c>
      <c r="L2021" s="387"/>
      <c r="M2021" s="387" t="s">
        <v>10084</v>
      </c>
      <c r="N2021" s="387"/>
      <c r="O2021" s="387" t="s">
        <v>57</v>
      </c>
      <c r="P2021" s="390">
        <v>298093000</v>
      </c>
      <c r="Q2021" s="387" t="s">
        <v>13523</v>
      </c>
      <c r="R2021" s="387" t="s">
        <v>8211</v>
      </c>
      <c r="S2021" s="340">
        <v>2</v>
      </c>
    </row>
    <row r="2022" spans="1:19" ht="29" x14ac:dyDescent="0.35">
      <c r="A2022" s="349">
        <v>2011</v>
      </c>
      <c r="B2022" s="387" t="s">
        <v>12958</v>
      </c>
      <c r="C2022" s="387" t="s">
        <v>12959</v>
      </c>
      <c r="D2022" s="388" t="s">
        <v>51</v>
      </c>
      <c r="E2022" s="388" t="s">
        <v>10082</v>
      </c>
      <c r="F2022" s="388" t="s">
        <v>10078</v>
      </c>
      <c r="G2022" s="388" t="s">
        <v>10088</v>
      </c>
      <c r="H2022" s="388" t="s">
        <v>11324</v>
      </c>
      <c r="I2022" s="387" t="s">
        <v>13498</v>
      </c>
      <c r="J2022" s="389">
        <v>39813</v>
      </c>
      <c r="K2022" s="387"/>
      <c r="L2022" s="387"/>
      <c r="M2022" s="387" t="s">
        <v>10084</v>
      </c>
      <c r="N2022" s="387"/>
      <c r="O2022" s="387" t="s">
        <v>57</v>
      </c>
      <c r="P2022" s="390">
        <v>99359450</v>
      </c>
      <c r="Q2022" s="387" t="s">
        <v>13524</v>
      </c>
      <c r="R2022" s="387" t="s">
        <v>8211</v>
      </c>
      <c r="S2022" s="340">
        <v>2</v>
      </c>
    </row>
    <row r="2023" spans="1:19" ht="29.5" thickBot="1" x14ac:dyDescent="0.4">
      <c r="A2023" s="357">
        <v>2012</v>
      </c>
      <c r="B2023" s="387" t="s">
        <v>12958</v>
      </c>
      <c r="C2023" s="387" t="s">
        <v>12959</v>
      </c>
      <c r="D2023" s="388" t="s">
        <v>59</v>
      </c>
      <c r="E2023" s="388" t="s">
        <v>10082</v>
      </c>
      <c r="F2023" s="388" t="s">
        <v>10078</v>
      </c>
      <c r="G2023" s="388" t="s">
        <v>10088</v>
      </c>
      <c r="H2023" s="388" t="s">
        <v>13087</v>
      </c>
      <c r="I2023" s="387" t="s">
        <v>13498</v>
      </c>
      <c r="J2023" s="389">
        <v>39813</v>
      </c>
      <c r="K2023" s="387"/>
      <c r="L2023" s="387"/>
      <c r="M2023" s="387" t="s">
        <v>10084</v>
      </c>
      <c r="N2023" s="387"/>
      <c r="O2023" s="387" t="s">
        <v>57</v>
      </c>
      <c r="P2023" s="390">
        <v>124410000</v>
      </c>
      <c r="Q2023" s="387" t="s">
        <v>13525</v>
      </c>
      <c r="R2023" s="387" t="s">
        <v>8211</v>
      </c>
      <c r="S2023" s="340">
        <v>2</v>
      </c>
    </row>
    <row r="2024" spans="1:19" ht="29" x14ac:dyDescent="0.35">
      <c r="A2024" s="349">
        <v>2013</v>
      </c>
      <c r="B2024" s="387" t="s">
        <v>12958</v>
      </c>
      <c r="C2024" s="387" t="s">
        <v>12959</v>
      </c>
      <c r="D2024" s="388" t="s">
        <v>97</v>
      </c>
      <c r="E2024" s="388" t="s">
        <v>10082</v>
      </c>
      <c r="F2024" s="388" t="s">
        <v>10078</v>
      </c>
      <c r="G2024" s="388" t="s">
        <v>10088</v>
      </c>
      <c r="H2024" s="388" t="s">
        <v>12623</v>
      </c>
      <c r="I2024" s="387" t="s">
        <v>13498</v>
      </c>
      <c r="J2024" s="389">
        <v>40178</v>
      </c>
      <c r="K2024" s="387"/>
      <c r="L2024" s="387"/>
      <c r="M2024" s="387" t="s">
        <v>10084</v>
      </c>
      <c r="N2024" s="387"/>
      <c r="O2024" s="387" t="s">
        <v>57</v>
      </c>
      <c r="P2024" s="390">
        <v>102452900</v>
      </c>
      <c r="Q2024" s="387" t="s">
        <v>13526</v>
      </c>
      <c r="R2024" s="387" t="s">
        <v>8211</v>
      </c>
      <c r="S2024" s="340">
        <v>2</v>
      </c>
    </row>
    <row r="2025" spans="1:19" ht="29.5" thickBot="1" x14ac:dyDescent="0.4">
      <c r="A2025" s="357">
        <v>2014</v>
      </c>
      <c r="B2025" s="387" t="s">
        <v>12958</v>
      </c>
      <c r="C2025" s="387" t="s">
        <v>12959</v>
      </c>
      <c r="D2025" s="388" t="s">
        <v>101</v>
      </c>
      <c r="E2025" s="388" t="s">
        <v>10082</v>
      </c>
      <c r="F2025" s="388" t="s">
        <v>10078</v>
      </c>
      <c r="G2025" s="388" t="s">
        <v>10088</v>
      </c>
      <c r="H2025" s="388" t="s">
        <v>11324</v>
      </c>
      <c r="I2025" s="387" t="s">
        <v>13498</v>
      </c>
      <c r="J2025" s="389">
        <v>39813</v>
      </c>
      <c r="K2025" s="387"/>
      <c r="L2025" s="387"/>
      <c r="M2025" s="387" t="s">
        <v>10084</v>
      </c>
      <c r="N2025" s="387"/>
      <c r="O2025" s="387" t="s">
        <v>57</v>
      </c>
      <c r="P2025" s="390">
        <v>74859450</v>
      </c>
      <c r="Q2025" s="387" t="s">
        <v>13524</v>
      </c>
      <c r="R2025" s="387" t="s">
        <v>8211</v>
      </c>
      <c r="S2025" s="340">
        <v>2</v>
      </c>
    </row>
    <row r="2026" spans="1:19" ht="29" x14ac:dyDescent="0.35">
      <c r="A2026" s="349">
        <v>2015</v>
      </c>
      <c r="B2026" s="387" t="s">
        <v>12958</v>
      </c>
      <c r="C2026" s="387" t="s">
        <v>12959</v>
      </c>
      <c r="D2026" s="388" t="s">
        <v>107</v>
      </c>
      <c r="E2026" s="388" t="s">
        <v>10082</v>
      </c>
      <c r="F2026" s="388" t="s">
        <v>10078</v>
      </c>
      <c r="G2026" s="388" t="s">
        <v>10088</v>
      </c>
      <c r="H2026" s="388" t="s">
        <v>11324</v>
      </c>
      <c r="I2026" s="387" t="s">
        <v>13498</v>
      </c>
      <c r="J2026" s="389">
        <v>39813</v>
      </c>
      <c r="K2026" s="387"/>
      <c r="L2026" s="387"/>
      <c r="M2026" s="387" t="s">
        <v>10084</v>
      </c>
      <c r="N2026" s="387"/>
      <c r="O2026" s="387" t="s">
        <v>57</v>
      </c>
      <c r="P2026" s="390">
        <v>74859450</v>
      </c>
      <c r="Q2026" s="387" t="s">
        <v>13524</v>
      </c>
      <c r="R2026" s="387" t="s">
        <v>8211</v>
      </c>
      <c r="S2026" s="340">
        <v>2</v>
      </c>
    </row>
    <row r="2027" spans="1:19" ht="29.5" thickBot="1" x14ac:dyDescent="0.4">
      <c r="A2027" s="357">
        <v>2016</v>
      </c>
      <c r="B2027" s="387" t="s">
        <v>12958</v>
      </c>
      <c r="C2027" s="387" t="s">
        <v>12959</v>
      </c>
      <c r="D2027" s="388" t="s">
        <v>112</v>
      </c>
      <c r="E2027" s="388" t="s">
        <v>10082</v>
      </c>
      <c r="F2027" s="388" t="s">
        <v>10078</v>
      </c>
      <c r="G2027" s="388" t="s">
        <v>10088</v>
      </c>
      <c r="H2027" s="388" t="s">
        <v>11324</v>
      </c>
      <c r="I2027" s="387" t="s">
        <v>13498</v>
      </c>
      <c r="J2027" s="389">
        <v>39813</v>
      </c>
      <c r="K2027" s="387"/>
      <c r="L2027" s="387"/>
      <c r="M2027" s="387" t="s">
        <v>10084</v>
      </c>
      <c r="N2027" s="387"/>
      <c r="O2027" s="387" t="s">
        <v>57</v>
      </c>
      <c r="P2027" s="390">
        <v>68904000</v>
      </c>
      <c r="Q2027" s="387" t="s">
        <v>13524</v>
      </c>
      <c r="R2027" s="387" t="s">
        <v>8211</v>
      </c>
      <c r="S2027" s="340">
        <v>2</v>
      </c>
    </row>
    <row r="2028" spans="1:19" ht="29" x14ac:dyDescent="0.35">
      <c r="A2028" s="349">
        <v>2017</v>
      </c>
      <c r="B2028" s="387" t="s">
        <v>12958</v>
      </c>
      <c r="C2028" s="387" t="s">
        <v>12959</v>
      </c>
      <c r="D2028" s="388" t="s">
        <v>116</v>
      </c>
      <c r="E2028" s="388" t="s">
        <v>10082</v>
      </c>
      <c r="F2028" s="388" t="s">
        <v>10078</v>
      </c>
      <c r="G2028" s="388" t="s">
        <v>10088</v>
      </c>
      <c r="H2028" s="388" t="s">
        <v>11324</v>
      </c>
      <c r="I2028" s="387" t="s">
        <v>13498</v>
      </c>
      <c r="J2028" s="389">
        <v>39813</v>
      </c>
      <c r="K2028" s="387"/>
      <c r="L2028" s="387"/>
      <c r="M2028" s="387" t="s">
        <v>10084</v>
      </c>
      <c r="N2028" s="387"/>
      <c r="O2028" s="387" t="s">
        <v>57</v>
      </c>
      <c r="P2028" s="390">
        <v>68904000</v>
      </c>
      <c r="Q2028" s="387" t="s">
        <v>13524</v>
      </c>
      <c r="R2028" s="387" t="s">
        <v>8211</v>
      </c>
      <c r="S2028" s="340">
        <v>2</v>
      </c>
    </row>
    <row r="2029" spans="1:19" ht="29.5" thickBot="1" x14ac:dyDescent="0.4">
      <c r="A2029" s="357">
        <v>2018</v>
      </c>
      <c r="B2029" s="387" t="s">
        <v>12958</v>
      </c>
      <c r="C2029" s="387" t="s">
        <v>12959</v>
      </c>
      <c r="D2029" s="388" t="s">
        <v>841</v>
      </c>
      <c r="E2029" s="388" t="s">
        <v>10082</v>
      </c>
      <c r="F2029" s="388" t="s">
        <v>10078</v>
      </c>
      <c r="G2029" s="388" t="s">
        <v>10088</v>
      </c>
      <c r="H2029" s="388" t="s">
        <v>11324</v>
      </c>
      <c r="I2029" s="387" t="s">
        <v>13498</v>
      </c>
      <c r="J2029" s="389">
        <v>39813</v>
      </c>
      <c r="K2029" s="387"/>
      <c r="L2029" s="387"/>
      <c r="M2029" s="387" t="s">
        <v>10084</v>
      </c>
      <c r="N2029" s="387"/>
      <c r="O2029" s="387" t="s">
        <v>57</v>
      </c>
      <c r="P2029" s="390">
        <v>68904000</v>
      </c>
      <c r="Q2029" s="387" t="s">
        <v>13524</v>
      </c>
      <c r="R2029" s="387" t="s">
        <v>8211</v>
      </c>
      <c r="S2029" s="340">
        <v>2</v>
      </c>
    </row>
    <row r="2030" spans="1:19" ht="29" x14ac:dyDescent="0.35">
      <c r="A2030" s="349">
        <v>2019</v>
      </c>
      <c r="B2030" s="387" t="s">
        <v>12958</v>
      </c>
      <c r="C2030" s="387" t="s">
        <v>12959</v>
      </c>
      <c r="D2030" s="388" t="s">
        <v>904</v>
      </c>
      <c r="E2030" s="388" t="s">
        <v>10082</v>
      </c>
      <c r="F2030" s="388" t="s">
        <v>10078</v>
      </c>
      <c r="G2030" s="388" t="s">
        <v>10088</v>
      </c>
      <c r="H2030" s="388" t="s">
        <v>11409</v>
      </c>
      <c r="I2030" s="387" t="s">
        <v>13506</v>
      </c>
      <c r="J2030" s="389">
        <v>41145</v>
      </c>
      <c r="K2030" s="387" t="s">
        <v>13527</v>
      </c>
      <c r="L2030" s="387"/>
      <c r="M2030" s="387" t="s">
        <v>10084</v>
      </c>
      <c r="N2030" s="387"/>
      <c r="O2030" s="387" t="s">
        <v>57</v>
      </c>
      <c r="P2030" s="390">
        <v>323306500</v>
      </c>
      <c r="Q2030" s="387" t="s">
        <v>13528</v>
      </c>
      <c r="R2030" s="387" t="s">
        <v>8211</v>
      </c>
      <c r="S2030" s="340">
        <v>2</v>
      </c>
    </row>
    <row r="2031" spans="1:19" ht="29.5" thickBot="1" x14ac:dyDescent="0.4">
      <c r="A2031" s="357">
        <v>2020</v>
      </c>
      <c r="B2031" s="387" t="s">
        <v>12958</v>
      </c>
      <c r="C2031" s="387" t="s">
        <v>12959</v>
      </c>
      <c r="D2031" s="388" t="s">
        <v>122</v>
      </c>
      <c r="E2031" s="388" t="s">
        <v>10082</v>
      </c>
      <c r="F2031" s="388" t="s">
        <v>10078</v>
      </c>
      <c r="G2031" s="388" t="s">
        <v>10088</v>
      </c>
      <c r="H2031" s="388" t="s">
        <v>11407</v>
      </c>
      <c r="I2031" s="387" t="s">
        <v>13506</v>
      </c>
      <c r="J2031" s="389">
        <v>41841</v>
      </c>
      <c r="K2031" s="387" t="s">
        <v>13529</v>
      </c>
      <c r="L2031" s="387"/>
      <c r="M2031" s="387" t="s">
        <v>10084</v>
      </c>
      <c r="N2031" s="387"/>
      <c r="O2031" s="387" t="s">
        <v>57</v>
      </c>
      <c r="P2031" s="390">
        <v>301642500</v>
      </c>
      <c r="Q2031" s="387" t="s">
        <v>13530</v>
      </c>
      <c r="R2031" s="387" t="s">
        <v>8211</v>
      </c>
      <c r="S2031" s="340">
        <v>2</v>
      </c>
    </row>
    <row r="2032" spans="1:19" ht="43.5" x14ac:dyDescent="0.35">
      <c r="A2032" s="349">
        <v>2021</v>
      </c>
      <c r="B2032" s="387" t="s">
        <v>10096</v>
      </c>
      <c r="C2032" s="387" t="s">
        <v>10097</v>
      </c>
      <c r="D2032" s="388" t="s">
        <v>51</v>
      </c>
      <c r="E2032" s="388" t="s">
        <v>10082</v>
      </c>
      <c r="F2032" s="388" t="s">
        <v>10078</v>
      </c>
      <c r="G2032" s="388" t="s">
        <v>10088</v>
      </c>
      <c r="H2032" s="388" t="s">
        <v>2972</v>
      </c>
      <c r="I2032" s="387" t="s">
        <v>13503</v>
      </c>
      <c r="J2032" s="389"/>
      <c r="K2032" s="387" t="s">
        <v>13531</v>
      </c>
      <c r="L2032" s="387"/>
      <c r="M2032" s="387" t="s">
        <v>10084</v>
      </c>
      <c r="N2032" s="387"/>
      <c r="O2032" s="387" t="s">
        <v>57</v>
      </c>
      <c r="P2032" s="390">
        <v>187787500</v>
      </c>
      <c r="Q2032" s="387" t="s">
        <v>13532</v>
      </c>
      <c r="R2032" s="387" t="s">
        <v>8211</v>
      </c>
      <c r="S2032" s="340">
        <v>2</v>
      </c>
    </row>
    <row r="2033" spans="1:19" ht="44" thickBot="1" x14ac:dyDescent="0.4">
      <c r="A2033" s="357">
        <v>2022</v>
      </c>
      <c r="B2033" s="387" t="s">
        <v>10096</v>
      </c>
      <c r="C2033" s="387" t="s">
        <v>10097</v>
      </c>
      <c r="D2033" s="388" t="s">
        <v>59</v>
      </c>
      <c r="E2033" s="388" t="s">
        <v>10082</v>
      </c>
      <c r="F2033" s="388" t="s">
        <v>10078</v>
      </c>
      <c r="G2033" s="388" t="s">
        <v>10088</v>
      </c>
      <c r="H2033" s="388"/>
      <c r="I2033" s="387" t="s">
        <v>13533</v>
      </c>
      <c r="J2033" s="389"/>
      <c r="K2033" s="387" t="s">
        <v>13534</v>
      </c>
      <c r="L2033" s="387"/>
      <c r="M2033" s="387"/>
      <c r="N2033" s="387"/>
      <c r="O2033" s="387" t="s">
        <v>44</v>
      </c>
      <c r="P2033" s="390">
        <v>239223075</v>
      </c>
      <c r="Q2033" s="387" t="s">
        <v>13535</v>
      </c>
      <c r="R2033" s="387" t="s">
        <v>8211</v>
      </c>
      <c r="S2033" s="340">
        <v>2</v>
      </c>
    </row>
    <row r="2034" spans="1:19" ht="29" x14ac:dyDescent="0.35">
      <c r="A2034" s="349">
        <v>2023</v>
      </c>
      <c r="B2034" s="387" t="s">
        <v>10535</v>
      </c>
      <c r="C2034" s="387" t="s">
        <v>10536</v>
      </c>
      <c r="D2034" s="388" t="s">
        <v>51</v>
      </c>
      <c r="E2034" s="388" t="s">
        <v>10082</v>
      </c>
      <c r="F2034" s="388" t="s">
        <v>10078</v>
      </c>
      <c r="G2034" s="388" t="s">
        <v>10088</v>
      </c>
      <c r="H2034" s="388" t="s">
        <v>12626</v>
      </c>
      <c r="I2034" s="387" t="s">
        <v>13536</v>
      </c>
      <c r="J2034" s="389">
        <v>41194</v>
      </c>
      <c r="K2034" s="387" t="s">
        <v>13537</v>
      </c>
      <c r="L2034" s="387"/>
      <c r="M2034" s="387" t="s">
        <v>10084</v>
      </c>
      <c r="N2034" s="387"/>
      <c r="O2034" s="387" t="s">
        <v>57</v>
      </c>
      <c r="P2034" s="390">
        <v>44225000</v>
      </c>
      <c r="Q2034" s="387" t="s">
        <v>13538</v>
      </c>
      <c r="R2034" s="387" t="s">
        <v>13539</v>
      </c>
      <c r="S2034" s="340">
        <v>2</v>
      </c>
    </row>
    <row r="2035" spans="1:19" ht="44" thickBot="1" x14ac:dyDescent="0.4">
      <c r="A2035" s="357">
        <v>2024</v>
      </c>
      <c r="B2035" s="387" t="s">
        <v>13477</v>
      </c>
      <c r="C2035" s="387" t="s">
        <v>13478</v>
      </c>
      <c r="D2035" s="388" t="s">
        <v>51</v>
      </c>
      <c r="E2035" s="388" t="s">
        <v>10082</v>
      </c>
      <c r="F2035" s="388" t="s">
        <v>10078</v>
      </c>
      <c r="G2035" s="388" t="s">
        <v>10078</v>
      </c>
      <c r="H2035" s="388" t="s">
        <v>13540</v>
      </c>
      <c r="I2035" s="387" t="s">
        <v>13541</v>
      </c>
      <c r="J2035" s="389">
        <v>43662</v>
      </c>
      <c r="K2035" s="387" t="s">
        <v>13542</v>
      </c>
      <c r="L2035" s="387"/>
      <c r="M2035" s="387" t="s">
        <v>10084</v>
      </c>
      <c r="N2035" s="387"/>
      <c r="O2035" s="387" t="s">
        <v>57</v>
      </c>
      <c r="P2035" s="390">
        <v>2595993000</v>
      </c>
      <c r="Q2035" s="387" t="s">
        <v>13543</v>
      </c>
      <c r="R2035" s="387" t="s">
        <v>13539</v>
      </c>
      <c r="S2035" s="340">
        <v>2</v>
      </c>
    </row>
    <row r="2036" spans="1:19" ht="29" x14ac:dyDescent="0.35">
      <c r="A2036" s="349">
        <v>2025</v>
      </c>
      <c r="B2036" s="387" t="s">
        <v>13477</v>
      </c>
      <c r="C2036" s="387" t="s">
        <v>13478</v>
      </c>
      <c r="D2036" s="388" t="s">
        <v>59</v>
      </c>
      <c r="E2036" s="388" t="s">
        <v>10082</v>
      </c>
      <c r="F2036" s="388" t="s">
        <v>10078</v>
      </c>
      <c r="G2036" s="388" t="s">
        <v>10088</v>
      </c>
      <c r="H2036" s="388" t="s">
        <v>11297</v>
      </c>
      <c r="I2036" s="387" t="s">
        <v>13544</v>
      </c>
      <c r="J2036" s="389">
        <v>40791</v>
      </c>
      <c r="K2036" s="387" t="s">
        <v>13545</v>
      </c>
      <c r="L2036" s="387"/>
      <c r="M2036" s="387" t="s">
        <v>10084</v>
      </c>
      <c r="N2036" s="387"/>
      <c r="O2036" s="387" t="s">
        <v>57</v>
      </c>
      <c r="P2036" s="390">
        <v>204656000</v>
      </c>
      <c r="Q2036" s="387" t="s">
        <v>13546</v>
      </c>
      <c r="R2036" s="387" t="s">
        <v>13539</v>
      </c>
      <c r="S2036" s="340">
        <v>2</v>
      </c>
    </row>
    <row r="2037" spans="1:19" ht="29.5" thickBot="1" x14ac:dyDescent="0.4">
      <c r="A2037" s="357">
        <v>2026</v>
      </c>
      <c r="B2037" s="387" t="s">
        <v>13477</v>
      </c>
      <c r="C2037" s="387" t="s">
        <v>13478</v>
      </c>
      <c r="D2037" s="388" t="s">
        <v>97</v>
      </c>
      <c r="E2037" s="388" t="s">
        <v>10082</v>
      </c>
      <c r="F2037" s="388" t="s">
        <v>10078</v>
      </c>
      <c r="G2037" s="388" t="s">
        <v>10088</v>
      </c>
      <c r="H2037" s="388" t="s">
        <v>11297</v>
      </c>
      <c r="I2037" s="387" t="s">
        <v>13547</v>
      </c>
      <c r="J2037" s="389">
        <v>40766</v>
      </c>
      <c r="K2037" s="387" t="s">
        <v>13548</v>
      </c>
      <c r="L2037" s="387"/>
      <c r="M2037" s="387" t="s">
        <v>10084</v>
      </c>
      <c r="N2037" s="387"/>
      <c r="O2037" s="387" t="s">
        <v>57</v>
      </c>
      <c r="P2037" s="390">
        <v>204095000</v>
      </c>
      <c r="Q2037" s="387" t="s">
        <v>13549</v>
      </c>
      <c r="R2037" s="387" t="s">
        <v>13539</v>
      </c>
      <c r="S2037" s="340">
        <v>2</v>
      </c>
    </row>
    <row r="2038" spans="1:19" ht="14.5" x14ac:dyDescent="0.35">
      <c r="A2038" s="349">
        <v>2027</v>
      </c>
      <c r="B2038" s="387" t="s">
        <v>13477</v>
      </c>
      <c r="C2038" s="387" t="s">
        <v>13478</v>
      </c>
      <c r="D2038" s="388" t="s">
        <v>101</v>
      </c>
      <c r="E2038" s="388" t="s">
        <v>10082</v>
      </c>
      <c r="F2038" s="388" t="s">
        <v>10078</v>
      </c>
      <c r="G2038" s="388" t="s">
        <v>10088</v>
      </c>
      <c r="H2038" s="388" t="s">
        <v>11297</v>
      </c>
      <c r="I2038" s="387" t="s">
        <v>8004</v>
      </c>
      <c r="J2038" s="389">
        <v>40178</v>
      </c>
      <c r="K2038" s="387"/>
      <c r="L2038" s="387"/>
      <c r="M2038" s="387" t="s">
        <v>10084</v>
      </c>
      <c r="N2038" s="387"/>
      <c r="O2038" s="387" t="s">
        <v>57</v>
      </c>
      <c r="P2038" s="390">
        <v>98850000</v>
      </c>
      <c r="Q2038" s="387" t="s">
        <v>13550</v>
      </c>
      <c r="R2038" s="387" t="s">
        <v>13539</v>
      </c>
      <c r="S2038" s="340">
        <v>2</v>
      </c>
    </row>
    <row r="2039" spans="1:19" ht="29.5" thickBot="1" x14ac:dyDescent="0.4">
      <c r="A2039" s="357">
        <v>2028</v>
      </c>
      <c r="B2039" s="387" t="s">
        <v>13477</v>
      </c>
      <c r="C2039" s="387" t="s">
        <v>13478</v>
      </c>
      <c r="D2039" s="388" t="s">
        <v>107</v>
      </c>
      <c r="E2039" s="388" t="s">
        <v>10082</v>
      </c>
      <c r="F2039" s="388" t="s">
        <v>10078</v>
      </c>
      <c r="G2039" s="388" t="s">
        <v>10088</v>
      </c>
      <c r="H2039" s="388" t="s">
        <v>11415</v>
      </c>
      <c r="I2039" s="387" t="s">
        <v>13551</v>
      </c>
      <c r="J2039" s="389">
        <v>40178</v>
      </c>
      <c r="K2039" s="387"/>
      <c r="L2039" s="387"/>
      <c r="M2039" s="387" t="s">
        <v>10084</v>
      </c>
      <c r="N2039" s="387"/>
      <c r="O2039" s="387" t="s">
        <v>57</v>
      </c>
      <c r="P2039" s="390">
        <v>98851000</v>
      </c>
      <c r="Q2039" s="387" t="s">
        <v>13552</v>
      </c>
      <c r="R2039" s="387" t="s">
        <v>13539</v>
      </c>
      <c r="S2039" s="340">
        <v>2</v>
      </c>
    </row>
    <row r="2040" spans="1:19" ht="14.5" x14ac:dyDescent="0.35">
      <c r="A2040" s="349">
        <v>2029</v>
      </c>
      <c r="B2040" s="387" t="s">
        <v>13477</v>
      </c>
      <c r="C2040" s="387" t="s">
        <v>13478</v>
      </c>
      <c r="D2040" s="388" t="s">
        <v>112</v>
      </c>
      <c r="E2040" s="388" t="s">
        <v>10082</v>
      </c>
      <c r="F2040" s="388" t="s">
        <v>10078</v>
      </c>
      <c r="G2040" s="388" t="s">
        <v>10088</v>
      </c>
      <c r="H2040" s="388" t="s">
        <v>1433</v>
      </c>
      <c r="I2040" s="387" t="s">
        <v>9010</v>
      </c>
      <c r="J2040" s="389">
        <v>40178</v>
      </c>
      <c r="K2040" s="387"/>
      <c r="L2040" s="387"/>
      <c r="M2040" s="387" t="s">
        <v>10084</v>
      </c>
      <c r="N2040" s="387"/>
      <c r="O2040" s="387" t="s">
        <v>57</v>
      </c>
      <c r="P2040" s="390">
        <v>327540000</v>
      </c>
      <c r="Q2040" s="387" t="s">
        <v>13553</v>
      </c>
      <c r="R2040" s="387" t="s">
        <v>13539</v>
      </c>
      <c r="S2040" s="340">
        <v>2</v>
      </c>
    </row>
    <row r="2041" spans="1:19" ht="29.5" thickBot="1" x14ac:dyDescent="0.4">
      <c r="A2041" s="357">
        <v>2030</v>
      </c>
      <c r="B2041" s="387" t="s">
        <v>13477</v>
      </c>
      <c r="C2041" s="387" t="s">
        <v>13478</v>
      </c>
      <c r="D2041" s="388" t="s">
        <v>116</v>
      </c>
      <c r="E2041" s="388" t="s">
        <v>10082</v>
      </c>
      <c r="F2041" s="388" t="s">
        <v>10078</v>
      </c>
      <c r="G2041" s="388" t="s">
        <v>10078</v>
      </c>
      <c r="H2041" s="388" t="s">
        <v>12626</v>
      </c>
      <c r="I2041" s="387" t="s">
        <v>13554</v>
      </c>
      <c r="J2041" s="389">
        <v>40350</v>
      </c>
      <c r="K2041" s="387" t="s">
        <v>13555</v>
      </c>
      <c r="L2041" s="387"/>
      <c r="M2041" s="387" t="s">
        <v>10084</v>
      </c>
      <c r="N2041" s="387"/>
      <c r="O2041" s="387" t="s">
        <v>57</v>
      </c>
      <c r="P2041" s="390">
        <v>71154700</v>
      </c>
      <c r="Q2041" s="387" t="s">
        <v>13556</v>
      </c>
      <c r="R2041" s="387" t="s">
        <v>13539</v>
      </c>
      <c r="S2041" s="340">
        <v>2</v>
      </c>
    </row>
    <row r="2042" spans="1:19" ht="29" x14ac:dyDescent="0.35">
      <c r="A2042" s="349">
        <v>2031</v>
      </c>
      <c r="B2042" s="387" t="s">
        <v>13477</v>
      </c>
      <c r="C2042" s="387" t="s">
        <v>13478</v>
      </c>
      <c r="D2042" s="388" t="s">
        <v>841</v>
      </c>
      <c r="E2042" s="388" t="s">
        <v>10082</v>
      </c>
      <c r="F2042" s="388" t="s">
        <v>10078</v>
      </c>
      <c r="G2042" s="388" t="s">
        <v>10088</v>
      </c>
      <c r="H2042" s="388" t="s">
        <v>11308</v>
      </c>
      <c r="I2042" s="387" t="s">
        <v>13557</v>
      </c>
      <c r="J2042" s="389">
        <v>42214</v>
      </c>
      <c r="K2042" s="387" t="s">
        <v>13558</v>
      </c>
      <c r="L2042" s="387"/>
      <c r="M2042" s="387" t="s">
        <v>10084</v>
      </c>
      <c r="N2042" s="387"/>
      <c r="O2042" s="387" t="s">
        <v>57</v>
      </c>
      <c r="P2042" s="390">
        <v>310030000</v>
      </c>
      <c r="Q2042" s="387" t="s">
        <v>13559</v>
      </c>
      <c r="R2042" s="387" t="s">
        <v>13539</v>
      </c>
      <c r="S2042" s="340">
        <v>2</v>
      </c>
    </row>
    <row r="2043" spans="1:19" ht="29.5" thickBot="1" x14ac:dyDescent="0.4">
      <c r="A2043" s="357">
        <v>2032</v>
      </c>
      <c r="B2043" s="387" t="s">
        <v>13477</v>
      </c>
      <c r="C2043" s="387" t="s">
        <v>13478</v>
      </c>
      <c r="D2043" s="388" t="s">
        <v>904</v>
      </c>
      <c r="E2043" s="388" t="s">
        <v>10082</v>
      </c>
      <c r="F2043" s="388" t="s">
        <v>10078</v>
      </c>
      <c r="G2043" s="388" t="s">
        <v>10088</v>
      </c>
      <c r="H2043" s="388" t="s">
        <v>11400</v>
      </c>
      <c r="I2043" s="387" t="s">
        <v>13560</v>
      </c>
      <c r="J2043" s="389">
        <v>41922</v>
      </c>
      <c r="K2043" s="387" t="s">
        <v>13561</v>
      </c>
      <c r="L2043" s="387"/>
      <c r="M2043" s="387" t="s">
        <v>10084</v>
      </c>
      <c r="N2043" s="387"/>
      <c r="O2043" s="387" t="s">
        <v>57</v>
      </c>
      <c r="P2043" s="390">
        <v>275666000</v>
      </c>
      <c r="Q2043" s="387" t="s">
        <v>13562</v>
      </c>
      <c r="R2043" s="387" t="s">
        <v>13539</v>
      </c>
      <c r="S2043" s="340">
        <v>2</v>
      </c>
    </row>
    <row r="2044" spans="1:19" ht="29" x14ac:dyDescent="0.35">
      <c r="A2044" s="349">
        <v>2033</v>
      </c>
      <c r="B2044" s="387" t="s">
        <v>13477</v>
      </c>
      <c r="C2044" s="387" t="s">
        <v>13478</v>
      </c>
      <c r="D2044" s="388" t="s">
        <v>122</v>
      </c>
      <c r="E2044" s="388" t="s">
        <v>10082</v>
      </c>
      <c r="F2044" s="388" t="s">
        <v>10078</v>
      </c>
      <c r="G2044" s="388" t="s">
        <v>10088</v>
      </c>
      <c r="H2044" s="388" t="s">
        <v>11297</v>
      </c>
      <c r="I2044" s="387" t="s">
        <v>13563</v>
      </c>
      <c r="J2044" s="389">
        <v>40178</v>
      </c>
      <c r="K2044" s="387"/>
      <c r="L2044" s="387"/>
      <c r="M2044" s="387" t="s">
        <v>10084</v>
      </c>
      <c r="N2044" s="387"/>
      <c r="O2044" s="387" t="s">
        <v>57</v>
      </c>
      <c r="P2044" s="390">
        <v>76910000</v>
      </c>
      <c r="Q2044" s="387" t="s">
        <v>13564</v>
      </c>
      <c r="R2044" s="387" t="s">
        <v>13539</v>
      </c>
      <c r="S2044" s="340">
        <v>2</v>
      </c>
    </row>
    <row r="2045" spans="1:19" thickBot="1" x14ac:dyDescent="0.4">
      <c r="A2045" s="357">
        <v>2034</v>
      </c>
      <c r="B2045" s="387" t="s">
        <v>13477</v>
      </c>
      <c r="C2045" s="387" t="s">
        <v>13478</v>
      </c>
      <c r="D2045" s="388" t="s">
        <v>126</v>
      </c>
      <c r="E2045" s="388" t="s">
        <v>10082</v>
      </c>
      <c r="F2045" s="388" t="s">
        <v>10078</v>
      </c>
      <c r="G2045" s="388" t="s">
        <v>10078</v>
      </c>
      <c r="H2045" s="388" t="s">
        <v>11297</v>
      </c>
      <c r="I2045" s="387" t="s">
        <v>13565</v>
      </c>
      <c r="J2045" s="389">
        <v>40178</v>
      </c>
      <c r="K2045" s="387"/>
      <c r="L2045" s="387"/>
      <c r="M2045" s="387" t="s">
        <v>10084</v>
      </c>
      <c r="N2045" s="387"/>
      <c r="O2045" s="387" t="s">
        <v>57</v>
      </c>
      <c r="P2045" s="390">
        <v>97500000</v>
      </c>
      <c r="Q2045" s="387" t="s">
        <v>13566</v>
      </c>
      <c r="R2045" s="387" t="s">
        <v>13539</v>
      </c>
      <c r="S2045" s="340">
        <v>2</v>
      </c>
    </row>
    <row r="2046" spans="1:19" ht="29" x14ac:dyDescent="0.35">
      <c r="A2046" s="349">
        <v>2035</v>
      </c>
      <c r="B2046" s="387" t="s">
        <v>13477</v>
      </c>
      <c r="C2046" s="387" t="s">
        <v>13478</v>
      </c>
      <c r="D2046" s="388" t="s">
        <v>132</v>
      </c>
      <c r="E2046" s="388" t="s">
        <v>10082</v>
      </c>
      <c r="F2046" s="388" t="s">
        <v>10078</v>
      </c>
      <c r="G2046" s="388" t="s">
        <v>10078</v>
      </c>
      <c r="H2046" s="388" t="s">
        <v>11297</v>
      </c>
      <c r="I2046" s="387" t="s">
        <v>13567</v>
      </c>
      <c r="J2046" s="389">
        <v>39813</v>
      </c>
      <c r="K2046" s="387"/>
      <c r="L2046" s="387"/>
      <c r="M2046" s="387" t="s">
        <v>10084</v>
      </c>
      <c r="N2046" s="387"/>
      <c r="O2046" s="387" t="s">
        <v>57</v>
      </c>
      <c r="P2046" s="390">
        <v>177952000</v>
      </c>
      <c r="Q2046" s="387" t="s">
        <v>13568</v>
      </c>
      <c r="R2046" s="387" t="s">
        <v>13539</v>
      </c>
      <c r="S2046" s="340">
        <v>2</v>
      </c>
    </row>
    <row r="2047" spans="1:19" thickBot="1" x14ac:dyDescent="0.4">
      <c r="A2047" s="357">
        <v>2036</v>
      </c>
      <c r="B2047" s="387" t="s">
        <v>13477</v>
      </c>
      <c r="C2047" s="387" t="s">
        <v>13478</v>
      </c>
      <c r="D2047" s="388" t="s">
        <v>137</v>
      </c>
      <c r="E2047" s="388" t="s">
        <v>10082</v>
      </c>
      <c r="F2047" s="388" t="s">
        <v>10078</v>
      </c>
      <c r="G2047" s="388" t="s">
        <v>10078</v>
      </c>
      <c r="H2047" s="388" t="s">
        <v>11297</v>
      </c>
      <c r="I2047" s="387" t="s">
        <v>13551</v>
      </c>
      <c r="J2047" s="389">
        <v>40178</v>
      </c>
      <c r="K2047" s="387"/>
      <c r="L2047" s="387"/>
      <c r="M2047" s="387" t="s">
        <v>10084</v>
      </c>
      <c r="N2047" s="387"/>
      <c r="O2047" s="387" t="s">
        <v>57</v>
      </c>
      <c r="P2047" s="390">
        <v>76850000</v>
      </c>
      <c r="Q2047" s="387" t="s">
        <v>13569</v>
      </c>
      <c r="R2047" s="387" t="s">
        <v>13539</v>
      </c>
      <c r="S2047" s="340">
        <v>2</v>
      </c>
    </row>
    <row r="2048" spans="1:19" ht="29" x14ac:dyDescent="0.35">
      <c r="A2048" s="349">
        <v>2037</v>
      </c>
      <c r="B2048" s="387" t="s">
        <v>13477</v>
      </c>
      <c r="C2048" s="387" t="s">
        <v>13478</v>
      </c>
      <c r="D2048" s="388" t="s">
        <v>146</v>
      </c>
      <c r="E2048" s="388" t="s">
        <v>10082</v>
      </c>
      <c r="F2048" s="388" t="s">
        <v>10078</v>
      </c>
      <c r="G2048" s="388" t="s">
        <v>10078</v>
      </c>
      <c r="H2048" s="388" t="s">
        <v>11297</v>
      </c>
      <c r="I2048" s="387" t="s">
        <v>13570</v>
      </c>
      <c r="J2048" s="389">
        <v>39813</v>
      </c>
      <c r="K2048" s="387"/>
      <c r="L2048" s="387"/>
      <c r="M2048" s="387" t="s">
        <v>10084</v>
      </c>
      <c r="N2048" s="387"/>
      <c r="O2048" s="387" t="s">
        <v>57</v>
      </c>
      <c r="P2048" s="390">
        <v>219038000</v>
      </c>
      <c r="Q2048" s="387" t="s">
        <v>13571</v>
      </c>
      <c r="R2048" s="387" t="s">
        <v>13539</v>
      </c>
      <c r="S2048" s="340">
        <v>2</v>
      </c>
    </row>
    <row r="2049" spans="1:19" ht="29.5" thickBot="1" x14ac:dyDescent="0.4">
      <c r="A2049" s="357">
        <v>2038</v>
      </c>
      <c r="B2049" s="387" t="s">
        <v>13477</v>
      </c>
      <c r="C2049" s="387" t="s">
        <v>13478</v>
      </c>
      <c r="D2049" s="388" t="s">
        <v>154</v>
      </c>
      <c r="E2049" s="388" t="s">
        <v>10082</v>
      </c>
      <c r="F2049" s="388" t="s">
        <v>10078</v>
      </c>
      <c r="G2049" s="388" t="s">
        <v>10088</v>
      </c>
      <c r="H2049" s="388" t="s">
        <v>11686</v>
      </c>
      <c r="I2049" s="387" t="s">
        <v>13572</v>
      </c>
      <c r="J2049" s="389">
        <v>39813</v>
      </c>
      <c r="K2049" s="387"/>
      <c r="L2049" s="387"/>
      <c r="M2049" s="387" t="s">
        <v>10084</v>
      </c>
      <c r="N2049" s="387"/>
      <c r="O2049" s="387" t="s">
        <v>57</v>
      </c>
      <c r="P2049" s="390">
        <v>568042000</v>
      </c>
      <c r="Q2049" s="387" t="s">
        <v>13573</v>
      </c>
      <c r="R2049" s="387" t="s">
        <v>13539</v>
      </c>
      <c r="S2049" s="340">
        <v>2</v>
      </c>
    </row>
    <row r="2050" spans="1:19" ht="29" x14ac:dyDescent="0.35">
      <c r="A2050" s="349">
        <v>2039</v>
      </c>
      <c r="B2050" s="387" t="s">
        <v>13477</v>
      </c>
      <c r="C2050" s="387" t="s">
        <v>13478</v>
      </c>
      <c r="D2050" s="388" t="s">
        <v>161</v>
      </c>
      <c r="E2050" s="388" t="s">
        <v>10082</v>
      </c>
      <c r="F2050" s="388" t="s">
        <v>10078</v>
      </c>
      <c r="G2050" s="388" t="s">
        <v>10078</v>
      </c>
      <c r="H2050" s="388" t="s">
        <v>11297</v>
      </c>
      <c r="I2050" s="387" t="s">
        <v>13574</v>
      </c>
      <c r="J2050" s="389">
        <v>39813</v>
      </c>
      <c r="K2050" s="387"/>
      <c r="L2050" s="387"/>
      <c r="M2050" s="387" t="s">
        <v>10084</v>
      </c>
      <c r="N2050" s="387"/>
      <c r="O2050" s="387" t="s">
        <v>57</v>
      </c>
      <c r="P2050" s="390">
        <v>173704000</v>
      </c>
      <c r="Q2050" s="387" t="s">
        <v>13575</v>
      </c>
      <c r="R2050" s="387" t="s">
        <v>13539</v>
      </c>
      <c r="S2050" s="340">
        <v>2</v>
      </c>
    </row>
    <row r="2051" spans="1:19" ht="29.5" thickBot="1" x14ac:dyDescent="0.4">
      <c r="A2051" s="357">
        <v>2040</v>
      </c>
      <c r="B2051" s="387" t="s">
        <v>13477</v>
      </c>
      <c r="C2051" s="387" t="s">
        <v>13478</v>
      </c>
      <c r="D2051" s="388" t="s">
        <v>169</v>
      </c>
      <c r="E2051" s="388" t="s">
        <v>10082</v>
      </c>
      <c r="F2051" s="388" t="s">
        <v>10078</v>
      </c>
      <c r="G2051" s="388" t="s">
        <v>10078</v>
      </c>
      <c r="H2051" s="388" t="s">
        <v>11297</v>
      </c>
      <c r="I2051" s="387" t="s">
        <v>13576</v>
      </c>
      <c r="J2051" s="389">
        <v>39813</v>
      </c>
      <c r="K2051" s="387"/>
      <c r="L2051" s="387"/>
      <c r="M2051" s="387" t="s">
        <v>10084</v>
      </c>
      <c r="N2051" s="387"/>
      <c r="O2051" s="387" t="s">
        <v>57</v>
      </c>
      <c r="P2051" s="390">
        <v>116100000</v>
      </c>
      <c r="Q2051" s="387" t="s">
        <v>13577</v>
      </c>
      <c r="R2051" s="387" t="s">
        <v>13539</v>
      </c>
      <c r="S2051" s="340">
        <v>2</v>
      </c>
    </row>
    <row r="2052" spans="1:19" ht="29" x14ac:dyDescent="0.35">
      <c r="A2052" s="349">
        <v>2041</v>
      </c>
      <c r="B2052" s="387" t="s">
        <v>13477</v>
      </c>
      <c r="C2052" s="387" t="s">
        <v>13478</v>
      </c>
      <c r="D2052" s="388" t="s">
        <v>176</v>
      </c>
      <c r="E2052" s="388" t="s">
        <v>10082</v>
      </c>
      <c r="F2052" s="388" t="s">
        <v>10078</v>
      </c>
      <c r="G2052" s="388" t="s">
        <v>10078</v>
      </c>
      <c r="H2052" s="388" t="s">
        <v>11297</v>
      </c>
      <c r="I2052" s="387" t="s">
        <v>13578</v>
      </c>
      <c r="J2052" s="389">
        <v>39813</v>
      </c>
      <c r="K2052" s="387"/>
      <c r="L2052" s="387"/>
      <c r="M2052" s="387" t="s">
        <v>10084</v>
      </c>
      <c r="N2052" s="387"/>
      <c r="O2052" s="387" t="s">
        <v>57</v>
      </c>
      <c r="P2052" s="390">
        <v>173704000</v>
      </c>
      <c r="Q2052" s="387" t="s">
        <v>13579</v>
      </c>
      <c r="R2052" s="387" t="s">
        <v>13539</v>
      </c>
      <c r="S2052" s="340">
        <v>2</v>
      </c>
    </row>
    <row r="2053" spans="1:19" ht="73" thickBot="1" x14ac:dyDescent="0.4">
      <c r="A2053" s="357">
        <v>2042</v>
      </c>
      <c r="B2053" s="387" t="s">
        <v>13477</v>
      </c>
      <c r="C2053" s="387" t="s">
        <v>13478</v>
      </c>
      <c r="D2053" s="388" t="s">
        <v>1236</v>
      </c>
      <c r="E2053" s="388" t="s">
        <v>10082</v>
      </c>
      <c r="F2053" s="388" t="s">
        <v>10078</v>
      </c>
      <c r="G2053" s="388" t="s">
        <v>10088</v>
      </c>
      <c r="H2053" s="388" t="s">
        <v>13157</v>
      </c>
      <c r="I2053" s="387" t="s">
        <v>13580</v>
      </c>
      <c r="J2053" s="389">
        <v>44756</v>
      </c>
      <c r="K2053" s="387" t="s">
        <v>13581</v>
      </c>
      <c r="L2053" s="387"/>
      <c r="M2053" s="387"/>
      <c r="N2053" s="387"/>
      <c r="O2053" s="387" t="s">
        <v>44</v>
      </c>
      <c r="P2053" s="390">
        <v>2680502676.9999995</v>
      </c>
      <c r="Q2053" s="387" t="s">
        <v>13582</v>
      </c>
      <c r="R2053" s="387" t="s">
        <v>13539</v>
      </c>
      <c r="S2053" s="340">
        <v>2</v>
      </c>
    </row>
    <row r="2054" spans="1:19" ht="29" x14ac:dyDescent="0.35">
      <c r="A2054" s="349">
        <v>2043</v>
      </c>
      <c r="B2054" s="387" t="s">
        <v>13477</v>
      </c>
      <c r="C2054" s="387" t="s">
        <v>13478</v>
      </c>
      <c r="D2054" s="388" t="s">
        <v>181</v>
      </c>
      <c r="E2054" s="388" t="s">
        <v>10082</v>
      </c>
      <c r="F2054" s="388" t="s">
        <v>10078</v>
      </c>
      <c r="G2054" s="388" t="s">
        <v>10078</v>
      </c>
      <c r="H2054" s="388"/>
      <c r="I2054" s="387" t="s">
        <v>8267</v>
      </c>
      <c r="J2054" s="389">
        <v>45554</v>
      </c>
      <c r="K2054" s="387" t="s">
        <v>13583</v>
      </c>
      <c r="L2054" s="387"/>
      <c r="M2054" s="387"/>
      <c r="N2054" s="387"/>
      <c r="O2054" s="387" t="s">
        <v>44</v>
      </c>
      <c r="P2054" s="390">
        <v>239161750</v>
      </c>
      <c r="Q2054" s="387" t="s">
        <v>13584</v>
      </c>
      <c r="R2054" s="387" t="s">
        <v>13539</v>
      </c>
      <c r="S2054" s="340">
        <v>2</v>
      </c>
    </row>
    <row r="2055" spans="1:19" ht="44" thickBot="1" x14ac:dyDescent="0.4">
      <c r="A2055" s="357">
        <v>2044</v>
      </c>
      <c r="B2055" s="387" t="s">
        <v>11053</v>
      </c>
      <c r="C2055" s="387" t="s">
        <v>11054</v>
      </c>
      <c r="D2055" s="388" t="s">
        <v>51</v>
      </c>
      <c r="E2055" s="388" t="s">
        <v>10082</v>
      </c>
      <c r="F2055" s="388" t="s">
        <v>10078</v>
      </c>
      <c r="G2055" s="388" t="s">
        <v>10088</v>
      </c>
      <c r="H2055" s="388" t="s">
        <v>11297</v>
      </c>
      <c r="I2055" s="387" t="s">
        <v>8246</v>
      </c>
      <c r="J2055" s="389"/>
      <c r="K2055" s="387" t="s">
        <v>13585</v>
      </c>
      <c r="L2055" s="387"/>
      <c r="M2055" s="387"/>
      <c r="N2055" s="387"/>
      <c r="O2055" s="387" t="s">
        <v>44</v>
      </c>
      <c r="P2055" s="390">
        <v>404674600</v>
      </c>
      <c r="Q2055" s="387" t="s">
        <v>13586</v>
      </c>
      <c r="R2055" s="387" t="s">
        <v>13539</v>
      </c>
      <c r="S2055" s="340">
        <v>2</v>
      </c>
    </row>
    <row r="2056" spans="1:19" ht="29" x14ac:dyDescent="0.35">
      <c r="A2056" s="349">
        <v>2045</v>
      </c>
      <c r="B2056" s="387" t="s">
        <v>12958</v>
      </c>
      <c r="C2056" s="387" t="s">
        <v>12959</v>
      </c>
      <c r="D2056" s="388" t="s">
        <v>51</v>
      </c>
      <c r="E2056" s="388" t="s">
        <v>10082</v>
      </c>
      <c r="F2056" s="388" t="s">
        <v>10078</v>
      </c>
      <c r="G2056" s="388" t="s">
        <v>10078</v>
      </c>
      <c r="H2056" s="388" t="s">
        <v>11324</v>
      </c>
      <c r="I2056" s="387" t="s">
        <v>13572</v>
      </c>
      <c r="J2056" s="389">
        <v>39813</v>
      </c>
      <c r="K2056" s="387"/>
      <c r="L2056" s="387"/>
      <c r="M2056" s="387" t="s">
        <v>10084</v>
      </c>
      <c r="N2056" s="387"/>
      <c r="O2056" s="387" t="s">
        <v>57</v>
      </c>
      <c r="P2056" s="390">
        <v>198859000</v>
      </c>
      <c r="Q2056" s="387" t="s">
        <v>13587</v>
      </c>
      <c r="R2056" s="387" t="s">
        <v>13539</v>
      </c>
      <c r="S2056" s="340">
        <v>2</v>
      </c>
    </row>
    <row r="2057" spans="1:19" ht="29.5" thickBot="1" x14ac:dyDescent="0.4">
      <c r="A2057" s="357">
        <v>2046</v>
      </c>
      <c r="B2057" s="387" t="s">
        <v>12958</v>
      </c>
      <c r="C2057" s="387" t="s">
        <v>12959</v>
      </c>
      <c r="D2057" s="388" t="s">
        <v>59</v>
      </c>
      <c r="E2057" s="388" t="s">
        <v>10082</v>
      </c>
      <c r="F2057" s="388" t="s">
        <v>10078</v>
      </c>
      <c r="G2057" s="388" t="s">
        <v>10078</v>
      </c>
      <c r="H2057" s="388" t="s">
        <v>11324</v>
      </c>
      <c r="I2057" s="387" t="s">
        <v>13572</v>
      </c>
      <c r="J2057" s="389">
        <v>39813</v>
      </c>
      <c r="K2057" s="387"/>
      <c r="L2057" s="387"/>
      <c r="M2057" s="387" t="s">
        <v>10084</v>
      </c>
      <c r="N2057" s="387"/>
      <c r="O2057" s="387" t="s">
        <v>57</v>
      </c>
      <c r="P2057" s="390">
        <v>124364500</v>
      </c>
      <c r="Q2057" s="387" t="s">
        <v>13588</v>
      </c>
      <c r="R2057" s="387" t="s">
        <v>13539</v>
      </c>
      <c r="S2057" s="340">
        <v>2</v>
      </c>
    </row>
    <row r="2058" spans="1:19" ht="29" x14ac:dyDescent="0.35">
      <c r="A2058" s="349">
        <v>2047</v>
      </c>
      <c r="B2058" s="387" t="s">
        <v>12958</v>
      </c>
      <c r="C2058" s="387" t="s">
        <v>12959</v>
      </c>
      <c r="D2058" s="388" t="s">
        <v>97</v>
      </c>
      <c r="E2058" s="388" t="s">
        <v>10082</v>
      </c>
      <c r="F2058" s="388" t="s">
        <v>10078</v>
      </c>
      <c r="G2058" s="388" t="s">
        <v>10088</v>
      </c>
      <c r="H2058" s="388" t="s">
        <v>12623</v>
      </c>
      <c r="I2058" s="387" t="s">
        <v>8004</v>
      </c>
      <c r="J2058" s="389">
        <v>40178</v>
      </c>
      <c r="K2058" s="387"/>
      <c r="L2058" s="387"/>
      <c r="M2058" s="387" t="s">
        <v>10084</v>
      </c>
      <c r="N2058" s="387"/>
      <c r="O2058" s="387" t="s">
        <v>57</v>
      </c>
      <c r="P2058" s="390">
        <v>103702900</v>
      </c>
      <c r="Q2058" s="387" t="s">
        <v>13589</v>
      </c>
      <c r="R2058" s="387" t="s">
        <v>13539</v>
      </c>
      <c r="S2058" s="340">
        <v>2</v>
      </c>
    </row>
    <row r="2059" spans="1:19" ht="29.5" thickBot="1" x14ac:dyDescent="0.4">
      <c r="A2059" s="357">
        <v>2048</v>
      </c>
      <c r="B2059" s="387" t="s">
        <v>12958</v>
      </c>
      <c r="C2059" s="387" t="s">
        <v>12959</v>
      </c>
      <c r="D2059" s="388" t="s">
        <v>101</v>
      </c>
      <c r="E2059" s="388" t="s">
        <v>10082</v>
      </c>
      <c r="F2059" s="388" t="s">
        <v>10078</v>
      </c>
      <c r="G2059" s="388" t="s">
        <v>10078</v>
      </c>
      <c r="H2059" s="388" t="s">
        <v>11324</v>
      </c>
      <c r="I2059" s="387" t="s">
        <v>13590</v>
      </c>
      <c r="J2059" s="389">
        <v>39813</v>
      </c>
      <c r="K2059" s="387"/>
      <c r="L2059" s="387"/>
      <c r="M2059" s="387" t="s">
        <v>10084</v>
      </c>
      <c r="N2059" s="387"/>
      <c r="O2059" s="387" t="s">
        <v>57</v>
      </c>
      <c r="P2059" s="390">
        <v>204436900</v>
      </c>
      <c r="Q2059" s="387" t="s">
        <v>13591</v>
      </c>
      <c r="R2059" s="387" t="s">
        <v>13539</v>
      </c>
      <c r="S2059" s="340">
        <v>2</v>
      </c>
    </row>
    <row r="2060" spans="1:19" ht="29" x14ac:dyDescent="0.35">
      <c r="A2060" s="349">
        <v>2049</v>
      </c>
      <c r="B2060" s="387" t="s">
        <v>12958</v>
      </c>
      <c r="C2060" s="387" t="s">
        <v>12959</v>
      </c>
      <c r="D2060" s="388" t="s">
        <v>107</v>
      </c>
      <c r="E2060" s="388" t="s">
        <v>10082</v>
      </c>
      <c r="F2060" s="388" t="s">
        <v>10078</v>
      </c>
      <c r="G2060" s="388" t="s">
        <v>10078</v>
      </c>
      <c r="H2060" s="388" t="s">
        <v>11324</v>
      </c>
      <c r="I2060" s="387" t="s">
        <v>13572</v>
      </c>
      <c r="J2060" s="389">
        <v>39813</v>
      </c>
      <c r="K2060" s="387"/>
      <c r="L2060" s="387"/>
      <c r="M2060" s="387" t="s">
        <v>10084</v>
      </c>
      <c r="N2060" s="387"/>
      <c r="O2060" s="387" t="s">
        <v>57</v>
      </c>
      <c r="P2060" s="390">
        <v>204011900</v>
      </c>
      <c r="Q2060" s="387" t="s">
        <v>13592</v>
      </c>
      <c r="R2060" s="387" t="s">
        <v>13539</v>
      </c>
      <c r="S2060" s="340">
        <v>2</v>
      </c>
    </row>
    <row r="2061" spans="1:19" ht="44" thickBot="1" x14ac:dyDescent="0.4">
      <c r="A2061" s="357">
        <v>2050</v>
      </c>
      <c r="B2061" s="387" t="s">
        <v>12958</v>
      </c>
      <c r="C2061" s="387" t="s">
        <v>12959</v>
      </c>
      <c r="D2061" s="388" t="s">
        <v>112</v>
      </c>
      <c r="E2061" s="388" t="s">
        <v>10082</v>
      </c>
      <c r="F2061" s="388" t="s">
        <v>10078</v>
      </c>
      <c r="G2061" s="388" t="s">
        <v>10078</v>
      </c>
      <c r="H2061" s="388" t="s">
        <v>11324</v>
      </c>
      <c r="I2061" s="387" t="s">
        <v>13593</v>
      </c>
      <c r="J2061" s="389">
        <v>43760</v>
      </c>
      <c r="K2061" s="387" t="s">
        <v>13594</v>
      </c>
      <c r="L2061" s="387"/>
      <c r="M2061" s="387" t="s">
        <v>10084</v>
      </c>
      <c r="N2061" s="387"/>
      <c r="O2061" s="387" t="s">
        <v>57</v>
      </c>
      <c r="P2061" s="390">
        <v>222420500</v>
      </c>
      <c r="Q2061" s="387" t="s">
        <v>13595</v>
      </c>
      <c r="R2061" s="387" t="s">
        <v>13539</v>
      </c>
      <c r="S2061" s="340">
        <v>2</v>
      </c>
    </row>
    <row r="2062" spans="1:19" ht="29" x14ac:dyDescent="0.35">
      <c r="A2062" s="349">
        <v>2051</v>
      </c>
      <c r="B2062" s="387" t="s">
        <v>12958</v>
      </c>
      <c r="C2062" s="387" t="s">
        <v>12959</v>
      </c>
      <c r="D2062" s="388" t="s">
        <v>116</v>
      </c>
      <c r="E2062" s="388" t="s">
        <v>10082</v>
      </c>
      <c r="F2062" s="388" t="s">
        <v>10078</v>
      </c>
      <c r="G2062" s="388" t="s">
        <v>10078</v>
      </c>
      <c r="H2062" s="388" t="s">
        <v>11324</v>
      </c>
      <c r="I2062" s="387" t="s">
        <v>13572</v>
      </c>
      <c r="J2062" s="389">
        <v>39813</v>
      </c>
      <c r="K2062" s="387"/>
      <c r="L2062" s="387"/>
      <c r="M2062" s="387" t="s">
        <v>10084</v>
      </c>
      <c r="N2062" s="387"/>
      <c r="O2062" s="387" t="s">
        <v>57</v>
      </c>
      <c r="P2062" s="390">
        <v>118409000</v>
      </c>
      <c r="Q2062" s="387" t="s">
        <v>13588</v>
      </c>
      <c r="R2062" s="387" t="s">
        <v>13539</v>
      </c>
      <c r="S2062" s="340">
        <v>2</v>
      </c>
    </row>
    <row r="2063" spans="1:19" ht="29.5" thickBot="1" x14ac:dyDescent="0.4">
      <c r="A2063" s="357">
        <v>2052</v>
      </c>
      <c r="B2063" s="387" t="s">
        <v>12958</v>
      </c>
      <c r="C2063" s="387" t="s">
        <v>12959</v>
      </c>
      <c r="D2063" s="388" t="s">
        <v>841</v>
      </c>
      <c r="E2063" s="388" t="s">
        <v>10082</v>
      </c>
      <c r="F2063" s="388" t="s">
        <v>10078</v>
      </c>
      <c r="G2063" s="388" t="s">
        <v>10078</v>
      </c>
      <c r="H2063" s="388" t="s">
        <v>11324</v>
      </c>
      <c r="I2063" s="387" t="s">
        <v>13572</v>
      </c>
      <c r="J2063" s="389">
        <v>39813</v>
      </c>
      <c r="K2063" s="387"/>
      <c r="L2063" s="387"/>
      <c r="M2063" s="387" t="s">
        <v>10084</v>
      </c>
      <c r="N2063" s="387"/>
      <c r="O2063" s="387" t="s">
        <v>57</v>
      </c>
      <c r="P2063" s="390">
        <v>124364500</v>
      </c>
      <c r="Q2063" s="387" t="s">
        <v>13588</v>
      </c>
      <c r="R2063" s="387" t="s">
        <v>13539</v>
      </c>
      <c r="S2063" s="340">
        <v>2</v>
      </c>
    </row>
    <row r="2064" spans="1:19" ht="29" x14ac:dyDescent="0.35">
      <c r="A2064" s="349">
        <v>2053</v>
      </c>
      <c r="B2064" s="387" t="s">
        <v>12958</v>
      </c>
      <c r="C2064" s="387" t="s">
        <v>12959</v>
      </c>
      <c r="D2064" s="388" t="s">
        <v>904</v>
      </c>
      <c r="E2064" s="388" t="s">
        <v>10082</v>
      </c>
      <c r="F2064" s="388" t="s">
        <v>10078</v>
      </c>
      <c r="G2064" s="388" t="s">
        <v>10078</v>
      </c>
      <c r="H2064" s="388" t="s">
        <v>11324</v>
      </c>
      <c r="I2064" s="387" t="s">
        <v>13572</v>
      </c>
      <c r="J2064" s="389">
        <v>39813</v>
      </c>
      <c r="K2064" s="387"/>
      <c r="L2064" s="387"/>
      <c r="M2064" s="387" t="s">
        <v>10084</v>
      </c>
      <c r="N2064" s="387"/>
      <c r="O2064" s="387" t="s">
        <v>57</v>
      </c>
      <c r="P2064" s="390">
        <v>123361900</v>
      </c>
      <c r="Q2064" s="387" t="s">
        <v>13588</v>
      </c>
      <c r="R2064" s="387" t="s">
        <v>13539</v>
      </c>
      <c r="S2064" s="340">
        <v>2</v>
      </c>
    </row>
    <row r="2065" spans="1:19" ht="29.5" thickBot="1" x14ac:dyDescent="0.4">
      <c r="A2065" s="357">
        <v>2054</v>
      </c>
      <c r="B2065" s="387" t="s">
        <v>10511</v>
      </c>
      <c r="C2065" s="387" t="s">
        <v>10512</v>
      </c>
      <c r="D2065" s="388" t="s">
        <v>51</v>
      </c>
      <c r="E2065" s="388" t="s">
        <v>10082</v>
      </c>
      <c r="F2065" s="388" t="s">
        <v>10078</v>
      </c>
      <c r="G2065" s="388" t="s">
        <v>10088</v>
      </c>
      <c r="H2065" s="388" t="s">
        <v>11451</v>
      </c>
      <c r="I2065" s="387" t="s">
        <v>13596</v>
      </c>
      <c r="J2065" s="389">
        <v>42186</v>
      </c>
      <c r="K2065" s="387" t="s">
        <v>13597</v>
      </c>
      <c r="L2065" s="387"/>
      <c r="M2065" s="387" t="s">
        <v>10084</v>
      </c>
      <c r="N2065" s="387"/>
      <c r="O2065" s="387" t="s">
        <v>57</v>
      </c>
      <c r="P2065" s="390">
        <v>34544000</v>
      </c>
      <c r="Q2065" s="387" t="s">
        <v>13598</v>
      </c>
      <c r="R2065" s="387" t="s">
        <v>13539</v>
      </c>
      <c r="S2065" s="340">
        <v>2</v>
      </c>
    </row>
    <row r="2066" spans="1:19" ht="14.5" x14ac:dyDescent="0.35">
      <c r="A2066" s="349">
        <v>2055</v>
      </c>
      <c r="B2066" s="387" t="s">
        <v>10096</v>
      </c>
      <c r="C2066" s="387" t="s">
        <v>10097</v>
      </c>
      <c r="D2066" s="388" t="s">
        <v>51</v>
      </c>
      <c r="E2066" s="388" t="s">
        <v>10082</v>
      </c>
      <c r="F2066" s="388" t="s">
        <v>10078</v>
      </c>
      <c r="G2066" s="388" t="s">
        <v>10088</v>
      </c>
      <c r="H2066" s="388" t="s">
        <v>11656</v>
      </c>
      <c r="I2066" s="387" t="s">
        <v>9010</v>
      </c>
      <c r="J2066" s="389">
        <v>40178</v>
      </c>
      <c r="K2066" s="387"/>
      <c r="L2066" s="387"/>
      <c r="M2066" s="387" t="s">
        <v>10084</v>
      </c>
      <c r="N2066" s="387"/>
      <c r="O2066" s="387" t="s">
        <v>57</v>
      </c>
      <c r="P2066" s="390">
        <v>98750000</v>
      </c>
      <c r="Q2066" s="387" t="s">
        <v>13599</v>
      </c>
      <c r="R2066" s="387" t="s">
        <v>13539</v>
      </c>
      <c r="S2066" s="340">
        <v>2</v>
      </c>
    </row>
    <row r="2067" spans="1:19" ht="29.5" thickBot="1" x14ac:dyDescent="0.4">
      <c r="A2067" s="357">
        <v>2056</v>
      </c>
      <c r="B2067" s="387" t="s">
        <v>10541</v>
      </c>
      <c r="C2067" s="387" t="s">
        <v>10542</v>
      </c>
      <c r="D2067" s="388" t="s">
        <v>51</v>
      </c>
      <c r="E2067" s="388" t="s">
        <v>10082</v>
      </c>
      <c r="F2067" s="388" t="s">
        <v>10078</v>
      </c>
      <c r="G2067" s="388" t="s">
        <v>10088</v>
      </c>
      <c r="H2067" s="388" t="s">
        <v>11333</v>
      </c>
      <c r="I2067" s="387" t="s">
        <v>10902</v>
      </c>
      <c r="J2067" s="389"/>
      <c r="K2067" s="387" t="s">
        <v>13600</v>
      </c>
      <c r="L2067" s="387"/>
      <c r="M2067" s="387" t="s">
        <v>10084</v>
      </c>
      <c r="N2067" s="387"/>
      <c r="O2067" s="387" t="s">
        <v>57</v>
      </c>
      <c r="P2067" s="390">
        <v>221220000</v>
      </c>
      <c r="Q2067" s="387" t="s">
        <v>13601</v>
      </c>
      <c r="R2067" s="387" t="s">
        <v>8279</v>
      </c>
      <c r="S2067" s="340">
        <v>2</v>
      </c>
    </row>
    <row r="2068" spans="1:19" ht="29" x14ac:dyDescent="0.35">
      <c r="A2068" s="349">
        <v>2057</v>
      </c>
      <c r="B2068" s="387" t="s">
        <v>13477</v>
      </c>
      <c r="C2068" s="387" t="s">
        <v>13478</v>
      </c>
      <c r="D2068" s="388" t="s">
        <v>51</v>
      </c>
      <c r="E2068" s="388" t="s">
        <v>10082</v>
      </c>
      <c r="F2068" s="388" t="s">
        <v>10078</v>
      </c>
      <c r="G2068" s="388" t="s">
        <v>10088</v>
      </c>
      <c r="H2068" s="388" t="s">
        <v>5537</v>
      </c>
      <c r="I2068" s="387" t="s">
        <v>13602</v>
      </c>
      <c r="J2068" s="389">
        <v>39813</v>
      </c>
      <c r="K2068" s="387"/>
      <c r="L2068" s="387"/>
      <c r="M2068" s="387" t="s">
        <v>10084</v>
      </c>
      <c r="N2068" s="387"/>
      <c r="O2068" s="387" t="s">
        <v>57</v>
      </c>
      <c r="P2068" s="390">
        <v>618616250</v>
      </c>
      <c r="Q2068" s="387" t="s">
        <v>13603</v>
      </c>
      <c r="R2068" s="387" t="s">
        <v>8279</v>
      </c>
      <c r="S2068" s="340">
        <v>2</v>
      </c>
    </row>
    <row r="2069" spans="1:19" ht="29.5" thickBot="1" x14ac:dyDescent="0.4">
      <c r="A2069" s="357">
        <v>2058</v>
      </c>
      <c r="B2069" s="387" t="s">
        <v>13477</v>
      </c>
      <c r="C2069" s="387" t="s">
        <v>13478</v>
      </c>
      <c r="D2069" s="388" t="s">
        <v>59</v>
      </c>
      <c r="E2069" s="388" t="s">
        <v>10082</v>
      </c>
      <c r="F2069" s="388" t="s">
        <v>10078</v>
      </c>
      <c r="G2069" s="388" t="s">
        <v>10088</v>
      </c>
      <c r="H2069" s="388" t="s">
        <v>11400</v>
      </c>
      <c r="I2069" s="387" t="s">
        <v>13604</v>
      </c>
      <c r="J2069" s="389">
        <v>41906</v>
      </c>
      <c r="K2069" s="387" t="s">
        <v>13605</v>
      </c>
      <c r="L2069" s="387"/>
      <c r="M2069" s="387" t="s">
        <v>10084</v>
      </c>
      <c r="N2069" s="387"/>
      <c r="O2069" s="387" t="s">
        <v>57</v>
      </c>
      <c r="P2069" s="390">
        <v>270125000</v>
      </c>
      <c r="Q2069" s="387" t="s">
        <v>13606</v>
      </c>
      <c r="R2069" s="387" t="s">
        <v>8279</v>
      </c>
      <c r="S2069" s="340">
        <v>2</v>
      </c>
    </row>
    <row r="2070" spans="1:19" ht="29" x14ac:dyDescent="0.35">
      <c r="A2070" s="349">
        <v>2059</v>
      </c>
      <c r="B2070" s="387" t="s">
        <v>13477</v>
      </c>
      <c r="C2070" s="387" t="s">
        <v>13478</v>
      </c>
      <c r="D2070" s="388" t="s">
        <v>97</v>
      </c>
      <c r="E2070" s="388" t="s">
        <v>10082</v>
      </c>
      <c r="F2070" s="388" t="s">
        <v>10078</v>
      </c>
      <c r="G2070" s="388" t="s">
        <v>10088</v>
      </c>
      <c r="H2070" s="388" t="s">
        <v>11400</v>
      </c>
      <c r="I2070" s="387" t="s">
        <v>13607</v>
      </c>
      <c r="J2070" s="389">
        <v>41906</v>
      </c>
      <c r="K2070" s="387" t="s">
        <v>13608</v>
      </c>
      <c r="L2070" s="387"/>
      <c r="M2070" s="387" t="s">
        <v>10084</v>
      </c>
      <c r="N2070" s="387"/>
      <c r="O2070" s="387" t="s">
        <v>57</v>
      </c>
      <c r="P2070" s="390">
        <v>274134000</v>
      </c>
      <c r="Q2070" s="387" t="s">
        <v>13609</v>
      </c>
      <c r="R2070" s="387" t="s">
        <v>8279</v>
      </c>
      <c r="S2070" s="340">
        <v>2</v>
      </c>
    </row>
    <row r="2071" spans="1:19" ht="29.5" thickBot="1" x14ac:dyDescent="0.4">
      <c r="A2071" s="357">
        <v>2060</v>
      </c>
      <c r="B2071" s="387" t="s">
        <v>13477</v>
      </c>
      <c r="C2071" s="387" t="s">
        <v>13478</v>
      </c>
      <c r="D2071" s="388" t="s">
        <v>101</v>
      </c>
      <c r="E2071" s="388" t="s">
        <v>10082</v>
      </c>
      <c r="F2071" s="388" t="s">
        <v>10078</v>
      </c>
      <c r="G2071" s="388" t="s">
        <v>10088</v>
      </c>
      <c r="H2071" s="388" t="s">
        <v>8954</v>
      </c>
      <c r="I2071" s="387" t="s">
        <v>13602</v>
      </c>
      <c r="J2071" s="389">
        <v>42648</v>
      </c>
      <c r="K2071" s="387" t="s">
        <v>13610</v>
      </c>
      <c r="L2071" s="387"/>
      <c r="M2071" s="387" t="s">
        <v>10084</v>
      </c>
      <c r="N2071" s="387"/>
      <c r="O2071" s="387" t="s">
        <v>57</v>
      </c>
      <c r="P2071" s="390">
        <v>337925000</v>
      </c>
      <c r="Q2071" s="387" t="s">
        <v>13611</v>
      </c>
      <c r="R2071" s="387" t="s">
        <v>8279</v>
      </c>
      <c r="S2071" s="340">
        <v>2</v>
      </c>
    </row>
    <row r="2072" spans="1:19" ht="29" x14ac:dyDescent="0.35">
      <c r="A2072" s="349">
        <v>2061</v>
      </c>
      <c r="B2072" s="387" t="s">
        <v>13477</v>
      </c>
      <c r="C2072" s="387" t="s">
        <v>13478</v>
      </c>
      <c r="D2072" s="388" t="s">
        <v>107</v>
      </c>
      <c r="E2072" s="388" t="s">
        <v>10082</v>
      </c>
      <c r="F2072" s="388" t="s">
        <v>10078</v>
      </c>
      <c r="G2072" s="388" t="s">
        <v>10088</v>
      </c>
      <c r="H2072" s="388" t="s">
        <v>12584</v>
      </c>
      <c r="I2072" s="387" t="s">
        <v>13612</v>
      </c>
      <c r="J2072" s="389"/>
      <c r="K2072" s="387" t="s">
        <v>13613</v>
      </c>
      <c r="L2072" s="387"/>
      <c r="M2072" s="387" t="s">
        <v>10084</v>
      </c>
      <c r="N2072" s="387"/>
      <c r="O2072" s="387" t="s">
        <v>57</v>
      </c>
      <c r="P2072" s="390">
        <v>329500000</v>
      </c>
      <c r="Q2072" s="387" t="s">
        <v>13614</v>
      </c>
      <c r="R2072" s="387" t="s">
        <v>8279</v>
      </c>
      <c r="S2072" s="340">
        <v>2</v>
      </c>
    </row>
    <row r="2073" spans="1:19" ht="29.5" thickBot="1" x14ac:dyDescent="0.4">
      <c r="A2073" s="357">
        <v>2062</v>
      </c>
      <c r="B2073" s="387" t="s">
        <v>13477</v>
      </c>
      <c r="C2073" s="387" t="s">
        <v>13478</v>
      </c>
      <c r="D2073" s="388" t="s">
        <v>112</v>
      </c>
      <c r="E2073" s="388" t="s">
        <v>10082</v>
      </c>
      <c r="F2073" s="388" t="s">
        <v>10078</v>
      </c>
      <c r="G2073" s="388" t="s">
        <v>10088</v>
      </c>
      <c r="H2073" s="388" t="s">
        <v>11297</v>
      </c>
      <c r="I2073" s="387" t="s">
        <v>13615</v>
      </c>
      <c r="J2073" s="389">
        <v>40376</v>
      </c>
      <c r="K2073" s="387" t="s">
        <v>13616</v>
      </c>
      <c r="L2073" s="387"/>
      <c r="M2073" s="387" t="s">
        <v>10084</v>
      </c>
      <c r="N2073" s="387"/>
      <c r="O2073" s="387" t="s">
        <v>57</v>
      </c>
      <c r="P2073" s="390">
        <v>195910000</v>
      </c>
      <c r="Q2073" s="387" t="s">
        <v>13617</v>
      </c>
      <c r="R2073" s="387" t="s">
        <v>8279</v>
      </c>
      <c r="S2073" s="340">
        <v>2</v>
      </c>
    </row>
    <row r="2074" spans="1:19" ht="29" x14ac:dyDescent="0.35">
      <c r="A2074" s="349">
        <v>2063</v>
      </c>
      <c r="B2074" s="387" t="s">
        <v>13477</v>
      </c>
      <c r="C2074" s="387" t="s">
        <v>13478</v>
      </c>
      <c r="D2074" s="388" t="s">
        <v>116</v>
      </c>
      <c r="E2074" s="388" t="s">
        <v>10082</v>
      </c>
      <c r="F2074" s="388" t="s">
        <v>10078</v>
      </c>
      <c r="G2074" s="388" t="s">
        <v>10088</v>
      </c>
      <c r="H2074" s="388" t="s">
        <v>11297</v>
      </c>
      <c r="I2074" s="387" t="s">
        <v>13618</v>
      </c>
      <c r="J2074" s="389">
        <v>40376</v>
      </c>
      <c r="K2074" s="387" t="s">
        <v>13619</v>
      </c>
      <c r="L2074" s="387"/>
      <c r="M2074" s="387" t="s">
        <v>10084</v>
      </c>
      <c r="N2074" s="387"/>
      <c r="O2074" s="387" t="s">
        <v>57</v>
      </c>
      <c r="P2074" s="390">
        <v>197522000</v>
      </c>
      <c r="Q2074" s="387" t="s">
        <v>13620</v>
      </c>
      <c r="R2074" s="387" t="s">
        <v>8279</v>
      </c>
      <c r="S2074" s="340">
        <v>2</v>
      </c>
    </row>
    <row r="2075" spans="1:19" ht="29.5" thickBot="1" x14ac:dyDescent="0.4">
      <c r="A2075" s="357">
        <v>2064</v>
      </c>
      <c r="B2075" s="387" t="s">
        <v>13477</v>
      </c>
      <c r="C2075" s="387" t="s">
        <v>13478</v>
      </c>
      <c r="D2075" s="388" t="s">
        <v>841</v>
      </c>
      <c r="E2075" s="388" t="s">
        <v>10082</v>
      </c>
      <c r="F2075" s="388" t="s">
        <v>10078</v>
      </c>
      <c r="G2075" s="388" t="s">
        <v>10088</v>
      </c>
      <c r="H2075" s="388" t="s">
        <v>1433</v>
      </c>
      <c r="I2075" s="387" t="s">
        <v>13621</v>
      </c>
      <c r="J2075" s="389">
        <v>40445</v>
      </c>
      <c r="K2075" s="387" t="s">
        <v>13622</v>
      </c>
      <c r="L2075" s="387"/>
      <c r="M2075" s="387" t="s">
        <v>10084</v>
      </c>
      <c r="N2075" s="387"/>
      <c r="O2075" s="387" t="s">
        <v>57</v>
      </c>
      <c r="P2075" s="390">
        <v>224900000</v>
      </c>
      <c r="Q2075" s="387" t="s">
        <v>13623</v>
      </c>
      <c r="R2075" s="387" t="s">
        <v>8279</v>
      </c>
      <c r="S2075" s="340">
        <v>2</v>
      </c>
    </row>
    <row r="2076" spans="1:19" ht="29" x14ac:dyDescent="0.35">
      <c r="A2076" s="349">
        <v>2065</v>
      </c>
      <c r="B2076" s="387" t="s">
        <v>13477</v>
      </c>
      <c r="C2076" s="387" t="s">
        <v>13478</v>
      </c>
      <c r="D2076" s="388" t="s">
        <v>904</v>
      </c>
      <c r="E2076" s="388" t="s">
        <v>10082</v>
      </c>
      <c r="F2076" s="388" t="s">
        <v>10078</v>
      </c>
      <c r="G2076" s="388" t="s">
        <v>10088</v>
      </c>
      <c r="H2076" s="388" t="s">
        <v>11297</v>
      </c>
      <c r="I2076" s="387" t="s">
        <v>13624</v>
      </c>
      <c r="J2076" s="389">
        <v>40445</v>
      </c>
      <c r="K2076" s="387" t="s">
        <v>13625</v>
      </c>
      <c r="L2076" s="387"/>
      <c r="M2076" s="387" t="s">
        <v>10084</v>
      </c>
      <c r="N2076" s="387"/>
      <c r="O2076" s="387" t="s">
        <v>57</v>
      </c>
      <c r="P2076" s="390">
        <v>275309500</v>
      </c>
      <c r="Q2076" s="387" t="s">
        <v>13626</v>
      </c>
      <c r="R2076" s="387" t="s">
        <v>8279</v>
      </c>
      <c r="S2076" s="340">
        <v>2</v>
      </c>
    </row>
    <row r="2077" spans="1:19" ht="29.5" thickBot="1" x14ac:dyDescent="0.4">
      <c r="A2077" s="357">
        <v>2066</v>
      </c>
      <c r="B2077" s="387" t="s">
        <v>13477</v>
      </c>
      <c r="C2077" s="387" t="s">
        <v>13478</v>
      </c>
      <c r="D2077" s="388" t="s">
        <v>122</v>
      </c>
      <c r="E2077" s="388" t="s">
        <v>10082</v>
      </c>
      <c r="F2077" s="388" t="s">
        <v>10078</v>
      </c>
      <c r="G2077" s="388" t="s">
        <v>10088</v>
      </c>
      <c r="H2077" s="388" t="s">
        <v>11364</v>
      </c>
      <c r="I2077" s="387" t="s">
        <v>13621</v>
      </c>
      <c r="J2077" s="389">
        <v>40445</v>
      </c>
      <c r="K2077" s="387" t="s">
        <v>13627</v>
      </c>
      <c r="L2077" s="387"/>
      <c r="M2077" s="387" t="s">
        <v>10084</v>
      </c>
      <c r="N2077" s="387"/>
      <c r="O2077" s="387" t="s">
        <v>57</v>
      </c>
      <c r="P2077" s="390">
        <v>333544875</v>
      </c>
      <c r="Q2077" s="387" t="s">
        <v>13628</v>
      </c>
      <c r="R2077" s="387" t="s">
        <v>8279</v>
      </c>
      <c r="S2077" s="340">
        <v>2</v>
      </c>
    </row>
    <row r="2078" spans="1:19" ht="29" x14ac:dyDescent="0.35">
      <c r="A2078" s="349">
        <v>2067</v>
      </c>
      <c r="B2078" s="387" t="s">
        <v>13477</v>
      </c>
      <c r="C2078" s="387" t="s">
        <v>13478</v>
      </c>
      <c r="D2078" s="388" t="s">
        <v>126</v>
      </c>
      <c r="E2078" s="388" t="s">
        <v>10082</v>
      </c>
      <c r="F2078" s="388" t="s">
        <v>10078</v>
      </c>
      <c r="G2078" s="388" t="s">
        <v>10088</v>
      </c>
      <c r="H2078" s="388" t="s">
        <v>11364</v>
      </c>
      <c r="I2078" s="387" t="s">
        <v>13629</v>
      </c>
      <c r="J2078" s="389">
        <v>40765</v>
      </c>
      <c r="K2078" s="387" t="s">
        <v>13630</v>
      </c>
      <c r="L2078" s="387"/>
      <c r="M2078" s="387" t="s">
        <v>10084</v>
      </c>
      <c r="N2078" s="387"/>
      <c r="O2078" s="387" t="s">
        <v>57</v>
      </c>
      <c r="P2078" s="390">
        <v>107860000</v>
      </c>
      <c r="Q2078" s="387" t="s">
        <v>13631</v>
      </c>
      <c r="R2078" s="387" t="s">
        <v>8279</v>
      </c>
      <c r="S2078" s="340">
        <v>2</v>
      </c>
    </row>
    <row r="2079" spans="1:19" ht="29.5" thickBot="1" x14ac:dyDescent="0.4">
      <c r="A2079" s="357">
        <v>2068</v>
      </c>
      <c r="B2079" s="387" t="s">
        <v>13477</v>
      </c>
      <c r="C2079" s="387" t="s">
        <v>13478</v>
      </c>
      <c r="D2079" s="388" t="s">
        <v>132</v>
      </c>
      <c r="E2079" s="388" t="s">
        <v>10082</v>
      </c>
      <c r="F2079" s="388" t="s">
        <v>10078</v>
      </c>
      <c r="G2079" s="388" t="s">
        <v>10088</v>
      </c>
      <c r="H2079" s="388" t="s">
        <v>1433</v>
      </c>
      <c r="I2079" s="387" t="s">
        <v>13621</v>
      </c>
      <c r="J2079" s="389"/>
      <c r="K2079" s="387" t="s">
        <v>13632</v>
      </c>
      <c r="L2079" s="387"/>
      <c r="M2079" s="387" t="s">
        <v>10084</v>
      </c>
      <c r="N2079" s="387"/>
      <c r="O2079" s="387" t="s">
        <v>57</v>
      </c>
      <c r="P2079" s="390">
        <v>659376000</v>
      </c>
      <c r="Q2079" s="387" t="s">
        <v>13633</v>
      </c>
      <c r="R2079" s="387" t="s">
        <v>8279</v>
      </c>
      <c r="S2079" s="340">
        <v>2</v>
      </c>
    </row>
    <row r="2080" spans="1:19" ht="29" x14ac:dyDescent="0.35">
      <c r="A2080" s="349">
        <v>2069</v>
      </c>
      <c r="B2080" s="387" t="s">
        <v>13477</v>
      </c>
      <c r="C2080" s="387" t="s">
        <v>13478</v>
      </c>
      <c r="D2080" s="388" t="s">
        <v>137</v>
      </c>
      <c r="E2080" s="388" t="s">
        <v>10082</v>
      </c>
      <c r="F2080" s="388" t="s">
        <v>10078</v>
      </c>
      <c r="G2080" s="388" t="s">
        <v>10088</v>
      </c>
      <c r="H2080" s="388" t="s">
        <v>12007</v>
      </c>
      <c r="I2080" s="387" t="s">
        <v>13621</v>
      </c>
      <c r="J2080" s="389"/>
      <c r="K2080" s="387" t="s">
        <v>13634</v>
      </c>
      <c r="L2080" s="387"/>
      <c r="M2080" s="387" t="s">
        <v>10084</v>
      </c>
      <c r="N2080" s="387"/>
      <c r="O2080" s="387" t="s">
        <v>57</v>
      </c>
      <c r="P2080" s="390">
        <v>330890000</v>
      </c>
      <c r="Q2080" s="387" t="s">
        <v>13635</v>
      </c>
      <c r="R2080" s="387" t="s">
        <v>8279</v>
      </c>
      <c r="S2080" s="340">
        <v>2</v>
      </c>
    </row>
    <row r="2081" spans="1:19" ht="44" thickBot="1" x14ac:dyDescent="0.4">
      <c r="A2081" s="357">
        <v>2070</v>
      </c>
      <c r="B2081" s="387" t="s">
        <v>13516</v>
      </c>
      <c r="C2081" s="387" t="s">
        <v>13517</v>
      </c>
      <c r="D2081" s="388" t="s">
        <v>51</v>
      </c>
      <c r="E2081" s="388" t="s">
        <v>10082</v>
      </c>
      <c r="F2081" s="388" t="s">
        <v>10078</v>
      </c>
      <c r="G2081" s="388" t="s">
        <v>10088</v>
      </c>
      <c r="H2081" s="388" t="s">
        <v>11415</v>
      </c>
      <c r="I2081" s="387" t="s">
        <v>13636</v>
      </c>
      <c r="J2081" s="389">
        <v>41064</v>
      </c>
      <c r="K2081" s="387" t="s">
        <v>13637</v>
      </c>
      <c r="L2081" s="387"/>
      <c r="M2081" s="387"/>
      <c r="N2081" s="387"/>
      <c r="O2081" s="387" t="s">
        <v>422</v>
      </c>
      <c r="P2081" s="390">
        <v>157464690</v>
      </c>
      <c r="Q2081" s="387" t="s">
        <v>13638</v>
      </c>
      <c r="R2081" s="387" t="s">
        <v>8279</v>
      </c>
      <c r="S2081" s="340">
        <v>2</v>
      </c>
    </row>
    <row r="2082" spans="1:19" ht="14.5" x14ac:dyDescent="0.35">
      <c r="A2082" s="349">
        <v>2071</v>
      </c>
      <c r="B2082" s="387" t="s">
        <v>10486</v>
      </c>
      <c r="C2082" s="387" t="s">
        <v>10487</v>
      </c>
      <c r="D2082" s="388" t="s">
        <v>51</v>
      </c>
      <c r="E2082" s="388" t="s">
        <v>10082</v>
      </c>
      <c r="F2082" s="388" t="s">
        <v>10078</v>
      </c>
      <c r="G2082" s="388" t="s">
        <v>10088</v>
      </c>
      <c r="H2082" s="388" t="s">
        <v>11870</v>
      </c>
      <c r="I2082" s="387" t="s">
        <v>13639</v>
      </c>
      <c r="J2082" s="389">
        <v>40178</v>
      </c>
      <c r="K2082" s="387"/>
      <c r="L2082" s="387"/>
      <c r="M2082" s="387" t="s">
        <v>10084</v>
      </c>
      <c r="N2082" s="387"/>
      <c r="O2082" s="387" t="s">
        <v>57</v>
      </c>
      <c r="P2082" s="390">
        <v>49400000</v>
      </c>
      <c r="Q2082" s="387" t="s">
        <v>13640</v>
      </c>
      <c r="R2082" s="387" t="s">
        <v>8279</v>
      </c>
      <c r="S2082" s="340">
        <v>2</v>
      </c>
    </row>
    <row r="2083" spans="1:19" ht="29.5" thickBot="1" x14ac:dyDescent="0.4">
      <c r="A2083" s="357">
        <v>2072</v>
      </c>
      <c r="B2083" s="387" t="s">
        <v>12958</v>
      </c>
      <c r="C2083" s="387" t="s">
        <v>12959</v>
      </c>
      <c r="D2083" s="388" t="s">
        <v>51</v>
      </c>
      <c r="E2083" s="388" t="s">
        <v>10082</v>
      </c>
      <c r="F2083" s="388" t="s">
        <v>10078</v>
      </c>
      <c r="G2083" s="388" t="s">
        <v>10088</v>
      </c>
      <c r="H2083" s="388" t="s">
        <v>11686</v>
      </c>
      <c r="I2083" s="387" t="s">
        <v>13641</v>
      </c>
      <c r="J2083" s="389">
        <v>39813</v>
      </c>
      <c r="K2083" s="387"/>
      <c r="L2083" s="387"/>
      <c r="M2083" s="387" t="s">
        <v>10084</v>
      </c>
      <c r="N2083" s="387"/>
      <c r="O2083" s="387" t="s">
        <v>57</v>
      </c>
      <c r="P2083" s="390">
        <v>206832000</v>
      </c>
      <c r="Q2083" s="387" t="s">
        <v>13642</v>
      </c>
      <c r="R2083" s="387" t="s">
        <v>8279</v>
      </c>
      <c r="S2083" s="340">
        <v>2</v>
      </c>
    </row>
    <row r="2084" spans="1:19" ht="29" x14ac:dyDescent="0.35">
      <c r="A2084" s="349">
        <v>2073</v>
      </c>
      <c r="B2084" s="387" t="s">
        <v>12958</v>
      </c>
      <c r="C2084" s="387" t="s">
        <v>12959</v>
      </c>
      <c r="D2084" s="388" t="s">
        <v>59</v>
      </c>
      <c r="E2084" s="388" t="s">
        <v>10082</v>
      </c>
      <c r="F2084" s="388" t="s">
        <v>10078</v>
      </c>
      <c r="G2084" s="388" t="s">
        <v>10088</v>
      </c>
      <c r="H2084" s="388" t="s">
        <v>11686</v>
      </c>
      <c r="I2084" s="387" t="s">
        <v>13643</v>
      </c>
      <c r="J2084" s="389">
        <v>39813</v>
      </c>
      <c r="K2084" s="387"/>
      <c r="L2084" s="387"/>
      <c r="M2084" s="387" t="s">
        <v>10084</v>
      </c>
      <c r="N2084" s="387"/>
      <c r="O2084" s="387" t="s">
        <v>57</v>
      </c>
      <c r="P2084" s="390">
        <v>206811500</v>
      </c>
      <c r="Q2084" s="387" t="s">
        <v>13644</v>
      </c>
      <c r="R2084" s="387" t="s">
        <v>8279</v>
      </c>
      <c r="S2084" s="340">
        <v>2</v>
      </c>
    </row>
    <row r="2085" spans="1:19" ht="29.5" thickBot="1" x14ac:dyDescent="0.4">
      <c r="A2085" s="357">
        <v>2074</v>
      </c>
      <c r="B2085" s="387" t="s">
        <v>12958</v>
      </c>
      <c r="C2085" s="387" t="s">
        <v>12959</v>
      </c>
      <c r="D2085" s="388" t="s">
        <v>97</v>
      </c>
      <c r="E2085" s="388" t="s">
        <v>10082</v>
      </c>
      <c r="F2085" s="388" t="s">
        <v>10078</v>
      </c>
      <c r="G2085" s="388" t="s">
        <v>10088</v>
      </c>
      <c r="H2085" s="388" t="s">
        <v>11415</v>
      </c>
      <c r="I2085" s="387" t="s">
        <v>8004</v>
      </c>
      <c r="J2085" s="389">
        <v>40178</v>
      </c>
      <c r="K2085" s="387"/>
      <c r="L2085" s="387"/>
      <c r="M2085" s="387" t="s">
        <v>10084</v>
      </c>
      <c r="N2085" s="387"/>
      <c r="O2085" s="387" t="s">
        <v>57</v>
      </c>
      <c r="P2085" s="390">
        <v>106225875</v>
      </c>
      <c r="Q2085" s="387" t="s">
        <v>13645</v>
      </c>
      <c r="R2085" s="387" t="s">
        <v>8279</v>
      </c>
      <c r="S2085" s="340">
        <v>2</v>
      </c>
    </row>
    <row r="2086" spans="1:19" ht="29" x14ac:dyDescent="0.35">
      <c r="A2086" s="349">
        <v>2075</v>
      </c>
      <c r="B2086" s="387" t="s">
        <v>12958</v>
      </c>
      <c r="C2086" s="387" t="s">
        <v>12959</v>
      </c>
      <c r="D2086" s="388" t="s">
        <v>101</v>
      </c>
      <c r="E2086" s="388" t="s">
        <v>10082</v>
      </c>
      <c r="F2086" s="388" t="s">
        <v>10078</v>
      </c>
      <c r="G2086" s="388" t="s">
        <v>10088</v>
      </c>
      <c r="H2086" s="388" t="s">
        <v>12623</v>
      </c>
      <c r="I2086" s="387" t="s">
        <v>8004</v>
      </c>
      <c r="J2086" s="389">
        <v>40178</v>
      </c>
      <c r="K2086" s="387"/>
      <c r="L2086" s="387"/>
      <c r="M2086" s="387" t="s">
        <v>10084</v>
      </c>
      <c r="N2086" s="387"/>
      <c r="O2086" s="387" t="s">
        <v>57</v>
      </c>
      <c r="P2086" s="390">
        <v>210304000</v>
      </c>
      <c r="Q2086" s="387" t="s">
        <v>13646</v>
      </c>
      <c r="R2086" s="387" t="s">
        <v>8279</v>
      </c>
      <c r="S2086" s="340">
        <v>2</v>
      </c>
    </row>
    <row r="2087" spans="1:19" ht="29.5" thickBot="1" x14ac:dyDescent="0.4">
      <c r="A2087" s="357">
        <v>2076</v>
      </c>
      <c r="B2087" s="387" t="s">
        <v>12958</v>
      </c>
      <c r="C2087" s="387" t="s">
        <v>12959</v>
      </c>
      <c r="D2087" s="388" t="s">
        <v>107</v>
      </c>
      <c r="E2087" s="388" t="s">
        <v>10082</v>
      </c>
      <c r="F2087" s="388" t="s">
        <v>10078</v>
      </c>
      <c r="G2087" s="388" t="s">
        <v>10088</v>
      </c>
      <c r="H2087" s="388" t="s">
        <v>11686</v>
      </c>
      <c r="I2087" s="387" t="s">
        <v>13641</v>
      </c>
      <c r="J2087" s="389">
        <v>39813</v>
      </c>
      <c r="K2087" s="387"/>
      <c r="L2087" s="387"/>
      <c r="M2087" s="387" t="s">
        <v>10084</v>
      </c>
      <c r="N2087" s="387"/>
      <c r="O2087" s="387" t="s">
        <v>57</v>
      </c>
      <c r="P2087" s="390">
        <v>208956500</v>
      </c>
      <c r="Q2087" s="387" t="s">
        <v>13647</v>
      </c>
      <c r="R2087" s="387" t="s">
        <v>8279</v>
      </c>
      <c r="S2087" s="340">
        <v>2</v>
      </c>
    </row>
    <row r="2088" spans="1:19" ht="29" x14ac:dyDescent="0.35">
      <c r="A2088" s="349">
        <v>2077</v>
      </c>
      <c r="B2088" s="387" t="s">
        <v>12958</v>
      </c>
      <c r="C2088" s="387" t="s">
        <v>12959</v>
      </c>
      <c r="D2088" s="388" t="s">
        <v>112</v>
      </c>
      <c r="E2088" s="388" t="s">
        <v>10082</v>
      </c>
      <c r="F2088" s="388" t="s">
        <v>10078</v>
      </c>
      <c r="G2088" s="388" t="s">
        <v>10088</v>
      </c>
      <c r="H2088" s="388" t="s">
        <v>11407</v>
      </c>
      <c r="I2088" s="387" t="s">
        <v>10902</v>
      </c>
      <c r="J2088" s="389">
        <v>41841</v>
      </c>
      <c r="K2088" s="387" t="s">
        <v>13648</v>
      </c>
      <c r="L2088" s="387"/>
      <c r="M2088" s="387" t="s">
        <v>10084</v>
      </c>
      <c r="N2088" s="387"/>
      <c r="O2088" s="387" t="s">
        <v>57</v>
      </c>
      <c r="P2088" s="390">
        <v>288204000</v>
      </c>
      <c r="Q2088" s="387" t="s">
        <v>13649</v>
      </c>
      <c r="R2088" s="387" t="s">
        <v>8279</v>
      </c>
      <c r="S2088" s="340">
        <v>2</v>
      </c>
    </row>
    <row r="2089" spans="1:19" ht="29.5" thickBot="1" x14ac:dyDescent="0.4">
      <c r="A2089" s="357">
        <v>2078</v>
      </c>
      <c r="B2089" s="387" t="s">
        <v>10511</v>
      </c>
      <c r="C2089" s="387" t="s">
        <v>10512</v>
      </c>
      <c r="D2089" s="388" t="s">
        <v>51</v>
      </c>
      <c r="E2089" s="388" t="s">
        <v>10082</v>
      </c>
      <c r="F2089" s="388" t="s">
        <v>10078</v>
      </c>
      <c r="G2089" s="388" t="s">
        <v>10078</v>
      </c>
      <c r="H2089" s="388" t="s">
        <v>11451</v>
      </c>
      <c r="I2089" s="387" t="s">
        <v>13602</v>
      </c>
      <c r="J2089" s="389">
        <v>42186</v>
      </c>
      <c r="K2089" s="387" t="s">
        <v>13597</v>
      </c>
      <c r="L2089" s="387"/>
      <c r="M2089" s="387" t="s">
        <v>10084</v>
      </c>
      <c r="N2089" s="387"/>
      <c r="O2089" s="387" t="s">
        <v>57</v>
      </c>
      <c r="P2089" s="390">
        <v>34544000</v>
      </c>
      <c r="Q2089" s="387" t="s">
        <v>13598</v>
      </c>
      <c r="R2089" s="387" t="s">
        <v>8279</v>
      </c>
      <c r="S2089" s="340">
        <v>2</v>
      </c>
    </row>
    <row r="2090" spans="1:19" ht="14.5" x14ac:dyDescent="0.35">
      <c r="A2090" s="349">
        <v>2079</v>
      </c>
      <c r="B2090" s="387" t="s">
        <v>10096</v>
      </c>
      <c r="C2090" s="387" t="s">
        <v>10097</v>
      </c>
      <c r="D2090" s="388" t="s">
        <v>51</v>
      </c>
      <c r="E2090" s="388" t="s">
        <v>10082</v>
      </c>
      <c r="F2090" s="388" t="s">
        <v>10078</v>
      </c>
      <c r="G2090" s="388" t="s">
        <v>10088</v>
      </c>
      <c r="H2090" s="388" t="s">
        <v>231</v>
      </c>
      <c r="I2090" s="387" t="s">
        <v>13639</v>
      </c>
      <c r="J2090" s="389">
        <v>40178</v>
      </c>
      <c r="K2090" s="387"/>
      <c r="L2090" s="387"/>
      <c r="M2090" s="387" t="s">
        <v>10084</v>
      </c>
      <c r="N2090" s="387"/>
      <c r="O2090" s="387" t="s">
        <v>57</v>
      </c>
      <c r="P2090" s="390">
        <v>315700000</v>
      </c>
      <c r="Q2090" s="387" t="s">
        <v>13650</v>
      </c>
      <c r="R2090" s="387" t="s">
        <v>8279</v>
      </c>
      <c r="S2090" s="340">
        <v>2</v>
      </c>
    </row>
    <row r="2091" spans="1:19" ht="29.5" thickBot="1" x14ac:dyDescent="0.4">
      <c r="A2091" s="357">
        <v>2080</v>
      </c>
      <c r="B2091" s="387" t="s">
        <v>10900</v>
      </c>
      <c r="C2091" s="387" t="s">
        <v>10901</v>
      </c>
      <c r="D2091" s="388" t="s">
        <v>51</v>
      </c>
      <c r="E2091" s="388" t="s">
        <v>10082</v>
      </c>
      <c r="F2091" s="388" t="s">
        <v>10078</v>
      </c>
      <c r="G2091" s="388" t="s">
        <v>10078</v>
      </c>
      <c r="H2091" s="388" t="s">
        <v>11349</v>
      </c>
      <c r="I2091" s="387" t="s">
        <v>11473</v>
      </c>
      <c r="J2091" s="389">
        <v>42299</v>
      </c>
      <c r="K2091" s="387" t="s">
        <v>13651</v>
      </c>
      <c r="L2091" s="387"/>
      <c r="M2091" s="387" t="s">
        <v>10084</v>
      </c>
      <c r="N2091" s="387"/>
      <c r="O2091" s="387" t="s">
        <v>57</v>
      </c>
      <c r="P2091" s="390">
        <v>54850000</v>
      </c>
      <c r="Q2091" s="387" t="s">
        <v>13652</v>
      </c>
      <c r="R2091" s="387" t="s">
        <v>8303</v>
      </c>
      <c r="S2091" s="340">
        <v>2</v>
      </c>
    </row>
    <row r="2092" spans="1:19" ht="29" x14ac:dyDescent="0.35">
      <c r="A2092" s="349">
        <v>2081</v>
      </c>
      <c r="B2092" s="387" t="s">
        <v>13477</v>
      </c>
      <c r="C2092" s="387" t="s">
        <v>13478</v>
      </c>
      <c r="D2092" s="388" t="s">
        <v>51</v>
      </c>
      <c r="E2092" s="388" t="s">
        <v>10082</v>
      </c>
      <c r="F2092" s="388" t="s">
        <v>10078</v>
      </c>
      <c r="G2092" s="388" t="s">
        <v>10078</v>
      </c>
      <c r="H2092" s="388" t="s">
        <v>2972</v>
      </c>
      <c r="I2092" s="387" t="s">
        <v>13653</v>
      </c>
      <c r="J2092" s="389"/>
      <c r="K2092" s="387" t="s">
        <v>13654</v>
      </c>
      <c r="L2092" s="387"/>
      <c r="M2092" s="387" t="s">
        <v>10084</v>
      </c>
      <c r="N2092" s="387"/>
      <c r="O2092" s="387" t="s">
        <v>57</v>
      </c>
      <c r="P2092" s="390">
        <v>220740000</v>
      </c>
      <c r="Q2092" s="387" t="s">
        <v>13655</v>
      </c>
      <c r="R2092" s="387" t="s">
        <v>8303</v>
      </c>
      <c r="S2092" s="340">
        <v>2</v>
      </c>
    </row>
    <row r="2093" spans="1:19" ht="29.5" thickBot="1" x14ac:dyDescent="0.4">
      <c r="A2093" s="357">
        <v>2082</v>
      </c>
      <c r="B2093" s="387" t="s">
        <v>13477</v>
      </c>
      <c r="C2093" s="387" t="s">
        <v>13478</v>
      </c>
      <c r="D2093" s="388" t="s">
        <v>59</v>
      </c>
      <c r="E2093" s="388" t="s">
        <v>10082</v>
      </c>
      <c r="F2093" s="388" t="s">
        <v>10078</v>
      </c>
      <c r="G2093" s="388" t="s">
        <v>10088</v>
      </c>
      <c r="H2093" s="388" t="s">
        <v>12584</v>
      </c>
      <c r="I2093" s="387" t="s">
        <v>13656</v>
      </c>
      <c r="J2093" s="389"/>
      <c r="K2093" s="387" t="s">
        <v>13657</v>
      </c>
      <c r="L2093" s="387"/>
      <c r="M2093" s="387" t="s">
        <v>10084</v>
      </c>
      <c r="N2093" s="387"/>
      <c r="O2093" s="387" t="s">
        <v>57</v>
      </c>
      <c r="P2093" s="390">
        <v>220332000</v>
      </c>
      <c r="Q2093" s="387" t="s">
        <v>13658</v>
      </c>
      <c r="R2093" s="387" t="s">
        <v>8303</v>
      </c>
      <c r="S2093" s="340">
        <v>2</v>
      </c>
    </row>
    <row r="2094" spans="1:19" ht="29" x14ac:dyDescent="0.35">
      <c r="A2094" s="349">
        <v>2083</v>
      </c>
      <c r="B2094" s="387" t="s">
        <v>13477</v>
      </c>
      <c r="C2094" s="387" t="s">
        <v>13478</v>
      </c>
      <c r="D2094" s="388" t="s">
        <v>97</v>
      </c>
      <c r="E2094" s="388" t="s">
        <v>10082</v>
      </c>
      <c r="F2094" s="388" t="s">
        <v>10078</v>
      </c>
      <c r="G2094" s="388" t="s">
        <v>10088</v>
      </c>
      <c r="H2094" s="388" t="s">
        <v>12584</v>
      </c>
      <c r="I2094" s="387" t="s">
        <v>13659</v>
      </c>
      <c r="J2094" s="389"/>
      <c r="K2094" s="387" t="s">
        <v>13660</v>
      </c>
      <c r="L2094" s="387"/>
      <c r="M2094" s="387" t="s">
        <v>10084</v>
      </c>
      <c r="N2094" s="387"/>
      <c r="O2094" s="387" t="s">
        <v>57</v>
      </c>
      <c r="P2094" s="390">
        <v>222335000</v>
      </c>
      <c r="Q2094" s="387" t="s">
        <v>13661</v>
      </c>
      <c r="R2094" s="387" t="s">
        <v>8303</v>
      </c>
      <c r="S2094" s="340">
        <v>2</v>
      </c>
    </row>
    <row r="2095" spans="1:19" ht="29.5" thickBot="1" x14ac:dyDescent="0.4">
      <c r="A2095" s="357">
        <v>2084</v>
      </c>
      <c r="B2095" s="387" t="s">
        <v>13477</v>
      </c>
      <c r="C2095" s="387" t="s">
        <v>13478</v>
      </c>
      <c r="D2095" s="388" t="s">
        <v>101</v>
      </c>
      <c r="E2095" s="388" t="s">
        <v>10082</v>
      </c>
      <c r="F2095" s="388" t="s">
        <v>10078</v>
      </c>
      <c r="G2095" s="388" t="s">
        <v>10088</v>
      </c>
      <c r="H2095" s="388" t="s">
        <v>12584</v>
      </c>
      <c r="I2095" s="387" t="s">
        <v>13662</v>
      </c>
      <c r="J2095" s="389"/>
      <c r="K2095" s="387" t="s">
        <v>13663</v>
      </c>
      <c r="L2095" s="387"/>
      <c r="M2095" s="387" t="s">
        <v>10084</v>
      </c>
      <c r="N2095" s="387"/>
      <c r="O2095" s="387" t="s">
        <v>57</v>
      </c>
      <c r="P2095" s="390">
        <v>222335000</v>
      </c>
      <c r="Q2095" s="387" t="s">
        <v>13664</v>
      </c>
      <c r="R2095" s="387" t="s">
        <v>8303</v>
      </c>
      <c r="S2095" s="340">
        <v>2</v>
      </c>
    </row>
    <row r="2096" spans="1:19" ht="29" x14ac:dyDescent="0.35">
      <c r="A2096" s="349">
        <v>2085</v>
      </c>
      <c r="B2096" s="387" t="s">
        <v>13477</v>
      </c>
      <c r="C2096" s="387" t="s">
        <v>13478</v>
      </c>
      <c r="D2096" s="388" t="s">
        <v>107</v>
      </c>
      <c r="E2096" s="388" t="s">
        <v>10082</v>
      </c>
      <c r="F2096" s="388" t="s">
        <v>10078</v>
      </c>
      <c r="G2096" s="388" t="s">
        <v>10078</v>
      </c>
      <c r="H2096" s="388" t="s">
        <v>12623</v>
      </c>
      <c r="I2096" s="387" t="s">
        <v>13653</v>
      </c>
      <c r="J2096" s="389">
        <v>42779</v>
      </c>
      <c r="K2096" s="387" t="s">
        <v>13665</v>
      </c>
      <c r="L2096" s="387"/>
      <c r="M2096" s="387" t="s">
        <v>10084</v>
      </c>
      <c r="N2096" s="387"/>
      <c r="O2096" s="387" t="s">
        <v>57</v>
      </c>
      <c r="P2096" s="390">
        <v>222417000</v>
      </c>
      <c r="Q2096" s="387" t="s">
        <v>13666</v>
      </c>
      <c r="R2096" s="387" t="s">
        <v>8303</v>
      </c>
      <c r="S2096" s="340">
        <v>2</v>
      </c>
    </row>
    <row r="2097" spans="1:19" ht="29.5" thickBot="1" x14ac:dyDescent="0.4">
      <c r="A2097" s="357">
        <v>2086</v>
      </c>
      <c r="B2097" s="387" t="s">
        <v>13477</v>
      </c>
      <c r="C2097" s="387" t="s">
        <v>13478</v>
      </c>
      <c r="D2097" s="388" t="s">
        <v>112</v>
      </c>
      <c r="E2097" s="388" t="s">
        <v>10082</v>
      </c>
      <c r="F2097" s="388" t="s">
        <v>10078</v>
      </c>
      <c r="G2097" s="388" t="s">
        <v>10088</v>
      </c>
      <c r="H2097" s="388" t="s">
        <v>11297</v>
      </c>
      <c r="I2097" s="387" t="s">
        <v>13667</v>
      </c>
      <c r="J2097" s="389">
        <v>42451</v>
      </c>
      <c r="K2097" s="387" t="s">
        <v>13668</v>
      </c>
      <c r="L2097" s="387"/>
      <c r="M2097" s="387" t="s">
        <v>10084</v>
      </c>
      <c r="N2097" s="387"/>
      <c r="O2097" s="387" t="s">
        <v>57</v>
      </c>
      <c r="P2097" s="390">
        <v>305606000</v>
      </c>
      <c r="Q2097" s="387" t="s">
        <v>13669</v>
      </c>
      <c r="R2097" s="387" t="s">
        <v>8303</v>
      </c>
      <c r="S2097" s="340">
        <v>2</v>
      </c>
    </row>
    <row r="2098" spans="1:19" ht="29" x14ac:dyDescent="0.35">
      <c r="A2098" s="349">
        <v>2087</v>
      </c>
      <c r="B2098" s="387" t="s">
        <v>13477</v>
      </c>
      <c r="C2098" s="387" t="s">
        <v>13478</v>
      </c>
      <c r="D2098" s="388" t="s">
        <v>116</v>
      </c>
      <c r="E2098" s="388" t="s">
        <v>10082</v>
      </c>
      <c r="F2098" s="388" t="s">
        <v>10078</v>
      </c>
      <c r="G2098" s="388" t="s">
        <v>10078</v>
      </c>
      <c r="H2098" s="388" t="s">
        <v>13087</v>
      </c>
      <c r="I2098" s="387" t="s">
        <v>13670</v>
      </c>
      <c r="J2098" s="389">
        <v>42186</v>
      </c>
      <c r="K2098" s="387" t="s">
        <v>13671</v>
      </c>
      <c r="L2098" s="387"/>
      <c r="M2098" s="387" t="s">
        <v>10084</v>
      </c>
      <c r="N2098" s="387"/>
      <c r="O2098" s="387" t="s">
        <v>57</v>
      </c>
      <c r="P2098" s="390">
        <v>201443000</v>
      </c>
      <c r="Q2098" s="387" t="s">
        <v>13672</v>
      </c>
      <c r="R2098" s="387" t="s">
        <v>8303</v>
      </c>
      <c r="S2098" s="340">
        <v>2</v>
      </c>
    </row>
    <row r="2099" spans="1:19" ht="29.5" thickBot="1" x14ac:dyDescent="0.4">
      <c r="A2099" s="357">
        <v>2088</v>
      </c>
      <c r="B2099" s="387" t="s">
        <v>13477</v>
      </c>
      <c r="C2099" s="387" t="s">
        <v>13478</v>
      </c>
      <c r="D2099" s="388" t="s">
        <v>841</v>
      </c>
      <c r="E2099" s="388" t="s">
        <v>10082</v>
      </c>
      <c r="F2099" s="388" t="s">
        <v>10078</v>
      </c>
      <c r="G2099" s="388" t="s">
        <v>10088</v>
      </c>
      <c r="H2099" s="388" t="s">
        <v>11364</v>
      </c>
      <c r="I2099" s="387" t="s">
        <v>11473</v>
      </c>
      <c r="J2099" s="389"/>
      <c r="K2099" s="387" t="s">
        <v>13673</v>
      </c>
      <c r="L2099" s="387"/>
      <c r="M2099" s="387" t="s">
        <v>10084</v>
      </c>
      <c r="N2099" s="387"/>
      <c r="O2099" s="387" t="s">
        <v>57</v>
      </c>
      <c r="P2099" s="390">
        <v>221181000</v>
      </c>
      <c r="Q2099" s="387" t="s">
        <v>13674</v>
      </c>
      <c r="R2099" s="387" t="s">
        <v>8303</v>
      </c>
      <c r="S2099" s="340">
        <v>2</v>
      </c>
    </row>
    <row r="2100" spans="1:19" ht="29" x14ac:dyDescent="0.35">
      <c r="A2100" s="349">
        <v>2089</v>
      </c>
      <c r="B2100" s="387" t="s">
        <v>13477</v>
      </c>
      <c r="C2100" s="387" t="s">
        <v>13478</v>
      </c>
      <c r="D2100" s="388" t="s">
        <v>904</v>
      </c>
      <c r="E2100" s="388" t="s">
        <v>10082</v>
      </c>
      <c r="F2100" s="388" t="s">
        <v>10078</v>
      </c>
      <c r="G2100" s="388" t="s">
        <v>10078</v>
      </c>
      <c r="H2100" s="388" t="s">
        <v>11364</v>
      </c>
      <c r="I2100" s="387" t="s">
        <v>13675</v>
      </c>
      <c r="J2100" s="389"/>
      <c r="K2100" s="387" t="s">
        <v>13676</v>
      </c>
      <c r="L2100" s="387"/>
      <c r="M2100" s="387" t="s">
        <v>10084</v>
      </c>
      <c r="N2100" s="387"/>
      <c r="O2100" s="387" t="s">
        <v>57</v>
      </c>
      <c r="P2100" s="390">
        <v>221355000</v>
      </c>
      <c r="Q2100" s="387" t="s">
        <v>13677</v>
      </c>
      <c r="R2100" s="387" t="s">
        <v>8303</v>
      </c>
      <c r="S2100" s="340">
        <v>2</v>
      </c>
    </row>
    <row r="2101" spans="1:19" ht="29.5" thickBot="1" x14ac:dyDescent="0.4">
      <c r="A2101" s="357">
        <v>2090</v>
      </c>
      <c r="B2101" s="387" t="s">
        <v>13477</v>
      </c>
      <c r="C2101" s="387" t="s">
        <v>13478</v>
      </c>
      <c r="D2101" s="388" t="s">
        <v>122</v>
      </c>
      <c r="E2101" s="388" t="s">
        <v>10082</v>
      </c>
      <c r="F2101" s="388" t="s">
        <v>10078</v>
      </c>
      <c r="G2101" s="388" t="s">
        <v>10088</v>
      </c>
      <c r="H2101" s="388" t="s">
        <v>12584</v>
      </c>
      <c r="I2101" s="387" t="s">
        <v>13210</v>
      </c>
      <c r="J2101" s="389"/>
      <c r="K2101" s="387" t="s">
        <v>13678</v>
      </c>
      <c r="L2101" s="387"/>
      <c r="M2101" s="387" t="s">
        <v>10084</v>
      </c>
      <c r="N2101" s="387"/>
      <c r="O2101" s="387" t="s">
        <v>57</v>
      </c>
      <c r="P2101" s="390">
        <v>222135000</v>
      </c>
      <c r="Q2101" s="387" t="s">
        <v>13679</v>
      </c>
      <c r="R2101" s="387" t="s">
        <v>8303</v>
      </c>
      <c r="S2101" s="340">
        <v>2</v>
      </c>
    </row>
    <row r="2102" spans="1:19" ht="29" x14ac:dyDescent="0.35">
      <c r="A2102" s="349">
        <v>2091</v>
      </c>
      <c r="B2102" s="387" t="s">
        <v>13477</v>
      </c>
      <c r="C2102" s="387" t="s">
        <v>13478</v>
      </c>
      <c r="D2102" s="388" t="s">
        <v>126</v>
      </c>
      <c r="E2102" s="388" t="s">
        <v>10082</v>
      </c>
      <c r="F2102" s="388" t="s">
        <v>10078</v>
      </c>
      <c r="G2102" s="388" t="s">
        <v>10078</v>
      </c>
      <c r="H2102" s="388" t="s">
        <v>11364</v>
      </c>
      <c r="I2102" s="387" t="s">
        <v>13680</v>
      </c>
      <c r="J2102" s="389"/>
      <c r="K2102" s="387" t="s">
        <v>13681</v>
      </c>
      <c r="L2102" s="387"/>
      <c r="M2102" s="387" t="s">
        <v>10084</v>
      </c>
      <c r="N2102" s="387"/>
      <c r="O2102" s="387" t="s">
        <v>57</v>
      </c>
      <c r="P2102" s="390">
        <v>221000000</v>
      </c>
      <c r="Q2102" s="387" t="s">
        <v>13682</v>
      </c>
      <c r="R2102" s="387" t="s">
        <v>8303</v>
      </c>
      <c r="S2102" s="340">
        <v>2</v>
      </c>
    </row>
    <row r="2103" spans="1:19" thickBot="1" x14ac:dyDescent="0.4">
      <c r="A2103" s="357">
        <v>2092</v>
      </c>
      <c r="B2103" s="387" t="s">
        <v>13477</v>
      </c>
      <c r="C2103" s="387" t="s">
        <v>13478</v>
      </c>
      <c r="D2103" s="388" t="s">
        <v>132</v>
      </c>
      <c r="E2103" s="388" t="s">
        <v>10082</v>
      </c>
      <c r="F2103" s="388" t="s">
        <v>10078</v>
      </c>
      <c r="G2103" s="388" t="s">
        <v>10088</v>
      </c>
      <c r="H2103" s="388" t="s">
        <v>11297</v>
      </c>
      <c r="I2103" s="387" t="s">
        <v>13683</v>
      </c>
      <c r="J2103" s="389">
        <v>41145</v>
      </c>
      <c r="K2103" s="387" t="s">
        <v>13684</v>
      </c>
      <c r="L2103" s="387"/>
      <c r="M2103" s="387" t="s">
        <v>10084</v>
      </c>
      <c r="N2103" s="387"/>
      <c r="O2103" s="387" t="s">
        <v>57</v>
      </c>
      <c r="P2103" s="390">
        <v>205788000</v>
      </c>
      <c r="Q2103" s="387" t="s">
        <v>13685</v>
      </c>
      <c r="R2103" s="387" t="s">
        <v>8303</v>
      </c>
      <c r="S2103" s="340">
        <v>2</v>
      </c>
    </row>
    <row r="2104" spans="1:19" ht="29" x14ac:dyDescent="0.35">
      <c r="A2104" s="349">
        <v>2093</v>
      </c>
      <c r="B2104" s="387" t="s">
        <v>13477</v>
      </c>
      <c r="C2104" s="387" t="s">
        <v>13478</v>
      </c>
      <c r="D2104" s="388" t="s">
        <v>137</v>
      </c>
      <c r="E2104" s="388" t="s">
        <v>10082</v>
      </c>
      <c r="F2104" s="388" t="s">
        <v>10078</v>
      </c>
      <c r="G2104" s="388" t="s">
        <v>10088</v>
      </c>
      <c r="H2104" s="388" t="s">
        <v>11364</v>
      </c>
      <c r="I2104" s="387" t="s">
        <v>13088</v>
      </c>
      <c r="J2104" s="389">
        <v>40445</v>
      </c>
      <c r="K2104" s="387" t="s">
        <v>13686</v>
      </c>
      <c r="L2104" s="387"/>
      <c r="M2104" s="387" t="s">
        <v>10084</v>
      </c>
      <c r="N2104" s="387"/>
      <c r="O2104" s="387" t="s">
        <v>57</v>
      </c>
      <c r="P2104" s="390">
        <v>161455000</v>
      </c>
      <c r="Q2104" s="387" t="s">
        <v>13687</v>
      </c>
      <c r="R2104" s="387" t="s">
        <v>8303</v>
      </c>
      <c r="S2104" s="340">
        <v>2</v>
      </c>
    </row>
    <row r="2105" spans="1:19" ht="29.5" thickBot="1" x14ac:dyDescent="0.4">
      <c r="A2105" s="357">
        <v>2094</v>
      </c>
      <c r="B2105" s="387" t="s">
        <v>13477</v>
      </c>
      <c r="C2105" s="387" t="s">
        <v>13478</v>
      </c>
      <c r="D2105" s="388" t="s">
        <v>146</v>
      </c>
      <c r="E2105" s="388" t="s">
        <v>10082</v>
      </c>
      <c r="F2105" s="388" t="s">
        <v>10078</v>
      </c>
      <c r="G2105" s="388" t="s">
        <v>10078</v>
      </c>
      <c r="H2105" s="388" t="s">
        <v>11297</v>
      </c>
      <c r="I2105" s="387" t="s">
        <v>13688</v>
      </c>
      <c r="J2105" s="389">
        <v>42585</v>
      </c>
      <c r="K2105" s="387" t="s">
        <v>13689</v>
      </c>
      <c r="L2105" s="387"/>
      <c r="M2105" s="387" t="s">
        <v>10084</v>
      </c>
      <c r="N2105" s="387"/>
      <c r="O2105" s="387" t="s">
        <v>57</v>
      </c>
      <c r="P2105" s="390">
        <v>299900000</v>
      </c>
      <c r="Q2105" s="387" t="s">
        <v>13690</v>
      </c>
      <c r="R2105" s="387" t="s">
        <v>8303</v>
      </c>
      <c r="S2105" s="340">
        <v>2</v>
      </c>
    </row>
    <row r="2106" spans="1:19" ht="29" x14ac:dyDescent="0.35">
      <c r="A2106" s="349">
        <v>2095</v>
      </c>
      <c r="B2106" s="387" t="s">
        <v>13477</v>
      </c>
      <c r="C2106" s="387" t="s">
        <v>13478</v>
      </c>
      <c r="D2106" s="388" t="s">
        <v>154</v>
      </c>
      <c r="E2106" s="388" t="s">
        <v>10082</v>
      </c>
      <c r="F2106" s="388" t="s">
        <v>10078</v>
      </c>
      <c r="G2106" s="388" t="s">
        <v>10088</v>
      </c>
      <c r="H2106" s="388" t="s">
        <v>12584</v>
      </c>
      <c r="I2106" s="387" t="s">
        <v>13691</v>
      </c>
      <c r="J2106" s="389"/>
      <c r="K2106" s="387" t="s">
        <v>13692</v>
      </c>
      <c r="L2106" s="387"/>
      <c r="M2106" s="387" t="s">
        <v>10084</v>
      </c>
      <c r="N2106" s="387"/>
      <c r="O2106" s="387" t="s">
        <v>57</v>
      </c>
      <c r="P2106" s="390">
        <v>220332000</v>
      </c>
      <c r="Q2106" s="387" t="s">
        <v>13693</v>
      </c>
      <c r="R2106" s="387" t="s">
        <v>8303</v>
      </c>
      <c r="S2106" s="340">
        <v>2</v>
      </c>
    </row>
    <row r="2107" spans="1:19" ht="29.5" thickBot="1" x14ac:dyDescent="0.4">
      <c r="A2107" s="357">
        <v>2096</v>
      </c>
      <c r="B2107" s="387" t="s">
        <v>13477</v>
      </c>
      <c r="C2107" s="387" t="s">
        <v>13478</v>
      </c>
      <c r="D2107" s="388" t="s">
        <v>161</v>
      </c>
      <c r="E2107" s="388" t="s">
        <v>10082</v>
      </c>
      <c r="F2107" s="388" t="s">
        <v>10078</v>
      </c>
      <c r="G2107" s="388" t="s">
        <v>10078</v>
      </c>
      <c r="H2107" s="388" t="s">
        <v>11297</v>
      </c>
      <c r="I2107" s="387" t="s">
        <v>13694</v>
      </c>
      <c r="J2107" s="389">
        <v>42648</v>
      </c>
      <c r="K2107" s="387" t="s">
        <v>13695</v>
      </c>
      <c r="L2107" s="387"/>
      <c r="M2107" s="387" t="s">
        <v>10084</v>
      </c>
      <c r="N2107" s="387"/>
      <c r="O2107" s="387" t="s">
        <v>57</v>
      </c>
      <c r="P2107" s="390">
        <v>217800000</v>
      </c>
      <c r="Q2107" s="387" t="s">
        <v>13696</v>
      </c>
      <c r="R2107" s="387" t="s">
        <v>8303</v>
      </c>
      <c r="S2107" s="340">
        <v>2</v>
      </c>
    </row>
    <row r="2108" spans="1:19" ht="29" x14ac:dyDescent="0.35">
      <c r="A2108" s="349">
        <v>2097</v>
      </c>
      <c r="B2108" s="387" t="s">
        <v>13477</v>
      </c>
      <c r="C2108" s="387" t="s">
        <v>13478</v>
      </c>
      <c r="D2108" s="388" t="s">
        <v>169</v>
      </c>
      <c r="E2108" s="388" t="s">
        <v>10082</v>
      </c>
      <c r="F2108" s="388" t="s">
        <v>10078</v>
      </c>
      <c r="G2108" s="388" t="s">
        <v>10078</v>
      </c>
      <c r="H2108" s="388" t="s">
        <v>12157</v>
      </c>
      <c r="I2108" s="387" t="s">
        <v>13697</v>
      </c>
      <c r="J2108" s="389">
        <v>42214</v>
      </c>
      <c r="K2108" s="387" t="s">
        <v>13698</v>
      </c>
      <c r="L2108" s="387"/>
      <c r="M2108" s="387" t="s">
        <v>10084</v>
      </c>
      <c r="N2108" s="387"/>
      <c r="O2108" s="387" t="s">
        <v>57</v>
      </c>
      <c r="P2108" s="390">
        <v>273995500</v>
      </c>
      <c r="Q2108" s="387" t="s">
        <v>13699</v>
      </c>
      <c r="R2108" s="387" t="s">
        <v>8303</v>
      </c>
      <c r="S2108" s="340">
        <v>2</v>
      </c>
    </row>
    <row r="2109" spans="1:19" ht="29.5" thickBot="1" x14ac:dyDescent="0.4">
      <c r="A2109" s="357">
        <v>2098</v>
      </c>
      <c r="B2109" s="387" t="s">
        <v>13477</v>
      </c>
      <c r="C2109" s="387" t="s">
        <v>13478</v>
      </c>
      <c r="D2109" s="388" t="s">
        <v>176</v>
      </c>
      <c r="E2109" s="388" t="s">
        <v>10082</v>
      </c>
      <c r="F2109" s="388" t="s">
        <v>10078</v>
      </c>
      <c r="G2109" s="388" t="s">
        <v>10078</v>
      </c>
      <c r="H2109" s="388" t="s">
        <v>11297</v>
      </c>
      <c r="I2109" s="387" t="s">
        <v>13700</v>
      </c>
      <c r="J2109" s="389">
        <v>39813</v>
      </c>
      <c r="K2109" s="387"/>
      <c r="L2109" s="387"/>
      <c r="M2109" s="387" t="s">
        <v>10084</v>
      </c>
      <c r="N2109" s="387"/>
      <c r="O2109" s="387" t="s">
        <v>57</v>
      </c>
      <c r="P2109" s="390">
        <v>329561950</v>
      </c>
      <c r="Q2109" s="387" t="s">
        <v>13701</v>
      </c>
      <c r="R2109" s="387" t="s">
        <v>8303</v>
      </c>
      <c r="S2109" s="340">
        <v>2</v>
      </c>
    </row>
    <row r="2110" spans="1:19" ht="29" x14ac:dyDescent="0.35">
      <c r="A2110" s="349">
        <v>2099</v>
      </c>
      <c r="B2110" s="387" t="s">
        <v>13477</v>
      </c>
      <c r="C2110" s="387" t="s">
        <v>13478</v>
      </c>
      <c r="D2110" s="388" t="s">
        <v>1236</v>
      </c>
      <c r="E2110" s="388" t="s">
        <v>10082</v>
      </c>
      <c r="F2110" s="388" t="s">
        <v>10078</v>
      </c>
      <c r="G2110" s="388" t="s">
        <v>10088</v>
      </c>
      <c r="H2110" s="388" t="s">
        <v>11686</v>
      </c>
      <c r="I2110" s="387" t="s">
        <v>11473</v>
      </c>
      <c r="J2110" s="389">
        <v>39813</v>
      </c>
      <c r="K2110" s="387"/>
      <c r="L2110" s="387"/>
      <c r="M2110" s="387" t="s">
        <v>10084</v>
      </c>
      <c r="N2110" s="387"/>
      <c r="O2110" s="387" t="s">
        <v>57</v>
      </c>
      <c r="P2110" s="390">
        <v>132054000</v>
      </c>
      <c r="Q2110" s="387" t="s">
        <v>13702</v>
      </c>
      <c r="R2110" s="387" t="s">
        <v>8303</v>
      </c>
      <c r="S2110" s="340">
        <v>2</v>
      </c>
    </row>
    <row r="2111" spans="1:19" ht="29.5" thickBot="1" x14ac:dyDescent="0.4">
      <c r="A2111" s="357">
        <v>2100</v>
      </c>
      <c r="B2111" s="387" t="s">
        <v>13477</v>
      </c>
      <c r="C2111" s="387" t="s">
        <v>13478</v>
      </c>
      <c r="D2111" s="388" t="s">
        <v>181</v>
      </c>
      <c r="E2111" s="388" t="s">
        <v>10082</v>
      </c>
      <c r="F2111" s="388" t="s">
        <v>10078</v>
      </c>
      <c r="G2111" s="388" t="s">
        <v>10078</v>
      </c>
      <c r="H2111" s="388" t="s">
        <v>11297</v>
      </c>
      <c r="I2111" s="387" t="s">
        <v>13703</v>
      </c>
      <c r="J2111" s="389">
        <v>39813</v>
      </c>
      <c r="K2111" s="387"/>
      <c r="L2111" s="387"/>
      <c r="M2111" s="387" t="s">
        <v>10084</v>
      </c>
      <c r="N2111" s="387"/>
      <c r="O2111" s="387" t="s">
        <v>57</v>
      </c>
      <c r="P2111" s="390">
        <v>99975000</v>
      </c>
      <c r="Q2111" s="387" t="s">
        <v>13704</v>
      </c>
      <c r="R2111" s="387" t="s">
        <v>8303</v>
      </c>
      <c r="S2111" s="340">
        <v>2</v>
      </c>
    </row>
    <row r="2112" spans="1:19" ht="29" x14ac:dyDescent="0.35">
      <c r="A2112" s="349">
        <v>2101</v>
      </c>
      <c r="B2112" s="387" t="s">
        <v>13477</v>
      </c>
      <c r="C2112" s="387" t="s">
        <v>13478</v>
      </c>
      <c r="D2112" s="388" t="s">
        <v>187</v>
      </c>
      <c r="E2112" s="388" t="s">
        <v>10082</v>
      </c>
      <c r="F2112" s="388" t="s">
        <v>10078</v>
      </c>
      <c r="G2112" s="388" t="s">
        <v>10088</v>
      </c>
      <c r="H2112" s="388" t="s">
        <v>11656</v>
      </c>
      <c r="I2112" s="387" t="s">
        <v>11473</v>
      </c>
      <c r="J2112" s="389">
        <v>39813</v>
      </c>
      <c r="K2112" s="387"/>
      <c r="L2112" s="387"/>
      <c r="M2112" s="387" t="s">
        <v>10084</v>
      </c>
      <c r="N2112" s="387"/>
      <c r="O2112" s="387" t="s">
        <v>57</v>
      </c>
      <c r="P2112" s="390">
        <v>1266331000</v>
      </c>
      <c r="Q2112" s="387" t="s">
        <v>13603</v>
      </c>
      <c r="R2112" s="387" t="s">
        <v>8303</v>
      </c>
      <c r="S2112" s="340">
        <v>2</v>
      </c>
    </row>
    <row r="2113" spans="1:19" ht="29.5" thickBot="1" x14ac:dyDescent="0.4">
      <c r="A2113" s="357">
        <v>2102</v>
      </c>
      <c r="B2113" s="387" t="s">
        <v>13477</v>
      </c>
      <c r="C2113" s="387" t="s">
        <v>13478</v>
      </c>
      <c r="D2113" s="388" t="s">
        <v>190</v>
      </c>
      <c r="E2113" s="388" t="s">
        <v>10082</v>
      </c>
      <c r="F2113" s="388" t="s">
        <v>10078</v>
      </c>
      <c r="G2113" s="388" t="s">
        <v>10078</v>
      </c>
      <c r="H2113" s="388" t="s">
        <v>11297</v>
      </c>
      <c r="I2113" s="387" t="s">
        <v>13705</v>
      </c>
      <c r="J2113" s="389">
        <v>39813</v>
      </c>
      <c r="K2113" s="387"/>
      <c r="L2113" s="387"/>
      <c r="M2113" s="387" t="s">
        <v>10084</v>
      </c>
      <c r="N2113" s="387"/>
      <c r="O2113" s="387" t="s">
        <v>57</v>
      </c>
      <c r="P2113" s="390">
        <v>143500000</v>
      </c>
      <c r="Q2113" s="387" t="s">
        <v>13706</v>
      </c>
      <c r="R2113" s="387" t="s">
        <v>8303</v>
      </c>
      <c r="S2113" s="340">
        <v>2</v>
      </c>
    </row>
    <row r="2114" spans="1:19" ht="14.5" x14ac:dyDescent="0.35">
      <c r="A2114" s="349">
        <v>2103</v>
      </c>
      <c r="B2114" s="387" t="s">
        <v>13477</v>
      </c>
      <c r="C2114" s="387" t="s">
        <v>13478</v>
      </c>
      <c r="D2114" s="388" t="s">
        <v>192</v>
      </c>
      <c r="E2114" s="388" t="s">
        <v>10082</v>
      </c>
      <c r="F2114" s="388" t="s">
        <v>10078</v>
      </c>
      <c r="G2114" s="388" t="s">
        <v>10088</v>
      </c>
      <c r="H2114" s="388" t="s">
        <v>13707</v>
      </c>
      <c r="I2114" s="387" t="s">
        <v>12236</v>
      </c>
      <c r="J2114" s="389">
        <v>40178</v>
      </c>
      <c r="K2114" s="387"/>
      <c r="L2114" s="387"/>
      <c r="M2114" s="387" t="s">
        <v>10084</v>
      </c>
      <c r="N2114" s="387"/>
      <c r="O2114" s="387" t="s">
        <v>57</v>
      </c>
      <c r="P2114" s="390">
        <v>328650000</v>
      </c>
      <c r="Q2114" s="387" t="s">
        <v>13708</v>
      </c>
      <c r="R2114" s="387" t="s">
        <v>8303</v>
      </c>
      <c r="S2114" s="340">
        <v>2</v>
      </c>
    </row>
    <row r="2115" spans="1:19" ht="73" thickBot="1" x14ac:dyDescent="0.4">
      <c r="A2115" s="357">
        <v>2104</v>
      </c>
      <c r="B2115" s="387" t="s">
        <v>13477</v>
      </c>
      <c r="C2115" s="387" t="s">
        <v>13478</v>
      </c>
      <c r="D2115" s="388" t="s">
        <v>194</v>
      </c>
      <c r="E2115" s="388" t="s">
        <v>10082</v>
      </c>
      <c r="F2115" s="388" t="s">
        <v>10078</v>
      </c>
      <c r="G2115" s="388" t="s">
        <v>10088</v>
      </c>
      <c r="H2115" s="388" t="s">
        <v>13709</v>
      </c>
      <c r="I2115" s="387" t="s">
        <v>13710</v>
      </c>
      <c r="J2115" s="389">
        <v>44749</v>
      </c>
      <c r="K2115" s="387" t="s">
        <v>13711</v>
      </c>
      <c r="L2115" s="387"/>
      <c r="M2115" s="387"/>
      <c r="N2115" s="387"/>
      <c r="O2115" s="387" t="s">
        <v>44</v>
      </c>
      <c r="P2115" s="390">
        <v>1697491400</v>
      </c>
      <c r="Q2115" s="387" t="s">
        <v>13712</v>
      </c>
      <c r="R2115" s="387" t="s">
        <v>8303</v>
      </c>
      <c r="S2115" s="340">
        <v>2</v>
      </c>
    </row>
    <row r="2116" spans="1:19" ht="29" x14ac:dyDescent="0.35">
      <c r="A2116" s="349">
        <v>2105</v>
      </c>
      <c r="B2116" s="387" t="s">
        <v>10486</v>
      </c>
      <c r="C2116" s="387" t="s">
        <v>10487</v>
      </c>
      <c r="D2116" s="388" t="s">
        <v>51</v>
      </c>
      <c r="E2116" s="388" t="s">
        <v>10082</v>
      </c>
      <c r="F2116" s="388" t="s">
        <v>10078</v>
      </c>
      <c r="G2116" s="388" t="s">
        <v>10078</v>
      </c>
      <c r="H2116" s="388" t="s">
        <v>11421</v>
      </c>
      <c r="I2116" s="387" t="s">
        <v>11473</v>
      </c>
      <c r="J2116" s="389">
        <v>39813</v>
      </c>
      <c r="K2116" s="387"/>
      <c r="L2116" s="387"/>
      <c r="M2116" s="387" t="s">
        <v>10084</v>
      </c>
      <c r="N2116" s="387"/>
      <c r="O2116" s="387" t="s">
        <v>57</v>
      </c>
      <c r="P2116" s="390">
        <v>97920000</v>
      </c>
      <c r="Q2116" s="387" t="s">
        <v>13713</v>
      </c>
      <c r="R2116" s="387" t="s">
        <v>8303</v>
      </c>
      <c r="S2116" s="340">
        <v>2</v>
      </c>
    </row>
    <row r="2117" spans="1:19" ht="44" thickBot="1" x14ac:dyDescent="0.4">
      <c r="A2117" s="357">
        <v>2106</v>
      </c>
      <c r="B2117" s="387" t="s">
        <v>12958</v>
      </c>
      <c r="C2117" s="387" t="s">
        <v>12959</v>
      </c>
      <c r="D2117" s="388" t="s">
        <v>51</v>
      </c>
      <c r="E2117" s="388" t="s">
        <v>10082</v>
      </c>
      <c r="F2117" s="388" t="s">
        <v>10078</v>
      </c>
      <c r="G2117" s="388" t="s">
        <v>10078</v>
      </c>
      <c r="H2117" s="388" t="s">
        <v>11297</v>
      </c>
      <c r="I2117" s="387" t="s">
        <v>13714</v>
      </c>
      <c r="J2117" s="389">
        <v>42186</v>
      </c>
      <c r="K2117" s="387" t="s">
        <v>13715</v>
      </c>
      <c r="L2117" s="387"/>
      <c r="M2117" s="387" t="s">
        <v>10084</v>
      </c>
      <c r="N2117" s="387"/>
      <c r="O2117" s="387" t="s">
        <v>57</v>
      </c>
      <c r="P2117" s="390">
        <v>219740000</v>
      </c>
      <c r="Q2117" s="387" t="s">
        <v>13716</v>
      </c>
      <c r="R2117" s="387" t="s">
        <v>8303</v>
      </c>
      <c r="S2117" s="340">
        <v>2</v>
      </c>
    </row>
    <row r="2118" spans="1:19" ht="29" x14ac:dyDescent="0.35">
      <c r="A2118" s="349">
        <v>2107</v>
      </c>
      <c r="B2118" s="387" t="s">
        <v>12958</v>
      </c>
      <c r="C2118" s="387" t="s">
        <v>12959</v>
      </c>
      <c r="D2118" s="388" t="s">
        <v>59</v>
      </c>
      <c r="E2118" s="388" t="s">
        <v>10082</v>
      </c>
      <c r="F2118" s="388" t="s">
        <v>10078</v>
      </c>
      <c r="G2118" s="388" t="s">
        <v>10078</v>
      </c>
      <c r="H2118" s="388" t="s">
        <v>11308</v>
      </c>
      <c r="I2118" s="387" t="s">
        <v>11473</v>
      </c>
      <c r="J2118" s="389">
        <v>39813</v>
      </c>
      <c r="K2118" s="387"/>
      <c r="L2118" s="387"/>
      <c r="M2118" s="387" t="s">
        <v>10084</v>
      </c>
      <c r="N2118" s="387"/>
      <c r="O2118" s="387" t="s">
        <v>57</v>
      </c>
      <c r="P2118" s="390">
        <v>110670000</v>
      </c>
      <c r="Q2118" s="387" t="s">
        <v>13717</v>
      </c>
      <c r="R2118" s="387" t="s">
        <v>8303</v>
      </c>
      <c r="S2118" s="340">
        <v>2</v>
      </c>
    </row>
    <row r="2119" spans="1:19" ht="29.5" thickBot="1" x14ac:dyDescent="0.4">
      <c r="A2119" s="357">
        <v>2108</v>
      </c>
      <c r="B2119" s="387" t="s">
        <v>12958</v>
      </c>
      <c r="C2119" s="387" t="s">
        <v>12959</v>
      </c>
      <c r="D2119" s="388" t="s">
        <v>97</v>
      </c>
      <c r="E2119" s="388" t="s">
        <v>10082</v>
      </c>
      <c r="F2119" s="388" t="s">
        <v>10078</v>
      </c>
      <c r="G2119" s="388" t="s">
        <v>10078</v>
      </c>
      <c r="H2119" s="388" t="s">
        <v>11421</v>
      </c>
      <c r="I2119" s="387" t="s">
        <v>11473</v>
      </c>
      <c r="J2119" s="389">
        <v>39813</v>
      </c>
      <c r="K2119" s="387"/>
      <c r="L2119" s="387"/>
      <c r="M2119" s="387" t="s">
        <v>10084</v>
      </c>
      <c r="N2119" s="387"/>
      <c r="O2119" s="387" t="s">
        <v>57</v>
      </c>
      <c r="P2119" s="390">
        <v>504976500</v>
      </c>
      <c r="Q2119" s="387" t="s">
        <v>13718</v>
      </c>
      <c r="R2119" s="387" t="s">
        <v>8303</v>
      </c>
      <c r="S2119" s="340">
        <v>2</v>
      </c>
    </row>
    <row r="2120" spans="1:19" ht="29" x14ac:dyDescent="0.35">
      <c r="A2120" s="349">
        <v>2109</v>
      </c>
      <c r="B2120" s="387" t="s">
        <v>12958</v>
      </c>
      <c r="C2120" s="387" t="s">
        <v>12959</v>
      </c>
      <c r="D2120" s="388" t="s">
        <v>101</v>
      </c>
      <c r="E2120" s="388" t="s">
        <v>10082</v>
      </c>
      <c r="F2120" s="388" t="s">
        <v>10078</v>
      </c>
      <c r="G2120" s="388" t="s">
        <v>10078</v>
      </c>
      <c r="H2120" s="388" t="s">
        <v>12157</v>
      </c>
      <c r="I2120" s="387" t="s">
        <v>13088</v>
      </c>
      <c r="J2120" s="389">
        <v>40178</v>
      </c>
      <c r="K2120" s="387"/>
      <c r="L2120" s="387"/>
      <c r="M2120" s="387" t="s">
        <v>10084</v>
      </c>
      <c r="N2120" s="387"/>
      <c r="O2120" s="387" t="s">
        <v>57</v>
      </c>
      <c r="P2120" s="390">
        <v>98750000</v>
      </c>
      <c r="Q2120" s="387" t="s">
        <v>13719</v>
      </c>
      <c r="R2120" s="387" t="s">
        <v>8303</v>
      </c>
      <c r="S2120" s="340">
        <v>2</v>
      </c>
    </row>
    <row r="2121" spans="1:19" ht="29.5" thickBot="1" x14ac:dyDescent="0.4">
      <c r="A2121" s="357">
        <v>2110</v>
      </c>
      <c r="B2121" s="387" t="s">
        <v>12958</v>
      </c>
      <c r="C2121" s="387" t="s">
        <v>12959</v>
      </c>
      <c r="D2121" s="388" t="s">
        <v>107</v>
      </c>
      <c r="E2121" s="388" t="s">
        <v>10082</v>
      </c>
      <c r="F2121" s="388" t="s">
        <v>10078</v>
      </c>
      <c r="G2121" s="388" t="s">
        <v>10078</v>
      </c>
      <c r="H2121" s="388" t="s">
        <v>11421</v>
      </c>
      <c r="I2121" s="387" t="s">
        <v>11473</v>
      </c>
      <c r="J2121" s="389">
        <v>39813</v>
      </c>
      <c r="K2121" s="387"/>
      <c r="L2121" s="387"/>
      <c r="M2121" s="387" t="s">
        <v>10084</v>
      </c>
      <c r="N2121" s="387"/>
      <c r="O2121" s="387" t="s">
        <v>57</v>
      </c>
      <c r="P2121" s="390">
        <v>88931000</v>
      </c>
      <c r="Q2121" s="387" t="s">
        <v>13718</v>
      </c>
      <c r="R2121" s="387" t="s">
        <v>8303</v>
      </c>
      <c r="S2121" s="340">
        <v>2</v>
      </c>
    </row>
    <row r="2122" spans="1:19" ht="29" x14ac:dyDescent="0.35">
      <c r="A2122" s="349">
        <v>2111</v>
      </c>
      <c r="B2122" s="387" t="s">
        <v>12958</v>
      </c>
      <c r="C2122" s="387" t="s">
        <v>12959</v>
      </c>
      <c r="D2122" s="388" t="s">
        <v>112</v>
      </c>
      <c r="E2122" s="388" t="s">
        <v>10082</v>
      </c>
      <c r="F2122" s="388" t="s">
        <v>10078</v>
      </c>
      <c r="G2122" s="388" t="s">
        <v>10078</v>
      </c>
      <c r="H2122" s="388" t="s">
        <v>11308</v>
      </c>
      <c r="I2122" s="387" t="s">
        <v>11473</v>
      </c>
      <c r="J2122" s="389">
        <v>39813</v>
      </c>
      <c r="K2122" s="387"/>
      <c r="L2122" s="387"/>
      <c r="M2122" s="387" t="s">
        <v>10084</v>
      </c>
      <c r="N2122" s="387"/>
      <c r="O2122" s="387" t="s">
        <v>57</v>
      </c>
      <c r="P2122" s="390">
        <v>110670000</v>
      </c>
      <c r="Q2122" s="387" t="s">
        <v>13720</v>
      </c>
      <c r="R2122" s="387" t="s">
        <v>8303</v>
      </c>
      <c r="S2122" s="340">
        <v>2</v>
      </c>
    </row>
    <row r="2123" spans="1:19" ht="29.5" thickBot="1" x14ac:dyDescent="0.4">
      <c r="A2123" s="357">
        <v>2112</v>
      </c>
      <c r="B2123" s="387" t="s">
        <v>12958</v>
      </c>
      <c r="C2123" s="387" t="s">
        <v>12959</v>
      </c>
      <c r="D2123" s="388" t="s">
        <v>116</v>
      </c>
      <c r="E2123" s="388" t="s">
        <v>10082</v>
      </c>
      <c r="F2123" s="388" t="s">
        <v>10078</v>
      </c>
      <c r="G2123" s="388" t="s">
        <v>10078</v>
      </c>
      <c r="H2123" s="388" t="s">
        <v>11308</v>
      </c>
      <c r="I2123" s="387" t="s">
        <v>11473</v>
      </c>
      <c r="J2123" s="389">
        <v>39813</v>
      </c>
      <c r="K2123" s="387"/>
      <c r="L2123" s="387"/>
      <c r="M2123" s="387" t="s">
        <v>10084</v>
      </c>
      <c r="N2123" s="387"/>
      <c r="O2123" s="387" t="s">
        <v>57</v>
      </c>
      <c r="P2123" s="390">
        <v>110670000</v>
      </c>
      <c r="Q2123" s="387" t="s">
        <v>13717</v>
      </c>
      <c r="R2123" s="387" t="s">
        <v>8303</v>
      </c>
      <c r="S2123" s="340">
        <v>2</v>
      </c>
    </row>
    <row r="2124" spans="1:19" ht="29" x14ac:dyDescent="0.35">
      <c r="A2124" s="349">
        <v>2113</v>
      </c>
      <c r="B2124" s="387" t="s">
        <v>10511</v>
      </c>
      <c r="C2124" s="387" t="s">
        <v>10512</v>
      </c>
      <c r="D2124" s="388" t="s">
        <v>51</v>
      </c>
      <c r="E2124" s="388" t="s">
        <v>10082</v>
      </c>
      <c r="F2124" s="388" t="s">
        <v>10078</v>
      </c>
      <c r="G2124" s="388" t="s">
        <v>10078</v>
      </c>
      <c r="H2124" s="388" t="s">
        <v>11451</v>
      </c>
      <c r="I2124" s="387" t="s">
        <v>13721</v>
      </c>
      <c r="J2124" s="389">
        <v>42307</v>
      </c>
      <c r="K2124" s="387" t="s">
        <v>13722</v>
      </c>
      <c r="L2124" s="387"/>
      <c r="M2124" s="387" t="s">
        <v>10084</v>
      </c>
      <c r="N2124" s="387"/>
      <c r="O2124" s="387" t="s">
        <v>57</v>
      </c>
      <c r="P2124" s="390">
        <v>35150000</v>
      </c>
      <c r="Q2124" s="387" t="s">
        <v>13723</v>
      </c>
      <c r="R2124" s="387" t="s">
        <v>8303</v>
      </c>
      <c r="S2124" s="340">
        <v>2</v>
      </c>
    </row>
    <row r="2125" spans="1:19" thickBot="1" x14ac:dyDescent="0.4">
      <c r="A2125" s="357">
        <v>2114</v>
      </c>
      <c r="B2125" s="387" t="s">
        <v>10096</v>
      </c>
      <c r="C2125" s="387" t="s">
        <v>10097</v>
      </c>
      <c r="D2125" s="388" t="s">
        <v>51</v>
      </c>
      <c r="E2125" s="388" t="s">
        <v>10082</v>
      </c>
      <c r="F2125" s="388" t="s">
        <v>10078</v>
      </c>
      <c r="G2125" s="388" t="s">
        <v>10088</v>
      </c>
      <c r="H2125" s="388" t="s">
        <v>13724</v>
      </c>
      <c r="I2125" s="387" t="s">
        <v>13088</v>
      </c>
      <c r="J2125" s="389">
        <v>40178</v>
      </c>
      <c r="K2125" s="387"/>
      <c r="L2125" s="387"/>
      <c r="M2125" s="387" t="s">
        <v>10084</v>
      </c>
      <c r="N2125" s="387"/>
      <c r="O2125" s="387" t="s">
        <v>57</v>
      </c>
      <c r="P2125" s="390">
        <v>98800000</v>
      </c>
      <c r="Q2125" s="387" t="s">
        <v>13725</v>
      </c>
      <c r="R2125" s="387" t="s">
        <v>8303</v>
      </c>
      <c r="S2125" s="340">
        <v>2</v>
      </c>
    </row>
    <row r="2126" spans="1:19" ht="29" x14ac:dyDescent="0.35">
      <c r="A2126" s="349">
        <v>2115</v>
      </c>
      <c r="B2126" s="387" t="s">
        <v>10541</v>
      </c>
      <c r="C2126" s="387" t="s">
        <v>10542</v>
      </c>
      <c r="D2126" s="388" t="s">
        <v>51</v>
      </c>
      <c r="E2126" s="388" t="s">
        <v>10082</v>
      </c>
      <c r="F2126" s="388" t="s">
        <v>10078</v>
      </c>
      <c r="G2126" s="388" t="s">
        <v>10078</v>
      </c>
      <c r="H2126" s="388" t="s">
        <v>11364</v>
      </c>
      <c r="I2126" s="387" t="s">
        <v>8422</v>
      </c>
      <c r="J2126" s="389"/>
      <c r="K2126" s="387" t="s">
        <v>13726</v>
      </c>
      <c r="L2126" s="387"/>
      <c r="M2126" s="387" t="s">
        <v>10084</v>
      </c>
      <c r="N2126" s="387"/>
      <c r="O2126" s="387" t="s">
        <v>57</v>
      </c>
      <c r="P2126" s="390">
        <v>193480000</v>
      </c>
      <c r="Q2126" s="387" t="s">
        <v>13727</v>
      </c>
      <c r="R2126" s="387" t="s">
        <v>8333</v>
      </c>
      <c r="S2126" s="340">
        <v>2</v>
      </c>
    </row>
    <row r="2127" spans="1:19" ht="29.5" thickBot="1" x14ac:dyDescent="0.4">
      <c r="A2127" s="357">
        <v>2116</v>
      </c>
      <c r="B2127" s="387" t="s">
        <v>13477</v>
      </c>
      <c r="C2127" s="387" t="s">
        <v>13478</v>
      </c>
      <c r="D2127" s="388" t="s">
        <v>51</v>
      </c>
      <c r="E2127" s="388" t="s">
        <v>10082</v>
      </c>
      <c r="F2127" s="388" t="s">
        <v>10078</v>
      </c>
      <c r="G2127" s="388" t="s">
        <v>10078</v>
      </c>
      <c r="H2127" s="388" t="s">
        <v>11297</v>
      </c>
      <c r="I2127" s="387" t="s">
        <v>13728</v>
      </c>
      <c r="J2127" s="389">
        <v>42214</v>
      </c>
      <c r="K2127" s="387" t="s">
        <v>13729</v>
      </c>
      <c r="L2127" s="387"/>
      <c r="M2127" s="387" t="s">
        <v>10084</v>
      </c>
      <c r="N2127" s="387"/>
      <c r="O2127" s="387" t="s">
        <v>57</v>
      </c>
      <c r="P2127" s="390">
        <v>245778000</v>
      </c>
      <c r="Q2127" s="387" t="s">
        <v>13730</v>
      </c>
      <c r="R2127" s="387" t="s">
        <v>8333</v>
      </c>
      <c r="S2127" s="340">
        <v>2</v>
      </c>
    </row>
    <row r="2128" spans="1:19" ht="29" x14ac:dyDescent="0.35">
      <c r="A2128" s="349">
        <v>2117</v>
      </c>
      <c r="B2128" s="387" t="s">
        <v>13477</v>
      </c>
      <c r="C2128" s="387" t="s">
        <v>13478</v>
      </c>
      <c r="D2128" s="388" t="s">
        <v>59</v>
      </c>
      <c r="E2128" s="388" t="s">
        <v>10082</v>
      </c>
      <c r="F2128" s="388" t="s">
        <v>10078</v>
      </c>
      <c r="G2128" s="388" t="s">
        <v>10078</v>
      </c>
      <c r="H2128" s="388" t="s">
        <v>11297</v>
      </c>
      <c r="I2128" s="387" t="s">
        <v>13731</v>
      </c>
      <c r="J2128" s="389">
        <v>42648</v>
      </c>
      <c r="K2128" s="387" t="s">
        <v>13732</v>
      </c>
      <c r="L2128" s="387"/>
      <c r="M2128" s="387" t="s">
        <v>10084</v>
      </c>
      <c r="N2128" s="387"/>
      <c r="O2128" s="387" t="s">
        <v>57</v>
      </c>
      <c r="P2128" s="390">
        <v>217800000</v>
      </c>
      <c r="Q2128" s="387" t="s">
        <v>13733</v>
      </c>
      <c r="R2128" s="387" t="s">
        <v>8333</v>
      </c>
      <c r="S2128" s="340">
        <v>2</v>
      </c>
    </row>
    <row r="2129" spans="1:19" ht="29.5" thickBot="1" x14ac:dyDescent="0.4">
      <c r="A2129" s="357">
        <v>2118</v>
      </c>
      <c r="B2129" s="387" t="s">
        <v>13477</v>
      </c>
      <c r="C2129" s="387" t="s">
        <v>13478</v>
      </c>
      <c r="D2129" s="388" t="s">
        <v>97</v>
      </c>
      <c r="E2129" s="388" t="s">
        <v>10082</v>
      </c>
      <c r="F2129" s="388" t="s">
        <v>10078</v>
      </c>
      <c r="G2129" s="388" t="s">
        <v>10078</v>
      </c>
      <c r="H2129" s="388" t="s">
        <v>11400</v>
      </c>
      <c r="I2129" s="387" t="s">
        <v>13734</v>
      </c>
      <c r="J2129" s="389">
        <v>41904</v>
      </c>
      <c r="K2129" s="387" t="s">
        <v>13735</v>
      </c>
      <c r="L2129" s="387"/>
      <c r="M2129" s="387" t="s">
        <v>10084</v>
      </c>
      <c r="N2129" s="387"/>
      <c r="O2129" s="387" t="s">
        <v>57</v>
      </c>
      <c r="P2129" s="390">
        <v>270141000</v>
      </c>
      <c r="Q2129" s="387" t="s">
        <v>13736</v>
      </c>
      <c r="R2129" s="387" t="s">
        <v>8333</v>
      </c>
      <c r="S2129" s="340">
        <v>2</v>
      </c>
    </row>
    <row r="2130" spans="1:19" ht="29" x14ac:dyDescent="0.35">
      <c r="A2130" s="349">
        <v>2119</v>
      </c>
      <c r="B2130" s="387" t="s">
        <v>13477</v>
      </c>
      <c r="C2130" s="387" t="s">
        <v>13478</v>
      </c>
      <c r="D2130" s="388" t="s">
        <v>101</v>
      </c>
      <c r="E2130" s="388" t="s">
        <v>10082</v>
      </c>
      <c r="F2130" s="388" t="s">
        <v>10078</v>
      </c>
      <c r="G2130" s="388" t="s">
        <v>10078</v>
      </c>
      <c r="H2130" s="388" t="s">
        <v>11297</v>
      </c>
      <c r="I2130" s="387" t="s">
        <v>13737</v>
      </c>
      <c r="J2130" s="389">
        <v>42214</v>
      </c>
      <c r="K2130" s="387" t="s">
        <v>13738</v>
      </c>
      <c r="L2130" s="387"/>
      <c r="M2130" s="387" t="s">
        <v>10084</v>
      </c>
      <c r="N2130" s="387"/>
      <c r="O2130" s="387" t="s">
        <v>57</v>
      </c>
      <c r="P2130" s="390">
        <v>244600000</v>
      </c>
      <c r="Q2130" s="387" t="s">
        <v>13739</v>
      </c>
      <c r="R2130" s="387" t="s">
        <v>8333</v>
      </c>
      <c r="S2130" s="340">
        <v>2</v>
      </c>
    </row>
    <row r="2131" spans="1:19" ht="29.5" thickBot="1" x14ac:dyDescent="0.4">
      <c r="A2131" s="357">
        <v>2120</v>
      </c>
      <c r="B2131" s="387" t="s">
        <v>13477</v>
      </c>
      <c r="C2131" s="387" t="s">
        <v>13478</v>
      </c>
      <c r="D2131" s="388" t="s">
        <v>107</v>
      </c>
      <c r="E2131" s="388" t="s">
        <v>10082</v>
      </c>
      <c r="F2131" s="388" t="s">
        <v>10078</v>
      </c>
      <c r="G2131" s="388" t="s">
        <v>10078</v>
      </c>
      <c r="H2131" s="388" t="s">
        <v>11297</v>
      </c>
      <c r="I2131" s="387" t="s">
        <v>13740</v>
      </c>
      <c r="J2131" s="389">
        <v>41429</v>
      </c>
      <c r="K2131" s="387" t="s">
        <v>13741</v>
      </c>
      <c r="L2131" s="387"/>
      <c r="M2131" s="387" t="s">
        <v>10084</v>
      </c>
      <c r="N2131" s="387"/>
      <c r="O2131" s="387" t="s">
        <v>57</v>
      </c>
      <c r="P2131" s="390">
        <v>218600000</v>
      </c>
      <c r="Q2131" s="387" t="s">
        <v>13742</v>
      </c>
      <c r="R2131" s="387" t="s">
        <v>8333</v>
      </c>
      <c r="S2131" s="340">
        <v>2</v>
      </c>
    </row>
    <row r="2132" spans="1:19" ht="29" x14ac:dyDescent="0.35">
      <c r="A2132" s="349">
        <v>2121</v>
      </c>
      <c r="B2132" s="387" t="s">
        <v>13477</v>
      </c>
      <c r="C2132" s="387" t="s">
        <v>13478</v>
      </c>
      <c r="D2132" s="388" t="s">
        <v>112</v>
      </c>
      <c r="E2132" s="388" t="s">
        <v>10082</v>
      </c>
      <c r="F2132" s="388" t="s">
        <v>10078</v>
      </c>
      <c r="G2132" s="388" t="s">
        <v>10078</v>
      </c>
      <c r="H2132" s="388" t="s">
        <v>11297</v>
      </c>
      <c r="I2132" s="387" t="s">
        <v>13743</v>
      </c>
      <c r="J2132" s="389">
        <v>41429</v>
      </c>
      <c r="K2132" s="387" t="s">
        <v>13744</v>
      </c>
      <c r="L2132" s="387"/>
      <c r="M2132" s="387" t="s">
        <v>10084</v>
      </c>
      <c r="N2132" s="387"/>
      <c r="O2132" s="387" t="s">
        <v>57</v>
      </c>
      <c r="P2132" s="390">
        <v>218625000</v>
      </c>
      <c r="Q2132" s="387" t="s">
        <v>13745</v>
      </c>
      <c r="R2132" s="387" t="s">
        <v>8333</v>
      </c>
      <c r="S2132" s="340">
        <v>2</v>
      </c>
    </row>
    <row r="2133" spans="1:19" ht="29.5" thickBot="1" x14ac:dyDescent="0.4">
      <c r="A2133" s="357">
        <v>2122</v>
      </c>
      <c r="B2133" s="387" t="s">
        <v>13477</v>
      </c>
      <c r="C2133" s="387" t="s">
        <v>13478</v>
      </c>
      <c r="D2133" s="388" t="s">
        <v>116</v>
      </c>
      <c r="E2133" s="388" t="s">
        <v>10082</v>
      </c>
      <c r="F2133" s="388" t="s">
        <v>10078</v>
      </c>
      <c r="G2133" s="388" t="s">
        <v>10078</v>
      </c>
      <c r="H2133" s="388" t="s">
        <v>11297</v>
      </c>
      <c r="I2133" s="387" t="s">
        <v>13746</v>
      </c>
      <c r="J2133" s="389">
        <v>41429</v>
      </c>
      <c r="K2133" s="387" t="s">
        <v>13747</v>
      </c>
      <c r="L2133" s="387"/>
      <c r="M2133" s="387" t="s">
        <v>10084</v>
      </c>
      <c r="N2133" s="387"/>
      <c r="O2133" s="387" t="s">
        <v>57</v>
      </c>
      <c r="P2133" s="390">
        <v>218696000</v>
      </c>
      <c r="Q2133" s="387" t="s">
        <v>13748</v>
      </c>
      <c r="R2133" s="387" t="s">
        <v>8333</v>
      </c>
      <c r="S2133" s="340">
        <v>2</v>
      </c>
    </row>
    <row r="2134" spans="1:19" ht="29" x14ac:dyDescent="0.35">
      <c r="A2134" s="349">
        <v>2123</v>
      </c>
      <c r="B2134" s="387" t="s">
        <v>13477</v>
      </c>
      <c r="C2134" s="387" t="s">
        <v>13478</v>
      </c>
      <c r="D2134" s="388" t="s">
        <v>841</v>
      </c>
      <c r="E2134" s="388" t="s">
        <v>10082</v>
      </c>
      <c r="F2134" s="388" t="s">
        <v>10078</v>
      </c>
      <c r="G2134" s="388" t="s">
        <v>10078</v>
      </c>
      <c r="H2134" s="388" t="s">
        <v>11656</v>
      </c>
      <c r="I2134" s="387" t="s">
        <v>8422</v>
      </c>
      <c r="J2134" s="389">
        <v>41870</v>
      </c>
      <c r="K2134" s="387" t="s">
        <v>13749</v>
      </c>
      <c r="L2134" s="387"/>
      <c r="M2134" s="387" t="s">
        <v>10084</v>
      </c>
      <c r="N2134" s="387"/>
      <c r="O2134" s="387" t="s">
        <v>57</v>
      </c>
      <c r="P2134" s="390">
        <v>165700000</v>
      </c>
      <c r="Q2134" s="387" t="s">
        <v>13750</v>
      </c>
      <c r="R2134" s="387" t="s">
        <v>8333</v>
      </c>
      <c r="S2134" s="340">
        <v>2</v>
      </c>
    </row>
    <row r="2135" spans="1:19" ht="29.5" thickBot="1" x14ac:dyDescent="0.4">
      <c r="A2135" s="357">
        <v>2124</v>
      </c>
      <c r="B2135" s="387" t="s">
        <v>13477</v>
      </c>
      <c r="C2135" s="387" t="s">
        <v>13478</v>
      </c>
      <c r="D2135" s="388" t="s">
        <v>904</v>
      </c>
      <c r="E2135" s="388" t="s">
        <v>10082</v>
      </c>
      <c r="F2135" s="388" t="s">
        <v>10078</v>
      </c>
      <c r="G2135" s="388" t="s">
        <v>10078</v>
      </c>
      <c r="H2135" s="388" t="s">
        <v>12584</v>
      </c>
      <c r="I2135" s="387" t="s">
        <v>8422</v>
      </c>
      <c r="J2135" s="389"/>
      <c r="K2135" s="387" t="s">
        <v>13751</v>
      </c>
      <c r="L2135" s="387"/>
      <c r="M2135" s="387" t="s">
        <v>10084</v>
      </c>
      <c r="N2135" s="387"/>
      <c r="O2135" s="387" t="s">
        <v>57</v>
      </c>
      <c r="P2135" s="390">
        <v>221675000</v>
      </c>
      <c r="Q2135" s="387" t="s">
        <v>13752</v>
      </c>
      <c r="R2135" s="387" t="s">
        <v>8333</v>
      </c>
      <c r="S2135" s="340">
        <v>2</v>
      </c>
    </row>
    <row r="2136" spans="1:19" ht="14.5" x14ac:dyDescent="0.35">
      <c r="A2136" s="349">
        <v>2125</v>
      </c>
      <c r="B2136" s="387" t="s">
        <v>13477</v>
      </c>
      <c r="C2136" s="387" t="s">
        <v>13478</v>
      </c>
      <c r="D2136" s="388" t="s">
        <v>122</v>
      </c>
      <c r="E2136" s="388" t="s">
        <v>10082</v>
      </c>
      <c r="F2136" s="388" t="s">
        <v>10078</v>
      </c>
      <c r="G2136" s="388" t="s">
        <v>10088</v>
      </c>
      <c r="H2136" s="388" t="s">
        <v>11297</v>
      </c>
      <c r="I2136" s="387" t="s">
        <v>13753</v>
      </c>
      <c r="J2136" s="389">
        <v>41145</v>
      </c>
      <c r="K2136" s="387" t="s">
        <v>13754</v>
      </c>
      <c r="L2136" s="387"/>
      <c r="M2136" s="387" t="s">
        <v>10084</v>
      </c>
      <c r="N2136" s="387"/>
      <c r="O2136" s="387" t="s">
        <v>57</v>
      </c>
      <c r="P2136" s="390">
        <v>288898000</v>
      </c>
      <c r="Q2136" s="387" t="s">
        <v>13755</v>
      </c>
      <c r="R2136" s="387" t="s">
        <v>8333</v>
      </c>
      <c r="S2136" s="340">
        <v>2</v>
      </c>
    </row>
    <row r="2137" spans="1:19" ht="29.5" thickBot="1" x14ac:dyDescent="0.4">
      <c r="A2137" s="357">
        <v>2126</v>
      </c>
      <c r="B2137" s="387" t="s">
        <v>13477</v>
      </c>
      <c r="C2137" s="387" t="s">
        <v>13478</v>
      </c>
      <c r="D2137" s="388" t="s">
        <v>126</v>
      </c>
      <c r="E2137" s="388" t="s">
        <v>10082</v>
      </c>
      <c r="F2137" s="388" t="s">
        <v>10078</v>
      </c>
      <c r="G2137" s="388" t="s">
        <v>10078</v>
      </c>
      <c r="H2137" s="388" t="s">
        <v>11297</v>
      </c>
      <c r="I2137" s="387" t="s">
        <v>13126</v>
      </c>
      <c r="J2137" s="389">
        <v>41429</v>
      </c>
      <c r="K2137" s="387" t="s">
        <v>13756</v>
      </c>
      <c r="L2137" s="387"/>
      <c r="M2137" s="387" t="s">
        <v>10084</v>
      </c>
      <c r="N2137" s="387"/>
      <c r="O2137" s="387" t="s">
        <v>57</v>
      </c>
      <c r="P2137" s="390">
        <v>218450000</v>
      </c>
      <c r="Q2137" s="387" t="s">
        <v>13757</v>
      </c>
      <c r="R2137" s="387" t="s">
        <v>8333</v>
      </c>
      <c r="S2137" s="340">
        <v>2</v>
      </c>
    </row>
    <row r="2138" spans="1:19" ht="29" x14ac:dyDescent="0.35">
      <c r="A2138" s="349">
        <v>2127</v>
      </c>
      <c r="B2138" s="387" t="s">
        <v>13477</v>
      </c>
      <c r="C2138" s="387" t="s">
        <v>13478</v>
      </c>
      <c r="D2138" s="388" t="s">
        <v>132</v>
      </c>
      <c r="E2138" s="388" t="s">
        <v>10082</v>
      </c>
      <c r="F2138" s="388" t="s">
        <v>10078</v>
      </c>
      <c r="G2138" s="388" t="s">
        <v>10078</v>
      </c>
      <c r="H2138" s="388" t="s">
        <v>12157</v>
      </c>
      <c r="I2138" s="387" t="s">
        <v>13758</v>
      </c>
      <c r="J2138" s="389">
        <v>43700</v>
      </c>
      <c r="K2138" s="387" t="s">
        <v>13759</v>
      </c>
      <c r="L2138" s="387"/>
      <c r="M2138" s="387" t="s">
        <v>10084</v>
      </c>
      <c r="N2138" s="387"/>
      <c r="O2138" s="387" t="s">
        <v>57</v>
      </c>
      <c r="P2138" s="390">
        <v>226798000</v>
      </c>
      <c r="Q2138" s="387" t="s">
        <v>13760</v>
      </c>
      <c r="R2138" s="387" t="s">
        <v>8333</v>
      </c>
      <c r="S2138" s="340">
        <v>2</v>
      </c>
    </row>
    <row r="2139" spans="1:19" ht="29.5" thickBot="1" x14ac:dyDescent="0.4">
      <c r="A2139" s="357">
        <v>2128</v>
      </c>
      <c r="B2139" s="387" t="s">
        <v>13477</v>
      </c>
      <c r="C2139" s="387" t="s">
        <v>13478</v>
      </c>
      <c r="D2139" s="388" t="s">
        <v>137</v>
      </c>
      <c r="E2139" s="388" t="s">
        <v>10082</v>
      </c>
      <c r="F2139" s="388" t="s">
        <v>10078</v>
      </c>
      <c r="G2139" s="388" t="s">
        <v>10078</v>
      </c>
      <c r="H2139" s="388" t="s">
        <v>12584</v>
      </c>
      <c r="I2139" s="387" t="s">
        <v>12209</v>
      </c>
      <c r="J2139" s="389"/>
      <c r="K2139" s="387" t="s">
        <v>13761</v>
      </c>
      <c r="L2139" s="387"/>
      <c r="M2139" s="387" t="s">
        <v>10084</v>
      </c>
      <c r="N2139" s="387"/>
      <c r="O2139" s="387" t="s">
        <v>57</v>
      </c>
      <c r="P2139" s="390">
        <v>512305000</v>
      </c>
      <c r="Q2139" s="387" t="s">
        <v>13762</v>
      </c>
      <c r="R2139" s="387" t="s">
        <v>8333</v>
      </c>
      <c r="S2139" s="340">
        <v>2</v>
      </c>
    </row>
    <row r="2140" spans="1:19" ht="29" x14ac:dyDescent="0.35">
      <c r="A2140" s="349">
        <v>2129</v>
      </c>
      <c r="B2140" s="387" t="s">
        <v>13477</v>
      </c>
      <c r="C2140" s="387" t="s">
        <v>13478</v>
      </c>
      <c r="D2140" s="388" t="s">
        <v>146</v>
      </c>
      <c r="E2140" s="388" t="s">
        <v>10082</v>
      </c>
      <c r="F2140" s="388" t="s">
        <v>10078</v>
      </c>
      <c r="G2140" s="388" t="s">
        <v>10078</v>
      </c>
      <c r="H2140" s="388" t="s">
        <v>13763</v>
      </c>
      <c r="I2140" s="387" t="s">
        <v>13764</v>
      </c>
      <c r="J2140" s="389"/>
      <c r="K2140" s="387" t="s">
        <v>13765</v>
      </c>
      <c r="L2140" s="387"/>
      <c r="M2140" s="387" t="s">
        <v>10084</v>
      </c>
      <c r="N2140" s="387"/>
      <c r="O2140" s="387" t="s">
        <v>57</v>
      </c>
      <c r="P2140" s="390">
        <v>611646500</v>
      </c>
      <c r="Q2140" s="387" t="s">
        <v>13766</v>
      </c>
      <c r="R2140" s="387" t="s">
        <v>8333</v>
      </c>
      <c r="S2140" s="340">
        <v>2</v>
      </c>
    </row>
    <row r="2141" spans="1:19" ht="29.5" thickBot="1" x14ac:dyDescent="0.4">
      <c r="A2141" s="357">
        <v>2130</v>
      </c>
      <c r="B2141" s="387" t="s">
        <v>13477</v>
      </c>
      <c r="C2141" s="387" t="s">
        <v>13478</v>
      </c>
      <c r="D2141" s="388" t="s">
        <v>154</v>
      </c>
      <c r="E2141" s="388" t="s">
        <v>10082</v>
      </c>
      <c r="F2141" s="388" t="s">
        <v>10078</v>
      </c>
      <c r="G2141" s="388" t="s">
        <v>10078</v>
      </c>
      <c r="H2141" s="388" t="s">
        <v>11297</v>
      </c>
      <c r="I2141" s="387" t="s">
        <v>13767</v>
      </c>
      <c r="J2141" s="389">
        <v>39813</v>
      </c>
      <c r="K2141" s="387"/>
      <c r="L2141" s="387"/>
      <c r="M2141" s="387" t="s">
        <v>10084</v>
      </c>
      <c r="N2141" s="387"/>
      <c r="O2141" s="387" t="s">
        <v>57</v>
      </c>
      <c r="P2141" s="390">
        <v>365262500</v>
      </c>
      <c r="Q2141" s="387" t="s">
        <v>13768</v>
      </c>
      <c r="R2141" s="387" t="s">
        <v>8333</v>
      </c>
      <c r="S2141" s="340">
        <v>2</v>
      </c>
    </row>
    <row r="2142" spans="1:19" ht="29" x14ac:dyDescent="0.35">
      <c r="A2142" s="349">
        <v>2131</v>
      </c>
      <c r="B2142" s="387" t="s">
        <v>13477</v>
      </c>
      <c r="C2142" s="387" t="s">
        <v>13478</v>
      </c>
      <c r="D2142" s="388" t="s">
        <v>161</v>
      </c>
      <c r="E2142" s="388" t="s">
        <v>10082</v>
      </c>
      <c r="F2142" s="388" t="s">
        <v>10078</v>
      </c>
      <c r="G2142" s="388" t="s">
        <v>10078</v>
      </c>
      <c r="H2142" s="388" t="s">
        <v>11297</v>
      </c>
      <c r="I2142" s="387" t="s">
        <v>13769</v>
      </c>
      <c r="J2142" s="389">
        <v>39813</v>
      </c>
      <c r="K2142" s="387"/>
      <c r="L2142" s="387"/>
      <c r="M2142" s="387" t="s">
        <v>10084</v>
      </c>
      <c r="N2142" s="387"/>
      <c r="O2142" s="387" t="s">
        <v>57</v>
      </c>
      <c r="P2142" s="390">
        <v>140275000</v>
      </c>
      <c r="Q2142" s="387" t="s">
        <v>13770</v>
      </c>
      <c r="R2142" s="387" t="s">
        <v>8333</v>
      </c>
      <c r="S2142" s="340">
        <v>2</v>
      </c>
    </row>
    <row r="2143" spans="1:19" ht="29.5" thickBot="1" x14ac:dyDescent="0.4">
      <c r="A2143" s="357">
        <v>2132</v>
      </c>
      <c r="B2143" s="387" t="s">
        <v>13477</v>
      </c>
      <c r="C2143" s="387" t="s">
        <v>13478</v>
      </c>
      <c r="D2143" s="388" t="s">
        <v>169</v>
      </c>
      <c r="E2143" s="388" t="s">
        <v>10082</v>
      </c>
      <c r="F2143" s="388" t="s">
        <v>10078</v>
      </c>
      <c r="G2143" s="388" t="s">
        <v>10078</v>
      </c>
      <c r="H2143" s="388" t="s">
        <v>11297</v>
      </c>
      <c r="I2143" s="387" t="s">
        <v>13771</v>
      </c>
      <c r="J2143" s="389">
        <v>39813</v>
      </c>
      <c r="K2143" s="387"/>
      <c r="L2143" s="387"/>
      <c r="M2143" s="387" t="s">
        <v>10084</v>
      </c>
      <c r="N2143" s="387"/>
      <c r="O2143" s="387" t="s">
        <v>57</v>
      </c>
      <c r="P2143" s="390">
        <v>87075000</v>
      </c>
      <c r="Q2143" s="387" t="s">
        <v>13772</v>
      </c>
      <c r="R2143" s="387" t="s">
        <v>8333</v>
      </c>
      <c r="S2143" s="340">
        <v>2</v>
      </c>
    </row>
    <row r="2144" spans="1:19" ht="29" x14ac:dyDescent="0.35">
      <c r="A2144" s="349">
        <v>2133</v>
      </c>
      <c r="B2144" s="387" t="s">
        <v>13477</v>
      </c>
      <c r="C2144" s="387" t="s">
        <v>13478</v>
      </c>
      <c r="D2144" s="388" t="s">
        <v>1236</v>
      </c>
      <c r="E2144" s="388" t="s">
        <v>10082</v>
      </c>
      <c r="F2144" s="388" t="s">
        <v>10078</v>
      </c>
      <c r="G2144" s="388" t="s">
        <v>10088</v>
      </c>
      <c r="H2144" s="388" t="s">
        <v>12537</v>
      </c>
      <c r="I2144" s="387" t="s">
        <v>13773</v>
      </c>
      <c r="J2144" s="389"/>
      <c r="K2144" s="387" t="s">
        <v>13774</v>
      </c>
      <c r="L2144" s="387"/>
      <c r="M2144" s="387"/>
      <c r="N2144" s="387"/>
      <c r="O2144" s="387" t="s">
        <v>44</v>
      </c>
      <c r="P2144" s="390">
        <v>2307362500</v>
      </c>
      <c r="Q2144" s="387" t="s">
        <v>13775</v>
      </c>
      <c r="R2144" s="387" t="s">
        <v>8333</v>
      </c>
      <c r="S2144" s="340">
        <v>2</v>
      </c>
    </row>
    <row r="2145" spans="1:19" ht="44" thickBot="1" x14ac:dyDescent="0.4">
      <c r="A2145" s="357">
        <v>2134</v>
      </c>
      <c r="B2145" s="387" t="s">
        <v>12958</v>
      </c>
      <c r="C2145" s="387" t="s">
        <v>12959</v>
      </c>
      <c r="D2145" s="388" t="s">
        <v>51</v>
      </c>
      <c r="E2145" s="388" t="s">
        <v>10082</v>
      </c>
      <c r="F2145" s="388" t="s">
        <v>10078</v>
      </c>
      <c r="G2145" s="388" t="s">
        <v>10078</v>
      </c>
      <c r="H2145" s="388" t="s">
        <v>12584</v>
      </c>
      <c r="I2145" s="387" t="s">
        <v>13776</v>
      </c>
      <c r="J2145" s="389"/>
      <c r="K2145" s="387" t="s">
        <v>13777</v>
      </c>
      <c r="L2145" s="387"/>
      <c r="M2145" s="387" t="s">
        <v>10084</v>
      </c>
      <c r="N2145" s="387"/>
      <c r="O2145" s="387" t="s">
        <v>57</v>
      </c>
      <c r="P2145" s="390">
        <v>82368000</v>
      </c>
      <c r="Q2145" s="387" t="s">
        <v>13778</v>
      </c>
      <c r="R2145" s="387" t="s">
        <v>8333</v>
      </c>
      <c r="S2145" s="340">
        <v>2</v>
      </c>
    </row>
    <row r="2146" spans="1:19" ht="29" x14ac:dyDescent="0.35">
      <c r="A2146" s="349">
        <v>2135</v>
      </c>
      <c r="B2146" s="387" t="s">
        <v>12958</v>
      </c>
      <c r="C2146" s="387" t="s">
        <v>12959</v>
      </c>
      <c r="D2146" s="388" t="s">
        <v>59</v>
      </c>
      <c r="E2146" s="388" t="s">
        <v>10082</v>
      </c>
      <c r="F2146" s="388" t="s">
        <v>10078</v>
      </c>
      <c r="G2146" s="388" t="s">
        <v>10078</v>
      </c>
      <c r="H2146" s="388" t="s">
        <v>13763</v>
      </c>
      <c r="I2146" s="387" t="s">
        <v>8422</v>
      </c>
      <c r="J2146" s="389"/>
      <c r="K2146" s="387" t="s">
        <v>13779</v>
      </c>
      <c r="L2146" s="387"/>
      <c r="M2146" s="387" t="s">
        <v>10084</v>
      </c>
      <c r="N2146" s="387"/>
      <c r="O2146" s="387" t="s">
        <v>57</v>
      </c>
      <c r="P2146" s="390">
        <v>221145000</v>
      </c>
      <c r="Q2146" s="387" t="s">
        <v>13780</v>
      </c>
      <c r="R2146" s="387" t="s">
        <v>8333</v>
      </c>
      <c r="S2146" s="340">
        <v>2</v>
      </c>
    </row>
    <row r="2147" spans="1:19" ht="29.5" thickBot="1" x14ac:dyDescent="0.4">
      <c r="A2147" s="357">
        <v>2136</v>
      </c>
      <c r="B2147" s="387" t="s">
        <v>12958</v>
      </c>
      <c r="C2147" s="387" t="s">
        <v>12959</v>
      </c>
      <c r="D2147" s="388" t="s">
        <v>97</v>
      </c>
      <c r="E2147" s="388" t="s">
        <v>10082</v>
      </c>
      <c r="F2147" s="388" t="s">
        <v>10078</v>
      </c>
      <c r="G2147" s="388" t="s">
        <v>10078</v>
      </c>
      <c r="H2147" s="388" t="s">
        <v>13763</v>
      </c>
      <c r="I2147" s="387" t="s">
        <v>8422</v>
      </c>
      <c r="J2147" s="389"/>
      <c r="K2147" s="387" t="s">
        <v>13781</v>
      </c>
      <c r="L2147" s="387"/>
      <c r="M2147" s="387" t="s">
        <v>10084</v>
      </c>
      <c r="N2147" s="387"/>
      <c r="O2147" s="387" t="s">
        <v>57</v>
      </c>
      <c r="P2147" s="390">
        <v>221245000</v>
      </c>
      <c r="Q2147" s="387" t="s">
        <v>13782</v>
      </c>
      <c r="R2147" s="387" t="s">
        <v>8333</v>
      </c>
      <c r="S2147" s="340">
        <v>2</v>
      </c>
    </row>
    <row r="2148" spans="1:19" ht="29" x14ac:dyDescent="0.35">
      <c r="A2148" s="349">
        <v>2137</v>
      </c>
      <c r="B2148" s="387" t="s">
        <v>12958</v>
      </c>
      <c r="C2148" s="387" t="s">
        <v>12959</v>
      </c>
      <c r="D2148" s="388" t="s">
        <v>101</v>
      </c>
      <c r="E2148" s="388" t="s">
        <v>10082</v>
      </c>
      <c r="F2148" s="388" t="s">
        <v>10078</v>
      </c>
      <c r="G2148" s="388" t="s">
        <v>10078</v>
      </c>
      <c r="H2148" s="388" t="s">
        <v>13763</v>
      </c>
      <c r="I2148" s="387" t="s">
        <v>13783</v>
      </c>
      <c r="J2148" s="389"/>
      <c r="K2148" s="387" t="s">
        <v>13784</v>
      </c>
      <c r="L2148" s="387"/>
      <c r="M2148" s="387" t="s">
        <v>10084</v>
      </c>
      <c r="N2148" s="387"/>
      <c r="O2148" s="387" t="s">
        <v>57</v>
      </c>
      <c r="P2148" s="390">
        <v>387165000</v>
      </c>
      <c r="Q2148" s="387" t="s">
        <v>13785</v>
      </c>
      <c r="R2148" s="387" t="s">
        <v>8333</v>
      </c>
      <c r="S2148" s="340">
        <v>2</v>
      </c>
    </row>
    <row r="2149" spans="1:19" ht="29.5" thickBot="1" x14ac:dyDescent="0.4">
      <c r="A2149" s="357">
        <v>2138</v>
      </c>
      <c r="B2149" s="387" t="s">
        <v>12958</v>
      </c>
      <c r="C2149" s="387" t="s">
        <v>12959</v>
      </c>
      <c r="D2149" s="388" t="s">
        <v>107</v>
      </c>
      <c r="E2149" s="388" t="s">
        <v>10082</v>
      </c>
      <c r="F2149" s="388" t="s">
        <v>10078</v>
      </c>
      <c r="G2149" s="388" t="s">
        <v>10078</v>
      </c>
      <c r="H2149" s="388" t="s">
        <v>11409</v>
      </c>
      <c r="I2149" s="387" t="s">
        <v>13786</v>
      </c>
      <c r="J2149" s="389">
        <v>41870</v>
      </c>
      <c r="K2149" s="387" t="s">
        <v>13749</v>
      </c>
      <c r="L2149" s="387"/>
      <c r="M2149" s="387" t="s">
        <v>10084</v>
      </c>
      <c r="N2149" s="387"/>
      <c r="O2149" s="387" t="s">
        <v>57</v>
      </c>
      <c r="P2149" s="390">
        <v>80400000</v>
      </c>
      <c r="Q2149" s="387" t="s">
        <v>13787</v>
      </c>
      <c r="R2149" s="387" t="s">
        <v>8333</v>
      </c>
      <c r="S2149" s="340">
        <v>2</v>
      </c>
    </row>
    <row r="2150" spans="1:19" ht="29" x14ac:dyDescent="0.35">
      <c r="A2150" s="349">
        <v>2139</v>
      </c>
      <c r="B2150" s="387" t="s">
        <v>12958</v>
      </c>
      <c r="C2150" s="387" t="s">
        <v>12959</v>
      </c>
      <c r="D2150" s="388" t="s">
        <v>112</v>
      </c>
      <c r="E2150" s="388" t="s">
        <v>10082</v>
      </c>
      <c r="F2150" s="388" t="s">
        <v>10078</v>
      </c>
      <c r="G2150" s="388" t="s">
        <v>10078</v>
      </c>
      <c r="H2150" s="388" t="s">
        <v>11407</v>
      </c>
      <c r="I2150" s="387" t="s">
        <v>8422</v>
      </c>
      <c r="J2150" s="389">
        <v>41870</v>
      </c>
      <c r="K2150" s="387" t="s">
        <v>13788</v>
      </c>
      <c r="L2150" s="387"/>
      <c r="M2150" s="387" t="s">
        <v>10084</v>
      </c>
      <c r="N2150" s="387"/>
      <c r="O2150" s="387" t="s">
        <v>57</v>
      </c>
      <c r="P2150" s="390">
        <v>217600000</v>
      </c>
      <c r="Q2150" s="387" t="s">
        <v>13789</v>
      </c>
      <c r="R2150" s="387" t="s">
        <v>8333</v>
      </c>
      <c r="S2150" s="340">
        <v>2</v>
      </c>
    </row>
    <row r="2151" spans="1:19" ht="29.5" thickBot="1" x14ac:dyDescent="0.4">
      <c r="A2151" s="357">
        <v>2140</v>
      </c>
      <c r="B2151" s="387" t="s">
        <v>12958</v>
      </c>
      <c r="C2151" s="387" t="s">
        <v>12959</v>
      </c>
      <c r="D2151" s="388" t="s">
        <v>116</v>
      </c>
      <c r="E2151" s="388" t="s">
        <v>10082</v>
      </c>
      <c r="F2151" s="388" t="s">
        <v>10078</v>
      </c>
      <c r="G2151" s="388" t="s">
        <v>10078</v>
      </c>
      <c r="H2151" s="388" t="s">
        <v>11297</v>
      </c>
      <c r="I2151" s="387" t="s">
        <v>8422</v>
      </c>
      <c r="J2151" s="389">
        <v>42685</v>
      </c>
      <c r="K2151" s="387" t="s">
        <v>13790</v>
      </c>
      <c r="L2151" s="387"/>
      <c r="M2151" s="387" t="s">
        <v>10084</v>
      </c>
      <c r="N2151" s="387"/>
      <c r="O2151" s="387" t="s">
        <v>57</v>
      </c>
      <c r="P2151" s="390">
        <v>92100000</v>
      </c>
      <c r="Q2151" s="387" t="s">
        <v>13791</v>
      </c>
      <c r="R2151" s="387" t="s">
        <v>8333</v>
      </c>
      <c r="S2151" s="340">
        <v>2</v>
      </c>
    </row>
    <row r="2152" spans="1:19" ht="29" x14ac:dyDescent="0.35">
      <c r="A2152" s="349">
        <v>2141</v>
      </c>
      <c r="B2152" s="387" t="s">
        <v>10511</v>
      </c>
      <c r="C2152" s="387" t="s">
        <v>10512</v>
      </c>
      <c r="D2152" s="388" t="s">
        <v>51</v>
      </c>
      <c r="E2152" s="388" t="s">
        <v>10082</v>
      </c>
      <c r="F2152" s="388" t="s">
        <v>10078</v>
      </c>
      <c r="G2152" s="388" t="s">
        <v>10078</v>
      </c>
      <c r="H2152" s="388" t="s">
        <v>11451</v>
      </c>
      <c r="I2152" s="387" t="s">
        <v>8422</v>
      </c>
      <c r="J2152" s="389">
        <v>42307</v>
      </c>
      <c r="K2152" s="387" t="s">
        <v>13722</v>
      </c>
      <c r="L2152" s="387"/>
      <c r="M2152" s="387" t="s">
        <v>10084</v>
      </c>
      <c r="N2152" s="387"/>
      <c r="O2152" s="387" t="s">
        <v>57</v>
      </c>
      <c r="P2152" s="390">
        <v>35350000</v>
      </c>
      <c r="Q2152" s="387" t="s">
        <v>13723</v>
      </c>
      <c r="R2152" s="387" t="s">
        <v>8333</v>
      </c>
      <c r="S2152" s="340">
        <v>2</v>
      </c>
    </row>
    <row r="2153" spans="1:19" ht="29.5" thickBot="1" x14ac:dyDescent="0.4">
      <c r="A2153" s="357">
        <v>2142</v>
      </c>
      <c r="B2153" s="387" t="s">
        <v>10155</v>
      </c>
      <c r="C2153" s="387" t="s">
        <v>10156</v>
      </c>
      <c r="D2153" s="388" t="s">
        <v>51</v>
      </c>
      <c r="E2153" s="388" t="s">
        <v>10082</v>
      </c>
      <c r="F2153" s="388" t="s">
        <v>10078</v>
      </c>
      <c r="G2153" s="388" t="s">
        <v>10088</v>
      </c>
      <c r="H2153" s="388" t="s">
        <v>231</v>
      </c>
      <c r="I2153" s="387" t="s">
        <v>13792</v>
      </c>
      <c r="J2153" s="389">
        <v>41893</v>
      </c>
      <c r="K2153" s="387" t="s">
        <v>13793</v>
      </c>
      <c r="L2153" s="387"/>
      <c r="M2153" s="387" t="s">
        <v>10084</v>
      </c>
      <c r="N2153" s="387"/>
      <c r="O2153" s="387" t="s">
        <v>57</v>
      </c>
      <c r="P2153" s="390">
        <v>726558000</v>
      </c>
      <c r="Q2153" s="387" t="s">
        <v>13794</v>
      </c>
      <c r="R2153" s="387" t="s">
        <v>8165</v>
      </c>
      <c r="S2153" s="340">
        <v>1</v>
      </c>
    </row>
    <row r="2154" spans="1:19" ht="29" x14ac:dyDescent="0.35">
      <c r="A2154" s="349">
        <v>2143</v>
      </c>
      <c r="B2154" s="387" t="s">
        <v>10765</v>
      </c>
      <c r="C2154" s="387" t="s">
        <v>10766</v>
      </c>
      <c r="D2154" s="388" t="s">
        <v>51</v>
      </c>
      <c r="E2154" s="388" t="s">
        <v>10082</v>
      </c>
      <c r="F2154" s="388" t="s">
        <v>10078</v>
      </c>
      <c r="G2154" s="388" t="s">
        <v>10088</v>
      </c>
      <c r="H2154" s="388" t="s">
        <v>13795</v>
      </c>
      <c r="I2154" s="387" t="s">
        <v>13792</v>
      </c>
      <c r="J2154" s="389">
        <v>43328</v>
      </c>
      <c r="K2154" s="387" t="s">
        <v>13796</v>
      </c>
      <c r="L2154" s="387"/>
      <c r="M2154" s="387" t="s">
        <v>10084</v>
      </c>
      <c r="N2154" s="387"/>
      <c r="O2154" s="387" t="s">
        <v>57</v>
      </c>
      <c r="P2154" s="390">
        <v>110268000</v>
      </c>
      <c r="Q2154" s="387" t="s">
        <v>13797</v>
      </c>
      <c r="R2154" s="387" t="s">
        <v>8165</v>
      </c>
      <c r="S2154" s="340">
        <v>1</v>
      </c>
    </row>
    <row r="2155" spans="1:19" ht="29.5" thickBot="1" x14ac:dyDescent="0.4">
      <c r="A2155" s="357">
        <v>2144</v>
      </c>
      <c r="B2155" s="387" t="s">
        <v>10096</v>
      </c>
      <c r="C2155" s="387" t="s">
        <v>10097</v>
      </c>
      <c r="D2155" s="388" t="s">
        <v>51</v>
      </c>
      <c r="E2155" s="388" t="s">
        <v>10082</v>
      </c>
      <c r="F2155" s="388" t="s">
        <v>10078</v>
      </c>
      <c r="G2155" s="388" t="s">
        <v>10088</v>
      </c>
      <c r="H2155" s="388" t="s">
        <v>11303</v>
      </c>
      <c r="I2155" s="387" t="s">
        <v>13792</v>
      </c>
      <c r="J2155" s="389">
        <v>42874</v>
      </c>
      <c r="K2155" s="387" t="s">
        <v>13798</v>
      </c>
      <c r="L2155" s="387"/>
      <c r="M2155" s="387" t="s">
        <v>10084</v>
      </c>
      <c r="N2155" s="387"/>
      <c r="O2155" s="387" t="s">
        <v>57</v>
      </c>
      <c r="P2155" s="390">
        <v>221217000</v>
      </c>
      <c r="Q2155" s="387" t="s">
        <v>13799</v>
      </c>
      <c r="R2155" s="387" t="s">
        <v>8165</v>
      </c>
      <c r="S2155" s="340">
        <v>1</v>
      </c>
    </row>
    <row r="2156" spans="1:19" ht="29" x14ac:dyDescent="0.35">
      <c r="A2156" s="349">
        <v>2145</v>
      </c>
      <c r="B2156" s="387" t="s">
        <v>10080</v>
      </c>
      <c r="C2156" s="387" t="s">
        <v>10081</v>
      </c>
      <c r="D2156" s="388" t="s">
        <v>51</v>
      </c>
      <c r="E2156" s="388" t="s">
        <v>10082</v>
      </c>
      <c r="F2156" s="388" t="s">
        <v>10078</v>
      </c>
      <c r="G2156" s="388" t="s">
        <v>10078</v>
      </c>
      <c r="H2156" s="388" t="s">
        <v>11415</v>
      </c>
      <c r="I2156" s="387" t="s">
        <v>13800</v>
      </c>
      <c r="J2156" s="389"/>
      <c r="K2156" s="387"/>
      <c r="L2156" s="387"/>
      <c r="M2156" s="387" t="s">
        <v>10084</v>
      </c>
      <c r="N2156" s="387"/>
      <c r="O2156" s="387" t="s">
        <v>57</v>
      </c>
      <c r="P2156" s="390">
        <v>453751000</v>
      </c>
      <c r="Q2156" s="387"/>
      <c r="R2156" s="387" t="s">
        <v>8167</v>
      </c>
      <c r="S2156" s="340">
        <v>1</v>
      </c>
    </row>
    <row r="2157" spans="1:19" ht="29.5" thickBot="1" x14ac:dyDescent="0.4">
      <c r="A2157" s="357">
        <v>2146</v>
      </c>
      <c r="B2157" s="387" t="s">
        <v>10080</v>
      </c>
      <c r="C2157" s="387" t="s">
        <v>10081</v>
      </c>
      <c r="D2157" s="388" t="s">
        <v>59</v>
      </c>
      <c r="E2157" s="388" t="s">
        <v>10082</v>
      </c>
      <c r="F2157" s="388" t="s">
        <v>10078</v>
      </c>
      <c r="G2157" s="388" t="s">
        <v>10078</v>
      </c>
      <c r="H2157" s="388" t="s">
        <v>12266</v>
      </c>
      <c r="I2157" s="387" t="s">
        <v>13800</v>
      </c>
      <c r="J2157" s="389"/>
      <c r="K2157" s="387"/>
      <c r="L2157" s="387"/>
      <c r="M2157" s="387" t="s">
        <v>10084</v>
      </c>
      <c r="N2157" s="387"/>
      <c r="O2157" s="387" t="s">
        <v>57</v>
      </c>
      <c r="P2157" s="390">
        <v>289150000</v>
      </c>
      <c r="Q2157" s="387"/>
      <c r="R2157" s="387" t="s">
        <v>8167</v>
      </c>
      <c r="S2157" s="340">
        <v>1</v>
      </c>
    </row>
    <row r="2158" spans="1:19" ht="29" x14ac:dyDescent="0.35">
      <c r="A2158" s="349">
        <v>2147</v>
      </c>
      <c r="B2158" s="387" t="s">
        <v>10080</v>
      </c>
      <c r="C2158" s="387" t="s">
        <v>10081</v>
      </c>
      <c r="D2158" s="388" t="s">
        <v>97</v>
      </c>
      <c r="E2158" s="388" t="s">
        <v>10082</v>
      </c>
      <c r="F2158" s="388" t="s">
        <v>10078</v>
      </c>
      <c r="G2158" s="388" t="s">
        <v>10078</v>
      </c>
      <c r="H2158" s="388" t="s">
        <v>13082</v>
      </c>
      <c r="I2158" s="387" t="s">
        <v>13800</v>
      </c>
      <c r="J2158" s="389"/>
      <c r="K2158" s="387"/>
      <c r="L2158" s="387"/>
      <c r="M2158" s="387" t="s">
        <v>10084</v>
      </c>
      <c r="N2158" s="387"/>
      <c r="O2158" s="387" t="s">
        <v>422</v>
      </c>
      <c r="P2158" s="390">
        <v>110000000</v>
      </c>
      <c r="Q2158" s="387" t="s">
        <v>8603</v>
      </c>
      <c r="R2158" s="387" t="s">
        <v>8167</v>
      </c>
      <c r="S2158" s="340">
        <v>1</v>
      </c>
    </row>
    <row r="2159" spans="1:19" ht="44" thickBot="1" x14ac:dyDescent="0.4">
      <c r="A2159" s="357">
        <v>2148</v>
      </c>
      <c r="B2159" s="387" t="s">
        <v>10080</v>
      </c>
      <c r="C2159" s="387" t="s">
        <v>10081</v>
      </c>
      <c r="D2159" s="388" t="s">
        <v>101</v>
      </c>
      <c r="E2159" s="388" t="s">
        <v>10082</v>
      </c>
      <c r="F2159" s="388" t="s">
        <v>10078</v>
      </c>
      <c r="G2159" s="388" t="s">
        <v>10088</v>
      </c>
      <c r="H2159" s="388" t="s">
        <v>12664</v>
      </c>
      <c r="I2159" s="387" t="s">
        <v>13801</v>
      </c>
      <c r="J2159" s="389">
        <v>44749</v>
      </c>
      <c r="K2159" s="387" t="s">
        <v>13802</v>
      </c>
      <c r="L2159" s="387"/>
      <c r="M2159" s="387"/>
      <c r="N2159" s="387"/>
      <c r="O2159" s="387" t="s">
        <v>44</v>
      </c>
      <c r="P2159" s="390">
        <v>477208550</v>
      </c>
      <c r="Q2159" s="387" t="s">
        <v>13803</v>
      </c>
      <c r="R2159" s="387" t="s">
        <v>8167</v>
      </c>
      <c r="S2159" s="340">
        <v>1</v>
      </c>
    </row>
    <row r="2160" spans="1:19" ht="29" x14ac:dyDescent="0.35">
      <c r="A2160" s="349">
        <v>2149</v>
      </c>
      <c r="B2160" s="387" t="s">
        <v>10092</v>
      </c>
      <c r="C2160" s="387" t="s">
        <v>10093</v>
      </c>
      <c r="D2160" s="388" t="s">
        <v>51</v>
      </c>
      <c r="E2160" s="388" t="s">
        <v>10082</v>
      </c>
      <c r="F2160" s="388" t="s">
        <v>10078</v>
      </c>
      <c r="G2160" s="388" t="s">
        <v>10088</v>
      </c>
      <c r="H2160" s="388" t="s">
        <v>12979</v>
      </c>
      <c r="I2160" s="387" t="s">
        <v>13800</v>
      </c>
      <c r="J2160" s="389">
        <v>41904</v>
      </c>
      <c r="K2160" s="387" t="s">
        <v>13804</v>
      </c>
      <c r="L2160" s="387"/>
      <c r="M2160" s="387" t="s">
        <v>10084</v>
      </c>
      <c r="N2160" s="387"/>
      <c r="O2160" s="387" t="s">
        <v>57</v>
      </c>
      <c r="P2160" s="390">
        <v>147500000</v>
      </c>
      <c r="Q2160" s="387" t="s">
        <v>13805</v>
      </c>
      <c r="R2160" s="387" t="s">
        <v>8167</v>
      </c>
      <c r="S2160" s="340">
        <v>1</v>
      </c>
    </row>
    <row r="2161" spans="1:19" ht="29.5" thickBot="1" x14ac:dyDescent="0.4">
      <c r="A2161" s="357">
        <v>2150</v>
      </c>
      <c r="B2161" s="387" t="s">
        <v>10085</v>
      </c>
      <c r="C2161" s="387" t="s">
        <v>10086</v>
      </c>
      <c r="D2161" s="388" t="s">
        <v>51</v>
      </c>
      <c r="E2161" s="388" t="s">
        <v>10082</v>
      </c>
      <c r="F2161" s="388" t="s">
        <v>10078</v>
      </c>
      <c r="G2161" s="388" t="s">
        <v>10088</v>
      </c>
      <c r="H2161" s="388" t="s">
        <v>11409</v>
      </c>
      <c r="I2161" s="387" t="s">
        <v>13800</v>
      </c>
      <c r="J2161" s="389">
        <v>40767</v>
      </c>
      <c r="K2161" s="387" t="s">
        <v>13806</v>
      </c>
      <c r="L2161" s="387"/>
      <c r="M2161" s="387" t="s">
        <v>10084</v>
      </c>
      <c r="N2161" s="387"/>
      <c r="O2161" s="387" t="s">
        <v>422</v>
      </c>
      <c r="P2161" s="390">
        <v>356098900</v>
      </c>
      <c r="Q2161" s="387" t="s">
        <v>13807</v>
      </c>
      <c r="R2161" s="387" t="s">
        <v>8167</v>
      </c>
      <c r="S2161" s="340">
        <v>1</v>
      </c>
    </row>
    <row r="2162" spans="1:19" ht="29" x14ac:dyDescent="0.35">
      <c r="A2162" s="349">
        <v>2151</v>
      </c>
      <c r="B2162" s="387" t="s">
        <v>10191</v>
      </c>
      <c r="C2162" s="387" t="s">
        <v>10192</v>
      </c>
      <c r="D2162" s="388" t="s">
        <v>51</v>
      </c>
      <c r="E2162" s="388" t="s">
        <v>10082</v>
      </c>
      <c r="F2162" s="388" t="s">
        <v>10078</v>
      </c>
      <c r="G2162" s="388" t="s">
        <v>10078</v>
      </c>
      <c r="H2162" s="388" t="s">
        <v>2972</v>
      </c>
      <c r="I2162" s="387" t="s">
        <v>13800</v>
      </c>
      <c r="J2162" s="389">
        <v>43228</v>
      </c>
      <c r="K2162" s="387" t="s">
        <v>13808</v>
      </c>
      <c r="L2162" s="387"/>
      <c r="M2162" s="387" t="s">
        <v>10084</v>
      </c>
      <c r="N2162" s="387"/>
      <c r="O2162" s="387" t="s">
        <v>57</v>
      </c>
      <c r="P2162" s="390">
        <v>221233000</v>
      </c>
      <c r="Q2162" s="387" t="s">
        <v>13809</v>
      </c>
      <c r="R2162" s="387" t="s">
        <v>8167</v>
      </c>
      <c r="S2162" s="340">
        <v>1</v>
      </c>
    </row>
    <row r="2163" spans="1:19" ht="29.5" thickBot="1" x14ac:dyDescent="0.4">
      <c r="A2163" s="357">
        <v>2152</v>
      </c>
      <c r="B2163" s="387" t="s">
        <v>10080</v>
      </c>
      <c r="C2163" s="387" t="s">
        <v>10081</v>
      </c>
      <c r="D2163" s="388" t="s">
        <v>51</v>
      </c>
      <c r="E2163" s="388" t="s">
        <v>10082</v>
      </c>
      <c r="F2163" s="388" t="s">
        <v>10078</v>
      </c>
      <c r="G2163" s="388" t="s">
        <v>10078</v>
      </c>
      <c r="H2163" s="388" t="s">
        <v>13175</v>
      </c>
      <c r="I2163" s="387" t="s">
        <v>13810</v>
      </c>
      <c r="J2163" s="389"/>
      <c r="K2163" s="387"/>
      <c r="L2163" s="387"/>
      <c r="M2163" s="387" t="s">
        <v>10084</v>
      </c>
      <c r="N2163" s="387"/>
      <c r="O2163" s="387" t="s">
        <v>57</v>
      </c>
      <c r="P2163" s="390">
        <v>401591500</v>
      </c>
      <c r="Q2163" s="387"/>
      <c r="R2163" s="387" t="s">
        <v>8169</v>
      </c>
      <c r="S2163" s="340">
        <v>1</v>
      </c>
    </row>
    <row r="2164" spans="1:19" ht="29" x14ac:dyDescent="0.35">
      <c r="A2164" s="349">
        <v>2153</v>
      </c>
      <c r="B2164" s="387" t="s">
        <v>10080</v>
      </c>
      <c r="C2164" s="387" t="s">
        <v>10081</v>
      </c>
      <c r="D2164" s="388" t="s">
        <v>59</v>
      </c>
      <c r="E2164" s="388" t="s">
        <v>10082</v>
      </c>
      <c r="F2164" s="388" t="s">
        <v>10078</v>
      </c>
      <c r="G2164" s="388" t="s">
        <v>10078</v>
      </c>
      <c r="H2164" s="388" t="s">
        <v>13811</v>
      </c>
      <c r="I2164" s="387" t="s">
        <v>13810</v>
      </c>
      <c r="J2164" s="389"/>
      <c r="K2164" s="387"/>
      <c r="L2164" s="387"/>
      <c r="M2164" s="387" t="s">
        <v>10084</v>
      </c>
      <c r="N2164" s="387"/>
      <c r="O2164" s="387" t="s">
        <v>57</v>
      </c>
      <c r="P2164" s="390">
        <v>430137000</v>
      </c>
      <c r="Q2164" s="387"/>
      <c r="R2164" s="387" t="s">
        <v>8169</v>
      </c>
      <c r="S2164" s="340">
        <v>1</v>
      </c>
    </row>
    <row r="2165" spans="1:19" ht="58.5" thickBot="1" x14ac:dyDescent="0.4">
      <c r="A2165" s="357">
        <v>2154</v>
      </c>
      <c r="B2165" s="387" t="s">
        <v>10110</v>
      </c>
      <c r="C2165" s="387" t="s">
        <v>10111</v>
      </c>
      <c r="D2165" s="388" t="s">
        <v>101</v>
      </c>
      <c r="E2165" s="388" t="s">
        <v>10082</v>
      </c>
      <c r="F2165" s="388" t="s">
        <v>10078</v>
      </c>
      <c r="G2165" s="388" t="s">
        <v>10088</v>
      </c>
      <c r="H2165" s="388" t="s">
        <v>12017</v>
      </c>
      <c r="I2165" s="387" t="s">
        <v>13812</v>
      </c>
      <c r="J2165" s="389"/>
      <c r="K2165" s="387" t="s">
        <v>13813</v>
      </c>
      <c r="L2165" s="387"/>
      <c r="M2165" s="387"/>
      <c r="N2165" s="387"/>
      <c r="O2165" s="387" t="s">
        <v>44</v>
      </c>
      <c r="P2165" s="390">
        <v>256327558.99999997</v>
      </c>
      <c r="Q2165" s="387" t="s">
        <v>13814</v>
      </c>
      <c r="R2165" s="387" t="s">
        <v>8169</v>
      </c>
      <c r="S2165" s="340">
        <v>1</v>
      </c>
    </row>
    <row r="2166" spans="1:19" ht="43.5" x14ac:dyDescent="0.35">
      <c r="A2166" s="349">
        <v>2155</v>
      </c>
      <c r="B2166" s="387" t="s">
        <v>10110</v>
      </c>
      <c r="C2166" s="387" t="s">
        <v>10111</v>
      </c>
      <c r="D2166" s="388" t="s">
        <v>107</v>
      </c>
      <c r="E2166" s="388" t="s">
        <v>10082</v>
      </c>
      <c r="F2166" s="388" t="s">
        <v>10078</v>
      </c>
      <c r="G2166" s="388" t="s">
        <v>10088</v>
      </c>
      <c r="H2166" s="388" t="s">
        <v>11870</v>
      </c>
      <c r="I2166" s="387" t="s">
        <v>13812</v>
      </c>
      <c r="J2166" s="389"/>
      <c r="K2166" s="387" t="s">
        <v>13815</v>
      </c>
      <c r="L2166" s="387"/>
      <c r="M2166" s="387"/>
      <c r="N2166" s="387"/>
      <c r="O2166" s="387" t="s">
        <v>44</v>
      </c>
      <c r="P2166" s="390">
        <v>96768710</v>
      </c>
      <c r="Q2166" s="387" t="s">
        <v>13816</v>
      </c>
      <c r="R2166" s="387" t="s">
        <v>8169</v>
      </c>
      <c r="S2166" s="340">
        <v>1</v>
      </c>
    </row>
    <row r="2167" spans="1:19" ht="58.5" thickBot="1" x14ac:dyDescent="0.4">
      <c r="A2167" s="357">
        <v>2156</v>
      </c>
      <c r="B2167" s="387" t="s">
        <v>10110</v>
      </c>
      <c r="C2167" s="387" t="s">
        <v>10111</v>
      </c>
      <c r="D2167" s="388" t="s">
        <v>112</v>
      </c>
      <c r="E2167" s="388" t="s">
        <v>10082</v>
      </c>
      <c r="F2167" s="388" t="s">
        <v>10078</v>
      </c>
      <c r="G2167" s="388" t="s">
        <v>10088</v>
      </c>
      <c r="H2167" s="388" t="s">
        <v>13817</v>
      </c>
      <c r="I2167" s="387" t="s">
        <v>13818</v>
      </c>
      <c r="J2167" s="389"/>
      <c r="K2167" s="387" t="s">
        <v>13819</v>
      </c>
      <c r="L2167" s="387"/>
      <c r="M2167" s="387"/>
      <c r="N2167" s="387"/>
      <c r="O2167" s="387" t="s">
        <v>44</v>
      </c>
      <c r="P2167" s="390">
        <v>223571040</v>
      </c>
      <c r="Q2167" s="387" t="s">
        <v>13820</v>
      </c>
      <c r="R2167" s="387" t="s">
        <v>8169</v>
      </c>
      <c r="S2167" s="340">
        <v>1</v>
      </c>
    </row>
    <row r="2168" spans="1:19" ht="29" x14ac:dyDescent="0.35">
      <c r="A2168" s="349">
        <v>2157</v>
      </c>
      <c r="B2168" s="387" t="s">
        <v>10092</v>
      </c>
      <c r="C2168" s="387" t="s">
        <v>10093</v>
      </c>
      <c r="D2168" s="388" t="s">
        <v>51</v>
      </c>
      <c r="E2168" s="388" t="s">
        <v>10082</v>
      </c>
      <c r="F2168" s="388" t="s">
        <v>10078</v>
      </c>
      <c r="G2168" s="388" t="s">
        <v>10078</v>
      </c>
      <c r="H2168" s="388" t="s">
        <v>12979</v>
      </c>
      <c r="I2168" s="387" t="s">
        <v>13810</v>
      </c>
      <c r="J2168" s="389"/>
      <c r="K2168" s="387"/>
      <c r="L2168" s="387"/>
      <c r="M2168" s="387" t="s">
        <v>10084</v>
      </c>
      <c r="N2168" s="387"/>
      <c r="O2168" s="387" t="s">
        <v>57</v>
      </c>
      <c r="P2168" s="390">
        <v>166862954</v>
      </c>
      <c r="Q2168" s="387"/>
      <c r="R2168" s="387" t="s">
        <v>8169</v>
      </c>
      <c r="S2168" s="340">
        <v>1</v>
      </c>
    </row>
    <row r="2169" spans="1:19" ht="44" thickBot="1" x14ac:dyDescent="0.4">
      <c r="A2169" s="357">
        <v>2158</v>
      </c>
      <c r="B2169" s="387" t="s">
        <v>10146</v>
      </c>
      <c r="C2169" s="387" t="s">
        <v>10147</v>
      </c>
      <c r="D2169" s="388" t="s">
        <v>51</v>
      </c>
      <c r="E2169" s="388" t="s">
        <v>10082</v>
      </c>
      <c r="F2169" s="388" t="s">
        <v>10078</v>
      </c>
      <c r="G2169" s="388" t="s">
        <v>10078</v>
      </c>
      <c r="H2169" s="388" t="s">
        <v>11551</v>
      </c>
      <c r="I2169" s="387" t="s">
        <v>13821</v>
      </c>
      <c r="J2169" s="389">
        <v>43966</v>
      </c>
      <c r="K2169" s="387" t="s">
        <v>13822</v>
      </c>
      <c r="L2169" s="387"/>
      <c r="M2169" s="387" t="s">
        <v>10084</v>
      </c>
      <c r="N2169" s="387"/>
      <c r="O2169" s="387" t="s">
        <v>57</v>
      </c>
      <c r="P2169" s="390">
        <v>168451000</v>
      </c>
      <c r="Q2169" s="387" t="s">
        <v>13823</v>
      </c>
      <c r="R2169" s="387" t="s">
        <v>8169</v>
      </c>
      <c r="S2169" s="340">
        <v>1</v>
      </c>
    </row>
    <row r="2170" spans="1:19" ht="29" x14ac:dyDescent="0.35">
      <c r="A2170" s="349">
        <v>2159</v>
      </c>
      <c r="B2170" s="387" t="s">
        <v>10191</v>
      </c>
      <c r="C2170" s="387" t="s">
        <v>10192</v>
      </c>
      <c r="D2170" s="388" t="s">
        <v>51</v>
      </c>
      <c r="E2170" s="388" t="s">
        <v>10082</v>
      </c>
      <c r="F2170" s="388" t="s">
        <v>10078</v>
      </c>
      <c r="G2170" s="388" t="s">
        <v>10078</v>
      </c>
      <c r="H2170" s="388" t="s">
        <v>13166</v>
      </c>
      <c r="I2170" s="387" t="s">
        <v>13810</v>
      </c>
      <c r="J2170" s="389">
        <v>42937</v>
      </c>
      <c r="K2170" s="387" t="s">
        <v>13824</v>
      </c>
      <c r="L2170" s="387"/>
      <c r="M2170" s="387" t="s">
        <v>10084</v>
      </c>
      <c r="N2170" s="387"/>
      <c r="O2170" s="387" t="s">
        <v>57</v>
      </c>
      <c r="P2170" s="390">
        <v>221312000</v>
      </c>
      <c r="Q2170" s="387" t="s">
        <v>13825</v>
      </c>
      <c r="R2170" s="387" t="s">
        <v>8169</v>
      </c>
      <c r="S2170" s="340">
        <v>1</v>
      </c>
    </row>
    <row r="2171" spans="1:19" ht="29.5" thickBot="1" x14ac:dyDescent="0.4">
      <c r="A2171" s="357">
        <v>2160</v>
      </c>
      <c r="B2171" s="387" t="s">
        <v>10080</v>
      </c>
      <c r="C2171" s="387" t="s">
        <v>10081</v>
      </c>
      <c r="D2171" s="388" t="s">
        <v>51</v>
      </c>
      <c r="E2171" s="388" t="s">
        <v>10082</v>
      </c>
      <c r="F2171" s="388" t="s">
        <v>10078</v>
      </c>
      <c r="G2171" s="388" t="s">
        <v>10078</v>
      </c>
      <c r="H2171" s="388" t="s">
        <v>13826</v>
      </c>
      <c r="I2171" s="387" t="s">
        <v>13827</v>
      </c>
      <c r="J2171" s="389"/>
      <c r="K2171" s="387"/>
      <c r="L2171" s="387"/>
      <c r="M2171" s="387" t="s">
        <v>10084</v>
      </c>
      <c r="N2171" s="387"/>
      <c r="O2171" s="387" t="s">
        <v>57</v>
      </c>
      <c r="P2171" s="390">
        <v>260120000</v>
      </c>
      <c r="Q2171" s="387"/>
      <c r="R2171" s="387" t="s">
        <v>8171</v>
      </c>
      <c r="S2171" s="340">
        <v>1</v>
      </c>
    </row>
    <row r="2172" spans="1:19" ht="29" x14ac:dyDescent="0.35">
      <c r="A2172" s="349">
        <v>2161</v>
      </c>
      <c r="B2172" s="387" t="s">
        <v>10080</v>
      </c>
      <c r="C2172" s="387" t="s">
        <v>10081</v>
      </c>
      <c r="D2172" s="388" t="s">
        <v>59</v>
      </c>
      <c r="E2172" s="388" t="s">
        <v>10082</v>
      </c>
      <c r="F2172" s="388" t="s">
        <v>10078</v>
      </c>
      <c r="G2172" s="388" t="s">
        <v>10078</v>
      </c>
      <c r="H2172" s="388" t="s">
        <v>13011</v>
      </c>
      <c r="I2172" s="387" t="s">
        <v>13827</v>
      </c>
      <c r="J2172" s="389"/>
      <c r="K2172" s="387"/>
      <c r="L2172" s="387"/>
      <c r="M2172" s="387" t="s">
        <v>10084</v>
      </c>
      <c r="N2172" s="387"/>
      <c r="O2172" s="387" t="s">
        <v>422</v>
      </c>
      <c r="P2172" s="390">
        <v>92000000</v>
      </c>
      <c r="Q2172" s="387" t="s">
        <v>8603</v>
      </c>
      <c r="R2172" s="387" t="s">
        <v>8171</v>
      </c>
      <c r="S2172" s="340">
        <v>1</v>
      </c>
    </row>
    <row r="2173" spans="1:19" ht="29.5" thickBot="1" x14ac:dyDescent="0.4">
      <c r="A2173" s="357">
        <v>2162</v>
      </c>
      <c r="B2173" s="387" t="s">
        <v>10080</v>
      </c>
      <c r="C2173" s="387" t="s">
        <v>10081</v>
      </c>
      <c r="D2173" s="388" t="s">
        <v>97</v>
      </c>
      <c r="E2173" s="388" t="s">
        <v>10082</v>
      </c>
      <c r="F2173" s="388" t="s">
        <v>10078</v>
      </c>
      <c r="G2173" s="388" t="s">
        <v>10078</v>
      </c>
      <c r="H2173" s="388" t="s">
        <v>13826</v>
      </c>
      <c r="I2173" s="387" t="s">
        <v>13827</v>
      </c>
      <c r="J2173" s="389"/>
      <c r="K2173" s="387"/>
      <c r="L2173" s="387"/>
      <c r="M2173" s="387" t="s">
        <v>10084</v>
      </c>
      <c r="N2173" s="387"/>
      <c r="O2173" s="387" t="s">
        <v>57</v>
      </c>
      <c r="P2173" s="390">
        <v>260120000</v>
      </c>
      <c r="Q2173" s="387"/>
      <c r="R2173" s="387" t="s">
        <v>8171</v>
      </c>
      <c r="S2173" s="340">
        <v>1</v>
      </c>
    </row>
    <row r="2174" spans="1:19" ht="29" x14ac:dyDescent="0.35">
      <c r="A2174" s="349">
        <v>2163</v>
      </c>
      <c r="B2174" s="387" t="s">
        <v>10110</v>
      </c>
      <c r="C2174" s="387" t="s">
        <v>10111</v>
      </c>
      <c r="D2174" s="388" t="s">
        <v>51</v>
      </c>
      <c r="E2174" s="388" t="s">
        <v>10082</v>
      </c>
      <c r="F2174" s="388" t="s">
        <v>10078</v>
      </c>
      <c r="G2174" s="388" t="s">
        <v>10078</v>
      </c>
      <c r="H2174" s="388" t="s">
        <v>12103</v>
      </c>
      <c r="I2174" s="387" t="s">
        <v>13827</v>
      </c>
      <c r="J2174" s="389"/>
      <c r="K2174" s="387"/>
      <c r="L2174" s="387"/>
      <c r="M2174" s="387" t="s">
        <v>10084</v>
      </c>
      <c r="N2174" s="387"/>
      <c r="O2174" s="387" t="s">
        <v>57</v>
      </c>
      <c r="P2174" s="390">
        <v>28312000</v>
      </c>
      <c r="Q2174" s="387"/>
      <c r="R2174" s="387" t="s">
        <v>8171</v>
      </c>
      <c r="S2174" s="340">
        <v>1</v>
      </c>
    </row>
    <row r="2175" spans="1:19" ht="44" thickBot="1" x14ac:dyDescent="0.4">
      <c r="A2175" s="357">
        <v>2164</v>
      </c>
      <c r="B2175" s="387" t="s">
        <v>10110</v>
      </c>
      <c r="C2175" s="387" t="s">
        <v>10111</v>
      </c>
      <c r="D2175" s="388" t="s">
        <v>59</v>
      </c>
      <c r="E2175" s="388" t="s">
        <v>10082</v>
      </c>
      <c r="F2175" s="388" t="s">
        <v>10078</v>
      </c>
      <c r="G2175" s="388" t="s">
        <v>10088</v>
      </c>
      <c r="H2175" s="388" t="s">
        <v>8956</v>
      </c>
      <c r="I2175" s="387" t="s">
        <v>13828</v>
      </c>
      <c r="J2175" s="389">
        <v>44756</v>
      </c>
      <c r="K2175" s="387" t="s">
        <v>13829</v>
      </c>
      <c r="L2175" s="387"/>
      <c r="M2175" s="387"/>
      <c r="N2175" s="387"/>
      <c r="O2175" s="387" t="s">
        <v>44</v>
      </c>
      <c r="P2175" s="390">
        <v>229008650</v>
      </c>
      <c r="Q2175" s="387" t="s">
        <v>13830</v>
      </c>
      <c r="R2175" s="387" t="s">
        <v>8171</v>
      </c>
      <c r="S2175" s="340">
        <v>1</v>
      </c>
    </row>
    <row r="2176" spans="1:19" ht="43.5" x14ac:dyDescent="0.35">
      <c r="A2176" s="349">
        <v>2165</v>
      </c>
      <c r="B2176" s="387" t="s">
        <v>10092</v>
      </c>
      <c r="C2176" s="387" t="s">
        <v>10093</v>
      </c>
      <c r="D2176" s="388" t="s">
        <v>51</v>
      </c>
      <c r="E2176" s="388" t="s">
        <v>10082</v>
      </c>
      <c r="F2176" s="388" t="s">
        <v>10078</v>
      </c>
      <c r="G2176" s="388" t="s">
        <v>10078</v>
      </c>
      <c r="H2176" s="388" t="s">
        <v>11536</v>
      </c>
      <c r="I2176" s="387" t="s">
        <v>13831</v>
      </c>
      <c r="J2176" s="389">
        <v>43966</v>
      </c>
      <c r="K2176" s="387" t="s">
        <v>13832</v>
      </c>
      <c r="L2176" s="387"/>
      <c r="M2176" s="387" t="s">
        <v>10084</v>
      </c>
      <c r="N2176" s="387"/>
      <c r="O2176" s="387" t="s">
        <v>57</v>
      </c>
      <c r="P2176" s="390">
        <v>197994000</v>
      </c>
      <c r="Q2176" s="387" t="s">
        <v>13833</v>
      </c>
      <c r="R2176" s="387" t="s">
        <v>8171</v>
      </c>
      <c r="S2176" s="340">
        <v>1</v>
      </c>
    </row>
    <row r="2177" spans="1:19" ht="29.5" thickBot="1" x14ac:dyDescent="0.4">
      <c r="A2177" s="357">
        <v>2166</v>
      </c>
      <c r="B2177" s="387" t="s">
        <v>10085</v>
      </c>
      <c r="C2177" s="387" t="s">
        <v>10086</v>
      </c>
      <c r="D2177" s="388" t="s">
        <v>51</v>
      </c>
      <c r="E2177" s="388" t="s">
        <v>10082</v>
      </c>
      <c r="F2177" s="388" t="s">
        <v>10078</v>
      </c>
      <c r="G2177" s="388" t="s">
        <v>10078</v>
      </c>
      <c r="H2177" s="388" t="s">
        <v>12623</v>
      </c>
      <c r="I2177" s="387" t="s">
        <v>13827</v>
      </c>
      <c r="J2177" s="389"/>
      <c r="K2177" s="387"/>
      <c r="L2177" s="387"/>
      <c r="M2177" s="387" t="s">
        <v>10084</v>
      </c>
      <c r="N2177" s="387"/>
      <c r="O2177" s="387" t="s">
        <v>57</v>
      </c>
      <c r="P2177" s="390">
        <v>567633980</v>
      </c>
      <c r="Q2177" s="387"/>
      <c r="R2177" s="387" t="s">
        <v>8171</v>
      </c>
      <c r="S2177" s="340">
        <v>1</v>
      </c>
    </row>
    <row r="2178" spans="1:19" ht="29" x14ac:dyDescent="0.35">
      <c r="A2178" s="349">
        <v>2167</v>
      </c>
      <c r="B2178" s="387" t="s">
        <v>10080</v>
      </c>
      <c r="C2178" s="387" t="s">
        <v>10081</v>
      </c>
      <c r="D2178" s="388" t="s">
        <v>51</v>
      </c>
      <c r="E2178" s="388" t="s">
        <v>10082</v>
      </c>
      <c r="F2178" s="388" t="s">
        <v>10078</v>
      </c>
      <c r="G2178" s="388" t="s">
        <v>10078</v>
      </c>
      <c r="H2178" s="388" t="s">
        <v>13175</v>
      </c>
      <c r="I2178" s="387" t="s">
        <v>13834</v>
      </c>
      <c r="J2178" s="389"/>
      <c r="K2178" s="387"/>
      <c r="L2178" s="387"/>
      <c r="M2178" s="387" t="s">
        <v>10084</v>
      </c>
      <c r="N2178" s="387"/>
      <c r="O2178" s="387" t="s">
        <v>57</v>
      </c>
      <c r="P2178" s="390">
        <v>168727000</v>
      </c>
      <c r="Q2178" s="387"/>
      <c r="R2178" s="387" t="s">
        <v>8173</v>
      </c>
      <c r="S2178" s="340">
        <v>1</v>
      </c>
    </row>
    <row r="2179" spans="1:19" ht="29.5" thickBot="1" x14ac:dyDescent="0.4">
      <c r="A2179" s="357">
        <v>2168</v>
      </c>
      <c r="B2179" s="387" t="s">
        <v>10080</v>
      </c>
      <c r="C2179" s="387" t="s">
        <v>10081</v>
      </c>
      <c r="D2179" s="388" t="s">
        <v>59</v>
      </c>
      <c r="E2179" s="388" t="s">
        <v>10082</v>
      </c>
      <c r="F2179" s="388" t="s">
        <v>10078</v>
      </c>
      <c r="G2179" s="388" t="s">
        <v>10078</v>
      </c>
      <c r="H2179" s="388" t="s">
        <v>13826</v>
      </c>
      <c r="I2179" s="387" t="s">
        <v>13834</v>
      </c>
      <c r="J2179" s="389"/>
      <c r="K2179" s="387"/>
      <c r="L2179" s="387"/>
      <c r="M2179" s="387" t="s">
        <v>10084</v>
      </c>
      <c r="N2179" s="387"/>
      <c r="O2179" s="387" t="s">
        <v>57</v>
      </c>
      <c r="P2179" s="390">
        <v>178090000</v>
      </c>
      <c r="Q2179" s="387"/>
      <c r="R2179" s="387" t="s">
        <v>8173</v>
      </c>
      <c r="S2179" s="340">
        <v>1</v>
      </c>
    </row>
    <row r="2180" spans="1:19" ht="29" x14ac:dyDescent="0.35">
      <c r="A2180" s="349">
        <v>2169</v>
      </c>
      <c r="B2180" s="387" t="s">
        <v>10080</v>
      </c>
      <c r="C2180" s="387" t="s">
        <v>10081</v>
      </c>
      <c r="D2180" s="388" t="s">
        <v>97</v>
      </c>
      <c r="E2180" s="388" t="s">
        <v>10082</v>
      </c>
      <c r="F2180" s="388" t="s">
        <v>10078</v>
      </c>
      <c r="G2180" s="388" t="s">
        <v>10078</v>
      </c>
      <c r="H2180" s="388" t="s">
        <v>13826</v>
      </c>
      <c r="I2180" s="387" t="s">
        <v>13834</v>
      </c>
      <c r="J2180" s="389"/>
      <c r="K2180" s="387"/>
      <c r="L2180" s="387"/>
      <c r="M2180" s="387" t="s">
        <v>10084</v>
      </c>
      <c r="N2180" s="387"/>
      <c r="O2180" s="387" t="s">
        <v>57</v>
      </c>
      <c r="P2180" s="390">
        <v>178090000</v>
      </c>
      <c r="Q2180" s="387"/>
      <c r="R2180" s="387" t="s">
        <v>8173</v>
      </c>
      <c r="S2180" s="340">
        <v>1</v>
      </c>
    </row>
    <row r="2181" spans="1:19" ht="29.5" thickBot="1" x14ac:dyDescent="0.4">
      <c r="A2181" s="357">
        <v>2170</v>
      </c>
      <c r="B2181" s="387" t="s">
        <v>10080</v>
      </c>
      <c r="C2181" s="387" t="s">
        <v>10081</v>
      </c>
      <c r="D2181" s="388" t="s">
        <v>101</v>
      </c>
      <c r="E2181" s="388" t="s">
        <v>10082</v>
      </c>
      <c r="F2181" s="388" t="s">
        <v>10078</v>
      </c>
      <c r="G2181" s="388" t="s">
        <v>10078</v>
      </c>
      <c r="H2181" s="388" t="s">
        <v>12623</v>
      </c>
      <c r="I2181" s="387" t="s">
        <v>13835</v>
      </c>
      <c r="J2181" s="389">
        <v>43676</v>
      </c>
      <c r="K2181" s="387" t="s">
        <v>13836</v>
      </c>
      <c r="L2181" s="387"/>
      <c r="M2181" s="387" t="s">
        <v>10084</v>
      </c>
      <c r="N2181" s="387"/>
      <c r="O2181" s="387" t="s">
        <v>57</v>
      </c>
      <c r="P2181" s="390">
        <v>221418500</v>
      </c>
      <c r="Q2181" s="387" t="s">
        <v>13837</v>
      </c>
      <c r="R2181" s="387" t="s">
        <v>8173</v>
      </c>
      <c r="S2181" s="340">
        <v>1</v>
      </c>
    </row>
    <row r="2182" spans="1:19" ht="29" x14ac:dyDescent="0.35">
      <c r="A2182" s="349">
        <v>2171</v>
      </c>
      <c r="B2182" s="387" t="s">
        <v>10110</v>
      </c>
      <c r="C2182" s="387" t="s">
        <v>10111</v>
      </c>
      <c r="D2182" s="388" t="s">
        <v>51</v>
      </c>
      <c r="E2182" s="388" t="s">
        <v>10082</v>
      </c>
      <c r="F2182" s="388" t="s">
        <v>10078</v>
      </c>
      <c r="G2182" s="388" t="s">
        <v>10078</v>
      </c>
      <c r="H2182" s="388" t="s">
        <v>11408</v>
      </c>
      <c r="I2182" s="387" t="s">
        <v>13834</v>
      </c>
      <c r="J2182" s="389"/>
      <c r="K2182" s="387"/>
      <c r="L2182" s="387"/>
      <c r="M2182" s="387" t="s">
        <v>10084</v>
      </c>
      <c r="N2182" s="387"/>
      <c r="O2182" s="387" t="s">
        <v>57</v>
      </c>
      <c r="P2182" s="390">
        <v>10330000</v>
      </c>
      <c r="Q2182" s="387"/>
      <c r="R2182" s="387" t="s">
        <v>8173</v>
      </c>
      <c r="S2182" s="340">
        <v>1</v>
      </c>
    </row>
    <row r="2183" spans="1:19" ht="44" thickBot="1" x14ac:dyDescent="0.4">
      <c r="A2183" s="357">
        <v>2172</v>
      </c>
      <c r="B2183" s="387" t="s">
        <v>10110</v>
      </c>
      <c r="C2183" s="387" t="s">
        <v>10111</v>
      </c>
      <c r="D2183" s="388" t="s">
        <v>101</v>
      </c>
      <c r="E2183" s="388" t="s">
        <v>10082</v>
      </c>
      <c r="F2183" s="388" t="s">
        <v>10078</v>
      </c>
      <c r="G2183" s="388" t="s">
        <v>10088</v>
      </c>
      <c r="H2183" s="388" t="s">
        <v>11870</v>
      </c>
      <c r="I2183" s="387" t="s">
        <v>13838</v>
      </c>
      <c r="J2183" s="389"/>
      <c r="K2183" s="387" t="s">
        <v>13839</v>
      </c>
      <c r="L2183" s="387"/>
      <c r="M2183" s="387"/>
      <c r="N2183" s="387"/>
      <c r="O2183" s="387" t="s">
        <v>44</v>
      </c>
      <c r="P2183" s="390">
        <v>93741210</v>
      </c>
      <c r="Q2183" s="387" t="s">
        <v>13840</v>
      </c>
      <c r="R2183" s="387" t="s">
        <v>8173</v>
      </c>
      <c r="S2183" s="340">
        <v>1</v>
      </c>
    </row>
    <row r="2184" spans="1:19" ht="58" x14ac:dyDescent="0.35">
      <c r="A2184" s="349">
        <v>2173</v>
      </c>
      <c r="B2184" s="387" t="s">
        <v>10110</v>
      </c>
      <c r="C2184" s="387" t="s">
        <v>10111</v>
      </c>
      <c r="D2184" s="388" t="s">
        <v>107</v>
      </c>
      <c r="E2184" s="388" t="s">
        <v>10082</v>
      </c>
      <c r="F2184" s="388" t="s">
        <v>10078</v>
      </c>
      <c r="G2184" s="388" t="s">
        <v>10078</v>
      </c>
      <c r="H2184" s="388" t="s">
        <v>12017</v>
      </c>
      <c r="I2184" s="387" t="s">
        <v>13838</v>
      </c>
      <c r="J2184" s="389"/>
      <c r="K2184" s="387" t="s">
        <v>13841</v>
      </c>
      <c r="L2184" s="387"/>
      <c r="M2184" s="387"/>
      <c r="N2184" s="387"/>
      <c r="O2184" s="387" t="s">
        <v>44</v>
      </c>
      <c r="P2184" s="390">
        <v>251514631.00000003</v>
      </c>
      <c r="Q2184" s="387" t="s">
        <v>13842</v>
      </c>
      <c r="R2184" s="387" t="s">
        <v>8173</v>
      </c>
      <c r="S2184" s="340">
        <v>1</v>
      </c>
    </row>
    <row r="2185" spans="1:19" ht="29.5" thickBot="1" x14ac:dyDescent="0.4">
      <c r="A2185" s="357">
        <v>2174</v>
      </c>
      <c r="B2185" s="387" t="s">
        <v>10085</v>
      </c>
      <c r="C2185" s="387" t="s">
        <v>10086</v>
      </c>
      <c r="D2185" s="388" t="s">
        <v>51</v>
      </c>
      <c r="E2185" s="388" t="s">
        <v>10082</v>
      </c>
      <c r="F2185" s="388" t="s">
        <v>10078</v>
      </c>
      <c r="G2185" s="388" t="s">
        <v>10088</v>
      </c>
      <c r="H2185" s="388" t="s">
        <v>12623</v>
      </c>
      <c r="I2185" s="387" t="s">
        <v>13834</v>
      </c>
      <c r="J2185" s="389">
        <v>40413</v>
      </c>
      <c r="K2185" s="387" t="s">
        <v>13843</v>
      </c>
      <c r="L2185" s="387"/>
      <c r="M2185" s="387" t="s">
        <v>10084</v>
      </c>
      <c r="N2185" s="387"/>
      <c r="O2185" s="387" t="s">
        <v>422</v>
      </c>
      <c r="P2185" s="390">
        <v>447782341</v>
      </c>
      <c r="Q2185" s="387" t="s">
        <v>13844</v>
      </c>
      <c r="R2185" s="387" t="s">
        <v>8173</v>
      </c>
      <c r="S2185" s="340">
        <v>1</v>
      </c>
    </row>
    <row r="2186" spans="1:19" ht="29" x14ac:dyDescent="0.35">
      <c r="A2186" s="349">
        <v>2175</v>
      </c>
      <c r="B2186" s="387" t="s">
        <v>10080</v>
      </c>
      <c r="C2186" s="387" t="s">
        <v>10081</v>
      </c>
      <c r="D2186" s="388" t="s">
        <v>51</v>
      </c>
      <c r="E2186" s="388" t="s">
        <v>10082</v>
      </c>
      <c r="F2186" s="388" t="s">
        <v>10078</v>
      </c>
      <c r="G2186" s="388" t="s">
        <v>10078</v>
      </c>
      <c r="H2186" s="388" t="s">
        <v>13175</v>
      </c>
      <c r="I2186" s="387" t="s">
        <v>13845</v>
      </c>
      <c r="J2186" s="389"/>
      <c r="K2186" s="387"/>
      <c r="L2186" s="387"/>
      <c r="M2186" s="387" t="s">
        <v>10084</v>
      </c>
      <c r="N2186" s="387"/>
      <c r="O2186" s="387" t="s">
        <v>57</v>
      </c>
      <c r="P2186" s="390">
        <v>173413000</v>
      </c>
      <c r="Q2186" s="387"/>
      <c r="R2186" s="387" t="s">
        <v>8176</v>
      </c>
      <c r="S2186" s="340">
        <v>1</v>
      </c>
    </row>
    <row r="2187" spans="1:19" ht="29.5" thickBot="1" x14ac:dyDescent="0.4">
      <c r="A2187" s="357">
        <v>2176</v>
      </c>
      <c r="B2187" s="387" t="s">
        <v>10080</v>
      </c>
      <c r="C2187" s="387" t="s">
        <v>10081</v>
      </c>
      <c r="D2187" s="388" t="s">
        <v>59</v>
      </c>
      <c r="E2187" s="388" t="s">
        <v>10082</v>
      </c>
      <c r="F2187" s="388" t="s">
        <v>10078</v>
      </c>
      <c r="G2187" s="388" t="s">
        <v>10078</v>
      </c>
      <c r="H2187" s="388" t="s">
        <v>13175</v>
      </c>
      <c r="I2187" s="387" t="s">
        <v>13845</v>
      </c>
      <c r="J2187" s="389"/>
      <c r="K2187" s="387"/>
      <c r="L2187" s="387"/>
      <c r="M2187" s="387" t="s">
        <v>10084</v>
      </c>
      <c r="N2187" s="387"/>
      <c r="O2187" s="387" t="s">
        <v>57</v>
      </c>
      <c r="P2187" s="390">
        <v>149979000</v>
      </c>
      <c r="Q2187" s="387"/>
      <c r="R2187" s="387" t="s">
        <v>8176</v>
      </c>
      <c r="S2187" s="340">
        <v>1</v>
      </c>
    </row>
    <row r="2188" spans="1:19" ht="29" x14ac:dyDescent="0.35">
      <c r="A2188" s="349">
        <v>2177</v>
      </c>
      <c r="B2188" s="387" t="s">
        <v>10080</v>
      </c>
      <c r="C2188" s="387" t="s">
        <v>10081</v>
      </c>
      <c r="D2188" s="388" t="s">
        <v>97</v>
      </c>
      <c r="E2188" s="388" t="s">
        <v>10082</v>
      </c>
      <c r="F2188" s="388" t="s">
        <v>10078</v>
      </c>
      <c r="G2188" s="388" t="s">
        <v>10088</v>
      </c>
      <c r="H2188" s="388" t="s">
        <v>13846</v>
      </c>
      <c r="I2188" s="387" t="s">
        <v>13845</v>
      </c>
      <c r="J2188" s="389">
        <v>42276</v>
      </c>
      <c r="K2188" s="387" t="s">
        <v>13847</v>
      </c>
      <c r="L2188" s="387"/>
      <c r="M2188" s="387" t="s">
        <v>10084</v>
      </c>
      <c r="N2188" s="387"/>
      <c r="O2188" s="387" t="s">
        <v>57</v>
      </c>
      <c r="P2188" s="390">
        <v>379974000</v>
      </c>
      <c r="Q2188" s="387" t="s">
        <v>13848</v>
      </c>
      <c r="R2188" s="387" t="s">
        <v>8176</v>
      </c>
      <c r="S2188" s="340">
        <v>1</v>
      </c>
    </row>
    <row r="2189" spans="1:19" ht="29.5" thickBot="1" x14ac:dyDescent="0.4">
      <c r="A2189" s="357">
        <v>2178</v>
      </c>
      <c r="B2189" s="387" t="s">
        <v>10110</v>
      </c>
      <c r="C2189" s="387" t="s">
        <v>10111</v>
      </c>
      <c r="D2189" s="388" t="s">
        <v>51</v>
      </c>
      <c r="E2189" s="388" t="s">
        <v>10082</v>
      </c>
      <c r="F2189" s="388" t="s">
        <v>10078</v>
      </c>
      <c r="G2189" s="388" t="s">
        <v>10088</v>
      </c>
      <c r="H2189" s="388" t="s">
        <v>13849</v>
      </c>
      <c r="I2189" s="387" t="s">
        <v>13845</v>
      </c>
      <c r="J2189" s="389">
        <v>42391</v>
      </c>
      <c r="K2189" s="387" t="s">
        <v>13850</v>
      </c>
      <c r="L2189" s="387"/>
      <c r="M2189" s="387" t="s">
        <v>10084</v>
      </c>
      <c r="N2189" s="387"/>
      <c r="O2189" s="387" t="s">
        <v>57</v>
      </c>
      <c r="P2189" s="390">
        <v>82670000</v>
      </c>
      <c r="Q2189" s="387" t="s">
        <v>13851</v>
      </c>
      <c r="R2189" s="387" t="s">
        <v>8176</v>
      </c>
      <c r="S2189" s="340">
        <v>1</v>
      </c>
    </row>
    <row r="2190" spans="1:19" ht="43.5" x14ac:dyDescent="0.35">
      <c r="A2190" s="349">
        <v>2179</v>
      </c>
      <c r="B2190" s="387" t="s">
        <v>10110</v>
      </c>
      <c r="C2190" s="387" t="s">
        <v>10111</v>
      </c>
      <c r="D2190" s="388" t="s">
        <v>59</v>
      </c>
      <c r="E2190" s="388" t="s">
        <v>10082</v>
      </c>
      <c r="F2190" s="388" t="s">
        <v>10078</v>
      </c>
      <c r="G2190" s="388" t="s">
        <v>10088</v>
      </c>
      <c r="H2190" s="388" t="s">
        <v>11870</v>
      </c>
      <c r="I2190" s="387" t="s">
        <v>13852</v>
      </c>
      <c r="J2190" s="389">
        <v>44760</v>
      </c>
      <c r="K2190" s="387" t="s">
        <v>13853</v>
      </c>
      <c r="L2190" s="387"/>
      <c r="M2190" s="387"/>
      <c r="N2190" s="387"/>
      <c r="O2190" s="387" t="s">
        <v>44</v>
      </c>
      <c r="P2190" s="390">
        <v>87644059.000000015</v>
      </c>
      <c r="Q2190" s="387" t="s">
        <v>13854</v>
      </c>
      <c r="R2190" s="387" t="s">
        <v>8176</v>
      </c>
      <c r="S2190" s="340">
        <v>1</v>
      </c>
    </row>
    <row r="2191" spans="1:19" ht="29.5" thickBot="1" x14ac:dyDescent="0.4">
      <c r="A2191" s="357">
        <v>2180</v>
      </c>
      <c r="B2191" s="387" t="s">
        <v>10092</v>
      </c>
      <c r="C2191" s="387" t="s">
        <v>10093</v>
      </c>
      <c r="D2191" s="388" t="s">
        <v>51</v>
      </c>
      <c r="E2191" s="388" t="s">
        <v>10082</v>
      </c>
      <c r="F2191" s="388" t="s">
        <v>10078</v>
      </c>
      <c r="G2191" s="388" t="s">
        <v>10078</v>
      </c>
      <c r="H2191" s="388" t="s">
        <v>13166</v>
      </c>
      <c r="I2191" s="387" t="s">
        <v>13845</v>
      </c>
      <c r="J2191" s="389">
        <v>41564</v>
      </c>
      <c r="K2191" s="387" t="s">
        <v>13855</v>
      </c>
      <c r="L2191" s="387"/>
      <c r="M2191" s="387" t="s">
        <v>10084</v>
      </c>
      <c r="N2191" s="387"/>
      <c r="O2191" s="387" t="s">
        <v>57</v>
      </c>
      <c r="P2191" s="390">
        <v>148016666.59999999</v>
      </c>
      <c r="Q2191" s="387"/>
      <c r="R2191" s="387" t="s">
        <v>8176</v>
      </c>
      <c r="S2191" s="340">
        <v>1</v>
      </c>
    </row>
    <row r="2192" spans="1:19" ht="29" x14ac:dyDescent="0.35">
      <c r="A2192" s="349">
        <v>2181</v>
      </c>
      <c r="B2192" s="387" t="s">
        <v>10085</v>
      </c>
      <c r="C2192" s="387" t="s">
        <v>10086</v>
      </c>
      <c r="D2192" s="388" t="s">
        <v>51</v>
      </c>
      <c r="E2192" s="388" t="s">
        <v>10082</v>
      </c>
      <c r="F2192" s="388" t="s">
        <v>10078</v>
      </c>
      <c r="G2192" s="388" t="s">
        <v>10078</v>
      </c>
      <c r="H2192" s="388" t="s">
        <v>11686</v>
      </c>
      <c r="I2192" s="387" t="s">
        <v>13845</v>
      </c>
      <c r="J2192" s="389"/>
      <c r="K2192" s="387"/>
      <c r="L2192" s="387"/>
      <c r="M2192" s="387" t="s">
        <v>10084</v>
      </c>
      <c r="N2192" s="387"/>
      <c r="O2192" s="387" t="s">
        <v>57</v>
      </c>
      <c r="P2192" s="390">
        <v>167392000</v>
      </c>
      <c r="Q2192" s="387"/>
      <c r="R2192" s="387" t="s">
        <v>8176</v>
      </c>
      <c r="S2192" s="340">
        <v>1</v>
      </c>
    </row>
    <row r="2193" spans="1:19" ht="29.5" thickBot="1" x14ac:dyDescent="0.4">
      <c r="A2193" s="357">
        <v>2182</v>
      </c>
      <c r="B2193" s="387" t="s">
        <v>10085</v>
      </c>
      <c r="C2193" s="387" t="s">
        <v>10086</v>
      </c>
      <c r="D2193" s="388" t="s">
        <v>59</v>
      </c>
      <c r="E2193" s="388" t="s">
        <v>10082</v>
      </c>
      <c r="F2193" s="388" t="s">
        <v>10078</v>
      </c>
      <c r="G2193" s="388" t="s">
        <v>10078</v>
      </c>
      <c r="H2193" s="388" t="s">
        <v>11686</v>
      </c>
      <c r="I2193" s="387" t="s">
        <v>13845</v>
      </c>
      <c r="J2193" s="389"/>
      <c r="K2193" s="387"/>
      <c r="L2193" s="387"/>
      <c r="M2193" s="387" t="s">
        <v>10084</v>
      </c>
      <c r="N2193" s="387"/>
      <c r="O2193" s="387" t="s">
        <v>57</v>
      </c>
      <c r="P2193" s="390">
        <v>188798170</v>
      </c>
      <c r="Q2193" s="387"/>
      <c r="R2193" s="387" t="s">
        <v>8176</v>
      </c>
      <c r="S2193" s="340">
        <v>1</v>
      </c>
    </row>
    <row r="2194" spans="1:19" ht="29" x14ac:dyDescent="0.35">
      <c r="A2194" s="349">
        <v>2183</v>
      </c>
      <c r="B2194" s="387" t="s">
        <v>10085</v>
      </c>
      <c r="C2194" s="387" t="s">
        <v>10086</v>
      </c>
      <c r="D2194" s="388" t="s">
        <v>97</v>
      </c>
      <c r="E2194" s="388" t="s">
        <v>10082</v>
      </c>
      <c r="F2194" s="388" t="s">
        <v>10078</v>
      </c>
      <c r="G2194" s="388" t="s">
        <v>10078</v>
      </c>
      <c r="H2194" s="388" t="s">
        <v>11686</v>
      </c>
      <c r="I2194" s="387" t="s">
        <v>13845</v>
      </c>
      <c r="J2194" s="389"/>
      <c r="K2194" s="387"/>
      <c r="L2194" s="387"/>
      <c r="M2194" s="387" t="s">
        <v>10084</v>
      </c>
      <c r="N2194" s="387"/>
      <c r="O2194" s="387" t="s">
        <v>57</v>
      </c>
      <c r="P2194" s="390">
        <v>82642000</v>
      </c>
      <c r="Q2194" s="387"/>
      <c r="R2194" s="387" t="s">
        <v>8176</v>
      </c>
      <c r="S2194" s="340">
        <v>1</v>
      </c>
    </row>
    <row r="2195" spans="1:19" ht="44" thickBot="1" x14ac:dyDescent="0.4">
      <c r="A2195" s="357">
        <v>2184</v>
      </c>
      <c r="B2195" s="387" t="s">
        <v>10085</v>
      </c>
      <c r="C2195" s="387" t="s">
        <v>10086</v>
      </c>
      <c r="D2195" s="388" t="s">
        <v>101</v>
      </c>
      <c r="E2195" s="388" t="s">
        <v>10082</v>
      </c>
      <c r="F2195" s="388" t="s">
        <v>10078</v>
      </c>
      <c r="G2195" s="388" t="s">
        <v>10078</v>
      </c>
      <c r="H2195" s="388" t="s">
        <v>11634</v>
      </c>
      <c r="I2195" s="387" t="s">
        <v>13845</v>
      </c>
      <c r="J2195" s="389">
        <v>41585</v>
      </c>
      <c r="K2195" s="387" t="s">
        <v>13856</v>
      </c>
      <c r="L2195" s="387"/>
      <c r="M2195" s="387" t="s">
        <v>10084</v>
      </c>
      <c r="N2195" s="387"/>
      <c r="O2195" s="387" t="s">
        <v>57</v>
      </c>
      <c r="P2195" s="390">
        <v>137500000</v>
      </c>
      <c r="Q2195" s="387" t="s">
        <v>13857</v>
      </c>
      <c r="R2195" s="387" t="s">
        <v>8176</v>
      </c>
      <c r="S2195" s="340">
        <v>1</v>
      </c>
    </row>
    <row r="2196" spans="1:19" ht="29" x14ac:dyDescent="0.35">
      <c r="A2196" s="349">
        <v>2185</v>
      </c>
      <c r="B2196" s="387" t="s">
        <v>10146</v>
      </c>
      <c r="C2196" s="387" t="s">
        <v>10147</v>
      </c>
      <c r="D2196" s="388" t="s">
        <v>51</v>
      </c>
      <c r="E2196" s="388" t="s">
        <v>10082</v>
      </c>
      <c r="F2196" s="388" t="s">
        <v>10078</v>
      </c>
      <c r="G2196" s="388" t="s">
        <v>10078</v>
      </c>
      <c r="H2196" s="388" t="s">
        <v>11364</v>
      </c>
      <c r="I2196" s="387" t="s">
        <v>13858</v>
      </c>
      <c r="J2196" s="389">
        <v>43676</v>
      </c>
      <c r="K2196" s="387" t="s">
        <v>13859</v>
      </c>
      <c r="L2196" s="387"/>
      <c r="M2196" s="387" t="s">
        <v>10084</v>
      </c>
      <c r="N2196" s="387"/>
      <c r="O2196" s="387" t="s">
        <v>57</v>
      </c>
      <c r="P2196" s="390">
        <v>221422500</v>
      </c>
      <c r="Q2196" s="387" t="s">
        <v>13860</v>
      </c>
      <c r="R2196" s="387" t="s">
        <v>8176</v>
      </c>
      <c r="S2196" s="340">
        <v>1</v>
      </c>
    </row>
    <row r="2197" spans="1:19" ht="29.5" thickBot="1" x14ac:dyDescent="0.4">
      <c r="A2197" s="357">
        <v>2186</v>
      </c>
      <c r="B2197" s="387" t="s">
        <v>10080</v>
      </c>
      <c r="C2197" s="387" t="s">
        <v>10081</v>
      </c>
      <c r="D2197" s="388" t="s">
        <v>51</v>
      </c>
      <c r="E2197" s="388" t="s">
        <v>10082</v>
      </c>
      <c r="F2197" s="388" t="s">
        <v>10078</v>
      </c>
      <c r="G2197" s="388" t="s">
        <v>10078</v>
      </c>
      <c r="H2197" s="388" t="s">
        <v>12157</v>
      </c>
      <c r="I2197" s="387" t="s">
        <v>13792</v>
      </c>
      <c r="J2197" s="389"/>
      <c r="K2197" s="387"/>
      <c r="L2197" s="387"/>
      <c r="M2197" s="387" t="s">
        <v>10084</v>
      </c>
      <c r="N2197" s="387"/>
      <c r="O2197" s="387" t="s">
        <v>57</v>
      </c>
      <c r="P2197" s="390">
        <v>123962000</v>
      </c>
      <c r="Q2197" s="387"/>
      <c r="R2197" s="387" t="s">
        <v>8178</v>
      </c>
      <c r="S2197" s="340">
        <v>1</v>
      </c>
    </row>
    <row r="2198" spans="1:19" ht="29" x14ac:dyDescent="0.35">
      <c r="A2198" s="349">
        <v>2187</v>
      </c>
      <c r="B2198" s="387" t="s">
        <v>10080</v>
      </c>
      <c r="C2198" s="387" t="s">
        <v>10081</v>
      </c>
      <c r="D2198" s="388" t="s">
        <v>59</v>
      </c>
      <c r="E2198" s="388" t="s">
        <v>10082</v>
      </c>
      <c r="F2198" s="388" t="s">
        <v>10078</v>
      </c>
      <c r="G2198" s="388" t="s">
        <v>10078</v>
      </c>
      <c r="H2198" s="388" t="s">
        <v>11415</v>
      </c>
      <c r="I2198" s="387" t="s">
        <v>13792</v>
      </c>
      <c r="J2198" s="389"/>
      <c r="K2198" s="387"/>
      <c r="L2198" s="387"/>
      <c r="M2198" s="387" t="s">
        <v>10084</v>
      </c>
      <c r="N2198" s="387"/>
      <c r="O2198" s="387" t="s">
        <v>57</v>
      </c>
      <c r="P2198" s="390">
        <v>165283000</v>
      </c>
      <c r="Q2198" s="387"/>
      <c r="R2198" s="387" t="s">
        <v>8178</v>
      </c>
      <c r="S2198" s="340">
        <v>1</v>
      </c>
    </row>
    <row r="2199" spans="1:19" ht="29.5" thickBot="1" x14ac:dyDescent="0.4">
      <c r="A2199" s="357">
        <v>2188</v>
      </c>
      <c r="B2199" s="387" t="s">
        <v>10080</v>
      </c>
      <c r="C2199" s="387" t="s">
        <v>10081</v>
      </c>
      <c r="D2199" s="388" t="s">
        <v>97</v>
      </c>
      <c r="E2199" s="388" t="s">
        <v>10082</v>
      </c>
      <c r="F2199" s="388" t="s">
        <v>10078</v>
      </c>
      <c r="G2199" s="388" t="s">
        <v>10078</v>
      </c>
      <c r="H2199" s="388" t="s">
        <v>11465</v>
      </c>
      <c r="I2199" s="387" t="s">
        <v>13792</v>
      </c>
      <c r="J2199" s="389"/>
      <c r="K2199" s="387"/>
      <c r="L2199" s="387"/>
      <c r="M2199" s="387" t="s">
        <v>10084</v>
      </c>
      <c r="N2199" s="387"/>
      <c r="O2199" s="387" t="s">
        <v>57</v>
      </c>
      <c r="P2199" s="390">
        <v>216934000</v>
      </c>
      <c r="Q2199" s="387"/>
      <c r="R2199" s="387" t="s">
        <v>8178</v>
      </c>
      <c r="S2199" s="340">
        <v>1</v>
      </c>
    </row>
    <row r="2200" spans="1:19" ht="29" x14ac:dyDescent="0.35">
      <c r="A2200" s="349">
        <v>2189</v>
      </c>
      <c r="B2200" s="387" t="s">
        <v>10080</v>
      </c>
      <c r="C2200" s="387" t="s">
        <v>10081</v>
      </c>
      <c r="D2200" s="388" t="s">
        <v>101</v>
      </c>
      <c r="E2200" s="388" t="s">
        <v>10082</v>
      </c>
      <c r="F2200" s="388" t="s">
        <v>10078</v>
      </c>
      <c r="G2200" s="388" t="s">
        <v>10078</v>
      </c>
      <c r="H2200" s="388" t="s">
        <v>13011</v>
      </c>
      <c r="I2200" s="387" t="s">
        <v>13792</v>
      </c>
      <c r="J2200" s="389"/>
      <c r="K2200" s="387"/>
      <c r="L2200" s="387"/>
      <c r="M2200" s="387" t="s">
        <v>10084</v>
      </c>
      <c r="N2200" s="387"/>
      <c r="O2200" s="387" t="s">
        <v>422</v>
      </c>
      <c r="P2200" s="390">
        <v>108000000</v>
      </c>
      <c r="Q2200" s="387" t="s">
        <v>8603</v>
      </c>
      <c r="R2200" s="387" t="s">
        <v>8178</v>
      </c>
      <c r="S2200" s="340">
        <v>1</v>
      </c>
    </row>
    <row r="2201" spans="1:19" ht="29.5" thickBot="1" x14ac:dyDescent="0.4">
      <c r="A2201" s="357">
        <v>2190</v>
      </c>
      <c r="B2201" s="387" t="s">
        <v>10080</v>
      </c>
      <c r="C2201" s="387" t="s">
        <v>10081</v>
      </c>
      <c r="D2201" s="388" t="s">
        <v>107</v>
      </c>
      <c r="E2201" s="388" t="s">
        <v>10082</v>
      </c>
      <c r="F2201" s="388" t="s">
        <v>10078</v>
      </c>
      <c r="G2201" s="388" t="s">
        <v>10078</v>
      </c>
      <c r="H2201" s="388" t="s">
        <v>12157</v>
      </c>
      <c r="I2201" s="387" t="s">
        <v>13792</v>
      </c>
      <c r="J2201" s="389"/>
      <c r="K2201" s="387"/>
      <c r="L2201" s="387"/>
      <c r="M2201" s="387" t="s">
        <v>10084</v>
      </c>
      <c r="N2201" s="387"/>
      <c r="O2201" s="387" t="s">
        <v>57</v>
      </c>
      <c r="P2201" s="390">
        <v>308862000</v>
      </c>
      <c r="Q2201" s="387"/>
      <c r="R2201" s="387" t="s">
        <v>8178</v>
      </c>
      <c r="S2201" s="340">
        <v>1</v>
      </c>
    </row>
    <row r="2202" spans="1:19" ht="29" x14ac:dyDescent="0.35">
      <c r="A2202" s="349">
        <v>2191</v>
      </c>
      <c r="B2202" s="387" t="s">
        <v>10110</v>
      </c>
      <c r="C2202" s="387" t="s">
        <v>10111</v>
      </c>
      <c r="D2202" s="388" t="s">
        <v>51</v>
      </c>
      <c r="E2202" s="388" t="s">
        <v>10082</v>
      </c>
      <c r="F2202" s="388" t="s">
        <v>10078</v>
      </c>
      <c r="G2202" s="388" t="s">
        <v>10088</v>
      </c>
      <c r="H2202" s="388" t="s">
        <v>13849</v>
      </c>
      <c r="I2202" s="387" t="s">
        <v>13792</v>
      </c>
      <c r="J2202" s="389">
        <v>42391</v>
      </c>
      <c r="K2202" s="387" t="s">
        <v>10290</v>
      </c>
      <c r="L2202" s="387"/>
      <c r="M2202" s="387" t="s">
        <v>10084</v>
      </c>
      <c r="N2202" s="387"/>
      <c r="O2202" s="387" t="s">
        <v>57</v>
      </c>
      <c r="P2202" s="390">
        <v>82642000</v>
      </c>
      <c r="Q2202" s="387" t="s">
        <v>13861</v>
      </c>
      <c r="R2202" s="387" t="s">
        <v>8178</v>
      </c>
      <c r="S2202" s="340">
        <v>1</v>
      </c>
    </row>
    <row r="2203" spans="1:19" ht="29.5" thickBot="1" x14ac:dyDescent="0.4">
      <c r="A2203" s="357">
        <v>2192</v>
      </c>
      <c r="B2203" s="387" t="s">
        <v>10110</v>
      </c>
      <c r="C2203" s="387" t="s">
        <v>10111</v>
      </c>
      <c r="D2203" s="388" t="s">
        <v>59</v>
      </c>
      <c r="E2203" s="388" t="s">
        <v>10082</v>
      </c>
      <c r="F2203" s="388" t="s">
        <v>10078</v>
      </c>
      <c r="G2203" s="388" t="s">
        <v>10078</v>
      </c>
      <c r="H2203" s="388" t="s">
        <v>11447</v>
      </c>
      <c r="I2203" s="387" t="s">
        <v>8653</v>
      </c>
      <c r="J2203" s="389">
        <v>43717</v>
      </c>
      <c r="K2203" s="387" t="s">
        <v>13862</v>
      </c>
      <c r="L2203" s="387"/>
      <c r="M2203" s="387" t="s">
        <v>10084</v>
      </c>
      <c r="N2203" s="387"/>
      <c r="O2203" s="387" t="s">
        <v>57</v>
      </c>
      <c r="P2203" s="390">
        <v>110568000</v>
      </c>
      <c r="Q2203" s="387" t="s">
        <v>13863</v>
      </c>
      <c r="R2203" s="387" t="s">
        <v>8178</v>
      </c>
      <c r="S2203" s="340">
        <v>1</v>
      </c>
    </row>
    <row r="2204" spans="1:19" ht="58" x14ac:dyDescent="0.35">
      <c r="A2204" s="349">
        <v>2193</v>
      </c>
      <c r="B2204" s="387" t="s">
        <v>10110</v>
      </c>
      <c r="C2204" s="387" t="s">
        <v>10111</v>
      </c>
      <c r="D2204" s="388" t="s">
        <v>107</v>
      </c>
      <c r="E2204" s="388" t="s">
        <v>10082</v>
      </c>
      <c r="F2204" s="388" t="s">
        <v>10078</v>
      </c>
      <c r="G2204" s="388" t="s">
        <v>10088</v>
      </c>
      <c r="H2204" s="388" t="s">
        <v>12017</v>
      </c>
      <c r="I2204" s="387" t="s">
        <v>13864</v>
      </c>
      <c r="J2204" s="389"/>
      <c r="K2204" s="387" t="s">
        <v>13865</v>
      </c>
      <c r="L2204" s="387"/>
      <c r="M2204" s="387"/>
      <c r="N2204" s="387"/>
      <c r="O2204" s="387" t="s">
        <v>44</v>
      </c>
      <c r="P2204" s="390">
        <v>256480784</v>
      </c>
      <c r="Q2204" s="387" t="s">
        <v>13866</v>
      </c>
      <c r="R2204" s="387" t="s">
        <v>8178</v>
      </c>
      <c r="S2204" s="340">
        <v>1</v>
      </c>
    </row>
    <row r="2205" spans="1:19" ht="44" thickBot="1" x14ac:dyDescent="0.4">
      <c r="A2205" s="357">
        <v>2194</v>
      </c>
      <c r="B2205" s="387" t="s">
        <v>10110</v>
      </c>
      <c r="C2205" s="387" t="s">
        <v>10111</v>
      </c>
      <c r="D2205" s="388" t="s">
        <v>112</v>
      </c>
      <c r="E2205" s="388" t="s">
        <v>10082</v>
      </c>
      <c r="F2205" s="388" t="s">
        <v>10078</v>
      </c>
      <c r="G2205" s="388" t="s">
        <v>10088</v>
      </c>
      <c r="H2205" s="388" t="s">
        <v>11613</v>
      </c>
      <c r="I2205" s="387" t="s">
        <v>13867</v>
      </c>
      <c r="J2205" s="389"/>
      <c r="K2205" s="387" t="s">
        <v>13868</v>
      </c>
      <c r="L2205" s="387"/>
      <c r="M2205" s="387"/>
      <c r="N2205" s="387"/>
      <c r="O2205" s="387" t="s">
        <v>44</v>
      </c>
      <c r="P2205" s="390">
        <v>148224900</v>
      </c>
      <c r="Q2205" s="387" t="s">
        <v>13869</v>
      </c>
      <c r="R2205" s="387" t="s">
        <v>8178</v>
      </c>
      <c r="S2205" s="340">
        <v>1</v>
      </c>
    </row>
    <row r="2206" spans="1:19" ht="29" x14ac:dyDescent="0.35">
      <c r="A2206" s="349">
        <v>2195</v>
      </c>
      <c r="B2206" s="387" t="s">
        <v>10085</v>
      </c>
      <c r="C2206" s="387" t="s">
        <v>10086</v>
      </c>
      <c r="D2206" s="388" t="s">
        <v>51</v>
      </c>
      <c r="E2206" s="388" t="s">
        <v>10082</v>
      </c>
      <c r="F2206" s="388" t="s">
        <v>10078</v>
      </c>
      <c r="G2206" s="388" t="s">
        <v>10088</v>
      </c>
      <c r="H2206" s="388" t="s">
        <v>11409</v>
      </c>
      <c r="I2206" s="387" t="s">
        <v>13792</v>
      </c>
      <c r="J2206" s="389">
        <v>40767</v>
      </c>
      <c r="K2206" s="387" t="s">
        <v>13870</v>
      </c>
      <c r="L2206" s="387"/>
      <c r="M2206" s="387" t="s">
        <v>10084</v>
      </c>
      <c r="N2206" s="387"/>
      <c r="O2206" s="387" t="s">
        <v>422</v>
      </c>
      <c r="P2206" s="390">
        <v>268108900.00000003</v>
      </c>
      <c r="Q2206" s="387" t="s">
        <v>13871</v>
      </c>
      <c r="R2206" s="387" t="s">
        <v>8178</v>
      </c>
      <c r="S2206" s="340">
        <v>1</v>
      </c>
    </row>
    <row r="2207" spans="1:19" ht="29.5" thickBot="1" x14ac:dyDescent="0.4">
      <c r="A2207" s="357">
        <v>2196</v>
      </c>
      <c r="B2207" s="387" t="s">
        <v>10085</v>
      </c>
      <c r="C2207" s="387" t="s">
        <v>10086</v>
      </c>
      <c r="D2207" s="388" t="s">
        <v>59</v>
      </c>
      <c r="E2207" s="388" t="s">
        <v>10082</v>
      </c>
      <c r="F2207" s="388" t="s">
        <v>10078</v>
      </c>
      <c r="G2207" s="388" t="s">
        <v>10078</v>
      </c>
      <c r="H2207" s="388" t="s">
        <v>11324</v>
      </c>
      <c r="I2207" s="387" t="s">
        <v>13792</v>
      </c>
      <c r="J2207" s="389"/>
      <c r="K2207" s="387"/>
      <c r="L2207" s="387"/>
      <c r="M2207" s="387" t="s">
        <v>10084</v>
      </c>
      <c r="N2207" s="387"/>
      <c r="O2207" s="387" t="s">
        <v>57</v>
      </c>
      <c r="P2207" s="390">
        <v>283406500</v>
      </c>
      <c r="Q2207" s="387"/>
      <c r="R2207" s="387" t="s">
        <v>8178</v>
      </c>
      <c r="S2207" s="340">
        <v>1</v>
      </c>
    </row>
    <row r="2208" spans="1:19" ht="29" x14ac:dyDescent="0.35">
      <c r="A2208" s="349">
        <v>2197</v>
      </c>
      <c r="B2208" s="387" t="s">
        <v>10085</v>
      </c>
      <c r="C2208" s="387" t="s">
        <v>10086</v>
      </c>
      <c r="D2208" s="388" t="s">
        <v>97</v>
      </c>
      <c r="E2208" s="388" t="s">
        <v>10082</v>
      </c>
      <c r="F2208" s="388" t="s">
        <v>10078</v>
      </c>
      <c r="G2208" s="388" t="s">
        <v>10078</v>
      </c>
      <c r="H2208" s="388" t="s">
        <v>11324</v>
      </c>
      <c r="I2208" s="387" t="s">
        <v>13792</v>
      </c>
      <c r="J2208" s="389"/>
      <c r="K2208" s="387"/>
      <c r="L2208" s="387"/>
      <c r="M2208" s="387" t="s">
        <v>10084</v>
      </c>
      <c r="N2208" s="387"/>
      <c r="O2208" s="387" t="s">
        <v>57</v>
      </c>
      <c r="P2208" s="390">
        <v>331131000</v>
      </c>
      <c r="Q2208" s="387"/>
      <c r="R2208" s="387" t="s">
        <v>8178</v>
      </c>
      <c r="S2208" s="340">
        <v>1</v>
      </c>
    </row>
    <row r="2209" spans="1:19" ht="29.5" thickBot="1" x14ac:dyDescent="0.4">
      <c r="A2209" s="357">
        <v>2198</v>
      </c>
      <c r="B2209" s="387" t="s">
        <v>10096</v>
      </c>
      <c r="C2209" s="387" t="s">
        <v>10097</v>
      </c>
      <c r="D2209" s="388" t="s">
        <v>51</v>
      </c>
      <c r="E2209" s="388" t="s">
        <v>10082</v>
      </c>
      <c r="F2209" s="388" t="s">
        <v>10078</v>
      </c>
      <c r="G2209" s="388" t="s">
        <v>10088</v>
      </c>
      <c r="H2209" s="388" t="s">
        <v>11641</v>
      </c>
      <c r="I2209" s="387" t="s">
        <v>13792</v>
      </c>
      <c r="J2209" s="389">
        <v>43290</v>
      </c>
      <c r="K2209" s="387" t="s">
        <v>13872</v>
      </c>
      <c r="L2209" s="387"/>
      <c r="M2209" s="387" t="s">
        <v>10084</v>
      </c>
      <c r="N2209" s="387"/>
      <c r="O2209" s="387" t="s">
        <v>57</v>
      </c>
      <c r="P2209" s="390">
        <v>221210000</v>
      </c>
      <c r="Q2209" s="387" t="s">
        <v>13873</v>
      </c>
      <c r="R2209" s="387" t="s">
        <v>8178</v>
      </c>
      <c r="S2209" s="340">
        <v>1</v>
      </c>
    </row>
    <row r="2210" spans="1:19" ht="29" x14ac:dyDescent="0.35">
      <c r="A2210" s="349">
        <v>2199</v>
      </c>
      <c r="B2210" s="387" t="s">
        <v>10155</v>
      </c>
      <c r="C2210" s="387" t="s">
        <v>10156</v>
      </c>
      <c r="D2210" s="388" t="s">
        <v>51</v>
      </c>
      <c r="E2210" s="388" t="s">
        <v>10082</v>
      </c>
      <c r="F2210" s="388" t="s">
        <v>10078</v>
      </c>
      <c r="G2210" s="388" t="s">
        <v>10078</v>
      </c>
      <c r="H2210" s="388" t="s">
        <v>2972</v>
      </c>
      <c r="I2210" s="387" t="s">
        <v>13874</v>
      </c>
      <c r="J2210" s="389">
        <v>44456</v>
      </c>
      <c r="K2210" s="387" t="s">
        <v>13875</v>
      </c>
      <c r="L2210" s="387"/>
      <c r="M2210" s="387" t="s">
        <v>10084</v>
      </c>
      <c r="N2210" s="387"/>
      <c r="O2210" s="387" t="s">
        <v>57</v>
      </c>
      <c r="P2210" s="390">
        <v>236658000</v>
      </c>
      <c r="Q2210" s="387" t="s">
        <v>13876</v>
      </c>
      <c r="R2210" s="387" t="s">
        <v>8180</v>
      </c>
      <c r="S2210" s="340">
        <v>1</v>
      </c>
    </row>
    <row r="2211" spans="1:19" ht="29.5" thickBot="1" x14ac:dyDescent="0.4">
      <c r="A2211" s="357">
        <v>2200</v>
      </c>
      <c r="B2211" s="387" t="s">
        <v>13877</v>
      </c>
      <c r="C2211" s="387" t="s">
        <v>13878</v>
      </c>
      <c r="D2211" s="388" t="s">
        <v>51</v>
      </c>
      <c r="E2211" s="388" t="s">
        <v>10082</v>
      </c>
      <c r="F2211" s="388" t="s">
        <v>10078</v>
      </c>
      <c r="G2211" s="388" t="s">
        <v>10078</v>
      </c>
      <c r="H2211" s="388" t="s">
        <v>2972</v>
      </c>
      <c r="I2211" s="387" t="s">
        <v>13879</v>
      </c>
      <c r="J2211" s="389">
        <v>44398</v>
      </c>
      <c r="K2211" s="387" t="s">
        <v>13880</v>
      </c>
      <c r="L2211" s="387"/>
      <c r="M2211" s="387" t="s">
        <v>10084</v>
      </c>
      <c r="N2211" s="387"/>
      <c r="O2211" s="387" t="s">
        <v>57</v>
      </c>
      <c r="P2211" s="390">
        <v>86196500</v>
      </c>
      <c r="Q2211" s="387" t="s">
        <v>13881</v>
      </c>
      <c r="R2211" s="387" t="s">
        <v>8180</v>
      </c>
      <c r="S2211" s="340">
        <v>1</v>
      </c>
    </row>
    <row r="2212" spans="1:19" ht="29" x14ac:dyDescent="0.35">
      <c r="A2212" s="349">
        <v>2201</v>
      </c>
      <c r="B2212" s="387" t="s">
        <v>10080</v>
      </c>
      <c r="C2212" s="387" t="s">
        <v>10081</v>
      </c>
      <c r="D2212" s="388" t="s">
        <v>51</v>
      </c>
      <c r="E2212" s="388" t="s">
        <v>10082</v>
      </c>
      <c r="F2212" s="388" t="s">
        <v>10078</v>
      </c>
      <c r="G2212" s="388" t="s">
        <v>10078</v>
      </c>
      <c r="H2212" s="388" t="s">
        <v>11413</v>
      </c>
      <c r="I2212" s="387" t="s">
        <v>13882</v>
      </c>
      <c r="J2212" s="389"/>
      <c r="K2212" s="387"/>
      <c r="L2212" s="387"/>
      <c r="M2212" s="387" t="s">
        <v>10084</v>
      </c>
      <c r="N2212" s="387"/>
      <c r="O2212" s="387" t="s">
        <v>57</v>
      </c>
      <c r="P2212" s="390">
        <v>218173000</v>
      </c>
      <c r="Q2212" s="387"/>
      <c r="R2212" s="387" t="s">
        <v>8180</v>
      </c>
      <c r="S2212" s="340">
        <v>1</v>
      </c>
    </row>
    <row r="2213" spans="1:19" ht="29.5" thickBot="1" x14ac:dyDescent="0.4">
      <c r="A2213" s="357">
        <v>2202</v>
      </c>
      <c r="B2213" s="387" t="s">
        <v>10080</v>
      </c>
      <c r="C2213" s="387" t="s">
        <v>10081</v>
      </c>
      <c r="D2213" s="388" t="s">
        <v>59</v>
      </c>
      <c r="E2213" s="388" t="s">
        <v>10082</v>
      </c>
      <c r="F2213" s="388" t="s">
        <v>10078</v>
      </c>
      <c r="G2213" s="388" t="s">
        <v>10078</v>
      </c>
      <c r="H2213" s="388" t="s">
        <v>163</v>
      </c>
      <c r="I2213" s="387" t="s">
        <v>13882</v>
      </c>
      <c r="J2213" s="389"/>
      <c r="K2213" s="387"/>
      <c r="L2213" s="387"/>
      <c r="M2213" s="387" t="s">
        <v>10084</v>
      </c>
      <c r="N2213" s="387"/>
      <c r="O2213" s="387" t="s">
        <v>57</v>
      </c>
      <c r="P2213" s="390">
        <v>461593040</v>
      </c>
      <c r="Q2213" s="387"/>
      <c r="R2213" s="387" t="s">
        <v>8180</v>
      </c>
      <c r="S2213" s="340">
        <v>1</v>
      </c>
    </row>
    <row r="2214" spans="1:19" ht="29" x14ac:dyDescent="0.35">
      <c r="A2214" s="349">
        <v>2203</v>
      </c>
      <c r="B2214" s="387" t="s">
        <v>10080</v>
      </c>
      <c r="C2214" s="387" t="s">
        <v>10081</v>
      </c>
      <c r="D2214" s="388" t="s">
        <v>97</v>
      </c>
      <c r="E2214" s="388" t="s">
        <v>10082</v>
      </c>
      <c r="F2214" s="388" t="s">
        <v>10078</v>
      </c>
      <c r="G2214" s="388" t="s">
        <v>10078</v>
      </c>
      <c r="H2214" s="388" t="s">
        <v>163</v>
      </c>
      <c r="I2214" s="387" t="s">
        <v>13882</v>
      </c>
      <c r="J2214" s="389"/>
      <c r="K2214" s="387"/>
      <c r="L2214" s="387"/>
      <c r="M2214" s="387" t="s">
        <v>10084</v>
      </c>
      <c r="N2214" s="387"/>
      <c r="O2214" s="387" t="s">
        <v>57</v>
      </c>
      <c r="P2214" s="390">
        <v>206714500</v>
      </c>
      <c r="Q2214" s="387"/>
      <c r="R2214" s="387" t="s">
        <v>8180</v>
      </c>
      <c r="S2214" s="340">
        <v>1</v>
      </c>
    </row>
    <row r="2215" spans="1:19" ht="29.5" thickBot="1" x14ac:dyDescent="0.4">
      <c r="A2215" s="357">
        <v>2204</v>
      </c>
      <c r="B2215" s="387" t="s">
        <v>10080</v>
      </c>
      <c r="C2215" s="387" t="s">
        <v>10081</v>
      </c>
      <c r="D2215" s="388" t="s">
        <v>101</v>
      </c>
      <c r="E2215" s="388" t="s">
        <v>10082</v>
      </c>
      <c r="F2215" s="388" t="s">
        <v>10078</v>
      </c>
      <c r="G2215" s="388" t="s">
        <v>10078</v>
      </c>
      <c r="H2215" s="388" t="s">
        <v>163</v>
      </c>
      <c r="I2215" s="387" t="s">
        <v>13882</v>
      </c>
      <c r="J2215" s="389"/>
      <c r="K2215" s="387"/>
      <c r="L2215" s="387"/>
      <c r="M2215" s="387" t="s">
        <v>10084</v>
      </c>
      <c r="N2215" s="387"/>
      <c r="O2215" s="387" t="s">
        <v>57</v>
      </c>
      <c r="P2215" s="390">
        <v>633938900</v>
      </c>
      <c r="Q2215" s="387"/>
      <c r="R2215" s="387" t="s">
        <v>8180</v>
      </c>
      <c r="S2215" s="340">
        <v>1</v>
      </c>
    </row>
    <row r="2216" spans="1:19" ht="29" x14ac:dyDescent="0.35">
      <c r="A2216" s="349">
        <v>2205</v>
      </c>
      <c r="B2216" s="387" t="s">
        <v>10110</v>
      </c>
      <c r="C2216" s="387" t="s">
        <v>10111</v>
      </c>
      <c r="D2216" s="388" t="s">
        <v>51</v>
      </c>
      <c r="E2216" s="388" t="s">
        <v>10082</v>
      </c>
      <c r="F2216" s="388" t="s">
        <v>10078</v>
      </c>
      <c r="G2216" s="388" t="s">
        <v>10078</v>
      </c>
      <c r="H2216" s="388" t="s">
        <v>11731</v>
      </c>
      <c r="I2216" s="387" t="s">
        <v>13882</v>
      </c>
      <c r="J2216" s="389"/>
      <c r="K2216" s="387"/>
      <c r="L2216" s="387"/>
      <c r="M2216" s="387" t="s">
        <v>10084</v>
      </c>
      <c r="N2216" s="387"/>
      <c r="O2216" s="387" t="s">
        <v>57</v>
      </c>
      <c r="P2216" s="390">
        <v>6887000</v>
      </c>
      <c r="Q2216" s="387"/>
      <c r="R2216" s="387" t="s">
        <v>8180</v>
      </c>
      <c r="S2216" s="340">
        <v>1</v>
      </c>
    </row>
    <row r="2217" spans="1:19" ht="29.5" thickBot="1" x14ac:dyDescent="0.4">
      <c r="A2217" s="357">
        <v>2206</v>
      </c>
      <c r="B2217" s="387" t="s">
        <v>10110</v>
      </c>
      <c r="C2217" s="387" t="s">
        <v>10111</v>
      </c>
      <c r="D2217" s="388" t="s">
        <v>59</v>
      </c>
      <c r="E2217" s="388" t="s">
        <v>10082</v>
      </c>
      <c r="F2217" s="388" t="s">
        <v>10078</v>
      </c>
      <c r="G2217" s="388" t="s">
        <v>10078</v>
      </c>
      <c r="H2217" s="388" t="s">
        <v>11801</v>
      </c>
      <c r="I2217" s="387" t="s">
        <v>13882</v>
      </c>
      <c r="J2217" s="389"/>
      <c r="K2217" s="387"/>
      <c r="L2217" s="387"/>
      <c r="M2217" s="387" t="s">
        <v>10084</v>
      </c>
      <c r="N2217" s="387"/>
      <c r="O2217" s="387" t="s">
        <v>57</v>
      </c>
      <c r="P2217" s="390">
        <v>6887000</v>
      </c>
      <c r="Q2217" s="387"/>
      <c r="R2217" s="387" t="s">
        <v>8180</v>
      </c>
      <c r="S2217" s="340">
        <v>1</v>
      </c>
    </row>
    <row r="2218" spans="1:19" ht="29" x14ac:dyDescent="0.35">
      <c r="A2218" s="349">
        <v>2207</v>
      </c>
      <c r="B2218" s="387" t="s">
        <v>10092</v>
      </c>
      <c r="C2218" s="387" t="s">
        <v>10093</v>
      </c>
      <c r="D2218" s="388" t="s">
        <v>51</v>
      </c>
      <c r="E2218" s="388" t="s">
        <v>10082</v>
      </c>
      <c r="F2218" s="388" t="s">
        <v>10078</v>
      </c>
      <c r="G2218" s="388" t="s">
        <v>10088</v>
      </c>
      <c r="H2218" s="388" t="s">
        <v>13166</v>
      </c>
      <c r="I2218" s="387" t="s">
        <v>13883</v>
      </c>
      <c r="J2218" s="389">
        <v>41564</v>
      </c>
      <c r="K2218" s="387" t="s">
        <v>13884</v>
      </c>
      <c r="L2218" s="387"/>
      <c r="M2218" s="387" t="s">
        <v>10084</v>
      </c>
      <c r="N2218" s="387"/>
      <c r="O2218" s="387" t="s">
        <v>57</v>
      </c>
      <c r="P2218" s="390">
        <v>148725000</v>
      </c>
      <c r="Q2218" s="387"/>
      <c r="R2218" s="387" t="s">
        <v>8180</v>
      </c>
      <c r="S2218" s="340">
        <v>1</v>
      </c>
    </row>
    <row r="2219" spans="1:19" ht="44" thickBot="1" x14ac:dyDescent="0.4">
      <c r="A2219" s="357">
        <v>2208</v>
      </c>
      <c r="B2219" s="387" t="s">
        <v>10085</v>
      </c>
      <c r="C2219" s="387" t="s">
        <v>10086</v>
      </c>
      <c r="D2219" s="388" t="s">
        <v>51</v>
      </c>
      <c r="E2219" s="388" t="s">
        <v>10082</v>
      </c>
      <c r="F2219" s="388" t="s">
        <v>10078</v>
      </c>
      <c r="G2219" s="388" t="s">
        <v>10078</v>
      </c>
      <c r="H2219" s="388" t="s">
        <v>11384</v>
      </c>
      <c r="I2219" s="387" t="s">
        <v>13883</v>
      </c>
      <c r="J2219" s="389">
        <v>41528</v>
      </c>
      <c r="K2219" s="387" t="s">
        <v>13885</v>
      </c>
      <c r="L2219" s="387"/>
      <c r="M2219" s="387" t="s">
        <v>10084</v>
      </c>
      <c r="N2219" s="387"/>
      <c r="O2219" s="387" t="s">
        <v>57</v>
      </c>
      <c r="P2219" s="390">
        <v>230093000</v>
      </c>
      <c r="Q2219" s="387" t="s">
        <v>13886</v>
      </c>
      <c r="R2219" s="387" t="s">
        <v>8180</v>
      </c>
      <c r="S2219" s="340">
        <v>1</v>
      </c>
    </row>
    <row r="2220" spans="1:19" ht="29" x14ac:dyDescent="0.35">
      <c r="A2220" s="349">
        <v>2209</v>
      </c>
      <c r="B2220" s="387" t="s">
        <v>10146</v>
      </c>
      <c r="C2220" s="387" t="s">
        <v>10147</v>
      </c>
      <c r="D2220" s="388" t="s">
        <v>51</v>
      </c>
      <c r="E2220" s="388" t="s">
        <v>10082</v>
      </c>
      <c r="F2220" s="388" t="s">
        <v>10078</v>
      </c>
      <c r="G2220" s="388" t="s">
        <v>10088</v>
      </c>
      <c r="H2220" s="388" t="s">
        <v>2972</v>
      </c>
      <c r="I2220" s="387" t="s">
        <v>13882</v>
      </c>
      <c r="J2220" s="389">
        <v>43228</v>
      </c>
      <c r="K2220" s="387" t="s">
        <v>13887</v>
      </c>
      <c r="L2220" s="387"/>
      <c r="M2220" s="387" t="s">
        <v>10084</v>
      </c>
      <c r="N2220" s="387"/>
      <c r="O2220" s="387" t="s">
        <v>57</v>
      </c>
      <c r="P2220" s="390">
        <v>221229000</v>
      </c>
      <c r="Q2220" s="387" t="s">
        <v>13888</v>
      </c>
      <c r="R2220" s="387" t="s">
        <v>8180</v>
      </c>
      <c r="S2220" s="340">
        <v>1</v>
      </c>
    </row>
    <row r="2221" spans="1:19" ht="29.5" thickBot="1" x14ac:dyDescent="0.4">
      <c r="A2221" s="357">
        <v>2210</v>
      </c>
      <c r="B2221" s="387" t="s">
        <v>10096</v>
      </c>
      <c r="C2221" s="387" t="s">
        <v>10097</v>
      </c>
      <c r="D2221" s="388" t="s">
        <v>51</v>
      </c>
      <c r="E2221" s="388" t="s">
        <v>10082</v>
      </c>
      <c r="F2221" s="388" t="s">
        <v>10078</v>
      </c>
      <c r="G2221" s="388" t="s">
        <v>10088</v>
      </c>
      <c r="H2221" s="388" t="s">
        <v>12771</v>
      </c>
      <c r="I2221" s="387" t="s">
        <v>13889</v>
      </c>
      <c r="J2221" s="389"/>
      <c r="K2221" s="387" t="s">
        <v>13890</v>
      </c>
      <c r="L2221" s="387"/>
      <c r="M2221" s="387"/>
      <c r="N2221" s="387"/>
      <c r="O2221" s="387" t="s">
        <v>44</v>
      </c>
      <c r="P2221" s="390">
        <v>199518000</v>
      </c>
      <c r="Q2221" s="387" t="s">
        <v>13891</v>
      </c>
      <c r="R2221" s="387" t="s">
        <v>8180</v>
      </c>
      <c r="S2221" s="340">
        <v>1</v>
      </c>
    </row>
    <row r="2222" spans="1:19" ht="43.5" x14ac:dyDescent="0.35">
      <c r="A2222" s="349">
        <v>2211</v>
      </c>
      <c r="B2222" s="387" t="s">
        <v>10080</v>
      </c>
      <c r="C2222" s="387" t="s">
        <v>10081</v>
      </c>
      <c r="D2222" s="388" t="s">
        <v>51</v>
      </c>
      <c r="E2222" s="388" t="s">
        <v>10082</v>
      </c>
      <c r="F2222" s="388" t="s">
        <v>10078</v>
      </c>
      <c r="G2222" s="388" t="s">
        <v>10088</v>
      </c>
      <c r="H2222" s="388" t="s">
        <v>11308</v>
      </c>
      <c r="I2222" s="387" t="s">
        <v>13892</v>
      </c>
      <c r="J2222" s="389"/>
      <c r="K2222" s="387"/>
      <c r="L2222" s="387"/>
      <c r="M2222" s="387" t="s">
        <v>10084</v>
      </c>
      <c r="N2222" s="387"/>
      <c r="O2222" s="387" t="s">
        <v>57</v>
      </c>
      <c r="P2222" s="390">
        <v>273769000</v>
      </c>
      <c r="Q2222" s="387"/>
      <c r="R2222" s="387" t="s">
        <v>8182</v>
      </c>
      <c r="S2222" s="340">
        <v>1</v>
      </c>
    </row>
    <row r="2223" spans="1:19" ht="44" thickBot="1" x14ac:dyDescent="0.4">
      <c r="A2223" s="357">
        <v>2212</v>
      </c>
      <c r="B2223" s="387" t="s">
        <v>10080</v>
      </c>
      <c r="C2223" s="387" t="s">
        <v>10081</v>
      </c>
      <c r="D2223" s="388" t="s">
        <v>59</v>
      </c>
      <c r="E2223" s="388" t="s">
        <v>10082</v>
      </c>
      <c r="F2223" s="388" t="s">
        <v>10078</v>
      </c>
      <c r="G2223" s="388" t="s">
        <v>10078</v>
      </c>
      <c r="H2223" s="388" t="s">
        <v>12226</v>
      </c>
      <c r="I2223" s="387" t="s">
        <v>13892</v>
      </c>
      <c r="J2223" s="389"/>
      <c r="K2223" s="387"/>
      <c r="L2223" s="387"/>
      <c r="M2223" s="387" t="s">
        <v>10084</v>
      </c>
      <c r="N2223" s="387"/>
      <c r="O2223" s="387" t="s">
        <v>57</v>
      </c>
      <c r="P2223" s="390">
        <v>884750000</v>
      </c>
      <c r="Q2223" s="387"/>
      <c r="R2223" s="387" t="s">
        <v>8182</v>
      </c>
      <c r="S2223" s="340">
        <v>1</v>
      </c>
    </row>
    <row r="2224" spans="1:19" ht="43.5" x14ac:dyDescent="0.35">
      <c r="A2224" s="349">
        <v>2213</v>
      </c>
      <c r="B2224" s="387" t="s">
        <v>10080</v>
      </c>
      <c r="C2224" s="387" t="s">
        <v>10081</v>
      </c>
      <c r="D2224" s="388" t="s">
        <v>97</v>
      </c>
      <c r="E2224" s="388" t="s">
        <v>10082</v>
      </c>
      <c r="F2224" s="388" t="s">
        <v>10078</v>
      </c>
      <c r="G2224" s="388" t="s">
        <v>10078</v>
      </c>
      <c r="H2224" s="388" t="s">
        <v>11960</v>
      </c>
      <c r="I2224" s="387" t="s">
        <v>13892</v>
      </c>
      <c r="J2224" s="389"/>
      <c r="K2224" s="387"/>
      <c r="L2224" s="387"/>
      <c r="M2224" s="387" t="s">
        <v>10084</v>
      </c>
      <c r="N2224" s="387"/>
      <c r="O2224" s="387" t="s">
        <v>422</v>
      </c>
      <c r="P2224" s="390">
        <v>80000000</v>
      </c>
      <c r="Q2224" s="387" t="s">
        <v>8603</v>
      </c>
      <c r="R2224" s="387" t="s">
        <v>8182</v>
      </c>
      <c r="S2224" s="340">
        <v>1</v>
      </c>
    </row>
    <row r="2225" spans="1:19" ht="58.5" thickBot="1" x14ac:dyDescent="0.4">
      <c r="A2225" s="357">
        <v>2214</v>
      </c>
      <c r="B2225" s="387" t="s">
        <v>10110</v>
      </c>
      <c r="C2225" s="387" t="s">
        <v>10111</v>
      </c>
      <c r="D2225" s="388" t="s">
        <v>59</v>
      </c>
      <c r="E2225" s="388" t="s">
        <v>10082</v>
      </c>
      <c r="F2225" s="388" t="s">
        <v>10078</v>
      </c>
      <c r="G2225" s="388" t="s">
        <v>10088</v>
      </c>
      <c r="H2225" s="388" t="s">
        <v>11308</v>
      </c>
      <c r="I2225" s="387" t="s">
        <v>13893</v>
      </c>
      <c r="J2225" s="389"/>
      <c r="K2225" s="387" t="s">
        <v>13894</v>
      </c>
      <c r="L2225" s="387"/>
      <c r="M2225" s="387"/>
      <c r="N2225" s="387"/>
      <c r="O2225" s="387" t="s">
        <v>44</v>
      </c>
      <c r="P2225" s="390">
        <v>265645719.99999997</v>
      </c>
      <c r="Q2225" s="387" t="s">
        <v>13895</v>
      </c>
      <c r="R2225" s="387" t="s">
        <v>8182</v>
      </c>
      <c r="S2225" s="340">
        <v>1</v>
      </c>
    </row>
    <row r="2226" spans="1:19" ht="43.5" x14ac:dyDescent="0.35">
      <c r="A2226" s="349">
        <v>2215</v>
      </c>
      <c r="B2226" s="387" t="s">
        <v>10092</v>
      </c>
      <c r="C2226" s="387" t="s">
        <v>10093</v>
      </c>
      <c r="D2226" s="388" t="s">
        <v>51</v>
      </c>
      <c r="E2226" s="388" t="s">
        <v>10082</v>
      </c>
      <c r="F2226" s="388" t="s">
        <v>10078</v>
      </c>
      <c r="G2226" s="388" t="s">
        <v>10088</v>
      </c>
      <c r="H2226" s="388" t="s">
        <v>12979</v>
      </c>
      <c r="I2226" s="387" t="s">
        <v>13892</v>
      </c>
      <c r="J2226" s="389">
        <v>41904</v>
      </c>
      <c r="K2226" s="387" t="s">
        <v>13896</v>
      </c>
      <c r="L2226" s="387"/>
      <c r="M2226" s="387" t="s">
        <v>10084</v>
      </c>
      <c r="N2226" s="387"/>
      <c r="O2226" s="387" t="s">
        <v>57</v>
      </c>
      <c r="P2226" s="390">
        <v>147437500</v>
      </c>
      <c r="Q2226" s="387" t="s">
        <v>13897</v>
      </c>
      <c r="R2226" s="387" t="s">
        <v>8182</v>
      </c>
      <c r="S2226" s="340">
        <v>1</v>
      </c>
    </row>
    <row r="2227" spans="1:19" ht="44" thickBot="1" x14ac:dyDescent="0.4">
      <c r="A2227" s="357">
        <v>2216</v>
      </c>
      <c r="B2227" s="387" t="s">
        <v>10146</v>
      </c>
      <c r="C2227" s="387" t="s">
        <v>10147</v>
      </c>
      <c r="D2227" s="388" t="s">
        <v>51</v>
      </c>
      <c r="E2227" s="388" t="s">
        <v>10082</v>
      </c>
      <c r="F2227" s="388" t="s">
        <v>10078</v>
      </c>
      <c r="G2227" s="388" t="s">
        <v>10088</v>
      </c>
      <c r="H2227" s="388" t="s">
        <v>12157</v>
      </c>
      <c r="I2227" s="387" t="s">
        <v>13892</v>
      </c>
      <c r="J2227" s="389">
        <v>42881</v>
      </c>
      <c r="K2227" s="387" t="s">
        <v>13898</v>
      </c>
      <c r="L2227" s="387"/>
      <c r="M2227" s="387" t="s">
        <v>10084</v>
      </c>
      <c r="N2227" s="387"/>
      <c r="O2227" s="387" t="s">
        <v>57</v>
      </c>
      <c r="P2227" s="390">
        <v>320923000</v>
      </c>
      <c r="Q2227" s="387" t="s">
        <v>13899</v>
      </c>
      <c r="R2227" s="387" t="s">
        <v>8182</v>
      </c>
      <c r="S2227" s="340">
        <v>1</v>
      </c>
    </row>
    <row r="2228" spans="1:19" ht="43.5" x14ac:dyDescent="0.35">
      <c r="A2228" s="349">
        <v>2217</v>
      </c>
      <c r="B2228" s="387" t="s">
        <v>10080</v>
      </c>
      <c r="C2228" s="387" t="s">
        <v>10081</v>
      </c>
      <c r="D2228" s="388" t="s">
        <v>51</v>
      </c>
      <c r="E2228" s="388" t="s">
        <v>10082</v>
      </c>
      <c r="F2228" s="388" t="s">
        <v>10078</v>
      </c>
      <c r="G2228" s="388" t="s">
        <v>10078</v>
      </c>
      <c r="H2228" s="388" t="s">
        <v>13900</v>
      </c>
      <c r="I2228" s="387" t="s">
        <v>13901</v>
      </c>
      <c r="J2228" s="389"/>
      <c r="K2228" s="387"/>
      <c r="L2228" s="387"/>
      <c r="M2228" s="387" t="s">
        <v>10084</v>
      </c>
      <c r="N2228" s="387"/>
      <c r="O2228" s="387" t="s">
        <v>422</v>
      </c>
      <c r="P2228" s="390">
        <v>108000000</v>
      </c>
      <c r="Q2228" s="387" t="s">
        <v>8603</v>
      </c>
      <c r="R2228" s="387" t="s">
        <v>8186</v>
      </c>
      <c r="S2228" s="340">
        <v>1</v>
      </c>
    </row>
    <row r="2229" spans="1:19" ht="44" thickBot="1" x14ac:dyDescent="0.4">
      <c r="A2229" s="357">
        <v>2218</v>
      </c>
      <c r="B2229" s="387" t="s">
        <v>10080</v>
      </c>
      <c r="C2229" s="387" t="s">
        <v>10081</v>
      </c>
      <c r="D2229" s="388" t="s">
        <v>59</v>
      </c>
      <c r="E2229" s="388" t="s">
        <v>10082</v>
      </c>
      <c r="F2229" s="388" t="s">
        <v>10078</v>
      </c>
      <c r="G2229" s="388" t="s">
        <v>10078</v>
      </c>
      <c r="H2229" s="388" t="s">
        <v>12226</v>
      </c>
      <c r="I2229" s="387" t="s">
        <v>13901</v>
      </c>
      <c r="J2229" s="389"/>
      <c r="K2229" s="387"/>
      <c r="L2229" s="387"/>
      <c r="M2229" s="387" t="s">
        <v>10084</v>
      </c>
      <c r="N2229" s="387"/>
      <c r="O2229" s="387" t="s">
        <v>57</v>
      </c>
      <c r="P2229" s="390">
        <v>677450000</v>
      </c>
      <c r="Q2229" s="387"/>
      <c r="R2229" s="387" t="s">
        <v>8186</v>
      </c>
      <c r="S2229" s="340">
        <v>1</v>
      </c>
    </row>
    <row r="2230" spans="1:19" ht="43.5" x14ac:dyDescent="0.35">
      <c r="A2230" s="349">
        <v>2219</v>
      </c>
      <c r="B2230" s="387" t="s">
        <v>10085</v>
      </c>
      <c r="C2230" s="387" t="s">
        <v>10086</v>
      </c>
      <c r="D2230" s="388" t="s">
        <v>51</v>
      </c>
      <c r="E2230" s="388" t="s">
        <v>10082</v>
      </c>
      <c r="F2230" s="388" t="s">
        <v>10078</v>
      </c>
      <c r="G2230" s="388" t="s">
        <v>10078</v>
      </c>
      <c r="H2230" s="388" t="s">
        <v>11634</v>
      </c>
      <c r="I2230" s="387" t="s">
        <v>13901</v>
      </c>
      <c r="J2230" s="389">
        <v>41585</v>
      </c>
      <c r="K2230" s="387" t="s">
        <v>13902</v>
      </c>
      <c r="L2230" s="387"/>
      <c r="M2230" s="387" t="s">
        <v>10084</v>
      </c>
      <c r="N2230" s="387"/>
      <c r="O2230" s="387" t="s">
        <v>57</v>
      </c>
      <c r="P2230" s="390">
        <v>237250000</v>
      </c>
      <c r="Q2230" s="387" t="s">
        <v>13903</v>
      </c>
      <c r="R2230" s="387" t="s">
        <v>8186</v>
      </c>
      <c r="S2230" s="340">
        <v>1</v>
      </c>
    </row>
    <row r="2231" spans="1:19" ht="44" thickBot="1" x14ac:dyDescent="0.4">
      <c r="A2231" s="357">
        <v>2220</v>
      </c>
      <c r="B2231" s="387" t="s">
        <v>10146</v>
      </c>
      <c r="C2231" s="387" t="s">
        <v>10147</v>
      </c>
      <c r="D2231" s="388" t="s">
        <v>51</v>
      </c>
      <c r="E2231" s="388" t="s">
        <v>10082</v>
      </c>
      <c r="F2231" s="388" t="s">
        <v>10078</v>
      </c>
      <c r="G2231" s="388" t="s">
        <v>10088</v>
      </c>
      <c r="H2231" s="388" t="s">
        <v>12157</v>
      </c>
      <c r="I2231" s="387" t="s">
        <v>13901</v>
      </c>
      <c r="J2231" s="389">
        <v>42881</v>
      </c>
      <c r="K2231" s="387" t="s">
        <v>13904</v>
      </c>
      <c r="L2231" s="387"/>
      <c r="M2231" s="387" t="s">
        <v>10084</v>
      </c>
      <c r="N2231" s="387"/>
      <c r="O2231" s="387" t="s">
        <v>57</v>
      </c>
      <c r="P2231" s="390">
        <v>221202000</v>
      </c>
      <c r="Q2231" s="387" t="s">
        <v>13905</v>
      </c>
      <c r="R2231" s="387" t="s">
        <v>8186</v>
      </c>
      <c r="S2231" s="340">
        <v>1</v>
      </c>
    </row>
    <row r="2232" spans="1:19" ht="29" x14ac:dyDescent="0.35">
      <c r="A2232" s="349">
        <v>2221</v>
      </c>
      <c r="B2232" s="387" t="s">
        <v>10080</v>
      </c>
      <c r="C2232" s="387" t="s">
        <v>10081</v>
      </c>
      <c r="D2232" s="388" t="s">
        <v>51</v>
      </c>
      <c r="E2232" s="388" t="s">
        <v>10082</v>
      </c>
      <c r="F2232" s="388" t="s">
        <v>10078</v>
      </c>
      <c r="G2232" s="388" t="s">
        <v>10088</v>
      </c>
      <c r="H2232" s="388" t="s">
        <v>11308</v>
      </c>
      <c r="I2232" s="387" t="s">
        <v>13906</v>
      </c>
      <c r="J2232" s="389"/>
      <c r="K2232" s="387" t="s">
        <v>13907</v>
      </c>
      <c r="L2232" s="387"/>
      <c r="M2232" s="387"/>
      <c r="N2232" s="387"/>
      <c r="O2232" s="387" t="s">
        <v>44</v>
      </c>
      <c r="P2232" s="390">
        <v>275458400</v>
      </c>
      <c r="Q2232" s="387" t="s">
        <v>13908</v>
      </c>
      <c r="R2232" s="387" t="s">
        <v>13909</v>
      </c>
      <c r="S2232" s="340">
        <v>1</v>
      </c>
    </row>
    <row r="2233" spans="1:19" ht="29.5" thickBot="1" x14ac:dyDescent="0.4">
      <c r="A2233" s="357">
        <v>2222</v>
      </c>
      <c r="B2233" s="387" t="s">
        <v>10110</v>
      </c>
      <c r="C2233" s="387" t="s">
        <v>10111</v>
      </c>
      <c r="D2233" s="388" t="s">
        <v>51</v>
      </c>
      <c r="E2233" s="388" t="s">
        <v>10082</v>
      </c>
      <c r="F2233" s="388" t="s">
        <v>10078</v>
      </c>
      <c r="G2233" s="388" t="s">
        <v>10088</v>
      </c>
      <c r="H2233" s="388" t="s">
        <v>11308</v>
      </c>
      <c r="I2233" s="387" t="s">
        <v>13906</v>
      </c>
      <c r="J2233" s="389"/>
      <c r="K2233" s="387" t="s">
        <v>13910</v>
      </c>
      <c r="L2233" s="387"/>
      <c r="M2233" s="387"/>
      <c r="N2233" s="387"/>
      <c r="O2233" s="387" t="s">
        <v>44</v>
      </c>
      <c r="P2233" s="390">
        <v>259453050</v>
      </c>
      <c r="Q2233" s="387" t="s">
        <v>13911</v>
      </c>
      <c r="R2233" s="387" t="s">
        <v>13909</v>
      </c>
      <c r="S2233" s="340">
        <v>1</v>
      </c>
    </row>
    <row r="2234" spans="1:19" ht="29" x14ac:dyDescent="0.35">
      <c r="A2234" s="349">
        <v>2223</v>
      </c>
      <c r="B2234" s="387" t="s">
        <v>10155</v>
      </c>
      <c r="C2234" s="387" t="s">
        <v>10156</v>
      </c>
      <c r="D2234" s="388" t="s">
        <v>51</v>
      </c>
      <c r="E2234" s="388" t="s">
        <v>10082</v>
      </c>
      <c r="F2234" s="388" t="s">
        <v>10078</v>
      </c>
      <c r="G2234" s="388" t="s">
        <v>10088</v>
      </c>
      <c r="H2234" s="388" t="s">
        <v>5412</v>
      </c>
      <c r="I2234" s="387" t="s">
        <v>8336</v>
      </c>
      <c r="J2234" s="389">
        <v>41893</v>
      </c>
      <c r="K2234" s="387" t="s">
        <v>13912</v>
      </c>
      <c r="L2234" s="387"/>
      <c r="M2234" s="387" t="s">
        <v>10084</v>
      </c>
      <c r="N2234" s="387"/>
      <c r="O2234" s="387" t="s">
        <v>57</v>
      </c>
      <c r="P2234" s="390">
        <v>496407000</v>
      </c>
      <c r="Q2234" s="387" t="s">
        <v>13913</v>
      </c>
      <c r="R2234" s="387" t="s">
        <v>8189</v>
      </c>
      <c r="S2234" s="340">
        <v>1</v>
      </c>
    </row>
    <row r="2235" spans="1:19" ht="29.5" thickBot="1" x14ac:dyDescent="0.4">
      <c r="A2235" s="357">
        <v>2224</v>
      </c>
      <c r="B2235" s="387" t="s">
        <v>10146</v>
      </c>
      <c r="C2235" s="387" t="s">
        <v>10147</v>
      </c>
      <c r="D2235" s="388" t="s">
        <v>51</v>
      </c>
      <c r="E2235" s="388" t="s">
        <v>10082</v>
      </c>
      <c r="F2235" s="388" t="s">
        <v>10078</v>
      </c>
      <c r="G2235" s="388" t="s">
        <v>10088</v>
      </c>
      <c r="H2235" s="388" t="s">
        <v>8961</v>
      </c>
      <c r="I2235" s="387" t="s">
        <v>8336</v>
      </c>
      <c r="J2235" s="389">
        <v>42949</v>
      </c>
      <c r="K2235" s="387" t="s">
        <v>13914</v>
      </c>
      <c r="L2235" s="387"/>
      <c r="M2235" s="387" t="s">
        <v>10084</v>
      </c>
      <c r="N2235" s="387"/>
      <c r="O2235" s="387" t="s">
        <v>57</v>
      </c>
      <c r="P2235" s="390">
        <v>221329000</v>
      </c>
      <c r="Q2235" s="387" t="s">
        <v>13915</v>
      </c>
      <c r="R2235" s="387" t="s">
        <v>8189</v>
      </c>
      <c r="S2235" s="340">
        <v>1</v>
      </c>
    </row>
    <row r="2236" spans="1:19" ht="29" x14ac:dyDescent="0.35">
      <c r="A2236" s="349">
        <v>2225</v>
      </c>
      <c r="B2236" s="387" t="s">
        <v>10080</v>
      </c>
      <c r="C2236" s="387" t="s">
        <v>10081</v>
      </c>
      <c r="D2236" s="388" t="s">
        <v>51</v>
      </c>
      <c r="E2236" s="388" t="s">
        <v>10082</v>
      </c>
      <c r="F2236" s="388" t="s">
        <v>10078</v>
      </c>
      <c r="G2236" s="388" t="s">
        <v>10078</v>
      </c>
      <c r="H2236" s="388" t="s">
        <v>12906</v>
      </c>
      <c r="I2236" s="387" t="s">
        <v>8317</v>
      </c>
      <c r="J2236" s="389"/>
      <c r="K2236" s="387"/>
      <c r="L2236" s="387"/>
      <c r="M2236" s="387" t="s">
        <v>10084</v>
      </c>
      <c r="N2236" s="387"/>
      <c r="O2236" s="387" t="s">
        <v>57</v>
      </c>
      <c r="P2236" s="390">
        <v>576511000</v>
      </c>
      <c r="Q2236" s="387"/>
      <c r="R2236" s="387" t="s">
        <v>8191</v>
      </c>
      <c r="S2236" s="340">
        <v>1</v>
      </c>
    </row>
    <row r="2237" spans="1:19" ht="29.5" thickBot="1" x14ac:dyDescent="0.4">
      <c r="A2237" s="357">
        <v>2226</v>
      </c>
      <c r="B2237" s="387" t="s">
        <v>10080</v>
      </c>
      <c r="C2237" s="387" t="s">
        <v>10081</v>
      </c>
      <c r="D2237" s="388" t="s">
        <v>59</v>
      </c>
      <c r="E2237" s="388" t="s">
        <v>10082</v>
      </c>
      <c r="F2237" s="388" t="s">
        <v>10078</v>
      </c>
      <c r="G2237" s="388" t="s">
        <v>10078</v>
      </c>
      <c r="H2237" s="388" t="s">
        <v>13165</v>
      </c>
      <c r="I2237" s="387" t="s">
        <v>8317</v>
      </c>
      <c r="J2237" s="389"/>
      <c r="K2237" s="387"/>
      <c r="L2237" s="387"/>
      <c r="M2237" s="387" t="s">
        <v>10084</v>
      </c>
      <c r="N2237" s="387"/>
      <c r="O2237" s="387" t="s">
        <v>422</v>
      </c>
      <c r="P2237" s="390">
        <v>110000000</v>
      </c>
      <c r="Q2237" s="387" t="s">
        <v>8603</v>
      </c>
      <c r="R2237" s="387" t="s">
        <v>8191</v>
      </c>
      <c r="S2237" s="340">
        <v>1</v>
      </c>
    </row>
    <row r="2238" spans="1:19" ht="29" x14ac:dyDescent="0.35">
      <c r="A2238" s="349">
        <v>2227</v>
      </c>
      <c r="B2238" s="387" t="s">
        <v>10092</v>
      </c>
      <c r="C2238" s="387" t="s">
        <v>10093</v>
      </c>
      <c r="D2238" s="388" t="s">
        <v>51</v>
      </c>
      <c r="E2238" s="388" t="s">
        <v>10082</v>
      </c>
      <c r="F2238" s="388" t="s">
        <v>10078</v>
      </c>
      <c r="G2238" s="388" t="s">
        <v>10078</v>
      </c>
      <c r="H2238" s="388" t="s">
        <v>12979</v>
      </c>
      <c r="I2238" s="387" t="s">
        <v>8317</v>
      </c>
      <c r="J2238" s="389"/>
      <c r="K2238" s="387"/>
      <c r="L2238" s="387"/>
      <c r="M2238" s="387" t="s">
        <v>10084</v>
      </c>
      <c r="N2238" s="387"/>
      <c r="O2238" s="387" t="s">
        <v>57</v>
      </c>
      <c r="P2238" s="390">
        <v>125275000</v>
      </c>
      <c r="Q2238" s="387"/>
      <c r="R2238" s="387" t="s">
        <v>8191</v>
      </c>
      <c r="S2238" s="340">
        <v>1</v>
      </c>
    </row>
    <row r="2239" spans="1:19" ht="29.5" thickBot="1" x14ac:dyDescent="0.4">
      <c r="A2239" s="357">
        <v>2228</v>
      </c>
      <c r="B2239" s="387" t="s">
        <v>10085</v>
      </c>
      <c r="C2239" s="387" t="s">
        <v>10086</v>
      </c>
      <c r="D2239" s="388" t="s">
        <v>51</v>
      </c>
      <c r="E2239" s="388" t="s">
        <v>10082</v>
      </c>
      <c r="F2239" s="388" t="s">
        <v>10078</v>
      </c>
      <c r="G2239" s="388" t="s">
        <v>10078</v>
      </c>
      <c r="H2239" s="388" t="s">
        <v>11308</v>
      </c>
      <c r="I2239" s="387" t="s">
        <v>8317</v>
      </c>
      <c r="J2239" s="389"/>
      <c r="K2239" s="387"/>
      <c r="L2239" s="387"/>
      <c r="M2239" s="387" t="s">
        <v>10084</v>
      </c>
      <c r="N2239" s="387"/>
      <c r="O2239" s="387" t="s">
        <v>57</v>
      </c>
      <c r="P2239" s="390">
        <v>99581500</v>
      </c>
      <c r="Q2239" s="387"/>
      <c r="R2239" s="387" t="s">
        <v>8191</v>
      </c>
      <c r="S2239" s="340">
        <v>1</v>
      </c>
    </row>
    <row r="2240" spans="1:19" ht="29" x14ac:dyDescent="0.35">
      <c r="A2240" s="349">
        <v>2229</v>
      </c>
      <c r="B2240" s="387" t="s">
        <v>10146</v>
      </c>
      <c r="C2240" s="387" t="s">
        <v>10147</v>
      </c>
      <c r="D2240" s="388" t="s">
        <v>51</v>
      </c>
      <c r="E2240" s="388" t="s">
        <v>10082</v>
      </c>
      <c r="F2240" s="388" t="s">
        <v>10078</v>
      </c>
      <c r="G2240" s="388" t="s">
        <v>10078</v>
      </c>
      <c r="H2240" s="388" t="s">
        <v>8961</v>
      </c>
      <c r="I2240" s="387" t="s">
        <v>13916</v>
      </c>
      <c r="J2240" s="389">
        <v>43692</v>
      </c>
      <c r="K2240" s="387" t="s">
        <v>13917</v>
      </c>
      <c r="L2240" s="387"/>
      <c r="M2240" s="387" t="s">
        <v>10084</v>
      </c>
      <c r="N2240" s="387"/>
      <c r="O2240" s="387" t="s">
        <v>57</v>
      </c>
      <c r="P2240" s="390">
        <v>221623000</v>
      </c>
      <c r="Q2240" s="387" t="s">
        <v>13918</v>
      </c>
      <c r="R2240" s="387" t="s">
        <v>8191</v>
      </c>
      <c r="S2240" s="340">
        <v>1</v>
      </c>
    </row>
    <row r="2241" spans="1:19" ht="29.5" thickBot="1" x14ac:dyDescent="0.4">
      <c r="A2241" s="357">
        <v>2230</v>
      </c>
      <c r="B2241" s="387" t="s">
        <v>10080</v>
      </c>
      <c r="C2241" s="387" t="s">
        <v>10081</v>
      </c>
      <c r="D2241" s="388" t="s">
        <v>51</v>
      </c>
      <c r="E2241" s="388" t="s">
        <v>10082</v>
      </c>
      <c r="F2241" s="388" t="s">
        <v>10078</v>
      </c>
      <c r="G2241" s="388" t="s">
        <v>10078</v>
      </c>
      <c r="H2241" s="388" t="s">
        <v>13165</v>
      </c>
      <c r="I2241" s="387" t="s">
        <v>8336</v>
      </c>
      <c r="J2241" s="389"/>
      <c r="K2241" s="387"/>
      <c r="L2241" s="387"/>
      <c r="M2241" s="387" t="s">
        <v>10084</v>
      </c>
      <c r="N2241" s="387"/>
      <c r="O2241" s="387" t="s">
        <v>422</v>
      </c>
      <c r="P2241" s="390">
        <v>120000000</v>
      </c>
      <c r="Q2241" s="387" t="s">
        <v>8603</v>
      </c>
      <c r="R2241" s="387" t="s">
        <v>8193</v>
      </c>
      <c r="S2241" s="340">
        <v>1</v>
      </c>
    </row>
    <row r="2242" spans="1:19" ht="29" x14ac:dyDescent="0.35">
      <c r="A2242" s="349">
        <v>2231</v>
      </c>
      <c r="B2242" s="387" t="s">
        <v>10080</v>
      </c>
      <c r="C2242" s="387" t="s">
        <v>10081</v>
      </c>
      <c r="D2242" s="388" t="s">
        <v>59</v>
      </c>
      <c r="E2242" s="388" t="s">
        <v>10082</v>
      </c>
      <c r="F2242" s="388" t="s">
        <v>10078</v>
      </c>
      <c r="G2242" s="388" t="s">
        <v>10078</v>
      </c>
      <c r="H2242" s="388" t="s">
        <v>163</v>
      </c>
      <c r="I2242" s="387" t="s">
        <v>8336</v>
      </c>
      <c r="J2242" s="389"/>
      <c r="K2242" s="387"/>
      <c r="L2242" s="387"/>
      <c r="M2242" s="387" t="s">
        <v>10084</v>
      </c>
      <c r="N2242" s="387"/>
      <c r="O2242" s="387" t="s">
        <v>57</v>
      </c>
      <c r="P2242" s="390">
        <v>122783000</v>
      </c>
      <c r="Q2242" s="387"/>
      <c r="R2242" s="387" t="s">
        <v>8193</v>
      </c>
      <c r="S2242" s="340">
        <v>1</v>
      </c>
    </row>
    <row r="2243" spans="1:19" ht="29.5" thickBot="1" x14ac:dyDescent="0.4">
      <c r="A2243" s="357">
        <v>2232</v>
      </c>
      <c r="B2243" s="387" t="s">
        <v>10080</v>
      </c>
      <c r="C2243" s="387" t="s">
        <v>10081</v>
      </c>
      <c r="D2243" s="388" t="s">
        <v>97</v>
      </c>
      <c r="E2243" s="388" t="s">
        <v>10082</v>
      </c>
      <c r="F2243" s="388" t="s">
        <v>10078</v>
      </c>
      <c r="G2243" s="388" t="s">
        <v>10078</v>
      </c>
      <c r="H2243" s="388" t="s">
        <v>13165</v>
      </c>
      <c r="I2243" s="387" t="s">
        <v>8336</v>
      </c>
      <c r="J2243" s="389"/>
      <c r="K2243" s="387"/>
      <c r="L2243" s="387"/>
      <c r="M2243" s="387" t="s">
        <v>10084</v>
      </c>
      <c r="N2243" s="387"/>
      <c r="O2243" s="387" t="s">
        <v>422</v>
      </c>
      <c r="P2243" s="390">
        <v>101000000</v>
      </c>
      <c r="Q2243" s="387" t="s">
        <v>8603</v>
      </c>
      <c r="R2243" s="387" t="s">
        <v>8193</v>
      </c>
      <c r="S2243" s="340">
        <v>1</v>
      </c>
    </row>
    <row r="2244" spans="1:19" ht="29" x14ac:dyDescent="0.35">
      <c r="A2244" s="349">
        <v>2233</v>
      </c>
      <c r="B2244" s="387" t="s">
        <v>10080</v>
      </c>
      <c r="C2244" s="387" t="s">
        <v>10081</v>
      </c>
      <c r="D2244" s="388" t="s">
        <v>101</v>
      </c>
      <c r="E2244" s="388" t="s">
        <v>10082</v>
      </c>
      <c r="F2244" s="388" t="s">
        <v>10078</v>
      </c>
      <c r="G2244" s="388" t="s">
        <v>10078</v>
      </c>
      <c r="H2244" s="388" t="s">
        <v>12266</v>
      </c>
      <c r="I2244" s="387" t="s">
        <v>8336</v>
      </c>
      <c r="J2244" s="389"/>
      <c r="K2244" s="387"/>
      <c r="L2244" s="387"/>
      <c r="M2244" s="387" t="s">
        <v>10084</v>
      </c>
      <c r="N2244" s="387"/>
      <c r="O2244" s="387" t="s">
        <v>57</v>
      </c>
      <c r="P2244" s="390">
        <v>211574000</v>
      </c>
      <c r="Q2244" s="387"/>
      <c r="R2244" s="387" t="s">
        <v>8193</v>
      </c>
      <c r="S2244" s="340">
        <v>1</v>
      </c>
    </row>
    <row r="2245" spans="1:19" ht="29.5" thickBot="1" x14ac:dyDescent="0.4">
      <c r="A2245" s="357">
        <v>2234</v>
      </c>
      <c r="B2245" s="387" t="s">
        <v>10080</v>
      </c>
      <c r="C2245" s="387" t="s">
        <v>10081</v>
      </c>
      <c r="D2245" s="388" t="s">
        <v>107</v>
      </c>
      <c r="E2245" s="388" t="s">
        <v>10082</v>
      </c>
      <c r="F2245" s="388" t="s">
        <v>10078</v>
      </c>
      <c r="G2245" s="388" t="s">
        <v>10078</v>
      </c>
      <c r="H2245" s="388" t="s">
        <v>12157</v>
      </c>
      <c r="I2245" s="387" t="s">
        <v>8336</v>
      </c>
      <c r="J2245" s="389"/>
      <c r="K2245" s="387"/>
      <c r="L2245" s="387"/>
      <c r="M2245" s="387" t="s">
        <v>10084</v>
      </c>
      <c r="N2245" s="387"/>
      <c r="O2245" s="387" t="s">
        <v>57</v>
      </c>
      <c r="P2245" s="390">
        <v>908076750</v>
      </c>
      <c r="Q2245" s="387"/>
      <c r="R2245" s="387" t="s">
        <v>8193</v>
      </c>
      <c r="S2245" s="340">
        <v>1</v>
      </c>
    </row>
    <row r="2246" spans="1:19" ht="29" x14ac:dyDescent="0.35">
      <c r="A2246" s="349">
        <v>2235</v>
      </c>
      <c r="B2246" s="387" t="s">
        <v>10080</v>
      </c>
      <c r="C2246" s="387" t="s">
        <v>10081</v>
      </c>
      <c r="D2246" s="388" t="s">
        <v>112</v>
      </c>
      <c r="E2246" s="388" t="s">
        <v>10082</v>
      </c>
      <c r="F2246" s="388" t="s">
        <v>10078</v>
      </c>
      <c r="G2246" s="388" t="s">
        <v>10078</v>
      </c>
      <c r="H2246" s="388" t="s">
        <v>11421</v>
      </c>
      <c r="I2246" s="387" t="s">
        <v>8336</v>
      </c>
      <c r="J2246" s="389"/>
      <c r="K2246" s="387"/>
      <c r="L2246" s="387"/>
      <c r="M2246" s="387" t="s">
        <v>10084</v>
      </c>
      <c r="N2246" s="387"/>
      <c r="O2246" s="387" t="s">
        <v>57</v>
      </c>
      <c r="P2246" s="390">
        <v>244746000</v>
      </c>
      <c r="Q2246" s="387"/>
      <c r="R2246" s="387" t="s">
        <v>8193</v>
      </c>
      <c r="S2246" s="340">
        <v>1</v>
      </c>
    </row>
    <row r="2247" spans="1:19" ht="29.5" thickBot="1" x14ac:dyDescent="0.4">
      <c r="A2247" s="357">
        <v>2236</v>
      </c>
      <c r="B2247" s="387" t="s">
        <v>10080</v>
      </c>
      <c r="C2247" s="387" t="s">
        <v>10081</v>
      </c>
      <c r="D2247" s="388" t="s">
        <v>116</v>
      </c>
      <c r="E2247" s="388" t="s">
        <v>10082</v>
      </c>
      <c r="F2247" s="388" t="s">
        <v>10078</v>
      </c>
      <c r="G2247" s="388" t="s">
        <v>10078</v>
      </c>
      <c r="H2247" s="388" t="s">
        <v>163</v>
      </c>
      <c r="I2247" s="387" t="s">
        <v>8336</v>
      </c>
      <c r="J2247" s="389"/>
      <c r="K2247" s="387"/>
      <c r="L2247" s="387"/>
      <c r="M2247" s="387" t="s">
        <v>10084</v>
      </c>
      <c r="N2247" s="387"/>
      <c r="O2247" s="387" t="s">
        <v>57</v>
      </c>
      <c r="P2247" s="390">
        <v>122783000</v>
      </c>
      <c r="Q2247" s="387"/>
      <c r="R2247" s="387" t="s">
        <v>8193</v>
      </c>
      <c r="S2247" s="340">
        <v>1</v>
      </c>
    </row>
    <row r="2248" spans="1:19" ht="29" x14ac:dyDescent="0.35">
      <c r="A2248" s="349">
        <v>2237</v>
      </c>
      <c r="B2248" s="387" t="s">
        <v>10080</v>
      </c>
      <c r="C2248" s="387" t="s">
        <v>10081</v>
      </c>
      <c r="D2248" s="388" t="s">
        <v>841</v>
      </c>
      <c r="E2248" s="388" t="s">
        <v>10082</v>
      </c>
      <c r="F2248" s="388" t="s">
        <v>10078</v>
      </c>
      <c r="G2248" s="388" t="s">
        <v>10078</v>
      </c>
      <c r="H2248" s="388" t="s">
        <v>11465</v>
      </c>
      <c r="I2248" s="387" t="s">
        <v>8336</v>
      </c>
      <c r="J2248" s="389"/>
      <c r="K2248" s="387"/>
      <c r="L2248" s="387"/>
      <c r="M2248" s="387" t="s">
        <v>10084</v>
      </c>
      <c r="N2248" s="387"/>
      <c r="O2248" s="387" t="s">
        <v>57</v>
      </c>
      <c r="P2248" s="390">
        <v>143246000</v>
      </c>
      <c r="Q2248" s="387"/>
      <c r="R2248" s="387" t="s">
        <v>8193</v>
      </c>
      <c r="S2248" s="340">
        <v>1</v>
      </c>
    </row>
    <row r="2249" spans="1:19" ht="29.5" thickBot="1" x14ac:dyDescent="0.4">
      <c r="A2249" s="357">
        <v>2238</v>
      </c>
      <c r="B2249" s="387" t="s">
        <v>10392</v>
      </c>
      <c r="C2249" s="387" t="s">
        <v>10393</v>
      </c>
      <c r="D2249" s="388" t="s">
        <v>51</v>
      </c>
      <c r="E2249" s="388" t="s">
        <v>10082</v>
      </c>
      <c r="F2249" s="388" t="s">
        <v>10078</v>
      </c>
      <c r="G2249" s="388" t="s">
        <v>10078</v>
      </c>
      <c r="H2249" s="388" t="s">
        <v>12157</v>
      </c>
      <c r="I2249" s="387" t="s">
        <v>8336</v>
      </c>
      <c r="J2249" s="389">
        <v>42149</v>
      </c>
      <c r="K2249" s="387" t="s">
        <v>13919</v>
      </c>
      <c r="L2249" s="387"/>
      <c r="M2249" s="387" t="s">
        <v>10084</v>
      </c>
      <c r="N2249" s="387"/>
      <c r="O2249" s="387" t="s">
        <v>57</v>
      </c>
      <c r="P2249" s="390">
        <v>221140000</v>
      </c>
      <c r="Q2249" s="387" t="s">
        <v>13920</v>
      </c>
      <c r="R2249" s="387" t="s">
        <v>8193</v>
      </c>
      <c r="S2249" s="340">
        <v>1</v>
      </c>
    </row>
    <row r="2250" spans="1:19" ht="29" x14ac:dyDescent="0.35">
      <c r="A2250" s="349">
        <v>2239</v>
      </c>
      <c r="B2250" s="387" t="s">
        <v>10092</v>
      </c>
      <c r="C2250" s="387" t="s">
        <v>10093</v>
      </c>
      <c r="D2250" s="388" t="s">
        <v>51</v>
      </c>
      <c r="E2250" s="388" t="s">
        <v>10082</v>
      </c>
      <c r="F2250" s="388" t="s">
        <v>10078</v>
      </c>
      <c r="G2250" s="388" t="s">
        <v>10078</v>
      </c>
      <c r="H2250" s="388" t="s">
        <v>12979</v>
      </c>
      <c r="I2250" s="387" t="s">
        <v>8336</v>
      </c>
      <c r="J2250" s="389"/>
      <c r="K2250" s="387"/>
      <c r="L2250" s="387"/>
      <c r="M2250" s="387" t="s">
        <v>10084</v>
      </c>
      <c r="N2250" s="387"/>
      <c r="O2250" s="387" t="s">
        <v>57</v>
      </c>
      <c r="P2250" s="390">
        <v>125720000</v>
      </c>
      <c r="Q2250" s="387"/>
      <c r="R2250" s="387" t="s">
        <v>8193</v>
      </c>
      <c r="S2250" s="340">
        <v>1</v>
      </c>
    </row>
    <row r="2251" spans="1:19" ht="29.5" thickBot="1" x14ac:dyDescent="0.4">
      <c r="A2251" s="357">
        <v>2240</v>
      </c>
      <c r="B2251" s="387" t="s">
        <v>10146</v>
      </c>
      <c r="C2251" s="387" t="s">
        <v>10147</v>
      </c>
      <c r="D2251" s="388" t="s">
        <v>51</v>
      </c>
      <c r="E2251" s="388" t="s">
        <v>10082</v>
      </c>
      <c r="F2251" s="388" t="s">
        <v>10078</v>
      </c>
      <c r="G2251" s="388" t="s">
        <v>10078</v>
      </c>
      <c r="H2251" s="388" t="s">
        <v>13033</v>
      </c>
      <c r="I2251" s="387" t="s">
        <v>978</v>
      </c>
      <c r="J2251" s="389">
        <v>43966</v>
      </c>
      <c r="K2251" s="387" t="s">
        <v>13921</v>
      </c>
      <c r="L2251" s="387"/>
      <c r="M2251" s="387" t="s">
        <v>10084</v>
      </c>
      <c r="N2251" s="387"/>
      <c r="O2251" s="387" t="s">
        <v>57</v>
      </c>
      <c r="P2251" s="390">
        <v>185900000</v>
      </c>
      <c r="Q2251" s="387" t="s">
        <v>13922</v>
      </c>
      <c r="R2251" s="387" t="s">
        <v>8193</v>
      </c>
      <c r="S2251" s="340">
        <v>1</v>
      </c>
    </row>
    <row r="2252" spans="1:19" ht="29" x14ac:dyDescent="0.35">
      <c r="A2252" s="349">
        <v>2241</v>
      </c>
      <c r="B2252" s="387" t="s">
        <v>10080</v>
      </c>
      <c r="C2252" s="387" t="s">
        <v>10081</v>
      </c>
      <c r="D2252" s="388" t="s">
        <v>51</v>
      </c>
      <c r="E2252" s="388" t="s">
        <v>10082</v>
      </c>
      <c r="F2252" s="388" t="s">
        <v>10078</v>
      </c>
      <c r="G2252" s="388" t="s">
        <v>10078</v>
      </c>
      <c r="H2252" s="388" t="s">
        <v>12997</v>
      </c>
      <c r="I2252" s="387" t="s">
        <v>13923</v>
      </c>
      <c r="J2252" s="389"/>
      <c r="K2252" s="387"/>
      <c r="L2252" s="387"/>
      <c r="M2252" s="387" t="s">
        <v>10084</v>
      </c>
      <c r="N2252" s="387"/>
      <c r="O2252" s="387" t="s">
        <v>57</v>
      </c>
      <c r="P2252" s="390">
        <v>334356000</v>
      </c>
      <c r="Q2252" s="387"/>
      <c r="R2252" s="387" t="s">
        <v>8195</v>
      </c>
      <c r="S2252" s="340">
        <v>1</v>
      </c>
    </row>
    <row r="2253" spans="1:19" ht="29.5" thickBot="1" x14ac:dyDescent="0.4">
      <c r="A2253" s="357">
        <v>2242</v>
      </c>
      <c r="B2253" s="387" t="s">
        <v>10080</v>
      </c>
      <c r="C2253" s="387" t="s">
        <v>10081</v>
      </c>
      <c r="D2253" s="388" t="s">
        <v>59</v>
      </c>
      <c r="E2253" s="388" t="s">
        <v>10082</v>
      </c>
      <c r="F2253" s="388" t="s">
        <v>10078</v>
      </c>
      <c r="G2253" s="388" t="s">
        <v>10078</v>
      </c>
      <c r="H2253" s="388" t="s">
        <v>13165</v>
      </c>
      <c r="I2253" s="387" t="s">
        <v>13923</v>
      </c>
      <c r="J2253" s="389"/>
      <c r="K2253" s="387"/>
      <c r="L2253" s="387"/>
      <c r="M2253" s="387" t="s">
        <v>10084</v>
      </c>
      <c r="N2253" s="387"/>
      <c r="O2253" s="387" t="s">
        <v>422</v>
      </c>
      <c r="P2253" s="390">
        <v>120000000</v>
      </c>
      <c r="Q2253" s="387" t="s">
        <v>8603</v>
      </c>
      <c r="R2253" s="387" t="s">
        <v>8195</v>
      </c>
      <c r="S2253" s="340">
        <v>1</v>
      </c>
    </row>
    <row r="2254" spans="1:19" ht="29" x14ac:dyDescent="0.35">
      <c r="A2254" s="349">
        <v>2243</v>
      </c>
      <c r="B2254" s="387" t="s">
        <v>10080</v>
      </c>
      <c r="C2254" s="387" t="s">
        <v>10081</v>
      </c>
      <c r="D2254" s="388" t="s">
        <v>97</v>
      </c>
      <c r="E2254" s="388" t="s">
        <v>10082</v>
      </c>
      <c r="F2254" s="388" t="s">
        <v>10078</v>
      </c>
      <c r="G2254" s="388" t="s">
        <v>10078</v>
      </c>
      <c r="H2254" s="388" t="s">
        <v>11400</v>
      </c>
      <c r="I2254" s="387" t="s">
        <v>13923</v>
      </c>
      <c r="J2254" s="389"/>
      <c r="K2254" s="387"/>
      <c r="L2254" s="387"/>
      <c r="M2254" s="387" t="s">
        <v>10084</v>
      </c>
      <c r="N2254" s="387"/>
      <c r="O2254" s="387" t="s">
        <v>57</v>
      </c>
      <c r="P2254" s="390">
        <v>122783000</v>
      </c>
      <c r="Q2254" s="387"/>
      <c r="R2254" s="387" t="s">
        <v>8195</v>
      </c>
      <c r="S2254" s="340">
        <v>1</v>
      </c>
    </row>
    <row r="2255" spans="1:19" ht="29.5" thickBot="1" x14ac:dyDescent="0.4">
      <c r="A2255" s="357">
        <v>2244</v>
      </c>
      <c r="B2255" s="387" t="s">
        <v>10092</v>
      </c>
      <c r="C2255" s="387" t="s">
        <v>10093</v>
      </c>
      <c r="D2255" s="388" t="s">
        <v>51</v>
      </c>
      <c r="E2255" s="388" t="s">
        <v>10082</v>
      </c>
      <c r="F2255" s="388" t="s">
        <v>10078</v>
      </c>
      <c r="G2255" s="388" t="s">
        <v>10078</v>
      </c>
      <c r="H2255" s="388" t="s">
        <v>12979</v>
      </c>
      <c r="I2255" s="387" t="s">
        <v>13923</v>
      </c>
      <c r="J2255" s="389">
        <v>41904</v>
      </c>
      <c r="K2255" s="387" t="s">
        <v>13924</v>
      </c>
      <c r="L2255" s="387"/>
      <c r="M2255" s="387" t="s">
        <v>10084</v>
      </c>
      <c r="N2255" s="387"/>
      <c r="O2255" s="387" t="s">
        <v>57</v>
      </c>
      <c r="P2255" s="390">
        <v>144500000</v>
      </c>
      <c r="Q2255" s="387" t="s">
        <v>13925</v>
      </c>
      <c r="R2255" s="387" t="s">
        <v>8195</v>
      </c>
      <c r="S2255" s="340">
        <v>1</v>
      </c>
    </row>
    <row r="2256" spans="1:19" ht="29" x14ac:dyDescent="0.35">
      <c r="A2256" s="349">
        <v>2245</v>
      </c>
      <c r="B2256" s="387" t="s">
        <v>10085</v>
      </c>
      <c r="C2256" s="387" t="s">
        <v>10086</v>
      </c>
      <c r="D2256" s="388" t="s">
        <v>51</v>
      </c>
      <c r="E2256" s="388" t="s">
        <v>10082</v>
      </c>
      <c r="F2256" s="388" t="s">
        <v>10078</v>
      </c>
      <c r="G2256" s="388" t="s">
        <v>10078</v>
      </c>
      <c r="H2256" s="388" t="s">
        <v>11308</v>
      </c>
      <c r="I2256" s="387" t="s">
        <v>13923</v>
      </c>
      <c r="J2256" s="389"/>
      <c r="K2256" s="387"/>
      <c r="L2256" s="387"/>
      <c r="M2256" s="387" t="s">
        <v>10084</v>
      </c>
      <c r="N2256" s="387"/>
      <c r="O2256" s="387" t="s">
        <v>57</v>
      </c>
      <c r="P2256" s="390">
        <v>298017000</v>
      </c>
      <c r="Q2256" s="387"/>
      <c r="R2256" s="387" t="s">
        <v>8195</v>
      </c>
      <c r="S2256" s="340">
        <v>1</v>
      </c>
    </row>
    <row r="2257" spans="1:19" ht="29.5" thickBot="1" x14ac:dyDescent="0.4">
      <c r="A2257" s="357">
        <v>2246</v>
      </c>
      <c r="B2257" s="387" t="s">
        <v>10191</v>
      </c>
      <c r="C2257" s="387" t="s">
        <v>10192</v>
      </c>
      <c r="D2257" s="388" t="s">
        <v>51</v>
      </c>
      <c r="E2257" s="388" t="s">
        <v>10082</v>
      </c>
      <c r="F2257" s="388" t="s">
        <v>10078</v>
      </c>
      <c r="G2257" s="388" t="s">
        <v>10078</v>
      </c>
      <c r="H2257" s="388" t="s">
        <v>2972</v>
      </c>
      <c r="I2257" s="387" t="s">
        <v>13923</v>
      </c>
      <c r="J2257" s="389">
        <v>43255</v>
      </c>
      <c r="K2257" s="387" t="s">
        <v>13926</v>
      </c>
      <c r="L2257" s="387"/>
      <c r="M2257" s="387" t="s">
        <v>10084</v>
      </c>
      <c r="N2257" s="387"/>
      <c r="O2257" s="387" t="s">
        <v>57</v>
      </c>
      <c r="P2257" s="390">
        <v>314169000</v>
      </c>
      <c r="Q2257" s="387" t="s">
        <v>13927</v>
      </c>
      <c r="R2257" s="387" t="s">
        <v>8195</v>
      </c>
      <c r="S2257" s="340">
        <v>1</v>
      </c>
    </row>
    <row r="2258" spans="1:19" ht="29" x14ac:dyDescent="0.35">
      <c r="A2258" s="349">
        <v>2247</v>
      </c>
      <c r="B2258" s="387" t="s">
        <v>10080</v>
      </c>
      <c r="C2258" s="387" t="s">
        <v>10081</v>
      </c>
      <c r="D2258" s="388" t="s">
        <v>51</v>
      </c>
      <c r="E2258" s="388" t="s">
        <v>10082</v>
      </c>
      <c r="F2258" s="388" t="s">
        <v>10078</v>
      </c>
      <c r="G2258" s="388" t="s">
        <v>10078</v>
      </c>
      <c r="H2258" s="388" t="s">
        <v>12157</v>
      </c>
      <c r="I2258" s="387" t="s">
        <v>13928</v>
      </c>
      <c r="J2258" s="389">
        <v>41904</v>
      </c>
      <c r="K2258" s="387" t="s">
        <v>13929</v>
      </c>
      <c r="L2258" s="387"/>
      <c r="M2258" s="387" t="s">
        <v>10084</v>
      </c>
      <c r="N2258" s="387"/>
      <c r="O2258" s="387" t="s">
        <v>57</v>
      </c>
      <c r="P2258" s="390">
        <v>142736120</v>
      </c>
      <c r="Q2258" s="387" t="s">
        <v>13930</v>
      </c>
      <c r="R2258" s="387" t="s">
        <v>8197</v>
      </c>
      <c r="S2258" s="340">
        <v>1</v>
      </c>
    </row>
    <row r="2259" spans="1:19" ht="29.5" thickBot="1" x14ac:dyDescent="0.4">
      <c r="A2259" s="357">
        <v>2248</v>
      </c>
      <c r="B2259" s="387" t="s">
        <v>10080</v>
      </c>
      <c r="C2259" s="387" t="s">
        <v>10081</v>
      </c>
      <c r="D2259" s="388" t="s">
        <v>59</v>
      </c>
      <c r="E2259" s="388" t="s">
        <v>10082</v>
      </c>
      <c r="F2259" s="388" t="s">
        <v>10078</v>
      </c>
      <c r="G2259" s="388" t="s">
        <v>10078</v>
      </c>
      <c r="H2259" s="388" t="s">
        <v>11324</v>
      </c>
      <c r="I2259" s="387" t="s">
        <v>13928</v>
      </c>
      <c r="J2259" s="389"/>
      <c r="K2259" s="387"/>
      <c r="L2259" s="387"/>
      <c r="M2259" s="387" t="s">
        <v>10084</v>
      </c>
      <c r="N2259" s="387"/>
      <c r="O2259" s="387" t="s">
        <v>57</v>
      </c>
      <c r="P2259" s="390">
        <v>58936000</v>
      </c>
      <c r="Q2259" s="387"/>
      <c r="R2259" s="387" t="s">
        <v>8197</v>
      </c>
      <c r="S2259" s="340">
        <v>1</v>
      </c>
    </row>
    <row r="2260" spans="1:19" ht="29" x14ac:dyDescent="0.35">
      <c r="A2260" s="349">
        <v>2249</v>
      </c>
      <c r="B2260" s="387" t="s">
        <v>10080</v>
      </c>
      <c r="C2260" s="387" t="s">
        <v>10081</v>
      </c>
      <c r="D2260" s="388" t="s">
        <v>97</v>
      </c>
      <c r="E2260" s="388" t="s">
        <v>10082</v>
      </c>
      <c r="F2260" s="388" t="s">
        <v>10078</v>
      </c>
      <c r="G2260" s="388" t="s">
        <v>10078</v>
      </c>
      <c r="H2260" s="388" t="s">
        <v>12157</v>
      </c>
      <c r="I2260" s="387" t="s">
        <v>13928</v>
      </c>
      <c r="J2260" s="389">
        <v>41904</v>
      </c>
      <c r="K2260" s="387" t="s">
        <v>13929</v>
      </c>
      <c r="L2260" s="387"/>
      <c r="M2260" s="387" t="s">
        <v>10084</v>
      </c>
      <c r="N2260" s="387"/>
      <c r="O2260" s="387" t="s">
        <v>57</v>
      </c>
      <c r="P2260" s="390">
        <v>142736120</v>
      </c>
      <c r="Q2260" s="387" t="s">
        <v>13930</v>
      </c>
      <c r="R2260" s="387" t="s">
        <v>8197</v>
      </c>
      <c r="S2260" s="340">
        <v>1</v>
      </c>
    </row>
    <row r="2261" spans="1:19" ht="29.5" thickBot="1" x14ac:dyDescent="0.4">
      <c r="A2261" s="357">
        <v>2250</v>
      </c>
      <c r="B2261" s="387" t="s">
        <v>10080</v>
      </c>
      <c r="C2261" s="387" t="s">
        <v>10081</v>
      </c>
      <c r="D2261" s="388" t="s">
        <v>101</v>
      </c>
      <c r="E2261" s="388" t="s">
        <v>10082</v>
      </c>
      <c r="F2261" s="388" t="s">
        <v>10078</v>
      </c>
      <c r="G2261" s="388" t="s">
        <v>10078</v>
      </c>
      <c r="H2261" s="388" t="s">
        <v>12266</v>
      </c>
      <c r="I2261" s="387" t="s">
        <v>13928</v>
      </c>
      <c r="J2261" s="389"/>
      <c r="K2261" s="387"/>
      <c r="L2261" s="387"/>
      <c r="M2261" s="387" t="s">
        <v>10084</v>
      </c>
      <c r="N2261" s="387"/>
      <c r="O2261" s="387" t="s">
        <v>57</v>
      </c>
      <c r="P2261" s="390">
        <v>265210000</v>
      </c>
      <c r="Q2261" s="387"/>
      <c r="R2261" s="387" t="s">
        <v>8197</v>
      </c>
      <c r="S2261" s="340">
        <v>1</v>
      </c>
    </row>
    <row r="2262" spans="1:19" ht="29" x14ac:dyDescent="0.35">
      <c r="A2262" s="349">
        <v>2251</v>
      </c>
      <c r="B2262" s="387" t="s">
        <v>10080</v>
      </c>
      <c r="C2262" s="387" t="s">
        <v>10081</v>
      </c>
      <c r="D2262" s="388" t="s">
        <v>107</v>
      </c>
      <c r="E2262" s="388" t="s">
        <v>10082</v>
      </c>
      <c r="F2262" s="388" t="s">
        <v>10078</v>
      </c>
      <c r="G2262" s="388" t="s">
        <v>10078</v>
      </c>
      <c r="H2262" s="388" t="s">
        <v>12157</v>
      </c>
      <c r="I2262" s="387" t="s">
        <v>13928</v>
      </c>
      <c r="J2262" s="389"/>
      <c r="K2262" s="387"/>
      <c r="L2262" s="387"/>
      <c r="M2262" s="387" t="s">
        <v>10084</v>
      </c>
      <c r="N2262" s="387"/>
      <c r="O2262" s="387" t="s">
        <v>57</v>
      </c>
      <c r="P2262" s="390">
        <v>426276000</v>
      </c>
      <c r="Q2262" s="387"/>
      <c r="R2262" s="387" t="s">
        <v>8197</v>
      </c>
      <c r="S2262" s="340">
        <v>1</v>
      </c>
    </row>
    <row r="2263" spans="1:19" ht="29.5" thickBot="1" x14ac:dyDescent="0.4">
      <c r="A2263" s="357">
        <v>2252</v>
      </c>
      <c r="B2263" s="387" t="s">
        <v>10080</v>
      </c>
      <c r="C2263" s="387" t="s">
        <v>10081</v>
      </c>
      <c r="D2263" s="388" t="s">
        <v>112</v>
      </c>
      <c r="E2263" s="388" t="s">
        <v>10082</v>
      </c>
      <c r="F2263" s="388" t="s">
        <v>10078</v>
      </c>
      <c r="G2263" s="388" t="s">
        <v>10078</v>
      </c>
      <c r="H2263" s="388" t="s">
        <v>163</v>
      </c>
      <c r="I2263" s="387" t="s">
        <v>13928</v>
      </c>
      <c r="J2263" s="389"/>
      <c r="K2263" s="387"/>
      <c r="L2263" s="387"/>
      <c r="M2263" s="387" t="s">
        <v>10084</v>
      </c>
      <c r="N2263" s="387"/>
      <c r="O2263" s="387" t="s">
        <v>57</v>
      </c>
      <c r="P2263" s="390">
        <v>176807000</v>
      </c>
      <c r="Q2263" s="387"/>
      <c r="R2263" s="387" t="s">
        <v>8197</v>
      </c>
      <c r="S2263" s="340">
        <v>1</v>
      </c>
    </row>
    <row r="2264" spans="1:19" ht="29" x14ac:dyDescent="0.35">
      <c r="A2264" s="349">
        <v>2253</v>
      </c>
      <c r="B2264" s="387" t="s">
        <v>10080</v>
      </c>
      <c r="C2264" s="387" t="s">
        <v>10081</v>
      </c>
      <c r="D2264" s="388" t="s">
        <v>116</v>
      </c>
      <c r="E2264" s="388" t="s">
        <v>10082</v>
      </c>
      <c r="F2264" s="388" t="s">
        <v>10078</v>
      </c>
      <c r="G2264" s="388" t="s">
        <v>10078</v>
      </c>
      <c r="H2264" s="388" t="s">
        <v>11465</v>
      </c>
      <c r="I2264" s="387" t="s">
        <v>13928</v>
      </c>
      <c r="J2264" s="389"/>
      <c r="K2264" s="387"/>
      <c r="L2264" s="387"/>
      <c r="M2264" s="387" t="s">
        <v>10084</v>
      </c>
      <c r="N2264" s="387"/>
      <c r="O2264" s="387" t="s">
        <v>57</v>
      </c>
      <c r="P2264" s="390">
        <v>206275000</v>
      </c>
      <c r="Q2264" s="387"/>
      <c r="R2264" s="387" t="s">
        <v>8197</v>
      </c>
      <c r="S2264" s="340">
        <v>1</v>
      </c>
    </row>
    <row r="2265" spans="1:19" ht="29.5" thickBot="1" x14ac:dyDescent="0.4">
      <c r="A2265" s="357">
        <v>2254</v>
      </c>
      <c r="B2265" s="387" t="s">
        <v>10110</v>
      </c>
      <c r="C2265" s="387" t="s">
        <v>10111</v>
      </c>
      <c r="D2265" s="388" t="s">
        <v>51</v>
      </c>
      <c r="E2265" s="388" t="s">
        <v>10082</v>
      </c>
      <c r="F2265" s="388" t="s">
        <v>10078</v>
      </c>
      <c r="G2265" s="388" t="s">
        <v>10078</v>
      </c>
      <c r="H2265" s="388" t="s">
        <v>11332</v>
      </c>
      <c r="I2265" s="387" t="s">
        <v>13928</v>
      </c>
      <c r="J2265" s="389"/>
      <c r="K2265" s="387"/>
      <c r="L2265" s="387"/>
      <c r="M2265" s="387" t="s">
        <v>10084</v>
      </c>
      <c r="N2265" s="387"/>
      <c r="O2265" s="387" t="s">
        <v>57</v>
      </c>
      <c r="P2265" s="390">
        <v>9097000</v>
      </c>
      <c r="Q2265" s="387"/>
      <c r="R2265" s="387" t="s">
        <v>8197</v>
      </c>
      <c r="S2265" s="340">
        <v>1</v>
      </c>
    </row>
    <row r="2266" spans="1:19" ht="29" x14ac:dyDescent="0.35">
      <c r="A2266" s="349">
        <v>2255</v>
      </c>
      <c r="B2266" s="387" t="s">
        <v>10092</v>
      </c>
      <c r="C2266" s="387" t="s">
        <v>10093</v>
      </c>
      <c r="D2266" s="388" t="s">
        <v>51</v>
      </c>
      <c r="E2266" s="388" t="s">
        <v>10082</v>
      </c>
      <c r="F2266" s="388" t="s">
        <v>10078</v>
      </c>
      <c r="G2266" s="388" t="s">
        <v>10078</v>
      </c>
      <c r="H2266" s="388" t="s">
        <v>12979</v>
      </c>
      <c r="I2266" s="387" t="s">
        <v>13928</v>
      </c>
      <c r="J2266" s="389">
        <v>41904</v>
      </c>
      <c r="K2266" s="387" t="s">
        <v>13931</v>
      </c>
      <c r="L2266" s="387"/>
      <c r="M2266" s="387" t="s">
        <v>10084</v>
      </c>
      <c r="N2266" s="387"/>
      <c r="O2266" s="387" t="s">
        <v>57</v>
      </c>
      <c r="P2266" s="390">
        <v>144500000</v>
      </c>
      <c r="Q2266" s="387" t="s">
        <v>13932</v>
      </c>
      <c r="R2266" s="387" t="s">
        <v>8197</v>
      </c>
      <c r="S2266" s="340">
        <v>1</v>
      </c>
    </row>
    <row r="2267" spans="1:19" ht="29.5" thickBot="1" x14ac:dyDescent="0.4">
      <c r="A2267" s="357">
        <v>2256</v>
      </c>
      <c r="B2267" s="387" t="s">
        <v>10085</v>
      </c>
      <c r="C2267" s="387" t="s">
        <v>10086</v>
      </c>
      <c r="D2267" s="388" t="s">
        <v>51</v>
      </c>
      <c r="E2267" s="388" t="s">
        <v>10082</v>
      </c>
      <c r="F2267" s="388" t="s">
        <v>10078</v>
      </c>
      <c r="G2267" s="388" t="s">
        <v>10078</v>
      </c>
      <c r="H2267" s="388" t="s">
        <v>11634</v>
      </c>
      <c r="I2267" s="387" t="s">
        <v>13928</v>
      </c>
      <c r="J2267" s="389">
        <v>41585</v>
      </c>
      <c r="K2267" s="387" t="s">
        <v>13933</v>
      </c>
      <c r="L2267" s="387"/>
      <c r="M2267" s="387" t="s">
        <v>10084</v>
      </c>
      <c r="N2267" s="387"/>
      <c r="O2267" s="387" t="s">
        <v>57</v>
      </c>
      <c r="P2267" s="390">
        <v>137500000</v>
      </c>
      <c r="Q2267" s="387" t="s">
        <v>13934</v>
      </c>
      <c r="R2267" s="387" t="s">
        <v>8197</v>
      </c>
      <c r="S2267" s="340">
        <v>1</v>
      </c>
    </row>
    <row r="2268" spans="1:19" ht="29" x14ac:dyDescent="0.35">
      <c r="A2268" s="349">
        <v>2257</v>
      </c>
      <c r="B2268" s="387" t="s">
        <v>10146</v>
      </c>
      <c r="C2268" s="387" t="s">
        <v>10147</v>
      </c>
      <c r="D2268" s="388" t="s">
        <v>51</v>
      </c>
      <c r="E2268" s="388" t="s">
        <v>10082</v>
      </c>
      <c r="F2268" s="388" t="s">
        <v>10078</v>
      </c>
      <c r="G2268" s="388" t="s">
        <v>10078</v>
      </c>
      <c r="H2268" s="388" t="s">
        <v>2972</v>
      </c>
      <c r="I2268" s="387" t="s">
        <v>13935</v>
      </c>
      <c r="J2268" s="389">
        <v>43689</v>
      </c>
      <c r="K2268" s="387" t="s">
        <v>13936</v>
      </c>
      <c r="L2268" s="387"/>
      <c r="M2268" s="387" t="s">
        <v>10084</v>
      </c>
      <c r="N2268" s="387"/>
      <c r="O2268" s="387" t="s">
        <v>57</v>
      </c>
      <c r="P2268" s="390">
        <v>221523000</v>
      </c>
      <c r="Q2268" s="387" t="s">
        <v>13937</v>
      </c>
      <c r="R2268" s="387" t="s">
        <v>8197</v>
      </c>
      <c r="S2268" s="340">
        <v>1</v>
      </c>
    </row>
    <row r="2269" spans="1:19" ht="29.5" thickBot="1" x14ac:dyDescent="0.4">
      <c r="A2269" s="357">
        <v>2258</v>
      </c>
      <c r="B2269" s="387" t="s">
        <v>10080</v>
      </c>
      <c r="C2269" s="387" t="s">
        <v>10081</v>
      </c>
      <c r="D2269" s="388" t="s">
        <v>51</v>
      </c>
      <c r="E2269" s="388" t="s">
        <v>10082</v>
      </c>
      <c r="F2269" s="388" t="s">
        <v>10078</v>
      </c>
      <c r="G2269" s="388" t="s">
        <v>10078</v>
      </c>
      <c r="H2269" s="388" t="s">
        <v>1122</v>
      </c>
      <c r="I2269" s="387" t="s">
        <v>13938</v>
      </c>
      <c r="J2269" s="389"/>
      <c r="K2269" s="387"/>
      <c r="L2269" s="387"/>
      <c r="M2269" s="387" t="s">
        <v>10084</v>
      </c>
      <c r="N2269" s="387"/>
      <c r="O2269" s="387" t="s">
        <v>57</v>
      </c>
      <c r="P2269" s="390">
        <v>153478000</v>
      </c>
      <c r="Q2269" s="387"/>
      <c r="R2269" s="387" t="s">
        <v>8199</v>
      </c>
      <c r="S2269" s="340">
        <v>1</v>
      </c>
    </row>
    <row r="2270" spans="1:19" ht="29" x14ac:dyDescent="0.35">
      <c r="A2270" s="349">
        <v>2259</v>
      </c>
      <c r="B2270" s="387" t="s">
        <v>10080</v>
      </c>
      <c r="C2270" s="387" t="s">
        <v>10081</v>
      </c>
      <c r="D2270" s="388" t="s">
        <v>59</v>
      </c>
      <c r="E2270" s="388" t="s">
        <v>10082</v>
      </c>
      <c r="F2270" s="388" t="s">
        <v>10078</v>
      </c>
      <c r="G2270" s="388" t="s">
        <v>10078</v>
      </c>
      <c r="H2270" s="388" t="s">
        <v>13165</v>
      </c>
      <c r="I2270" s="387" t="s">
        <v>13938</v>
      </c>
      <c r="J2270" s="389"/>
      <c r="K2270" s="387"/>
      <c r="L2270" s="387"/>
      <c r="M2270" s="387" t="s">
        <v>10084</v>
      </c>
      <c r="N2270" s="387"/>
      <c r="O2270" s="387" t="s">
        <v>422</v>
      </c>
      <c r="P2270" s="390">
        <v>105000000</v>
      </c>
      <c r="Q2270" s="387" t="s">
        <v>8603</v>
      </c>
      <c r="R2270" s="387" t="s">
        <v>8199</v>
      </c>
      <c r="S2270" s="340">
        <v>1</v>
      </c>
    </row>
    <row r="2271" spans="1:19" ht="29.5" thickBot="1" x14ac:dyDescent="0.4">
      <c r="A2271" s="357">
        <v>2260</v>
      </c>
      <c r="B2271" s="387" t="s">
        <v>10080</v>
      </c>
      <c r="C2271" s="387" t="s">
        <v>10081</v>
      </c>
      <c r="D2271" s="388" t="s">
        <v>97</v>
      </c>
      <c r="E2271" s="388" t="s">
        <v>10082</v>
      </c>
      <c r="F2271" s="388" t="s">
        <v>10078</v>
      </c>
      <c r="G2271" s="388" t="s">
        <v>10078</v>
      </c>
      <c r="H2271" s="388" t="s">
        <v>1122</v>
      </c>
      <c r="I2271" s="387" t="s">
        <v>13938</v>
      </c>
      <c r="J2271" s="389"/>
      <c r="K2271" s="387"/>
      <c r="L2271" s="387"/>
      <c r="M2271" s="387" t="s">
        <v>10084</v>
      </c>
      <c r="N2271" s="387"/>
      <c r="O2271" s="387" t="s">
        <v>57</v>
      </c>
      <c r="P2271" s="390">
        <v>490478000</v>
      </c>
      <c r="Q2271" s="387"/>
      <c r="R2271" s="387" t="s">
        <v>8199</v>
      </c>
      <c r="S2271" s="340">
        <v>1</v>
      </c>
    </row>
    <row r="2272" spans="1:19" ht="29" x14ac:dyDescent="0.35">
      <c r="A2272" s="349">
        <v>2261</v>
      </c>
      <c r="B2272" s="387" t="s">
        <v>10092</v>
      </c>
      <c r="C2272" s="387" t="s">
        <v>10093</v>
      </c>
      <c r="D2272" s="388" t="s">
        <v>51</v>
      </c>
      <c r="E2272" s="388" t="s">
        <v>10082</v>
      </c>
      <c r="F2272" s="388" t="s">
        <v>10078</v>
      </c>
      <c r="G2272" s="388" t="s">
        <v>10078</v>
      </c>
      <c r="H2272" s="388" t="s">
        <v>12979</v>
      </c>
      <c r="I2272" s="387" t="s">
        <v>13939</v>
      </c>
      <c r="J2272" s="389">
        <v>41904</v>
      </c>
      <c r="K2272" s="387" t="s">
        <v>13940</v>
      </c>
      <c r="L2272" s="387"/>
      <c r="M2272" s="387" t="s">
        <v>10084</v>
      </c>
      <c r="N2272" s="387"/>
      <c r="O2272" s="387" t="s">
        <v>57</v>
      </c>
      <c r="P2272" s="390">
        <v>144500000</v>
      </c>
      <c r="Q2272" s="387" t="s">
        <v>13941</v>
      </c>
      <c r="R2272" s="387" t="s">
        <v>8199</v>
      </c>
      <c r="S2272" s="340">
        <v>1</v>
      </c>
    </row>
    <row r="2273" spans="1:19" ht="29.5" thickBot="1" x14ac:dyDescent="0.4">
      <c r="A2273" s="357">
        <v>2262</v>
      </c>
      <c r="B2273" s="387" t="s">
        <v>10085</v>
      </c>
      <c r="C2273" s="387" t="s">
        <v>10086</v>
      </c>
      <c r="D2273" s="388" t="s">
        <v>51</v>
      </c>
      <c r="E2273" s="388" t="s">
        <v>10082</v>
      </c>
      <c r="F2273" s="388" t="s">
        <v>10078</v>
      </c>
      <c r="G2273" s="388" t="s">
        <v>10078</v>
      </c>
      <c r="H2273" s="388" t="s">
        <v>11308</v>
      </c>
      <c r="I2273" s="387" t="s">
        <v>13938</v>
      </c>
      <c r="J2273" s="389"/>
      <c r="K2273" s="387"/>
      <c r="L2273" s="387"/>
      <c r="M2273" s="387" t="s">
        <v>10084</v>
      </c>
      <c r="N2273" s="387"/>
      <c r="O2273" s="387" t="s">
        <v>57</v>
      </c>
      <c r="P2273" s="390">
        <v>133415000</v>
      </c>
      <c r="Q2273" s="387"/>
      <c r="R2273" s="387" t="s">
        <v>8199</v>
      </c>
      <c r="S2273" s="340">
        <v>1</v>
      </c>
    </row>
    <row r="2274" spans="1:19" ht="29" x14ac:dyDescent="0.35">
      <c r="A2274" s="349">
        <v>2263</v>
      </c>
      <c r="B2274" s="387" t="s">
        <v>10191</v>
      </c>
      <c r="C2274" s="387" t="s">
        <v>10192</v>
      </c>
      <c r="D2274" s="388" t="s">
        <v>51</v>
      </c>
      <c r="E2274" s="388" t="s">
        <v>10082</v>
      </c>
      <c r="F2274" s="388" t="s">
        <v>10078</v>
      </c>
      <c r="G2274" s="388" t="s">
        <v>10078</v>
      </c>
      <c r="H2274" s="388" t="s">
        <v>12157</v>
      </c>
      <c r="I2274" s="387" t="s">
        <v>13938</v>
      </c>
      <c r="J2274" s="389">
        <v>42940</v>
      </c>
      <c r="K2274" s="387" t="s">
        <v>13942</v>
      </c>
      <c r="L2274" s="387"/>
      <c r="M2274" s="387" t="s">
        <v>10084</v>
      </c>
      <c r="N2274" s="387"/>
      <c r="O2274" s="387" t="s">
        <v>57</v>
      </c>
      <c r="P2274" s="390">
        <v>221327000</v>
      </c>
      <c r="Q2274" s="387" t="s">
        <v>13943</v>
      </c>
      <c r="R2274" s="387" t="s">
        <v>8199</v>
      </c>
      <c r="S2274" s="340">
        <v>1</v>
      </c>
    </row>
    <row r="2275" spans="1:19" ht="29.5" thickBot="1" x14ac:dyDescent="0.4">
      <c r="A2275" s="357">
        <v>2264</v>
      </c>
      <c r="B2275" s="387" t="s">
        <v>10080</v>
      </c>
      <c r="C2275" s="387" t="s">
        <v>10081</v>
      </c>
      <c r="D2275" s="388" t="s">
        <v>51</v>
      </c>
      <c r="E2275" s="388" t="s">
        <v>10082</v>
      </c>
      <c r="F2275" s="388" t="s">
        <v>10078</v>
      </c>
      <c r="G2275" s="388" t="s">
        <v>10078</v>
      </c>
      <c r="H2275" s="388" t="s">
        <v>3405</v>
      </c>
      <c r="I2275" s="387" t="s">
        <v>13944</v>
      </c>
      <c r="J2275" s="389">
        <v>41564</v>
      </c>
      <c r="K2275" s="387" t="s">
        <v>13945</v>
      </c>
      <c r="L2275" s="387"/>
      <c r="M2275" s="387" t="s">
        <v>10084</v>
      </c>
      <c r="N2275" s="387"/>
      <c r="O2275" s="387" t="s">
        <v>57</v>
      </c>
      <c r="P2275" s="390">
        <v>346475000</v>
      </c>
      <c r="Q2275" s="387"/>
      <c r="R2275" s="387" t="s">
        <v>8201</v>
      </c>
      <c r="S2275" s="340">
        <v>1</v>
      </c>
    </row>
    <row r="2276" spans="1:19" ht="29" x14ac:dyDescent="0.35">
      <c r="A2276" s="349">
        <v>2265</v>
      </c>
      <c r="B2276" s="387" t="s">
        <v>10080</v>
      </c>
      <c r="C2276" s="387" t="s">
        <v>10081</v>
      </c>
      <c r="D2276" s="388" t="s">
        <v>59</v>
      </c>
      <c r="E2276" s="388" t="s">
        <v>10082</v>
      </c>
      <c r="F2276" s="388" t="s">
        <v>10078</v>
      </c>
      <c r="G2276" s="388" t="s">
        <v>10078</v>
      </c>
      <c r="H2276" s="388" t="s">
        <v>11400</v>
      </c>
      <c r="I2276" s="387" t="s">
        <v>13946</v>
      </c>
      <c r="J2276" s="389"/>
      <c r="K2276" s="387"/>
      <c r="L2276" s="387"/>
      <c r="M2276" s="387" t="s">
        <v>10084</v>
      </c>
      <c r="N2276" s="387"/>
      <c r="O2276" s="387" t="s">
        <v>57</v>
      </c>
      <c r="P2276" s="390">
        <v>150815000</v>
      </c>
      <c r="Q2276" s="387"/>
      <c r="R2276" s="387" t="s">
        <v>8201</v>
      </c>
      <c r="S2276" s="340">
        <v>1</v>
      </c>
    </row>
    <row r="2277" spans="1:19" ht="29.5" thickBot="1" x14ac:dyDescent="0.4">
      <c r="A2277" s="357">
        <v>2266</v>
      </c>
      <c r="B2277" s="387" t="s">
        <v>10080</v>
      </c>
      <c r="C2277" s="387" t="s">
        <v>10081</v>
      </c>
      <c r="D2277" s="388" t="s">
        <v>97</v>
      </c>
      <c r="E2277" s="388" t="s">
        <v>10082</v>
      </c>
      <c r="F2277" s="388" t="s">
        <v>10078</v>
      </c>
      <c r="G2277" s="388" t="s">
        <v>10078</v>
      </c>
      <c r="H2277" s="388" t="s">
        <v>12997</v>
      </c>
      <c r="I2277" s="387" t="s">
        <v>13946</v>
      </c>
      <c r="J2277" s="389"/>
      <c r="K2277" s="387"/>
      <c r="L2277" s="387"/>
      <c r="M2277" s="387" t="s">
        <v>10084</v>
      </c>
      <c r="N2277" s="387"/>
      <c r="O2277" s="387" t="s">
        <v>57</v>
      </c>
      <c r="P2277" s="390">
        <v>317188000</v>
      </c>
      <c r="Q2277" s="387"/>
      <c r="R2277" s="387" t="s">
        <v>8201</v>
      </c>
      <c r="S2277" s="340">
        <v>1</v>
      </c>
    </row>
    <row r="2278" spans="1:19" ht="29" x14ac:dyDescent="0.35">
      <c r="A2278" s="349">
        <v>2267</v>
      </c>
      <c r="B2278" s="387" t="s">
        <v>10085</v>
      </c>
      <c r="C2278" s="387" t="s">
        <v>10086</v>
      </c>
      <c r="D2278" s="388" t="s">
        <v>51</v>
      </c>
      <c r="E2278" s="388" t="s">
        <v>10082</v>
      </c>
      <c r="F2278" s="388" t="s">
        <v>10078</v>
      </c>
      <c r="G2278" s="388" t="s">
        <v>10078</v>
      </c>
      <c r="H2278" s="388" t="s">
        <v>8952</v>
      </c>
      <c r="I2278" s="387" t="s">
        <v>13946</v>
      </c>
      <c r="J2278" s="389"/>
      <c r="K2278" s="387"/>
      <c r="L2278" s="387"/>
      <c r="M2278" s="387" t="s">
        <v>10084</v>
      </c>
      <c r="N2278" s="387"/>
      <c r="O2278" s="387" t="s">
        <v>57</v>
      </c>
      <c r="P2278" s="390">
        <v>112274000</v>
      </c>
      <c r="Q2278" s="387"/>
      <c r="R2278" s="387" t="s">
        <v>8201</v>
      </c>
      <c r="S2278" s="340">
        <v>1</v>
      </c>
    </row>
    <row r="2279" spans="1:19" ht="29.5" thickBot="1" x14ac:dyDescent="0.4">
      <c r="A2279" s="357">
        <v>2268</v>
      </c>
      <c r="B2279" s="387" t="s">
        <v>10085</v>
      </c>
      <c r="C2279" s="387" t="s">
        <v>10086</v>
      </c>
      <c r="D2279" s="388" t="s">
        <v>59</v>
      </c>
      <c r="E2279" s="388" t="s">
        <v>10082</v>
      </c>
      <c r="F2279" s="388" t="s">
        <v>10078</v>
      </c>
      <c r="G2279" s="388" t="s">
        <v>10078</v>
      </c>
      <c r="H2279" s="388" t="s">
        <v>11400</v>
      </c>
      <c r="I2279" s="387" t="s">
        <v>13946</v>
      </c>
      <c r="J2279" s="389"/>
      <c r="K2279" s="387"/>
      <c r="L2279" s="387"/>
      <c r="M2279" s="387" t="s">
        <v>10084</v>
      </c>
      <c r="N2279" s="387"/>
      <c r="O2279" s="387" t="s">
        <v>57</v>
      </c>
      <c r="P2279" s="390">
        <v>126875000</v>
      </c>
      <c r="Q2279" s="387"/>
      <c r="R2279" s="387" t="s">
        <v>8201</v>
      </c>
      <c r="S2279" s="340">
        <v>1</v>
      </c>
    </row>
    <row r="2280" spans="1:19" ht="29" x14ac:dyDescent="0.35">
      <c r="A2280" s="349">
        <v>2269</v>
      </c>
      <c r="B2280" s="387" t="s">
        <v>10191</v>
      </c>
      <c r="C2280" s="387" t="s">
        <v>10192</v>
      </c>
      <c r="D2280" s="388" t="s">
        <v>51</v>
      </c>
      <c r="E2280" s="388" t="s">
        <v>10082</v>
      </c>
      <c r="F2280" s="388" t="s">
        <v>10078</v>
      </c>
      <c r="G2280" s="388" t="s">
        <v>10078</v>
      </c>
      <c r="H2280" s="388" t="s">
        <v>11297</v>
      </c>
      <c r="I2280" s="387" t="s">
        <v>13944</v>
      </c>
      <c r="J2280" s="389">
        <v>42941</v>
      </c>
      <c r="K2280" s="387" t="s">
        <v>13947</v>
      </c>
      <c r="L2280" s="387"/>
      <c r="M2280" s="387" t="s">
        <v>10084</v>
      </c>
      <c r="N2280" s="387"/>
      <c r="O2280" s="387" t="s">
        <v>57</v>
      </c>
      <c r="P2280" s="390">
        <v>221173000</v>
      </c>
      <c r="Q2280" s="387" t="s">
        <v>13948</v>
      </c>
      <c r="R2280" s="387" t="s">
        <v>8201</v>
      </c>
      <c r="S2280" s="340">
        <v>1</v>
      </c>
    </row>
    <row r="2281" spans="1:19" ht="29.5" thickBot="1" x14ac:dyDescent="0.4">
      <c r="A2281" s="357">
        <v>2270</v>
      </c>
      <c r="B2281" s="387" t="s">
        <v>10080</v>
      </c>
      <c r="C2281" s="387" t="s">
        <v>10081</v>
      </c>
      <c r="D2281" s="388" t="s">
        <v>51</v>
      </c>
      <c r="E2281" s="388" t="s">
        <v>10082</v>
      </c>
      <c r="F2281" s="388" t="s">
        <v>10078</v>
      </c>
      <c r="G2281" s="388" t="s">
        <v>10078</v>
      </c>
      <c r="H2281" s="388" t="s">
        <v>12157</v>
      </c>
      <c r="I2281" s="387" t="s">
        <v>13949</v>
      </c>
      <c r="J2281" s="389">
        <v>41904</v>
      </c>
      <c r="K2281" s="387" t="s">
        <v>13950</v>
      </c>
      <c r="L2281" s="387"/>
      <c r="M2281" s="387" t="s">
        <v>10084</v>
      </c>
      <c r="N2281" s="387"/>
      <c r="O2281" s="387" t="s">
        <v>57</v>
      </c>
      <c r="P2281" s="390">
        <v>147731900</v>
      </c>
      <c r="Q2281" s="387" t="s">
        <v>13951</v>
      </c>
      <c r="R2281" s="387" t="s">
        <v>8203</v>
      </c>
      <c r="S2281" s="340">
        <v>1</v>
      </c>
    </row>
    <row r="2282" spans="1:19" ht="29" x14ac:dyDescent="0.35">
      <c r="A2282" s="349">
        <v>2271</v>
      </c>
      <c r="B2282" s="387" t="s">
        <v>10080</v>
      </c>
      <c r="C2282" s="387" t="s">
        <v>10081</v>
      </c>
      <c r="D2282" s="388" t="s">
        <v>59</v>
      </c>
      <c r="E2282" s="388" t="s">
        <v>10082</v>
      </c>
      <c r="F2282" s="388" t="s">
        <v>10078</v>
      </c>
      <c r="G2282" s="388" t="s">
        <v>10078</v>
      </c>
      <c r="H2282" s="388" t="s">
        <v>163</v>
      </c>
      <c r="I2282" s="387" t="s">
        <v>13949</v>
      </c>
      <c r="J2282" s="389"/>
      <c r="K2282" s="387"/>
      <c r="L2282" s="387"/>
      <c r="M2282" s="387" t="s">
        <v>10084</v>
      </c>
      <c r="N2282" s="387"/>
      <c r="O2282" s="387" t="s">
        <v>57</v>
      </c>
      <c r="P2282" s="390">
        <v>183183000</v>
      </c>
      <c r="Q2282" s="387"/>
      <c r="R2282" s="387" t="s">
        <v>8203</v>
      </c>
      <c r="S2282" s="340">
        <v>1</v>
      </c>
    </row>
    <row r="2283" spans="1:19" ht="29.5" thickBot="1" x14ac:dyDescent="0.4">
      <c r="A2283" s="357">
        <v>2272</v>
      </c>
      <c r="B2283" s="387" t="s">
        <v>10080</v>
      </c>
      <c r="C2283" s="387" t="s">
        <v>10081</v>
      </c>
      <c r="D2283" s="388" t="s">
        <v>97</v>
      </c>
      <c r="E2283" s="388" t="s">
        <v>10082</v>
      </c>
      <c r="F2283" s="388" t="s">
        <v>10078</v>
      </c>
      <c r="G2283" s="388" t="s">
        <v>10078</v>
      </c>
      <c r="H2283" s="388" t="s">
        <v>11465</v>
      </c>
      <c r="I2283" s="387" t="s">
        <v>13949</v>
      </c>
      <c r="J2283" s="389"/>
      <c r="K2283" s="387"/>
      <c r="L2283" s="387"/>
      <c r="M2283" s="387" t="s">
        <v>10084</v>
      </c>
      <c r="N2283" s="387"/>
      <c r="O2283" s="387" t="s">
        <v>57</v>
      </c>
      <c r="P2283" s="390">
        <v>447246000</v>
      </c>
      <c r="Q2283" s="387"/>
      <c r="R2283" s="387" t="s">
        <v>8203</v>
      </c>
      <c r="S2283" s="340">
        <v>1</v>
      </c>
    </row>
    <row r="2284" spans="1:19" ht="29" x14ac:dyDescent="0.35">
      <c r="A2284" s="349">
        <v>2273</v>
      </c>
      <c r="B2284" s="387" t="s">
        <v>10092</v>
      </c>
      <c r="C2284" s="387" t="s">
        <v>10093</v>
      </c>
      <c r="D2284" s="388" t="s">
        <v>51</v>
      </c>
      <c r="E2284" s="388" t="s">
        <v>10082</v>
      </c>
      <c r="F2284" s="388" t="s">
        <v>10078</v>
      </c>
      <c r="G2284" s="388" t="s">
        <v>10078</v>
      </c>
      <c r="H2284" s="388" t="s">
        <v>12979</v>
      </c>
      <c r="I2284" s="387" t="s">
        <v>13949</v>
      </c>
      <c r="J2284" s="389">
        <v>41904</v>
      </c>
      <c r="K2284" s="387" t="s">
        <v>13952</v>
      </c>
      <c r="L2284" s="387"/>
      <c r="M2284" s="387" t="s">
        <v>10084</v>
      </c>
      <c r="N2284" s="387"/>
      <c r="O2284" s="387" t="s">
        <v>57</v>
      </c>
      <c r="P2284" s="390">
        <v>144500000</v>
      </c>
      <c r="Q2284" s="387" t="s">
        <v>13953</v>
      </c>
      <c r="R2284" s="387" t="s">
        <v>8203</v>
      </c>
      <c r="S2284" s="340">
        <v>1</v>
      </c>
    </row>
    <row r="2285" spans="1:19" ht="44" thickBot="1" x14ac:dyDescent="0.4">
      <c r="A2285" s="357">
        <v>2274</v>
      </c>
      <c r="B2285" s="387" t="s">
        <v>10085</v>
      </c>
      <c r="C2285" s="387" t="s">
        <v>10086</v>
      </c>
      <c r="D2285" s="388" t="s">
        <v>51</v>
      </c>
      <c r="E2285" s="388" t="s">
        <v>10082</v>
      </c>
      <c r="F2285" s="388" t="s">
        <v>10078</v>
      </c>
      <c r="G2285" s="388" t="s">
        <v>10078</v>
      </c>
      <c r="H2285" s="388" t="s">
        <v>11634</v>
      </c>
      <c r="I2285" s="387" t="s">
        <v>13949</v>
      </c>
      <c r="J2285" s="389">
        <v>41564</v>
      </c>
      <c r="K2285" s="387" t="s">
        <v>13954</v>
      </c>
      <c r="L2285" s="387"/>
      <c r="M2285" s="387" t="s">
        <v>10084</v>
      </c>
      <c r="N2285" s="387"/>
      <c r="O2285" s="387" t="s">
        <v>57</v>
      </c>
      <c r="P2285" s="390">
        <v>137500000</v>
      </c>
      <c r="Q2285" s="387" t="s">
        <v>13955</v>
      </c>
      <c r="R2285" s="387" t="s">
        <v>8203</v>
      </c>
      <c r="S2285" s="340">
        <v>1</v>
      </c>
    </row>
    <row r="2286" spans="1:19" ht="29" x14ac:dyDescent="0.35">
      <c r="A2286" s="349">
        <v>2275</v>
      </c>
      <c r="B2286" s="387" t="s">
        <v>10085</v>
      </c>
      <c r="C2286" s="387" t="s">
        <v>10086</v>
      </c>
      <c r="D2286" s="388" t="s">
        <v>59</v>
      </c>
      <c r="E2286" s="388" t="s">
        <v>10082</v>
      </c>
      <c r="F2286" s="388" t="s">
        <v>10078</v>
      </c>
      <c r="G2286" s="388" t="s">
        <v>10078</v>
      </c>
      <c r="H2286" s="388" t="s">
        <v>11686</v>
      </c>
      <c r="I2286" s="387" t="s">
        <v>13949</v>
      </c>
      <c r="J2286" s="389"/>
      <c r="K2286" s="387"/>
      <c r="L2286" s="387"/>
      <c r="M2286" s="387" t="s">
        <v>10084</v>
      </c>
      <c r="N2286" s="387"/>
      <c r="O2286" s="387" t="s">
        <v>57</v>
      </c>
      <c r="P2286" s="390">
        <v>131166000</v>
      </c>
      <c r="Q2286" s="387"/>
      <c r="R2286" s="387" t="s">
        <v>8203</v>
      </c>
      <c r="S2286" s="340">
        <v>1</v>
      </c>
    </row>
    <row r="2287" spans="1:19" ht="44" thickBot="1" x14ac:dyDescent="0.4">
      <c r="A2287" s="357">
        <v>2276</v>
      </c>
      <c r="B2287" s="387" t="s">
        <v>10146</v>
      </c>
      <c r="C2287" s="387" t="s">
        <v>10147</v>
      </c>
      <c r="D2287" s="388" t="s">
        <v>51</v>
      </c>
      <c r="E2287" s="388" t="s">
        <v>10082</v>
      </c>
      <c r="F2287" s="388" t="s">
        <v>10078</v>
      </c>
      <c r="G2287" s="388" t="s">
        <v>10078</v>
      </c>
      <c r="H2287" s="388" t="s">
        <v>11324</v>
      </c>
      <c r="I2287" s="387" t="s">
        <v>13956</v>
      </c>
      <c r="J2287" s="389">
        <v>43588</v>
      </c>
      <c r="K2287" s="387" t="s">
        <v>13957</v>
      </c>
      <c r="L2287" s="387"/>
      <c r="M2287" s="387" t="s">
        <v>10084</v>
      </c>
      <c r="N2287" s="387"/>
      <c r="O2287" s="387" t="s">
        <v>57</v>
      </c>
      <c r="P2287" s="390">
        <v>140705000</v>
      </c>
      <c r="Q2287" s="387" t="s">
        <v>13958</v>
      </c>
      <c r="R2287" s="387" t="s">
        <v>8203</v>
      </c>
      <c r="S2287" s="340">
        <v>1</v>
      </c>
    </row>
    <row r="2288" spans="1:19" ht="29" x14ac:dyDescent="0.35">
      <c r="A2288" s="349">
        <v>2277</v>
      </c>
      <c r="B2288" s="387" t="s">
        <v>10191</v>
      </c>
      <c r="C2288" s="387" t="s">
        <v>10192</v>
      </c>
      <c r="D2288" s="388" t="s">
        <v>51</v>
      </c>
      <c r="E2288" s="388" t="s">
        <v>10082</v>
      </c>
      <c r="F2288" s="388" t="s">
        <v>10078</v>
      </c>
      <c r="G2288" s="388" t="s">
        <v>10078</v>
      </c>
      <c r="H2288" s="388" t="s">
        <v>2972</v>
      </c>
      <c r="I2288" s="387" t="s">
        <v>13949</v>
      </c>
      <c r="J2288" s="389">
        <v>43227</v>
      </c>
      <c r="K2288" s="387" t="s">
        <v>13959</v>
      </c>
      <c r="L2288" s="387"/>
      <c r="M2288" s="387" t="s">
        <v>10084</v>
      </c>
      <c r="N2288" s="387"/>
      <c r="O2288" s="387" t="s">
        <v>57</v>
      </c>
      <c r="P2288" s="390">
        <v>221274000</v>
      </c>
      <c r="Q2288" s="387" t="s">
        <v>13960</v>
      </c>
      <c r="R2288" s="387" t="s">
        <v>8203</v>
      </c>
      <c r="S2288" s="340">
        <v>1</v>
      </c>
    </row>
    <row r="2289" spans="1:19" ht="29.5" thickBot="1" x14ac:dyDescent="0.4">
      <c r="A2289" s="357">
        <v>2278</v>
      </c>
      <c r="B2289" s="387" t="s">
        <v>10080</v>
      </c>
      <c r="C2289" s="387" t="s">
        <v>10081</v>
      </c>
      <c r="D2289" s="388" t="s">
        <v>51</v>
      </c>
      <c r="E2289" s="388" t="s">
        <v>10082</v>
      </c>
      <c r="F2289" s="388" t="s">
        <v>10078</v>
      </c>
      <c r="G2289" s="388" t="s">
        <v>10078</v>
      </c>
      <c r="H2289" s="388" t="s">
        <v>12157</v>
      </c>
      <c r="I2289" s="387" t="s">
        <v>13961</v>
      </c>
      <c r="J2289" s="389">
        <v>41904</v>
      </c>
      <c r="K2289" s="387" t="s">
        <v>13962</v>
      </c>
      <c r="L2289" s="387"/>
      <c r="M2289" s="387" t="s">
        <v>10084</v>
      </c>
      <c r="N2289" s="387"/>
      <c r="O2289" s="387" t="s">
        <v>57</v>
      </c>
      <c r="P2289" s="390">
        <v>144431900</v>
      </c>
      <c r="Q2289" s="387" t="s">
        <v>13963</v>
      </c>
      <c r="R2289" s="387" t="s">
        <v>8205</v>
      </c>
      <c r="S2289" s="340">
        <v>1</v>
      </c>
    </row>
    <row r="2290" spans="1:19" ht="29" x14ac:dyDescent="0.35">
      <c r="A2290" s="349">
        <v>2279</v>
      </c>
      <c r="B2290" s="387" t="s">
        <v>10080</v>
      </c>
      <c r="C2290" s="387" t="s">
        <v>10081</v>
      </c>
      <c r="D2290" s="388" t="s">
        <v>59</v>
      </c>
      <c r="E2290" s="388" t="s">
        <v>10082</v>
      </c>
      <c r="F2290" s="388" t="s">
        <v>10078</v>
      </c>
      <c r="G2290" s="388" t="s">
        <v>10078</v>
      </c>
      <c r="H2290" s="388" t="s">
        <v>13165</v>
      </c>
      <c r="I2290" s="387" t="s">
        <v>13961</v>
      </c>
      <c r="J2290" s="389"/>
      <c r="K2290" s="387"/>
      <c r="L2290" s="387"/>
      <c r="M2290" s="387" t="s">
        <v>10084</v>
      </c>
      <c r="N2290" s="387"/>
      <c r="O2290" s="387" t="s">
        <v>422</v>
      </c>
      <c r="P2290" s="390">
        <v>125000000</v>
      </c>
      <c r="Q2290" s="387" t="s">
        <v>8603</v>
      </c>
      <c r="R2290" s="387" t="s">
        <v>8205</v>
      </c>
      <c r="S2290" s="340">
        <v>1</v>
      </c>
    </row>
    <row r="2291" spans="1:19" ht="29.5" thickBot="1" x14ac:dyDescent="0.4">
      <c r="A2291" s="357">
        <v>2280</v>
      </c>
      <c r="B2291" s="387" t="s">
        <v>10392</v>
      </c>
      <c r="C2291" s="387" t="s">
        <v>10393</v>
      </c>
      <c r="D2291" s="388" t="s">
        <v>51</v>
      </c>
      <c r="E2291" s="388" t="s">
        <v>10082</v>
      </c>
      <c r="F2291" s="388" t="s">
        <v>10078</v>
      </c>
      <c r="G2291" s="388" t="s">
        <v>10078</v>
      </c>
      <c r="H2291" s="388" t="s">
        <v>148</v>
      </c>
      <c r="I2291" s="387" t="s">
        <v>13961</v>
      </c>
      <c r="J2291" s="389">
        <v>42275</v>
      </c>
      <c r="K2291" s="387" t="s">
        <v>13964</v>
      </c>
      <c r="L2291" s="387"/>
      <c r="M2291" s="387" t="s">
        <v>10084</v>
      </c>
      <c r="N2291" s="387"/>
      <c r="O2291" s="387" t="s">
        <v>57</v>
      </c>
      <c r="P2291" s="390">
        <v>379974000</v>
      </c>
      <c r="Q2291" s="387" t="s">
        <v>13965</v>
      </c>
      <c r="R2291" s="387" t="s">
        <v>8205</v>
      </c>
      <c r="S2291" s="340">
        <v>1</v>
      </c>
    </row>
    <row r="2292" spans="1:19" ht="29" x14ac:dyDescent="0.35">
      <c r="A2292" s="349">
        <v>2281</v>
      </c>
      <c r="B2292" s="387" t="s">
        <v>10110</v>
      </c>
      <c r="C2292" s="387" t="s">
        <v>10111</v>
      </c>
      <c r="D2292" s="388" t="s">
        <v>51</v>
      </c>
      <c r="E2292" s="388" t="s">
        <v>10082</v>
      </c>
      <c r="F2292" s="388" t="s">
        <v>10078</v>
      </c>
      <c r="G2292" s="388" t="s">
        <v>10078</v>
      </c>
      <c r="H2292" s="388" t="s">
        <v>11447</v>
      </c>
      <c r="I2292" s="387" t="s">
        <v>13961</v>
      </c>
      <c r="J2292" s="389">
        <v>42391</v>
      </c>
      <c r="K2292" s="387" t="s">
        <v>13966</v>
      </c>
      <c r="L2292" s="387"/>
      <c r="M2292" s="387" t="s">
        <v>10084</v>
      </c>
      <c r="N2292" s="387"/>
      <c r="O2292" s="387" t="s">
        <v>57</v>
      </c>
      <c r="P2292" s="390">
        <v>82447000</v>
      </c>
      <c r="Q2292" s="387" t="s">
        <v>13967</v>
      </c>
      <c r="R2292" s="387" t="s">
        <v>8205</v>
      </c>
      <c r="S2292" s="340">
        <v>1</v>
      </c>
    </row>
    <row r="2293" spans="1:19" ht="29.5" thickBot="1" x14ac:dyDescent="0.4">
      <c r="A2293" s="357">
        <v>2282</v>
      </c>
      <c r="B2293" s="387" t="s">
        <v>10085</v>
      </c>
      <c r="C2293" s="387" t="s">
        <v>10086</v>
      </c>
      <c r="D2293" s="388" t="s">
        <v>51</v>
      </c>
      <c r="E2293" s="388" t="s">
        <v>10082</v>
      </c>
      <c r="F2293" s="388" t="s">
        <v>10078</v>
      </c>
      <c r="G2293" s="388" t="s">
        <v>10078</v>
      </c>
      <c r="H2293" s="388" t="s">
        <v>11308</v>
      </c>
      <c r="I2293" s="387" t="s">
        <v>13961</v>
      </c>
      <c r="J2293" s="389"/>
      <c r="K2293" s="387"/>
      <c r="L2293" s="387"/>
      <c r="M2293" s="387" t="s">
        <v>10084</v>
      </c>
      <c r="N2293" s="387"/>
      <c r="O2293" s="387" t="s">
        <v>57</v>
      </c>
      <c r="P2293" s="390">
        <v>69750000</v>
      </c>
      <c r="Q2293" s="387"/>
      <c r="R2293" s="387" t="s">
        <v>8205</v>
      </c>
      <c r="S2293" s="340">
        <v>1</v>
      </c>
    </row>
    <row r="2294" spans="1:19" ht="43.5" x14ac:dyDescent="0.35">
      <c r="A2294" s="349">
        <v>2283</v>
      </c>
      <c r="B2294" s="387" t="s">
        <v>10146</v>
      </c>
      <c r="C2294" s="387" t="s">
        <v>10147</v>
      </c>
      <c r="D2294" s="388" t="s">
        <v>51</v>
      </c>
      <c r="E2294" s="388" t="s">
        <v>10082</v>
      </c>
      <c r="F2294" s="388" t="s">
        <v>10078</v>
      </c>
      <c r="G2294" s="388" t="s">
        <v>10078</v>
      </c>
      <c r="H2294" s="388" t="s">
        <v>11324</v>
      </c>
      <c r="I2294" s="387" t="s">
        <v>13968</v>
      </c>
      <c r="J2294" s="389">
        <v>43588</v>
      </c>
      <c r="K2294" s="387" t="s">
        <v>13969</v>
      </c>
      <c r="L2294" s="387"/>
      <c r="M2294" s="387" t="s">
        <v>10084</v>
      </c>
      <c r="N2294" s="387"/>
      <c r="O2294" s="387" t="s">
        <v>57</v>
      </c>
      <c r="P2294" s="390">
        <v>139055000</v>
      </c>
      <c r="Q2294" s="387" t="s">
        <v>13970</v>
      </c>
      <c r="R2294" s="387" t="s">
        <v>8205</v>
      </c>
      <c r="S2294" s="340">
        <v>1</v>
      </c>
    </row>
    <row r="2295" spans="1:19" ht="29.5" thickBot="1" x14ac:dyDescent="0.4">
      <c r="A2295" s="357">
        <v>2284</v>
      </c>
      <c r="B2295" s="387" t="s">
        <v>10146</v>
      </c>
      <c r="C2295" s="387" t="s">
        <v>10147</v>
      </c>
      <c r="D2295" s="388" t="s">
        <v>59</v>
      </c>
      <c r="E2295" s="388" t="s">
        <v>10082</v>
      </c>
      <c r="F2295" s="388" t="s">
        <v>10078</v>
      </c>
      <c r="G2295" s="388" t="s">
        <v>10078</v>
      </c>
      <c r="H2295" s="388" t="s">
        <v>8957</v>
      </c>
      <c r="I2295" s="387" t="s">
        <v>13961</v>
      </c>
      <c r="J2295" s="389">
        <v>41906</v>
      </c>
      <c r="K2295" s="387" t="s">
        <v>13971</v>
      </c>
      <c r="L2295" s="387"/>
      <c r="M2295" s="387" t="s">
        <v>10084</v>
      </c>
      <c r="N2295" s="387"/>
      <c r="O2295" s="387" t="s">
        <v>57</v>
      </c>
      <c r="P2295" s="390">
        <v>183750000</v>
      </c>
      <c r="Q2295" s="387" t="s">
        <v>13972</v>
      </c>
      <c r="R2295" s="387" t="s">
        <v>8205</v>
      </c>
      <c r="S2295" s="340">
        <v>1</v>
      </c>
    </row>
    <row r="2296" spans="1:19" ht="62" x14ac:dyDescent="0.35">
      <c r="A2296" s="349">
        <v>2285</v>
      </c>
      <c r="B2296" s="364" t="s">
        <v>10155</v>
      </c>
      <c r="C2296" s="364" t="s">
        <v>10156</v>
      </c>
      <c r="D2296" s="366" t="s">
        <v>97</v>
      </c>
      <c r="E2296" s="366" t="s">
        <v>10082</v>
      </c>
      <c r="F2296" s="366" t="s">
        <v>10078</v>
      </c>
      <c r="G2296" s="366" t="s">
        <v>10088</v>
      </c>
      <c r="H2296" s="366" t="s">
        <v>13973</v>
      </c>
      <c r="I2296" s="364" t="s">
        <v>13974</v>
      </c>
      <c r="J2296" s="367">
        <v>39576</v>
      </c>
      <c r="K2296" s="364"/>
      <c r="L2296" s="364"/>
      <c r="M2296" s="364" t="s">
        <v>10084</v>
      </c>
      <c r="N2296" s="364"/>
      <c r="O2296" s="364" t="s">
        <v>422</v>
      </c>
      <c r="P2296" s="373">
        <v>2229727400</v>
      </c>
      <c r="Q2296" s="364" t="s">
        <v>13975</v>
      </c>
      <c r="R2296" s="364" t="s">
        <v>182</v>
      </c>
      <c r="S2296" s="340">
        <v>8</v>
      </c>
    </row>
    <row r="2297" spans="1:19" ht="47" thickBot="1" x14ac:dyDescent="0.4">
      <c r="A2297" s="357">
        <v>2286</v>
      </c>
      <c r="B2297" s="364" t="s">
        <v>10535</v>
      </c>
      <c r="C2297" s="364" t="s">
        <v>10536</v>
      </c>
      <c r="D2297" s="366" t="s">
        <v>51</v>
      </c>
      <c r="E2297" s="366" t="s">
        <v>10082</v>
      </c>
      <c r="F2297" s="366" t="s">
        <v>10078</v>
      </c>
      <c r="G2297" s="366" t="s">
        <v>10088</v>
      </c>
      <c r="H2297" s="366" t="s">
        <v>13976</v>
      </c>
      <c r="I2297" s="364" t="s">
        <v>13977</v>
      </c>
      <c r="J2297" s="367">
        <v>40005</v>
      </c>
      <c r="K2297" s="364" t="s">
        <v>13978</v>
      </c>
      <c r="L2297" s="364"/>
      <c r="M2297" s="364" t="s">
        <v>10084</v>
      </c>
      <c r="N2297" s="364"/>
      <c r="O2297" s="364" t="s">
        <v>57</v>
      </c>
      <c r="P2297" s="373">
        <v>177500000</v>
      </c>
      <c r="Q2297" s="364" t="s">
        <v>13979</v>
      </c>
      <c r="R2297" s="364" t="s">
        <v>182</v>
      </c>
      <c r="S2297" s="340">
        <v>8</v>
      </c>
    </row>
    <row r="2298" spans="1:19" ht="77.5" x14ac:dyDescent="0.35">
      <c r="A2298" s="349">
        <v>2287</v>
      </c>
      <c r="B2298" s="364" t="s">
        <v>10535</v>
      </c>
      <c r="C2298" s="364" t="s">
        <v>10536</v>
      </c>
      <c r="D2298" s="366" t="s">
        <v>59</v>
      </c>
      <c r="E2298" s="366" t="s">
        <v>10082</v>
      </c>
      <c r="F2298" s="366" t="s">
        <v>10078</v>
      </c>
      <c r="G2298" s="366" t="s">
        <v>10088</v>
      </c>
      <c r="H2298" s="366" t="s">
        <v>11328</v>
      </c>
      <c r="I2298" s="364" t="s">
        <v>13980</v>
      </c>
      <c r="J2298" s="367">
        <v>39981</v>
      </c>
      <c r="K2298" s="364" t="s">
        <v>13981</v>
      </c>
      <c r="L2298" s="364"/>
      <c r="M2298" s="364" t="s">
        <v>10084</v>
      </c>
      <c r="N2298" s="364"/>
      <c r="O2298" s="364" t="s">
        <v>57</v>
      </c>
      <c r="P2298" s="373">
        <v>24880000</v>
      </c>
      <c r="Q2298" s="364" t="s">
        <v>13982</v>
      </c>
      <c r="R2298" s="364" t="s">
        <v>182</v>
      </c>
      <c r="S2298" s="340">
        <v>8</v>
      </c>
    </row>
    <row r="2299" spans="1:19" ht="31.5" thickBot="1" x14ac:dyDescent="0.4">
      <c r="A2299" s="357">
        <v>2288</v>
      </c>
      <c r="B2299" s="364" t="s">
        <v>10535</v>
      </c>
      <c r="C2299" s="364" t="s">
        <v>10536</v>
      </c>
      <c r="D2299" s="366" t="s">
        <v>97</v>
      </c>
      <c r="E2299" s="366" t="s">
        <v>10082</v>
      </c>
      <c r="F2299" s="366" t="s">
        <v>10078</v>
      </c>
      <c r="G2299" s="366" t="s">
        <v>10088</v>
      </c>
      <c r="H2299" s="366" t="s">
        <v>2972</v>
      </c>
      <c r="I2299" s="364" t="s">
        <v>13983</v>
      </c>
      <c r="J2299" s="367">
        <v>43243</v>
      </c>
      <c r="K2299" s="364" t="s">
        <v>13984</v>
      </c>
      <c r="L2299" s="364"/>
      <c r="M2299" s="364" t="s">
        <v>10084</v>
      </c>
      <c r="N2299" s="364"/>
      <c r="O2299" s="364" t="s">
        <v>57</v>
      </c>
      <c r="P2299" s="373">
        <v>27686000</v>
      </c>
      <c r="Q2299" s="364" t="s">
        <v>13985</v>
      </c>
      <c r="R2299" s="364" t="s">
        <v>182</v>
      </c>
      <c r="S2299" s="340">
        <v>8</v>
      </c>
    </row>
    <row r="2300" spans="1:19" ht="31" x14ac:dyDescent="0.35">
      <c r="A2300" s="349">
        <v>2289</v>
      </c>
      <c r="B2300" s="364" t="s">
        <v>10541</v>
      </c>
      <c r="C2300" s="364" t="s">
        <v>10542</v>
      </c>
      <c r="D2300" s="366" t="s">
        <v>51</v>
      </c>
      <c r="E2300" s="366" t="s">
        <v>10082</v>
      </c>
      <c r="F2300" s="366" t="s">
        <v>10078</v>
      </c>
      <c r="G2300" s="366" t="s">
        <v>10088</v>
      </c>
      <c r="H2300" s="366" t="s">
        <v>12623</v>
      </c>
      <c r="I2300" s="364" t="s">
        <v>13986</v>
      </c>
      <c r="J2300" s="367">
        <v>42872</v>
      </c>
      <c r="K2300" s="364" t="s">
        <v>13987</v>
      </c>
      <c r="L2300" s="364"/>
      <c r="M2300" s="364" t="s">
        <v>10084</v>
      </c>
      <c r="N2300" s="364"/>
      <c r="O2300" s="364" t="s">
        <v>57</v>
      </c>
      <c r="P2300" s="373">
        <v>246536000</v>
      </c>
      <c r="Q2300" s="364" t="s">
        <v>13988</v>
      </c>
      <c r="R2300" s="364" t="s">
        <v>182</v>
      </c>
      <c r="S2300" s="340">
        <v>8</v>
      </c>
    </row>
    <row r="2301" spans="1:19" ht="93.5" thickBot="1" x14ac:dyDescent="0.4">
      <c r="A2301" s="357">
        <v>2290</v>
      </c>
      <c r="B2301" s="364" t="s">
        <v>10481</v>
      </c>
      <c r="C2301" s="364" t="s">
        <v>10482</v>
      </c>
      <c r="D2301" s="366" t="s">
        <v>51</v>
      </c>
      <c r="E2301" s="366" t="s">
        <v>10082</v>
      </c>
      <c r="F2301" s="366" t="s">
        <v>10078</v>
      </c>
      <c r="G2301" s="366" t="s">
        <v>10088</v>
      </c>
      <c r="H2301" s="366" t="s">
        <v>13342</v>
      </c>
      <c r="I2301" s="364" t="s">
        <v>13989</v>
      </c>
      <c r="J2301" s="367">
        <v>40653</v>
      </c>
      <c r="K2301" s="364" t="s">
        <v>13990</v>
      </c>
      <c r="L2301" s="364"/>
      <c r="M2301" s="364" t="s">
        <v>10084</v>
      </c>
      <c r="N2301" s="364"/>
      <c r="O2301" s="364" t="s">
        <v>57</v>
      </c>
      <c r="P2301" s="373">
        <v>704628400</v>
      </c>
      <c r="Q2301" s="364" t="s">
        <v>13991</v>
      </c>
      <c r="R2301" s="364" t="s">
        <v>182</v>
      </c>
      <c r="S2301" s="340">
        <v>8</v>
      </c>
    </row>
    <row r="2302" spans="1:19" ht="46.5" x14ac:dyDescent="0.35">
      <c r="A2302" s="349">
        <v>2291</v>
      </c>
      <c r="B2302" s="364" t="s">
        <v>10486</v>
      </c>
      <c r="C2302" s="364" t="s">
        <v>10487</v>
      </c>
      <c r="D2302" s="366" t="s">
        <v>51</v>
      </c>
      <c r="E2302" s="366" t="s">
        <v>10082</v>
      </c>
      <c r="F2302" s="366" t="s">
        <v>10078</v>
      </c>
      <c r="G2302" s="366" t="s">
        <v>10088</v>
      </c>
      <c r="H2302" s="366" t="s">
        <v>12798</v>
      </c>
      <c r="I2302" s="364" t="s">
        <v>13992</v>
      </c>
      <c r="J2302" s="367">
        <v>39941</v>
      </c>
      <c r="K2302" s="364"/>
      <c r="L2302" s="364"/>
      <c r="M2302" s="364" t="s">
        <v>10084</v>
      </c>
      <c r="N2302" s="364"/>
      <c r="O2302" s="364" t="s">
        <v>57</v>
      </c>
      <c r="P2302" s="373">
        <v>36225000</v>
      </c>
      <c r="Q2302" s="364" t="s">
        <v>13993</v>
      </c>
      <c r="R2302" s="364" t="s">
        <v>182</v>
      </c>
      <c r="S2302" s="340">
        <v>8</v>
      </c>
    </row>
    <row r="2303" spans="1:19" ht="47" thickBot="1" x14ac:dyDescent="0.4">
      <c r="A2303" s="357">
        <v>2292</v>
      </c>
      <c r="B2303" s="364" t="s">
        <v>10687</v>
      </c>
      <c r="C2303" s="364" t="s">
        <v>10688</v>
      </c>
      <c r="D2303" s="366" t="s">
        <v>51</v>
      </c>
      <c r="E2303" s="366" t="s">
        <v>10082</v>
      </c>
      <c r="F2303" s="366" t="s">
        <v>10078</v>
      </c>
      <c r="G2303" s="366" t="s">
        <v>10088</v>
      </c>
      <c r="H2303" s="366" t="s">
        <v>12798</v>
      </c>
      <c r="I2303" s="364" t="s">
        <v>13974</v>
      </c>
      <c r="J2303" s="367">
        <v>39941</v>
      </c>
      <c r="K2303" s="364"/>
      <c r="L2303" s="364"/>
      <c r="M2303" s="364" t="s">
        <v>10084</v>
      </c>
      <c r="N2303" s="364"/>
      <c r="O2303" s="364" t="s">
        <v>57</v>
      </c>
      <c r="P2303" s="373">
        <v>36225000</v>
      </c>
      <c r="Q2303" s="364" t="s">
        <v>13994</v>
      </c>
      <c r="R2303" s="364" t="s">
        <v>182</v>
      </c>
      <c r="S2303" s="340">
        <v>8</v>
      </c>
    </row>
    <row r="2304" spans="1:19" ht="31" x14ac:dyDescent="0.35">
      <c r="A2304" s="349">
        <v>2293</v>
      </c>
      <c r="B2304" s="364" t="s">
        <v>10765</v>
      </c>
      <c r="C2304" s="364" t="s">
        <v>10766</v>
      </c>
      <c r="D2304" s="366" t="s">
        <v>51</v>
      </c>
      <c r="E2304" s="366" t="s">
        <v>10082</v>
      </c>
      <c r="F2304" s="366" t="s">
        <v>10078</v>
      </c>
      <c r="G2304" s="366" t="s">
        <v>10088</v>
      </c>
      <c r="H2304" s="366" t="s">
        <v>12701</v>
      </c>
      <c r="I2304" s="364" t="s">
        <v>13995</v>
      </c>
      <c r="J2304" s="367">
        <v>43243</v>
      </c>
      <c r="K2304" s="364" t="s">
        <v>13996</v>
      </c>
      <c r="L2304" s="364"/>
      <c r="M2304" s="364" t="s">
        <v>10084</v>
      </c>
      <c r="N2304" s="364"/>
      <c r="O2304" s="364" t="s">
        <v>57</v>
      </c>
      <c r="P2304" s="373">
        <v>83100000</v>
      </c>
      <c r="Q2304" s="364" t="s">
        <v>13997</v>
      </c>
      <c r="R2304" s="364" t="s">
        <v>182</v>
      </c>
      <c r="S2304" s="340">
        <v>8</v>
      </c>
    </row>
    <row r="2305" spans="1:19" ht="31.5" thickBot="1" x14ac:dyDescent="0.4">
      <c r="A2305" s="357">
        <v>2294</v>
      </c>
      <c r="B2305" s="364" t="s">
        <v>10765</v>
      </c>
      <c r="C2305" s="364" t="s">
        <v>10766</v>
      </c>
      <c r="D2305" s="366" t="s">
        <v>59</v>
      </c>
      <c r="E2305" s="366" t="s">
        <v>10082</v>
      </c>
      <c r="F2305" s="366" t="s">
        <v>10078</v>
      </c>
      <c r="G2305" s="366" t="s">
        <v>10088</v>
      </c>
      <c r="H2305" s="366" t="s">
        <v>13998</v>
      </c>
      <c r="I2305" s="364" t="s">
        <v>12117</v>
      </c>
      <c r="J2305" s="367">
        <v>41205</v>
      </c>
      <c r="K2305" s="364" t="s">
        <v>13999</v>
      </c>
      <c r="L2305" s="364"/>
      <c r="M2305" s="364" t="s">
        <v>10084</v>
      </c>
      <c r="N2305" s="364"/>
      <c r="O2305" s="364" t="s">
        <v>57</v>
      </c>
      <c r="P2305" s="373">
        <v>273600000</v>
      </c>
      <c r="Q2305" s="364" t="s">
        <v>14000</v>
      </c>
      <c r="R2305" s="364" t="s">
        <v>182</v>
      </c>
      <c r="S2305" s="340">
        <v>8</v>
      </c>
    </row>
    <row r="2306" spans="1:19" ht="46.5" x14ac:dyDescent="0.35">
      <c r="A2306" s="349">
        <v>2295</v>
      </c>
      <c r="B2306" s="364" t="s">
        <v>10838</v>
      </c>
      <c r="C2306" s="364" t="s">
        <v>10839</v>
      </c>
      <c r="D2306" s="366" t="s">
        <v>51</v>
      </c>
      <c r="E2306" s="366" t="s">
        <v>10082</v>
      </c>
      <c r="F2306" s="366" t="s">
        <v>10078</v>
      </c>
      <c r="G2306" s="366" t="s">
        <v>10088</v>
      </c>
      <c r="H2306" s="366" t="s">
        <v>11451</v>
      </c>
      <c r="I2306" s="364" t="s">
        <v>14001</v>
      </c>
      <c r="J2306" s="367">
        <v>40359</v>
      </c>
      <c r="K2306" s="364" t="s">
        <v>14002</v>
      </c>
      <c r="L2306" s="364"/>
      <c r="M2306" s="364" t="s">
        <v>10084</v>
      </c>
      <c r="N2306" s="364"/>
      <c r="O2306" s="364" t="s">
        <v>57</v>
      </c>
      <c r="P2306" s="373">
        <v>34770000</v>
      </c>
      <c r="Q2306" s="364" t="s">
        <v>14003</v>
      </c>
      <c r="R2306" s="364" t="s">
        <v>182</v>
      </c>
      <c r="S2306" s="340">
        <v>8</v>
      </c>
    </row>
    <row r="2307" spans="1:19" ht="31.5" thickBot="1" x14ac:dyDescent="0.4">
      <c r="A2307" s="357">
        <v>2296</v>
      </c>
      <c r="B2307" s="364" t="s">
        <v>10511</v>
      </c>
      <c r="C2307" s="364" t="s">
        <v>10512</v>
      </c>
      <c r="D2307" s="366" t="s">
        <v>51</v>
      </c>
      <c r="E2307" s="366" t="s">
        <v>10082</v>
      </c>
      <c r="F2307" s="366" t="s">
        <v>10078</v>
      </c>
      <c r="G2307" s="366" t="s">
        <v>10078</v>
      </c>
      <c r="H2307" s="366" t="s">
        <v>11451</v>
      </c>
      <c r="I2307" s="364" t="s">
        <v>13995</v>
      </c>
      <c r="J2307" s="367">
        <v>42172</v>
      </c>
      <c r="K2307" s="364" t="s">
        <v>14004</v>
      </c>
      <c r="L2307" s="364"/>
      <c r="M2307" s="364" t="s">
        <v>10084</v>
      </c>
      <c r="N2307" s="364"/>
      <c r="O2307" s="364" t="s">
        <v>57</v>
      </c>
      <c r="P2307" s="373">
        <v>7500000</v>
      </c>
      <c r="Q2307" s="364" t="s">
        <v>14005</v>
      </c>
      <c r="R2307" s="364" t="s">
        <v>182</v>
      </c>
      <c r="S2307" s="340">
        <v>8</v>
      </c>
    </row>
    <row r="2308" spans="1:19" ht="31" x14ac:dyDescent="0.35">
      <c r="A2308" s="349">
        <v>2297</v>
      </c>
      <c r="B2308" s="364" t="s">
        <v>10155</v>
      </c>
      <c r="C2308" s="364" t="s">
        <v>10156</v>
      </c>
      <c r="D2308" s="366" t="s">
        <v>51</v>
      </c>
      <c r="E2308" s="366" t="s">
        <v>10082</v>
      </c>
      <c r="F2308" s="366" t="s">
        <v>10078</v>
      </c>
      <c r="G2308" s="366" t="s">
        <v>10078</v>
      </c>
      <c r="H2308" s="366" t="s">
        <v>2972</v>
      </c>
      <c r="I2308" s="364" t="s">
        <v>14006</v>
      </c>
      <c r="J2308" s="367">
        <v>44509</v>
      </c>
      <c r="K2308" s="364" t="s">
        <v>14007</v>
      </c>
      <c r="L2308" s="364"/>
      <c r="M2308" s="364" t="s">
        <v>10084</v>
      </c>
      <c r="N2308" s="364"/>
      <c r="O2308" s="364" t="s">
        <v>57</v>
      </c>
      <c r="P2308" s="373">
        <v>260502381.99999997</v>
      </c>
      <c r="Q2308" s="364" t="s">
        <v>14008</v>
      </c>
      <c r="R2308" s="364" t="s">
        <v>1935</v>
      </c>
      <c r="S2308" s="340">
        <v>4</v>
      </c>
    </row>
    <row r="2309" spans="1:19" ht="31.5" thickBot="1" x14ac:dyDescent="0.4">
      <c r="A2309" s="357">
        <v>2298</v>
      </c>
      <c r="B2309" s="364" t="s">
        <v>10535</v>
      </c>
      <c r="C2309" s="364" t="s">
        <v>10536</v>
      </c>
      <c r="D2309" s="366" t="s">
        <v>59</v>
      </c>
      <c r="E2309" s="366" t="s">
        <v>10082</v>
      </c>
      <c r="F2309" s="366" t="s">
        <v>10078</v>
      </c>
      <c r="G2309" s="366" t="s">
        <v>10088</v>
      </c>
      <c r="H2309" s="366" t="s">
        <v>11318</v>
      </c>
      <c r="I2309" s="364" t="s">
        <v>14009</v>
      </c>
      <c r="J2309" s="367"/>
      <c r="K2309" s="364" t="s">
        <v>14010</v>
      </c>
      <c r="L2309" s="364"/>
      <c r="M2309" s="364"/>
      <c r="N2309" s="364"/>
      <c r="O2309" s="364" t="s">
        <v>44</v>
      </c>
      <c r="P2309" s="373">
        <v>165886475</v>
      </c>
      <c r="Q2309" s="364" t="s">
        <v>14011</v>
      </c>
      <c r="R2309" s="364" t="s">
        <v>1935</v>
      </c>
      <c r="S2309" s="340">
        <v>4</v>
      </c>
    </row>
    <row r="2310" spans="1:19" ht="46.5" x14ac:dyDescent="0.35">
      <c r="A2310" s="349">
        <v>2299</v>
      </c>
      <c r="B2310" s="364" t="s">
        <v>10541</v>
      </c>
      <c r="C2310" s="364" t="s">
        <v>10542</v>
      </c>
      <c r="D2310" s="366" t="s">
        <v>51</v>
      </c>
      <c r="E2310" s="366" t="s">
        <v>10082</v>
      </c>
      <c r="F2310" s="366" t="s">
        <v>10078</v>
      </c>
      <c r="G2310" s="366" t="s">
        <v>10078</v>
      </c>
      <c r="H2310" s="366" t="s">
        <v>2972</v>
      </c>
      <c r="I2310" s="364" t="s">
        <v>14012</v>
      </c>
      <c r="J2310" s="367">
        <v>44146</v>
      </c>
      <c r="K2310" s="364" t="s">
        <v>14013</v>
      </c>
      <c r="L2310" s="364"/>
      <c r="M2310" s="364" t="s">
        <v>10084</v>
      </c>
      <c r="N2310" s="364"/>
      <c r="O2310" s="364" t="s">
        <v>57</v>
      </c>
      <c r="P2310" s="373">
        <v>49521000</v>
      </c>
      <c r="Q2310" s="364" t="s">
        <v>14014</v>
      </c>
      <c r="R2310" s="364" t="s">
        <v>1935</v>
      </c>
      <c r="S2310" s="340">
        <v>4</v>
      </c>
    </row>
    <row r="2311" spans="1:19" ht="31.5" thickBot="1" x14ac:dyDescent="0.4">
      <c r="A2311" s="357">
        <v>2300</v>
      </c>
      <c r="B2311" s="364" t="s">
        <v>14015</v>
      </c>
      <c r="C2311" s="364" t="s">
        <v>14016</v>
      </c>
      <c r="D2311" s="366" t="s">
        <v>97</v>
      </c>
      <c r="E2311" s="366" t="s">
        <v>10082</v>
      </c>
      <c r="F2311" s="366" t="s">
        <v>10078</v>
      </c>
      <c r="G2311" s="366" t="s">
        <v>10088</v>
      </c>
      <c r="H2311" s="366" t="s">
        <v>14017</v>
      </c>
      <c r="I2311" s="364" t="s">
        <v>14009</v>
      </c>
      <c r="J2311" s="367"/>
      <c r="K2311" s="364" t="s">
        <v>14018</v>
      </c>
      <c r="L2311" s="364"/>
      <c r="M2311" s="364"/>
      <c r="N2311" s="364"/>
      <c r="O2311" s="364" t="s">
        <v>44</v>
      </c>
      <c r="P2311" s="373">
        <v>109916450</v>
      </c>
      <c r="Q2311" s="364" t="s">
        <v>14019</v>
      </c>
      <c r="R2311" s="364" t="s">
        <v>1935</v>
      </c>
      <c r="S2311" s="340">
        <v>4</v>
      </c>
    </row>
    <row r="2312" spans="1:19" ht="31" x14ac:dyDescent="0.35">
      <c r="A2312" s="349">
        <v>2301</v>
      </c>
      <c r="B2312" s="364" t="s">
        <v>14015</v>
      </c>
      <c r="C2312" s="364" t="s">
        <v>14016</v>
      </c>
      <c r="D2312" s="366" t="s">
        <v>101</v>
      </c>
      <c r="E2312" s="366" t="s">
        <v>10082</v>
      </c>
      <c r="F2312" s="366" t="s">
        <v>10078</v>
      </c>
      <c r="G2312" s="366" t="s">
        <v>10088</v>
      </c>
      <c r="H2312" s="366" t="s">
        <v>14020</v>
      </c>
      <c r="I2312" s="364" t="s">
        <v>14009</v>
      </c>
      <c r="J2312" s="367"/>
      <c r="K2312" s="364" t="s">
        <v>14021</v>
      </c>
      <c r="L2312" s="364"/>
      <c r="M2312" s="364"/>
      <c r="N2312" s="364"/>
      <c r="O2312" s="364" t="s">
        <v>44</v>
      </c>
      <c r="P2312" s="373">
        <v>220988120</v>
      </c>
      <c r="Q2312" s="364" t="s">
        <v>14022</v>
      </c>
      <c r="R2312" s="364" t="s">
        <v>1935</v>
      </c>
      <c r="S2312" s="340">
        <v>4</v>
      </c>
    </row>
    <row r="2313" spans="1:19" ht="31.5" thickBot="1" x14ac:dyDescent="0.4">
      <c r="A2313" s="357">
        <v>2302</v>
      </c>
      <c r="B2313" s="364" t="s">
        <v>10228</v>
      </c>
      <c r="C2313" s="364" t="s">
        <v>10229</v>
      </c>
      <c r="D2313" s="366" t="s">
        <v>51</v>
      </c>
      <c r="E2313" s="366" t="s">
        <v>10082</v>
      </c>
      <c r="F2313" s="366" t="s">
        <v>10078</v>
      </c>
      <c r="G2313" s="366" t="s">
        <v>10078</v>
      </c>
      <c r="H2313" s="366" t="s">
        <v>12939</v>
      </c>
      <c r="I2313" s="364" t="s">
        <v>14023</v>
      </c>
      <c r="J2313" s="367"/>
      <c r="K2313" s="364" t="s">
        <v>14024</v>
      </c>
      <c r="L2313" s="364"/>
      <c r="M2313" s="364"/>
      <c r="N2313" s="364"/>
      <c r="O2313" s="364" t="s">
        <v>44</v>
      </c>
      <c r="P2313" s="373">
        <v>33724466</v>
      </c>
      <c r="Q2313" s="364" t="s">
        <v>10837</v>
      </c>
      <c r="R2313" s="364" t="s">
        <v>1935</v>
      </c>
      <c r="S2313" s="340">
        <v>4</v>
      </c>
    </row>
    <row r="2314" spans="1:19" ht="31" x14ac:dyDescent="0.35">
      <c r="A2314" s="349">
        <v>2303</v>
      </c>
      <c r="B2314" s="364" t="s">
        <v>10228</v>
      </c>
      <c r="C2314" s="364" t="s">
        <v>10229</v>
      </c>
      <c r="D2314" s="366" t="s">
        <v>59</v>
      </c>
      <c r="E2314" s="366" t="s">
        <v>10082</v>
      </c>
      <c r="F2314" s="366" t="s">
        <v>10078</v>
      </c>
      <c r="G2314" s="366" t="s">
        <v>10078</v>
      </c>
      <c r="H2314" s="366" t="s">
        <v>12939</v>
      </c>
      <c r="I2314" s="364" t="s">
        <v>14023</v>
      </c>
      <c r="J2314" s="367"/>
      <c r="K2314" s="364" t="s">
        <v>14024</v>
      </c>
      <c r="L2314" s="364"/>
      <c r="M2314" s="364"/>
      <c r="N2314" s="364"/>
      <c r="O2314" s="364" t="s">
        <v>44</v>
      </c>
      <c r="P2314" s="373">
        <v>33724466</v>
      </c>
      <c r="Q2314" s="364" t="s">
        <v>10837</v>
      </c>
      <c r="R2314" s="364" t="s">
        <v>1935</v>
      </c>
      <c r="S2314" s="340">
        <v>4</v>
      </c>
    </row>
    <row r="2315" spans="1:19" ht="31.5" thickBot="1" x14ac:dyDescent="0.4">
      <c r="A2315" s="357">
        <v>2304</v>
      </c>
      <c r="B2315" s="364" t="s">
        <v>14025</v>
      </c>
      <c r="C2315" s="364" t="s">
        <v>14026</v>
      </c>
      <c r="D2315" s="366" t="s">
        <v>51</v>
      </c>
      <c r="E2315" s="366" t="s">
        <v>10082</v>
      </c>
      <c r="F2315" s="366" t="s">
        <v>10078</v>
      </c>
      <c r="G2315" s="366" t="s">
        <v>10078</v>
      </c>
      <c r="H2315" s="366" t="s">
        <v>14027</v>
      </c>
      <c r="I2315" s="364" t="s">
        <v>14023</v>
      </c>
      <c r="J2315" s="367"/>
      <c r="K2315" s="364" t="s">
        <v>14028</v>
      </c>
      <c r="L2315" s="364"/>
      <c r="M2315" s="364"/>
      <c r="N2315" s="364"/>
      <c r="O2315" s="364" t="s">
        <v>44</v>
      </c>
      <c r="P2315" s="373">
        <v>225723030</v>
      </c>
      <c r="Q2315" s="364" t="s">
        <v>14029</v>
      </c>
      <c r="R2315" s="364" t="s">
        <v>1935</v>
      </c>
      <c r="S2315" s="340">
        <v>4</v>
      </c>
    </row>
    <row r="2316" spans="1:19" ht="46.5" x14ac:dyDescent="0.35">
      <c r="A2316" s="349">
        <v>2305</v>
      </c>
      <c r="B2316" s="364" t="s">
        <v>11119</v>
      </c>
      <c r="C2316" s="364" t="s">
        <v>11120</v>
      </c>
      <c r="D2316" s="366" t="s">
        <v>51</v>
      </c>
      <c r="E2316" s="366" t="s">
        <v>10082</v>
      </c>
      <c r="F2316" s="366" t="s">
        <v>10078</v>
      </c>
      <c r="G2316" s="366" t="s">
        <v>10078</v>
      </c>
      <c r="H2316" s="366" t="s">
        <v>2972</v>
      </c>
      <c r="I2316" s="364" t="s">
        <v>14012</v>
      </c>
      <c r="J2316" s="367">
        <v>44162</v>
      </c>
      <c r="K2316" s="364" t="s">
        <v>14030</v>
      </c>
      <c r="L2316" s="364"/>
      <c r="M2316" s="364" t="s">
        <v>10084</v>
      </c>
      <c r="N2316" s="364"/>
      <c r="O2316" s="364" t="s">
        <v>57</v>
      </c>
      <c r="P2316" s="373">
        <v>15000000</v>
      </c>
      <c r="Q2316" s="364" t="s">
        <v>14031</v>
      </c>
      <c r="R2316" s="364" t="s">
        <v>1935</v>
      </c>
      <c r="S2316" s="340">
        <v>4</v>
      </c>
    </row>
    <row r="2317" spans="1:19" ht="31.5" thickBot="1" x14ac:dyDescent="0.4">
      <c r="A2317" s="357">
        <v>2306</v>
      </c>
      <c r="B2317" s="364" t="s">
        <v>10155</v>
      </c>
      <c r="C2317" s="364" t="s">
        <v>10156</v>
      </c>
      <c r="D2317" s="366" t="s">
        <v>101</v>
      </c>
      <c r="E2317" s="366" t="s">
        <v>10082</v>
      </c>
      <c r="F2317" s="366" t="s">
        <v>10078</v>
      </c>
      <c r="G2317" s="366" t="s">
        <v>10078</v>
      </c>
      <c r="H2317" s="366" t="s">
        <v>11407</v>
      </c>
      <c r="I2317" s="364" t="s">
        <v>14032</v>
      </c>
      <c r="J2317" s="367">
        <v>44055</v>
      </c>
      <c r="K2317" s="364" t="s">
        <v>14033</v>
      </c>
      <c r="L2317" s="364"/>
      <c r="M2317" s="364" t="s">
        <v>10084</v>
      </c>
      <c r="N2317" s="364"/>
      <c r="O2317" s="364" t="s">
        <v>57</v>
      </c>
      <c r="P2317" s="373">
        <v>189250932</v>
      </c>
      <c r="Q2317" s="364" t="s">
        <v>14034</v>
      </c>
      <c r="R2317" s="364" t="s">
        <v>106</v>
      </c>
      <c r="S2317" s="340">
        <v>5</v>
      </c>
    </row>
    <row r="2318" spans="1:19" ht="31" x14ac:dyDescent="0.35">
      <c r="A2318" s="349">
        <v>2307</v>
      </c>
      <c r="B2318" s="364" t="s">
        <v>10155</v>
      </c>
      <c r="C2318" s="364" t="s">
        <v>10156</v>
      </c>
      <c r="D2318" s="366" t="s">
        <v>107</v>
      </c>
      <c r="E2318" s="366" t="s">
        <v>10082</v>
      </c>
      <c r="F2318" s="366" t="s">
        <v>10078</v>
      </c>
      <c r="G2318" s="366" t="s">
        <v>10078</v>
      </c>
      <c r="H2318" s="366" t="s">
        <v>82</v>
      </c>
      <c r="I2318" s="364" t="s">
        <v>14035</v>
      </c>
      <c r="J2318" s="367">
        <v>43664</v>
      </c>
      <c r="K2318" s="364" t="s">
        <v>14036</v>
      </c>
      <c r="L2318" s="364"/>
      <c r="M2318" s="364" t="s">
        <v>10084</v>
      </c>
      <c r="N2318" s="364"/>
      <c r="O2318" s="364" t="s">
        <v>57</v>
      </c>
      <c r="P2318" s="373">
        <v>99600000</v>
      </c>
      <c r="Q2318" s="364" t="s">
        <v>14037</v>
      </c>
      <c r="R2318" s="364" t="s">
        <v>106</v>
      </c>
      <c r="S2318" s="340">
        <v>5</v>
      </c>
    </row>
    <row r="2319" spans="1:19" ht="47" thickBot="1" x14ac:dyDescent="0.4">
      <c r="A2319" s="357">
        <v>2308</v>
      </c>
      <c r="B2319" s="364" t="s">
        <v>10155</v>
      </c>
      <c r="C2319" s="364" t="s">
        <v>10156</v>
      </c>
      <c r="D2319" s="366" t="s">
        <v>112</v>
      </c>
      <c r="E2319" s="366" t="s">
        <v>10082</v>
      </c>
      <c r="F2319" s="366" t="s">
        <v>10078</v>
      </c>
      <c r="G2319" s="366" t="s">
        <v>10078</v>
      </c>
      <c r="H2319" s="366" t="s">
        <v>2972</v>
      </c>
      <c r="I2319" s="364" t="s">
        <v>14038</v>
      </c>
      <c r="J2319" s="367">
        <v>42461</v>
      </c>
      <c r="K2319" s="364" t="s">
        <v>14039</v>
      </c>
      <c r="L2319" s="364"/>
      <c r="M2319" s="364" t="s">
        <v>10084</v>
      </c>
      <c r="N2319" s="364"/>
      <c r="O2319" s="364" t="s">
        <v>57</v>
      </c>
      <c r="P2319" s="373">
        <v>211144000</v>
      </c>
      <c r="Q2319" s="364" t="s">
        <v>14040</v>
      </c>
      <c r="R2319" s="364" t="s">
        <v>106</v>
      </c>
      <c r="S2319" s="340">
        <v>5</v>
      </c>
    </row>
    <row r="2320" spans="1:19" ht="31" x14ac:dyDescent="0.35">
      <c r="A2320" s="349">
        <v>2309</v>
      </c>
      <c r="B2320" s="364" t="s">
        <v>10155</v>
      </c>
      <c r="C2320" s="364" t="s">
        <v>10156</v>
      </c>
      <c r="D2320" s="366" t="s">
        <v>116</v>
      </c>
      <c r="E2320" s="366" t="s">
        <v>10082</v>
      </c>
      <c r="F2320" s="366" t="s">
        <v>10078</v>
      </c>
      <c r="G2320" s="366" t="s">
        <v>10078</v>
      </c>
      <c r="H2320" s="366" t="s">
        <v>2972</v>
      </c>
      <c r="I2320" s="364" t="s">
        <v>14041</v>
      </c>
      <c r="J2320" s="367">
        <v>42461</v>
      </c>
      <c r="K2320" s="364" t="s">
        <v>14042</v>
      </c>
      <c r="L2320" s="364"/>
      <c r="M2320" s="364" t="s">
        <v>10084</v>
      </c>
      <c r="N2320" s="364"/>
      <c r="O2320" s="364" t="s">
        <v>57</v>
      </c>
      <c r="P2320" s="373">
        <v>191275000</v>
      </c>
      <c r="Q2320" s="364" t="s">
        <v>14043</v>
      </c>
      <c r="R2320" s="364" t="s">
        <v>106</v>
      </c>
      <c r="S2320" s="340">
        <v>5</v>
      </c>
    </row>
    <row r="2321" spans="1:19" ht="93.5" thickBot="1" x14ac:dyDescent="0.4">
      <c r="A2321" s="357">
        <v>2310</v>
      </c>
      <c r="B2321" s="364" t="s">
        <v>10155</v>
      </c>
      <c r="C2321" s="364" t="s">
        <v>10156</v>
      </c>
      <c r="D2321" s="366" t="s">
        <v>841</v>
      </c>
      <c r="E2321" s="366" t="s">
        <v>10082</v>
      </c>
      <c r="F2321" s="366" t="s">
        <v>10078</v>
      </c>
      <c r="G2321" s="366" t="s">
        <v>10078</v>
      </c>
      <c r="H2321" s="366" t="s">
        <v>2972</v>
      </c>
      <c r="I2321" s="364" t="s">
        <v>14044</v>
      </c>
      <c r="J2321" s="367">
        <v>42576</v>
      </c>
      <c r="K2321" s="364" t="s">
        <v>14045</v>
      </c>
      <c r="L2321" s="364"/>
      <c r="M2321" s="364" t="s">
        <v>10084</v>
      </c>
      <c r="N2321" s="364"/>
      <c r="O2321" s="364" t="s">
        <v>57</v>
      </c>
      <c r="P2321" s="373">
        <v>451495000</v>
      </c>
      <c r="Q2321" s="364" t="s">
        <v>14046</v>
      </c>
      <c r="R2321" s="364" t="s">
        <v>106</v>
      </c>
      <c r="S2321" s="340">
        <v>5</v>
      </c>
    </row>
    <row r="2322" spans="1:19" ht="46.5" x14ac:dyDescent="0.35">
      <c r="A2322" s="349">
        <v>2311</v>
      </c>
      <c r="B2322" s="364" t="s">
        <v>10155</v>
      </c>
      <c r="C2322" s="364" t="s">
        <v>10156</v>
      </c>
      <c r="D2322" s="366" t="s">
        <v>904</v>
      </c>
      <c r="E2322" s="366" t="s">
        <v>10082</v>
      </c>
      <c r="F2322" s="366" t="s">
        <v>10078</v>
      </c>
      <c r="G2322" s="366" t="s">
        <v>10078</v>
      </c>
      <c r="H2322" s="366" t="s">
        <v>2972</v>
      </c>
      <c r="I2322" s="364" t="s">
        <v>14047</v>
      </c>
      <c r="J2322" s="367">
        <v>42461</v>
      </c>
      <c r="K2322" s="364" t="s">
        <v>14048</v>
      </c>
      <c r="L2322" s="364"/>
      <c r="M2322" s="364" t="s">
        <v>10084</v>
      </c>
      <c r="N2322" s="364"/>
      <c r="O2322" s="364" t="s">
        <v>57</v>
      </c>
      <c r="P2322" s="373">
        <v>385528000</v>
      </c>
      <c r="Q2322" s="364" t="s">
        <v>14049</v>
      </c>
      <c r="R2322" s="364" t="s">
        <v>106</v>
      </c>
      <c r="S2322" s="340">
        <v>5</v>
      </c>
    </row>
    <row r="2323" spans="1:19" ht="31.5" thickBot="1" x14ac:dyDescent="0.4">
      <c r="A2323" s="357">
        <v>2312</v>
      </c>
      <c r="B2323" s="364" t="s">
        <v>10155</v>
      </c>
      <c r="C2323" s="364" t="s">
        <v>10156</v>
      </c>
      <c r="D2323" s="366" t="s">
        <v>122</v>
      </c>
      <c r="E2323" s="366" t="s">
        <v>10082</v>
      </c>
      <c r="F2323" s="366" t="s">
        <v>10078</v>
      </c>
      <c r="G2323" s="366" t="s">
        <v>10078</v>
      </c>
      <c r="H2323" s="366" t="s">
        <v>2972</v>
      </c>
      <c r="I2323" s="364" t="s">
        <v>14050</v>
      </c>
      <c r="J2323" s="367">
        <v>42461</v>
      </c>
      <c r="K2323" s="364" t="s">
        <v>14051</v>
      </c>
      <c r="L2323" s="364"/>
      <c r="M2323" s="364" t="s">
        <v>10084</v>
      </c>
      <c r="N2323" s="364"/>
      <c r="O2323" s="364" t="s">
        <v>57</v>
      </c>
      <c r="P2323" s="373">
        <v>708503000</v>
      </c>
      <c r="Q2323" s="364" t="s">
        <v>14052</v>
      </c>
      <c r="R2323" s="364" t="s">
        <v>106</v>
      </c>
      <c r="S2323" s="340">
        <v>5</v>
      </c>
    </row>
    <row r="2324" spans="1:19" ht="62" x14ac:dyDescent="0.35">
      <c r="A2324" s="349">
        <v>2313</v>
      </c>
      <c r="B2324" s="364" t="s">
        <v>10155</v>
      </c>
      <c r="C2324" s="364" t="s">
        <v>10156</v>
      </c>
      <c r="D2324" s="366" t="s">
        <v>126</v>
      </c>
      <c r="E2324" s="366" t="s">
        <v>10082</v>
      </c>
      <c r="F2324" s="366" t="s">
        <v>10078</v>
      </c>
      <c r="G2324" s="366" t="s">
        <v>10088</v>
      </c>
      <c r="H2324" s="366" t="s">
        <v>14053</v>
      </c>
      <c r="I2324" s="364" t="s">
        <v>14054</v>
      </c>
      <c r="J2324" s="367">
        <v>42214</v>
      </c>
      <c r="K2324" s="364" t="s">
        <v>14055</v>
      </c>
      <c r="L2324" s="364"/>
      <c r="M2324" s="364" t="s">
        <v>10084</v>
      </c>
      <c r="N2324" s="364"/>
      <c r="O2324" s="364" t="s">
        <v>57</v>
      </c>
      <c r="P2324" s="373">
        <v>1490000000</v>
      </c>
      <c r="Q2324" s="364" t="s">
        <v>14056</v>
      </c>
      <c r="R2324" s="364" t="s">
        <v>106</v>
      </c>
      <c r="S2324" s="340">
        <v>5</v>
      </c>
    </row>
    <row r="2325" spans="1:19" ht="31.5" thickBot="1" x14ac:dyDescent="0.4">
      <c r="A2325" s="357">
        <v>2314</v>
      </c>
      <c r="B2325" s="364" t="s">
        <v>10155</v>
      </c>
      <c r="C2325" s="364" t="s">
        <v>10156</v>
      </c>
      <c r="D2325" s="366" t="s">
        <v>132</v>
      </c>
      <c r="E2325" s="366" t="s">
        <v>10082</v>
      </c>
      <c r="F2325" s="366" t="s">
        <v>10078</v>
      </c>
      <c r="G2325" s="366" t="s">
        <v>10088</v>
      </c>
      <c r="H2325" s="366" t="s">
        <v>12701</v>
      </c>
      <c r="I2325" s="364" t="s">
        <v>11934</v>
      </c>
      <c r="J2325" s="367">
        <v>41011</v>
      </c>
      <c r="K2325" s="364" t="s">
        <v>14057</v>
      </c>
      <c r="L2325" s="364"/>
      <c r="M2325" s="364" t="s">
        <v>10084</v>
      </c>
      <c r="N2325" s="364"/>
      <c r="O2325" s="364" t="s">
        <v>57</v>
      </c>
      <c r="P2325" s="373">
        <v>638637000</v>
      </c>
      <c r="Q2325" s="364" t="s">
        <v>14058</v>
      </c>
      <c r="R2325" s="364" t="s">
        <v>106</v>
      </c>
      <c r="S2325" s="340">
        <v>5</v>
      </c>
    </row>
    <row r="2326" spans="1:19" ht="31" x14ac:dyDescent="0.35">
      <c r="A2326" s="349">
        <v>2315</v>
      </c>
      <c r="B2326" s="364" t="s">
        <v>10155</v>
      </c>
      <c r="C2326" s="364" t="s">
        <v>10156</v>
      </c>
      <c r="D2326" s="366" t="s">
        <v>137</v>
      </c>
      <c r="E2326" s="366" t="s">
        <v>10082</v>
      </c>
      <c r="F2326" s="366" t="s">
        <v>10078</v>
      </c>
      <c r="G2326" s="366" t="s">
        <v>10088</v>
      </c>
      <c r="H2326" s="366" t="s">
        <v>14059</v>
      </c>
      <c r="I2326" s="364" t="s">
        <v>14060</v>
      </c>
      <c r="J2326" s="367">
        <v>41218</v>
      </c>
      <c r="K2326" s="364" t="s">
        <v>14061</v>
      </c>
      <c r="L2326" s="364"/>
      <c r="M2326" s="364" t="s">
        <v>10084</v>
      </c>
      <c r="N2326" s="364"/>
      <c r="O2326" s="364" t="s">
        <v>57</v>
      </c>
      <c r="P2326" s="373">
        <v>25277656174.799999</v>
      </c>
      <c r="Q2326" s="364" t="s">
        <v>14062</v>
      </c>
      <c r="R2326" s="364" t="s">
        <v>106</v>
      </c>
      <c r="S2326" s="340">
        <v>5</v>
      </c>
    </row>
    <row r="2327" spans="1:19" ht="31.5" thickBot="1" x14ac:dyDescent="0.4">
      <c r="A2327" s="357">
        <v>2316</v>
      </c>
      <c r="B2327" s="364" t="s">
        <v>10155</v>
      </c>
      <c r="C2327" s="364" t="s">
        <v>10156</v>
      </c>
      <c r="D2327" s="366" t="s">
        <v>146</v>
      </c>
      <c r="E2327" s="366" t="s">
        <v>10082</v>
      </c>
      <c r="F2327" s="366" t="s">
        <v>10078</v>
      </c>
      <c r="G2327" s="366" t="s">
        <v>10088</v>
      </c>
      <c r="H2327" s="366" t="s">
        <v>11465</v>
      </c>
      <c r="I2327" s="364" t="s">
        <v>14063</v>
      </c>
      <c r="J2327" s="367">
        <v>41148</v>
      </c>
      <c r="K2327" s="364" t="s">
        <v>14064</v>
      </c>
      <c r="L2327" s="364"/>
      <c r="M2327" s="364" t="s">
        <v>10084</v>
      </c>
      <c r="N2327" s="364"/>
      <c r="O2327" s="364" t="s">
        <v>57</v>
      </c>
      <c r="P2327" s="373">
        <v>443599000</v>
      </c>
      <c r="Q2327" s="364" t="s">
        <v>14065</v>
      </c>
      <c r="R2327" s="364" t="s">
        <v>106</v>
      </c>
      <c r="S2327" s="340">
        <v>5</v>
      </c>
    </row>
    <row r="2328" spans="1:19" ht="31" x14ac:dyDescent="0.35">
      <c r="A2328" s="349">
        <v>2317</v>
      </c>
      <c r="B2328" s="364" t="s">
        <v>10155</v>
      </c>
      <c r="C2328" s="364" t="s">
        <v>10156</v>
      </c>
      <c r="D2328" s="366" t="s">
        <v>154</v>
      </c>
      <c r="E2328" s="366" t="s">
        <v>10082</v>
      </c>
      <c r="F2328" s="366" t="s">
        <v>10078</v>
      </c>
      <c r="G2328" s="366" t="s">
        <v>10078</v>
      </c>
      <c r="H2328" s="366" t="s">
        <v>12017</v>
      </c>
      <c r="I2328" s="364" t="s">
        <v>9607</v>
      </c>
      <c r="J2328" s="367">
        <v>40800</v>
      </c>
      <c r="K2328" s="364" t="s">
        <v>14066</v>
      </c>
      <c r="L2328" s="364"/>
      <c r="M2328" s="364" t="s">
        <v>10084</v>
      </c>
      <c r="N2328" s="364"/>
      <c r="O2328" s="364" t="s">
        <v>57</v>
      </c>
      <c r="P2328" s="373">
        <v>616311000</v>
      </c>
      <c r="Q2328" s="364" t="s">
        <v>14067</v>
      </c>
      <c r="R2328" s="364" t="s">
        <v>106</v>
      </c>
      <c r="S2328" s="340">
        <v>5</v>
      </c>
    </row>
    <row r="2329" spans="1:19" ht="31.5" thickBot="1" x14ac:dyDescent="0.4">
      <c r="A2329" s="357">
        <v>2318</v>
      </c>
      <c r="B2329" s="364" t="s">
        <v>10155</v>
      </c>
      <c r="C2329" s="364" t="s">
        <v>10156</v>
      </c>
      <c r="D2329" s="366" t="s">
        <v>161</v>
      </c>
      <c r="E2329" s="366" t="s">
        <v>10082</v>
      </c>
      <c r="F2329" s="366" t="s">
        <v>10078</v>
      </c>
      <c r="G2329" s="366" t="s">
        <v>10088</v>
      </c>
      <c r="H2329" s="366" t="s">
        <v>14068</v>
      </c>
      <c r="I2329" s="364" t="s">
        <v>11835</v>
      </c>
      <c r="J2329" s="367">
        <v>40908</v>
      </c>
      <c r="K2329" s="364" t="s">
        <v>14069</v>
      </c>
      <c r="L2329" s="364"/>
      <c r="M2329" s="364" t="s">
        <v>10084</v>
      </c>
      <c r="N2329" s="364"/>
      <c r="O2329" s="364" t="s">
        <v>57</v>
      </c>
      <c r="P2329" s="373">
        <v>1228291850</v>
      </c>
      <c r="Q2329" s="364" t="s">
        <v>14070</v>
      </c>
      <c r="R2329" s="364" t="s">
        <v>106</v>
      </c>
      <c r="S2329" s="340">
        <v>5</v>
      </c>
    </row>
    <row r="2330" spans="1:19" ht="31" x14ac:dyDescent="0.35">
      <c r="A2330" s="349">
        <v>2319</v>
      </c>
      <c r="B2330" s="364" t="s">
        <v>10155</v>
      </c>
      <c r="C2330" s="364" t="s">
        <v>10156</v>
      </c>
      <c r="D2330" s="366" t="s">
        <v>169</v>
      </c>
      <c r="E2330" s="366" t="s">
        <v>10082</v>
      </c>
      <c r="F2330" s="366" t="s">
        <v>10078</v>
      </c>
      <c r="G2330" s="366" t="s">
        <v>10088</v>
      </c>
      <c r="H2330" s="366" t="s">
        <v>11408</v>
      </c>
      <c r="I2330" s="364" t="s">
        <v>9591</v>
      </c>
      <c r="J2330" s="367">
        <v>40809</v>
      </c>
      <c r="K2330" s="364" t="s">
        <v>14071</v>
      </c>
      <c r="L2330" s="364"/>
      <c r="M2330" s="364" t="s">
        <v>10084</v>
      </c>
      <c r="N2330" s="364"/>
      <c r="O2330" s="364" t="s">
        <v>57</v>
      </c>
      <c r="P2330" s="373">
        <v>98090000</v>
      </c>
      <c r="Q2330" s="364" t="s">
        <v>14072</v>
      </c>
      <c r="R2330" s="364" t="s">
        <v>106</v>
      </c>
      <c r="S2330" s="340">
        <v>5</v>
      </c>
    </row>
    <row r="2331" spans="1:19" ht="31.5" thickBot="1" x14ac:dyDescent="0.4">
      <c r="A2331" s="357">
        <v>2320</v>
      </c>
      <c r="B2331" s="364" t="s">
        <v>10155</v>
      </c>
      <c r="C2331" s="364" t="s">
        <v>10156</v>
      </c>
      <c r="D2331" s="366" t="s">
        <v>176</v>
      </c>
      <c r="E2331" s="366" t="s">
        <v>10082</v>
      </c>
      <c r="F2331" s="366" t="s">
        <v>10078</v>
      </c>
      <c r="G2331" s="366" t="s">
        <v>10078</v>
      </c>
      <c r="H2331" s="366" t="s">
        <v>14053</v>
      </c>
      <c r="I2331" s="364" t="s">
        <v>14073</v>
      </c>
      <c r="J2331" s="367">
        <v>43000</v>
      </c>
      <c r="K2331" s="364" t="s">
        <v>14074</v>
      </c>
      <c r="L2331" s="364"/>
      <c r="M2331" s="364" t="s">
        <v>10084</v>
      </c>
      <c r="N2331" s="364"/>
      <c r="O2331" s="364" t="s">
        <v>57</v>
      </c>
      <c r="P2331" s="373">
        <v>197818000</v>
      </c>
      <c r="Q2331" s="364" t="s">
        <v>14075</v>
      </c>
      <c r="R2331" s="364" t="s">
        <v>106</v>
      </c>
      <c r="S2331" s="340">
        <v>5</v>
      </c>
    </row>
    <row r="2332" spans="1:19" ht="31" x14ac:dyDescent="0.35">
      <c r="A2332" s="349">
        <v>2321</v>
      </c>
      <c r="B2332" s="364" t="s">
        <v>10155</v>
      </c>
      <c r="C2332" s="364" t="s">
        <v>10156</v>
      </c>
      <c r="D2332" s="366" t="s">
        <v>1236</v>
      </c>
      <c r="E2332" s="366" t="s">
        <v>10082</v>
      </c>
      <c r="F2332" s="366" t="s">
        <v>10078</v>
      </c>
      <c r="G2332" s="366" t="s">
        <v>10078</v>
      </c>
      <c r="H2332" s="366" t="s">
        <v>12874</v>
      </c>
      <c r="I2332" s="364" t="s">
        <v>14076</v>
      </c>
      <c r="J2332" s="367">
        <v>44270</v>
      </c>
      <c r="K2332" s="364" t="s">
        <v>63</v>
      </c>
      <c r="L2332" s="364"/>
      <c r="M2332" s="364" t="s">
        <v>10084</v>
      </c>
      <c r="N2332" s="364"/>
      <c r="O2332" s="364" t="s">
        <v>57</v>
      </c>
      <c r="P2332" s="373">
        <v>396813000</v>
      </c>
      <c r="Q2332" s="364" t="s">
        <v>14077</v>
      </c>
      <c r="R2332" s="364" t="s">
        <v>106</v>
      </c>
      <c r="S2332" s="340">
        <v>5</v>
      </c>
    </row>
    <row r="2333" spans="1:19" ht="31.5" thickBot="1" x14ac:dyDescent="0.4">
      <c r="A2333" s="357">
        <v>2322</v>
      </c>
      <c r="B2333" s="364" t="s">
        <v>10155</v>
      </c>
      <c r="C2333" s="364" t="s">
        <v>10156</v>
      </c>
      <c r="D2333" s="366" t="s">
        <v>181</v>
      </c>
      <c r="E2333" s="366" t="s">
        <v>10673</v>
      </c>
      <c r="F2333" s="366" t="s">
        <v>10078</v>
      </c>
      <c r="G2333" s="366" t="s">
        <v>10078</v>
      </c>
      <c r="H2333" s="366" t="s">
        <v>14078</v>
      </c>
      <c r="I2333" s="364" t="s">
        <v>10471</v>
      </c>
      <c r="J2333" s="367">
        <v>40337</v>
      </c>
      <c r="K2333" s="364" t="s">
        <v>14079</v>
      </c>
      <c r="L2333" s="364"/>
      <c r="M2333" s="364" t="s">
        <v>10084</v>
      </c>
      <c r="N2333" s="364"/>
      <c r="O2333" s="364" t="s">
        <v>57</v>
      </c>
      <c r="P2333" s="373">
        <v>684440000</v>
      </c>
      <c r="Q2333" s="364" t="s">
        <v>14080</v>
      </c>
      <c r="R2333" s="364" t="s">
        <v>106</v>
      </c>
      <c r="S2333" s="340">
        <v>5</v>
      </c>
    </row>
    <row r="2334" spans="1:19" ht="77.5" x14ac:dyDescent="0.35">
      <c r="A2334" s="349">
        <v>2323</v>
      </c>
      <c r="B2334" s="364" t="s">
        <v>10155</v>
      </c>
      <c r="C2334" s="364" t="s">
        <v>10156</v>
      </c>
      <c r="D2334" s="366" t="s">
        <v>371</v>
      </c>
      <c r="E2334" s="366" t="s">
        <v>10082</v>
      </c>
      <c r="F2334" s="366" t="s">
        <v>10078</v>
      </c>
      <c r="G2334" s="366" t="s">
        <v>10088</v>
      </c>
      <c r="H2334" s="366" t="s">
        <v>14081</v>
      </c>
      <c r="I2334" s="364" t="s">
        <v>6996</v>
      </c>
      <c r="J2334" s="367">
        <v>44818</v>
      </c>
      <c r="K2334" s="364" t="s">
        <v>14082</v>
      </c>
      <c r="L2334" s="364"/>
      <c r="M2334" s="364"/>
      <c r="N2334" s="364"/>
      <c r="O2334" s="364" t="s">
        <v>44</v>
      </c>
      <c r="P2334" s="373">
        <v>765164900</v>
      </c>
      <c r="Q2334" s="364" t="s">
        <v>14083</v>
      </c>
      <c r="R2334" s="364" t="s">
        <v>106</v>
      </c>
      <c r="S2334" s="340">
        <v>5</v>
      </c>
    </row>
    <row r="2335" spans="1:19" ht="31.5" thickBot="1" x14ac:dyDescent="0.4">
      <c r="A2335" s="357">
        <v>2324</v>
      </c>
      <c r="B2335" s="364" t="s">
        <v>10155</v>
      </c>
      <c r="C2335" s="364" t="s">
        <v>10156</v>
      </c>
      <c r="D2335" s="366" t="s">
        <v>1450</v>
      </c>
      <c r="E2335" s="366" t="s">
        <v>10082</v>
      </c>
      <c r="F2335" s="366"/>
      <c r="G2335" s="366"/>
      <c r="H2335" s="366"/>
      <c r="I2335" s="364" t="s">
        <v>63</v>
      </c>
      <c r="J2335" s="367"/>
      <c r="K2335" s="364" t="s">
        <v>14084</v>
      </c>
      <c r="L2335" s="364"/>
      <c r="M2335" s="364"/>
      <c r="N2335" s="364"/>
      <c r="O2335" s="364" t="s">
        <v>44</v>
      </c>
      <c r="P2335" s="373">
        <v>99800000</v>
      </c>
      <c r="Q2335" s="364" t="s">
        <v>14085</v>
      </c>
      <c r="R2335" s="364" t="s">
        <v>106</v>
      </c>
      <c r="S2335" s="340">
        <v>5</v>
      </c>
    </row>
    <row r="2336" spans="1:19" ht="31" x14ac:dyDescent="0.35">
      <c r="A2336" s="349">
        <v>2325</v>
      </c>
      <c r="B2336" s="364" t="s">
        <v>10155</v>
      </c>
      <c r="C2336" s="364" t="s">
        <v>10156</v>
      </c>
      <c r="D2336" s="366" t="s">
        <v>1456</v>
      </c>
      <c r="E2336" s="366" t="s">
        <v>10082</v>
      </c>
      <c r="F2336" s="366" t="s">
        <v>10078</v>
      </c>
      <c r="G2336" s="366" t="s">
        <v>10088</v>
      </c>
      <c r="H2336" s="366"/>
      <c r="I2336" s="364" t="s">
        <v>14086</v>
      </c>
      <c r="J2336" s="367">
        <v>45566</v>
      </c>
      <c r="K2336" s="364" t="s">
        <v>14087</v>
      </c>
      <c r="L2336" s="364"/>
      <c r="M2336" s="364" t="s">
        <v>10084</v>
      </c>
      <c r="N2336" s="364"/>
      <c r="O2336" s="364" t="s">
        <v>44</v>
      </c>
      <c r="P2336" s="373">
        <v>105830000</v>
      </c>
      <c r="Q2336" s="364" t="s">
        <v>14088</v>
      </c>
      <c r="R2336" s="364" t="s">
        <v>106</v>
      </c>
      <c r="S2336" s="340">
        <v>5</v>
      </c>
    </row>
    <row r="2337" spans="1:19" ht="31.5" thickBot="1" x14ac:dyDescent="0.4">
      <c r="A2337" s="357">
        <v>2326</v>
      </c>
      <c r="B2337" s="364" t="s">
        <v>10155</v>
      </c>
      <c r="C2337" s="364" t="s">
        <v>10156</v>
      </c>
      <c r="D2337" s="366" t="s">
        <v>1462</v>
      </c>
      <c r="E2337" s="366" t="s">
        <v>10082</v>
      </c>
      <c r="F2337" s="366"/>
      <c r="G2337" s="366"/>
      <c r="H2337" s="366"/>
      <c r="I2337" s="364" t="s">
        <v>63</v>
      </c>
      <c r="J2337" s="367"/>
      <c r="K2337" s="364" t="s">
        <v>14089</v>
      </c>
      <c r="L2337" s="364"/>
      <c r="M2337" s="364"/>
      <c r="N2337" s="364"/>
      <c r="O2337" s="364" t="s">
        <v>44</v>
      </c>
      <c r="P2337" s="373">
        <v>204770000</v>
      </c>
      <c r="Q2337" s="364" t="s">
        <v>14090</v>
      </c>
      <c r="R2337" s="364" t="s">
        <v>106</v>
      </c>
      <c r="S2337" s="340">
        <v>5</v>
      </c>
    </row>
    <row r="2338" spans="1:19" ht="31" x14ac:dyDescent="0.35">
      <c r="A2338" s="349">
        <v>2327</v>
      </c>
      <c r="B2338" s="364" t="s">
        <v>10155</v>
      </c>
      <c r="C2338" s="364" t="s">
        <v>10156</v>
      </c>
      <c r="D2338" s="366" t="s">
        <v>1520</v>
      </c>
      <c r="E2338" s="366" t="s">
        <v>10082</v>
      </c>
      <c r="F2338" s="366"/>
      <c r="G2338" s="366"/>
      <c r="H2338" s="366"/>
      <c r="I2338" s="364" t="s">
        <v>63</v>
      </c>
      <c r="J2338" s="367"/>
      <c r="K2338" s="364"/>
      <c r="L2338" s="364"/>
      <c r="M2338" s="364"/>
      <c r="N2338" s="364"/>
      <c r="O2338" s="364" t="s">
        <v>44</v>
      </c>
      <c r="P2338" s="373">
        <v>1108676629.5</v>
      </c>
      <c r="Q2338" s="364" t="s">
        <v>14091</v>
      </c>
      <c r="R2338" s="364" t="s">
        <v>106</v>
      </c>
      <c r="S2338" s="340">
        <v>5</v>
      </c>
    </row>
    <row r="2339" spans="1:19" ht="31.5" thickBot="1" x14ac:dyDescent="0.4">
      <c r="A2339" s="357">
        <v>2328</v>
      </c>
      <c r="B2339" s="364" t="s">
        <v>10155</v>
      </c>
      <c r="C2339" s="364" t="s">
        <v>10156</v>
      </c>
      <c r="D2339" s="366" t="s">
        <v>1526</v>
      </c>
      <c r="E2339" s="366" t="s">
        <v>10082</v>
      </c>
      <c r="F2339" s="366"/>
      <c r="G2339" s="366"/>
      <c r="H2339" s="366"/>
      <c r="I2339" s="364" t="s">
        <v>63</v>
      </c>
      <c r="J2339" s="367"/>
      <c r="K2339" s="364"/>
      <c r="L2339" s="364"/>
      <c r="M2339" s="364"/>
      <c r="N2339" s="364"/>
      <c r="O2339" s="364" t="s">
        <v>44</v>
      </c>
      <c r="P2339" s="373">
        <v>249550000</v>
      </c>
      <c r="Q2339" s="364" t="s">
        <v>14092</v>
      </c>
      <c r="R2339" s="364" t="s">
        <v>106</v>
      </c>
      <c r="S2339" s="340">
        <v>5</v>
      </c>
    </row>
    <row r="2340" spans="1:19" ht="31" x14ac:dyDescent="0.35">
      <c r="A2340" s="349">
        <v>2329</v>
      </c>
      <c r="B2340" s="364" t="s">
        <v>10535</v>
      </c>
      <c r="C2340" s="364" t="s">
        <v>10536</v>
      </c>
      <c r="D2340" s="366" t="s">
        <v>101</v>
      </c>
      <c r="E2340" s="366" t="s">
        <v>10673</v>
      </c>
      <c r="F2340" s="366" t="s">
        <v>10078</v>
      </c>
      <c r="G2340" s="366" t="s">
        <v>10088</v>
      </c>
      <c r="H2340" s="366" t="s">
        <v>11333</v>
      </c>
      <c r="I2340" s="364" t="s">
        <v>11934</v>
      </c>
      <c r="J2340" s="367">
        <v>40833</v>
      </c>
      <c r="K2340" s="364" t="s">
        <v>14093</v>
      </c>
      <c r="L2340" s="364"/>
      <c r="M2340" s="364" t="s">
        <v>10084</v>
      </c>
      <c r="N2340" s="364"/>
      <c r="O2340" s="364" t="s">
        <v>57</v>
      </c>
      <c r="P2340" s="373">
        <v>29550000</v>
      </c>
      <c r="Q2340" s="364" t="s">
        <v>14094</v>
      </c>
      <c r="R2340" s="364" t="s">
        <v>106</v>
      </c>
      <c r="S2340" s="340">
        <v>5</v>
      </c>
    </row>
    <row r="2341" spans="1:19" ht="31.5" thickBot="1" x14ac:dyDescent="0.4">
      <c r="A2341" s="357">
        <v>2330</v>
      </c>
      <c r="B2341" s="364" t="s">
        <v>10535</v>
      </c>
      <c r="C2341" s="364" t="s">
        <v>10536</v>
      </c>
      <c r="D2341" s="366" t="s">
        <v>107</v>
      </c>
      <c r="E2341" s="366" t="s">
        <v>10082</v>
      </c>
      <c r="F2341" s="366" t="s">
        <v>10078</v>
      </c>
      <c r="G2341" s="366" t="s">
        <v>10078</v>
      </c>
      <c r="H2341" s="366" t="s">
        <v>2972</v>
      </c>
      <c r="I2341" s="364" t="s">
        <v>10548</v>
      </c>
      <c r="J2341" s="367">
        <v>41191</v>
      </c>
      <c r="K2341" s="364" t="s">
        <v>14095</v>
      </c>
      <c r="L2341" s="364"/>
      <c r="M2341" s="364" t="s">
        <v>10084</v>
      </c>
      <c r="N2341" s="364"/>
      <c r="O2341" s="364" t="s">
        <v>57</v>
      </c>
      <c r="P2341" s="373">
        <v>74250000</v>
      </c>
      <c r="Q2341" s="364" t="s">
        <v>14096</v>
      </c>
      <c r="R2341" s="364" t="s">
        <v>106</v>
      </c>
      <c r="S2341" s="340">
        <v>5</v>
      </c>
    </row>
    <row r="2342" spans="1:19" ht="31" x14ac:dyDescent="0.35">
      <c r="A2342" s="349">
        <v>2331</v>
      </c>
      <c r="B2342" s="364" t="s">
        <v>10535</v>
      </c>
      <c r="C2342" s="364" t="s">
        <v>10536</v>
      </c>
      <c r="D2342" s="366" t="s">
        <v>112</v>
      </c>
      <c r="E2342" s="366" t="s">
        <v>10082</v>
      </c>
      <c r="F2342" s="366" t="s">
        <v>10078</v>
      </c>
      <c r="G2342" s="366" t="s">
        <v>10078</v>
      </c>
      <c r="H2342" s="366" t="s">
        <v>14097</v>
      </c>
      <c r="I2342" s="364" t="s">
        <v>14098</v>
      </c>
      <c r="J2342" s="367">
        <v>43245</v>
      </c>
      <c r="K2342" s="364" t="s">
        <v>14099</v>
      </c>
      <c r="L2342" s="364"/>
      <c r="M2342" s="364" t="s">
        <v>10084</v>
      </c>
      <c r="N2342" s="364"/>
      <c r="O2342" s="364" t="s">
        <v>57</v>
      </c>
      <c r="P2342" s="373">
        <v>510498000</v>
      </c>
      <c r="Q2342" s="364" t="s">
        <v>14100</v>
      </c>
      <c r="R2342" s="364" t="s">
        <v>106</v>
      </c>
      <c r="S2342" s="340">
        <v>5</v>
      </c>
    </row>
    <row r="2343" spans="1:19" ht="47" thickBot="1" x14ac:dyDescent="0.4">
      <c r="A2343" s="357">
        <v>2332</v>
      </c>
      <c r="B2343" s="364" t="s">
        <v>10535</v>
      </c>
      <c r="C2343" s="364" t="s">
        <v>10536</v>
      </c>
      <c r="D2343" s="366" t="s">
        <v>116</v>
      </c>
      <c r="E2343" s="366" t="s">
        <v>10082</v>
      </c>
      <c r="F2343" s="366" t="s">
        <v>10078</v>
      </c>
      <c r="G2343" s="366" t="s">
        <v>10078</v>
      </c>
      <c r="H2343" s="366" t="s">
        <v>14101</v>
      </c>
      <c r="I2343" s="364" t="s">
        <v>14102</v>
      </c>
      <c r="J2343" s="367">
        <v>43664</v>
      </c>
      <c r="K2343" s="364" t="s">
        <v>14103</v>
      </c>
      <c r="L2343" s="364"/>
      <c r="M2343" s="364" t="s">
        <v>10084</v>
      </c>
      <c r="N2343" s="364"/>
      <c r="O2343" s="364" t="s">
        <v>57</v>
      </c>
      <c r="P2343" s="373">
        <v>198480000</v>
      </c>
      <c r="Q2343" s="364" t="s">
        <v>14104</v>
      </c>
      <c r="R2343" s="364" t="s">
        <v>106</v>
      </c>
      <c r="S2343" s="340">
        <v>5</v>
      </c>
    </row>
    <row r="2344" spans="1:19" ht="31" x14ac:dyDescent="0.35">
      <c r="A2344" s="349">
        <v>2333</v>
      </c>
      <c r="B2344" s="364" t="s">
        <v>10535</v>
      </c>
      <c r="C2344" s="364" t="s">
        <v>10536</v>
      </c>
      <c r="D2344" s="366" t="s">
        <v>126</v>
      </c>
      <c r="E2344" s="366" t="s">
        <v>10082</v>
      </c>
      <c r="F2344" s="366"/>
      <c r="G2344" s="366"/>
      <c r="H2344" s="366"/>
      <c r="I2344" s="364" t="s">
        <v>63</v>
      </c>
      <c r="J2344" s="367"/>
      <c r="K2344" s="364"/>
      <c r="L2344" s="364"/>
      <c r="M2344" s="364"/>
      <c r="N2344" s="364"/>
      <c r="O2344" s="364" t="s">
        <v>44</v>
      </c>
      <c r="P2344" s="373">
        <v>49950000</v>
      </c>
      <c r="Q2344" s="364" t="s">
        <v>14105</v>
      </c>
      <c r="R2344" s="364" t="s">
        <v>106</v>
      </c>
      <c r="S2344" s="340">
        <v>5</v>
      </c>
    </row>
    <row r="2345" spans="1:19" ht="31.5" thickBot="1" x14ac:dyDescent="0.4">
      <c r="A2345" s="357">
        <v>2334</v>
      </c>
      <c r="B2345" s="364" t="s">
        <v>10535</v>
      </c>
      <c r="C2345" s="364" t="s">
        <v>10536</v>
      </c>
      <c r="D2345" s="366" t="s">
        <v>132</v>
      </c>
      <c r="E2345" s="366" t="s">
        <v>10082</v>
      </c>
      <c r="F2345" s="366"/>
      <c r="G2345" s="366"/>
      <c r="H2345" s="366"/>
      <c r="I2345" s="364" t="s">
        <v>63</v>
      </c>
      <c r="J2345" s="367"/>
      <c r="K2345" s="364"/>
      <c r="L2345" s="364"/>
      <c r="M2345" s="364"/>
      <c r="N2345" s="364"/>
      <c r="O2345" s="364" t="s">
        <v>44</v>
      </c>
      <c r="P2345" s="373">
        <v>1918688225.5000002</v>
      </c>
      <c r="Q2345" s="364" t="s">
        <v>14106</v>
      </c>
      <c r="R2345" s="364" t="s">
        <v>106</v>
      </c>
      <c r="S2345" s="340">
        <v>5</v>
      </c>
    </row>
    <row r="2346" spans="1:19" ht="46.5" x14ac:dyDescent="0.35">
      <c r="A2346" s="349">
        <v>2335</v>
      </c>
      <c r="B2346" s="364" t="s">
        <v>10541</v>
      </c>
      <c r="C2346" s="364" t="s">
        <v>10542</v>
      </c>
      <c r="D2346" s="366" t="s">
        <v>51</v>
      </c>
      <c r="E2346" s="366" t="s">
        <v>10082</v>
      </c>
      <c r="F2346" s="366" t="s">
        <v>10078</v>
      </c>
      <c r="G2346" s="366" t="s">
        <v>10078</v>
      </c>
      <c r="H2346" s="366" t="s">
        <v>12253</v>
      </c>
      <c r="I2346" s="364" t="s">
        <v>14107</v>
      </c>
      <c r="J2346" s="367">
        <v>43796</v>
      </c>
      <c r="K2346" s="364" t="s">
        <v>14108</v>
      </c>
      <c r="L2346" s="364"/>
      <c r="M2346" s="364" t="s">
        <v>10084</v>
      </c>
      <c r="N2346" s="364"/>
      <c r="O2346" s="364" t="s">
        <v>57</v>
      </c>
      <c r="P2346" s="373">
        <v>99700000</v>
      </c>
      <c r="Q2346" s="364" t="s">
        <v>14109</v>
      </c>
      <c r="R2346" s="364" t="s">
        <v>106</v>
      </c>
      <c r="S2346" s="340">
        <v>5</v>
      </c>
    </row>
    <row r="2347" spans="1:19" ht="31.5" thickBot="1" x14ac:dyDescent="0.4">
      <c r="A2347" s="357">
        <v>2336</v>
      </c>
      <c r="B2347" s="364" t="s">
        <v>10541</v>
      </c>
      <c r="C2347" s="364" t="s">
        <v>10542</v>
      </c>
      <c r="D2347" s="366" t="s">
        <v>97</v>
      </c>
      <c r="E2347" s="366" t="s">
        <v>10082</v>
      </c>
      <c r="F2347" s="366"/>
      <c r="G2347" s="366"/>
      <c r="H2347" s="366"/>
      <c r="I2347" s="364" t="s">
        <v>63</v>
      </c>
      <c r="J2347" s="367"/>
      <c r="K2347" s="364" t="s">
        <v>14110</v>
      </c>
      <c r="L2347" s="364"/>
      <c r="M2347" s="364"/>
      <c r="N2347" s="364"/>
      <c r="O2347" s="364" t="s">
        <v>44</v>
      </c>
      <c r="P2347" s="373">
        <v>149800000</v>
      </c>
      <c r="Q2347" s="364" t="s">
        <v>14111</v>
      </c>
      <c r="R2347" s="364" t="s">
        <v>106</v>
      </c>
      <c r="S2347" s="340">
        <v>5</v>
      </c>
    </row>
    <row r="2348" spans="1:19" ht="46.5" x14ac:dyDescent="0.35">
      <c r="A2348" s="349">
        <v>2337</v>
      </c>
      <c r="B2348" s="364" t="s">
        <v>11822</v>
      </c>
      <c r="C2348" s="364" t="s">
        <v>11823</v>
      </c>
      <c r="D2348" s="366" t="s">
        <v>51</v>
      </c>
      <c r="E2348" s="366" t="s">
        <v>10082</v>
      </c>
      <c r="F2348" s="366" t="s">
        <v>10078</v>
      </c>
      <c r="G2348" s="366" t="s">
        <v>10078</v>
      </c>
      <c r="H2348" s="366" t="s">
        <v>13157</v>
      </c>
      <c r="I2348" s="364" t="s">
        <v>14112</v>
      </c>
      <c r="J2348" s="367">
        <v>42312</v>
      </c>
      <c r="K2348" s="364" t="s">
        <v>14113</v>
      </c>
      <c r="L2348" s="364"/>
      <c r="M2348" s="364" t="s">
        <v>10084</v>
      </c>
      <c r="N2348" s="364"/>
      <c r="O2348" s="364" t="s">
        <v>57</v>
      </c>
      <c r="P2348" s="373">
        <v>99200000</v>
      </c>
      <c r="Q2348" s="364" t="s">
        <v>14114</v>
      </c>
      <c r="R2348" s="364" t="s">
        <v>106</v>
      </c>
      <c r="S2348" s="340">
        <v>5</v>
      </c>
    </row>
    <row r="2349" spans="1:19" ht="31.5" thickBot="1" x14ac:dyDescent="0.4">
      <c r="A2349" s="357">
        <v>2338</v>
      </c>
      <c r="B2349" s="364" t="s">
        <v>10475</v>
      </c>
      <c r="C2349" s="364" t="s">
        <v>10476</v>
      </c>
      <c r="D2349" s="366" t="s">
        <v>97</v>
      </c>
      <c r="E2349" s="366" t="s">
        <v>10673</v>
      </c>
      <c r="F2349" s="366" t="s">
        <v>10078</v>
      </c>
      <c r="G2349" s="366" t="s">
        <v>10088</v>
      </c>
      <c r="H2349" s="366" t="s">
        <v>12187</v>
      </c>
      <c r="I2349" s="364" t="s">
        <v>14115</v>
      </c>
      <c r="J2349" s="367">
        <v>39932</v>
      </c>
      <c r="K2349" s="364" t="s">
        <v>14116</v>
      </c>
      <c r="L2349" s="364"/>
      <c r="M2349" s="364" t="s">
        <v>10084</v>
      </c>
      <c r="N2349" s="364"/>
      <c r="O2349" s="364" t="s">
        <v>57</v>
      </c>
      <c r="P2349" s="373">
        <v>198975000</v>
      </c>
      <c r="Q2349" s="364" t="s">
        <v>14117</v>
      </c>
      <c r="R2349" s="364" t="s">
        <v>106</v>
      </c>
      <c r="S2349" s="340">
        <v>5</v>
      </c>
    </row>
    <row r="2350" spans="1:19" ht="31" x14ac:dyDescent="0.35">
      <c r="A2350" s="349">
        <v>2339</v>
      </c>
      <c r="B2350" s="364" t="s">
        <v>10475</v>
      </c>
      <c r="C2350" s="364" t="s">
        <v>10476</v>
      </c>
      <c r="D2350" s="366" t="s">
        <v>101</v>
      </c>
      <c r="E2350" s="366" t="s">
        <v>10673</v>
      </c>
      <c r="F2350" s="366" t="s">
        <v>10078</v>
      </c>
      <c r="G2350" s="366" t="s">
        <v>10088</v>
      </c>
      <c r="H2350" s="366" t="s">
        <v>14118</v>
      </c>
      <c r="I2350" s="364" t="s">
        <v>13088</v>
      </c>
      <c r="J2350" s="367">
        <v>40337</v>
      </c>
      <c r="K2350" s="364" t="s">
        <v>14119</v>
      </c>
      <c r="L2350" s="364"/>
      <c r="M2350" s="364" t="s">
        <v>10084</v>
      </c>
      <c r="N2350" s="364"/>
      <c r="O2350" s="364" t="s">
        <v>57</v>
      </c>
      <c r="P2350" s="373">
        <v>196200000</v>
      </c>
      <c r="Q2350" s="364" t="s">
        <v>14120</v>
      </c>
      <c r="R2350" s="364" t="s">
        <v>106</v>
      </c>
      <c r="S2350" s="340">
        <v>5</v>
      </c>
    </row>
    <row r="2351" spans="1:19" ht="31.5" thickBot="1" x14ac:dyDescent="0.4">
      <c r="A2351" s="357">
        <v>2340</v>
      </c>
      <c r="B2351" s="364" t="s">
        <v>10475</v>
      </c>
      <c r="C2351" s="364" t="s">
        <v>10476</v>
      </c>
      <c r="D2351" s="366" t="s">
        <v>107</v>
      </c>
      <c r="E2351" s="366" t="s">
        <v>10673</v>
      </c>
      <c r="F2351" s="366" t="s">
        <v>10078</v>
      </c>
      <c r="G2351" s="366" t="s">
        <v>10088</v>
      </c>
      <c r="H2351" s="366" t="s">
        <v>12007</v>
      </c>
      <c r="I2351" s="364" t="s">
        <v>14121</v>
      </c>
      <c r="J2351" s="367">
        <v>41184</v>
      </c>
      <c r="K2351" s="364" t="s">
        <v>14122</v>
      </c>
      <c r="L2351" s="364"/>
      <c r="M2351" s="364" t="s">
        <v>10084</v>
      </c>
      <c r="N2351" s="364"/>
      <c r="O2351" s="364" t="s">
        <v>57</v>
      </c>
      <c r="P2351" s="373">
        <v>167700000</v>
      </c>
      <c r="Q2351" s="364" t="s">
        <v>14123</v>
      </c>
      <c r="R2351" s="364" t="s">
        <v>106</v>
      </c>
      <c r="S2351" s="340">
        <v>5</v>
      </c>
    </row>
    <row r="2352" spans="1:19" ht="31" x14ac:dyDescent="0.35">
      <c r="A2352" s="349">
        <v>2341</v>
      </c>
      <c r="B2352" s="364" t="s">
        <v>10475</v>
      </c>
      <c r="C2352" s="364" t="s">
        <v>10476</v>
      </c>
      <c r="D2352" s="366" t="s">
        <v>112</v>
      </c>
      <c r="E2352" s="366" t="s">
        <v>10673</v>
      </c>
      <c r="F2352" s="366" t="s">
        <v>10078</v>
      </c>
      <c r="G2352" s="366" t="s">
        <v>10088</v>
      </c>
      <c r="H2352" s="366" t="s">
        <v>3405</v>
      </c>
      <c r="I2352" s="364" t="s">
        <v>14124</v>
      </c>
      <c r="J2352" s="367">
        <v>41149</v>
      </c>
      <c r="K2352" s="364" t="s">
        <v>14125</v>
      </c>
      <c r="L2352" s="364"/>
      <c r="M2352" s="364" t="s">
        <v>10084</v>
      </c>
      <c r="N2352" s="364"/>
      <c r="O2352" s="364" t="s">
        <v>57</v>
      </c>
      <c r="P2352" s="373">
        <v>196600000</v>
      </c>
      <c r="Q2352" s="364" t="s">
        <v>14126</v>
      </c>
      <c r="R2352" s="364" t="s">
        <v>106</v>
      </c>
      <c r="S2352" s="340">
        <v>5</v>
      </c>
    </row>
    <row r="2353" spans="1:19" ht="31.5" thickBot="1" x14ac:dyDescent="0.4">
      <c r="A2353" s="357">
        <v>2342</v>
      </c>
      <c r="B2353" s="364" t="s">
        <v>10475</v>
      </c>
      <c r="C2353" s="364" t="s">
        <v>10476</v>
      </c>
      <c r="D2353" s="366" t="s">
        <v>116</v>
      </c>
      <c r="E2353" s="366" t="s">
        <v>10673</v>
      </c>
      <c r="F2353" s="366" t="s">
        <v>10078</v>
      </c>
      <c r="G2353" s="366" t="s">
        <v>10088</v>
      </c>
      <c r="H2353" s="366" t="s">
        <v>11409</v>
      </c>
      <c r="I2353" s="364" t="s">
        <v>8902</v>
      </c>
      <c r="J2353" s="367">
        <v>41155</v>
      </c>
      <c r="K2353" s="364" t="s">
        <v>14127</v>
      </c>
      <c r="L2353" s="364"/>
      <c r="M2353" s="364" t="s">
        <v>10084</v>
      </c>
      <c r="N2353" s="364"/>
      <c r="O2353" s="364" t="s">
        <v>57</v>
      </c>
      <c r="P2353" s="373">
        <v>246925000</v>
      </c>
      <c r="Q2353" s="364" t="s">
        <v>14128</v>
      </c>
      <c r="R2353" s="364" t="s">
        <v>106</v>
      </c>
      <c r="S2353" s="340">
        <v>5</v>
      </c>
    </row>
    <row r="2354" spans="1:19" ht="31" x14ac:dyDescent="0.35">
      <c r="A2354" s="349">
        <v>2343</v>
      </c>
      <c r="B2354" s="364" t="s">
        <v>10475</v>
      </c>
      <c r="C2354" s="364" t="s">
        <v>10476</v>
      </c>
      <c r="D2354" s="366" t="s">
        <v>841</v>
      </c>
      <c r="E2354" s="366" t="s">
        <v>10673</v>
      </c>
      <c r="F2354" s="366" t="s">
        <v>10078</v>
      </c>
      <c r="G2354" s="366" t="s">
        <v>10088</v>
      </c>
      <c r="H2354" s="366" t="s">
        <v>231</v>
      </c>
      <c r="I2354" s="364" t="s">
        <v>13977</v>
      </c>
      <c r="J2354" s="367">
        <v>41155</v>
      </c>
      <c r="K2354" s="364" t="s">
        <v>14129</v>
      </c>
      <c r="L2354" s="364"/>
      <c r="M2354" s="364" t="s">
        <v>10084</v>
      </c>
      <c r="N2354" s="364"/>
      <c r="O2354" s="364" t="s">
        <v>57</v>
      </c>
      <c r="P2354" s="373">
        <v>551205000</v>
      </c>
      <c r="Q2354" s="364" t="s">
        <v>14130</v>
      </c>
      <c r="R2354" s="364" t="s">
        <v>106</v>
      </c>
      <c r="S2354" s="340">
        <v>5</v>
      </c>
    </row>
    <row r="2355" spans="1:19" ht="31.5" thickBot="1" x14ac:dyDescent="0.4">
      <c r="A2355" s="357">
        <v>2344</v>
      </c>
      <c r="B2355" s="364" t="s">
        <v>10475</v>
      </c>
      <c r="C2355" s="364" t="s">
        <v>10476</v>
      </c>
      <c r="D2355" s="366" t="s">
        <v>904</v>
      </c>
      <c r="E2355" s="366" t="s">
        <v>10673</v>
      </c>
      <c r="F2355" s="366" t="s">
        <v>10078</v>
      </c>
      <c r="G2355" s="366" t="s">
        <v>10088</v>
      </c>
      <c r="H2355" s="366" t="s">
        <v>2972</v>
      </c>
      <c r="I2355" s="364" t="s">
        <v>8902</v>
      </c>
      <c r="J2355" s="367">
        <v>41761</v>
      </c>
      <c r="K2355" s="364" t="s">
        <v>14131</v>
      </c>
      <c r="L2355" s="364"/>
      <c r="M2355" s="364" t="s">
        <v>10084</v>
      </c>
      <c r="N2355" s="364"/>
      <c r="O2355" s="364" t="s">
        <v>57</v>
      </c>
      <c r="P2355" s="373">
        <v>49560000</v>
      </c>
      <c r="Q2355" s="364" t="s">
        <v>14132</v>
      </c>
      <c r="R2355" s="364" t="s">
        <v>106</v>
      </c>
      <c r="S2355" s="340">
        <v>5</v>
      </c>
    </row>
    <row r="2356" spans="1:19" ht="31" x14ac:dyDescent="0.35">
      <c r="A2356" s="349">
        <v>2345</v>
      </c>
      <c r="B2356" s="364" t="s">
        <v>10475</v>
      </c>
      <c r="C2356" s="364" t="s">
        <v>10476</v>
      </c>
      <c r="D2356" s="366" t="s">
        <v>122</v>
      </c>
      <c r="E2356" s="366" t="s">
        <v>10673</v>
      </c>
      <c r="F2356" s="366" t="s">
        <v>10078</v>
      </c>
      <c r="G2356" s="366" t="s">
        <v>10088</v>
      </c>
      <c r="H2356" s="366" t="s">
        <v>2972</v>
      </c>
      <c r="I2356" s="364" t="s">
        <v>8004</v>
      </c>
      <c r="J2356" s="367">
        <v>41863</v>
      </c>
      <c r="K2356" s="364" t="s">
        <v>14133</v>
      </c>
      <c r="L2356" s="364"/>
      <c r="M2356" s="364" t="s">
        <v>10084</v>
      </c>
      <c r="N2356" s="364"/>
      <c r="O2356" s="364" t="s">
        <v>57</v>
      </c>
      <c r="P2356" s="373">
        <v>96992500</v>
      </c>
      <c r="Q2356" s="364" t="s">
        <v>14134</v>
      </c>
      <c r="R2356" s="364" t="s">
        <v>106</v>
      </c>
      <c r="S2356" s="340">
        <v>5</v>
      </c>
    </row>
    <row r="2357" spans="1:19" ht="31.5" thickBot="1" x14ac:dyDescent="0.4">
      <c r="A2357" s="357">
        <v>2346</v>
      </c>
      <c r="B2357" s="364" t="s">
        <v>10475</v>
      </c>
      <c r="C2357" s="364" t="s">
        <v>10476</v>
      </c>
      <c r="D2357" s="366" t="s">
        <v>126</v>
      </c>
      <c r="E2357" s="366" t="s">
        <v>10082</v>
      </c>
      <c r="F2357" s="366" t="s">
        <v>10078</v>
      </c>
      <c r="G2357" s="366" t="s">
        <v>10088</v>
      </c>
      <c r="H2357" s="366" t="s">
        <v>14135</v>
      </c>
      <c r="I2357" s="364" t="s">
        <v>14136</v>
      </c>
      <c r="J2357" s="367">
        <v>41934</v>
      </c>
      <c r="K2357" s="364" t="s">
        <v>14137</v>
      </c>
      <c r="L2357" s="364"/>
      <c r="M2357" s="364" t="s">
        <v>10084</v>
      </c>
      <c r="N2357" s="364"/>
      <c r="O2357" s="364" t="s">
        <v>57</v>
      </c>
      <c r="P2357" s="373">
        <v>698024000</v>
      </c>
      <c r="Q2357" s="364" t="s">
        <v>14138</v>
      </c>
      <c r="R2357" s="364" t="s">
        <v>106</v>
      </c>
      <c r="S2357" s="340">
        <v>5</v>
      </c>
    </row>
    <row r="2358" spans="1:19" ht="31" x14ac:dyDescent="0.35">
      <c r="A2358" s="349">
        <v>2347</v>
      </c>
      <c r="B2358" s="364" t="s">
        <v>10475</v>
      </c>
      <c r="C2358" s="364" t="s">
        <v>10476</v>
      </c>
      <c r="D2358" s="366" t="s">
        <v>146</v>
      </c>
      <c r="E2358" s="366" t="s">
        <v>10082</v>
      </c>
      <c r="F2358" s="366"/>
      <c r="G2358" s="366"/>
      <c r="H2358" s="366"/>
      <c r="I2358" s="364" t="s">
        <v>63</v>
      </c>
      <c r="J2358" s="367"/>
      <c r="K2358" s="364" t="s">
        <v>14139</v>
      </c>
      <c r="L2358" s="364"/>
      <c r="M2358" s="364"/>
      <c r="N2358" s="364"/>
      <c r="O2358" s="364" t="s">
        <v>44</v>
      </c>
      <c r="P2358" s="373">
        <v>549450000</v>
      </c>
      <c r="Q2358" s="364" t="s">
        <v>14140</v>
      </c>
      <c r="R2358" s="364" t="s">
        <v>106</v>
      </c>
      <c r="S2358" s="340">
        <v>5</v>
      </c>
    </row>
    <row r="2359" spans="1:19" ht="31.5" thickBot="1" x14ac:dyDescent="0.4">
      <c r="A2359" s="357">
        <v>2348</v>
      </c>
      <c r="B2359" s="364" t="s">
        <v>10481</v>
      </c>
      <c r="C2359" s="364" t="s">
        <v>10482</v>
      </c>
      <c r="D2359" s="366" t="s">
        <v>112</v>
      </c>
      <c r="E2359" s="366" t="s">
        <v>10082</v>
      </c>
      <c r="F2359" s="366" t="s">
        <v>10078</v>
      </c>
      <c r="G2359" s="366" t="s">
        <v>10078</v>
      </c>
      <c r="H2359" s="366" t="s">
        <v>2972</v>
      </c>
      <c r="I2359" s="364" t="s">
        <v>14141</v>
      </c>
      <c r="J2359" s="367">
        <v>42268</v>
      </c>
      <c r="K2359" s="364" t="s">
        <v>14142</v>
      </c>
      <c r="L2359" s="364"/>
      <c r="M2359" s="364" t="s">
        <v>10084</v>
      </c>
      <c r="N2359" s="364"/>
      <c r="O2359" s="364" t="s">
        <v>57</v>
      </c>
      <c r="P2359" s="373">
        <v>847815000</v>
      </c>
      <c r="Q2359" s="364" t="s">
        <v>14143</v>
      </c>
      <c r="R2359" s="364" t="s">
        <v>106</v>
      </c>
      <c r="S2359" s="340">
        <v>5</v>
      </c>
    </row>
    <row r="2360" spans="1:19" ht="31" x14ac:dyDescent="0.35">
      <c r="A2360" s="349">
        <v>2349</v>
      </c>
      <c r="B2360" s="364" t="s">
        <v>10481</v>
      </c>
      <c r="C2360" s="364" t="s">
        <v>10482</v>
      </c>
      <c r="D2360" s="366" t="s">
        <v>116</v>
      </c>
      <c r="E2360" s="366" t="s">
        <v>10082</v>
      </c>
      <c r="F2360" s="366" t="s">
        <v>10078</v>
      </c>
      <c r="G2360" s="366" t="s">
        <v>10078</v>
      </c>
      <c r="H2360" s="366" t="s">
        <v>5537</v>
      </c>
      <c r="I2360" s="364" t="s">
        <v>14144</v>
      </c>
      <c r="J2360" s="367">
        <v>43948</v>
      </c>
      <c r="K2360" s="364" t="s">
        <v>14145</v>
      </c>
      <c r="L2360" s="364"/>
      <c r="M2360" s="364" t="s">
        <v>10084</v>
      </c>
      <c r="N2360" s="364"/>
      <c r="O2360" s="364" t="s">
        <v>57</v>
      </c>
      <c r="P2360" s="373">
        <v>792822334</v>
      </c>
      <c r="Q2360" s="364" t="s">
        <v>14146</v>
      </c>
      <c r="R2360" s="364" t="s">
        <v>106</v>
      </c>
      <c r="S2360" s="340">
        <v>5</v>
      </c>
    </row>
    <row r="2361" spans="1:19" ht="31.5" thickBot="1" x14ac:dyDescent="0.4">
      <c r="A2361" s="357">
        <v>2350</v>
      </c>
      <c r="B2361" s="364" t="s">
        <v>10481</v>
      </c>
      <c r="C2361" s="364" t="s">
        <v>10482</v>
      </c>
      <c r="D2361" s="366" t="s">
        <v>310</v>
      </c>
      <c r="E2361" s="366" t="s">
        <v>10082</v>
      </c>
      <c r="F2361" s="366"/>
      <c r="G2361" s="366"/>
      <c r="H2361" s="366"/>
      <c r="I2361" s="364" t="s">
        <v>63</v>
      </c>
      <c r="J2361" s="367"/>
      <c r="K2361" s="364" t="s">
        <v>14147</v>
      </c>
      <c r="L2361" s="364"/>
      <c r="M2361" s="364"/>
      <c r="N2361" s="364"/>
      <c r="O2361" s="364" t="s">
        <v>44</v>
      </c>
      <c r="P2361" s="373">
        <v>99700000</v>
      </c>
      <c r="Q2361" s="364" t="s">
        <v>14148</v>
      </c>
      <c r="R2361" s="364" t="s">
        <v>106</v>
      </c>
      <c r="S2361" s="340">
        <v>5</v>
      </c>
    </row>
    <row r="2362" spans="1:19" ht="31" x14ac:dyDescent="0.35">
      <c r="A2362" s="349">
        <v>2351</v>
      </c>
      <c r="B2362" s="364" t="s">
        <v>10481</v>
      </c>
      <c r="C2362" s="364" t="s">
        <v>10482</v>
      </c>
      <c r="D2362" s="366" t="s">
        <v>319</v>
      </c>
      <c r="E2362" s="366" t="s">
        <v>10082</v>
      </c>
      <c r="F2362" s="366" t="s">
        <v>10078</v>
      </c>
      <c r="G2362" s="366" t="s">
        <v>10088</v>
      </c>
      <c r="H2362" s="366"/>
      <c r="I2362" s="364" t="s">
        <v>12831</v>
      </c>
      <c r="J2362" s="367">
        <v>45558</v>
      </c>
      <c r="K2362" s="364" t="s">
        <v>14149</v>
      </c>
      <c r="L2362" s="364"/>
      <c r="M2362" s="364"/>
      <c r="N2362" s="364"/>
      <c r="O2362" s="364" t="s">
        <v>44</v>
      </c>
      <c r="P2362" s="373">
        <v>192300000</v>
      </c>
      <c r="Q2362" s="364" t="s">
        <v>14150</v>
      </c>
      <c r="R2362" s="364" t="s">
        <v>106</v>
      </c>
      <c r="S2362" s="340">
        <v>5</v>
      </c>
    </row>
    <row r="2363" spans="1:19" ht="31.5" thickBot="1" x14ac:dyDescent="0.4">
      <c r="A2363" s="357">
        <v>2352</v>
      </c>
      <c r="B2363" s="364" t="s">
        <v>10481</v>
      </c>
      <c r="C2363" s="364" t="s">
        <v>10482</v>
      </c>
      <c r="D2363" s="366" t="s">
        <v>325</v>
      </c>
      <c r="E2363" s="366" t="s">
        <v>10082</v>
      </c>
      <c r="F2363" s="366"/>
      <c r="G2363" s="366"/>
      <c r="H2363" s="366"/>
      <c r="I2363" s="364" t="s">
        <v>63</v>
      </c>
      <c r="J2363" s="367"/>
      <c r="K2363" s="364" t="s">
        <v>14151</v>
      </c>
      <c r="L2363" s="364"/>
      <c r="M2363" s="364"/>
      <c r="N2363" s="364"/>
      <c r="O2363" s="364" t="s">
        <v>44</v>
      </c>
      <c r="P2363" s="373">
        <v>204720000</v>
      </c>
      <c r="Q2363" s="364" t="s">
        <v>14152</v>
      </c>
      <c r="R2363" s="364" t="s">
        <v>106</v>
      </c>
      <c r="S2363" s="340">
        <v>5</v>
      </c>
    </row>
    <row r="2364" spans="1:19" ht="31" x14ac:dyDescent="0.35">
      <c r="A2364" s="349">
        <v>2353</v>
      </c>
      <c r="B2364" s="364" t="s">
        <v>10481</v>
      </c>
      <c r="C2364" s="364" t="s">
        <v>10482</v>
      </c>
      <c r="D2364" s="366" t="s">
        <v>382</v>
      </c>
      <c r="E2364" s="366" t="s">
        <v>10082</v>
      </c>
      <c r="F2364" s="366"/>
      <c r="G2364" s="366"/>
      <c r="H2364" s="366"/>
      <c r="I2364" s="364" t="s">
        <v>63</v>
      </c>
      <c r="J2364" s="367"/>
      <c r="K2364" s="364"/>
      <c r="L2364" s="364"/>
      <c r="M2364" s="364"/>
      <c r="N2364" s="364"/>
      <c r="O2364" s="364" t="s">
        <v>44</v>
      </c>
      <c r="P2364" s="373">
        <v>362640000</v>
      </c>
      <c r="Q2364" s="364" t="s">
        <v>14153</v>
      </c>
      <c r="R2364" s="364" t="s">
        <v>106</v>
      </c>
      <c r="S2364" s="340">
        <v>5</v>
      </c>
    </row>
    <row r="2365" spans="1:19" ht="31.5" thickBot="1" x14ac:dyDescent="0.4">
      <c r="A2365" s="357">
        <v>2354</v>
      </c>
      <c r="B2365" s="364" t="s">
        <v>10481</v>
      </c>
      <c r="C2365" s="364" t="s">
        <v>10482</v>
      </c>
      <c r="D2365" s="366" t="s">
        <v>387</v>
      </c>
      <c r="E2365" s="366" t="s">
        <v>10082</v>
      </c>
      <c r="F2365" s="366"/>
      <c r="G2365" s="366"/>
      <c r="H2365" s="366"/>
      <c r="I2365" s="364" t="s">
        <v>63</v>
      </c>
      <c r="J2365" s="367"/>
      <c r="K2365" s="364"/>
      <c r="L2365" s="364"/>
      <c r="M2365" s="364"/>
      <c r="N2365" s="364"/>
      <c r="O2365" s="364" t="s">
        <v>44</v>
      </c>
      <c r="P2365" s="373">
        <v>288218409.69999999</v>
      </c>
      <c r="Q2365" s="364" t="s">
        <v>14154</v>
      </c>
      <c r="R2365" s="364" t="s">
        <v>106</v>
      </c>
      <c r="S2365" s="340">
        <v>5</v>
      </c>
    </row>
    <row r="2366" spans="1:19" ht="46.5" x14ac:dyDescent="0.35">
      <c r="A2366" s="349">
        <v>2355</v>
      </c>
      <c r="B2366" s="364" t="s">
        <v>10481</v>
      </c>
      <c r="C2366" s="364" t="s">
        <v>10482</v>
      </c>
      <c r="D2366" s="366" t="s">
        <v>1450</v>
      </c>
      <c r="E2366" s="366" t="s">
        <v>10082</v>
      </c>
      <c r="F2366" s="366" t="s">
        <v>10078</v>
      </c>
      <c r="G2366" s="366" t="s">
        <v>10088</v>
      </c>
      <c r="H2366" s="366"/>
      <c r="I2366" s="364" t="s">
        <v>14155</v>
      </c>
      <c r="J2366" s="367">
        <v>45894</v>
      </c>
      <c r="K2366" s="364" t="s">
        <v>14156</v>
      </c>
      <c r="L2366" s="364"/>
      <c r="M2366" s="364"/>
      <c r="N2366" s="364"/>
      <c r="O2366" s="364" t="s">
        <v>422</v>
      </c>
      <c r="P2366" s="373">
        <v>264000000</v>
      </c>
      <c r="Q2366" s="364" t="s">
        <v>14157</v>
      </c>
      <c r="R2366" s="364" t="s">
        <v>106</v>
      </c>
      <c r="S2366" s="340">
        <v>5</v>
      </c>
    </row>
    <row r="2367" spans="1:19" ht="31.5" thickBot="1" x14ac:dyDescent="0.4">
      <c r="A2367" s="357">
        <v>2356</v>
      </c>
      <c r="B2367" s="364" t="s">
        <v>11301</v>
      </c>
      <c r="C2367" s="364" t="s">
        <v>11302</v>
      </c>
      <c r="D2367" s="366" t="s">
        <v>51</v>
      </c>
      <c r="E2367" s="366" t="s">
        <v>10082</v>
      </c>
      <c r="F2367" s="366" t="s">
        <v>10078</v>
      </c>
      <c r="G2367" s="366" t="s">
        <v>10078</v>
      </c>
      <c r="H2367" s="366" t="s">
        <v>11588</v>
      </c>
      <c r="I2367" s="364" t="s">
        <v>10646</v>
      </c>
      <c r="J2367" s="367">
        <v>41913</v>
      </c>
      <c r="K2367" s="364" t="s">
        <v>14158</v>
      </c>
      <c r="L2367" s="364"/>
      <c r="M2367" s="364" t="s">
        <v>10084</v>
      </c>
      <c r="N2367" s="364"/>
      <c r="O2367" s="364" t="s">
        <v>57</v>
      </c>
      <c r="P2367" s="373">
        <v>199400000</v>
      </c>
      <c r="Q2367" s="364" t="s">
        <v>14159</v>
      </c>
      <c r="R2367" s="364" t="s">
        <v>106</v>
      </c>
      <c r="S2367" s="340">
        <v>5</v>
      </c>
    </row>
    <row r="2368" spans="1:19" ht="31" x14ac:dyDescent="0.35">
      <c r="A2368" s="349">
        <v>2357</v>
      </c>
      <c r="B2368" s="364" t="s">
        <v>11301</v>
      </c>
      <c r="C2368" s="364" t="s">
        <v>11302</v>
      </c>
      <c r="D2368" s="366" t="s">
        <v>59</v>
      </c>
      <c r="E2368" s="366" t="s">
        <v>10082</v>
      </c>
      <c r="F2368" s="366" t="s">
        <v>10078</v>
      </c>
      <c r="G2368" s="366" t="s">
        <v>10078</v>
      </c>
      <c r="H2368" s="366" t="s">
        <v>14160</v>
      </c>
      <c r="I2368" s="364" t="s">
        <v>10646</v>
      </c>
      <c r="J2368" s="367">
        <v>41913</v>
      </c>
      <c r="K2368" s="364" t="s">
        <v>14161</v>
      </c>
      <c r="L2368" s="364"/>
      <c r="M2368" s="364" t="s">
        <v>10084</v>
      </c>
      <c r="N2368" s="364"/>
      <c r="O2368" s="364" t="s">
        <v>57</v>
      </c>
      <c r="P2368" s="373">
        <v>398900000</v>
      </c>
      <c r="Q2368" s="364" t="s">
        <v>14162</v>
      </c>
      <c r="R2368" s="364" t="s">
        <v>106</v>
      </c>
      <c r="S2368" s="340">
        <v>5</v>
      </c>
    </row>
    <row r="2369" spans="1:19" ht="47" thickBot="1" x14ac:dyDescent="0.4">
      <c r="A2369" s="357">
        <v>2358</v>
      </c>
      <c r="B2369" s="364" t="s">
        <v>11301</v>
      </c>
      <c r="C2369" s="364" t="s">
        <v>11302</v>
      </c>
      <c r="D2369" s="366" t="s">
        <v>97</v>
      </c>
      <c r="E2369" s="366" t="s">
        <v>10082</v>
      </c>
      <c r="F2369" s="366" t="s">
        <v>10078</v>
      </c>
      <c r="G2369" s="366" t="s">
        <v>10078</v>
      </c>
      <c r="H2369" s="366" t="s">
        <v>2972</v>
      </c>
      <c r="I2369" s="364" t="s">
        <v>10856</v>
      </c>
      <c r="J2369" s="367">
        <v>42160</v>
      </c>
      <c r="K2369" s="364" t="s">
        <v>14163</v>
      </c>
      <c r="L2369" s="364"/>
      <c r="M2369" s="364" t="s">
        <v>10084</v>
      </c>
      <c r="N2369" s="364"/>
      <c r="O2369" s="364" t="s">
        <v>57</v>
      </c>
      <c r="P2369" s="373">
        <v>298960000</v>
      </c>
      <c r="Q2369" s="364" t="s">
        <v>14164</v>
      </c>
      <c r="R2369" s="364" t="s">
        <v>106</v>
      </c>
      <c r="S2369" s="340">
        <v>5</v>
      </c>
    </row>
    <row r="2370" spans="1:19" ht="31" x14ac:dyDescent="0.35">
      <c r="A2370" s="349">
        <v>2359</v>
      </c>
      <c r="B2370" s="364" t="s">
        <v>11301</v>
      </c>
      <c r="C2370" s="364" t="s">
        <v>11302</v>
      </c>
      <c r="D2370" s="366" t="s">
        <v>101</v>
      </c>
      <c r="E2370" s="366" t="s">
        <v>10673</v>
      </c>
      <c r="F2370" s="366" t="s">
        <v>10078</v>
      </c>
      <c r="G2370" s="366" t="s">
        <v>10088</v>
      </c>
      <c r="H2370" s="366" t="s">
        <v>14165</v>
      </c>
      <c r="I2370" s="364" t="s">
        <v>13088</v>
      </c>
      <c r="J2370" s="367">
        <v>40387</v>
      </c>
      <c r="K2370" s="364" t="s">
        <v>14166</v>
      </c>
      <c r="L2370" s="364"/>
      <c r="M2370" s="364" t="s">
        <v>10084</v>
      </c>
      <c r="N2370" s="364"/>
      <c r="O2370" s="364" t="s">
        <v>57</v>
      </c>
      <c r="P2370" s="373">
        <v>222000000</v>
      </c>
      <c r="Q2370" s="364" t="s">
        <v>14167</v>
      </c>
      <c r="R2370" s="364" t="s">
        <v>106</v>
      </c>
      <c r="S2370" s="340">
        <v>5</v>
      </c>
    </row>
    <row r="2371" spans="1:19" ht="31.5" thickBot="1" x14ac:dyDescent="0.4">
      <c r="A2371" s="357">
        <v>2360</v>
      </c>
      <c r="B2371" s="364" t="s">
        <v>11301</v>
      </c>
      <c r="C2371" s="364" t="s">
        <v>11302</v>
      </c>
      <c r="D2371" s="366" t="s">
        <v>107</v>
      </c>
      <c r="E2371" s="366" t="s">
        <v>10673</v>
      </c>
      <c r="F2371" s="366" t="s">
        <v>10078</v>
      </c>
      <c r="G2371" s="366" t="s">
        <v>10088</v>
      </c>
      <c r="H2371" s="366" t="s">
        <v>14168</v>
      </c>
      <c r="I2371" s="364" t="s">
        <v>10713</v>
      </c>
      <c r="J2371" s="367">
        <v>40609</v>
      </c>
      <c r="K2371" s="364" t="s">
        <v>14169</v>
      </c>
      <c r="L2371" s="364"/>
      <c r="M2371" s="364" t="s">
        <v>10084</v>
      </c>
      <c r="N2371" s="364"/>
      <c r="O2371" s="364" t="s">
        <v>57</v>
      </c>
      <c r="P2371" s="373">
        <v>295500000</v>
      </c>
      <c r="Q2371" s="364" t="s">
        <v>14170</v>
      </c>
      <c r="R2371" s="364" t="s">
        <v>106</v>
      </c>
      <c r="S2371" s="340">
        <v>5</v>
      </c>
    </row>
    <row r="2372" spans="1:19" ht="31" x14ac:dyDescent="0.35">
      <c r="A2372" s="349">
        <v>2361</v>
      </c>
      <c r="B2372" s="364" t="s">
        <v>11301</v>
      </c>
      <c r="C2372" s="364" t="s">
        <v>11302</v>
      </c>
      <c r="D2372" s="366" t="s">
        <v>112</v>
      </c>
      <c r="E2372" s="366" t="s">
        <v>10673</v>
      </c>
      <c r="F2372" s="366" t="s">
        <v>10078</v>
      </c>
      <c r="G2372" s="366" t="s">
        <v>10088</v>
      </c>
      <c r="H2372" s="366" t="s">
        <v>12626</v>
      </c>
      <c r="I2372" s="364" t="s">
        <v>11934</v>
      </c>
      <c r="J2372" s="367">
        <v>41011</v>
      </c>
      <c r="K2372" s="364" t="s">
        <v>14171</v>
      </c>
      <c r="L2372" s="364"/>
      <c r="M2372" s="364" t="s">
        <v>10084</v>
      </c>
      <c r="N2372" s="364"/>
      <c r="O2372" s="364" t="s">
        <v>57</v>
      </c>
      <c r="P2372" s="373">
        <v>97850000</v>
      </c>
      <c r="Q2372" s="364" t="s">
        <v>14172</v>
      </c>
      <c r="R2372" s="364" t="s">
        <v>106</v>
      </c>
      <c r="S2372" s="340">
        <v>5</v>
      </c>
    </row>
    <row r="2373" spans="1:19" ht="31.5" thickBot="1" x14ac:dyDescent="0.4">
      <c r="A2373" s="357">
        <v>2362</v>
      </c>
      <c r="B2373" s="364" t="s">
        <v>11301</v>
      </c>
      <c r="C2373" s="364" t="s">
        <v>11302</v>
      </c>
      <c r="D2373" s="366" t="s">
        <v>116</v>
      </c>
      <c r="E2373" s="366" t="s">
        <v>10673</v>
      </c>
      <c r="F2373" s="366" t="s">
        <v>10078</v>
      </c>
      <c r="G2373" s="366" t="s">
        <v>10088</v>
      </c>
      <c r="H2373" s="366" t="s">
        <v>1433</v>
      </c>
      <c r="I2373" s="364" t="s">
        <v>10471</v>
      </c>
      <c r="J2373" s="367">
        <v>40977</v>
      </c>
      <c r="K2373" s="364" t="s">
        <v>14173</v>
      </c>
      <c r="L2373" s="364"/>
      <c r="M2373" s="364" t="s">
        <v>10084</v>
      </c>
      <c r="N2373" s="364"/>
      <c r="O2373" s="364" t="s">
        <v>57</v>
      </c>
      <c r="P2373" s="373">
        <v>815575000</v>
      </c>
      <c r="Q2373" s="364" t="s">
        <v>14174</v>
      </c>
      <c r="R2373" s="364" t="s">
        <v>106</v>
      </c>
      <c r="S2373" s="340">
        <v>5</v>
      </c>
    </row>
    <row r="2374" spans="1:19" ht="31" x14ac:dyDescent="0.35">
      <c r="A2374" s="349">
        <v>2363</v>
      </c>
      <c r="B2374" s="364" t="s">
        <v>11301</v>
      </c>
      <c r="C2374" s="364" t="s">
        <v>11302</v>
      </c>
      <c r="D2374" s="366" t="s">
        <v>841</v>
      </c>
      <c r="E2374" s="366" t="s">
        <v>10673</v>
      </c>
      <c r="F2374" s="366" t="s">
        <v>10078</v>
      </c>
      <c r="G2374" s="366" t="s">
        <v>10078</v>
      </c>
      <c r="H2374" s="366" t="s">
        <v>11364</v>
      </c>
      <c r="I2374" s="364" t="s">
        <v>9600</v>
      </c>
      <c r="J2374" s="367">
        <v>41311</v>
      </c>
      <c r="K2374" s="364" t="s">
        <v>14175</v>
      </c>
      <c r="L2374" s="364"/>
      <c r="M2374" s="364" t="s">
        <v>10084</v>
      </c>
      <c r="N2374" s="364"/>
      <c r="O2374" s="364" t="s">
        <v>57</v>
      </c>
      <c r="P2374" s="373">
        <v>49700000</v>
      </c>
      <c r="Q2374" s="364" t="s">
        <v>14176</v>
      </c>
      <c r="R2374" s="364" t="s">
        <v>106</v>
      </c>
      <c r="S2374" s="340">
        <v>5</v>
      </c>
    </row>
    <row r="2375" spans="1:19" ht="31.5" thickBot="1" x14ac:dyDescent="0.4">
      <c r="A2375" s="357">
        <v>2364</v>
      </c>
      <c r="B2375" s="364" t="s">
        <v>11301</v>
      </c>
      <c r="C2375" s="364" t="s">
        <v>11302</v>
      </c>
      <c r="D2375" s="366" t="s">
        <v>904</v>
      </c>
      <c r="E2375" s="366" t="s">
        <v>10673</v>
      </c>
      <c r="F2375" s="366" t="s">
        <v>10078</v>
      </c>
      <c r="G2375" s="366" t="s">
        <v>10078</v>
      </c>
      <c r="H2375" s="366" t="s">
        <v>1433</v>
      </c>
      <c r="I2375" s="364" t="s">
        <v>9600</v>
      </c>
      <c r="J2375" s="367">
        <v>41311</v>
      </c>
      <c r="K2375" s="364" t="s">
        <v>14177</v>
      </c>
      <c r="L2375" s="364"/>
      <c r="M2375" s="364" t="s">
        <v>10084</v>
      </c>
      <c r="N2375" s="364"/>
      <c r="O2375" s="364" t="s">
        <v>57</v>
      </c>
      <c r="P2375" s="373">
        <v>149600000</v>
      </c>
      <c r="Q2375" s="364" t="s">
        <v>14178</v>
      </c>
      <c r="R2375" s="364" t="s">
        <v>106</v>
      </c>
      <c r="S2375" s="340">
        <v>5</v>
      </c>
    </row>
    <row r="2376" spans="1:19" ht="31" x14ac:dyDescent="0.35">
      <c r="A2376" s="349">
        <v>2365</v>
      </c>
      <c r="B2376" s="364" t="s">
        <v>11301</v>
      </c>
      <c r="C2376" s="364" t="s">
        <v>11302</v>
      </c>
      <c r="D2376" s="366" t="s">
        <v>122</v>
      </c>
      <c r="E2376" s="366" t="s">
        <v>10673</v>
      </c>
      <c r="F2376" s="366" t="s">
        <v>10078</v>
      </c>
      <c r="G2376" s="366" t="s">
        <v>10088</v>
      </c>
      <c r="H2376" s="366" t="s">
        <v>13724</v>
      </c>
      <c r="I2376" s="364" t="s">
        <v>9600</v>
      </c>
      <c r="J2376" s="367">
        <v>41311</v>
      </c>
      <c r="K2376" s="364" t="s">
        <v>14179</v>
      </c>
      <c r="L2376" s="364"/>
      <c r="M2376" s="364" t="s">
        <v>10084</v>
      </c>
      <c r="N2376" s="364"/>
      <c r="O2376" s="364" t="s">
        <v>57</v>
      </c>
      <c r="P2376" s="373">
        <v>199500000</v>
      </c>
      <c r="Q2376" s="364" t="s">
        <v>14180</v>
      </c>
      <c r="R2376" s="364" t="s">
        <v>106</v>
      </c>
      <c r="S2376" s="340">
        <v>5</v>
      </c>
    </row>
    <row r="2377" spans="1:19" ht="31.5" thickBot="1" x14ac:dyDescent="0.4">
      <c r="A2377" s="357">
        <v>2366</v>
      </c>
      <c r="B2377" s="364" t="s">
        <v>11301</v>
      </c>
      <c r="C2377" s="364" t="s">
        <v>11302</v>
      </c>
      <c r="D2377" s="366" t="s">
        <v>126</v>
      </c>
      <c r="E2377" s="366" t="s">
        <v>10673</v>
      </c>
      <c r="F2377" s="366" t="s">
        <v>10078</v>
      </c>
      <c r="G2377" s="366" t="s">
        <v>10088</v>
      </c>
      <c r="H2377" s="366" t="s">
        <v>14181</v>
      </c>
      <c r="I2377" s="364" t="s">
        <v>9600</v>
      </c>
      <c r="J2377" s="367">
        <v>41311</v>
      </c>
      <c r="K2377" s="364" t="s">
        <v>14182</v>
      </c>
      <c r="L2377" s="364"/>
      <c r="M2377" s="364" t="s">
        <v>10084</v>
      </c>
      <c r="N2377" s="364"/>
      <c r="O2377" s="364" t="s">
        <v>57</v>
      </c>
      <c r="P2377" s="373">
        <v>298100000</v>
      </c>
      <c r="Q2377" s="364" t="s">
        <v>14183</v>
      </c>
      <c r="R2377" s="364" t="s">
        <v>106</v>
      </c>
      <c r="S2377" s="340">
        <v>5</v>
      </c>
    </row>
    <row r="2378" spans="1:19" ht="31" x14ac:dyDescent="0.35">
      <c r="A2378" s="349">
        <v>2367</v>
      </c>
      <c r="B2378" s="364" t="s">
        <v>11301</v>
      </c>
      <c r="C2378" s="364" t="s">
        <v>11302</v>
      </c>
      <c r="D2378" s="366" t="s">
        <v>132</v>
      </c>
      <c r="E2378" s="366" t="s">
        <v>10673</v>
      </c>
      <c r="F2378" s="366" t="s">
        <v>10078</v>
      </c>
      <c r="G2378" s="366" t="s">
        <v>10078</v>
      </c>
      <c r="H2378" s="366" t="s">
        <v>14184</v>
      </c>
      <c r="I2378" s="364" t="s">
        <v>12892</v>
      </c>
      <c r="J2378" s="367">
        <v>41726</v>
      </c>
      <c r="K2378" s="364" t="s">
        <v>14185</v>
      </c>
      <c r="L2378" s="364"/>
      <c r="M2378" s="364" t="s">
        <v>10084</v>
      </c>
      <c r="N2378" s="364"/>
      <c r="O2378" s="364" t="s">
        <v>57</v>
      </c>
      <c r="P2378" s="373">
        <v>149400000</v>
      </c>
      <c r="Q2378" s="364" t="s">
        <v>14186</v>
      </c>
      <c r="R2378" s="364" t="s">
        <v>106</v>
      </c>
      <c r="S2378" s="340">
        <v>5</v>
      </c>
    </row>
    <row r="2379" spans="1:19" ht="31.5" thickBot="1" x14ac:dyDescent="0.4">
      <c r="A2379" s="357">
        <v>2368</v>
      </c>
      <c r="B2379" s="364" t="s">
        <v>11301</v>
      </c>
      <c r="C2379" s="364" t="s">
        <v>11302</v>
      </c>
      <c r="D2379" s="366" t="s">
        <v>137</v>
      </c>
      <c r="E2379" s="366" t="s">
        <v>10673</v>
      </c>
      <c r="F2379" s="366" t="s">
        <v>10078</v>
      </c>
      <c r="G2379" s="366" t="s">
        <v>10088</v>
      </c>
      <c r="H2379" s="366" t="s">
        <v>14187</v>
      </c>
      <c r="I2379" s="364" t="s">
        <v>12892</v>
      </c>
      <c r="J2379" s="367">
        <v>41726</v>
      </c>
      <c r="K2379" s="364" t="s">
        <v>14188</v>
      </c>
      <c r="L2379" s="364"/>
      <c r="M2379" s="364" t="s">
        <v>10084</v>
      </c>
      <c r="N2379" s="364"/>
      <c r="O2379" s="364" t="s">
        <v>57</v>
      </c>
      <c r="P2379" s="373">
        <v>199200000</v>
      </c>
      <c r="Q2379" s="364" t="s">
        <v>14189</v>
      </c>
      <c r="R2379" s="364" t="s">
        <v>106</v>
      </c>
      <c r="S2379" s="340">
        <v>5</v>
      </c>
    </row>
    <row r="2380" spans="1:19" ht="31" x14ac:dyDescent="0.35">
      <c r="A2380" s="349">
        <v>2369</v>
      </c>
      <c r="B2380" s="364" t="s">
        <v>11301</v>
      </c>
      <c r="C2380" s="364" t="s">
        <v>11302</v>
      </c>
      <c r="D2380" s="366" t="s">
        <v>146</v>
      </c>
      <c r="E2380" s="366" t="s">
        <v>10673</v>
      </c>
      <c r="F2380" s="366" t="s">
        <v>10078</v>
      </c>
      <c r="G2380" s="366" t="s">
        <v>10078</v>
      </c>
      <c r="H2380" s="366" t="s">
        <v>14190</v>
      </c>
      <c r="I2380" s="364" t="s">
        <v>14191</v>
      </c>
      <c r="J2380" s="367">
        <v>41726</v>
      </c>
      <c r="K2380" s="364" t="s">
        <v>14192</v>
      </c>
      <c r="L2380" s="364"/>
      <c r="M2380" s="364" t="s">
        <v>10084</v>
      </c>
      <c r="N2380" s="364"/>
      <c r="O2380" s="364" t="s">
        <v>57</v>
      </c>
      <c r="P2380" s="373">
        <v>199300000</v>
      </c>
      <c r="Q2380" s="364" t="s">
        <v>14193</v>
      </c>
      <c r="R2380" s="364" t="s">
        <v>106</v>
      </c>
      <c r="S2380" s="340">
        <v>5</v>
      </c>
    </row>
    <row r="2381" spans="1:19" ht="31.5" thickBot="1" x14ac:dyDescent="0.4">
      <c r="A2381" s="357">
        <v>2370</v>
      </c>
      <c r="B2381" s="364" t="s">
        <v>11301</v>
      </c>
      <c r="C2381" s="364" t="s">
        <v>11302</v>
      </c>
      <c r="D2381" s="366" t="s">
        <v>154</v>
      </c>
      <c r="E2381" s="366" t="s">
        <v>10673</v>
      </c>
      <c r="F2381" s="366" t="s">
        <v>10078</v>
      </c>
      <c r="G2381" s="366" t="s">
        <v>10078</v>
      </c>
      <c r="H2381" s="366" t="s">
        <v>2972</v>
      </c>
      <c r="I2381" s="364" t="s">
        <v>14191</v>
      </c>
      <c r="J2381" s="367">
        <v>41913</v>
      </c>
      <c r="K2381" s="364" t="s">
        <v>14194</v>
      </c>
      <c r="L2381" s="364"/>
      <c r="M2381" s="364" t="s">
        <v>10084</v>
      </c>
      <c r="N2381" s="364"/>
      <c r="O2381" s="364" t="s">
        <v>57</v>
      </c>
      <c r="P2381" s="373">
        <v>199400000</v>
      </c>
      <c r="Q2381" s="364" t="s">
        <v>14195</v>
      </c>
      <c r="R2381" s="364" t="s">
        <v>106</v>
      </c>
      <c r="S2381" s="340">
        <v>5</v>
      </c>
    </row>
    <row r="2382" spans="1:19" ht="31" x14ac:dyDescent="0.35">
      <c r="A2382" s="349">
        <v>2371</v>
      </c>
      <c r="B2382" s="364" t="s">
        <v>11301</v>
      </c>
      <c r="C2382" s="364" t="s">
        <v>11302</v>
      </c>
      <c r="D2382" s="366" t="s">
        <v>161</v>
      </c>
      <c r="E2382" s="366" t="s">
        <v>10673</v>
      </c>
      <c r="F2382" s="366" t="s">
        <v>10078</v>
      </c>
      <c r="G2382" s="366" t="s">
        <v>10088</v>
      </c>
      <c r="H2382" s="366" t="s">
        <v>2972</v>
      </c>
      <c r="I2382" s="364" t="s">
        <v>12892</v>
      </c>
      <c r="J2382" s="367">
        <v>42311</v>
      </c>
      <c r="K2382" s="364" t="s">
        <v>14196</v>
      </c>
      <c r="L2382" s="364"/>
      <c r="M2382" s="364" t="s">
        <v>10084</v>
      </c>
      <c r="N2382" s="364"/>
      <c r="O2382" s="364" t="s">
        <v>57</v>
      </c>
      <c r="P2382" s="373">
        <v>39187000</v>
      </c>
      <c r="Q2382" s="364" t="s">
        <v>14197</v>
      </c>
      <c r="R2382" s="364" t="s">
        <v>106</v>
      </c>
      <c r="S2382" s="340">
        <v>5</v>
      </c>
    </row>
    <row r="2383" spans="1:19" ht="31.5" thickBot="1" x14ac:dyDescent="0.4">
      <c r="A2383" s="357">
        <v>2372</v>
      </c>
      <c r="B2383" s="364" t="s">
        <v>10110</v>
      </c>
      <c r="C2383" s="364" t="s">
        <v>10111</v>
      </c>
      <c r="D2383" s="366" t="s">
        <v>51</v>
      </c>
      <c r="E2383" s="366" t="s">
        <v>10082</v>
      </c>
      <c r="F2383" s="366" t="s">
        <v>10078</v>
      </c>
      <c r="G2383" s="366" t="s">
        <v>10078</v>
      </c>
      <c r="H2383" s="366" t="s">
        <v>2972</v>
      </c>
      <c r="I2383" s="364" t="s">
        <v>14198</v>
      </c>
      <c r="J2383" s="367">
        <v>42447</v>
      </c>
      <c r="K2383" s="364" t="s">
        <v>14199</v>
      </c>
      <c r="L2383" s="364"/>
      <c r="M2383" s="364" t="s">
        <v>10084</v>
      </c>
      <c r="N2383" s="364"/>
      <c r="O2383" s="364" t="s">
        <v>57</v>
      </c>
      <c r="P2383" s="373">
        <v>199720000</v>
      </c>
      <c r="Q2383" s="364" t="s">
        <v>14200</v>
      </c>
      <c r="R2383" s="364" t="s">
        <v>106</v>
      </c>
      <c r="S2383" s="340">
        <v>5</v>
      </c>
    </row>
    <row r="2384" spans="1:19" ht="31" x14ac:dyDescent="0.35">
      <c r="A2384" s="349">
        <v>2373</v>
      </c>
      <c r="B2384" s="364" t="s">
        <v>10682</v>
      </c>
      <c r="C2384" s="364" t="s">
        <v>10683</v>
      </c>
      <c r="D2384" s="366" t="s">
        <v>51</v>
      </c>
      <c r="E2384" s="366" t="s">
        <v>10082</v>
      </c>
      <c r="F2384" s="366" t="s">
        <v>10078</v>
      </c>
      <c r="G2384" s="366" t="s">
        <v>10088</v>
      </c>
      <c r="H2384" s="366" t="s">
        <v>14201</v>
      </c>
      <c r="I2384" s="364" t="s">
        <v>14202</v>
      </c>
      <c r="J2384" s="367">
        <v>41884</v>
      </c>
      <c r="K2384" s="364" t="s">
        <v>14203</v>
      </c>
      <c r="L2384" s="364"/>
      <c r="M2384" s="364" t="s">
        <v>10084</v>
      </c>
      <c r="N2384" s="364"/>
      <c r="O2384" s="364" t="s">
        <v>57</v>
      </c>
      <c r="P2384" s="373">
        <v>1647952850</v>
      </c>
      <c r="Q2384" s="364" t="s">
        <v>14204</v>
      </c>
      <c r="R2384" s="364" t="s">
        <v>106</v>
      </c>
      <c r="S2384" s="340">
        <v>5</v>
      </c>
    </row>
    <row r="2385" spans="1:19" ht="31.5" thickBot="1" x14ac:dyDescent="0.4">
      <c r="A2385" s="357">
        <v>2374</v>
      </c>
      <c r="B2385" s="364" t="s">
        <v>10682</v>
      </c>
      <c r="C2385" s="364" t="s">
        <v>10683</v>
      </c>
      <c r="D2385" s="366" t="s">
        <v>101</v>
      </c>
      <c r="E2385" s="366" t="s">
        <v>10082</v>
      </c>
      <c r="F2385" s="366"/>
      <c r="G2385" s="366"/>
      <c r="H2385" s="366"/>
      <c r="I2385" s="364" t="s">
        <v>63</v>
      </c>
      <c r="J2385" s="367"/>
      <c r="K2385" s="364" t="s">
        <v>14205</v>
      </c>
      <c r="L2385" s="364"/>
      <c r="M2385" s="364"/>
      <c r="N2385" s="364"/>
      <c r="O2385" s="364" t="s">
        <v>44</v>
      </c>
      <c r="P2385" s="373">
        <v>199800000</v>
      </c>
      <c r="Q2385" s="364" t="s">
        <v>14206</v>
      </c>
      <c r="R2385" s="364" t="s">
        <v>106</v>
      </c>
      <c r="S2385" s="340">
        <v>5</v>
      </c>
    </row>
    <row r="2386" spans="1:19" ht="31" x14ac:dyDescent="0.35">
      <c r="A2386" s="349">
        <v>2375</v>
      </c>
      <c r="B2386" s="364" t="s">
        <v>10824</v>
      </c>
      <c r="C2386" s="364" t="s">
        <v>10825</v>
      </c>
      <c r="D2386" s="366" t="s">
        <v>51</v>
      </c>
      <c r="E2386" s="366" t="s">
        <v>10082</v>
      </c>
      <c r="F2386" s="366" t="s">
        <v>10078</v>
      </c>
      <c r="G2386" s="366" t="s">
        <v>10078</v>
      </c>
      <c r="H2386" s="366" t="s">
        <v>11832</v>
      </c>
      <c r="I2386" s="364" t="s">
        <v>14207</v>
      </c>
      <c r="J2386" s="367">
        <v>43782</v>
      </c>
      <c r="K2386" s="364" t="s">
        <v>14208</v>
      </c>
      <c r="L2386" s="364"/>
      <c r="M2386" s="364" t="s">
        <v>10084</v>
      </c>
      <c r="N2386" s="364"/>
      <c r="O2386" s="364" t="s">
        <v>57</v>
      </c>
      <c r="P2386" s="373">
        <v>608150000</v>
      </c>
      <c r="Q2386" s="364" t="s">
        <v>14209</v>
      </c>
      <c r="R2386" s="364" t="s">
        <v>106</v>
      </c>
      <c r="S2386" s="340">
        <v>5</v>
      </c>
    </row>
    <row r="2387" spans="1:19" ht="31.5" thickBot="1" x14ac:dyDescent="0.4">
      <c r="A2387" s="357">
        <v>2376</v>
      </c>
      <c r="B2387" s="364" t="s">
        <v>10824</v>
      </c>
      <c r="C2387" s="364" t="s">
        <v>10825</v>
      </c>
      <c r="D2387" s="366" t="s">
        <v>1236</v>
      </c>
      <c r="E2387" s="366" t="s">
        <v>10082</v>
      </c>
      <c r="F2387" s="366"/>
      <c r="G2387" s="366"/>
      <c r="H2387" s="366"/>
      <c r="I2387" s="364" t="s">
        <v>63</v>
      </c>
      <c r="J2387" s="367"/>
      <c r="K2387" s="364" t="s">
        <v>14210</v>
      </c>
      <c r="L2387" s="364"/>
      <c r="M2387" s="364"/>
      <c r="N2387" s="364"/>
      <c r="O2387" s="364" t="s">
        <v>44</v>
      </c>
      <c r="P2387" s="373">
        <v>810509345.79999995</v>
      </c>
      <c r="Q2387" s="364" t="s">
        <v>14211</v>
      </c>
      <c r="R2387" s="364" t="s">
        <v>106</v>
      </c>
      <c r="S2387" s="340">
        <v>5</v>
      </c>
    </row>
    <row r="2388" spans="1:19" ht="31" x14ac:dyDescent="0.35">
      <c r="A2388" s="349">
        <v>2377</v>
      </c>
      <c r="B2388" s="364" t="s">
        <v>10824</v>
      </c>
      <c r="C2388" s="364" t="s">
        <v>10825</v>
      </c>
      <c r="D2388" s="366" t="s">
        <v>187</v>
      </c>
      <c r="E2388" s="366" t="s">
        <v>10082</v>
      </c>
      <c r="F2388" s="366"/>
      <c r="G2388" s="366"/>
      <c r="H2388" s="366"/>
      <c r="I2388" s="364" t="s">
        <v>63</v>
      </c>
      <c r="J2388" s="367"/>
      <c r="K2388" s="364"/>
      <c r="L2388" s="364"/>
      <c r="M2388" s="364"/>
      <c r="N2388" s="364"/>
      <c r="O2388" s="364" t="s">
        <v>44</v>
      </c>
      <c r="P2388" s="373">
        <v>49875000</v>
      </c>
      <c r="Q2388" s="364" t="s">
        <v>14212</v>
      </c>
      <c r="R2388" s="364" t="s">
        <v>106</v>
      </c>
      <c r="S2388" s="340">
        <v>5</v>
      </c>
    </row>
    <row r="2389" spans="1:19" ht="31.5" thickBot="1" x14ac:dyDescent="0.4">
      <c r="A2389" s="357">
        <v>2378</v>
      </c>
      <c r="B2389" s="364" t="s">
        <v>10824</v>
      </c>
      <c r="C2389" s="364" t="s">
        <v>10825</v>
      </c>
      <c r="D2389" s="366" t="s">
        <v>190</v>
      </c>
      <c r="E2389" s="366" t="s">
        <v>10082</v>
      </c>
      <c r="F2389" s="366"/>
      <c r="G2389" s="366"/>
      <c r="H2389" s="366"/>
      <c r="I2389" s="364" t="s">
        <v>63</v>
      </c>
      <c r="J2389" s="367"/>
      <c r="K2389" s="364"/>
      <c r="L2389" s="364"/>
      <c r="M2389" s="364"/>
      <c r="N2389" s="364"/>
      <c r="O2389" s="364" t="s">
        <v>44</v>
      </c>
      <c r="P2389" s="373">
        <v>199527000</v>
      </c>
      <c r="Q2389" s="364" t="s">
        <v>14213</v>
      </c>
      <c r="R2389" s="364" t="s">
        <v>106</v>
      </c>
      <c r="S2389" s="340">
        <v>5</v>
      </c>
    </row>
    <row r="2390" spans="1:19" ht="46.5" x14ac:dyDescent="0.35">
      <c r="A2390" s="349">
        <v>2379</v>
      </c>
      <c r="B2390" s="364" t="s">
        <v>12279</v>
      </c>
      <c r="C2390" s="364" t="s">
        <v>12280</v>
      </c>
      <c r="D2390" s="366" t="s">
        <v>51</v>
      </c>
      <c r="E2390" s="366" t="s">
        <v>10082</v>
      </c>
      <c r="F2390" s="366" t="s">
        <v>10078</v>
      </c>
      <c r="G2390" s="366" t="s">
        <v>10078</v>
      </c>
      <c r="H2390" s="366" t="s">
        <v>12960</v>
      </c>
      <c r="I2390" s="364" t="s">
        <v>12892</v>
      </c>
      <c r="J2390" s="367">
        <v>41726</v>
      </c>
      <c r="K2390" s="364" t="s">
        <v>14214</v>
      </c>
      <c r="L2390" s="364"/>
      <c r="M2390" s="364" t="s">
        <v>10084</v>
      </c>
      <c r="N2390" s="364"/>
      <c r="O2390" s="364" t="s">
        <v>57</v>
      </c>
      <c r="P2390" s="373">
        <v>149400000</v>
      </c>
      <c r="Q2390" s="364" t="s">
        <v>14215</v>
      </c>
      <c r="R2390" s="364" t="s">
        <v>106</v>
      </c>
      <c r="S2390" s="340">
        <v>5</v>
      </c>
    </row>
    <row r="2391" spans="1:19" ht="47" thickBot="1" x14ac:dyDescent="0.4">
      <c r="A2391" s="357">
        <v>2380</v>
      </c>
      <c r="B2391" s="364" t="s">
        <v>10650</v>
      </c>
      <c r="C2391" s="364" t="s">
        <v>10651</v>
      </c>
      <c r="D2391" s="366" t="s">
        <v>51</v>
      </c>
      <c r="E2391" s="366" t="s">
        <v>10082</v>
      </c>
      <c r="F2391" s="366" t="s">
        <v>10078</v>
      </c>
      <c r="G2391" s="366" t="s">
        <v>10088</v>
      </c>
      <c r="H2391" s="366" t="s">
        <v>11469</v>
      </c>
      <c r="I2391" s="364" t="s">
        <v>14216</v>
      </c>
      <c r="J2391" s="367">
        <v>43256</v>
      </c>
      <c r="K2391" s="364" t="s">
        <v>14217</v>
      </c>
      <c r="L2391" s="364"/>
      <c r="M2391" s="364" t="s">
        <v>10084</v>
      </c>
      <c r="N2391" s="364"/>
      <c r="O2391" s="364" t="s">
        <v>57</v>
      </c>
      <c r="P2391" s="373">
        <v>872677400</v>
      </c>
      <c r="Q2391" s="364" t="s">
        <v>14218</v>
      </c>
      <c r="R2391" s="364" t="s">
        <v>106</v>
      </c>
      <c r="S2391" s="340">
        <v>5</v>
      </c>
    </row>
    <row r="2392" spans="1:19" ht="31" x14ac:dyDescent="0.35">
      <c r="A2392" s="349">
        <v>2381</v>
      </c>
      <c r="B2392" s="364" t="s">
        <v>10650</v>
      </c>
      <c r="C2392" s="364" t="s">
        <v>10651</v>
      </c>
      <c r="D2392" s="366" t="s">
        <v>107</v>
      </c>
      <c r="E2392" s="366" t="s">
        <v>10082</v>
      </c>
      <c r="F2392" s="366" t="s">
        <v>10078</v>
      </c>
      <c r="G2392" s="366" t="s">
        <v>10088</v>
      </c>
      <c r="H2392" s="366"/>
      <c r="I2392" s="364" t="s">
        <v>11877</v>
      </c>
      <c r="J2392" s="367">
        <v>45580</v>
      </c>
      <c r="K2392" s="364" t="s">
        <v>14219</v>
      </c>
      <c r="L2392" s="364"/>
      <c r="M2392" s="364" t="s">
        <v>10084</v>
      </c>
      <c r="N2392" s="364"/>
      <c r="O2392" s="364" t="s">
        <v>44</v>
      </c>
      <c r="P2392" s="373">
        <v>149850000</v>
      </c>
      <c r="Q2392" s="364" t="s">
        <v>14220</v>
      </c>
      <c r="R2392" s="364" t="s">
        <v>106</v>
      </c>
      <c r="S2392" s="340">
        <v>5</v>
      </c>
    </row>
    <row r="2393" spans="1:19" ht="31.5" thickBot="1" x14ac:dyDescent="0.4">
      <c r="A2393" s="357">
        <v>2382</v>
      </c>
      <c r="B2393" s="364" t="s">
        <v>10650</v>
      </c>
      <c r="C2393" s="364" t="s">
        <v>10651</v>
      </c>
      <c r="D2393" s="366" t="s">
        <v>112</v>
      </c>
      <c r="E2393" s="366" t="s">
        <v>10082</v>
      </c>
      <c r="F2393" s="366" t="s">
        <v>10078</v>
      </c>
      <c r="G2393" s="366" t="s">
        <v>10088</v>
      </c>
      <c r="H2393" s="366"/>
      <c r="I2393" s="364" t="s">
        <v>14221</v>
      </c>
      <c r="J2393" s="367">
        <v>45558</v>
      </c>
      <c r="K2393" s="364" t="s">
        <v>14222</v>
      </c>
      <c r="L2393" s="364"/>
      <c r="M2393" s="364" t="s">
        <v>10084</v>
      </c>
      <c r="N2393" s="364"/>
      <c r="O2393" s="364" t="s">
        <v>44</v>
      </c>
      <c r="P2393" s="373">
        <v>106220000</v>
      </c>
      <c r="Q2393" s="364" t="s">
        <v>14223</v>
      </c>
      <c r="R2393" s="364" t="s">
        <v>106</v>
      </c>
      <c r="S2393" s="340">
        <v>5</v>
      </c>
    </row>
    <row r="2394" spans="1:19" ht="31" x14ac:dyDescent="0.35">
      <c r="A2394" s="349">
        <v>2383</v>
      </c>
      <c r="B2394" s="364" t="s">
        <v>10650</v>
      </c>
      <c r="C2394" s="364" t="s">
        <v>10651</v>
      </c>
      <c r="D2394" s="366" t="s">
        <v>116</v>
      </c>
      <c r="E2394" s="366" t="s">
        <v>10082</v>
      </c>
      <c r="F2394" s="366"/>
      <c r="G2394" s="366"/>
      <c r="H2394" s="366"/>
      <c r="I2394" s="364" t="s">
        <v>63</v>
      </c>
      <c r="J2394" s="367"/>
      <c r="K2394" s="364"/>
      <c r="L2394" s="364"/>
      <c r="M2394" s="364"/>
      <c r="N2394" s="364"/>
      <c r="O2394" s="364" t="s">
        <v>44</v>
      </c>
      <c r="P2394" s="373">
        <v>51759000</v>
      </c>
      <c r="Q2394" s="364" t="s">
        <v>14224</v>
      </c>
      <c r="R2394" s="364" t="s">
        <v>106</v>
      </c>
      <c r="S2394" s="340">
        <v>5</v>
      </c>
    </row>
    <row r="2395" spans="1:19" ht="31.5" thickBot="1" x14ac:dyDescent="0.4">
      <c r="A2395" s="357">
        <v>2384</v>
      </c>
      <c r="B2395" s="364" t="s">
        <v>10650</v>
      </c>
      <c r="C2395" s="364" t="s">
        <v>10651</v>
      </c>
      <c r="D2395" s="366" t="s">
        <v>841</v>
      </c>
      <c r="E2395" s="366" t="s">
        <v>10082</v>
      </c>
      <c r="F2395" s="366"/>
      <c r="G2395" s="366"/>
      <c r="H2395" s="366"/>
      <c r="I2395" s="364" t="s">
        <v>63</v>
      </c>
      <c r="J2395" s="367"/>
      <c r="K2395" s="364"/>
      <c r="L2395" s="364"/>
      <c r="M2395" s="364"/>
      <c r="N2395" s="364"/>
      <c r="O2395" s="364" t="s">
        <v>44</v>
      </c>
      <c r="P2395" s="373">
        <v>149767000</v>
      </c>
      <c r="Q2395" s="364" t="s">
        <v>14225</v>
      </c>
      <c r="R2395" s="364" t="s">
        <v>106</v>
      </c>
      <c r="S2395" s="340">
        <v>5</v>
      </c>
    </row>
    <row r="2396" spans="1:19" ht="77.5" x14ac:dyDescent="0.35">
      <c r="A2396" s="349">
        <v>2385</v>
      </c>
      <c r="B2396" s="364" t="s">
        <v>10486</v>
      </c>
      <c r="C2396" s="364" t="s">
        <v>10487</v>
      </c>
      <c r="D2396" s="366" t="s">
        <v>51</v>
      </c>
      <c r="E2396" s="366" t="s">
        <v>10082</v>
      </c>
      <c r="F2396" s="366" t="s">
        <v>10078</v>
      </c>
      <c r="G2396" s="366" t="s">
        <v>10078</v>
      </c>
      <c r="H2396" s="366" t="s">
        <v>2972</v>
      </c>
      <c r="I2396" s="364" t="s">
        <v>11835</v>
      </c>
      <c r="J2396" s="367">
        <v>43689</v>
      </c>
      <c r="K2396" s="364" t="s">
        <v>14226</v>
      </c>
      <c r="L2396" s="364"/>
      <c r="M2396" s="364" t="s">
        <v>10084</v>
      </c>
      <c r="N2396" s="364"/>
      <c r="O2396" s="364" t="s">
        <v>57</v>
      </c>
      <c r="P2396" s="373">
        <v>788569000</v>
      </c>
      <c r="Q2396" s="364" t="s">
        <v>14227</v>
      </c>
      <c r="R2396" s="364" t="s">
        <v>106</v>
      </c>
      <c r="S2396" s="340">
        <v>5</v>
      </c>
    </row>
    <row r="2397" spans="1:19" ht="31.5" thickBot="1" x14ac:dyDescent="0.4">
      <c r="A2397" s="357">
        <v>2386</v>
      </c>
      <c r="B2397" s="364" t="s">
        <v>10486</v>
      </c>
      <c r="C2397" s="364" t="s">
        <v>10487</v>
      </c>
      <c r="D2397" s="366" t="s">
        <v>59</v>
      </c>
      <c r="E2397" s="366" t="s">
        <v>10082</v>
      </c>
      <c r="F2397" s="366" t="s">
        <v>10078</v>
      </c>
      <c r="G2397" s="366" t="s">
        <v>10088</v>
      </c>
      <c r="H2397" s="366" t="s">
        <v>11415</v>
      </c>
      <c r="I2397" s="364" t="s">
        <v>9591</v>
      </c>
      <c r="J2397" s="367">
        <v>43398</v>
      </c>
      <c r="K2397" s="364" t="s">
        <v>14228</v>
      </c>
      <c r="L2397" s="364"/>
      <c r="M2397" s="364" t="s">
        <v>10084</v>
      </c>
      <c r="N2397" s="364"/>
      <c r="O2397" s="364" t="s">
        <v>57</v>
      </c>
      <c r="P2397" s="373">
        <v>335341800</v>
      </c>
      <c r="Q2397" s="364" t="s">
        <v>14229</v>
      </c>
      <c r="R2397" s="364" t="s">
        <v>106</v>
      </c>
      <c r="S2397" s="340">
        <v>5</v>
      </c>
    </row>
    <row r="2398" spans="1:19" ht="31" x14ac:dyDescent="0.35">
      <c r="A2398" s="349">
        <v>2387</v>
      </c>
      <c r="B2398" s="364" t="s">
        <v>10497</v>
      </c>
      <c r="C2398" s="364" t="s">
        <v>10498</v>
      </c>
      <c r="D2398" s="366" t="s">
        <v>51</v>
      </c>
      <c r="E2398" s="366" t="s">
        <v>10082</v>
      </c>
      <c r="F2398" s="366"/>
      <c r="G2398" s="366"/>
      <c r="H2398" s="366"/>
      <c r="I2398" s="364" t="s">
        <v>63</v>
      </c>
      <c r="J2398" s="367"/>
      <c r="K2398" s="364"/>
      <c r="L2398" s="364"/>
      <c r="M2398" s="364"/>
      <c r="N2398" s="364"/>
      <c r="O2398" s="364" t="s">
        <v>44</v>
      </c>
      <c r="P2398" s="373">
        <v>222167388.79999998</v>
      </c>
      <c r="Q2398" s="364" t="s">
        <v>14230</v>
      </c>
      <c r="R2398" s="364" t="s">
        <v>106</v>
      </c>
      <c r="S2398" s="340">
        <v>5</v>
      </c>
    </row>
    <row r="2399" spans="1:19" ht="31.5" thickBot="1" x14ac:dyDescent="0.4">
      <c r="A2399" s="357">
        <v>2388</v>
      </c>
      <c r="B2399" s="364" t="s">
        <v>10765</v>
      </c>
      <c r="C2399" s="364" t="s">
        <v>10766</v>
      </c>
      <c r="D2399" s="366" t="s">
        <v>97</v>
      </c>
      <c r="E2399" s="366" t="s">
        <v>10082</v>
      </c>
      <c r="F2399" s="366"/>
      <c r="G2399" s="366"/>
      <c r="H2399" s="366"/>
      <c r="I2399" s="364" t="s">
        <v>63</v>
      </c>
      <c r="J2399" s="367"/>
      <c r="K2399" s="364" t="s">
        <v>14231</v>
      </c>
      <c r="L2399" s="364"/>
      <c r="M2399" s="364"/>
      <c r="N2399" s="364"/>
      <c r="O2399" s="364" t="s">
        <v>44</v>
      </c>
      <c r="P2399" s="373">
        <v>221281936.00000003</v>
      </c>
      <c r="Q2399" s="364" t="s">
        <v>11052</v>
      </c>
      <c r="R2399" s="364" t="s">
        <v>106</v>
      </c>
      <c r="S2399" s="340">
        <v>5</v>
      </c>
    </row>
    <row r="2400" spans="1:19" ht="31" x14ac:dyDescent="0.35">
      <c r="A2400" s="349">
        <v>2389</v>
      </c>
      <c r="B2400" s="364" t="s">
        <v>10765</v>
      </c>
      <c r="C2400" s="364" t="s">
        <v>10766</v>
      </c>
      <c r="D2400" s="366" t="s">
        <v>101</v>
      </c>
      <c r="E2400" s="366" t="s">
        <v>10082</v>
      </c>
      <c r="F2400" s="366"/>
      <c r="G2400" s="366"/>
      <c r="H2400" s="366"/>
      <c r="I2400" s="364" t="s">
        <v>63</v>
      </c>
      <c r="J2400" s="367"/>
      <c r="K2400" s="364" t="s">
        <v>14232</v>
      </c>
      <c r="L2400" s="364"/>
      <c r="M2400" s="364"/>
      <c r="N2400" s="364"/>
      <c r="O2400" s="364" t="s">
        <v>44</v>
      </c>
      <c r="P2400" s="373">
        <v>182600000</v>
      </c>
      <c r="Q2400" s="364" t="s">
        <v>14233</v>
      </c>
      <c r="R2400" s="364" t="s">
        <v>106</v>
      </c>
      <c r="S2400" s="340">
        <v>5</v>
      </c>
    </row>
    <row r="2401" spans="1:19" ht="47" thickBot="1" x14ac:dyDescent="0.4">
      <c r="A2401" s="357">
        <v>2390</v>
      </c>
      <c r="B2401" s="364" t="s">
        <v>10765</v>
      </c>
      <c r="C2401" s="364" t="s">
        <v>10766</v>
      </c>
      <c r="D2401" s="366" t="s">
        <v>107</v>
      </c>
      <c r="E2401" s="366" t="s">
        <v>10082</v>
      </c>
      <c r="F2401" s="366"/>
      <c r="G2401" s="366"/>
      <c r="H2401" s="366"/>
      <c r="I2401" s="364" t="s">
        <v>63</v>
      </c>
      <c r="J2401" s="367"/>
      <c r="K2401" s="364" t="s">
        <v>14234</v>
      </c>
      <c r="L2401" s="364"/>
      <c r="M2401" s="364"/>
      <c r="N2401" s="364"/>
      <c r="O2401" s="364" t="s">
        <v>44</v>
      </c>
      <c r="P2401" s="373">
        <v>1143450000</v>
      </c>
      <c r="Q2401" s="364" t="s">
        <v>14235</v>
      </c>
      <c r="R2401" s="364" t="s">
        <v>106</v>
      </c>
      <c r="S2401" s="340">
        <v>5</v>
      </c>
    </row>
    <row r="2402" spans="1:19" ht="31" x14ac:dyDescent="0.35">
      <c r="A2402" s="349">
        <v>2391</v>
      </c>
      <c r="B2402" s="364" t="s">
        <v>10765</v>
      </c>
      <c r="C2402" s="364" t="s">
        <v>10766</v>
      </c>
      <c r="D2402" s="366" t="s">
        <v>116</v>
      </c>
      <c r="E2402" s="366" t="s">
        <v>10082</v>
      </c>
      <c r="F2402" s="366" t="s">
        <v>10078</v>
      </c>
      <c r="G2402" s="366" t="s">
        <v>10088</v>
      </c>
      <c r="H2402" s="366"/>
      <c r="I2402" s="364" t="s">
        <v>10548</v>
      </c>
      <c r="J2402" s="367">
        <v>45604</v>
      </c>
      <c r="K2402" s="364" t="s">
        <v>14236</v>
      </c>
      <c r="L2402" s="364"/>
      <c r="M2402" s="364" t="s">
        <v>10084</v>
      </c>
      <c r="N2402" s="364"/>
      <c r="O2402" s="364" t="s">
        <v>44</v>
      </c>
      <c r="P2402" s="373">
        <v>1213013373.0999999</v>
      </c>
      <c r="Q2402" s="364" t="s">
        <v>14237</v>
      </c>
      <c r="R2402" s="364" t="s">
        <v>106</v>
      </c>
      <c r="S2402" s="340">
        <v>5</v>
      </c>
    </row>
    <row r="2403" spans="1:19" ht="31.5" thickBot="1" x14ac:dyDescent="0.4">
      <c r="A2403" s="357">
        <v>2392</v>
      </c>
      <c r="B2403" s="364" t="s">
        <v>10765</v>
      </c>
      <c r="C2403" s="364" t="s">
        <v>10766</v>
      </c>
      <c r="D2403" s="366" t="s">
        <v>841</v>
      </c>
      <c r="E2403" s="366" t="s">
        <v>10082</v>
      </c>
      <c r="F2403" s="366"/>
      <c r="G2403" s="366"/>
      <c r="H2403" s="366"/>
      <c r="I2403" s="364" t="s">
        <v>63</v>
      </c>
      <c r="J2403" s="367"/>
      <c r="K2403" s="364" t="s">
        <v>14238</v>
      </c>
      <c r="L2403" s="364"/>
      <c r="M2403" s="364"/>
      <c r="N2403" s="364"/>
      <c r="O2403" s="364" t="s">
        <v>44</v>
      </c>
      <c r="P2403" s="373">
        <v>942855477.5</v>
      </c>
      <c r="Q2403" s="364" t="s">
        <v>14239</v>
      </c>
      <c r="R2403" s="364" t="s">
        <v>106</v>
      </c>
      <c r="S2403" s="340">
        <v>5</v>
      </c>
    </row>
    <row r="2404" spans="1:19" ht="31" x14ac:dyDescent="0.35">
      <c r="A2404" s="349">
        <v>2393</v>
      </c>
      <c r="B2404" s="364" t="s">
        <v>10765</v>
      </c>
      <c r="C2404" s="364" t="s">
        <v>10766</v>
      </c>
      <c r="D2404" s="366" t="s">
        <v>904</v>
      </c>
      <c r="E2404" s="366" t="s">
        <v>10082</v>
      </c>
      <c r="F2404" s="366"/>
      <c r="G2404" s="366"/>
      <c r="H2404" s="366"/>
      <c r="I2404" s="364" t="s">
        <v>63</v>
      </c>
      <c r="J2404" s="367"/>
      <c r="K2404" s="364"/>
      <c r="L2404" s="364"/>
      <c r="M2404" s="364"/>
      <c r="N2404" s="364"/>
      <c r="O2404" s="364" t="s">
        <v>44</v>
      </c>
      <c r="P2404" s="373">
        <v>207560000</v>
      </c>
      <c r="Q2404" s="364" t="s">
        <v>14240</v>
      </c>
      <c r="R2404" s="364" t="s">
        <v>106</v>
      </c>
      <c r="S2404" s="340">
        <v>5</v>
      </c>
    </row>
    <row r="2405" spans="1:19" ht="47" thickBot="1" x14ac:dyDescent="0.4">
      <c r="A2405" s="357">
        <v>2394</v>
      </c>
      <c r="B2405" s="364" t="s">
        <v>11006</v>
      </c>
      <c r="C2405" s="364" t="s">
        <v>11007</v>
      </c>
      <c r="D2405" s="366" t="s">
        <v>904</v>
      </c>
      <c r="E2405" s="366" t="s">
        <v>10082</v>
      </c>
      <c r="F2405" s="366" t="s">
        <v>10078</v>
      </c>
      <c r="G2405" s="366" t="s">
        <v>10088</v>
      </c>
      <c r="H2405" s="366"/>
      <c r="I2405" s="364" t="s">
        <v>10548</v>
      </c>
      <c r="J2405" s="367">
        <v>45569</v>
      </c>
      <c r="K2405" s="364" t="s">
        <v>14241</v>
      </c>
      <c r="L2405" s="364"/>
      <c r="M2405" s="364" t="s">
        <v>10084</v>
      </c>
      <c r="N2405" s="364"/>
      <c r="O2405" s="364" t="s">
        <v>44</v>
      </c>
      <c r="P2405" s="373">
        <v>204450000</v>
      </c>
      <c r="Q2405" s="364" t="s">
        <v>14242</v>
      </c>
      <c r="R2405" s="364" t="s">
        <v>106</v>
      </c>
      <c r="S2405" s="340">
        <v>5</v>
      </c>
    </row>
    <row r="2406" spans="1:19" ht="31" x14ac:dyDescent="0.35">
      <c r="A2406" s="349">
        <v>2395</v>
      </c>
      <c r="B2406" s="364" t="s">
        <v>11053</v>
      </c>
      <c r="C2406" s="364" t="s">
        <v>11054</v>
      </c>
      <c r="D2406" s="366" t="s">
        <v>51</v>
      </c>
      <c r="E2406" s="366" t="s">
        <v>10673</v>
      </c>
      <c r="F2406" s="366" t="s">
        <v>10078</v>
      </c>
      <c r="G2406" s="366" t="s">
        <v>10088</v>
      </c>
      <c r="H2406" s="366" t="s">
        <v>13120</v>
      </c>
      <c r="I2406" s="364" t="s">
        <v>12117</v>
      </c>
      <c r="J2406" s="367">
        <v>41205</v>
      </c>
      <c r="K2406" s="364" t="s">
        <v>14243</v>
      </c>
      <c r="L2406" s="364"/>
      <c r="M2406" s="364" t="s">
        <v>10084</v>
      </c>
      <c r="N2406" s="364"/>
      <c r="O2406" s="364" t="s">
        <v>57</v>
      </c>
      <c r="P2406" s="373">
        <v>199250000</v>
      </c>
      <c r="Q2406" s="364" t="s">
        <v>14244</v>
      </c>
      <c r="R2406" s="364" t="s">
        <v>106</v>
      </c>
      <c r="S2406" s="340">
        <v>5</v>
      </c>
    </row>
    <row r="2407" spans="1:19" ht="31.5" thickBot="1" x14ac:dyDescent="0.4">
      <c r="A2407" s="357">
        <v>2396</v>
      </c>
      <c r="B2407" s="364" t="s">
        <v>11053</v>
      </c>
      <c r="C2407" s="364" t="s">
        <v>11054</v>
      </c>
      <c r="D2407" s="366" t="s">
        <v>59</v>
      </c>
      <c r="E2407" s="366" t="s">
        <v>10082</v>
      </c>
      <c r="F2407" s="366" t="s">
        <v>10078</v>
      </c>
      <c r="G2407" s="366" t="s">
        <v>10078</v>
      </c>
      <c r="H2407" s="366" t="s">
        <v>12650</v>
      </c>
      <c r="I2407" s="364" t="s">
        <v>14245</v>
      </c>
      <c r="J2407" s="367">
        <v>43782</v>
      </c>
      <c r="K2407" s="364" t="s">
        <v>14246</v>
      </c>
      <c r="L2407" s="364"/>
      <c r="M2407" s="364" t="s">
        <v>10084</v>
      </c>
      <c r="N2407" s="364"/>
      <c r="O2407" s="364" t="s">
        <v>57</v>
      </c>
      <c r="P2407" s="373">
        <v>221400000</v>
      </c>
      <c r="Q2407" s="364" t="s">
        <v>14247</v>
      </c>
      <c r="R2407" s="364" t="s">
        <v>106</v>
      </c>
      <c r="S2407" s="340">
        <v>5</v>
      </c>
    </row>
    <row r="2408" spans="1:19" ht="31" x14ac:dyDescent="0.35">
      <c r="A2408" s="349">
        <v>2397</v>
      </c>
      <c r="B2408" s="364" t="s">
        <v>11053</v>
      </c>
      <c r="C2408" s="364" t="s">
        <v>11054</v>
      </c>
      <c r="D2408" s="366" t="s">
        <v>101</v>
      </c>
      <c r="E2408" s="366" t="s">
        <v>10082</v>
      </c>
      <c r="F2408" s="366" t="s">
        <v>10078</v>
      </c>
      <c r="G2408" s="366" t="s">
        <v>10088</v>
      </c>
      <c r="H2408" s="366" t="s">
        <v>13422</v>
      </c>
      <c r="I2408" s="364" t="s">
        <v>14248</v>
      </c>
      <c r="J2408" s="367">
        <v>41212</v>
      </c>
      <c r="K2408" s="364" t="s">
        <v>14249</v>
      </c>
      <c r="L2408" s="364"/>
      <c r="M2408" s="364" t="s">
        <v>10084</v>
      </c>
      <c r="N2408" s="364"/>
      <c r="O2408" s="364" t="s">
        <v>57</v>
      </c>
      <c r="P2408" s="373">
        <v>831089870</v>
      </c>
      <c r="Q2408" s="364" t="s">
        <v>14250</v>
      </c>
      <c r="R2408" s="364" t="s">
        <v>106</v>
      </c>
      <c r="S2408" s="340">
        <v>5</v>
      </c>
    </row>
    <row r="2409" spans="1:19" ht="31.5" thickBot="1" x14ac:dyDescent="0.4">
      <c r="A2409" s="357">
        <v>2398</v>
      </c>
      <c r="B2409" s="364" t="s">
        <v>11053</v>
      </c>
      <c r="C2409" s="364" t="s">
        <v>11054</v>
      </c>
      <c r="D2409" s="366" t="s">
        <v>107</v>
      </c>
      <c r="E2409" s="366" t="s">
        <v>10082</v>
      </c>
      <c r="F2409" s="366"/>
      <c r="G2409" s="366"/>
      <c r="H2409" s="366"/>
      <c r="I2409" s="364" t="s">
        <v>63</v>
      </c>
      <c r="J2409" s="367"/>
      <c r="K2409" s="364" t="s">
        <v>14251</v>
      </c>
      <c r="L2409" s="364"/>
      <c r="M2409" s="364"/>
      <c r="N2409" s="364"/>
      <c r="O2409" s="364" t="s">
        <v>44</v>
      </c>
      <c r="P2409" s="373">
        <v>159610000</v>
      </c>
      <c r="Q2409" s="364" t="s">
        <v>14252</v>
      </c>
      <c r="R2409" s="364" t="s">
        <v>106</v>
      </c>
      <c r="S2409" s="340">
        <v>5</v>
      </c>
    </row>
    <row r="2410" spans="1:19" ht="31" x14ac:dyDescent="0.35">
      <c r="A2410" s="349">
        <v>2399</v>
      </c>
      <c r="B2410" s="364" t="s">
        <v>11053</v>
      </c>
      <c r="C2410" s="364" t="s">
        <v>11054</v>
      </c>
      <c r="D2410" s="366" t="s">
        <v>116</v>
      </c>
      <c r="E2410" s="366" t="s">
        <v>10082</v>
      </c>
      <c r="F2410" s="366"/>
      <c r="G2410" s="366"/>
      <c r="H2410" s="366"/>
      <c r="I2410" s="364" t="s">
        <v>63</v>
      </c>
      <c r="J2410" s="367"/>
      <c r="K2410" s="364"/>
      <c r="L2410" s="364"/>
      <c r="M2410" s="364"/>
      <c r="N2410" s="364"/>
      <c r="O2410" s="364" t="s">
        <v>44</v>
      </c>
      <c r="P2410" s="373">
        <v>223927883</v>
      </c>
      <c r="Q2410" s="364" t="s">
        <v>14253</v>
      </c>
      <c r="R2410" s="364" t="s">
        <v>106</v>
      </c>
      <c r="S2410" s="340">
        <v>5</v>
      </c>
    </row>
    <row r="2411" spans="1:19" ht="47" thickBot="1" x14ac:dyDescent="0.4">
      <c r="A2411" s="357">
        <v>2400</v>
      </c>
      <c r="B2411" s="364" t="s">
        <v>11382</v>
      </c>
      <c r="C2411" s="364" t="s">
        <v>11383</v>
      </c>
      <c r="D2411" s="366" t="s">
        <v>51</v>
      </c>
      <c r="E2411" s="366" t="s">
        <v>10082</v>
      </c>
      <c r="F2411" s="366" t="s">
        <v>10078</v>
      </c>
      <c r="G2411" s="366" t="s">
        <v>10078</v>
      </c>
      <c r="H2411" s="366" t="s">
        <v>14254</v>
      </c>
      <c r="I2411" s="364" t="s">
        <v>14255</v>
      </c>
      <c r="J2411" s="367">
        <v>42521</v>
      </c>
      <c r="K2411" s="364" t="s">
        <v>14256</v>
      </c>
      <c r="L2411" s="364"/>
      <c r="M2411" s="364" t="s">
        <v>10084</v>
      </c>
      <c r="N2411" s="364"/>
      <c r="O2411" s="364" t="s">
        <v>57</v>
      </c>
      <c r="P2411" s="373">
        <v>199700000</v>
      </c>
      <c r="Q2411" s="364" t="s">
        <v>14257</v>
      </c>
      <c r="R2411" s="364" t="s">
        <v>106</v>
      </c>
      <c r="S2411" s="340">
        <v>5</v>
      </c>
    </row>
    <row r="2412" spans="1:19" ht="31" x14ac:dyDescent="0.35">
      <c r="A2412" s="349">
        <v>2401</v>
      </c>
      <c r="B2412" s="364" t="s">
        <v>11382</v>
      </c>
      <c r="C2412" s="364" t="s">
        <v>11383</v>
      </c>
      <c r="D2412" s="366" t="s">
        <v>59</v>
      </c>
      <c r="E2412" s="366" t="s">
        <v>10082</v>
      </c>
      <c r="F2412" s="366" t="s">
        <v>10078</v>
      </c>
      <c r="G2412" s="366" t="s">
        <v>10088</v>
      </c>
      <c r="H2412" s="366" t="s">
        <v>11451</v>
      </c>
      <c r="I2412" s="364" t="s">
        <v>10713</v>
      </c>
      <c r="J2412" s="367">
        <v>40751</v>
      </c>
      <c r="K2412" s="364" t="s">
        <v>14258</v>
      </c>
      <c r="L2412" s="364"/>
      <c r="M2412" s="364" t="s">
        <v>10084</v>
      </c>
      <c r="N2412" s="364"/>
      <c r="O2412" s="364" t="s">
        <v>57</v>
      </c>
      <c r="P2412" s="373">
        <v>191660000</v>
      </c>
      <c r="Q2412" s="364" t="s">
        <v>14259</v>
      </c>
      <c r="R2412" s="364" t="s">
        <v>106</v>
      </c>
      <c r="S2412" s="340">
        <v>5</v>
      </c>
    </row>
    <row r="2413" spans="1:19" ht="31.5" thickBot="1" x14ac:dyDescent="0.4">
      <c r="A2413" s="357">
        <v>2402</v>
      </c>
      <c r="B2413" s="364" t="s">
        <v>11073</v>
      </c>
      <c r="C2413" s="364" t="s">
        <v>11074</v>
      </c>
      <c r="D2413" s="366" t="s">
        <v>101</v>
      </c>
      <c r="E2413" s="366" t="s">
        <v>10082</v>
      </c>
      <c r="F2413" s="366" t="s">
        <v>10078</v>
      </c>
      <c r="G2413" s="366" t="s">
        <v>10078</v>
      </c>
      <c r="H2413" s="366" t="s">
        <v>2972</v>
      </c>
      <c r="I2413" s="364" t="s">
        <v>14260</v>
      </c>
      <c r="J2413" s="367">
        <v>42522</v>
      </c>
      <c r="K2413" s="364" t="s">
        <v>14261</v>
      </c>
      <c r="L2413" s="364"/>
      <c r="M2413" s="364" t="s">
        <v>10084</v>
      </c>
      <c r="N2413" s="364"/>
      <c r="O2413" s="364" t="s">
        <v>57</v>
      </c>
      <c r="P2413" s="373">
        <v>159400000</v>
      </c>
      <c r="Q2413" s="364" t="s">
        <v>14262</v>
      </c>
      <c r="R2413" s="364" t="s">
        <v>106</v>
      </c>
      <c r="S2413" s="340">
        <v>5</v>
      </c>
    </row>
    <row r="2414" spans="1:19" ht="31" x14ac:dyDescent="0.35">
      <c r="A2414" s="349">
        <v>2403</v>
      </c>
      <c r="B2414" s="364" t="s">
        <v>11073</v>
      </c>
      <c r="C2414" s="364" t="s">
        <v>11074</v>
      </c>
      <c r="D2414" s="366" t="s">
        <v>112</v>
      </c>
      <c r="E2414" s="366" t="s">
        <v>10082</v>
      </c>
      <c r="F2414" s="366" t="s">
        <v>10078</v>
      </c>
      <c r="G2414" s="366" t="s">
        <v>10078</v>
      </c>
      <c r="H2414" s="366" t="s">
        <v>14263</v>
      </c>
      <c r="I2414" s="364" t="s">
        <v>14264</v>
      </c>
      <c r="J2414" s="367">
        <v>44006</v>
      </c>
      <c r="K2414" s="364" t="s">
        <v>14265</v>
      </c>
      <c r="L2414" s="364"/>
      <c r="M2414" s="364" t="s">
        <v>10084</v>
      </c>
      <c r="N2414" s="364"/>
      <c r="O2414" s="364" t="s">
        <v>57</v>
      </c>
      <c r="P2414" s="373">
        <v>601335900</v>
      </c>
      <c r="Q2414" s="364" t="s">
        <v>14266</v>
      </c>
      <c r="R2414" s="364" t="s">
        <v>106</v>
      </c>
      <c r="S2414" s="340">
        <v>5</v>
      </c>
    </row>
    <row r="2415" spans="1:19" ht="31.5" thickBot="1" x14ac:dyDescent="0.4">
      <c r="A2415" s="357">
        <v>2404</v>
      </c>
      <c r="B2415" s="364" t="s">
        <v>11073</v>
      </c>
      <c r="C2415" s="364" t="s">
        <v>11074</v>
      </c>
      <c r="D2415" s="366" t="s">
        <v>116</v>
      </c>
      <c r="E2415" s="366" t="s">
        <v>10082</v>
      </c>
      <c r="F2415" s="366" t="s">
        <v>10078</v>
      </c>
      <c r="G2415" s="366" t="s">
        <v>10088</v>
      </c>
      <c r="H2415" s="366"/>
      <c r="I2415" s="364" t="s">
        <v>12782</v>
      </c>
      <c r="J2415" s="367">
        <v>44886</v>
      </c>
      <c r="K2415" s="364"/>
      <c r="L2415" s="364"/>
      <c r="M2415" s="364"/>
      <c r="N2415" s="364"/>
      <c r="O2415" s="364" t="s">
        <v>44</v>
      </c>
      <c r="P2415" s="373">
        <v>199700000</v>
      </c>
      <c r="Q2415" s="364" t="s">
        <v>14267</v>
      </c>
      <c r="R2415" s="364" t="s">
        <v>106</v>
      </c>
      <c r="S2415" s="340">
        <v>5</v>
      </c>
    </row>
    <row r="2416" spans="1:19" ht="62" x14ac:dyDescent="0.35">
      <c r="A2416" s="349">
        <v>2405</v>
      </c>
      <c r="B2416" s="364" t="s">
        <v>11073</v>
      </c>
      <c r="C2416" s="364" t="s">
        <v>11074</v>
      </c>
      <c r="D2416" s="366" t="s">
        <v>841</v>
      </c>
      <c r="E2416" s="366" t="s">
        <v>10082</v>
      </c>
      <c r="F2416" s="366" t="s">
        <v>10078</v>
      </c>
      <c r="G2416" s="366" t="s">
        <v>10088</v>
      </c>
      <c r="H2416" s="366"/>
      <c r="I2416" s="364" t="s">
        <v>12575</v>
      </c>
      <c r="J2416" s="367">
        <v>45558</v>
      </c>
      <c r="K2416" s="364" t="s">
        <v>14268</v>
      </c>
      <c r="L2416" s="364"/>
      <c r="M2416" s="364" t="s">
        <v>10084</v>
      </c>
      <c r="N2416" s="364"/>
      <c r="O2416" s="364" t="s">
        <v>44</v>
      </c>
      <c r="P2416" s="373">
        <v>106170000</v>
      </c>
      <c r="Q2416" s="364" t="s">
        <v>14269</v>
      </c>
      <c r="R2416" s="364" t="s">
        <v>106</v>
      </c>
      <c r="S2416" s="340">
        <v>5</v>
      </c>
    </row>
    <row r="2417" spans="1:19" ht="31.5" thickBot="1" x14ac:dyDescent="0.4">
      <c r="A2417" s="357">
        <v>2406</v>
      </c>
      <c r="B2417" s="364" t="s">
        <v>11073</v>
      </c>
      <c r="C2417" s="364" t="s">
        <v>11074</v>
      </c>
      <c r="D2417" s="366" t="s">
        <v>132</v>
      </c>
      <c r="E2417" s="366" t="s">
        <v>10082</v>
      </c>
      <c r="F2417" s="366"/>
      <c r="G2417" s="366"/>
      <c r="H2417" s="366"/>
      <c r="I2417" s="364" t="s">
        <v>63</v>
      </c>
      <c r="J2417" s="367"/>
      <c r="K2417" s="364"/>
      <c r="L2417" s="364"/>
      <c r="M2417" s="364"/>
      <c r="N2417" s="364"/>
      <c r="O2417" s="364" t="s">
        <v>44</v>
      </c>
      <c r="P2417" s="373">
        <v>556733911.70000005</v>
      </c>
      <c r="Q2417" s="364" t="s">
        <v>14270</v>
      </c>
      <c r="R2417" s="364" t="s">
        <v>106</v>
      </c>
      <c r="S2417" s="340">
        <v>5</v>
      </c>
    </row>
    <row r="2418" spans="1:19" ht="31" x14ac:dyDescent="0.35">
      <c r="A2418" s="349">
        <v>2407</v>
      </c>
      <c r="B2418" s="364" t="s">
        <v>14271</v>
      </c>
      <c r="C2418" s="364" t="s">
        <v>14272</v>
      </c>
      <c r="D2418" s="366" t="s">
        <v>59</v>
      </c>
      <c r="E2418" s="366" t="s">
        <v>10673</v>
      </c>
      <c r="F2418" s="366" t="s">
        <v>10078</v>
      </c>
      <c r="G2418" s="366" t="s">
        <v>10088</v>
      </c>
      <c r="H2418" s="366" t="s">
        <v>1433</v>
      </c>
      <c r="I2418" s="364" t="s">
        <v>10471</v>
      </c>
      <c r="J2418" s="367">
        <v>41155</v>
      </c>
      <c r="K2418" s="364" t="s">
        <v>14273</v>
      </c>
      <c r="L2418" s="364"/>
      <c r="M2418" s="364" t="s">
        <v>10084</v>
      </c>
      <c r="N2418" s="364"/>
      <c r="O2418" s="364" t="s">
        <v>57</v>
      </c>
      <c r="P2418" s="373">
        <v>492030000</v>
      </c>
      <c r="Q2418" s="364" t="s">
        <v>14274</v>
      </c>
      <c r="R2418" s="364" t="s">
        <v>106</v>
      </c>
      <c r="S2418" s="340">
        <v>5</v>
      </c>
    </row>
    <row r="2419" spans="1:19" ht="47" thickBot="1" x14ac:dyDescent="0.4">
      <c r="A2419" s="357">
        <v>2408</v>
      </c>
      <c r="B2419" s="364" t="s">
        <v>10838</v>
      </c>
      <c r="C2419" s="364" t="s">
        <v>10839</v>
      </c>
      <c r="D2419" s="366" t="s">
        <v>51</v>
      </c>
      <c r="E2419" s="366" t="s">
        <v>10082</v>
      </c>
      <c r="F2419" s="366" t="s">
        <v>10078</v>
      </c>
      <c r="G2419" s="366" t="s">
        <v>10088</v>
      </c>
      <c r="H2419" s="366" t="s">
        <v>13082</v>
      </c>
      <c r="I2419" s="364" t="s">
        <v>14275</v>
      </c>
      <c r="J2419" s="367">
        <v>39989</v>
      </c>
      <c r="K2419" s="364" t="s">
        <v>11836</v>
      </c>
      <c r="L2419" s="364"/>
      <c r="M2419" s="364" t="s">
        <v>10084</v>
      </c>
      <c r="N2419" s="364"/>
      <c r="O2419" s="364" t="s">
        <v>57</v>
      </c>
      <c r="P2419" s="373">
        <v>227767000</v>
      </c>
      <c r="Q2419" s="364" t="s">
        <v>14077</v>
      </c>
      <c r="R2419" s="364" t="s">
        <v>106</v>
      </c>
      <c r="S2419" s="340">
        <v>5</v>
      </c>
    </row>
    <row r="2420" spans="1:19" ht="31" x14ac:dyDescent="0.35">
      <c r="A2420" s="349">
        <v>2409</v>
      </c>
      <c r="B2420" s="364" t="s">
        <v>10838</v>
      </c>
      <c r="C2420" s="364" t="s">
        <v>10839</v>
      </c>
      <c r="D2420" s="366" t="s">
        <v>59</v>
      </c>
      <c r="E2420" s="366" t="s">
        <v>10082</v>
      </c>
      <c r="F2420" s="366" t="s">
        <v>10078</v>
      </c>
      <c r="G2420" s="366" t="s">
        <v>10088</v>
      </c>
      <c r="H2420" s="366" t="s">
        <v>14276</v>
      </c>
      <c r="I2420" s="364" t="s">
        <v>10561</v>
      </c>
      <c r="J2420" s="367">
        <v>38813</v>
      </c>
      <c r="K2420" s="364" t="s">
        <v>14277</v>
      </c>
      <c r="L2420" s="364"/>
      <c r="M2420" s="364" t="s">
        <v>10084</v>
      </c>
      <c r="N2420" s="364"/>
      <c r="O2420" s="364" t="s">
        <v>57</v>
      </c>
      <c r="P2420" s="373">
        <v>299516300</v>
      </c>
      <c r="Q2420" s="364" t="s">
        <v>14077</v>
      </c>
      <c r="R2420" s="364" t="s">
        <v>106</v>
      </c>
      <c r="S2420" s="340">
        <v>5</v>
      </c>
    </row>
    <row r="2421" spans="1:19" ht="31.5" thickBot="1" x14ac:dyDescent="0.4">
      <c r="A2421" s="357">
        <v>2410</v>
      </c>
      <c r="B2421" s="364" t="s">
        <v>10838</v>
      </c>
      <c r="C2421" s="364" t="s">
        <v>10839</v>
      </c>
      <c r="D2421" s="366" t="s">
        <v>97</v>
      </c>
      <c r="E2421" s="366" t="s">
        <v>10082</v>
      </c>
      <c r="F2421" s="366" t="s">
        <v>10078</v>
      </c>
      <c r="G2421" s="366" t="s">
        <v>10088</v>
      </c>
      <c r="H2421" s="366" t="s">
        <v>14278</v>
      </c>
      <c r="I2421" s="364" t="s">
        <v>10561</v>
      </c>
      <c r="J2421" s="367">
        <v>38813</v>
      </c>
      <c r="K2421" s="364" t="s">
        <v>14277</v>
      </c>
      <c r="L2421" s="364"/>
      <c r="M2421" s="364" t="s">
        <v>10084</v>
      </c>
      <c r="N2421" s="364"/>
      <c r="O2421" s="364" t="s">
        <v>57</v>
      </c>
      <c r="P2421" s="373">
        <v>667001700</v>
      </c>
      <c r="Q2421" s="364" t="s">
        <v>14077</v>
      </c>
      <c r="R2421" s="364" t="s">
        <v>106</v>
      </c>
      <c r="S2421" s="340">
        <v>5</v>
      </c>
    </row>
    <row r="2422" spans="1:19" ht="31" x14ac:dyDescent="0.35">
      <c r="A2422" s="349">
        <v>2411</v>
      </c>
      <c r="B2422" s="364" t="s">
        <v>10511</v>
      </c>
      <c r="C2422" s="364" t="s">
        <v>10512</v>
      </c>
      <c r="D2422" s="366" t="s">
        <v>51</v>
      </c>
      <c r="E2422" s="366" t="s">
        <v>10082</v>
      </c>
      <c r="F2422" s="366" t="s">
        <v>10078</v>
      </c>
      <c r="G2422" s="366" t="s">
        <v>10078</v>
      </c>
      <c r="H2422" s="366" t="s">
        <v>2972</v>
      </c>
      <c r="I2422" s="364" t="s">
        <v>14279</v>
      </c>
      <c r="J2422" s="367">
        <v>41862</v>
      </c>
      <c r="K2422" s="364" t="s">
        <v>14280</v>
      </c>
      <c r="L2422" s="364"/>
      <c r="M2422" s="364" t="s">
        <v>10084</v>
      </c>
      <c r="N2422" s="364"/>
      <c r="O2422" s="364" t="s">
        <v>57</v>
      </c>
      <c r="P2422" s="373">
        <v>49800000</v>
      </c>
      <c r="Q2422" s="364" t="s">
        <v>14281</v>
      </c>
      <c r="R2422" s="364" t="s">
        <v>106</v>
      </c>
      <c r="S2422" s="340">
        <v>5</v>
      </c>
    </row>
    <row r="2423" spans="1:19" ht="31.5" thickBot="1" x14ac:dyDescent="0.4">
      <c r="A2423" s="357">
        <v>2412</v>
      </c>
      <c r="B2423" s="364" t="s">
        <v>10511</v>
      </c>
      <c r="C2423" s="364" t="s">
        <v>10512</v>
      </c>
      <c r="D2423" s="366" t="s">
        <v>59</v>
      </c>
      <c r="E2423" s="366" t="s">
        <v>10082</v>
      </c>
      <c r="F2423" s="366"/>
      <c r="G2423" s="366"/>
      <c r="H2423" s="366"/>
      <c r="I2423" s="364" t="s">
        <v>63</v>
      </c>
      <c r="J2423" s="367"/>
      <c r="K2423" s="364" t="s">
        <v>14282</v>
      </c>
      <c r="L2423" s="364"/>
      <c r="M2423" s="364"/>
      <c r="N2423" s="364"/>
      <c r="O2423" s="364" t="s">
        <v>44</v>
      </c>
      <c r="P2423" s="373">
        <v>443655000</v>
      </c>
      <c r="Q2423" s="364" t="s">
        <v>14283</v>
      </c>
      <c r="R2423" s="364" t="s">
        <v>106</v>
      </c>
      <c r="S2423" s="340">
        <v>5</v>
      </c>
    </row>
    <row r="2424" spans="1:19" ht="46.5" x14ac:dyDescent="0.35">
      <c r="A2424" s="349">
        <v>2413</v>
      </c>
      <c r="B2424" s="364" t="s">
        <v>10511</v>
      </c>
      <c r="C2424" s="364" t="s">
        <v>10512</v>
      </c>
      <c r="D2424" s="366" t="s">
        <v>97</v>
      </c>
      <c r="E2424" s="366" t="s">
        <v>10082</v>
      </c>
      <c r="F2424" s="366"/>
      <c r="G2424" s="366"/>
      <c r="H2424" s="366"/>
      <c r="I2424" s="364" t="s">
        <v>63</v>
      </c>
      <c r="J2424" s="367"/>
      <c r="K2424" s="364" t="s">
        <v>14284</v>
      </c>
      <c r="L2424" s="364"/>
      <c r="M2424" s="364"/>
      <c r="N2424" s="364"/>
      <c r="O2424" s="364" t="s">
        <v>44</v>
      </c>
      <c r="P2424" s="373">
        <v>199700000</v>
      </c>
      <c r="Q2424" s="364" t="s">
        <v>14285</v>
      </c>
      <c r="R2424" s="364" t="s">
        <v>106</v>
      </c>
      <c r="S2424" s="340">
        <v>5</v>
      </c>
    </row>
    <row r="2425" spans="1:19" ht="31.5" thickBot="1" x14ac:dyDescent="0.4">
      <c r="A2425" s="357">
        <v>2414</v>
      </c>
      <c r="B2425" s="364" t="s">
        <v>10511</v>
      </c>
      <c r="C2425" s="364" t="s">
        <v>10512</v>
      </c>
      <c r="D2425" s="366" t="s">
        <v>101</v>
      </c>
      <c r="E2425" s="366" t="s">
        <v>10082</v>
      </c>
      <c r="F2425" s="366"/>
      <c r="G2425" s="366"/>
      <c r="H2425" s="366"/>
      <c r="I2425" s="364" t="s">
        <v>63</v>
      </c>
      <c r="J2425" s="367"/>
      <c r="K2425" s="364" t="s">
        <v>14286</v>
      </c>
      <c r="L2425" s="364"/>
      <c r="M2425" s="364"/>
      <c r="N2425" s="364"/>
      <c r="O2425" s="364" t="s">
        <v>44</v>
      </c>
      <c r="P2425" s="373">
        <v>149700000</v>
      </c>
      <c r="Q2425" s="364" t="s">
        <v>14287</v>
      </c>
      <c r="R2425" s="364" t="s">
        <v>106</v>
      </c>
      <c r="S2425" s="340">
        <v>5</v>
      </c>
    </row>
    <row r="2426" spans="1:19" ht="62" x14ac:dyDescent="0.35">
      <c r="A2426" s="349">
        <v>2415</v>
      </c>
      <c r="B2426" s="364" t="s">
        <v>12511</v>
      </c>
      <c r="C2426" s="364" t="s">
        <v>12512</v>
      </c>
      <c r="D2426" s="366" t="s">
        <v>51</v>
      </c>
      <c r="E2426" s="366" t="s">
        <v>10082</v>
      </c>
      <c r="F2426" s="366" t="s">
        <v>10078</v>
      </c>
      <c r="G2426" s="366" t="s">
        <v>10088</v>
      </c>
      <c r="H2426" s="366" t="s">
        <v>11551</v>
      </c>
      <c r="I2426" s="364" t="s">
        <v>14288</v>
      </c>
      <c r="J2426" s="367">
        <v>42227</v>
      </c>
      <c r="K2426" s="364" t="s">
        <v>14289</v>
      </c>
      <c r="L2426" s="364"/>
      <c r="M2426" s="364" t="s">
        <v>10084</v>
      </c>
      <c r="N2426" s="364"/>
      <c r="O2426" s="364" t="s">
        <v>57</v>
      </c>
      <c r="P2426" s="373">
        <v>200100000</v>
      </c>
      <c r="Q2426" s="364" t="s">
        <v>14290</v>
      </c>
      <c r="R2426" s="364" t="s">
        <v>106</v>
      </c>
      <c r="S2426" s="340">
        <v>5</v>
      </c>
    </row>
    <row r="2427" spans="1:19" ht="47" thickBot="1" x14ac:dyDescent="0.4">
      <c r="A2427" s="357">
        <v>2416</v>
      </c>
      <c r="B2427" s="364" t="s">
        <v>12511</v>
      </c>
      <c r="C2427" s="364" t="s">
        <v>12512</v>
      </c>
      <c r="D2427" s="366" t="s">
        <v>59</v>
      </c>
      <c r="E2427" s="366" t="s">
        <v>10082</v>
      </c>
      <c r="F2427" s="366" t="s">
        <v>10078</v>
      </c>
      <c r="G2427" s="366" t="s">
        <v>10088</v>
      </c>
      <c r="H2427" s="366" t="s">
        <v>12900</v>
      </c>
      <c r="I2427" s="364" t="s">
        <v>14291</v>
      </c>
      <c r="J2427" s="367">
        <v>42208</v>
      </c>
      <c r="K2427" s="364" t="s">
        <v>14292</v>
      </c>
      <c r="L2427" s="364"/>
      <c r="M2427" s="364" t="s">
        <v>10084</v>
      </c>
      <c r="N2427" s="364"/>
      <c r="O2427" s="364" t="s">
        <v>57</v>
      </c>
      <c r="P2427" s="373">
        <v>522080000</v>
      </c>
      <c r="Q2427" s="364" t="s">
        <v>14293</v>
      </c>
      <c r="R2427" s="364" t="s">
        <v>106</v>
      </c>
      <c r="S2427" s="340">
        <v>5</v>
      </c>
    </row>
    <row r="2428" spans="1:19" ht="31" x14ac:dyDescent="0.35">
      <c r="A2428" s="349">
        <v>2417</v>
      </c>
      <c r="B2428" s="364" t="s">
        <v>14294</v>
      </c>
      <c r="C2428" s="364" t="s">
        <v>14295</v>
      </c>
      <c r="D2428" s="366" t="s">
        <v>51</v>
      </c>
      <c r="E2428" s="366" t="s">
        <v>10673</v>
      </c>
      <c r="F2428" s="366" t="s">
        <v>10078</v>
      </c>
      <c r="G2428" s="366" t="s">
        <v>10088</v>
      </c>
      <c r="H2428" s="366" t="s">
        <v>2972</v>
      </c>
      <c r="I2428" s="364" t="s">
        <v>11934</v>
      </c>
      <c r="J2428" s="367">
        <v>39813</v>
      </c>
      <c r="K2428" s="364" t="s">
        <v>2972</v>
      </c>
      <c r="L2428" s="364"/>
      <c r="M2428" s="364" t="s">
        <v>10084</v>
      </c>
      <c r="N2428" s="364"/>
      <c r="O2428" s="364" t="s">
        <v>57</v>
      </c>
      <c r="P2428" s="373">
        <v>85144000</v>
      </c>
      <c r="Q2428" s="364" t="s">
        <v>14296</v>
      </c>
      <c r="R2428" s="364" t="s">
        <v>106</v>
      </c>
      <c r="S2428" s="340">
        <v>5</v>
      </c>
    </row>
    <row r="2429" spans="1:19" ht="31.5" thickBot="1" x14ac:dyDescent="0.4">
      <c r="A2429" s="357">
        <v>2418</v>
      </c>
      <c r="B2429" s="364" t="s">
        <v>10096</v>
      </c>
      <c r="C2429" s="364" t="s">
        <v>10097</v>
      </c>
      <c r="D2429" s="366" t="s">
        <v>51</v>
      </c>
      <c r="E2429" s="366" t="s">
        <v>10673</v>
      </c>
      <c r="F2429" s="366" t="s">
        <v>10078</v>
      </c>
      <c r="G2429" s="366" t="s">
        <v>10088</v>
      </c>
      <c r="H2429" s="366" t="s">
        <v>2972</v>
      </c>
      <c r="I2429" s="364" t="s">
        <v>14297</v>
      </c>
      <c r="J2429" s="367">
        <v>41934</v>
      </c>
      <c r="K2429" s="364" t="s">
        <v>14298</v>
      </c>
      <c r="L2429" s="364"/>
      <c r="M2429" s="364" t="s">
        <v>10084</v>
      </c>
      <c r="N2429" s="364"/>
      <c r="O2429" s="364" t="s">
        <v>57</v>
      </c>
      <c r="P2429" s="373">
        <v>99350000</v>
      </c>
      <c r="Q2429" s="364" t="s">
        <v>14299</v>
      </c>
      <c r="R2429" s="364" t="s">
        <v>106</v>
      </c>
      <c r="S2429" s="340">
        <v>5</v>
      </c>
    </row>
    <row r="2430" spans="1:19" ht="31" x14ac:dyDescent="0.35">
      <c r="A2430" s="349">
        <v>2419</v>
      </c>
      <c r="B2430" s="364" t="s">
        <v>10096</v>
      </c>
      <c r="C2430" s="364" t="s">
        <v>10097</v>
      </c>
      <c r="D2430" s="366" t="s">
        <v>59</v>
      </c>
      <c r="E2430" s="366" t="s">
        <v>10082</v>
      </c>
      <c r="F2430" s="366" t="s">
        <v>10078</v>
      </c>
      <c r="G2430" s="366" t="s">
        <v>10088</v>
      </c>
      <c r="H2430" s="366" t="s">
        <v>14300</v>
      </c>
      <c r="I2430" s="364" t="s">
        <v>14301</v>
      </c>
      <c r="J2430" s="367">
        <v>41886</v>
      </c>
      <c r="K2430" s="364" t="s">
        <v>14302</v>
      </c>
      <c r="L2430" s="364"/>
      <c r="M2430" s="364" t="s">
        <v>10084</v>
      </c>
      <c r="N2430" s="364"/>
      <c r="O2430" s="364" t="s">
        <v>57</v>
      </c>
      <c r="P2430" s="373">
        <v>149000000</v>
      </c>
      <c r="Q2430" s="364" t="s">
        <v>14303</v>
      </c>
      <c r="R2430" s="364" t="s">
        <v>106</v>
      </c>
      <c r="S2430" s="340">
        <v>5</v>
      </c>
    </row>
    <row r="2431" spans="1:19" ht="93.5" thickBot="1" x14ac:dyDescent="0.4">
      <c r="A2431" s="357">
        <v>2420</v>
      </c>
      <c r="B2431" s="364" t="s">
        <v>10096</v>
      </c>
      <c r="C2431" s="364" t="s">
        <v>10097</v>
      </c>
      <c r="D2431" s="366" t="s">
        <v>97</v>
      </c>
      <c r="E2431" s="366" t="s">
        <v>10082</v>
      </c>
      <c r="F2431" s="366" t="s">
        <v>10078</v>
      </c>
      <c r="G2431" s="366" t="s">
        <v>10088</v>
      </c>
      <c r="H2431" s="366" t="s">
        <v>13826</v>
      </c>
      <c r="I2431" s="364" t="s">
        <v>14304</v>
      </c>
      <c r="J2431" s="367">
        <v>42172</v>
      </c>
      <c r="K2431" s="364" t="s">
        <v>14305</v>
      </c>
      <c r="L2431" s="364"/>
      <c r="M2431" s="364" t="s">
        <v>10084</v>
      </c>
      <c r="N2431" s="364"/>
      <c r="O2431" s="364" t="s">
        <v>57</v>
      </c>
      <c r="P2431" s="373">
        <v>199350000</v>
      </c>
      <c r="Q2431" s="364" t="s">
        <v>14306</v>
      </c>
      <c r="R2431" s="364" t="s">
        <v>106</v>
      </c>
      <c r="S2431" s="340">
        <v>5</v>
      </c>
    </row>
    <row r="2432" spans="1:19" ht="31" x14ac:dyDescent="0.35">
      <c r="A2432" s="349">
        <v>2421</v>
      </c>
      <c r="B2432" s="364" t="s">
        <v>10096</v>
      </c>
      <c r="C2432" s="364" t="s">
        <v>10097</v>
      </c>
      <c r="D2432" s="366" t="s">
        <v>101</v>
      </c>
      <c r="E2432" s="366" t="s">
        <v>10082</v>
      </c>
      <c r="F2432" s="366" t="s">
        <v>10078</v>
      </c>
      <c r="G2432" s="366" t="s">
        <v>10088</v>
      </c>
      <c r="H2432" s="366" t="s">
        <v>14307</v>
      </c>
      <c r="I2432" s="364" t="s">
        <v>11329</v>
      </c>
      <c r="J2432" s="367">
        <v>41393</v>
      </c>
      <c r="K2432" s="364" t="s">
        <v>14308</v>
      </c>
      <c r="L2432" s="364"/>
      <c r="M2432" s="364" t="s">
        <v>10084</v>
      </c>
      <c r="N2432" s="364"/>
      <c r="O2432" s="364" t="s">
        <v>57</v>
      </c>
      <c r="P2432" s="373">
        <v>149650000</v>
      </c>
      <c r="Q2432" s="364" t="s">
        <v>14309</v>
      </c>
      <c r="R2432" s="364" t="s">
        <v>106</v>
      </c>
      <c r="S2432" s="340">
        <v>5</v>
      </c>
    </row>
    <row r="2433" spans="1:19" ht="47" thickBot="1" x14ac:dyDescent="0.4">
      <c r="A2433" s="357">
        <v>2422</v>
      </c>
      <c r="B2433" s="364" t="s">
        <v>10096</v>
      </c>
      <c r="C2433" s="364" t="s">
        <v>10097</v>
      </c>
      <c r="D2433" s="366" t="s">
        <v>107</v>
      </c>
      <c r="E2433" s="366" t="s">
        <v>10082</v>
      </c>
      <c r="F2433" s="366" t="s">
        <v>10078</v>
      </c>
      <c r="G2433" s="366" t="s">
        <v>10078</v>
      </c>
      <c r="H2433" s="366" t="s">
        <v>14310</v>
      </c>
      <c r="I2433" s="364" t="s">
        <v>14311</v>
      </c>
      <c r="J2433" s="367">
        <v>43682</v>
      </c>
      <c r="K2433" s="364" t="s">
        <v>14312</v>
      </c>
      <c r="L2433" s="364"/>
      <c r="M2433" s="364" t="s">
        <v>10084</v>
      </c>
      <c r="N2433" s="364"/>
      <c r="O2433" s="364" t="s">
        <v>57</v>
      </c>
      <c r="P2433" s="373">
        <v>199650000</v>
      </c>
      <c r="Q2433" s="364" t="s">
        <v>14313</v>
      </c>
      <c r="R2433" s="364" t="s">
        <v>106</v>
      </c>
      <c r="S2433" s="340">
        <v>5</v>
      </c>
    </row>
    <row r="2434" spans="1:19" ht="31" x14ac:dyDescent="0.35">
      <c r="A2434" s="349">
        <v>2423</v>
      </c>
      <c r="B2434" s="364" t="s">
        <v>10096</v>
      </c>
      <c r="C2434" s="364" t="s">
        <v>10097</v>
      </c>
      <c r="D2434" s="366" t="s">
        <v>161</v>
      </c>
      <c r="E2434" s="366" t="s">
        <v>10082</v>
      </c>
      <c r="F2434" s="366" t="s">
        <v>10078</v>
      </c>
      <c r="G2434" s="366" t="s">
        <v>10088</v>
      </c>
      <c r="H2434" s="366"/>
      <c r="I2434" s="364" t="s">
        <v>14314</v>
      </c>
      <c r="J2434" s="367">
        <v>44797</v>
      </c>
      <c r="K2434" s="364" t="s">
        <v>14315</v>
      </c>
      <c r="L2434" s="364"/>
      <c r="M2434" s="364"/>
      <c r="N2434" s="364"/>
      <c r="O2434" s="364" t="s">
        <v>44</v>
      </c>
      <c r="P2434" s="373">
        <v>298100000</v>
      </c>
      <c r="Q2434" s="364" t="s">
        <v>14316</v>
      </c>
      <c r="R2434" s="364" t="s">
        <v>106</v>
      </c>
      <c r="S2434" s="340">
        <v>5</v>
      </c>
    </row>
    <row r="2435" spans="1:19" ht="62.5" thickBot="1" x14ac:dyDescent="0.4">
      <c r="A2435" s="357">
        <v>2424</v>
      </c>
      <c r="B2435" s="364" t="s">
        <v>11119</v>
      </c>
      <c r="C2435" s="364" t="s">
        <v>11120</v>
      </c>
      <c r="D2435" s="366" t="s">
        <v>51</v>
      </c>
      <c r="E2435" s="366" t="s">
        <v>10082</v>
      </c>
      <c r="F2435" s="366" t="s">
        <v>10071</v>
      </c>
      <c r="G2435" s="366" t="s">
        <v>10088</v>
      </c>
      <c r="H2435" s="366" t="s">
        <v>11801</v>
      </c>
      <c r="I2435" s="364" t="s">
        <v>14317</v>
      </c>
      <c r="J2435" s="367">
        <v>42178</v>
      </c>
      <c r="K2435" s="364" t="s">
        <v>14318</v>
      </c>
      <c r="L2435" s="364"/>
      <c r="M2435" s="364" t="s">
        <v>10084</v>
      </c>
      <c r="N2435" s="364"/>
      <c r="O2435" s="364" t="s">
        <v>57</v>
      </c>
      <c r="P2435" s="373">
        <v>72800000</v>
      </c>
      <c r="Q2435" s="364" t="s">
        <v>14319</v>
      </c>
      <c r="R2435" s="364" t="s">
        <v>106</v>
      </c>
      <c r="S2435" s="340">
        <v>5</v>
      </c>
    </row>
    <row r="2436" spans="1:19" ht="46.5" x14ac:dyDescent="0.35">
      <c r="A2436" s="349">
        <v>2425</v>
      </c>
      <c r="B2436" s="364" t="s">
        <v>11119</v>
      </c>
      <c r="C2436" s="364" t="s">
        <v>11120</v>
      </c>
      <c r="D2436" s="366" t="s">
        <v>59</v>
      </c>
      <c r="E2436" s="366" t="s">
        <v>10082</v>
      </c>
      <c r="F2436" s="366" t="s">
        <v>10078</v>
      </c>
      <c r="G2436" s="366" t="s">
        <v>10088</v>
      </c>
      <c r="H2436" s="366" t="s">
        <v>14320</v>
      </c>
      <c r="I2436" s="364" t="s">
        <v>14321</v>
      </c>
      <c r="J2436" s="367">
        <v>42178</v>
      </c>
      <c r="K2436" s="364" t="s">
        <v>14322</v>
      </c>
      <c r="L2436" s="364"/>
      <c r="M2436" s="364" t="s">
        <v>10084</v>
      </c>
      <c r="N2436" s="364"/>
      <c r="O2436" s="364" t="s">
        <v>57</v>
      </c>
      <c r="P2436" s="373">
        <v>99800000</v>
      </c>
      <c r="Q2436" s="364" t="s">
        <v>14323</v>
      </c>
      <c r="R2436" s="364" t="s">
        <v>106</v>
      </c>
      <c r="S2436" s="340">
        <v>5</v>
      </c>
    </row>
    <row r="2437" spans="1:19" ht="47" thickBot="1" x14ac:dyDescent="0.4">
      <c r="A2437" s="357">
        <v>2426</v>
      </c>
      <c r="B2437" s="364" t="s">
        <v>11119</v>
      </c>
      <c r="C2437" s="364" t="s">
        <v>11120</v>
      </c>
      <c r="D2437" s="366" t="s">
        <v>97</v>
      </c>
      <c r="E2437" s="366" t="s">
        <v>10082</v>
      </c>
      <c r="F2437" s="366" t="s">
        <v>10078</v>
      </c>
      <c r="G2437" s="366" t="s">
        <v>10088</v>
      </c>
      <c r="H2437" s="366" t="s">
        <v>11332</v>
      </c>
      <c r="I2437" s="364" t="s">
        <v>14324</v>
      </c>
      <c r="J2437" s="367">
        <v>42178</v>
      </c>
      <c r="K2437" s="364" t="s">
        <v>14325</v>
      </c>
      <c r="L2437" s="364"/>
      <c r="M2437" s="364" t="s">
        <v>10084</v>
      </c>
      <c r="N2437" s="364"/>
      <c r="O2437" s="364" t="s">
        <v>57</v>
      </c>
      <c r="P2437" s="373">
        <v>99800000</v>
      </c>
      <c r="Q2437" s="364" t="s">
        <v>14326</v>
      </c>
      <c r="R2437" s="364" t="s">
        <v>106</v>
      </c>
      <c r="S2437" s="340">
        <v>5</v>
      </c>
    </row>
    <row r="2438" spans="1:19" ht="93" x14ac:dyDescent="0.35">
      <c r="A2438" s="349">
        <v>2427</v>
      </c>
      <c r="B2438" s="364" t="s">
        <v>11119</v>
      </c>
      <c r="C2438" s="364" t="s">
        <v>11120</v>
      </c>
      <c r="D2438" s="366" t="s">
        <v>101</v>
      </c>
      <c r="E2438" s="366" t="s">
        <v>10082</v>
      </c>
      <c r="F2438" s="366" t="s">
        <v>10078</v>
      </c>
      <c r="G2438" s="366" t="s">
        <v>10088</v>
      </c>
      <c r="H2438" s="366" t="s">
        <v>11451</v>
      </c>
      <c r="I2438" s="364" t="s">
        <v>14327</v>
      </c>
      <c r="J2438" s="367">
        <v>42208</v>
      </c>
      <c r="K2438" s="364" t="s">
        <v>14328</v>
      </c>
      <c r="L2438" s="364"/>
      <c r="M2438" s="364" t="s">
        <v>10084</v>
      </c>
      <c r="N2438" s="364"/>
      <c r="O2438" s="364" t="s">
        <v>57</v>
      </c>
      <c r="P2438" s="373">
        <v>149800000</v>
      </c>
      <c r="Q2438" s="364" t="s">
        <v>14329</v>
      </c>
      <c r="R2438" s="364" t="s">
        <v>106</v>
      </c>
      <c r="S2438" s="340">
        <v>5</v>
      </c>
    </row>
    <row r="2439" spans="1:19" ht="31.5" thickBot="1" x14ac:dyDescent="0.4">
      <c r="A2439" s="357">
        <v>2428</v>
      </c>
      <c r="B2439" s="364" t="s">
        <v>11119</v>
      </c>
      <c r="C2439" s="364" t="s">
        <v>11120</v>
      </c>
      <c r="D2439" s="366" t="s">
        <v>107</v>
      </c>
      <c r="E2439" s="366" t="s">
        <v>10673</v>
      </c>
      <c r="F2439" s="366" t="s">
        <v>10078</v>
      </c>
      <c r="G2439" s="366" t="s">
        <v>10088</v>
      </c>
      <c r="H2439" s="366" t="s">
        <v>14330</v>
      </c>
      <c r="I2439" s="364" t="s">
        <v>14331</v>
      </c>
      <c r="J2439" s="367">
        <v>40091</v>
      </c>
      <c r="K2439" s="364" t="s">
        <v>14332</v>
      </c>
      <c r="L2439" s="364"/>
      <c r="M2439" s="364" t="s">
        <v>10084</v>
      </c>
      <c r="N2439" s="364"/>
      <c r="O2439" s="364" t="s">
        <v>57</v>
      </c>
      <c r="P2439" s="373">
        <v>498800000</v>
      </c>
      <c r="Q2439" s="364" t="s">
        <v>14333</v>
      </c>
      <c r="R2439" s="364" t="s">
        <v>106</v>
      </c>
      <c r="S2439" s="340">
        <v>5</v>
      </c>
    </row>
    <row r="2440" spans="1:19" ht="31" x14ac:dyDescent="0.35">
      <c r="A2440" s="349">
        <v>2429</v>
      </c>
      <c r="B2440" s="364" t="s">
        <v>11119</v>
      </c>
      <c r="C2440" s="364" t="s">
        <v>11120</v>
      </c>
      <c r="D2440" s="366" t="s">
        <v>112</v>
      </c>
      <c r="E2440" s="366" t="s">
        <v>10673</v>
      </c>
      <c r="F2440" s="366" t="s">
        <v>10078</v>
      </c>
      <c r="G2440" s="366" t="s">
        <v>10088</v>
      </c>
      <c r="H2440" s="366" t="s">
        <v>13257</v>
      </c>
      <c r="I2440" s="364" t="s">
        <v>14331</v>
      </c>
      <c r="J2440" s="367">
        <v>40799</v>
      </c>
      <c r="K2440" s="364" t="s">
        <v>14334</v>
      </c>
      <c r="L2440" s="364"/>
      <c r="M2440" s="364" t="s">
        <v>10084</v>
      </c>
      <c r="N2440" s="364"/>
      <c r="O2440" s="364" t="s">
        <v>57</v>
      </c>
      <c r="P2440" s="373">
        <v>564910000</v>
      </c>
      <c r="Q2440" s="364" t="s">
        <v>14335</v>
      </c>
      <c r="R2440" s="364" t="s">
        <v>106</v>
      </c>
      <c r="S2440" s="340">
        <v>5</v>
      </c>
    </row>
    <row r="2441" spans="1:19" ht="31.5" thickBot="1" x14ac:dyDescent="0.4">
      <c r="A2441" s="357">
        <v>2430</v>
      </c>
      <c r="B2441" s="364" t="s">
        <v>11119</v>
      </c>
      <c r="C2441" s="364" t="s">
        <v>11120</v>
      </c>
      <c r="D2441" s="366" t="s">
        <v>116</v>
      </c>
      <c r="E2441" s="366" t="s">
        <v>10673</v>
      </c>
      <c r="F2441" s="366" t="s">
        <v>10078</v>
      </c>
      <c r="G2441" s="366" t="s">
        <v>10088</v>
      </c>
      <c r="H2441" s="366" t="s">
        <v>14336</v>
      </c>
      <c r="I2441" s="364" t="s">
        <v>14337</v>
      </c>
      <c r="J2441" s="367">
        <v>41149</v>
      </c>
      <c r="K2441" s="364" t="s">
        <v>14338</v>
      </c>
      <c r="L2441" s="364"/>
      <c r="M2441" s="364" t="s">
        <v>10084</v>
      </c>
      <c r="N2441" s="364"/>
      <c r="O2441" s="364" t="s">
        <v>57</v>
      </c>
      <c r="P2441" s="373">
        <v>129630000</v>
      </c>
      <c r="Q2441" s="364" t="s">
        <v>14339</v>
      </c>
      <c r="R2441" s="364" t="s">
        <v>106</v>
      </c>
      <c r="S2441" s="340">
        <v>5</v>
      </c>
    </row>
    <row r="2442" spans="1:19" ht="31" x14ac:dyDescent="0.35">
      <c r="A2442" s="349">
        <v>2431</v>
      </c>
      <c r="B2442" s="364" t="s">
        <v>11119</v>
      </c>
      <c r="C2442" s="364" t="s">
        <v>11120</v>
      </c>
      <c r="D2442" s="366" t="s">
        <v>841</v>
      </c>
      <c r="E2442" s="366" t="s">
        <v>10673</v>
      </c>
      <c r="F2442" s="366" t="s">
        <v>10078</v>
      </c>
      <c r="G2442" s="366" t="s">
        <v>10088</v>
      </c>
      <c r="H2442" s="366" t="s">
        <v>11413</v>
      </c>
      <c r="I2442" s="364" t="s">
        <v>14340</v>
      </c>
      <c r="J2442" s="367">
        <v>41472</v>
      </c>
      <c r="K2442" s="364" t="s">
        <v>14341</v>
      </c>
      <c r="L2442" s="364"/>
      <c r="M2442" s="364" t="s">
        <v>10084</v>
      </c>
      <c r="N2442" s="364"/>
      <c r="O2442" s="364" t="s">
        <v>57</v>
      </c>
      <c r="P2442" s="373">
        <v>99350000</v>
      </c>
      <c r="Q2442" s="364" t="s">
        <v>14342</v>
      </c>
      <c r="R2442" s="364" t="s">
        <v>106</v>
      </c>
      <c r="S2442" s="340">
        <v>5</v>
      </c>
    </row>
    <row r="2443" spans="1:19" ht="31.5" thickBot="1" x14ac:dyDescent="0.4">
      <c r="A2443" s="357">
        <v>2432</v>
      </c>
      <c r="B2443" s="364" t="s">
        <v>11119</v>
      </c>
      <c r="C2443" s="364" t="s">
        <v>11120</v>
      </c>
      <c r="D2443" s="366" t="s">
        <v>904</v>
      </c>
      <c r="E2443" s="366" t="s">
        <v>10673</v>
      </c>
      <c r="F2443" s="366" t="s">
        <v>10078</v>
      </c>
      <c r="G2443" s="366" t="s">
        <v>10088</v>
      </c>
      <c r="H2443" s="366" t="s">
        <v>2972</v>
      </c>
      <c r="I2443" s="364" t="s">
        <v>12785</v>
      </c>
      <c r="J2443" s="367">
        <v>42136</v>
      </c>
      <c r="K2443" s="364" t="s">
        <v>14343</v>
      </c>
      <c r="L2443" s="364"/>
      <c r="M2443" s="364" t="s">
        <v>10084</v>
      </c>
      <c r="N2443" s="364"/>
      <c r="O2443" s="364" t="s">
        <v>57</v>
      </c>
      <c r="P2443" s="373">
        <v>19794500</v>
      </c>
      <c r="Q2443" s="364" t="s">
        <v>14344</v>
      </c>
      <c r="R2443" s="364" t="s">
        <v>106</v>
      </c>
      <c r="S2443" s="340">
        <v>5</v>
      </c>
    </row>
    <row r="2444" spans="1:19" ht="31" x14ac:dyDescent="0.35">
      <c r="A2444" s="349">
        <v>2433</v>
      </c>
      <c r="B2444" s="364" t="s">
        <v>10155</v>
      </c>
      <c r="C2444" s="364" t="s">
        <v>10156</v>
      </c>
      <c r="D2444" s="366" t="s">
        <v>51</v>
      </c>
      <c r="E2444" s="366" t="s">
        <v>10082</v>
      </c>
      <c r="F2444" s="366" t="s">
        <v>10078</v>
      </c>
      <c r="G2444" s="366" t="s">
        <v>10088</v>
      </c>
      <c r="H2444" s="366" t="s">
        <v>14345</v>
      </c>
      <c r="I2444" s="364" t="s">
        <v>14346</v>
      </c>
      <c r="J2444" s="367">
        <v>40376</v>
      </c>
      <c r="K2444" s="364" t="s">
        <v>14347</v>
      </c>
      <c r="L2444" s="364"/>
      <c r="M2444" s="364" t="s">
        <v>10084</v>
      </c>
      <c r="N2444" s="364"/>
      <c r="O2444" s="364" t="s">
        <v>57</v>
      </c>
      <c r="P2444" s="373">
        <v>3757698600</v>
      </c>
      <c r="Q2444" s="364" t="s">
        <v>14348</v>
      </c>
      <c r="R2444" s="364" t="s">
        <v>9681</v>
      </c>
      <c r="S2444" s="340">
        <v>6</v>
      </c>
    </row>
    <row r="2445" spans="1:19" ht="47" thickBot="1" x14ac:dyDescent="0.4">
      <c r="A2445" s="357">
        <v>2434</v>
      </c>
      <c r="B2445" s="364" t="s">
        <v>10535</v>
      </c>
      <c r="C2445" s="364" t="s">
        <v>10536</v>
      </c>
      <c r="D2445" s="366" t="s">
        <v>51</v>
      </c>
      <c r="E2445" s="366" t="s">
        <v>10082</v>
      </c>
      <c r="F2445" s="366" t="s">
        <v>10078</v>
      </c>
      <c r="G2445" s="366" t="s">
        <v>10088</v>
      </c>
      <c r="H2445" s="366" t="s">
        <v>2972</v>
      </c>
      <c r="I2445" s="364" t="s">
        <v>14349</v>
      </c>
      <c r="J2445" s="367">
        <v>43392</v>
      </c>
      <c r="K2445" s="364" t="s">
        <v>14350</v>
      </c>
      <c r="L2445" s="364"/>
      <c r="M2445" s="364" t="s">
        <v>10084</v>
      </c>
      <c r="N2445" s="364"/>
      <c r="O2445" s="364" t="s">
        <v>57</v>
      </c>
      <c r="P2445" s="373">
        <v>34750000</v>
      </c>
      <c r="Q2445" s="364" t="s">
        <v>14351</v>
      </c>
      <c r="R2445" s="364" t="s">
        <v>9681</v>
      </c>
      <c r="S2445" s="340">
        <v>6</v>
      </c>
    </row>
    <row r="2446" spans="1:19" ht="31" x14ac:dyDescent="0.35">
      <c r="A2446" s="349">
        <v>2435</v>
      </c>
      <c r="B2446" s="364" t="s">
        <v>10541</v>
      </c>
      <c r="C2446" s="364" t="s">
        <v>10542</v>
      </c>
      <c r="D2446" s="366" t="s">
        <v>51</v>
      </c>
      <c r="E2446" s="366" t="s">
        <v>10082</v>
      </c>
      <c r="F2446" s="366" t="s">
        <v>10078</v>
      </c>
      <c r="G2446" s="366" t="s">
        <v>10088</v>
      </c>
      <c r="H2446" s="366" t="s">
        <v>11407</v>
      </c>
      <c r="I2446" s="364" t="s">
        <v>14349</v>
      </c>
      <c r="J2446" s="367">
        <v>41905</v>
      </c>
      <c r="K2446" s="364" t="s">
        <v>14352</v>
      </c>
      <c r="L2446" s="364"/>
      <c r="M2446" s="364" t="s">
        <v>10084</v>
      </c>
      <c r="N2446" s="364"/>
      <c r="O2446" s="364" t="s">
        <v>57</v>
      </c>
      <c r="P2446" s="373">
        <v>479576994</v>
      </c>
      <c r="Q2446" s="364" t="s">
        <v>14353</v>
      </c>
      <c r="R2446" s="364" t="s">
        <v>9681</v>
      </c>
      <c r="S2446" s="340">
        <v>6</v>
      </c>
    </row>
    <row r="2447" spans="1:19" ht="47" thickBot="1" x14ac:dyDescent="0.4">
      <c r="A2447" s="357">
        <v>2436</v>
      </c>
      <c r="B2447" s="364" t="s">
        <v>10481</v>
      </c>
      <c r="C2447" s="364" t="s">
        <v>10482</v>
      </c>
      <c r="D2447" s="366" t="s">
        <v>51</v>
      </c>
      <c r="E2447" s="366" t="s">
        <v>10082</v>
      </c>
      <c r="F2447" s="366" t="s">
        <v>10078</v>
      </c>
      <c r="G2447" s="366" t="s">
        <v>10078</v>
      </c>
      <c r="H2447" s="366" t="s">
        <v>2972</v>
      </c>
      <c r="I2447" s="364" t="s">
        <v>14354</v>
      </c>
      <c r="J2447" s="367">
        <v>43713</v>
      </c>
      <c r="K2447" s="364" t="s">
        <v>14355</v>
      </c>
      <c r="L2447" s="364"/>
      <c r="M2447" s="364" t="s">
        <v>10084</v>
      </c>
      <c r="N2447" s="364"/>
      <c r="O2447" s="364" t="s">
        <v>57</v>
      </c>
      <c r="P2447" s="373">
        <v>643250580</v>
      </c>
      <c r="Q2447" s="364" t="s">
        <v>14356</v>
      </c>
      <c r="R2447" s="364" t="s">
        <v>9681</v>
      </c>
      <c r="S2447" s="340">
        <v>6</v>
      </c>
    </row>
    <row r="2448" spans="1:19" ht="31" x14ac:dyDescent="0.35">
      <c r="A2448" s="349">
        <v>2437</v>
      </c>
      <c r="B2448" s="364" t="s">
        <v>10660</v>
      </c>
      <c r="C2448" s="364" t="s">
        <v>10661</v>
      </c>
      <c r="D2448" s="366" t="s">
        <v>51</v>
      </c>
      <c r="E2448" s="366" t="s">
        <v>10082</v>
      </c>
      <c r="F2448" s="366" t="s">
        <v>10078</v>
      </c>
      <c r="G2448" s="366" t="s">
        <v>10088</v>
      </c>
      <c r="H2448" s="366" t="s">
        <v>11451</v>
      </c>
      <c r="I2448" s="364" t="s">
        <v>14349</v>
      </c>
      <c r="J2448" s="367">
        <v>42636</v>
      </c>
      <c r="K2448" s="364" t="s">
        <v>14357</v>
      </c>
      <c r="L2448" s="364"/>
      <c r="M2448" s="364" t="s">
        <v>10084</v>
      </c>
      <c r="N2448" s="364"/>
      <c r="O2448" s="364" t="s">
        <v>57</v>
      </c>
      <c r="P2448" s="373">
        <v>109400000</v>
      </c>
      <c r="Q2448" s="364" t="s">
        <v>14358</v>
      </c>
      <c r="R2448" s="364" t="s">
        <v>9681</v>
      </c>
      <c r="S2448" s="340">
        <v>6</v>
      </c>
    </row>
    <row r="2449" spans="1:19" ht="47" thickBot="1" x14ac:dyDescent="0.4">
      <c r="A2449" s="357">
        <v>2438</v>
      </c>
      <c r="B2449" s="364" t="s">
        <v>10660</v>
      </c>
      <c r="C2449" s="364" t="s">
        <v>10661</v>
      </c>
      <c r="D2449" s="366" t="s">
        <v>59</v>
      </c>
      <c r="E2449" s="366" t="s">
        <v>10082</v>
      </c>
      <c r="F2449" s="366" t="s">
        <v>10071</v>
      </c>
      <c r="G2449" s="366" t="s">
        <v>10088</v>
      </c>
      <c r="H2449" s="366" t="s">
        <v>2972</v>
      </c>
      <c r="I2449" s="364" t="s">
        <v>14349</v>
      </c>
      <c r="J2449" s="367"/>
      <c r="K2449" s="364"/>
      <c r="L2449" s="364"/>
      <c r="M2449" s="364" t="s">
        <v>10084</v>
      </c>
      <c r="N2449" s="364"/>
      <c r="O2449" s="364" t="s">
        <v>57</v>
      </c>
      <c r="P2449" s="373">
        <v>198425000</v>
      </c>
      <c r="Q2449" s="364" t="s">
        <v>14359</v>
      </c>
      <c r="R2449" s="364" t="s">
        <v>9681</v>
      </c>
      <c r="S2449" s="340">
        <v>6</v>
      </c>
    </row>
    <row r="2450" spans="1:19" ht="46.5" x14ac:dyDescent="0.35">
      <c r="A2450" s="349">
        <v>2439</v>
      </c>
      <c r="B2450" s="364" t="s">
        <v>10832</v>
      </c>
      <c r="C2450" s="364" t="s">
        <v>10833</v>
      </c>
      <c r="D2450" s="366" t="s">
        <v>51</v>
      </c>
      <c r="E2450" s="366" t="s">
        <v>10082</v>
      </c>
      <c r="F2450" s="366" t="s">
        <v>10078</v>
      </c>
      <c r="G2450" s="366" t="s">
        <v>10078</v>
      </c>
      <c r="H2450" s="366"/>
      <c r="I2450" s="364" t="s">
        <v>14360</v>
      </c>
      <c r="J2450" s="367">
        <v>44865</v>
      </c>
      <c r="K2450" s="364" t="s">
        <v>14361</v>
      </c>
      <c r="L2450" s="364"/>
      <c r="M2450" s="364" t="s">
        <v>10084</v>
      </c>
      <c r="N2450" s="364"/>
      <c r="O2450" s="364" t="s">
        <v>44</v>
      </c>
      <c r="P2450" s="373">
        <v>98930000</v>
      </c>
      <c r="Q2450" s="364" t="s">
        <v>14362</v>
      </c>
      <c r="R2450" s="364" t="s">
        <v>9681</v>
      </c>
      <c r="S2450" s="340">
        <v>6</v>
      </c>
    </row>
    <row r="2451" spans="1:19" ht="31.5" thickBot="1" x14ac:dyDescent="0.4">
      <c r="A2451" s="357">
        <v>2440</v>
      </c>
      <c r="B2451" s="364" t="s">
        <v>10096</v>
      </c>
      <c r="C2451" s="364" t="s">
        <v>10097</v>
      </c>
      <c r="D2451" s="366" t="s">
        <v>51</v>
      </c>
      <c r="E2451" s="366" t="s">
        <v>10082</v>
      </c>
      <c r="F2451" s="366" t="s">
        <v>10078</v>
      </c>
      <c r="G2451" s="366" t="s">
        <v>10078</v>
      </c>
      <c r="H2451" s="366" t="s">
        <v>2972</v>
      </c>
      <c r="I2451" s="364" t="s">
        <v>14363</v>
      </c>
      <c r="J2451" s="367">
        <v>43754</v>
      </c>
      <c r="K2451" s="364" t="s">
        <v>14364</v>
      </c>
      <c r="L2451" s="364"/>
      <c r="M2451" s="364" t="s">
        <v>10084</v>
      </c>
      <c r="N2451" s="364"/>
      <c r="O2451" s="364" t="s">
        <v>57</v>
      </c>
      <c r="P2451" s="373">
        <v>299650000</v>
      </c>
      <c r="Q2451" s="364" t="s">
        <v>14365</v>
      </c>
      <c r="R2451" s="364" t="s">
        <v>9681</v>
      </c>
      <c r="S2451" s="340">
        <v>6</v>
      </c>
    </row>
    <row r="2452" spans="1:19" ht="62" x14ac:dyDescent="0.35">
      <c r="A2452" s="349">
        <v>2441</v>
      </c>
      <c r="B2452" s="364" t="s">
        <v>10155</v>
      </c>
      <c r="C2452" s="364" t="s">
        <v>10156</v>
      </c>
      <c r="D2452" s="366" t="s">
        <v>51</v>
      </c>
      <c r="E2452" s="366" t="s">
        <v>10082</v>
      </c>
      <c r="F2452" s="366" t="s">
        <v>10078</v>
      </c>
      <c r="G2452" s="366" t="s">
        <v>10088</v>
      </c>
      <c r="H2452" s="366" t="s">
        <v>14366</v>
      </c>
      <c r="I2452" s="364" t="s">
        <v>14367</v>
      </c>
      <c r="J2452" s="367">
        <v>40959</v>
      </c>
      <c r="K2452" s="364" t="s">
        <v>14368</v>
      </c>
      <c r="L2452" s="364"/>
      <c r="M2452" s="364" t="s">
        <v>10084</v>
      </c>
      <c r="N2452" s="364"/>
      <c r="O2452" s="364" t="s">
        <v>57</v>
      </c>
      <c r="P2452" s="373">
        <v>3355153250</v>
      </c>
      <c r="Q2452" s="364" t="s">
        <v>14369</v>
      </c>
      <c r="R2452" s="364" t="s">
        <v>193</v>
      </c>
      <c r="S2452" s="340">
        <v>9</v>
      </c>
    </row>
    <row r="2453" spans="1:19" ht="31.5" thickBot="1" x14ac:dyDescent="0.4">
      <c r="A2453" s="357">
        <v>2442</v>
      </c>
      <c r="B2453" s="364" t="s">
        <v>10535</v>
      </c>
      <c r="C2453" s="364" t="s">
        <v>10536</v>
      </c>
      <c r="D2453" s="366" t="s">
        <v>59</v>
      </c>
      <c r="E2453" s="366" t="s">
        <v>10082</v>
      </c>
      <c r="F2453" s="366" t="s">
        <v>10078</v>
      </c>
      <c r="G2453" s="366" t="s">
        <v>10078</v>
      </c>
      <c r="H2453" s="366" t="s">
        <v>12103</v>
      </c>
      <c r="I2453" s="364" t="s">
        <v>14370</v>
      </c>
      <c r="J2453" s="367">
        <v>43776</v>
      </c>
      <c r="K2453" s="364" t="s">
        <v>14371</v>
      </c>
      <c r="L2453" s="364"/>
      <c r="M2453" s="364" t="s">
        <v>10084</v>
      </c>
      <c r="N2453" s="364"/>
      <c r="O2453" s="364" t="s">
        <v>57</v>
      </c>
      <c r="P2453" s="373">
        <v>99900000</v>
      </c>
      <c r="Q2453" s="364" t="s">
        <v>14372</v>
      </c>
      <c r="R2453" s="364" t="s">
        <v>193</v>
      </c>
      <c r="S2453" s="340">
        <v>9</v>
      </c>
    </row>
    <row r="2454" spans="1:19" ht="62" x14ac:dyDescent="0.35">
      <c r="A2454" s="349">
        <v>2443</v>
      </c>
      <c r="B2454" s="364" t="s">
        <v>10541</v>
      </c>
      <c r="C2454" s="364" t="s">
        <v>10542</v>
      </c>
      <c r="D2454" s="366" t="s">
        <v>51</v>
      </c>
      <c r="E2454" s="366" t="s">
        <v>10082</v>
      </c>
      <c r="F2454" s="366" t="s">
        <v>10078</v>
      </c>
      <c r="G2454" s="366" t="s">
        <v>10088</v>
      </c>
      <c r="H2454" s="366" t="s">
        <v>13449</v>
      </c>
      <c r="I2454" s="364" t="s">
        <v>14367</v>
      </c>
      <c r="J2454" s="367">
        <v>40085</v>
      </c>
      <c r="K2454" s="364" t="s">
        <v>14373</v>
      </c>
      <c r="L2454" s="364"/>
      <c r="M2454" s="364" t="s">
        <v>10084</v>
      </c>
      <c r="N2454" s="364"/>
      <c r="O2454" s="364" t="s">
        <v>57</v>
      </c>
      <c r="P2454" s="373">
        <v>194140000</v>
      </c>
      <c r="Q2454" s="364" t="s">
        <v>14374</v>
      </c>
      <c r="R2454" s="364" t="s">
        <v>193</v>
      </c>
      <c r="S2454" s="340">
        <v>9</v>
      </c>
    </row>
    <row r="2455" spans="1:19" ht="47" thickBot="1" x14ac:dyDescent="0.4">
      <c r="A2455" s="357">
        <v>2444</v>
      </c>
      <c r="B2455" s="364" t="s">
        <v>11632</v>
      </c>
      <c r="C2455" s="364" t="s">
        <v>11633</v>
      </c>
      <c r="D2455" s="366" t="s">
        <v>51</v>
      </c>
      <c r="E2455" s="366" t="s">
        <v>10082</v>
      </c>
      <c r="F2455" s="366" t="s">
        <v>10078</v>
      </c>
      <c r="G2455" s="366" t="s">
        <v>10088</v>
      </c>
      <c r="H2455" s="366" t="s">
        <v>8949</v>
      </c>
      <c r="I2455" s="364" t="s">
        <v>14375</v>
      </c>
      <c r="J2455" s="367">
        <v>40334</v>
      </c>
      <c r="K2455" s="364" t="s">
        <v>14376</v>
      </c>
      <c r="L2455" s="364"/>
      <c r="M2455" s="364" t="s">
        <v>10084</v>
      </c>
      <c r="N2455" s="364"/>
      <c r="O2455" s="364" t="s">
        <v>57</v>
      </c>
      <c r="P2455" s="373">
        <v>144366000</v>
      </c>
      <c r="Q2455" s="364" t="s">
        <v>14377</v>
      </c>
      <c r="R2455" s="364" t="s">
        <v>193</v>
      </c>
      <c r="S2455" s="340">
        <v>9</v>
      </c>
    </row>
    <row r="2456" spans="1:19" ht="31" x14ac:dyDescent="0.35">
      <c r="A2456" s="349">
        <v>2445</v>
      </c>
      <c r="B2456" s="364" t="s">
        <v>14378</v>
      </c>
      <c r="C2456" s="364" t="s">
        <v>14379</v>
      </c>
      <c r="D2456" s="366" t="s">
        <v>51</v>
      </c>
      <c r="E2456" s="366" t="s">
        <v>10082</v>
      </c>
      <c r="F2456" s="366" t="s">
        <v>10078</v>
      </c>
      <c r="G2456" s="366" t="s">
        <v>10088</v>
      </c>
      <c r="H2456" s="366" t="s">
        <v>11315</v>
      </c>
      <c r="I2456" s="364" t="s">
        <v>14380</v>
      </c>
      <c r="J2456" s="367">
        <v>42328</v>
      </c>
      <c r="K2456" s="364" t="s">
        <v>14381</v>
      </c>
      <c r="L2456" s="364"/>
      <c r="M2456" s="364" t="s">
        <v>10084</v>
      </c>
      <c r="N2456" s="364"/>
      <c r="O2456" s="364" t="s">
        <v>57</v>
      </c>
      <c r="P2456" s="373">
        <v>25000000</v>
      </c>
      <c r="Q2456" s="364" t="s">
        <v>14382</v>
      </c>
      <c r="R2456" s="364" t="s">
        <v>193</v>
      </c>
      <c r="S2456" s="340">
        <v>9</v>
      </c>
    </row>
    <row r="2457" spans="1:19" ht="31.5" thickBot="1" x14ac:dyDescent="0.4">
      <c r="A2457" s="357">
        <v>2446</v>
      </c>
      <c r="B2457" s="364" t="s">
        <v>10765</v>
      </c>
      <c r="C2457" s="364" t="s">
        <v>10766</v>
      </c>
      <c r="D2457" s="366" t="s">
        <v>51</v>
      </c>
      <c r="E2457" s="366" t="s">
        <v>10082</v>
      </c>
      <c r="F2457" s="366" t="s">
        <v>10078</v>
      </c>
      <c r="G2457" s="366" t="s">
        <v>10078</v>
      </c>
      <c r="H2457" s="366" t="s">
        <v>14383</v>
      </c>
      <c r="I2457" s="364" t="s">
        <v>14384</v>
      </c>
      <c r="J2457" s="367">
        <v>42300</v>
      </c>
      <c r="K2457" s="364" t="s">
        <v>14385</v>
      </c>
      <c r="L2457" s="364"/>
      <c r="M2457" s="364" t="s">
        <v>10084</v>
      </c>
      <c r="N2457" s="364"/>
      <c r="O2457" s="364" t="s">
        <v>57</v>
      </c>
      <c r="P2457" s="373">
        <v>489887000</v>
      </c>
      <c r="Q2457" s="364" t="s">
        <v>14386</v>
      </c>
      <c r="R2457" s="364" t="s">
        <v>193</v>
      </c>
      <c r="S2457" s="340">
        <v>9</v>
      </c>
    </row>
    <row r="2458" spans="1:19" ht="46.5" x14ac:dyDescent="0.35">
      <c r="A2458" s="349">
        <v>2447</v>
      </c>
      <c r="B2458" s="364" t="s">
        <v>14387</v>
      </c>
      <c r="C2458" s="364" t="s">
        <v>14388</v>
      </c>
      <c r="D2458" s="366" t="s">
        <v>51</v>
      </c>
      <c r="E2458" s="366" t="s">
        <v>10082</v>
      </c>
      <c r="F2458" s="366" t="s">
        <v>10078</v>
      </c>
      <c r="G2458" s="366" t="s">
        <v>10088</v>
      </c>
      <c r="H2458" s="366" t="s">
        <v>11451</v>
      </c>
      <c r="I2458" s="364" t="s">
        <v>14389</v>
      </c>
      <c r="J2458" s="367">
        <v>40466</v>
      </c>
      <c r="K2458" s="364" t="s">
        <v>14390</v>
      </c>
      <c r="L2458" s="364"/>
      <c r="M2458" s="364" t="s">
        <v>10084</v>
      </c>
      <c r="N2458" s="364"/>
      <c r="O2458" s="364" t="s">
        <v>57</v>
      </c>
      <c r="P2458" s="373">
        <v>113805121</v>
      </c>
      <c r="Q2458" s="364" t="s">
        <v>14391</v>
      </c>
      <c r="R2458" s="364" t="s">
        <v>193</v>
      </c>
      <c r="S2458" s="340">
        <v>9</v>
      </c>
    </row>
    <row r="2459" spans="1:19" ht="47" thickBot="1" x14ac:dyDescent="0.4">
      <c r="A2459" s="357">
        <v>2448</v>
      </c>
      <c r="B2459" s="364" t="s">
        <v>14387</v>
      </c>
      <c r="C2459" s="364" t="s">
        <v>14388</v>
      </c>
      <c r="D2459" s="366" t="s">
        <v>59</v>
      </c>
      <c r="E2459" s="366" t="s">
        <v>10082</v>
      </c>
      <c r="F2459" s="366" t="s">
        <v>10078</v>
      </c>
      <c r="G2459" s="366" t="s">
        <v>10088</v>
      </c>
      <c r="H2459" s="366" t="s">
        <v>8951</v>
      </c>
      <c r="I2459" s="364" t="s">
        <v>14392</v>
      </c>
      <c r="J2459" s="367">
        <v>40466</v>
      </c>
      <c r="K2459" s="364" t="s">
        <v>14393</v>
      </c>
      <c r="L2459" s="364"/>
      <c r="M2459" s="364" t="s">
        <v>10084</v>
      </c>
      <c r="N2459" s="364"/>
      <c r="O2459" s="364" t="s">
        <v>57</v>
      </c>
      <c r="P2459" s="373">
        <v>146164198</v>
      </c>
      <c r="Q2459" s="364" t="s">
        <v>14394</v>
      </c>
      <c r="R2459" s="364" t="s">
        <v>193</v>
      </c>
      <c r="S2459" s="340">
        <v>9</v>
      </c>
    </row>
    <row r="2460" spans="1:19" ht="46.5" x14ac:dyDescent="0.35">
      <c r="A2460" s="349">
        <v>2449</v>
      </c>
      <c r="B2460" s="364" t="s">
        <v>14387</v>
      </c>
      <c r="C2460" s="364" t="s">
        <v>14388</v>
      </c>
      <c r="D2460" s="366" t="s">
        <v>97</v>
      </c>
      <c r="E2460" s="366" t="s">
        <v>10082</v>
      </c>
      <c r="F2460" s="366" t="s">
        <v>10078</v>
      </c>
      <c r="G2460" s="366" t="s">
        <v>10088</v>
      </c>
      <c r="H2460" s="366" t="s">
        <v>8951</v>
      </c>
      <c r="I2460" s="364" t="s">
        <v>14395</v>
      </c>
      <c r="J2460" s="367">
        <v>40467</v>
      </c>
      <c r="K2460" s="364" t="s">
        <v>14396</v>
      </c>
      <c r="L2460" s="364"/>
      <c r="M2460" s="364" t="s">
        <v>10084</v>
      </c>
      <c r="N2460" s="364"/>
      <c r="O2460" s="364" t="s">
        <v>57</v>
      </c>
      <c r="P2460" s="373">
        <v>149033332</v>
      </c>
      <c r="Q2460" s="364" t="s">
        <v>14397</v>
      </c>
      <c r="R2460" s="364" t="s">
        <v>193</v>
      </c>
      <c r="S2460" s="340">
        <v>9</v>
      </c>
    </row>
    <row r="2461" spans="1:19" ht="47" thickBot="1" x14ac:dyDescent="0.4">
      <c r="A2461" s="357">
        <v>2450</v>
      </c>
      <c r="B2461" s="364" t="s">
        <v>14387</v>
      </c>
      <c r="C2461" s="364" t="s">
        <v>14388</v>
      </c>
      <c r="D2461" s="366" t="s">
        <v>101</v>
      </c>
      <c r="E2461" s="366" t="s">
        <v>10082</v>
      </c>
      <c r="F2461" s="366" t="s">
        <v>10078</v>
      </c>
      <c r="G2461" s="366" t="s">
        <v>10078</v>
      </c>
      <c r="H2461" s="366" t="s">
        <v>8951</v>
      </c>
      <c r="I2461" s="364" t="s">
        <v>14395</v>
      </c>
      <c r="J2461" s="367">
        <v>40263</v>
      </c>
      <c r="K2461" s="364" t="s">
        <v>14398</v>
      </c>
      <c r="L2461" s="364"/>
      <c r="M2461" s="364" t="s">
        <v>10084</v>
      </c>
      <c r="N2461" s="364"/>
      <c r="O2461" s="364" t="s">
        <v>57</v>
      </c>
      <c r="P2461" s="373">
        <v>185316014</v>
      </c>
      <c r="Q2461" s="364" t="s">
        <v>14399</v>
      </c>
      <c r="R2461" s="364" t="s">
        <v>193</v>
      </c>
      <c r="S2461" s="340">
        <v>9</v>
      </c>
    </row>
    <row r="2462" spans="1:19" ht="46.5" x14ac:dyDescent="0.35">
      <c r="A2462" s="349">
        <v>2451</v>
      </c>
      <c r="B2462" s="364" t="s">
        <v>14387</v>
      </c>
      <c r="C2462" s="364" t="s">
        <v>14388</v>
      </c>
      <c r="D2462" s="366" t="s">
        <v>107</v>
      </c>
      <c r="E2462" s="366" t="s">
        <v>10082</v>
      </c>
      <c r="F2462" s="366" t="s">
        <v>10078</v>
      </c>
      <c r="G2462" s="366" t="s">
        <v>10088</v>
      </c>
      <c r="H2462" s="366" t="s">
        <v>8951</v>
      </c>
      <c r="I2462" s="364" t="s">
        <v>14389</v>
      </c>
      <c r="J2462" s="367">
        <v>40651</v>
      </c>
      <c r="K2462" s="364" t="s">
        <v>14400</v>
      </c>
      <c r="L2462" s="364"/>
      <c r="M2462" s="364" t="s">
        <v>10084</v>
      </c>
      <c r="N2462" s="364"/>
      <c r="O2462" s="364" t="s">
        <v>57</v>
      </c>
      <c r="P2462" s="373">
        <v>156996335</v>
      </c>
      <c r="Q2462" s="364" t="s">
        <v>14401</v>
      </c>
      <c r="R2462" s="364" t="s">
        <v>193</v>
      </c>
      <c r="S2462" s="340">
        <v>9</v>
      </c>
    </row>
    <row r="2463" spans="1:19" ht="62.5" thickBot="1" x14ac:dyDescent="0.4">
      <c r="A2463" s="357">
        <v>2452</v>
      </c>
      <c r="B2463" s="364" t="s">
        <v>11091</v>
      </c>
      <c r="C2463" s="364" t="s">
        <v>11092</v>
      </c>
      <c r="D2463" s="366" t="s">
        <v>51</v>
      </c>
      <c r="E2463" s="366" t="s">
        <v>10082</v>
      </c>
      <c r="F2463" s="366" t="s">
        <v>10078</v>
      </c>
      <c r="G2463" s="366" t="s">
        <v>10088</v>
      </c>
      <c r="H2463" s="366" t="s">
        <v>14402</v>
      </c>
      <c r="I2463" s="364" t="s">
        <v>14403</v>
      </c>
      <c r="J2463" s="367">
        <v>39082</v>
      </c>
      <c r="K2463" s="364"/>
      <c r="L2463" s="364"/>
      <c r="M2463" s="364" t="s">
        <v>10084</v>
      </c>
      <c r="N2463" s="364"/>
      <c r="O2463" s="364" t="s">
        <v>57</v>
      </c>
      <c r="P2463" s="373">
        <v>199680000</v>
      </c>
      <c r="Q2463" s="364" t="s">
        <v>14404</v>
      </c>
      <c r="R2463" s="364" t="s">
        <v>193</v>
      </c>
      <c r="S2463" s="340">
        <v>9</v>
      </c>
    </row>
    <row r="2464" spans="1:19" ht="93" x14ac:dyDescent="0.35">
      <c r="A2464" s="349">
        <v>2453</v>
      </c>
      <c r="B2464" s="364" t="s">
        <v>11091</v>
      </c>
      <c r="C2464" s="364" t="s">
        <v>11092</v>
      </c>
      <c r="D2464" s="366" t="s">
        <v>59</v>
      </c>
      <c r="E2464" s="366" t="s">
        <v>10082</v>
      </c>
      <c r="F2464" s="366" t="s">
        <v>10078</v>
      </c>
      <c r="G2464" s="366" t="s">
        <v>10088</v>
      </c>
      <c r="H2464" s="366" t="s">
        <v>8951</v>
      </c>
      <c r="I2464" s="364" t="s">
        <v>12772</v>
      </c>
      <c r="J2464" s="367">
        <v>39082</v>
      </c>
      <c r="K2464" s="364"/>
      <c r="L2464" s="364"/>
      <c r="M2464" s="364" t="s">
        <v>10084</v>
      </c>
      <c r="N2464" s="364"/>
      <c r="O2464" s="364" t="s">
        <v>57</v>
      </c>
      <c r="P2464" s="373">
        <v>266175000</v>
      </c>
      <c r="Q2464" s="364" t="s">
        <v>14405</v>
      </c>
      <c r="R2464" s="364" t="s">
        <v>193</v>
      </c>
      <c r="S2464" s="340">
        <v>9</v>
      </c>
    </row>
    <row r="2465" spans="1:19" ht="47" thickBot="1" x14ac:dyDescent="0.4">
      <c r="A2465" s="357">
        <v>2454</v>
      </c>
      <c r="B2465" s="364" t="s">
        <v>11091</v>
      </c>
      <c r="C2465" s="364" t="s">
        <v>11092</v>
      </c>
      <c r="D2465" s="366" t="s">
        <v>97</v>
      </c>
      <c r="E2465" s="366" t="s">
        <v>10082</v>
      </c>
      <c r="F2465" s="366" t="s">
        <v>10078</v>
      </c>
      <c r="G2465" s="366" t="s">
        <v>10078</v>
      </c>
      <c r="H2465" s="366" t="s">
        <v>12574</v>
      </c>
      <c r="I2465" s="364" t="s">
        <v>14406</v>
      </c>
      <c r="J2465" s="367">
        <v>43959</v>
      </c>
      <c r="K2465" s="364" t="s">
        <v>14407</v>
      </c>
      <c r="L2465" s="364"/>
      <c r="M2465" s="364" t="s">
        <v>10084</v>
      </c>
      <c r="N2465" s="364"/>
      <c r="O2465" s="364" t="s">
        <v>57</v>
      </c>
      <c r="P2465" s="373">
        <v>232023000</v>
      </c>
      <c r="Q2465" s="364" t="s">
        <v>14408</v>
      </c>
      <c r="R2465" s="364" t="s">
        <v>193</v>
      </c>
      <c r="S2465" s="340">
        <v>9</v>
      </c>
    </row>
    <row r="2466" spans="1:19" ht="46.5" x14ac:dyDescent="0.35">
      <c r="A2466" s="349">
        <v>2455</v>
      </c>
      <c r="B2466" s="364" t="s">
        <v>10096</v>
      </c>
      <c r="C2466" s="364" t="s">
        <v>10097</v>
      </c>
      <c r="D2466" s="366" t="s">
        <v>51</v>
      </c>
      <c r="E2466" s="366" t="s">
        <v>10082</v>
      </c>
      <c r="F2466" s="366" t="s">
        <v>10078</v>
      </c>
      <c r="G2466" s="366" t="s">
        <v>10088</v>
      </c>
      <c r="H2466" s="366" t="s">
        <v>12459</v>
      </c>
      <c r="I2466" s="364" t="s">
        <v>14389</v>
      </c>
      <c r="J2466" s="367">
        <v>42508</v>
      </c>
      <c r="K2466" s="364" t="s">
        <v>14409</v>
      </c>
      <c r="L2466" s="364"/>
      <c r="M2466" s="364" t="s">
        <v>10084</v>
      </c>
      <c r="N2466" s="364"/>
      <c r="O2466" s="364" t="s">
        <v>57</v>
      </c>
      <c r="P2466" s="373">
        <v>110250000</v>
      </c>
      <c r="Q2466" s="364" t="s">
        <v>14410</v>
      </c>
      <c r="R2466" s="364" t="s">
        <v>193</v>
      </c>
      <c r="S2466" s="340">
        <v>9</v>
      </c>
    </row>
    <row r="2467" spans="1:19" ht="31.5" thickBot="1" x14ac:dyDescent="0.4">
      <c r="A2467" s="357">
        <v>2456</v>
      </c>
      <c r="B2467" s="364" t="s">
        <v>10155</v>
      </c>
      <c r="C2467" s="364" t="s">
        <v>10156</v>
      </c>
      <c r="D2467" s="366" t="s">
        <v>51</v>
      </c>
      <c r="E2467" s="366" t="s">
        <v>10082</v>
      </c>
      <c r="F2467" s="366" t="s">
        <v>10078</v>
      </c>
      <c r="G2467" s="366" t="s">
        <v>10088</v>
      </c>
      <c r="H2467" s="366" t="s">
        <v>12874</v>
      </c>
      <c r="I2467" s="364" t="s">
        <v>14411</v>
      </c>
      <c r="J2467" s="367">
        <v>39975</v>
      </c>
      <c r="K2467" s="364" t="s">
        <v>14412</v>
      </c>
      <c r="L2467" s="364"/>
      <c r="M2467" s="364" t="s">
        <v>10084</v>
      </c>
      <c r="N2467" s="364"/>
      <c r="O2467" s="364" t="s">
        <v>57</v>
      </c>
      <c r="P2467" s="373">
        <v>910136000</v>
      </c>
      <c r="Q2467" s="364" t="s">
        <v>14413</v>
      </c>
      <c r="R2467" s="364" t="s">
        <v>41</v>
      </c>
      <c r="S2467" s="340">
        <v>2</v>
      </c>
    </row>
    <row r="2468" spans="1:19" ht="31" x14ac:dyDescent="0.35">
      <c r="A2468" s="349">
        <v>2457</v>
      </c>
      <c r="B2468" s="364" t="s">
        <v>10155</v>
      </c>
      <c r="C2468" s="364" t="s">
        <v>10156</v>
      </c>
      <c r="D2468" s="366" t="s">
        <v>59</v>
      </c>
      <c r="E2468" s="366" t="s">
        <v>10082</v>
      </c>
      <c r="F2468" s="366" t="s">
        <v>10078</v>
      </c>
      <c r="G2468" s="366" t="s">
        <v>10088</v>
      </c>
      <c r="H2468" s="366" t="s">
        <v>12874</v>
      </c>
      <c r="I2468" s="364" t="s">
        <v>14414</v>
      </c>
      <c r="J2468" s="367">
        <v>39975</v>
      </c>
      <c r="K2468" s="364" t="s">
        <v>14415</v>
      </c>
      <c r="L2468" s="364"/>
      <c r="M2468" s="364" t="s">
        <v>10084</v>
      </c>
      <c r="N2468" s="364"/>
      <c r="O2468" s="364" t="s">
        <v>57</v>
      </c>
      <c r="P2468" s="373">
        <v>903915500</v>
      </c>
      <c r="Q2468" s="364" t="s">
        <v>14416</v>
      </c>
      <c r="R2468" s="364" t="s">
        <v>41</v>
      </c>
      <c r="S2468" s="340">
        <v>2</v>
      </c>
    </row>
    <row r="2469" spans="1:19" ht="31.5" thickBot="1" x14ac:dyDescent="0.4">
      <c r="A2469" s="357">
        <v>2458</v>
      </c>
      <c r="B2469" s="364" t="s">
        <v>10155</v>
      </c>
      <c r="C2469" s="364" t="s">
        <v>10156</v>
      </c>
      <c r="D2469" s="366" t="s">
        <v>97</v>
      </c>
      <c r="E2469" s="366" t="s">
        <v>10082</v>
      </c>
      <c r="F2469" s="366" t="s">
        <v>10078</v>
      </c>
      <c r="G2469" s="366" t="s">
        <v>10088</v>
      </c>
      <c r="H2469" s="366" t="s">
        <v>12874</v>
      </c>
      <c r="I2469" s="364" t="s">
        <v>14417</v>
      </c>
      <c r="J2469" s="367">
        <v>39988</v>
      </c>
      <c r="K2469" s="364" t="s">
        <v>14418</v>
      </c>
      <c r="L2469" s="364"/>
      <c r="M2469" s="364" t="s">
        <v>10084</v>
      </c>
      <c r="N2469" s="364"/>
      <c r="O2469" s="364" t="s">
        <v>57</v>
      </c>
      <c r="P2469" s="373">
        <v>1143733000</v>
      </c>
      <c r="Q2469" s="364" t="s">
        <v>14419</v>
      </c>
      <c r="R2469" s="364" t="s">
        <v>41</v>
      </c>
      <c r="S2469" s="340">
        <v>2</v>
      </c>
    </row>
    <row r="2470" spans="1:19" ht="31" x14ac:dyDescent="0.35">
      <c r="A2470" s="349">
        <v>2459</v>
      </c>
      <c r="B2470" s="364" t="s">
        <v>10155</v>
      </c>
      <c r="C2470" s="364" t="s">
        <v>10156</v>
      </c>
      <c r="D2470" s="366" t="s">
        <v>101</v>
      </c>
      <c r="E2470" s="366" t="s">
        <v>10082</v>
      </c>
      <c r="F2470" s="366" t="s">
        <v>10078</v>
      </c>
      <c r="G2470" s="366" t="s">
        <v>10088</v>
      </c>
      <c r="H2470" s="366" t="s">
        <v>14187</v>
      </c>
      <c r="I2470" s="364" t="s">
        <v>14420</v>
      </c>
      <c r="J2470" s="367">
        <v>39813</v>
      </c>
      <c r="K2470" s="364"/>
      <c r="L2470" s="364"/>
      <c r="M2470" s="364" t="s">
        <v>10084</v>
      </c>
      <c r="N2470" s="364"/>
      <c r="O2470" s="364" t="s">
        <v>57</v>
      </c>
      <c r="P2470" s="373">
        <v>639400600</v>
      </c>
      <c r="Q2470" s="364" t="s">
        <v>14421</v>
      </c>
      <c r="R2470" s="364" t="s">
        <v>41</v>
      </c>
      <c r="S2470" s="340">
        <v>2</v>
      </c>
    </row>
    <row r="2471" spans="1:19" ht="31.5" thickBot="1" x14ac:dyDescent="0.4">
      <c r="A2471" s="357">
        <v>2460</v>
      </c>
      <c r="B2471" s="364" t="s">
        <v>10155</v>
      </c>
      <c r="C2471" s="364" t="s">
        <v>10156</v>
      </c>
      <c r="D2471" s="366" t="s">
        <v>107</v>
      </c>
      <c r="E2471" s="366" t="s">
        <v>10082</v>
      </c>
      <c r="F2471" s="366" t="s">
        <v>10078</v>
      </c>
      <c r="G2471" s="366" t="s">
        <v>10088</v>
      </c>
      <c r="H2471" s="366" t="s">
        <v>12348</v>
      </c>
      <c r="I2471" s="364" t="s">
        <v>14420</v>
      </c>
      <c r="J2471" s="367">
        <v>39813</v>
      </c>
      <c r="K2471" s="364"/>
      <c r="L2471" s="364"/>
      <c r="M2471" s="364" t="s">
        <v>10084</v>
      </c>
      <c r="N2471" s="364"/>
      <c r="O2471" s="364" t="s">
        <v>57</v>
      </c>
      <c r="P2471" s="373">
        <v>1279484000</v>
      </c>
      <c r="Q2471" s="364" t="s">
        <v>14422</v>
      </c>
      <c r="R2471" s="364" t="s">
        <v>41</v>
      </c>
      <c r="S2471" s="340">
        <v>2</v>
      </c>
    </row>
    <row r="2472" spans="1:19" ht="31" x14ac:dyDescent="0.35">
      <c r="A2472" s="349">
        <v>2461</v>
      </c>
      <c r="B2472" s="364" t="s">
        <v>10155</v>
      </c>
      <c r="C2472" s="364" t="s">
        <v>10156</v>
      </c>
      <c r="D2472" s="366" t="s">
        <v>112</v>
      </c>
      <c r="E2472" s="366" t="s">
        <v>10082</v>
      </c>
      <c r="F2472" s="366" t="s">
        <v>10078</v>
      </c>
      <c r="G2472" s="366" t="s">
        <v>10088</v>
      </c>
      <c r="H2472" s="366" t="s">
        <v>14423</v>
      </c>
      <c r="I2472" s="364" t="s">
        <v>14420</v>
      </c>
      <c r="J2472" s="367">
        <v>39813</v>
      </c>
      <c r="K2472" s="364"/>
      <c r="L2472" s="364"/>
      <c r="M2472" s="364" t="s">
        <v>10084</v>
      </c>
      <c r="N2472" s="364"/>
      <c r="O2472" s="364" t="s">
        <v>57</v>
      </c>
      <c r="P2472" s="373">
        <v>3040594700</v>
      </c>
      <c r="Q2472" s="364" t="s">
        <v>14424</v>
      </c>
      <c r="R2472" s="364" t="s">
        <v>41</v>
      </c>
      <c r="S2472" s="340">
        <v>2</v>
      </c>
    </row>
    <row r="2473" spans="1:19" ht="47" thickBot="1" x14ac:dyDescent="0.4">
      <c r="A2473" s="357">
        <v>2462</v>
      </c>
      <c r="B2473" s="364" t="s">
        <v>10155</v>
      </c>
      <c r="C2473" s="364" t="s">
        <v>10156</v>
      </c>
      <c r="D2473" s="366" t="s">
        <v>116</v>
      </c>
      <c r="E2473" s="366" t="s">
        <v>10082</v>
      </c>
      <c r="F2473" s="366" t="s">
        <v>10078</v>
      </c>
      <c r="G2473" s="366" t="s">
        <v>10088</v>
      </c>
      <c r="H2473" s="366" t="s">
        <v>12623</v>
      </c>
      <c r="I2473" s="364" t="s">
        <v>14420</v>
      </c>
      <c r="J2473" s="367">
        <v>40816</v>
      </c>
      <c r="K2473" s="364" t="s">
        <v>14425</v>
      </c>
      <c r="L2473" s="364"/>
      <c r="M2473" s="364" t="s">
        <v>10084</v>
      </c>
      <c r="N2473" s="364"/>
      <c r="O2473" s="364" t="s">
        <v>57</v>
      </c>
      <c r="P2473" s="373">
        <v>224186600</v>
      </c>
      <c r="Q2473" s="364" t="s">
        <v>14426</v>
      </c>
      <c r="R2473" s="364" t="s">
        <v>41</v>
      </c>
      <c r="S2473" s="340">
        <v>2</v>
      </c>
    </row>
    <row r="2474" spans="1:19" ht="46.5" x14ac:dyDescent="0.35">
      <c r="A2474" s="349">
        <v>2463</v>
      </c>
      <c r="B2474" s="364" t="s">
        <v>10535</v>
      </c>
      <c r="C2474" s="364" t="s">
        <v>10536</v>
      </c>
      <c r="D2474" s="366" t="s">
        <v>51</v>
      </c>
      <c r="E2474" s="366" t="s">
        <v>10082</v>
      </c>
      <c r="F2474" s="366" t="s">
        <v>10078</v>
      </c>
      <c r="G2474" s="366" t="s">
        <v>10078</v>
      </c>
      <c r="H2474" s="366" t="s">
        <v>11349</v>
      </c>
      <c r="I2474" s="364" t="s">
        <v>14427</v>
      </c>
      <c r="J2474" s="367">
        <v>44080</v>
      </c>
      <c r="K2474" s="364" t="s">
        <v>14428</v>
      </c>
      <c r="L2474" s="364"/>
      <c r="M2474" s="364" t="s">
        <v>10084</v>
      </c>
      <c r="N2474" s="364"/>
      <c r="O2474" s="364" t="s">
        <v>57</v>
      </c>
      <c r="P2474" s="373">
        <v>55267500</v>
      </c>
      <c r="Q2474" s="364" t="s">
        <v>14429</v>
      </c>
      <c r="R2474" s="364" t="s">
        <v>41</v>
      </c>
      <c r="S2474" s="340">
        <v>2</v>
      </c>
    </row>
    <row r="2475" spans="1:19" ht="31.5" thickBot="1" x14ac:dyDescent="0.4">
      <c r="A2475" s="357">
        <v>2464</v>
      </c>
      <c r="B2475" s="364" t="s">
        <v>10535</v>
      </c>
      <c r="C2475" s="364" t="s">
        <v>10536</v>
      </c>
      <c r="D2475" s="366" t="s">
        <v>59</v>
      </c>
      <c r="E2475" s="366" t="s">
        <v>10082</v>
      </c>
      <c r="F2475" s="366" t="s">
        <v>10078</v>
      </c>
      <c r="G2475" s="366" t="s">
        <v>10088</v>
      </c>
      <c r="H2475" s="366" t="s">
        <v>11284</v>
      </c>
      <c r="I2475" s="364" t="s">
        <v>14430</v>
      </c>
      <c r="J2475" s="367">
        <v>41547</v>
      </c>
      <c r="K2475" s="364" t="s">
        <v>10539</v>
      </c>
      <c r="L2475" s="364"/>
      <c r="M2475" s="364" t="s">
        <v>10084</v>
      </c>
      <c r="N2475" s="364"/>
      <c r="O2475" s="364" t="s">
        <v>57</v>
      </c>
      <c r="P2475" s="373">
        <v>8794000</v>
      </c>
      <c r="Q2475" s="364" t="s">
        <v>10540</v>
      </c>
      <c r="R2475" s="364" t="s">
        <v>41</v>
      </c>
      <c r="S2475" s="340">
        <v>2</v>
      </c>
    </row>
    <row r="2476" spans="1:19" ht="31" x14ac:dyDescent="0.35">
      <c r="A2476" s="349">
        <v>2465</v>
      </c>
      <c r="B2476" s="364" t="s">
        <v>10535</v>
      </c>
      <c r="C2476" s="364" t="s">
        <v>10536</v>
      </c>
      <c r="D2476" s="366" t="s">
        <v>97</v>
      </c>
      <c r="E2476" s="366" t="s">
        <v>10082</v>
      </c>
      <c r="F2476" s="366" t="s">
        <v>10078</v>
      </c>
      <c r="G2476" s="366" t="s">
        <v>10088</v>
      </c>
      <c r="H2476" s="366" t="s">
        <v>1574</v>
      </c>
      <c r="I2476" s="364" t="s">
        <v>12527</v>
      </c>
      <c r="J2476" s="367">
        <v>40178</v>
      </c>
      <c r="K2476" s="364"/>
      <c r="L2476" s="364"/>
      <c r="M2476" s="364" t="s">
        <v>10084</v>
      </c>
      <c r="N2476" s="364"/>
      <c r="O2476" s="364" t="s">
        <v>57</v>
      </c>
      <c r="P2476" s="373">
        <v>124000000</v>
      </c>
      <c r="Q2476" s="364" t="s">
        <v>14431</v>
      </c>
      <c r="R2476" s="364" t="s">
        <v>41</v>
      </c>
      <c r="S2476" s="340">
        <v>2</v>
      </c>
    </row>
    <row r="2477" spans="1:19" ht="31.5" thickBot="1" x14ac:dyDescent="0.4">
      <c r="A2477" s="357">
        <v>2466</v>
      </c>
      <c r="B2477" s="364" t="s">
        <v>10535</v>
      </c>
      <c r="C2477" s="364" t="s">
        <v>10536</v>
      </c>
      <c r="D2477" s="366" t="s">
        <v>101</v>
      </c>
      <c r="E2477" s="366" t="s">
        <v>10082</v>
      </c>
      <c r="F2477" s="366" t="s">
        <v>10078</v>
      </c>
      <c r="G2477" s="366" t="s">
        <v>10088</v>
      </c>
      <c r="H2477" s="366" t="s">
        <v>11409</v>
      </c>
      <c r="I2477" s="364" t="s">
        <v>14432</v>
      </c>
      <c r="J2477" s="367">
        <v>41164</v>
      </c>
      <c r="K2477" s="364" t="s">
        <v>14433</v>
      </c>
      <c r="L2477" s="364"/>
      <c r="M2477" s="364" t="s">
        <v>10084</v>
      </c>
      <c r="N2477" s="364"/>
      <c r="O2477" s="364" t="s">
        <v>57</v>
      </c>
      <c r="P2477" s="373">
        <v>97800000</v>
      </c>
      <c r="Q2477" s="364" t="s">
        <v>14434</v>
      </c>
      <c r="R2477" s="364" t="s">
        <v>41</v>
      </c>
      <c r="S2477" s="340">
        <v>2</v>
      </c>
    </row>
    <row r="2478" spans="1:19" ht="31" x14ac:dyDescent="0.35">
      <c r="A2478" s="349">
        <v>2467</v>
      </c>
      <c r="B2478" s="364" t="s">
        <v>11224</v>
      </c>
      <c r="C2478" s="364" t="s">
        <v>11225</v>
      </c>
      <c r="D2478" s="366" t="s">
        <v>51</v>
      </c>
      <c r="E2478" s="366" t="s">
        <v>10082</v>
      </c>
      <c r="F2478" s="366" t="s">
        <v>10078</v>
      </c>
      <c r="G2478" s="366" t="s">
        <v>10088</v>
      </c>
      <c r="H2478" s="366" t="s">
        <v>12226</v>
      </c>
      <c r="I2478" s="364" t="s">
        <v>10520</v>
      </c>
      <c r="J2478" s="367">
        <v>42583</v>
      </c>
      <c r="K2478" s="364" t="s">
        <v>14435</v>
      </c>
      <c r="L2478" s="364"/>
      <c r="M2478" s="364" t="s">
        <v>10084</v>
      </c>
      <c r="N2478" s="364"/>
      <c r="O2478" s="364" t="s">
        <v>57</v>
      </c>
      <c r="P2478" s="373">
        <v>917388000</v>
      </c>
      <c r="Q2478" s="364" t="s">
        <v>14436</v>
      </c>
      <c r="R2478" s="364" t="s">
        <v>41</v>
      </c>
      <c r="S2478" s="340">
        <v>2</v>
      </c>
    </row>
    <row r="2479" spans="1:19" ht="31.5" thickBot="1" x14ac:dyDescent="0.4">
      <c r="A2479" s="357">
        <v>2468</v>
      </c>
      <c r="B2479" s="364" t="s">
        <v>11830</v>
      </c>
      <c r="C2479" s="364" t="s">
        <v>11831</v>
      </c>
      <c r="D2479" s="366" t="s">
        <v>51</v>
      </c>
      <c r="E2479" s="366" t="s">
        <v>10082</v>
      </c>
      <c r="F2479" s="366" t="s">
        <v>10078</v>
      </c>
      <c r="G2479" s="366" t="s">
        <v>10088</v>
      </c>
      <c r="H2479" s="366" t="s">
        <v>12701</v>
      </c>
      <c r="I2479" s="364" t="s">
        <v>14437</v>
      </c>
      <c r="J2479" s="367">
        <v>42226</v>
      </c>
      <c r="K2479" s="364" t="s">
        <v>14438</v>
      </c>
      <c r="L2479" s="364"/>
      <c r="M2479" s="364" t="s">
        <v>10084</v>
      </c>
      <c r="N2479" s="364"/>
      <c r="O2479" s="364" t="s">
        <v>57</v>
      </c>
      <c r="P2479" s="373">
        <v>718255300</v>
      </c>
      <c r="Q2479" s="364" t="s">
        <v>14439</v>
      </c>
      <c r="R2479" s="364" t="s">
        <v>41</v>
      </c>
      <c r="S2479" s="340">
        <v>2</v>
      </c>
    </row>
    <row r="2480" spans="1:19" ht="31" x14ac:dyDescent="0.35">
      <c r="A2480" s="349">
        <v>2469</v>
      </c>
      <c r="B2480" s="364" t="s">
        <v>11830</v>
      </c>
      <c r="C2480" s="364" t="s">
        <v>11831</v>
      </c>
      <c r="D2480" s="366" t="s">
        <v>59</v>
      </c>
      <c r="E2480" s="366" t="s">
        <v>10082</v>
      </c>
      <c r="F2480" s="366"/>
      <c r="G2480" s="366"/>
      <c r="H2480" s="366" t="s">
        <v>14440</v>
      </c>
      <c r="I2480" s="364" t="s">
        <v>63</v>
      </c>
      <c r="J2480" s="367">
        <v>45118</v>
      </c>
      <c r="K2480" s="364" t="s">
        <v>14441</v>
      </c>
      <c r="L2480" s="364"/>
      <c r="M2480" s="364"/>
      <c r="N2480" s="364"/>
      <c r="O2480" s="364" t="s">
        <v>44</v>
      </c>
      <c r="P2480" s="373">
        <v>4237285500</v>
      </c>
      <c r="Q2480" s="364" t="s">
        <v>14442</v>
      </c>
      <c r="R2480" s="364" t="s">
        <v>41</v>
      </c>
      <c r="S2480" s="340">
        <v>2</v>
      </c>
    </row>
    <row r="2481" spans="1:19" ht="31.5" thickBot="1" x14ac:dyDescent="0.4">
      <c r="A2481" s="357">
        <v>2470</v>
      </c>
      <c r="B2481" s="364" t="s">
        <v>10475</v>
      </c>
      <c r="C2481" s="364" t="s">
        <v>10476</v>
      </c>
      <c r="D2481" s="366" t="s">
        <v>51</v>
      </c>
      <c r="E2481" s="366" t="s">
        <v>10082</v>
      </c>
      <c r="F2481" s="366" t="s">
        <v>10078</v>
      </c>
      <c r="G2481" s="366" t="s">
        <v>10088</v>
      </c>
      <c r="H2481" s="366" t="s">
        <v>3405</v>
      </c>
      <c r="I2481" s="364" t="s">
        <v>11329</v>
      </c>
      <c r="J2481" s="367">
        <v>40178</v>
      </c>
      <c r="K2481" s="364"/>
      <c r="L2481" s="364"/>
      <c r="M2481" s="364" t="s">
        <v>10084</v>
      </c>
      <c r="N2481" s="364"/>
      <c r="O2481" s="364" t="s">
        <v>57</v>
      </c>
      <c r="P2481" s="373">
        <v>346750000</v>
      </c>
      <c r="Q2481" s="364" t="s">
        <v>14443</v>
      </c>
      <c r="R2481" s="364" t="s">
        <v>41</v>
      </c>
      <c r="S2481" s="340">
        <v>2</v>
      </c>
    </row>
    <row r="2482" spans="1:19" ht="31" x14ac:dyDescent="0.35">
      <c r="A2482" s="349">
        <v>2471</v>
      </c>
      <c r="B2482" s="364" t="s">
        <v>10650</v>
      </c>
      <c r="C2482" s="364" t="s">
        <v>10651</v>
      </c>
      <c r="D2482" s="366" t="s">
        <v>51</v>
      </c>
      <c r="E2482" s="366" t="s">
        <v>10082</v>
      </c>
      <c r="F2482" s="366" t="s">
        <v>10078</v>
      </c>
      <c r="G2482" s="366" t="s">
        <v>10078</v>
      </c>
      <c r="H2482" s="366" t="s">
        <v>12570</v>
      </c>
      <c r="I2482" s="364" t="s">
        <v>14444</v>
      </c>
      <c r="J2482" s="367">
        <v>43825</v>
      </c>
      <c r="K2482" s="364" t="s">
        <v>14445</v>
      </c>
      <c r="L2482" s="364"/>
      <c r="M2482" s="364" t="s">
        <v>10084</v>
      </c>
      <c r="N2482" s="364"/>
      <c r="O2482" s="364" t="s">
        <v>57</v>
      </c>
      <c r="P2482" s="373">
        <v>109850000</v>
      </c>
      <c r="Q2482" s="364" t="s">
        <v>14446</v>
      </c>
      <c r="R2482" s="364" t="s">
        <v>41</v>
      </c>
      <c r="S2482" s="340">
        <v>2</v>
      </c>
    </row>
    <row r="2483" spans="1:19" ht="47" thickBot="1" x14ac:dyDescent="0.4">
      <c r="A2483" s="357">
        <v>2472</v>
      </c>
      <c r="B2483" s="364" t="s">
        <v>10486</v>
      </c>
      <c r="C2483" s="364" t="s">
        <v>10487</v>
      </c>
      <c r="D2483" s="366" t="s">
        <v>51</v>
      </c>
      <c r="E2483" s="366" t="s">
        <v>10082</v>
      </c>
      <c r="F2483" s="366" t="s">
        <v>10078</v>
      </c>
      <c r="G2483" s="366" t="s">
        <v>10088</v>
      </c>
      <c r="H2483" s="366" t="s">
        <v>11364</v>
      </c>
      <c r="I2483" s="364" t="s">
        <v>14447</v>
      </c>
      <c r="J2483" s="367">
        <v>41989</v>
      </c>
      <c r="K2483" s="364" t="s">
        <v>14448</v>
      </c>
      <c r="L2483" s="364"/>
      <c r="M2483" s="364" t="s">
        <v>10084</v>
      </c>
      <c r="N2483" s="364"/>
      <c r="O2483" s="364" t="s">
        <v>57</v>
      </c>
      <c r="P2483" s="373">
        <v>139173500</v>
      </c>
      <c r="Q2483" s="364" t="s">
        <v>14449</v>
      </c>
      <c r="R2483" s="364" t="s">
        <v>41</v>
      </c>
      <c r="S2483" s="340">
        <v>2</v>
      </c>
    </row>
    <row r="2484" spans="1:19" ht="46.5" x14ac:dyDescent="0.35">
      <c r="A2484" s="349">
        <v>2473</v>
      </c>
      <c r="B2484" s="364" t="s">
        <v>10486</v>
      </c>
      <c r="C2484" s="364" t="s">
        <v>10487</v>
      </c>
      <c r="D2484" s="366" t="s">
        <v>59</v>
      </c>
      <c r="E2484" s="366" t="s">
        <v>10082</v>
      </c>
      <c r="F2484" s="366" t="s">
        <v>10078</v>
      </c>
      <c r="G2484" s="366" t="s">
        <v>10088</v>
      </c>
      <c r="H2484" s="366" t="s">
        <v>11324</v>
      </c>
      <c r="I2484" s="364" t="s">
        <v>14450</v>
      </c>
      <c r="J2484" s="367">
        <v>41928</v>
      </c>
      <c r="K2484" s="364" t="s">
        <v>14448</v>
      </c>
      <c r="L2484" s="364"/>
      <c r="M2484" s="364" t="s">
        <v>10084</v>
      </c>
      <c r="N2484" s="364"/>
      <c r="O2484" s="364" t="s">
        <v>57</v>
      </c>
      <c r="P2484" s="373">
        <v>80747500</v>
      </c>
      <c r="Q2484" s="364" t="s">
        <v>14451</v>
      </c>
      <c r="R2484" s="364" t="s">
        <v>41</v>
      </c>
      <c r="S2484" s="340">
        <v>2</v>
      </c>
    </row>
    <row r="2485" spans="1:19" ht="31.5" thickBot="1" x14ac:dyDescent="0.4">
      <c r="A2485" s="357">
        <v>2474</v>
      </c>
      <c r="B2485" s="364" t="s">
        <v>10486</v>
      </c>
      <c r="C2485" s="364" t="s">
        <v>10487</v>
      </c>
      <c r="D2485" s="366" t="s">
        <v>97</v>
      </c>
      <c r="E2485" s="366" t="s">
        <v>10082</v>
      </c>
      <c r="F2485" s="366" t="s">
        <v>10078</v>
      </c>
      <c r="G2485" s="366" t="s">
        <v>10088</v>
      </c>
      <c r="H2485" s="366" t="s">
        <v>11415</v>
      </c>
      <c r="I2485" s="364" t="s">
        <v>12527</v>
      </c>
      <c r="J2485" s="367">
        <v>40350</v>
      </c>
      <c r="K2485" s="364" t="s">
        <v>14452</v>
      </c>
      <c r="L2485" s="364"/>
      <c r="M2485" s="364" t="s">
        <v>10084</v>
      </c>
      <c r="N2485" s="364"/>
      <c r="O2485" s="364" t="s">
        <v>57</v>
      </c>
      <c r="P2485" s="373">
        <v>84500000</v>
      </c>
      <c r="Q2485" s="364" t="s">
        <v>14453</v>
      </c>
      <c r="R2485" s="364" t="s">
        <v>41</v>
      </c>
      <c r="S2485" s="340">
        <v>2</v>
      </c>
    </row>
    <row r="2486" spans="1:19" ht="31" x14ac:dyDescent="0.35">
      <c r="A2486" s="349">
        <v>2475</v>
      </c>
      <c r="B2486" s="364" t="s">
        <v>10486</v>
      </c>
      <c r="C2486" s="364" t="s">
        <v>10487</v>
      </c>
      <c r="D2486" s="366" t="s">
        <v>101</v>
      </c>
      <c r="E2486" s="366" t="s">
        <v>10082</v>
      </c>
      <c r="F2486" s="366" t="s">
        <v>10078</v>
      </c>
      <c r="G2486" s="366" t="s">
        <v>10088</v>
      </c>
      <c r="H2486" s="366" t="s">
        <v>11870</v>
      </c>
      <c r="I2486" s="364" t="s">
        <v>11329</v>
      </c>
      <c r="J2486" s="367">
        <v>40178</v>
      </c>
      <c r="K2486" s="364"/>
      <c r="L2486" s="364"/>
      <c r="M2486" s="364" t="s">
        <v>10084</v>
      </c>
      <c r="N2486" s="364"/>
      <c r="O2486" s="364" t="s">
        <v>57</v>
      </c>
      <c r="P2486" s="373">
        <v>49500000</v>
      </c>
      <c r="Q2486" s="364" t="s">
        <v>14454</v>
      </c>
      <c r="R2486" s="364" t="s">
        <v>41</v>
      </c>
      <c r="S2486" s="340">
        <v>2</v>
      </c>
    </row>
    <row r="2487" spans="1:19" ht="31.5" thickBot="1" x14ac:dyDescent="0.4">
      <c r="A2487" s="357">
        <v>2476</v>
      </c>
      <c r="B2487" s="364" t="s">
        <v>10687</v>
      </c>
      <c r="C2487" s="364" t="s">
        <v>10688</v>
      </c>
      <c r="D2487" s="366" t="s">
        <v>51</v>
      </c>
      <c r="E2487" s="366" t="s">
        <v>10082</v>
      </c>
      <c r="F2487" s="366" t="s">
        <v>10078</v>
      </c>
      <c r="G2487" s="366" t="s">
        <v>10078</v>
      </c>
      <c r="H2487" s="366" t="s">
        <v>14455</v>
      </c>
      <c r="I2487" s="364" t="s">
        <v>14444</v>
      </c>
      <c r="J2487" s="367">
        <v>43760</v>
      </c>
      <c r="K2487" s="364" t="s">
        <v>14456</v>
      </c>
      <c r="L2487" s="364"/>
      <c r="M2487" s="364" t="s">
        <v>10084</v>
      </c>
      <c r="N2487" s="364"/>
      <c r="O2487" s="364" t="s">
        <v>57</v>
      </c>
      <c r="P2487" s="373">
        <v>199500200</v>
      </c>
      <c r="Q2487" s="364" t="s">
        <v>14457</v>
      </c>
      <c r="R2487" s="364" t="s">
        <v>41</v>
      </c>
      <c r="S2487" s="340">
        <v>2</v>
      </c>
    </row>
    <row r="2488" spans="1:19" ht="31" x14ac:dyDescent="0.35">
      <c r="A2488" s="349">
        <v>2477</v>
      </c>
      <c r="B2488" s="364" t="s">
        <v>10559</v>
      </c>
      <c r="C2488" s="364" t="s">
        <v>10560</v>
      </c>
      <c r="D2488" s="366" t="s">
        <v>51</v>
      </c>
      <c r="E2488" s="366" t="s">
        <v>10082</v>
      </c>
      <c r="F2488" s="366" t="s">
        <v>10078</v>
      </c>
      <c r="G2488" s="366" t="s">
        <v>10088</v>
      </c>
      <c r="H2488" s="366" t="s">
        <v>11451</v>
      </c>
      <c r="I2488" s="364" t="s">
        <v>11329</v>
      </c>
      <c r="J2488" s="367">
        <v>40178</v>
      </c>
      <c r="K2488" s="364"/>
      <c r="L2488" s="364"/>
      <c r="M2488" s="364" t="s">
        <v>10084</v>
      </c>
      <c r="N2488" s="364"/>
      <c r="O2488" s="364" t="s">
        <v>57</v>
      </c>
      <c r="P2488" s="373">
        <v>49540000</v>
      </c>
      <c r="Q2488" s="364" t="s">
        <v>14458</v>
      </c>
      <c r="R2488" s="364" t="s">
        <v>41</v>
      </c>
      <c r="S2488" s="340">
        <v>2</v>
      </c>
    </row>
    <row r="2489" spans="1:19" ht="31.5" thickBot="1" x14ac:dyDescent="0.4">
      <c r="A2489" s="357">
        <v>2478</v>
      </c>
      <c r="B2489" s="364" t="s">
        <v>10997</v>
      </c>
      <c r="C2489" s="364" t="s">
        <v>10998</v>
      </c>
      <c r="D2489" s="366" t="s">
        <v>51</v>
      </c>
      <c r="E2489" s="366" t="s">
        <v>10082</v>
      </c>
      <c r="F2489" s="366" t="s">
        <v>10078</v>
      </c>
      <c r="G2489" s="366" t="s">
        <v>10088</v>
      </c>
      <c r="H2489" s="366" t="s">
        <v>11451</v>
      </c>
      <c r="I2489" s="364" t="s">
        <v>11329</v>
      </c>
      <c r="J2489" s="367">
        <v>40178</v>
      </c>
      <c r="K2489" s="364"/>
      <c r="L2489" s="364"/>
      <c r="M2489" s="364" t="s">
        <v>10084</v>
      </c>
      <c r="N2489" s="364"/>
      <c r="O2489" s="364" t="s">
        <v>57</v>
      </c>
      <c r="P2489" s="373">
        <v>29600000</v>
      </c>
      <c r="Q2489" s="364" t="s">
        <v>14459</v>
      </c>
      <c r="R2489" s="364" t="s">
        <v>41</v>
      </c>
      <c r="S2489" s="340">
        <v>2</v>
      </c>
    </row>
    <row r="2490" spans="1:19" ht="31" x14ac:dyDescent="0.35">
      <c r="A2490" s="349">
        <v>2479</v>
      </c>
      <c r="B2490" s="364" t="s">
        <v>10117</v>
      </c>
      <c r="C2490" s="364" t="s">
        <v>10118</v>
      </c>
      <c r="D2490" s="366" t="s">
        <v>51</v>
      </c>
      <c r="E2490" s="366" t="s">
        <v>10082</v>
      </c>
      <c r="F2490" s="366" t="s">
        <v>10078</v>
      </c>
      <c r="G2490" s="366" t="s">
        <v>10088</v>
      </c>
      <c r="H2490" s="366" t="s">
        <v>2972</v>
      </c>
      <c r="I2490" s="364" t="s">
        <v>14460</v>
      </c>
      <c r="J2490" s="367"/>
      <c r="K2490" s="364"/>
      <c r="L2490" s="364"/>
      <c r="M2490" s="364" t="s">
        <v>10084</v>
      </c>
      <c r="N2490" s="364"/>
      <c r="O2490" s="364" t="s">
        <v>57</v>
      </c>
      <c r="P2490" s="373">
        <v>247450000</v>
      </c>
      <c r="Q2490" s="364" t="s">
        <v>14461</v>
      </c>
      <c r="R2490" s="364" t="s">
        <v>41</v>
      </c>
      <c r="S2490" s="340">
        <v>2</v>
      </c>
    </row>
    <row r="2491" spans="1:19" ht="31.5" thickBot="1" x14ac:dyDescent="0.4">
      <c r="A2491" s="357">
        <v>2480</v>
      </c>
      <c r="B2491" s="364" t="s">
        <v>10117</v>
      </c>
      <c r="C2491" s="364" t="s">
        <v>10118</v>
      </c>
      <c r="D2491" s="366" t="s">
        <v>59</v>
      </c>
      <c r="E2491" s="366" t="s">
        <v>10082</v>
      </c>
      <c r="F2491" s="366" t="s">
        <v>10078</v>
      </c>
      <c r="G2491" s="366" t="s">
        <v>10088</v>
      </c>
      <c r="H2491" s="366" t="s">
        <v>12909</v>
      </c>
      <c r="I2491" s="364" t="s">
        <v>14462</v>
      </c>
      <c r="J2491" s="367">
        <v>39988</v>
      </c>
      <c r="K2491" s="364" t="s">
        <v>14463</v>
      </c>
      <c r="L2491" s="364"/>
      <c r="M2491" s="364" t="s">
        <v>10084</v>
      </c>
      <c r="N2491" s="364"/>
      <c r="O2491" s="364" t="s">
        <v>57</v>
      </c>
      <c r="P2491" s="373">
        <v>468970000</v>
      </c>
      <c r="Q2491" s="364" t="s">
        <v>14464</v>
      </c>
      <c r="R2491" s="364" t="s">
        <v>41</v>
      </c>
      <c r="S2491" s="340">
        <v>2</v>
      </c>
    </row>
    <row r="2492" spans="1:19" ht="31" x14ac:dyDescent="0.35">
      <c r="A2492" s="349">
        <v>2481</v>
      </c>
      <c r="B2492" s="364" t="s">
        <v>10117</v>
      </c>
      <c r="C2492" s="364" t="s">
        <v>10118</v>
      </c>
      <c r="D2492" s="366" t="s">
        <v>97</v>
      </c>
      <c r="E2492" s="366" t="s">
        <v>10082</v>
      </c>
      <c r="F2492" s="366" t="s">
        <v>10078</v>
      </c>
      <c r="G2492" s="366" t="s">
        <v>10088</v>
      </c>
      <c r="H2492" s="366" t="s">
        <v>12909</v>
      </c>
      <c r="I2492" s="364" t="s">
        <v>14465</v>
      </c>
      <c r="J2492" s="367">
        <v>39988</v>
      </c>
      <c r="K2492" s="364" t="s">
        <v>14466</v>
      </c>
      <c r="L2492" s="364"/>
      <c r="M2492" s="364" t="s">
        <v>10084</v>
      </c>
      <c r="N2492" s="364"/>
      <c r="O2492" s="364" t="s">
        <v>57</v>
      </c>
      <c r="P2492" s="373">
        <v>517309000</v>
      </c>
      <c r="Q2492" s="364" t="s">
        <v>14467</v>
      </c>
      <c r="R2492" s="364" t="s">
        <v>41</v>
      </c>
      <c r="S2492" s="340">
        <v>2</v>
      </c>
    </row>
    <row r="2493" spans="1:19" ht="31.5" thickBot="1" x14ac:dyDescent="0.4">
      <c r="A2493" s="357">
        <v>2482</v>
      </c>
      <c r="B2493" s="364" t="s">
        <v>11382</v>
      </c>
      <c r="C2493" s="364" t="s">
        <v>11383</v>
      </c>
      <c r="D2493" s="366" t="s">
        <v>51</v>
      </c>
      <c r="E2493" s="366" t="s">
        <v>10082</v>
      </c>
      <c r="F2493" s="366" t="s">
        <v>10078</v>
      </c>
      <c r="G2493" s="366" t="s">
        <v>10088</v>
      </c>
      <c r="H2493" s="366" t="s">
        <v>11364</v>
      </c>
      <c r="I2493" s="364" t="s">
        <v>14468</v>
      </c>
      <c r="J2493" s="367">
        <v>40765</v>
      </c>
      <c r="K2493" s="364" t="s">
        <v>14469</v>
      </c>
      <c r="L2493" s="364"/>
      <c r="M2493" s="364" t="s">
        <v>10084</v>
      </c>
      <c r="N2493" s="364"/>
      <c r="O2493" s="364" t="s">
        <v>57</v>
      </c>
      <c r="P2493" s="373">
        <v>378805000</v>
      </c>
      <c r="Q2493" s="364" t="s">
        <v>14470</v>
      </c>
      <c r="R2493" s="364" t="s">
        <v>41</v>
      </c>
      <c r="S2493" s="340">
        <v>2</v>
      </c>
    </row>
    <row r="2494" spans="1:19" ht="31" x14ac:dyDescent="0.35">
      <c r="A2494" s="349">
        <v>2483</v>
      </c>
      <c r="B2494" s="364" t="s">
        <v>12958</v>
      </c>
      <c r="C2494" s="364" t="s">
        <v>12959</v>
      </c>
      <c r="D2494" s="366" t="s">
        <v>51</v>
      </c>
      <c r="E2494" s="366" t="s">
        <v>10082</v>
      </c>
      <c r="F2494" s="366" t="s">
        <v>10078</v>
      </c>
      <c r="G2494" s="366" t="s">
        <v>10088</v>
      </c>
      <c r="H2494" s="366" t="s">
        <v>11308</v>
      </c>
      <c r="I2494" s="364" t="s">
        <v>12021</v>
      </c>
      <c r="J2494" s="367">
        <v>39813</v>
      </c>
      <c r="K2494" s="364"/>
      <c r="L2494" s="364"/>
      <c r="M2494" s="364" t="s">
        <v>10084</v>
      </c>
      <c r="N2494" s="364"/>
      <c r="O2494" s="364" t="s">
        <v>57</v>
      </c>
      <c r="P2494" s="373">
        <v>198856000</v>
      </c>
      <c r="Q2494" s="364" t="s">
        <v>12587</v>
      </c>
      <c r="R2494" s="364" t="s">
        <v>41</v>
      </c>
      <c r="S2494" s="340">
        <v>2</v>
      </c>
    </row>
    <row r="2495" spans="1:19" ht="31.5" thickBot="1" x14ac:dyDescent="0.4">
      <c r="A2495" s="357">
        <v>2484</v>
      </c>
      <c r="B2495" s="364" t="s">
        <v>12958</v>
      </c>
      <c r="C2495" s="364" t="s">
        <v>12959</v>
      </c>
      <c r="D2495" s="366" t="s">
        <v>59</v>
      </c>
      <c r="E2495" s="366" t="s">
        <v>10082</v>
      </c>
      <c r="F2495" s="366" t="s">
        <v>10078</v>
      </c>
      <c r="G2495" s="366" t="s">
        <v>10088</v>
      </c>
      <c r="H2495" s="366" t="s">
        <v>11308</v>
      </c>
      <c r="I2495" s="364" t="s">
        <v>12021</v>
      </c>
      <c r="J2495" s="367">
        <v>39813</v>
      </c>
      <c r="K2495" s="364"/>
      <c r="L2495" s="364"/>
      <c r="M2495" s="364" t="s">
        <v>10084</v>
      </c>
      <c r="N2495" s="364"/>
      <c r="O2495" s="364" t="s">
        <v>57</v>
      </c>
      <c r="P2495" s="373">
        <v>198856000</v>
      </c>
      <c r="Q2495" s="364" t="s">
        <v>12587</v>
      </c>
      <c r="R2495" s="364" t="s">
        <v>41</v>
      </c>
      <c r="S2495" s="340">
        <v>2</v>
      </c>
    </row>
    <row r="2496" spans="1:19" ht="31" x14ac:dyDescent="0.35">
      <c r="A2496" s="349">
        <v>2485</v>
      </c>
      <c r="B2496" s="364" t="s">
        <v>12958</v>
      </c>
      <c r="C2496" s="364" t="s">
        <v>12959</v>
      </c>
      <c r="D2496" s="366" t="s">
        <v>97</v>
      </c>
      <c r="E2496" s="366" t="s">
        <v>10082</v>
      </c>
      <c r="F2496" s="366" t="s">
        <v>10078</v>
      </c>
      <c r="G2496" s="366" t="s">
        <v>10088</v>
      </c>
      <c r="H2496" s="366" t="s">
        <v>11308</v>
      </c>
      <c r="I2496" s="364" t="s">
        <v>12021</v>
      </c>
      <c r="J2496" s="367">
        <v>39813</v>
      </c>
      <c r="K2496" s="364"/>
      <c r="L2496" s="364"/>
      <c r="M2496" s="364" t="s">
        <v>10084</v>
      </c>
      <c r="N2496" s="364"/>
      <c r="O2496" s="364" t="s">
        <v>57</v>
      </c>
      <c r="P2496" s="373">
        <v>208792600</v>
      </c>
      <c r="Q2496" s="364" t="s">
        <v>12587</v>
      </c>
      <c r="R2496" s="364" t="s">
        <v>41</v>
      </c>
      <c r="S2496" s="340">
        <v>2</v>
      </c>
    </row>
    <row r="2497" spans="1:19" ht="31.5" thickBot="1" x14ac:dyDescent="0.4">
      <c r="A2497" s="357">
        <v>2486</v>
      </c>
      <c r="B2497" s="364" t="s">
        <v>12958</v>
      </c>
      <c r="C2497" s="364" t="s">
        <v>12959</v>
      </c>
      <c r="D2497" s="366" t="s">
        <v>101</v>
      </c>
      <c r="E2497" s="366" t="s">
        <v>10082</v>
      </c>
      <c r="F2497" s="366" t="s">
        <v>10078</v>
      </c>
      <c r="G2497" s="366" t="s">
        <v>10088</v>
      </c>
      <c r="H2497" s="366" t="s">
        <v>11308</v>
      </c>
      <c r="I2497" s="364" t="s">
        <v>12021</v>
      </c>
      <c r="J2497" s="367">
        <v>39813</v>
      </c>
      <c r="K2497" s="364"/>
      <c r="L2497" s="364"/>
      <c r="M2497" s="364" t="s">
        <v>10084</v>
      </c>
      <c r="N2497" s="364"/>
      <c r="O2497" s="364" t="s">
        <v>57</v>
      </c>
      <c r="P2497" s="373">
        <v>214252600</v>
      </c>
      <c r="Q2497" s="364" t="s">
        <v>12587</v>
      </c>
      <c r="R2497" s="364" t="s">
        <v>41</v>
      </c>
      <c r="S2497" s="340">
        <v>2</v>
      </c>
    </row>
    <row r="2498" spans="1:19" ht="31" x14ac:dyDescent="0.35">
      <c r="A2498" s="349">
        <v>2487</v>
      </c>
      <c r="B2498" s="364" t="s">
        <v>10096</v>
      </c>
      <c r="C2498" s="364" t="s">
        <v>10097</v>
      </c>
      <c r="D2498" s="366" t="s">
        <v>51</v>
      </c>
      <c r="E2498" s="366" t="s">
        <v>10082</v>
      </c>
      <c r="F2498" s="366" t="s">
        <v>10078</v>
      </c>
      <c r="G2498" s="366" t="s">
        <v>10088</v>
      </c>
      <c r="H2498" s="366" t="s">
        <v>11359</v>
      </c>
      <c r="I2498" s="364" t="s">
        <v>14471</v>
      </c>
      <c r="J2498" s="367"/>
      <c r="K2498" s="364"/>
      <c r="L2498" s="364"/>
      <c r="M2498" s="364" t="s">
        <v>10084</v>
      </c>
      <c r="N2498" s="364"/>
      <c r="O2498" s="364" t="s">
        <v>57</v>
      </c>
      <c r="P2498" s="373">
        <v>802997000</v>
      </c>
      <c r="Q2498" s="364" t="s">
        <v>14472</v>
      </c>
      <c r="R2498" s="364" t="s">
        <v>41</v>
      </c>
      <c r="S2498" s="340">
        <v>2</v>
      </c>
    </row>
    <row r="2499" spans="1:19" ht="31.5" thickBot="1" x14ac:dyDescent="0.4">
      <c r="A2499" s="357">
        <v>2488</v>
      </c>
      <c r="B2499" s="364" t="s">
        <v>10155</v>
      </c>
      <c r="C2499" s="364" t="s">
        <v>10156</v>
      </c>
      <c r="D2499" s="366" t="s">
        <v>51</v>
      </c>
      <c r="E2499" s="366" t="s">
        <v>10082</v>
      </c>
      <c r="F2499" s="366" t="s">
        <v>10078</v>
      </c>
      <c r="G2499" s="366" t="s">
        <v>10088</v>
      </c>
      <c r="H2499" s="366" t="s">
        <v>2972</v>
      </c>
      <c r="I2499" s="364" t="s">
        <v>14473</v>
      </c>
      <c r="J2499" s="367"/>
      <c r="K2499" s="364"/>
      <c r="L2499" s="364"/>
      <c r="M2499" s="364" t="s">
        <v>10084</v>
      </c>
      <c r="N2499" s="364"/>
      <c r="O2499" s="364" t="s">
        <v>57</v>
      </c>
      <c r="P2499" s="373">
        <v>620950995</v>
      </c>
      <c r="Q2499" s="364" t="s">
        <v>14474</v>
      </c>
      <c r="R2499" s="364" t="s">
        <v>16</v>
      </c>
      <c r="S2499" s="340">
        <v>1</v>
      </c>
    </row>
    <row r="2500" spans="1:19" ht="31" x14ac:dyDescent="0.35">
      <c r="A2500" s="349">
        <v>2489</v>
      </c>
      <c r="B2500" s="364" t="s">
        <v>10155</v>
      </c>
      <c r="C2500" s="364" t="s">
        <v>10156</v>
      </c>
      <c r="D2500" s="366" t="s">
        <v>59</v>
      </c>
      <c r="E2500" s="366" t="s">
        <v>10082</v>
      </c>
      <c r="F2500" s="366" t="s">
        <v>10078</v>
      </c>
      <c r="G2500" s="366" t="s">
        <v>10088</v>
      </c>
      <c r="H2500" s="366" t="s">
        <v>11756</v>
      </c>
      <c r="I2500" s="364" t="s">
        <v>14473</v>
      </c>
      <c r="J2500" s="367"/>
      <c r="K2500" s="364"/>
      <c r="L2500" s="364"/>
      <c r="M2500" s="364" t="s">
        <v>10084</v>
      </c>
      <c r="N2500" s="364"/>
      <c r="O2500" s="364" t="s">
        <v>57</v>
      </c>
      <c r="P2500" s="373">
        <v>4655304695</v>
      </c>
      <c r="Q2500" s="364" t="s">
        <v>14475</v>
      </c>
      <c r="R2500" s="364" t="s">
        <v>16</v>
      </c>
      <c r="S2500" s="340">
        <v>1</v>
      </c>
    </row>
    <row r="2501" spans="1:19" ht="31.5" thickBot="1" x14ac:dyDescent="0.4">
      <c r="A2501" s="357">
        <v>2490</v>
      </c>
      <c r="B2501" s="364" t="s">
        <v>10155</v>
      </c>
      <c r="C2501" s="364" t="s">
        <v>10156</v>
      </c>
      <c r="D2501" s="366" t="s">
        <v>97</v>
      </c>
      <c r="E2501" s="366" t="s">
        <v>10082</v>
      </c>
      <c r="F2501" s="366" t="s">
        <v>10078</v>
      </c>
      <c r="G2501" s="366" t="s">
        <v>10088</v>
      </c>
      <c r="H2501" s="366" t="s">
        <v>12302</v>
      </c>
      <c r="I2501" s="364" t="s">
        <v>14432</v>
      </c>
      <c r="J2501" s="367">
        <v>41891</v>
      </c>
      <c r="K2501" s="364" t="s">
        <v>14476</v>
      </c>
      <c r="L2501" s="364"/>
      <c r="M2501" s="364" t="s">
        <v>10084</v>
      </c>
      <c r="N2501" s="364"/>
      <c r="O2501" s="364" t="s">
        <v>57</v>
      </c>
      <c r="P2501" s="373">
        <v>54745000</v>
      </c>
      <c r="Q2501" s="364" t="s">
        <v>14477</v>
      </c>
      <c r="R2501" s="364" t="s">
        <v>16</v>
      </c>
      <c r="S2501" s="340">
        <v>1</v>
      </c>
    </row>
    <row r="2502" spans="1:19" ht="31" x14ac:dyDescent="0.35">
      <c r="A2502" s="349">
        <v>2491</v>
      </c>
      <c r="B2502" s="364" t="s">
        <v>10155</v>
      </c>
      <c r="C2502" s="364" t="s">
        <v>10156</v>
      </c>
      <c r="D2502" s="366" t="s">
        <v>101</v>
      </c>
      <c r="E2502" s="366" t="s">
        <v>10082</v>
      </c>
      <c r="F2502" s="366" t="s">
        <v>10078</v>
      </c>
      <c r="G2502" s="366" t="s">
        <v>10088</v>
      </c>
      <c r="H2502" s="366" t="s">
        <v>11408</v>
      </c>
      <c r="I2502" s="364" t="s">
        <v>11582</v>
      </c>
      <c r="J2502" s="367">
        <v>42297</v>
      </c>
      <c r="K2502" s="364" t="s">
        <v>14478</v>
      </c>
      <c r="L2502" s="364"/>
      <c r="M2502" s="364" t="s">
        <v>10084</v>
      </c>
      <c r="N2502" s="364"/>
      <c r="O2502" s="364" t="s">
        <v>57</v>
      </c>
      <c r="P2502" s="373">
        <v>110050000</v>
      </c>
      <c r="Q2502" s="364" t="s">
        <v>14479</v>
      </c>
      <c r="R2502" s="364" t="s">
        <v>16</v>
      </c>
      <c r="S2502" s="340">
        <v>1</v>
      </c>
    </row>
    <row r="2503" spans="1:19" ht="31.5" thickBot="1" x14ac:dyDescent="0.4">
      <c r="A2503" s="357">
        <v>2492</v>
      </c>
      <c r="B2503" s="364" t="s">
        <v>10155</v>
      </c>
      <c r="C2503" s="364" t="s">
        <v>10156</v>
      </c>
      <c r="D2503" s="366" t="s">
        <v>107</v>
      </c>
      <c r="E2503" s="366" t="s">
        <v>10082</v>
      </c>
      <c r="F2503" s="366" t="s">
        <v>10078</v>
      </c>
      <c r="G2503" s="366" t="s">
        <v>10088</v>
      </c>
      <c r="H2503" s="366" t="s">
        <v>14480</v>
      </c>
      <c r="I2503" s="364" t="s">
        <v>10548</v>
      </c>
      <c r="J2503" s="367">
        <v>42255</v>
      </c>
      <c r="K2503" s="364" t="s">
        <v>14481</v>
      </c>
      <c r="L2503" s="364"/>
      <c r="M2503" s="364" t="s">
        <v>10084</v>
      </c>
      <c r="N2503" s="364"/>
      <c r="O2503" s="364" t="s">
        <v>57</v>
      </c>
      <c r="P2503" s="373">
        <v>900603414.00000012</v>
      </c>
      <c r="Q2503" s="364" t="s">
        <v>14482</v>
      </c>
      <c r="R2503" s="364" t="s">
        <v>16</v>
      </c>
      <c r="S2503" s="340">
        <v>1</v>
      </c>
    </row>
    <row r="2504" spans="1:19" ht="31" x14ac:dyDescent="0.35">
      <c r="A2504" s="349">
        <v>2493</v>
      </c>
      <c r="B2504" s="364" t="s">
        <v>10155</v>
      </c>
      <c r="C2504" s="364" t="s">
        <v>10156</v>
      </c>
      <c r="D2504" s="366" t="s">
        <v>112</v>
      </c>
      <c r="E2504" s="366" t="s">
        <v>10082</v>
      </c>
      <c r="F2504" s="366" t="s">
        <v>10078</v>
      </c>
      <c r="G2504" s="366" t="s">
        <v>10088</v>
      </c>
      <c r="H2504" s="366" t="s">
        <v>11297</v>
      </c>
      <c r="I2504" s="364" t="s">
        <v>10548</v>
      </c>
      <c r="J2504" s="367">
        <v>42465</v>
      </c>
      <c r="K2504" s="364" t="s">
        <v>14483</v>
      </c>
      <c r="L2504" s="364"/>
      <c r="M2504" s="364" t="s">
        <v>10084</v>
      </c>
      <c r="N2504" s="364"/>
      <c r="O2504" s="364" t="s">
        <v>57</v>
      </c>
      <c r="P2504" s="373">
        <v>954647530</v>
      </c>
      <c r="Q2504" s="364" t="s">
        <v>14484</v>
      </c>
      <c r="R2504" s="364" t="s">
        <v>16</v>
      </c>
      <c r="S2504" s="340">
        <v>1</v>
      </c>
    </row>
    <row r="2505" spans="1:19" ht="47" thickBot="1" x14ac:dyDescent="0.4">
      <c r="A2505" s="357">
        <v>2494</v>
      </c>
      <c r="B2505" s="364" t="s">
        <v>10155</v>
      </c>
      <c r="C2505" s="364" t="s">
        <v>10156</v>
      </c>
      <c r="D2505" s="366" t="s">
        <v>126</v>
      </c>
      <c r="E2505" s="366" t="s">
        <v>10082</v>
      </c>
      <c r="F2505" s="366" t="s">
        <v>10078</v>
      </c>
      <c r="G2505" s="366" t="s">
        <v>10088</v>
      </c>
      <c r="H2505" s="366" t="s">
        <v>13707</v>
      </c>
      <c r="I2505" s="364" t="s">
        <v>14485</v>
      </c>
      <c r="J2505" s="367"/>
      <c r="K2505" s="364" t="s">
        <v>14486</v>
      </c>
      <c r="L2505" s="364"/>
      <c r="M2505" s="364"/>
      <c r="N2505" s="364"/>
      <c r="O2505" s="364" t="s">
        <v>44</v>
      </c>
      <c r="P2505" s="373">
        <v>719974390</v>
      </c>
      <c r="Q2505" s="364" t="s">
        <v>14487</v>
      </c>
      <c r="R2505" s="364" t="s">
        <v>16</v>
      </c>
      <c r="S2505" s="340">
        <v>1</v>
      </c>
    </row>
    <row r="2506" spans="1:19" ht="31" x14ac:dyDescent="0.35">
      <c r="A2506" s="349">
        <v>2495</v>
      </c>
      <c r="B2506" s="364" t="s">
        <v>10535</v>
      </c>
      <c r="C2506" s="364" t="s">
        <v>10536</v>
      </c>
      <c r="D2506" s="366" t="s">
        <v>97</v>
      </c>
      <c r="E2506" s="366" t="s">
        <v>10082</v>
      </c>
      <c r="F2506" s="366" t="s">
        <v>10078</v>
      </c>
      <c r="G2506" s="366" t="s">
        <v>10078</v>
      </c>
      <c r="H2506" s="366" t="s">
        <v>14488</v>
      </c>
      <c r="I2506" s="364" t="s">
        <v>14485</v>
      </c>
      <c r="J2506" s="367"/>
      <c r="K2506" s="364" t="s">
        <v>14489</v>
      </c>
      <c r="L2506" s="364"/>
      <c r="M2506" s="364"/>
      <c r="N2506" s="364"/>
      <c r="O2506" s="364" t="s">
        <v>44</v>
      </c>
      <c r="P2506" s="373">
        <v>66358280</v>
      </c>
      <c r="Q2506" s="364" t="s">
        <v>14490</v>
      </c>
      <c r="R2506" s="364" t="s">
        <v>16</v>
      </c>
      <c r="S2506" s="340">
        <v>1</v>
      </c>
    </row>
    <row r="2507" spans="1:19" ht="31.5" thickBot="1" x14ac:dyDescent="0.4">
      <c r="A2507" s="357">
        <v>2496</v>
      </c>
      <c r="B2507" s="364" t="s">
        <v>10535</v>
      </c>
      <c r="C2507" s="364" t="s">
        <v>10536</v>
      </c>
      <c r="D2507" s="366" t="s">
        <v>101</v>
      </c>
      <c r="E2507" s="366" t="s">
        <v>10082</v>
      </c>
      <c r="F2507" s="366" t="s">
        <v>10071</v>
      </c>
      <c r="G2507" s="366" t="s">
        <v>10078</v>
      </c>
      <c r="H2507" s="366" t="s">
        <v>11291</v>
      </c>
      <c r="I2507" s="364" t="s">
        <v>14491</v>
      </c>
      <c r="J2507" s="367"/>
      <c r="K2507" s="364" t="s">
        <v>14492</v>
      </c>
      <c r="L2507" s="364"/>
      <c r="M2507" s="364"/>
      <c r="N2507" s="364"/>
      <c r="O2507" s="364" t="s">
        <v>44</v>
      </c>
      <c r="P2507" s="373">
        <v>77292500</v>
      </c>
      <c r="Q2507" s="364" t="s">
        <v>14493</v>
      </c>
      <c r="R2507" s="364" t="s">
        <v>16</v>
      </c>
      <c r="S2507" s="340">
        <v>1</v>
      </c>
    </row>
    <row r="2508" spans="1:19" ht="31" x14ac:dyDescent="0.35">
      <c r="A2508" s="349">
        <v>2497</v>
      </c>
      <c r="B2508" s="364" t="s">
        <v>10541</v>
      </c>
      <c r="C2508" s="364" t="s">
        <v>10542</v>
      </c>
      <c r="D2508" s="366" t="s">
        <v>51</v>
      </c>
      <c r="E2508" s="366" t="s">
        <v>10082</v>
      </c>
      <c r="F2508" s="366" t="s">
        <v>10078</v>
      </c>
      <c r="G2508" s="366" t="s">
        <v>10088</v>
      </c>
      <c r="H2508" s="366" t="s">
        <v>11409</v>
      </c>
      <c r="I2508" s="364" t="s">
        <v>14494</v>
      </c>
      <c r="J2508" s="367"/>
      <c r="K2508" s="364"/>
      <c r="L2508" s="364"/>
      <c r="M2508" s="364" t="s">
        <v>10084</v>
      </c>
      <c r="N2508" s="364"/>
      <c r="O2508" s="364" t="s">
        <v>57</v>
      </c>
      <c r="P2508" s="373">
        <v>870904500</v>
      </c>
      <c r="Q2508" s="364" t="s">
        <v>4966</v>
      </c>
      <c r="R2508" s="364" t="s">
        <v>16</v>
      </c>
      <c r="S2508" s="340">
        <v>1</v>
      </c>
    </row>
    <row r="2509" spans="1:19" ht="47" thickBot="1" x14ac:dyDescent="0.4">
      <c r="A2509" s="357">
        <v>2498</v>
      </c>
      <c r="B2509" s="364" t="s">
        <v>10541</v>
      </c>
      <c r="C2509" s="364" t="s">
        <v>10542</v>
      </c>
      <c r="D2509" s="366" t="s">
        <v>59</v>
      </c>
      <c r="E2509" s="366" t="s">
        <v>10082</v>
      </c>
      <c r="F2509" s="366" t="s">
        <v>10078</v>
      </c>
      <c r="G2509" s="366" t="s">
        <v>10088</v>
      </c>
      <c r="H2509" s="366" t="s">
        <v>14495</v>
      </c>
      <c r="I2509" s="364" t="s">
        <v>14491</v>
      </c>
      <c r="J2509" s="367"/>
      <c r="K2509" s="364" t="s">
        <v>14496</v>
      </c>
      <c r="L2509" s="364"/>
      <c r="M2509" s="364"/>
      <c r="N2509" s="364"/>
      <c r="O2509" s="364" t="s">
        <v>44</v>
      </c>
      <c r="P2509" s="373">
        <v>547406208.89999998</v>
      </c>
      <c r="Q2509" s="364" t="s">
        <v>14497</v>
      </c>
      <c r="R2509" s="364" t="s">
        <v>16</v>
      </c>
      <c r="S2509" s="340">
        <v>1</v>
      </c>
    </row>
    <row r="2510" spans="1:19" ht="46.5" x14ac:dyDescent="0.35">
      <c r="A2510" s="349">
        <v>2499</v>
      </c>
      <c r="B2510" s="364" t="s">
        <v>10475</v>
      </c>
      <c r="C2510" s="364" t="s">
        <v>10476</v>
      </c>
      <c r="D2510" s="366" t="s">
        <v>51</v>
      </c>
      <c r="E2510" s="366" t="s">
        <v>10082</v>
      </c>
      <c r="F2510" s="366" t="s">
        <v>10078</v>
      </c>
      <c r="G2510" s="366" t="s">
        <v>10088</v>
      </c>
      <c r="H2510" s="366" t="s">
        <v>11551</v>
      </c>
      <c r="I2510" s="364" t="s">
        <v>14498</v>
      </c>
      <c r="J2510" s="367">
        <v>42208</v>
      </c>
      <c r="K2510" s="364" t="s">
        <v>14499</v>
      </c>
      <c r="L2510" s="364"/>
      <c r="M2510" s="364" t="s">
        <v>10084</v>
      </c>
      <c r="N2510" s="364"/>
      <c r="O2510" s="364" t="s">
        <v>57</v>
      </c>
      <c r="P2510" s="373">
        <v>199700000</v>
      </c>
      <c r="Q2510" s="364" t="s">
        <v>14500</v>
      </c>
      <c r="R2510" s="364" t="s">
        <v>16</v>
      </c>
      <c r="S2510" s="340">
        <v>1</v>
      </c>
    </row>
    <row r="2511" spans="1:19" ht="31.5" thickBot="1" x14ac:dyDescent="0.4">
      <c r="A2511" s="357">
        <v>2500</v>
      </c>
      <c r="B2511" s="364" t="s">
        <v>10080</v>
      </c>
      <c r="C2511" s="364" t="s">
        <v>10081</v>
      </c>
      <c r="D2511" s="366" t="s">
        <v>101</v>
      </c>
      <c r="E2511" s="366" t="s">
        <v>10082</v>
      </c>
      <c r="F2511" s="366" t="s">
        <v>10078</v>
      </c>
      <c r="G2511" s="366" t="s">
        <v>10088</v>
      </c>
      <c r="H2511" s="366" t="s">
        <v>11413</v>
      </c>
      <c r="I2511" s="364" t="s">
        <v>14501</v>
      </c>
      <c r="J2511" s="367"/>
      <c r="K2511" s="364"/>
      <c r="L2511" s="364"/>
      <c r="M2511" s="364" t="s">
        <v>10084</v>
      </c>
      <c r="N2511" s="364"/>
      <c r="O2511" s="364" t="s">
        <v>57</v>
      </c>
      <c r="P2511" s="373">
        <v>532164000</v>
      </c>
      <c r="Q2511" s="364" t="s">
        <v>14502</v>
      </c>
      <c r="R2511" s="364" t="s">
        <v>16</v>
      </c>
      <c r="S2511" s="340">
        <v>1</v>
      </c>
    </row>
    <row r="2512" spans="1:19" ht="31" x14ac:dyDescent="0.35">
      <c r="A2512" s="349">
        <v>2501</v>
      </c>
      <c r="B2512" s="364" t="s">
        <v>10080</v>
      </c>
      <c r="C2512" s="364" t="s">
        <v>10081</v>
      </c>
      <c r="D2512" s="366" t="s">
        <v>107</v>
      </c>
      <c r="E2512" s="366" t="s">
        <v>10082</v>
      </c>
      <c r="F2512" s="366" t="s">
        <v>10078</v>
      </c>
      <c r="G2512" s="366" t="s">
        <v>10088</v>
      </c>
      <c r="H2512" s="366" t="s">
        <v>11413</v>
      </c>
      <c r="I2512" s="364" t="s">
        <v>14501</v>
      </c>
      <c r="J2512" s="367"/>
      <c r="K2512" s="364"/>
      <c r="L2512" s="364"/>
      <c r="M2512" s="364" t="s">
        <v>10084</v>
      </c>
      <c r="N2512" s="364"/>
      <c r="O2512" s="364" t="s">
        <v>57</v>
      </c>
      <c r="P2512" s="373">
        <v>100932000</v>
      </c>
      <c r="Q2512" s="364" t="s">
        <v>14502</v>
      </c>
      <c r="R2512" s="364" t="s">
        <v>16</v>
      </c>
      <c r="S2512" s="340">
        <v>1</v>
      </c>
    </row>
    <row r="2513" spans="1:19" ht="47" thickBot="1" x14ac:dyDescent="0.4">
      <c r="A2513" s="357">
        <v>2502</v>
      </c>
      <c r="B2513" s="364" t="s">
        <v>10080</v>
      </c>
      <c r="C2513" s="364" t="s">
        <v>10081</v>
      </c>
      <c r="D2513" s="366" t="s">
        <v>122</v>
      </c>
      <c r="E2513" s="366" t="s">
        <v>10082</v>
      </c>
      <c r="F2513" s="366" t="s">
        <v>10078</v>
      </c>
      <c r="G2513" s="366" t="s">
        <v>10088</v>
      </c>
      <c r="H2513" s="366" t="s">
        <v>12664</v>
      </c>
      <c r="I2513" s="364" t="s">
        <v>14503</v>
      </c>
      <c r="J2513" s="367"/>
      <c r="K2513" s="364" t="s">
        <v>14504</v>
      </c>
      <c r="L2513" s="364"/>
      <c r="M2513" s="364"/>
      <c r="N2513" s="364"/>
      <c r="O2513" s="364" t="s">
        <v>44</v>
      </c>
      <c r="P2513" s="373">
        <v>492695090</v>
      </c>
      <c r="Q2513" s="364" t="s">
        <v>14505</v>
      </c>
      <c r="R2513" s="364" t="s">
        <v>16</v>
      </c>
      <c r="S2513" s="340">
        <v>1</v>
      </c>
    </row>
    <row r="2514" spans="1:19" ht="31" x14ac:dyDescent="0.35">
      <c r="A2514" s="349">
        <v>2503</v>
      </c>
      <c r="B2514" s="364" t="s">
        <v>10110</v>
      </c>
      <c r="C2514" s="364" t="s">
        <v>10111</v>
      </c>
      <c r="D2514" s="366" t="s">
        <v>51</v>
      </c>
      <c r="E2514" s="366" t="s">
        <v>10082</v>
      </c>
      <c r="F2514" s="366" t="s">
        <v>10078</v>
      </c>
      <c r="G2514" s="366" t="s">
        <v>10088</v>
      </c>
      <c r="H2514" s="366" t="s">
        <v>11349</v>
      </c>
      <c r="I2514" s="364" t="s">
        <v>10548</v>
      </c>
      <c r="J2514" s="367">
        <v>42465</v>
      </c>
      <c r="K2514" s="364" t="s">
        <v>14506</v>
      </c>
      <c r="L2514" s="364"/>
      <c r="M2514" s="364" t="s">
        <v>10084</v>
      </c>
      <c r="N2514" s="364"/>
      <c r="O2514" s="364" t="s">
        <v>57</v>
      </c>
      <c r="P2514" s="373">
        <v>110400000</v>
      </c>
      <c r="Q2514" s="364" t="s">
        <v>14507</v>
      </c>
      <c r="R2514" s="364" t="s">
        <v>16</v>
      </c>
      <c r="S2514" s="340">
        <v>1</v>
      </c>
    </row>
    <row r="2515" spans="1:19" ht="47" thickBot="1" x14ac:dyDescent="0.4">
      <c r="A2515" s="357">
        <v>2504</v>
      </c>
      <c r="B2515" s="364" t="s">
        <v>10110</v>
      </c>
      <c r="C2515" s="364" t="s">
        <v>10111</v>
      </c>
      <c r="D2515" s="366" t="s">
        <v>59</v>
      </c>
      <c r="E2515" s="366" t="s">
        <v>10082</v>
      </c>
      <c r="F2515" s="366" t="s">
        <v>10078</v>
      </c>
      <c r="G2515" s="366" t="s">
        <v>10078</v>
      </c>
      <c r="H2515" s="366" t="s">
        <v>2972</v>
      </c>
      <c r="I2515" s="364" t="s">
        <v>14508</v>
      </c>
      <c r="J2515" s="367">
        <v>42447</v>
      </c>
      <c r="K2515" s="364" t="s">
        <v>14509</v>
      </c>
      <c r="L2515" s="364"/>
      <c r="M2515" s="364" t="s">
        <v>10084</v>
      </c>
      <c r="N2515" s="364"/>
      <c r="O2515" s="364" t="s">
        <v>57</v>
      </c>
      <c r="P2515" s="373">
        <v>99750000</v>
      </c>
      <c r="Q2515" s="364" t="s">
        <v>14510</v>
      </c>
      <c r="R2515" s="364" t="s">
        <v>16</v>
      </c>
      <c r="S2515" s="340">
        <v>1</v>
      </c>
    </row>
    <row r="2516" spans="1:19" ht="46.5" x14ac:dyDescent="0.35">
      <c r="A2516" s="349">
        <v>2505</v>
      </c>
      <c r="B2516" s="364" t="s">
        <v>10110</v>
      </c>
      <c r="C2516" s="364" t="s">
        <v>10111</v>
      </c>
      <c r="D2516" s="366" t="s">
        <v>97</v>
      </c>
      <c r="E2516" s="366" t="s">
        <v>10082</v>
      </c>
      <c r="F2516" s="366" t="s">
        <v>10078</v>
      </c>
      <c r="G2516" s="366" t="s">
        <v>10078</v>
      </c>
      <c r="H2516" s="366" t="s">
        <v>2972</v>
      </c>
      <c r="I2516" s="364" t="s">
        <v>14511</v>
      </c>
      <c r="J2516" s="367">
        <v>42695</v>
      </c>
      <c r="K2516" s="364" t="s">
        <v>14512</v>
      </c>
      <c r="L2516" s="364"/>
      <c r="M2516" s="364" t="s">
        <v>10084</v>
      </c>
      <c r="N2516" s="364"/>
      <c r="O2516" s="364" t="s">
        <v>57</v>
      </c>
      <c r="P2516" s="373">
        <v>99750000</v>
      </c>
      <c r="Q2516" s="364" t="s">
        <v>14510</v>
      </c>
      <c r="R2516" s="364" t="s">
        <v>16</v>
      </c>
      <c r="S2516" s="340">
        <v>1</v>
      </c>
    </row>
    <row r="2517" spans="1:19" ht="47" thickBot="1" x14ac:dyDescent="0.4">
      <c r="A2517" s="357">
        <v>2506</v>
      </c>
      <c r="B2517" s="364" t="s">
        <v>10110</v>
      </c>
      <c r="C2517" s="364" t="s">
        <v>10111</v>
      </c>
      <c r="D2517" s="366" t="s">
        <v>101</v>
      </c>
      <c r="E2517" s="366" t="s">
        <v>10082</v>
      </c>
      <c r="F2517" s="366" t="s">
        <v>10078</v>
      </c>
      <c r="G2517" s="366" t="s">
        <v>10078</v>
      </c>
      <c r="H2517" s="366" t="s">
        <v>2972</v>
      </c>
      <c r="I2517" s="364" t="s">
        <v>14513</v>
      </c>
      <c r="J2517" s="367">
        <v>42447</v>
      </c>
      <c r="K2517" s="364" t="s">
        <v>14514</v>
      </c>
      <c r="L2517" s="364"/>
      <c r="M2517" s="364" t="s">
        <v>10084</v>
      </c>
      <c r="N2517" s="364"/>
      <c r="O2517" s="364" t="s">
        <v>57</v>
      </c>
      <c r="P2517" s="373">
        <v>99770000</v>
      </c>
      <c r="Q2517" s="364" t="s">
        <v>14510</v>
      </c>
      <c r="R2517" s="364" t="s">
        <v>16</v>
      </c>
      <c r="S2517" s="340">
        <v>1</v>
      </c>
    </row>
    <row r="2518" spans="1:19" ht="46.5" x14ac:dyDescent="0.35">
      <c r="A2518" s="349">
        <v>2507</v>
      </c>
      <c r="B2518" s="364" t="s">
        <v>10110</v>
      </c>
      <c r="C2518" s="364" t="s">
        <v>10111</v>
      </c>
      <c r="D2518" s="366" t="s">
        <v>107</v>
      </c>
      <c r="E2518" s="366" t="s">
        <v>10082</v>
      </c>
      <c r="F2518" s="366" t="s">
        <v>10078</v>
      </c>
      <c r="G2518" s="366" t="s">
        <v>10078</v>
      </c>
      <c r="H2518" s="366" t="s">
        <v>2972</v>
      </c>
      <c r="I2518" s="364" t="s">
        <v>14515</v>
      </c>
      <c r="J2518" s="367">
        <v>42447</v>
      </c>
      <c r="K2518" s="364" t="s">
        <v>14516</v>
      </c>
      <c r="L2518" s="364"/>
      <c r="M2518" s="364" t="s">
        <v>10084</v>
      </c>
      <c r="N2518" s="364"/>
      <c r="O2518" s="364" t="s">
        <v>57</v>
      </c>
      <c r="P2518" s="373">
        <v>99775000</v>
      </c>
      <c r="Q2518" s="364" t="s">
        <v>14510</v>
      </c>
      <c r="R2518" s="364" t="s">
        <v>16</v>
      </c>
      <c r="S2518" s="340">
        <v>1</v>
      </c>
    </row>
    <row r="2519" spans="1:19" ht="47" thickBot="1" x14ac:dyDescent="0.4">
      <c r="A2519" s="357">
        <v>2508</v>
      </c>
      <c r="B2519" s="364" t="s">
        <v>10110</v>
      </c>
      <c r="C2519" s="364" t="s">
        <v>10111</v>
      </c>
      <c r="D2519" s="366" t="s">
        <v>112</v>
      </c>
      <c r="E2519" s="366" t="s">
        <v>10082</v>
      </c>
      <c r="F2519" s="366" t="s">
        <v>10078</v>
      </c>
      <c r="G2519" s="366" t="s">
        <v>10078</v>
      </c>
      <c r="H2519" s="366" t="s">
        <v>2972</v>
      </c>
      <c r="I2519" s="364" t="s">
        <v>14517</v>
      </c>
      <c r="J2519" s="367">
        <v>42447</v>
      </c>
      <c r="K2519" s="364" t="s">
        <v>14518</v>
      </c>
      <c r="L2519" s="364"/>
      <c r="M2519" s="364" t="s">
        <v>10084</v>
      </c>
      <c r="N2519" s="364"/>
      <c r="O2519" s="364" t="s">
        <v>57</v>
      </c>
      <c r="P2519" s="373">
        <v>99800000</v>
      </c>
      <c r="Q2519" s="364" t="s">
        <v>14510</v>
      </c>
      <c r="R2519" s="364" t="s">
        <v>16</v>
      </c>
      <c r="S2519" s="340">
        <v>1</v>
      </c>
    </row>
    <row r="2520" spans="1:19" ht="46.5" x14ac:dyDescent="0.35">
      <c r="A2520" s="349">
        <v>2509</v>
      </c>
      <c r="B2520" s="364" t="s">
        <v>10110</v>
      </c>
      <c r="C2520" s="364" t="s">
        <v>10111</v>
      </c>
      <c r="D2520" s="366" t="s">
        <v>116</v>
      </c>
      <c r="E2520" s="366" t="s">
        <v>10082</v>
      </c>
      <c r="F2520" s="366" t="s">
        <v>10078</v>
      </c>
      <c r="G2520" s="366" t="s">
        <v>10078</v>
      </c>
      <c r="H2520" s="366" t="s">
        <v>2972</v>
      </c>
      <c r="I2520" s="364" t="s">
        <v>14519</v>
      </c>
      <c r="J2520" s="367">
        <v>42695</v>
      </c>
      <c r="K2520" s="364" t="s">
        <v>14520</v>
      </c>
      <c r="L2520" s="364"/>
      <c r="M2520" s="364" t="s">
        <v>10084</v>
      </c>
      <c r="N2520" s="364"/>
      <c r="O2520" s="364" t="s">
        <v>57</v>
      </c>
      <c r="P2520" s="373">
        <v>99800000</v>
      </c>
      <c r="Q2520" s="364" t="s">
        <v>14510</v>
      </c>
      <c r="R2520" s="364" t="s">
        <v>16</v>
      </c>
      <c r="S2520" s="340">
        <v>1</v>
      </c>
    </row>
    <row r="2521" spans="1:19" ht="47" thickBot="1" x14ac:dyDescent="0.4">
      <c r="A2521" s="357">
        <v>2510</v>
      </c>
      <c r="B2521" s="364" t="s">
        <v>10110</v>
      </c>
      <c r="C2521" s="364" t="s">
        <v>10111</v>
      </c>
      <c r="D2521" s="366" t="s">
        <v>841</v>
      </c>
      <c r="E2521" s="366" t="s">
        <v>10082</v>
      </c>
      <c r="F2521" s="366" t="s">
        <v>10078</v>
      </c>
      <c r="G2521" s="366" t="s">
        <v>10078</v>
      </c>
      <c r="H2521" s="366" t="s">
        <v>2972</v>
      </c>
      <c r="I2521" s="364" t="s">
        <v>14521</v>
      </c>
      <c r="J2521" s="367">
        <v>42934</v>
      </c>
      <c r="K2521" s="364" t="s">
        <v>14522</v>
      </c>
      <c r="L2521" s="364"/>
      <c r="M2521" s="364" t="s">
        <v>10084</v>
      </c>
      <c r="N2521" s="364"/>
      <c r="O2521" s="364" t="s">
        <v>57</v>
      </c>
      <c r="P2521" s="373">
        <v>99850000</v>
      </c>
      <c r="Q2521" s="364" t="s">
        <v>14510</v>
      </c>
      <c r="R2521" s="364" t="s">
        <v>16</v>
      </c>
      <c r="S2521" s="340">
        <v>1</v>
      </c>
    </row>
    <row r="2522" spans="1:19" ht="31" x14ac:dyDescent="0.35">
      <c r="A2522" s="349">
        <v>2511</v>
      </c>
      <c r="B2522" s="364" t="s">
        <v>10682</v>
      </c>
      <c r="C2522" s="364" t="s">
        <v>10683</v>
      </c>
      <c r="D2522" s="366" t="s">
        <v>51</v>
      </c>
      <c r="E2522" s="366" t="s">
        <v>10082</v>
      </c>
      <c r="F2522" s="366" t="s">
        <v>10078</v>
      </c>
      <c r="G2522" s="366" t="s">
        <v>10088</v>
      </c>
      <c r="H2522" s="366" t="s">
        <v>12697</v>
      </c>
      <c r="I2522" s="364" t="s">
        <v>14501</v>
      </c>
      <c r="J2522" s="367"/>
      <c r="K2522" s="364"/>
      <c r="L2522" s="364"/>
      <c r="M2522" s="364" t="s">
        <v>10084</v>
      </c>
      <c r="N2522" s="364"/>
      <c r="O2522" s="364" t="s">
        <v>57</v>
      </c>
      <c r="P2522" s="373">
        <v>587363000</v>
      </c>
      <c r="Q2522" s="364" t="s">
        <v>14523</v>
      </c>
      <c r="R2522" s="364" t="s">
        <v>16</v>
      </c>
      <c r="S2522" s="340">
        <v>1</v>
      </c>
    </row>
    <row r="2523" spans="1:19" ht="31.5" thickBot="1" x14ac:dyDescent="0.4">
      <c r="A2523" s="357">
        <v>2512</v>
      </c>
      <c r="B2523" s="364" t="s">
        <v>10486</v>
      </c>
      <c r="C2523" s="364" t="s">
        <v>10487</v>
      </c>
      <c r="D2523" s="366" t="s">
        <v>51</v>
      </c>
      <c r="E2523" s="366" t="s">
        <v>10082</v>
      </c>
      <c r="F2523" s="366" t="s">
        <v>10078</v>
      </c>
      <c r="G2523" s="366" t="s">
        <v>10088</v>
      </c>
      <c r="H2523" s="366" t="s">
        <v>12103</v>
      </c>
      <c r="I2523" s="364" t="s">
        <v>14524</v>
      </c>
      <c r="J2523" s="367"/>
      <c r="K2523" s="364"/>
      <c r="L2523" s="364"/>
      <c r="M2523" s="364" t="s">
        <v>10084</v>
      </c>
      <c r="N2523" s="364"/>
      <c r="O2523" s="364" t="s">
        <v>57</v>
      </c>
      <c r="P2523" s="373">
        <v>74249500</v>
      </c>
      <c r="Q2523" s="364" t="s">
        <v>14525</v>
      </c>
      <c r="R2523" s="364" t="s">
        <v>16</v>
      </c>
      <c r="S2523" s="340">
        <v>1</v>
      </c>
    </row>
    <row r="2524" spans="1:19" ht="31" x14ac:dyDescent="0.35">
      <c r="A2524" s="349">
        <v>2513</v>
      </c>
      <c r="B2524" s="364" t="s">
        <v>10486</v>
      </c>
      <c r="C2524" s="364" t="s">
        <v>10487</v>
      </c>
      <c r="D2524" s="366" t="s">
        <v>59</v>
      </c>
      <c r="E2524" s="366" t="s">
        <v>10082</v>
      </c>
      <c r="F2524" s="366" t="s">
        <v>10078</v>
      </c>
      <c r="G2524" s="366" t="s">
        <v>10088</v>
      </c>
      <c r="H2524" s="366" t="s">
        <v>11421</v>
      </c>
      <c r="I2524" s="364" t="s">
        <v>10548</v>
      </c>
      <c r="J2524" s="367">
        <v>42391</v>
      </c>
      <c r="K2524" s="364" t="s">
        <v>14526</v>
      </c>
      <c r="L2524" s="364"/>
      <c r="M2524" s="364" t="s">
        <v>10084</v>
      </c>
      <c r="N2524" s="364"/>
      <c r="O2524" s="364" t="s">
        <v>57</v>
      </c>
      <c r="P2524" s="373">
        <v>95321000</v>
      </c>
      <c r="Q2524" s="364" t="s">
        <v>14527</v>
      </c>
      <c r="R2524" s="364" t="s">
        <v>16</v>
      </c>
      <c r="S2524" s="340">
        <v>1</v>
      </c>
    </row>
    <row r="2525" spans="1:19" ht="31.5" thickBot="1" x14ac:dyDescent="0.4">
      <c r="A2525" s="357">
        <v>2514</v>
      </c>
      <c r="B2525" s="364" t="s">
        <v>10687</v>
      </c>
      <c r="C2525" s="364" t="s">
        <v>10688</v>
      </c>
      <c r="D2525" s="366" t="s">
        <v>51</v>
      </c>
      <c r="E2525" s="366" t="s">
        <v>10082</v>
      </c>
      <c r="F2525" s="366" t="s">
        <v>10078</v>
      </c>
      <c r="G2525" s="366" t="s">
        <v>10078</v>
      </c>
      <c r="H2525" s="366" t="s">
        <v>11844</v>
      </c>
      <c r="I2525" s="364" t="s">
        <v>14473</v>
      </c>
      <c r="J2525" s="367"/>
      <c r="K2525" s="364"/>
      <c r="L2525" s="364"/>
      <c r="M2525" s="364" t="s">
        <v>10084</v>
      </c>
      <c r="N2525" s="364"/>
      <c r="O2525" s="364" t="s">
        <v>57</v>
      </c>
      <c r="P2525" s="373">
        <v>36225000</v>
      </c>
      <c r="Q2525" s="364"/>
      <c r="R2525" s="364" t="s">
        <v>16</v>
      </c>
      <c r="S2525" s="340">
        <v>1</v>
      </c>
    </row>
    <row r="2526" spans="1:19" ht="31" x14ac:dyDescent="0.35">
      <c r="A2526" s="349">
        <v>2515</v>
      </c>
      <c r="B2526" s="364" t="s">
        <v>10997</v>
      </c>
      <c r="C2526" s="364" t="s">
        <v>10998</v>
      </c>
      <c r="D2526" s="366" t="s">
        <v>59</v>
      </c>
      <c r="E2526" s="366" t="s">
        <v>10082</v>
      </c>
      <c r="F2526" s="366" t="s">
        <v>10078</v>
      </c>
      <c r="G2526" s="366" t="s">
        <v>10078</v>
      </c>
      <c r="H2526" s="366" t="s">
        <v>11870</v>
      </c>
      <c r="I2526" s="364" t="s">
        <v>14494</v>
      </c>
      <c r="J2526" s="367"/>
      <c r="K2526" s="364"/>
      <c r="L2526" s="364"/>
      <c r="M2526" s="364" t="s">
        <v>10084</v>
      </c>
      <c r="N2526" s="364"/>
      <c r="O2526" s="364" t="s">
        <v>57</v>
      </c>
      <c r="P2526" s="373">
        <v>65850000</v>
      </c>
      <c r="Q2526" s="364" t="s">
        <v>14528</v>
      </c>
      <c r="R2526" s="364" t="s">
        <v>16</v>
      </c>
      <c r="S2526" s="340">
        <v>1</v>
      </c>
    </row>
    <row r="2527" spans="1:19" ht="31.5" thickBot="1" x14ac:dyDescent="0.4">
      <c r="A2527" s="357">
        <v>2516</v>
      </c>
      <c r="B2527" s="364" t="s">
        <v>10228</v>
      </c>
      <c r="C2527" s="364" t="s">
        <v>10229</v>
      </c>
      <c r="D2527" s="366" t="s">
        <v>51</v>
      </c>
      <c r="E2527" s="366" t="s">
        <v>10082</v>
      </c>
      <c r="F2527" s="366" t="s">
        <v>10078</v>
      </c>
      <c r="G2527" s="366" t="s">
        <v>10088</v>
      </c>
      <c r="H2527" s="366" t="s">
        <v>11318</v>
      </c>
      <c r="I2527" s="364" t="s">
        <v>14491</v>
      </c>
      <c r="J2527" s="367"/>
      <c r="K2527" s="364" t="s">
        <v>14529</v>
      </c>
      <c r="L2527" s="364"/>
      <c r="M2527" s="364"/>
      <c r="N2527" s="364"/>
      <c r="O2527" s="364" t="s">
        <v>44</v>
      </c>
      <c r="P2527" s="373">
        <v>175359707</v>
      </c>
      <c r="Q2527" s="364" t="s">
        <v>14530</v>
      </c>
      <c r="R2527" s="364" t="s">
        <v>16</v>
      </c>
      <c r="S2527" s="340">
        <v>1</v>
      </c>
    </row>
    <row r="2528" spans="1:19" ht="31" x14ac:dyDescent="0.35">
      <c r="A2528" s="349">
        <v>2517</v>
      </c>
      <c r="B2528" s="364" t="s">
        <v>10765</v>
      </c>
      <c r="C2528" s="364" t="s">
        <v>10766</v>
      </c>
      <c r="D2528" s="366" t="s">
        <v>51</v>
      </c>
      <c r="E2528" s="366" t="s">
        <v>10082</v>
      </c>
      <c r="F2528" s="366" t="s">
        <v>10078</v>
      </c>
      <c r="G2528" s="366" t="s">
        <v>10088</v>
      </c>
      <c r="H2528" s="366" t="s">
        <v>14531</v>
      </c>
      <c r="I2528" s="364" t="s">
        <v>10548</v>
      </c>
      <c r="J2528" s="367">
        <v>43213</v>
      </c>
      <c r="K2528" s="364" t="s">
        <v>14532</v>
      </c>
      <c r="L2528" s="364"/>
      <c r="M2528" s="364" t="s">
        <v>10084</v>
      </c>
      <c r="N2528" s="364"/>
      <c r="O2528" s="364" t="s">
        <v>57</v>
      </c>
      <c r="P2528" s="373">
        <v>663802275</v>
      </c>
      <c r="Q2528" s="364" t="s">
        <v>14533</v>
      </c>
      <c r="R2528" s="364" t="s">
        <v>16</v>
      </c>
      <c r="S2528" s="340">
        <v>1</v>
      </c>
    </row>
    <row r="2529" spans="1:19" ht="31.5" thickBot="1" x14ac:dyDescent="0.4">
      <c r="A2529" s="357">
        <v>2518</v>
      </c>
      <c r="B2529" s="364" t="s">
        <v>10765</v>
      </c>
      <c r="C2529" s="364" t="s">
        <v>10766</v>
      </c>
      <c r="D2529" s="366" t="s">
        <v>59</v>
      </c>
      <c r="E2529" s="366" t="s">
        <v>10082</v>
      </c>
      <c r="F2529" s="366" t="s">
        <v>10078</v>
      </c>
      <c r="G2529" s="366" t="s">
        <v>10088</v>
      </c>
      <c r="H2529" s="366" t="s">
        <v>11308</v>
      </c>
      <c r="I2529" s="364" t="s">
        <v>11278</v>
      </c>
      <c r="J2529" s="367"/>
      <c r="K2529" s="364"/>
      <c r="L2529" s="364"/>
      <c r="M2529" s="364" t="s">
        <v>10084</v>
      </c>
      <c r="N2529" s="364"/>
      <c r="O2529" s="364" t="s">
        <v>57</v>
      </c>
      <c r="P2529" s="373">
        <v>690069000</v>
      </c>
      <c r="Q2529" s="364" t="s">
        <v>14534</v>
      </c>
      <c r="R2529" s="364" t="s">
        <v>16</v>
      </c>
      <c r="S2529" s="340">
        <v>1</v>
      </c>
    </row>
    <row r="2530" spans="1:19" ht="31" x14ac:dyDescent="0.35">
      <c r="A2530" s="349">
        <v>2519</v>
      </c>
      <c r="B2530" s="364" t="s">
        <v>10085</v>
      </c>
      <c r="C2530" s="364" t="s">
        <v>10086</v>
      </c>
      <c r="D2530" s="366" t="s">
        <v>51</v>
      </c>
      <c r="E2530" s="366" t="s">
        <v>10082</v>
      </c>
      <c r="F2530" s="366" t="s">
        <v>10078</v>
      </c>
      <c r="G2530" s="366" t="s">
        <v>10078</v>
      </c>
      <c r="H2530" s="366" t="s">
        <v>11451</v>
      </c>
      <c r="I2530" s="364" t="s">
        <v>14473</v>
      </c>
      <c r="J2530" s="367"/>
      <c r="K2530" s="364"/>
      <c r="L2530" s="364"/>
      <c r="M2530" s="364" t="s">
        <v>10084</v>
      </c>
      <c r="N2530" s="364"/>
      <c r="O2530" s="364" t="s">
        <v>57</v>
      </c>
      <c r="P2530" s="373">
        <v>192550000</v>
      </c>
      <c r="Q2530" s="364" t="s">
        <v>14535</v>
      </c>
      <c r="R2530" s="364" t="s">
        <v>16</v>
      </c>
      <c r="S2530" s="340">
        <v>1</v>
      </c>
    </row>
    <row r="2531" spans="1:19" ht="31.5" thickBot="1" x14ac:dyDescent="0.4">
      <c r="A2531" s="357">
        <v>2520</v>
      </c>
      <c r="B2531" s="364" t="s">
        <v>11382</v>
      </c>
      <c r="C2531" s="364" t="s">
        <v>11383</v>
      </c>
      <c r="D2531" s="366" t="s">
        <v>51</v>
      </c>
      <c r="E2531" s="366" t="s">
        <v>10082</v>
      </c>
      <c r="F2531" s="366" t="s">
        <v>10078</v>
      </c>
      <c r="G2531" s="366" t="s">
        <v>10088</v>
      </c>
      <c r="H2531" s="366" t="s">
        <v>11409</v>
      </c>
      <c r="I2531" s="364" t="s">
        <v>14536</v>
      </c>
      <c r="J2531" s="367"/>
      <c r="K2531" s="364"/>
      <c r="L2531" s="364"/>
      <c r="M2531" s="364" t="s">
        <v>10084</v>
      </c>
      <c r="N2531" s="364"/>
      <c r="O2531" s="364" t="s">
        <v>57</v>
      </c>
      <c r="P2531" s="373">
        <v>291600000</v>
      </c>
      <c r="Q2531" s="364"/>
      <c r="R2531" s="364" t="s">
        <v>16</v>
      </c>
      <c r="S2531" s="340">
        <v>1</v>
      </c>
    </row>
    <row r="2532" spans="1:19" ht="31" x14ac:dyDescent="0.35">
      <c r="A2532" s="349">
        <v>2521</v>
      </c>
      <c r="B2532" s="364" t="s">
        <v>12707</v>
      </c>
      <c r="C2532" s="364" t="s">
        <v>12708</v>
      </c>
      <c r="D2532" s="366" t="s">
        <v>51</v>
      </c>
      <c r="E2532" s="366" t="s">
        <v>10082</v>
      </c>
      <c r="F2532" s="366" t="s">
        <v>10078</v>
      </c>
      <c r="G2532" s="366" t="s">
        <v>10078</v>
      </c>
      <c r="H2532" s="366" t="s">
        <v>11731</v>
      </c>
      <c r="I2532" s="364" t="s">
        <v>10548</v>
      </c>
      <c r="J2532" s="367">
        <v>40178</v>
      </c>
      <c r="K2532" s="364"/>
      <c r="L2532" s="364"/>
      <c r="M2532" s="364" t="s">
        <v>10084</v>
      </c>
      <c r="N2532" s="364"/>
      <c r="O2532" s="364" t="s">
        <v>57</v>
      </c>
      <c r="P2532" s="373">
        <v>49640000</v>
      </c>
      <c r="Q2532" s="364" t="s">
        <v>14537</v>
      </c>
      <c r="R2532" s="364" t="s">
        <v>16</v>
      </c>
      <c r="S2532" s="340">
        <v>1</v>
      </c>
    </row>
    <row r="2533" spans="1:19" ht="31.5" thickBot="1" x14ac:dyDescent="0.4">
      <c r="A2533" s="357">
        <v>2522</v>
      </c>
      <c r="B2533" s="364" t="s">
        <v>10096</v>
      </c>
      <c r="C2533" s="364" t="s">
        <v>10097</v>
      </c>
      <c r="D2533" s="366" t="s">
        <v>51</v>
      </c>
      <c r="E2533" s="366" t="s">
        <v>10082</v>
      </c>
      <c r="F2533" s="366" t="s">
        <v>10078</v>
      </c>
      <c r="G2533" s="366" t="s">
        <v>10088</v>
      </c>
      <c r="H2533" s="366" t="s">
        <v>14538</v>
      </c>
      <c r="I2533" s="364" t="s">
        <v>14491</v>
      </c>
      <c r="J2533" s="367"/>
      <c r="K2533" s="364" t="s">
        <v>14539</v>
      </c>
      <c r="L2533" s="364"/>
      <c r="M2533" s="364"/>
      <c r="N2533" s="364"/>
      <c r="O2533" s="364" t="s">
        <v>44</v>
      </c>
      <c r="P2533" s="373">
        <v>379693362.19999999</v>
      </c>
      <c r="Q2533" s="364" t="s">
        <v>14540</v>
      </c>
      <c r="R2533" s="364" t="s">
        <v>16</v>
      </c>
      <c r="S2533" s="340">
        <v>1</v>
      </c>
    </row>
    <row r="2534" spans="1:19" ht="31" x14ac:dyDescent="0.35">
      <c r="A2534" s="349">
        <v>2523</v>
      </c>
      <c r="B2534" s="364" t="s">
        <v>10541</v>
      </c>
      <c r="C2534" s="364" t="s">
        <v>10542</v>
      </c>
      <c r="D2534" s="366" t="s">
        <v>51</v>
      </c>
      <c r="E2534" s="366" t="s">
        <v>10082</v>
      </c>
      <c r="F2534" s="366" t="s">
        <v>10078</v>
      </c>
      <c r="G2534" s="366" t="s">
        <v>10088</v>
      </c>
      <c r="H2534" s="366" t="s">
        <v>11364</v>
      </c>
      <c r="I2534" s="364" t="s">
        <v>14541</v>
      </c>
      <c r="J2534" s="367"/>
      <c r="K2534" s="364" t="s">
        <v>14542</v>
      </c>
      <c r="L2534" s="364"/>
      <c r="M2534" s="364" t="s">
        <v>10084</v>
      </c>
      <c r="N2534" s="364"/>
      <c r="O2534" s="364" t="s">
        <v>57</v>
      </c>
      <c r="P2534" s="373">
        <v>221162000</v>
      </c>
      <c r="Q2534" s="364" t="s">
        <v>14543</v>
      </c>
      <c r="R2534" s="364" t="s">
        <v>9771</v>
      </c>
      <c r="S2534" s="340">
        <v>2</v>
      </c>
    </row>
    <row r="2535" spans="1:19" ht="47" thickBot="1" x14ac:dyDescent="0.4">
      <c r="A2535" s="357">
        <v>2524</v>
      </c>
      <c r="B2535" s="364" t="s">
        <v>13477</v>
      </c>
      <c r="C2535" s="364" t="s">
        <v>13478</v>
      </c>
      <c r="D2535" s="366" t="s">
        <v>51</v>
      </c>
      <c r="E2535" s="366" t="s">
        <v>10082</v>
      </c>
      <c r="F2535" s="366" t="s">
        <v>10078</v>
      </c>
      <c r="G2535" s="366" t="s">
        <v>10088</v>
      </c>
      <c r="H2535" s="366" t="s">
        <v>11297</v>
      </c>
      <c r="I2535" s="364" t="s">
        <v>14544</v>
      </c>
      <c r="J2535" s="367">
        <v>42502</v>
      </c>
      <c r="K2535" s="364" t="s">
        <v>14545</v>
      </c>
      <c r="L2535" s="364"/>
      <c r="M2535" s="364" t="s">
        <v>10084</v>
      </c>
      <c r="N2535" s="364"/>
      <c r="O2535" s="364" t="s">
        <v>57</v>
      </c>
      <c r="P2535" s="373">
        <v>185200000</v>
      </c>
      <c r="Q2535" s="364" t="s">
        <v>14546</v>
      </c>
      <c r="R2535" s="364" t="s">
        <v>9771</v>
      </c>
      <c r="S2535" s="340">
        <v>2</v>
      </c>
    </row>
    <row r="2536" spans="1:19" ht="31" x14ac:dyDescent="0.35">
      <c r="A2536" s="349">
        <v>2525</v>
      </c>
      <c r="B2536" s="364" t="s">
        <v>13477</v>
      </c>
      <c r="C2536" s="364" t="s">
        <v>13478</v>
      </c>
      <c r="D2536" s="366" t="s">
        <v>59</v>
      </c>
      <c r="E2536" s="366" t="s">
        <v>10082</v>
      </c>
      <c r="F2536" s="366" t="s">
        <v>10078</v>
      </c>
      <c r="G2536" s="366" t="s">
        <v>10088</v>
      </c>
      <c r="H2536" s="366" t="s">
        <v>12623</v>
      </c>
      <c r="I2536" s="364" t="s">
        <v>9591</v>
      </c>
      <c r="J2536" s="367">
        <v>40445</v>
      </c>
      <c r="K2536" s="364" t="s">
        <v>14547</v>
      </c>
      <c r="L2536" s="364"/>
      <c r="M2536" s="364" t="s">
        <v>10084</v>
      </c>
      <c r="N2536" s="364"/>
      <c r="O2536" s="364" t="s">
        <v>57</v>
      </c>
      <c r="P2536" s="373">
        <v>150147000</v>
      </c>
      <c r="Q2536" s="364" t="s">
        <v>14548</v>
      </c>
      <c r="R2536" s="364" t="s">
        <v>9771</v>
      </c>
      <c r="S2536" s="340">
        <v>2</v>
      </c>
    </row>
    <row r="2537" spans="1:19" ht="16" thickBot="1" x14ac:dyDescent="0.4">
      <c r="A2537" s="357">
        <v>2526</v>
      </c>
      <c r="B2537" s="364" t="s">
        <v>13477</v>
      </c>
      <c r="C2537" s="364" t="s">
        <v>13478</v>
      </c>
      <c r="D2537" s="366" t="s">
        <v>97</v>
      </c>
      <c r="E2537" s="366" t="s">
        <v>10082</v>
      </c>
      <c r="F2537" s="366" t="s">
        <v>10078</v>
      </c>
      <c r="G2537" s="366" t="s">
        <v>10088</v>
      </c>
      <c r="H2537" s="366" t="s">
        <v>11297</v>
      </c>
      <c r="I2537" s="364" t="s">
        <v>14549</v>
      </c>
      <c r="J2537" s="367">
        <v>40791</v>
      </c>
      <c r="K2537" s="364" t="s">
        <v>14550</v>
      </c>
      <c r="L2537" s="364"/>
      <c r="M2537" s="364" t="s">
        <v>10084</v>
      </c>
      <c r="N2537" s="364"/>
      <c r="O2537" s="364" t="s">
        <v>57</v>
      </c>
      <c r="P2537" s="373">
        <v>210553000</v>
      </c>
      <c r="Q2537" s="364" t="s">
        <v>14551</v>
      </c>
      <c r="R2537" s="364" t="s">
        <v>9771</v>
      </c>
      <c r="S2537" s="340">
        <v>2</v>
      </c>
    </row>
    <row r="2538" spans="1:19" ht="46.5" x14ac:dyDescent="0.35">
      <c r="A2538" s="349">
        <v>2527</v>
      </c>
      <c r="B2538" s="364" t="s">
        <v>13477</v>
      </c>
      <c r="C2538" s="364" t="s">
        <v>13478</v>
      </c>
      <c r="D2538" s="366" t="s">
        <v>101</v>
      </c>
      <c r="E2538" s="366" t="s">
        <v>10082</v>
      </c>
      <c r="F2538" s="366" t="s">
        <v>10078</v>
      </c>
      <c r="G2538" s="366" t="s">
        <v>10088</v>
      </c>
      <c r="H2538" s="366" t="s">
        <v>12157</v>
      </c>
      <c r="I2538" s="364" t="s">
        <v>14544</v>
      </c>
      <c r="J2538" s="367"/>
      <c r="K2538" s="364" t="s">
        <v>14552</v>
      </c>
      <c r="L2538" s="364"/>
      <c r="M2538" s="364" t="s">
        <v>10084</v>
      </c>
      <c r="N2538" s="364"/>
      <c r="O2538" s="364" t="s">
        <v>57</v>
      </c>
      <c r="P2538" s="373">
        <v>326447000</v>
      </c>
      <c r="Q2538" s="364" t="s">
        <v>14553</v>
      </c>
      <c r="R2538" s="364" t="s">
        <v>9771</v>
      </c>
      <c r="S2538" s="340">
        <v>2</v>
      </c>
    </row>
    <row r="2539" spans="1:19" ht="31.5" thickBot="1" x14ac:dyDescent="0.4">
      <c r="A2539" s="357">
        <v>2528</v>
      </c>
      <c r="B2539" s="364" t="s">
        <v>13477</v>
      </c>
      <c r="C2539" s="364" t="s">
        <v>13478</v>
      </c>
      <c r="D2539" s="366" t="s">
        <v>107</v>
      </c>
      <c r="E2539" s="366" t="s">
        <v>10082</v>
      </c>
      <c r="F2539" s="366" t="s">
        <v>10078</v>
      </c>
      <c r="G2539" s="366" t="s">
        <v>10088</v>
      </c>
      <c r="H2539" s="366" t="s">
        <v>11415</v>
      </c>
      <c r="I2539" s="364" t="s">
        <v>12757</v>
      </c>
      <c r="J2539" s="367">
        <v>40178</v>
      </c>
      <c r="K2539" s="364"/>
      <c r="L2539" s="364"/>
      <c r="M2539" s="364" t="s">
        <v>10084</v>
      </c>
      <c r="N2539" s="364"/>
      <c r="O2539" s="364" t="s">
        <v>57</v>
      </c>
      <c r="P2539" s="373">
        <v>98600000</v>
      </c>
      <c r="Q2539" s="364" t="s">
        <v>14554</v>
      </c>
      <c r="R2539" s="364" t="s">
        <v>9771</v>
      </c>
      <c r="S2539" s="340">
        <v>2</v>
      </c>
    </row>
    <row r="2540" spans="1:19" ht="31" x14ac:dyDescent="0.35">
      <c r="A2540" s="349">
        <v>2529</v>
      </c>
      <c r="B2540" s="364" t="s">
        <v>13477</v>
      </c>
      <c r="C2540" s="364" t="s">
        <v>13478</v>
      </c>
      <c r="D2540" s="366" t="s">
        <v>112</v>
      </c>
      <c r="E2540" s="366" t="s">
        <v>10082</v>
      </c>
      <c r="F2540" s="366" t="s">
        <v>10078</v>
      </c>
      <c r="G2540" s="366" t="s">
        <v>10078</v>
      </c>
      <c r="H2540" s="366" t="s">
        <v>11297</v>
      </c>
      <c r="I2540" s="364" t="s">
        <v>14555</v>
      </c>
      <c r="J2540" s="367">
        <v>39813</v>
      </c>
      <c r="K2540" s="364"/>
      <c r="L2540" s="364"/>
      <c r="M2540" s="364" t="s">
        <v>10084</v>
      </c>
      <c r="N2540" s="364"/>
      <c r="O2540" s="364" t="s">
        <v>57</v>
      </c>
      <c r="P2540" s="373">
        <v>112807000</v>
      </c>
      <c r="Q2540" s="364" t="s">
        <v>14556</v>
      </c>
      <c r="R2540" s="364" t="s">
        <v>9771</v>
      </c>
      <c r="S2540" s="340">
        <v>2</v>
      </c>
    </row>
    <row r="2541" spans="1:19" ht="31.5" thickBot="1" x14ac:dyDescent="0.4">
      <c r="A2541" s="357">
        <v>2530</v>
      </c>
      <c r="B2541" s="364" t="s">
        <v>13477</v>
      </c>
      <c r="C2541" s="364" t="s">
        <v>13478</v>
      </c>
      <c r="D2541" s="366" t="s">
        <v>116</v>
      </c>
      <c r="E2541" s="366" t="s">
        <v>10082</v>
      </c>
      <c r="F2541" s="366" t="s">
        <v>10078</v>
      </c>
      <c r="G2541" s="366" t="s">
        <v>10088</v>
      </c>
      <c r="H2541" s="366" t="s">
        <v>12664</v>
      </c>
      <c r="I2541" s="364" t="s">
        <v>14557</v>
      </c>
      <c r="J2541" s="367">
        <v>39813</v>
      </c>
      <c r="K2541" s="364"/>
      <c r="L2541" s="364"/>
      <c r="M2541" s="364" t="s">
        <v>10084</v>
      </c>
      <c r="N2541" s="364"/>
      <c r="O2541" s="364" t="s">
        <v>57</v>
      </c>
      <c r="P2541" s="373">
        <v>456092000</v>
      </c>
      <c r="Q2541" s="364" t="s">
        <v>14558</v>
      </c>
      <c r="R2541" s="364" t="s">
        <v>9771</v>
      </c>
      <c r="S2541" s="340">
        <v>2</v>
      </c>
    </row>
    <row r="2542" spans="1:19" ht="62" x14ac:dyDescent="0.35">
      <c r="A2542" s="349">
        <v>2531</v>
      </c>
      <c r="B2542" s="364" t="s">
        <v>13477</v>
      </c>
      <c r="C2542" s="364" t="s">
        <v>13478</v>
      </c>
      <c r="D2542" s="366" t="s">
        <v>841</v>
      </c>
      <c r="E2542" s="366" t="s">
        <v>10082</v>
      </c>
      <c r="F2542" s="366" t="s">
        <v>10078</v>
      </c>
      <c r="G2542" s="366" t="s">
        <v>10088</v>
      </c>
      <c r="H2542" s="366" t="s">
        <v>12350</v>
      </c>
      <c r="I2542" s="364" t="s">
        <v>14544</v>
      </c>
      <c r="J2542" s="367">
        <v>44586</v>
      </c>
      <c r="K2542" s="364" t="s">
        <v>14559</v>
      </c>
      <c r="L2542" s="364"/>
      <c r="M2542" s="364"/>
      <c r="N2542" s="364"/>
      <c r="O2542" s="364" t="s">
        <v>422</v>
      </c>
      <c r="P2542" s="373">
        <v>477513000</v>
      </c>
      <c r="Q2542" s="364" t="s">
        <v>14560</v>
      </c>
      <c r="R2542" s="364" t="s">
        <v>9771</v>
      </c>
      <c r="S2542" s="340">
        <v>2</v>
      </c>
    </row>
    <row r="2543" spans="1:19" ht="31.5" thickBot="1" x14ac:dyDescent="0.4">
      <c r="A2543" s="357">
        <v>2532</v>
      </c>
      <c r="B2543" s="364" t="s">
        <v>10486</v>
      </c>
      <c r="C2543" s="364" t="s">
        <v>10487</v>
      </c>
      <c r="D2543" s="366" t="s">
        <v>51</v>
      </c>
      <c r="E2543" s="366" t="s">
        <v>10082</v>
      </c>
      <c r="F2543" s="366" t="s">
        <v>10078</v>
      </c>
      <c r="G2543" s="366" t="s">
        <v>10088</v>
      </c>
      <c r="H2543" s="366" t="s">
        <v>11870</v>
      </c>
      <c r="I2543" s="364" t="s">
        <v>12757</v>
      </c>
      <c r="J2543" s="367">
        <v>40178</v>
      </c>
      <c r="K2543" s="364"/>
      <c r="L2543" s="364"/>
      <c r="M2543" s="364" t="s">
        <v>10084</v>
      </c>
      <c r="N2543" s="364"/>
      <c r="O2543" s="364" t="s">
        <v>57</v>
      </c>
      <c r="P2543" s="373">
        <v>32800000</v>
      </c>
      <c r="Q2543" s="364" t="s">
        <v>14561</v>
      </c>
      <c r="R2543" s="364" t="s">
        <v>9771</v>
      </c>
      <c r="S2543" s="340">
        <v>2</v>
      </c>
    </row>
    <row r="2544" spans="1:19" ht="46.5" x14ac:dyDescent="0.35">
      <c r="A2544" s="349">
        <v>2533</v>
      </c>
      <c r="B2544" s="364" t="s">
        <v>12958</v>
      </c>
      <c r="C2544" s="364" t="s">
        <v>12959</v>
      </c>
      <c r="D2544" s="366" t="s">
        <v>51</v>
      </c>
      <c r="E2544" s="366" t="s">
        <v>10082</v>
      </c>
      <c r="F2544" s="366" t="s">
        <v>10078</v>
      </c>
      <c r="G2544" s="366" t="s">
        <v>10088</v>
      </c>
      <c r="H2544" s="366" t="s">
        <v>11407</v>
      </c>
      <c r="I2544" s="364" t="s">
        <v>14562</v>
      </c>
      <c r="J2544" s="367">
        <v>41870</v>
      </c>
      <c r="K2544" s="364" t="s">
        <v>14563</v>
      </c>
      <c r="L2544" s="364"/>
      <c r="M2544" s="364" t="s">
        <v>10084</v>
      </c>
      <c r="N2544" s="364"/>
      <c r="O2544" s="364" t="s">
        <v>57</v>
      </c>
      <c r="P2544" s="373">
        <v>218880000</v>
      </c>
      <c r="Q2544" s="364" t="s">
        <v>14564</v>
      </c>
      <c r="R2544" s="364" t="s">
        <v>9771</v>
      </c>
      <c r="S2544" s="340">
        <v>2</v>
      </c>
    </row>
    <row r="2545" spans="1:19" ht="31.5" thickBot="1" x14ac:dyDescent="0.4">
      <c r="A2545" s="357">
        <v>2534</v>
      </c>
      <c r="B2545" s="364" t="s">
        <v>12958</v>
      </c>
      <c r="C2545" s="364" t="s">
        <v>12959</v>
      </c>
      <c r="D2545" s="366" t="s">
        <v>59</v>
      </c>
      <c r="E2545" s="366" t="s">
        <v>10082</v>
      </c>
      <c r="F2545" s="366" t="s">
        <v>10078</v>
      </c>
      <c r="G2545" s="366" t="s">
        <v>10088</v>
      </c>
      <c r="H2545" s="366" t="s">
        <v>11415</v>
      </c>
      <c r="I2545" s="364" t="s">
        <v>12757</v>
      </c>
      <c r="J2545" s="367">
        <v>40178</v>
      </c>
      <c r="K2545" s="364"/>
      <c r="L2545" s="364"/>
      <c r="M2545" s="364" t="s">
        <v>10084</v>
      </c>
      <c r="N2545" s="364"/>
      <c r="O2545" s="364" t="s">
        <v>57</v>
      </c>
      <c r="P2545" s="373">
        <v>32580000</v>
      </c>
      <c r="Q2545" s="364" t="s">
        <v>14565</v>
      </c>
      <c r="R2545" s="364" t="s">
        <v>9771</v>
      </c>
      <c r="S2545" s="340">
        <v>2</v>
      </c>
    </row>
    <row r="2546" spans="1:19" ht="31" x14ac:dyDescent="0.35">
      <c r="A2546" s="349">
        <v>2535</v>
      </c>
      <c r="B2546" s="364" t="s">
        <v>12958</v>
      </c>
      <c r="C2546" s="364" t="s">
        <v>12959</v>
      </c>
      <c r="D2546" s="366" t="s">
        <v>97</v>
      </c>
      <c r="E2546" s="366" t="s">
        <v>10082</v>
      </c>
      <c r="F2546" s="366" t="s">
        <v>10078</v>
      </c>
      <c r="G2546" s="366" t="s">
        <v>10088</v>
      </c>
      <c r="H2546" s="366" t="s">
        <v>11297</v>
      </c>
      <c r="I2546" s="364" t="s">
        <v>12757</v>
      </c>
      <c r="J2546" s="367">
        <v>40178</v>
      </c>
      <c r="K2546" s="364"/>
      <c r="L2546" s="364"/>
      <c r="M2546" s="364" t="s">
        <v>10084</v>
      </c>
      <c r="N2546" s="364"/>
      <c r="O2546" s="364" t="s">
        <v>57</v>
      </c>
      <c r="P2546" s="373">
        <v>98700000</v>
      </c>
      <c r="Q2546" s="364" t="s">
        <v>14566</v>
      </c>
      <c r="R2546" s="364" t="s">
        <v>9771</v>
      </c>
      <c r="S2546" s="340">
        <v>2</v>
      </c>
    </row>
    <row r="2547" spans="1:19" ht="31.5" thickBot="1" x14ac:dyDescent="0.4">
      <c r="A2547" s="357">
        <v>2536</v>
      </c>
      <c r="B2547" s="364" t="s">
        <v>12958</v>
      </c>
      <c r="C2547" s="364" t="s">
        <v>12959</v>
      </c>
      <c r="D2547" s="366" t="s">
        <v>101</v>
      </c>
      <c r="E2547" s="366" t="s">
        <v>10082</v>
      </c>
      <c r="F2547" s="366" t="s">
        <v>10078</v>
      </c>
      <c r="G2547" s="366" t="s">
        <v>10088</v>
      </c>
      <c r="H2547" s="366" t="s">
        <v>12574</v>
      </c>
      <c r="I2547" s="364" t="s">
        <v>14541</v>
      </c>
      <c r="J2547" s="367">
        <v>39813</v>
      </c>
      <c r="K2547" s="364"/>
      <c r="L2547" s="364"/>
      <c r="M2547" s="364" t="s">
        <v>10084</v>
      </c>
      <c r="N2547" s="364"/>
      <c r="O2547" s="364" t="s">
        <v>57</v>
      </c>
      <c r="P2547" s="373">
        <v>765270000</v>
      </c>
      <c r="Q2547" s="364" t="s">
        <v>14567</v>
      </c>
      <c r="R2547" s="364" t="s">
        <v>9771</v>
      </c>
      <c r="S2547" s="340">
        <v>2</v>
      </c>
    </row>
    <row r="2548" spans="1:19" ht="31" x14ac:dyDescent="0.35">
      <c r="A2548" s="349">
        <v>2537</v>
      </c>
      <c r="B2548" s="364" t="s">
        <v>12958</v>
      </c>
      <c r="C2548" s="364" t="s">
        <v>12959</v>
      </c>
      <c r="D2548" s="366" t="s">
        <v>107</v>
      </c>
      <c r="E2548" s="366" t="s">
        <v>10082</v>
      </c>
      <c r="F2548" s="366" t="s">
        <v>10078</v>
      </c>
      <c r="G2548" s="366" t="s">
        <v>10088</v>
      </c>
      <c r="H2548" s="366" t="s">
        <v>11324</v>
      </c>
      <c r="I2548" s="364" t="s">
        <v>14541</v>
      </c>
      <c r="J2548" s="367">
        <v>39813</v>
      </c>
      <c r="K2548" s="364"/>
      <c r="L2548" s="364"/>
      <c r="M2548" s="364" t="s">
        <v>10084</v>
      </c>
      <c r="N2548" s="364"/>
      <c r="O2548" s="364" t="s">
        <v>57</v>
      </c>
      <c r="P2548" s="373">
        <v>30611000</v>
      </c>
      <c r="Q2548" s="364" t="s">
        <v>14568</v>
      </c>
      <c r="R2548" s="364" t="s">
        <v>9771</v>
      </c>
      <c r="S2548" s="340">
        <v>2</v>
      </c>
    </row>
    <row r="2549" spans="1:19" ht="31.5" thickBot="1" x14ac:dyDescent="0.4">
      <c r="A2549" s="357">
        <v>2538</v>
      </c>
      <c r="B2549" s="364" t="s">
        <v>12958</v>
      </c>
      <c r="C2549" s="364" t="s">
        <v>12959</v>
      </c>
      <c r="D2549" s="366" t="s">
        <v>112</v>
      </c>
      <c r="E2549" s="366" t="s">
        <v>10082</v>
      </c>
      <c r="F2549" s="366" t="s">
        <v>10078</v>
      </c>
      <c r="G2549" s="366" t="s">
        <v>10078</v>
      </c>
      <c r="H2549" s="366" t="s">
        <v>11297</v>
      </c>
      <c r="I2549" s="364" t="s">
        <v>14569</v>
      </c>
      <c r="J2549" s="367">
        <v>39813</v>
      </c>
      <c r="K2549" s="364"/>
      <c r="L2549" s="364"/>
      <c r="M2549" s="364" t="s">
        <v>10084</v>
      </c>
      <c r="N2549" s="364"/>
      <c r="O2549" s="364" t="s">
        <v>57</v>
      </c>
      <c r="P2549" s="373">
        <v>114791000</v>
      </c>
      <c r="Q2549" s="364" t="s">
        <v>14570</v>
      </c>
      <c r="R2549" s="364" t="s">
        <v>9771</v>
      </c>
      <c r="S2549" s="340">
        <v>2</v>
      </c>
    </row>
    <row r="2550" spans="1:19" ht="31" x14ac:dyDescent="0.35">
      <c r="A2550" s="349">
        <v>2539</v>
      </c>
      <c r="B2550" s="364" t="s">
        <v>12958</v>
      </c>
      <c r="C2550" s="364" t="s">
        <v>12959</v>
      </c>
      <c r="D2550" s="366" t="s">
        <v>116</v>
      </c>
      <c r="E2550" s="366" t="s">
        <v>10082</v>
      </c>
      <c r="F2550" s="366" t="s">
        <v>10078</v>
      </c>
      <c r="G2550" s="366" t="s">
        <v>10088</v>
      </c>
      <c r="H2550" s="366" t="s">
        <v>11364</v>
      </c>
      <c r="I2550" s="364" t="s">
        <v>14541</v>
      </c>
      <c r="J2550" s="367">
        <v>39552</v>
      </c>
      <c r="K2550" s="364" t="s">
        <v>14571</v>
      </c>
      <c r="L2550" s="364"/>
      <c r="M2550" s="364" t="s">
        <v>10084</v>
      </c>
      <c r="N2550" s="364"/>
      <c r="O2550" s="364" t="s">
        <v>57</v>
      </c>
      <c r="P2550" s="373">
        <v>91832000</v>
      </c>
      <c r="Q2550" s="364" t="s">
        <v>13647</v>
      </c>
      <c r="R2550" s="364" t="s">
        <v>9771</v>
      </c>
      <c r="S2550" s="340">
        <v>2</v>
      </c>
    </row>
    <row r="2551" spans="1:19" ht="31.5" thickBot="1" x14ac:dyDescent="0.4">
      <c r="A2551" s="357">
        <v>2540</v>
      </c>
      <c r="B2551" s="364" t="s">
        <v>12755</v>
      </c>
      <c r="C2551" s="364" t="s">
        <v>12756</v>
      </c>
      <c r="D2551" s="366" t="s">
        <v>51</v>
      </c>
      <c r="E2551" s="366" t="s">
        <v>10082</v>
      </c>
      <c r="F2551" s="366" t="s">
        <v>10078</v>
      </c>
      <c r="G2551" s="366" t="s">
        <v>10078</v>
      </c>
      <c r="H2551" s="366" t="s">
        <v>11364</v>
      </c>
      <c r="I2551" s="364" t="s">
        <v>14541</v>
      </c>
      <c r="J2551" s="367">
        <v>39813</v>
      </c>
      <c r="K2551" s="364"/>
      <c r="L2551" s="364"/>
      <c r="M2551" s="364" t="s">
        <v>10084</v>
      </c>
      <c r="N2551" s="364"/>
      <c r="O2551" s="364" t="s">
        <v>57</v>
      </c>
      <c r="P2551" s="373">
        <v>91832000</v>
      </c>
      <c r="Q2551" s="364" t="s">
        <v>14572</v>
      </c>
      <c r="R2551" s="364" t="s">
        <v>9771</v>
      </c>
      <c r="S2551" s="340">
        <v>2</v>
      </c>
    </row>
    <row r="2552" spans="1:19" ht="31" x14ac:dyDescent="0.35">
      <c r="A2552" s="349">
        <v>2541</v>
      </c>
      <c r="B2552" s="364" t="s">
        <v>12755</v>
      </c>
      <c r="C2552" s="364" t="s">
        <v>12756</v>
      </c>
      <c r="D2552" s="366" t="s">
        <v>59</v>
      </c>
      <c r="E2552" s="366" t="s">
        <v>10082</v>
      </c>
      <c r="F2552" s="366" t="s">
        <v>10078</v>
      </c>
      <c r="G2552" s="366" t="s">
        <v>10078</v>
      </c>
      <c r="H2552" s="366" t="s">
        <v>11451</v>
      </c>
      <c r="I2552" s="364" t="s">
        <v>14541</v>
      </c>
      <c r="J2552" s="367">
        <v>39813</v>
      </c>
      <c r="K2552" s="364"/>
      <c r="L2552" s="364"/>
      <c r="M2552" s="364" t="s">
        <v>10084</v>
      </c>
      <c r="N2552" s="364"/>
      <c r="O2552" s="364" t="s">
        <v>57</v>
      </c>
      <c r="P2552" s="373">
        <v>61222000</v>
      </c>
      <c r="Q2552" s="364" t="s">
        <v>14572</v>
      </c>
      <c r="R2552" s="364" t="s">
        <v>9771</v>
      </c>
      <c r="S2552" s="340">
        <v>2</v>
      </c>
    </row>
    <row r="2553" spans="1:19" ht="47" thickBot="1" x14ac:dyDescent="0.4">
      <c r="A2553" s="357">
        <v>2542</v>
      </c>
      <c r="B2553" s="364" t="s">
        <v>10511</v>
      </c>
      <c r="C2553" s="364" t="s">
        <v>10512</v>
      </c>
      <c r="D2553" s="366" t="s">
        <v>51</v>
      </c>
      <c r="E2553" s="366" t="s">
        <v>10082</v>
      </c>
      <c r="F2553" s="366" t="s">
        <v>10078</v>
      </c>
      <c r="G2553" s="366" t="s">
        <v>10078</v>
      </c>
      <c r="H2553" s="366" t="s">
        <v>11451</v>
      </c>
      <c r="I2553" s="364" t="s">
        <v>14573</v>
      </c>
      <c r="J2553" s="367">
        <v>42307</v>
      </c>
      <c r="K2553" s="364" t="s">
        <v>13722</v>
      </c>
      <c r="L2553" s="364"/>
      <c r="M2553" s="364" t="s">
        <v>10084</v>
      </c>
      <c r="N2553" s="364"/>
      <c r="O2553" s="364" t="s">
        <v>57</v>
      </c>
      <c r="P2553" s="373">
        <v>35050000</v>
      </c>
      <c r="Q2553" s="364" t="s">
        <v>13723</v>
      </c>
      <c r="R2553" s="364" t="s">
        <v>9771</v>
      </c>
      <c r="S2553" s="340">
        <v>2</v>
      </c>
    </row>
    <row r="2554" spans="1:19" ht="31" x14ac:dyDescent="0.35">
      <c r="A2554" s="349">
        <v>2543</v>
      </c>
      <c r="B2554" s="364" t="s">
        <v>10096</v>
      </c>
      <c r="C2554" s="364" t="s">
        <v>10097</v>
      </c>
      <c r="D2554" s="366" t="s">
        <v>51</v>
      </c>
      <c r="E2554" s="366" t="s">
        <v>10082</v>
      </c>
      <c r="F2554" s="366" t="s">
        <v>10078</v>
      </c>
      <c r="G2554" s="366" t="s">
        <v>10088</v>
      </c>
      <c r="H2554" s="366" t="s">
        <v>14574</v>
      </c>
      <c r="I2554" s="364" t="s">
        <v>14575</v>
      </c>
      <c r="J2554" s="367">
        <v>40178</v>
      </c>
      <c r="K2554" s="364"/>
      <c r="L2554" s="364"/>
      <c r="M2554" s="364" t="s">
        <v>10084</v>
      </c>
      <c r="N2554" s="364"/>
      <c r="O2554" s="364" t="s">
        <v>57</v>
      </c>
      <c r="P2554" s="373">
        <v>299572500</v>
      </c>
      <c r="Q2554" s="364" t="s">
        <v>14576</v>
      </c>
      <c r="R2554" s="364" t="s">
        <v>9771</v>
      </c>
      <c r="S2554" s="340">
        <v>2</v>
      </c>
    </row>
    <row r="2555" spans="1:19" ht="31.5" thickBot="1" x14ac:dyDescent="0.4">
      <c r="A2555" s="357">
        <v>2544</v>
      </c>
      <c r="B2555" s="364" t="s">
        <v>13477</v>
      </c>
      <c r="C2555" s="364" t="s">
        <v>13478</v>
      </c>
      <c r="D2555" s="366" t="s">
        <v>51</v>
      </c>
      <c r="E2555" s="366" t="s">
        <v>10082</v>
      </c>
      <c r="F2555" s="366" t="s">
        <v>10078</v>
      </c>
      <c r="G2555" s="366" t="s">
        <v>10078</v>
      </c>
      <c r="H2555" s="366" t="s">
        <v>11297</v>
      </c>
      <c r="I2555" s="364" t="s">
        <v>14577</v>
      </c>
      <c r="J2555" s="367">
        <v>39813</v>
      </c>
      <c r="K2555" s="364"/>
      <c r="L2555" s="364"/>
      <c r="M2555" s="364" t="s">
        <v>10084</v>
      </c>
      <c r="N2555" s="364"/>
      <c r="O2555" s="364" t="s">
        <v>57</v>
      </c>
      <c r="P2555" s="373">
        <v>559954025</v>
      </c>
      <c r="Q2555" s="364" t="s">
        <v>14578</v>
      </c>
      <c r="R2555" s="364" t="s">
        <v>9710</v>
      </c>
      <c r="S2555" s="340">
        <v>2</v>
      </c>
    </row>
    <row r="2556" spans="1:19" ht="31" x14ac:dyDescent="0.35">
      <c r="A2556" s="349">
        <v>2545</v>
      </c>
      <c r="B2556" s="364" t="s">
        <v>13477</v>
      </c>
      <c r="C2556" s="364" t="s">
        <v>13478</v>
      </c>
      <c r="D2556" s="366" t="s">
        <v>59</v>
      </c>
      <c r="E2556" s="366" t="s">
        <v>10082</v>
      </c>
      <c r="F2556" s="366" t="s">
        <v>10078</v>
      </c>
      <c r="G2556" s="366" t="s">
        <v>10078</v>
      </c>
      <c r="H2556" s="366" t="s">
        <v>11297</v>
      </c>
      <c r="I2556" s="364" t="s">
        <v>14579</v>
      </c>
      <c r="J2556" s="367">
        <v>39813</v>
      </c>
      <c r="K2556" s="364"/>
      <c r="L2556" s="364"/>
      <c r="M2556" s="364" t="s">
        <v>10084</v>
      </c>
      <c r="N2556" s="364"/>
      <c r="O2556" s="364" t="s">
        <v>57</v>
      </c>
      <c r="P2556" s="373">
        <v>607019350</v>
      </c>
      <c r="Q2556" s="364" t="s">
        <v>14580</v>
      </c>
      <c r="R2556" s="364" t="s">
        <v>9710</v>
      </c>
      <c r="S2556" s="340">
        <v>2</v>
      </c>
    </row>
    <row r="2557" spans="1:19" ht="31.5" thickBot="1" x14ac:dyDescent="0.4">
      <c r="A2557" s="357">
        <v>2546</v>
      </c>
      <c r="B2557" s="364" t="s">
        <v>13477</v>
      </c>
      <c r="C2557" s="364" t="s">
        <v>13478</v>
      </c>
      <c r="D2557" s="366" t="s">
        <v>97</v>
      </c>
      <c r="E2557" s="366" t="s">
        <v>10082</v>
      </c>
      <c r="F2557" s="366" t="s">
        <v>10078</v>
      </c>
      <c r="G2557" s="366" t="s">
        <v>10078</v>
      </c>
      <c r="H2557" s="366" t="s">
        <v>11297</v>
      </c>
      <c r="I2557" s="364" t="s">
        <v>14581</v>
      </c>
      <c r="J2557" s="367">
        <v>39813</v>
      </c>
      <c r="K2557" s="364"/>
      <c r="L2557" s="364"/>
      <c r="M2557" s="364" t="s">
        <v>10084</v>
      </c>
      <c r="N2557" s="364"/>
      <c r="O2557" s="364" t="s">
        <v>57</v>
      </c>
      <c r="P2557" s="373">
        <v>329905000</v>
      </c>
      <c r="Q2557" s="364" t="s">
        <v>14582</v>
      </c>
      <c r="R2557" s="364" t="s">
        <v>9710</v>
      </c>
      <c r="S2557" s="340">
        <v>2</v>
      </c>
    </row>
    <row r="2558" spans="1:19" ht="31" x14ac:dyDescent="0.35">
      <c r="A2558" s="349">
        <v>2547</v>
      </c>
      <c r="B2558" s="364" t="s">
        <v>13477</v>
      </c>
      <c r="C2558" s="364" t="s">
        <v>13478</v>
      </c>
      <c r="D2558" s="366" t="s">
        <v>101</v>
      </c>
      <c r="E2558" s="366" t="s">
        <v>10082</v>
      </c>
      <c r="F2558" s="366" t="s">
        <v>10078</v>
      </c>
      <c r="G2558" s="366" t="s">
        <v>10088</v>
      </c>
      <c r="H2558" s="366" t="s">
        <v>11400</v>
      </c>
      <c r="I2558" s="364" t="s">
        <v>14583</v>
      </c>
      <c r="J2558" s="367">
        <v>39813</v>
      </c>
      <c r="K2558" s="364"/>
      <c r="L2558" s="364"/>
      <c r="M2558" s="364" t="s">
        <v>10084</v>
      </c>
      <c r="N2558" s="364"/>
      <c r="O2558" s="364" t="s">
        <v>57</v>
      </c>
      <c r="P2558" s="373">
        <v>345187000</v>
      </c>
      <c r="Q2558" s="364" t="s">
        <v>13603</v>
      </c>
      <c r="R2558" s="364" t="s">
        <v>9710</v>
      </c>
      <c r="S2558" s="340">
        <v>2</v>
      </c>
    </row>
    <row r="2559" spans="1:19" ht="31.5" thickBot="1" x14ac:dyDescent="0.4">
      <c r="A2559" s="357">
        <v>2548</v>
      </c>
      <c r="B2559" s="364" t="s">
        <v>13477</v>
      </c>
      <c r="C2559" s="364" t="s">
        <v>13478</v>
      </c>
      <c r="D2559" s="366" t="s">
        <v>107</v>
      </c>
      <c r="E2559" s="366" t="s">
        <v>10082</v>
      </c>
      <c r="F2559" s="366" t="s">
        <v>10078</v>
      </c>
      <c r="G2559" s="366" t="s">
        <v>10088</v>
      </c>
      <c r="H2559" s="366" t="s">
        <v>12007</v>
      </c>
      <c r="I2559" s="364" t="s">
        <v>14584</v>
      </c>
      <c r="J2559" s="367">
        <v>39813</v>
      </c>
      <c r="K2559" s="364"/>
      <c r="L2559" s="364"/>
      <c r="M2559" s="364" t="s">
        <v>10084</v>
      </c>
      <c r="N2559" s="364"/>
      <c r="O2559" s="364" t="s">
        <v>57</v>
      </c>
      <c r="P2559" s="373">
        <v>738914000</v>
      </c>
      <c r="Q2559" s="364" t="s">
        <v>14585</v>
      </c>
      <c r="R2559" s="364" t="s">
        <v>9710</v>
      </c>
      <c r="S2559" s="340">
        <v>2</v>
      </c>
    </row>
    <row r="2560" spans="1:19" ht="31" x14ac:dyDescent="0.35">
      <c r="A2560" s="349">
        <v>2549</v>
      </c>
      <c r="B2560" s="364" t="s">
        <v>13477</v>
      </c>
      <c r="C2560" s="364" t="s">
        <v>13478</v>
      </c>
      <c r="D2560" s="366" t="s">
        <v>112</v>
      </c>
      <c r="E2560" s="366" t="s">
        <v>10082</v>
      </c>
      <c r="F2560" s="366" t="s">
        <v>10078</v>
      </c>
      <c r="G2560" s="366" t="s">
        <v>10088</v>
      </c>
      <c r="H2560" s="366" t="s">
        <v>2972</v>
      </c>
      <c r="I2560" s="364" t="s">
        <v>14586</v>
      </c>
      <c r="J2560" s="367"/>
      <c r="K2560" s="364" t="s">
        <v>14587</v>
      </c>
      <c r="L2560" s="364"/>
      <c r="M2560" s="364" t="s">
        <v>10084</v>
      </c>
      <c r="N2560" s="364"/>
      <c r="O2560" s="364" t="s">
        <v>57</v>
      </c>
      <c r="P2560" s="373">
        <v>323543945</v>
      </c>
      <c r="Q2560" s="364" t="s">
        <v>14588</v>
      </c>
      <c r="R2560" s="364" t="s">
        <v>9710</v>
      </c>
      <c r="S2560" s="340">
        <v>2</v>
      </c>
    </row>
    <row r="2561" spans="1:19" ht="47" thickBot="1" x14ac:dyDescent="0.4">
      <c r="A2561" s="357">
        <v>2550</v>
      </c>
      <c r="B2561" s="364" t="s">
        <v>13477</v>
      </c>
      <c r="C2561" s="364" t="s">
        <v>13478</v>
      </c>
      <c r="D2561" s="366" t="s">
        <v>116</v>
      </c>
      <c r="E2561" s="366" t="s">
        <v>10082</v>
      </c>
      <c r="F2561" s="366" t="s">
        <v>10078</v>
      </c>
      <c r="G2561" s="366" t="s">
        <v>10088</v>
      </c>
      <c r="H2561" s="366" t="s">
        <v>11364</v>
      </c>
      <c r="I2561" s="364" t="s">
        <v>14589</v>
      </c>
      <c r="J2561" s="367"/>
      <c r="K2561" s="364" t="s">
        <v>14590</v>
      </c>
      <c r="L2561" s="364"/>
      <c r="M2561" s="364" t="s">
        <v>10084</v>
      </c>
      <c r="N2561" s="364"/>
      <c r="O2561" s="364" t="s">
        <v>57</v>
      </c>
      <c r="P2561" s="373">
        <v>198694500</v>
      </c>
      <c r="Q2561" s="364" t="s">
        <v>14591</v>
      </c>
      <c r="R2561" s="364" t="s">
        <v>9710</v>
      </c>
      <c r="S2561" s="340">
        <v>2</v>
      </c>
    </row>
    <row r="2562" spans="1:19" ht="31" x14ac:dyDescent="0.35">
      <c r="A2562" s="349">
        <v>2551</v>
      </c>
      <c r="B2562" s="364" t="s">
        <v>13477</v>
      </c>
      <c r="C2562" s="364" t="s">
        <v>13478</v>
      </c>
      <c r="D2562" s="366" t="s">
        <v>841</v>
      </c>
      <c r="E2562" s="366" t="s">
        <v>10082</v>
      </c>
      <c r="F2562" s="366" t="s">
        <v>10078</v>
      </c>
      <c r="G2562" s="366" t="s">
        <v>10088</v>
      </c>
      <c r="H2562" s="366" t="s">
        <v>11297</v>
      </c>
      <c r="I2562" s="364" t="s">
        <v>8746</v>
      </c>
      <c r="J2562" s="367">
        <v>40791</v>
      </c>
      <c r="K2562" s="364" t="s">
        <v>14592</v>
      </c>
      <c r="L2562" s="364"/>
      <c r="M2562" s="364" t="s">
        <v>10084</v>
      </c>
      <c r="N2562" s="364"/>
      <c r="O2562" s="364" t="s">
        <v>57</v>
      </c>
      <c r="P2562" s="373">
        <v>591597025</v>
      </c>
      <c r="Q2562" s="364" t="s">
        <v>14593</v>
      </c>
      <c r="R2562" s="364" t="s">
        <v>9710</v>
      </c>
      <c r="S2562" s="340">
        <v>2</v>
      </c>
    </row>
    <row r="2563" spans="1:19" ht="31.5" thickBot="1" x14ac:dyDescent="0.4">
      <c r="A2563" s="357">
        <v>2552</v>
      </c>
      <c r="B2563" s="364" t="s">
        <v>13477</v>
      </c>
      <c r="C2563" s="364" t="s">
        <v>13478</v>
      </c>
      <c r="D2563" s="366" t="s">
        <v>904</v>
      </c>
      <c r="E2563" s="366" t="s">
        <v>10082</v>
      </c>
      <c r="F2563" s="366" t="s">
        <v>10078</v>
      </c>
      <c r="G2563" s="366" t="s">
        <v>10078</v>
      </c>
      <c r="H2563" s="366" t="s">
        <v>11297</v>
      </c>
      <c r="I2563" s="364" t="s">
        <v>14586</v>
      </c>
      <c r="J2563" s="367">
        <v>42223</v>
      </c>
      <c r="K2563" s="364" t="s">
        <v>14594</v>
      </c>
      <c r="L2563" s="364"/>
      <c r="M2563" s="364" t="s">
        <v>10084</v>
      </c>
      <c r="N2563" s="364"/>
      <c r="O2563" s="364" t="s">
        <v>57</v>
      </c>
      <c r="P2563" s="373">
        <v>154155000</v>
      </c>
      <c r="Q2563" s="364" t="s">
        <v>14595</v>
      </c>
      <c r="R2563" s="364" t="s">
        <v>9710</v>
      </c>
      <c r="S2563" s="340">
        <v>2</v>
      </c>
    </row>
    <row r="2564" spans="1:19" ht="46.5" x14ac:dyDescent="0.35">
      <c r="A2564" s="349">
        <v>2553</v>
      </c>
      <c r="B2564" s="364" t="s">
        <v>13516</v>
      </c>
      <c r="C2564" s="364" t="s">
        <v>13517</v>
      </c>
      <c r="D2564" s="366" t="s">
        <v>51</v>
      </c>
      <c r="E2564" s="366" t="s">
        <v>10082</v>
      </c>
      <c r="F2564" s="366" t="s">
        <v>10078</v>
      </c>
      <c r="G2564" s="366" t="s">
        <v>10088</v>
      </c>
      <c r="H2564" s="366" t="s">
        <v>11415</v>
      </c>
      <c r="I2564" s="364" t="s">
        <v>14596</v>
      </c>
      <c r="J2564" s="367">
        <v>41064</v>
      </c>
      <c r="K2564" s="364" t="s">
        <v>14597</v>
      </c>
      <c r="L2564" s="364"/>
      <c r="M2564" s="364"/>
      <c r="N2564" s="364"/>
      <c r="O2564" s="364" t="s">
        <v>422</v>
      </c>
      <c r="P2564" s="373">
        <v>178020000</v>
      </c>
      <c r="Q2564" s="364" t="s">
        <v>14598</v>
      </c>
      <c r="R2564" s="364" t="s">
        <v>9710</v>
      </c>
      <c r="S2564" s="340">
        <v>2</v>
      </c>
    </row>
    <row r="2565" spans="1:19" ht="31.5" thickBot="1" x14ac:dyDescent="0.4">
      <c r="A2565" s="357">
        <v>2554</v>
      </c>
      <c r="B2565" s="364" t="s">
        <v>10687</v>
      </c>
      <c r="C2565" s="364" t="s">
        <v>10688</v>
      </c>
      <c r="D2565" s="366" t="s">
        <v>51</v>
      </c>
      <c r="E2565" s="366" t="s">
        <v>10082</v>
      </c>
      <c r="F2565" s="366" t="s">
        <v>10078</v>
      </c>
      <c r="G2565" s="366" t="s">
        <v>10078</v>
      </c>
      <c r="H2565" s="366"/>
      <c r="I2565" s="364" t="s">
        <v>14599</v>
      </c>
      <c r="J2565" s="367">
        <v>44875</v>
      </c>
      <c r="K2565" s="364" t="s">
        <v>14600</v>
      </c>
      <c r="L2565" s="364"/>
      <c r="M2565" s="364" t="s">
        <v>10084</v>
      </c>
      <c r="N2565" s="364" t="s">
        <v>14601</v>
      </c>
      <c r="O2565" s="364" t="s">
        <v>14602</v>
      </c>
      <c r="P2565" s="373">
        <v>11499000</v>
      </c>
      <c r="Q2565" s="364" t="s">
        <v>14603</v>
      </c>
      <c r="R2565" s="364" t="s">
        <v>9710</v>
      </c>
      <c r="S2565" s="340">
        <v>2</v>
      </c>
    </row>
    <row r="2566" spans="1:19" ht="31" x14ac:dyDescent="0.35">
      <c r="A2566" s="349">
        <v>2555</v>
      </c>
      <c r="B2566" s="364" t="s">
        <v>12958</v>
      </c>
      <c r="C2566" s="364" t="s">
        <v>12959</v>
      </c>
      <c r="D2566" s="366" t="s">
        <v>51</v>
      </c>
      <c r="E2566" s="366" t="s">
        <v>10082</v>
      </c>
      <c r="F2566" s="366" t="s">
        <v>10078</v>
      </c>
      <c r="G2566" s="366" t="s">
        <v>10088</v>
      </c>
      <c r="H2566" s="366" t="s">
        <v>12623</v>
      </c>
      <c r="I2566" s="364" t="s">
        <v>14604</v>
      </c>
      <c r="J2566" s="367">
        <v>40178</v>
      </c>
      <c r="K2566" s="364"/>
      <c r="L2566" s="364"/>
      <c r="M2566" s="364" t="s">
        <v>10084</v>
      </c>
      <c r="N2566" s="364"/>
      <c r="O2566" s="364" t="s">
        <v>57</v>
      </c>
      <c r="P2566" s="373">
        <v>181055450</v>
      </c>
      <c r="Q2566" s="364" t="s">
        <v>14605</v>
      </c>
      <c r="R2566" s="364" t="s">
        <v>9710</v>
      </c>
      <c r="S2566" s="340">
        <v>2</v>
      </c>
    </row>
    <row r="2567" spans="1:19" ht="31.5" thickBot="1" x14ac:dyDescent="0.4">
      <c r="A2567" s="357">
        <v>2556</v>
      </c>
      <c r="B2567" s="364" t="s">
        <v>12958</v>
      </c>
      <c r="C2567" s="364" t="s">
        <v>12959</v>
      </c>
      <c r="D2567" s="366" t="s">
        <v>59</v>
      </c>
      <c r="E2567" s="366" t="s">
        <v>10082</v>
      </c>
      <c r="F2567" s="366" t="s">
        <v>10078</v>
      </c>
      <c r="G2567" s="366" t="s">
        <v>10088</v>
      </c>
      <c r="H2567" s="366" t="s">
        <v>12623</v>
      </c>
      <c r="I2567" s="364" t="s">
        <v>14604</v>
      </c>
      <c r="J2567" s="367">
        <v>40178</v>
      </c>
      <c r="K2567" s="364"/>
      <c r="L2567" s="364"/>
      <c r="M2567" s="364" t="s">
        <v>10084</v>
      </c>
      <c r="N2567" s="364"/>
      <c r="O2567" s="364" t="s">
        <v>57</v>
      </c>
      <c r="P2567" s="373">
        <v>268955450</v>
      </c>
      <c r="Q2567" s="364" t="s">
        <v>14606</v>
      </c>
      <c r="R2567" s="364" t="s">
        <v>9710</v>
      </c>
      <c r="S2567" s="340">
        <v>2</v>
      </c>
    </row>
    <row r="2568" spans="1:19" ht="31" x14ac:dyDescent="0.35">
      <c r="A2568" s="349">
        <v>2557</v>
      </c>
      <c r="B2568" s="364" t="s">
        <v>12958</v>
      </c>
      <c r="C2568" s="364" t="s">
        <v>12959</v>
      </c>
      <c r="D2568" s="366" t="s">
        <v>97</v>
      </c>
      <c r="E2568" s="366" t="s">
        <v>10082</v>
      </c>
      <c r="F2568" s="366" t="s">
        <v>10078</v>
      </c>
      <c r="G2568" s="366" t="s">
        <v>10088</v>
      </c>
      <c r="H2568" s="366" t="s">
        <v>11415</v>
      </c>
      <c r="I2568" s="364" t="s">
        <v>14604</v>
      </c>
      <c r="J2568" s="367">
        <v>40178</v>
      </c>
      <c r="K2568" s="364"/>
      <c r="L2568" s="364"/>
      <c r="M2568" s="364" t="s">
        <v>10084</v>
      </c>
      <c r="N2568" s="364"/>
      <c r="O2568" s="364" t="s">
        <v>57</v>
      </c>
      <c r="P2568" s="373">
        <v>304281400</v>
      </c>
      <c r="Q2568" s="364" t="s">
        <v>14607</v>
      </c>
      <c r="R2568" s="364" t="s">
        <v>9710</v>
      </c>
      <c r="S2568" s="340">
        <v>2</v>
      </c>
    </row>
    <row r="2569" spans="1:19" ht="31.5" thickBot="1" x14ac:dyDescent="0.4">
      <c r="A2569" s="357">
        <v>2558</v>
      </c>
      <c r="B2569" s="364" t="s">
        <v>12958</v>
      </c>
      <c r="C2569" s="364" t="s">
        <v>12959</v>
      </c>
      <c r="D2569" s="366" t="s">
        <v>101</v>
      </c>
      <c r="E2569" s="366" t="s">
        <v>10082</v>
      </c>
      <c r="F2569" s="366" t="s">
        <v>10078</v>
      </c>
      <c r="G2569" s="366" t="s">
        <v>10088</v>
      </c>
      <c r="H2569" s="366" t="s">
        <v>11318</v>
      </c>
      <c r="I2569" s="364" t="s">
        <v>14608</v>
      </c>
      <c r="J2569" s="367">
        <v>39552</v>
      </c>
      <c r="K2569" s="364" t="s">
        <v>14609</v>
      </c>
      <c r="L2569" s="364"/>
      <c r="M2569" s="364" t="s">
        <v>10084</v>
      </c>
      <c r="N2569" s="364"/>
      <c r="O2569" s="364" t="s">
        <v>57</v>
      </c>
      <c r="P2569" s="373">
        <v>67880450</v>
      </c>
      <c r="Q2569" s="364" t="s">
        <v>12587</v>
      </c>
      <c r="R2569" s="364" t="s">
        <v>9710</v>
      </c>
      <c r="S2569" s="340">
        <v>2</v>
      </c>
    </row>
    <row r="2570" spans="1:19" ht="31" x14ac:dyDescent="0.35">
      <c r="A2570" s="349">
        <v>2559</v>
      </c>
      <c r="B2570" s="364" t="s">
        <v>12958</v>
      </c>
      <c r="C2570" s="364" t="s">
        <v>12959</v>
      </c>
      <c r="D2570" s="366" t="s">
        <v>107</v>
      </c>
      <c r="E2570" s="366" t="s">
        <v>10082</v>
      </c>
      <c r="F2570" s="366" t="s">
        <v>10078</v>
      </c>
      <c r="G2570" s="366" t="s">
        <v>10088</v>
      </c>
      <c r="H2570" s="366" t="s">
        <v>11318</v>
      </c>
      <c r="I2570" s="364" t="s">
        <v>14610</v>
      </c>
      <c r="J2570" s="367">
        <v>39813</v>
      </c>
      <c r="K2570" s="364"/>
      <c r="L2570" s="364"/>
      <c r="M2570" s="364" t="s">
        <v>10084</v>
      </c>
      <c r="N2570" s="364"/>
      <c r="O2570" s="364" t="s">
        <v>57</v>
      </c>
      <c r="P2570" s="373">
        <v>67880450</v>
      </c>
      <c r="Q2570" s="364" t="s">
        <v>12587</v>
      </c>
      <c r="R2570" s="364" t="s">
        <v>9710</v>
      </c>
      <c r="S2570" s="340">
        <v>2</v>
      </c>
    </row>
    <row r="2571" spans="1:19" ht="31.5" thickBot="1" x14ac:dyDescent="0.4">
      <c r="A2571" s="357">
        <v>2560</v>
      </c>
      <c r="B2571" s="364" t="s">
        <v>12958</v>
      </c>
      <c r="C2571" s="364" t="s">
        <v>12959</v>
      </c>
      <c r="D2571" s="366" t="s">
        <v>112</v>
      </c>
      <c r="E2571" s="366" t="s">
        <v>10082</v>
      </c>
      <c r="F2571" s="366" t="s">
        <v>10078</v>
      </c>
      <c r="G2571" s="366" t="s">
        <v>10088</v>
      </c>
      <c r="H2571" s="366" t="s">
        <v>11425</v>
      </c>
      <c r="I2571" s="364" t="s">
        <v>14583</v>
      </c>
      <c r="J2571" s="367">
        <v>39813</v>
      </c>
      <c r="K2571" s="364"/>
      <c r="L2571" s="364"/>
      <c r="M2571" s="364" t="s">
        <v>10084</v>
      </c>
      <c r="N2571" s="364"/>
      <c r="O2571" s="364" t="s">
        <v>57</v>
      </c>
      <c r="P2571" s="373">
        <v>50961900</v>
      </c>
      <c r="Q2571" s="364" t="s">
        <v>12587</v>
      </c>
      <c r="R2571" s="364" t="s">
        <v>9710</v>
      </c>
      <c r="S2571" s="340">
        <v>2</v>
      </c>
    </row>
    <row r="2572" spans="1:19" ht="31" x14ac:dyDescent="0.35">
      <c r="A2572" s="349">
        <v>2561</v>
      </c>
      <c r="B2572" s="364" t="s">
        <v>10511</v>
      </c>
      <c r="C2572" s="364" t="s">
        <v>10512</v>
      </c>
      <c r="D2572" s="366" t="s">
        <v>51</v>
      </c>
      <c r="E2572" s="366" t="s">
        <v>10082</v>
      </c>
      <c r="F2572" s="366" t="s">
        <v>10078</v>
      </c>
      <c r="G2572" s="366" t="s">
        <v>10088</v>
      </c>
      <c r="H2572" s="366" t="s">
        <v>11324</v>
      </c>
      <c r="I2572" s="364" t="s">
        <v>14611</v>
      </c>
      <c r="J2572" s="367">
        <v>41928</v>
      </c>
      <c r="K2572" s="364" t="s">
        <v>14612</v>
      </c>
      <c r="L2572" s="364"/>
      <c r="M2572" s="364" t="s">
        <v>10084</v>
      </c>
      <c r="N2572" s="364"/>
      <c r="O2572" s="364" t="s">
        <v>57</v>
      </c>
      <c r="P2572" s="373">
        <v>23462500</v>
      </c>
      <c r="Q2572" s="364" t="s">
        <v>14613</v>
      </c>
      <c r="R2572" s="364" t="s">
        <v>9710</v>
      </c>
      <c r="S2572" s="340">
        <v>2</v>
      </c>
    </row>
    <row r="2573" spans="1:19" ht="31.5" thickBot="1" x14ac:dyDescent="0.4">
      <c r="A2573" s="357">
        <v>2562</v>
      </c>
      <c r="B2573" s="364" t="s">
        <v>10096</v>
      </c>
      <c r="C2573" s="364" t="s">
        <v>10097</v>
      </c>
      <c r="D2573" s="366" t="s">
        <v>51</v>
      </c>
      <c r="E2573" s="366" t="s">
        <v>10082</v>
      </c>
      <c r="F2573" s="366" t="s">
        <v>10078</v>
      </c>
      <c r="G2573" s="366" t="s">
        <v>10088</v>
      </c>
      <c r="H2573" s="366" t="s">
        <v>8956</v>
      </c>
      <c r="I2573" s="364" t="s">
        <v>14611</v>
      </c>
      <c r="J2573" s="367">
        <v>42781</v>
      </c>
      <c r="K2573" s="364" t="s">
        <v>14614</v>
      </c>
      <c r="L2573" s="364"/>
      <c r="M2573" s="364" t="s">
        <v>10084</v>
      </c>
      <c r="N2573" s="364"/>
      <c r="O2573" s="364" t="s">
        <v>57</v>
      </c>
      <c r="P2573" s="373">
        <v>219655000</v>
      </c>
      <c r="Q2573" s="364" t="s">
        <v>14615</v>
      </c>
      <c r="R2573" s="364" t="s">
        <v>9710</v>
      </c>
      <c r="S2573" s="340">
        <v>2</v>
      </c>
    </row>
    <row r="2574" spans="1:19" ht="31" x14ac:dyDescent="0.35">
      <c r="A2574" s="349">
        <v>2563</v>
      </c>
      <c r="B2574" s="364" t="s">
        <v>10096</v>
      </c>
      <c r="C2574" s="364" t="s">
        <v>10097</v>
      </c>
      <c r="D2574" s="366" t="s">
        <v>59</v>
      </c>
      <c r="E2574" s="366" t="s">
        <v>10082</v>
      </c>
      <c r="F2574" s="366" t="s">
        <v>10078</v>
      </c>
      <c r="G2574" s="366" t="s">
        <v>10088</v>
      </c>
      <c r="H2574" s="366" t="s">
        <v>14320</v>
      </c>
      <c r="I2574" s="364" t="s">
        <v>14616</v>
      </c>
      <c r="J2574" s="367">
        <v>42781</v>
      </c>
      <c r="K2574" s="364" t="s">
        <v>14617</v>
      </c>
      <c r="L2574" s="364"/>
      <c r="M2574" s="364" t="s">
        <v>10084</v>
      </c>
      <c r="N2574" s="364"/>
      <c r="O2574" s="364" t="s">
        <v>57</v>
      </c>
      <c r="P2574" s="373">
        <v>219655000</v>
      </c>
      <c r="Q2574" s="364" t="s">
        <v>14618</v>
      </c>
      <c r="R2574" s="364" t="s">
        <v>9710</v>
      </c>
      <c r="S2574" s="340">
        <v>2</v>
      </c>
    </row>
    <row r="2575" spans="1:19" ht="16" thickBot="1" x14ac:dyDescent="0.4">
      <c r="A2575" s="357">
        <v>2564</v>
      </c>
      <c r="B2575" s="364" t="s">
        <v>10096</v>
      </c>
      <c r="C2575" s="364" t="s">
        <v>10097</v>
      </c>
      <c r="D2575" s="366" t="s">
        <v>97</v>
      </c>
      <c r="E2575" s="366" t="s">
        <v>10082</v>
      </c>
      <c r="F2575" s="366" t="s">
        <v>10078</v>
      </c>
      <c r="G2575" s="366" t="s">
        <v>10078</v>
      </c>
      <c r="H2575" s="366" t="s">
        <v>12574</v>
      </c>
      <c r="I2575" s="364" t="s">
        <v>11329</v>
      </c>
      <c r="J2575" s="367">
        <v>40178</v>
      </c>
      <c r="K2575" s="364"/>
      <c r="L2575" s="364"/>
      <c r="M2575" s="364" t="s">
        <v>10084</v>
      </c>
      <c r="N2575" s="364"/>
      <c r="O2575" s="364" t="s">
        <v>57</v>
      </c>
      <c r="P2575" s="373">
        <v>114502000</v>
      </c>
      <c r="Q2575" s="364" t="s">
        <v>14619</v>
      </c>
      <c r="R2575" s="364" t="s">
        <v>9710</v>
      </c>
      <c r="S2575" s="340">
        <v>2</v>
      </c>
    </row>
    <row r="2576" spans="1:19" ht="31" x14ac:dyDescent="0.35">
      <c r="A2576" s="349">
        <v>2565</v>
      </c>
      <c r="B2576" s="364" t="s">
        <v>10096</v>
      </c>
      <c r="C2576" s="364" t="s">
        <v>10097</v>
      </c>
      <c r="D2576" s="366" t="s">
        <v>101</v>
      </c>
      <c r="E2576" s="366" t="s">
        <v>10082</v>
      </c>
      <c r="F2576" s="366" t="s">
        <v>10078</v>
      </c>
      <c r="G2576" s="366" t="s">
        <v>10088</v>
      </c>
      <c r="H2576" s="366" t="s">
        <v>11409</v>
      </c>
      <c r="I2576" s="364" t="s">
        <v>14620</v>
      </c>
      <c r="J2576" s="367">
        <v>42118</v>
      </c>
      <c r="K2576" s="364" t="s">
        <v>14621</v>
      </c>
      <c r="L2576" s="364"/>
      <c r="M2576" s="364" t="s">
        <v>10084</v>
      </c>
      <c r="N2576" s="364"/>
      <c r="O2576" s="364" t="s">
        <v>57</v>
      </c>
      <c r="P2576" s="373">
        <v>200200000</v>
      </c>
      <c r="Q2576" s="364" t="s">
        <v>14622</v>
      </c>
      <c r="R2576" s="364" t="s">
        <v>9710</v>
      </c>
      <c r="S2576" s="340">
        <v>2</v>
      </c>
    </row>
    <row r="2577" spans="1:19" ht="31.5" thickBot="1" x14ac:dyDescent="0.4">
      <c r="A2577" s="357">
        <v>2566</v>
      </c>
      <c r="B2577" s="364" t="s">
        <v>10535</v>
      </c>
      <c r="C2577" s="364" t="s">
        <v>10536</v>
      </c>
      <c r="D2577" s="366" t="s">
        <v>51</v>
      </c>
      <c r="E2577" s="366" t="s">
        <v>10082</v>
      </c>
      <c r="F2577" s="366" t="s">
        <v>10078</v>
      </c>
      <c r="G2577" s="366" t="s">
        <v>10088</v>
      </c>
      <c r="H2577" s="366" t="s">
        <v>12771</v>
      </c>
      <c r="I2577" s="364" t="s">
        <v>14623</v>
      </c>
      <c r="J2577" s="367">
        <v>42299</v>
      </c>
      <c r="K2577" s="364" t="s">
        <v>14624</v>
      </c>
      <c r="L2577" s="364"/>
      <c r="M2577" s="364" t="s">
        <v>10084</v>
      </c>
      <c r="N2577" s="364"/>
      <c r="O2577" s="364" t="s">
        <v>57</v>
      </c>
      <c r="P2577" s="373">
        <v>26210000</v>
      </c>
      <c r="Q2577" s="364" t="s">
        <v>14625</v>
      </c>
      <c r="R2577" s="364" t="s">
        <v>9816</v>
      </c>
      <c r="S2577" s="340">
        <v>2</v>
      </c>
    </row>
    <row r="2578" spans="1:19" ht="31" x14ac:dyDescent="0.35">
      <c r="A2578" s="349">
        <v>2567</v>
      </c>
      <c r="B2578" s="364" t="s">
        <v>10535</v>
      </c>
      <c r="C2578" s="364" t="s">
        <v>10536</v>
      </c>
      <c r="D2578" s="366" t="s">
        <v>59</v>
      </c>
      <c r="E2578" s="366" t="s">
        <v>10082</v>
      </c>
      <c r="F2578" s="366" t="s">
        <v>10078</v>
      </c>
      <c r="G2578" s="366" t="s">
        <v>10088</v>
      </c>
      <c r="H2578" s="366" t="s">
        <v>11315</v>
      </c>
      <c r="I2578" s="364" t="s">
        <v>14626</v>
      </c>
      <c r="J2578" s="367">
        <v>42752</v>
      </c>
      <c r="K2578" s="364" t="s">
        <v>14627</v>
      </c>
      <c r="L2578" s="364"/>
      <c r="M2578" s="364" t="s">
        <v>10084</v>
      </c>
      <c r="N2578" s="364"/>
      <c r="O2578" s="364" t="s">
        <v>57</v>
      </c>
      <c r="P2578" s="373">
        <v>197400000</v>
      </c>
      <c r="Q2578" s="364" t="s">
        <v>14628</v>
      </c>
      <c r="R2578" s="364" t="s">
        <v>9816</v>
      </c>
      <c r="S2578" s="340">
        <v>2</v>
      </c>
    </row>
    <row r="2579" spans="1:19" ht="31.5" thickBot="1" x14ac:dyDescent="0.4">
      <c r="A2579" s="357">
        <v>2568</v>
      </c>
      <c r="B2579" s="364" t="s">
        <v>10541</v>
      </c>
      <c r="C2579" s="364" t="s">
        <v>10542</v>
      </c>
      <c r="D2579" s="366" t="s">
        <v>51</v>
      </c>
      <c r="E2579" s="366" t="s">
        <v>10082</v>
      </c>
      <c r="F2579" s="366" t="s">
        <v>10078</v>
      </c>
      <c r="G2579" s="366" t="s">
        <v>10088</v>
      </c>
      <c r="H2579" s="366" t="s">
        <v>8951</v>
      </c>
      <c r="I2579" s="364" t="s">
        <v>14629</v>
      </c>
      <c r="J2579" s="367">
        <v>42781</v>
      </c>
      <c r="K2579" s="364" t="s">
        <v>14630</v>
      </c>
      <c r="L2579" s="364"/>
      <c r="M2579" s="364" t="s">
        <v>10084</v>
      </c>
      <c r="N2579" s="364"/>
      <c r="O2579" s="364" t="s">
        <v>57</v>
      </c>
      <c r="P2579" s="373">
        <v>219837000</v>
      </c>
      <c r="Q2579" s="364" t="s">
        <v>14631</v>
      </c>
      <c r="R2579" s="364" t="s">
        <v>9816</v>
      </c>
      <c r="S2579" s="340">
        <v>2</v>
      </c>
    </row>
    <row r="2580" spans="1:19" ht="46.5" x14ac:dyDescent="0.35">
      <c r="A2580" s="349">
        <v>2569</v>
      </c>
      <c r="B2580" s="364" t="s">
        <v>13477</v>
      </c>
      <c r="C2580" s="364" t="s">
        <v>13478</v>
      </c>
      <c r="D2580" s="366" t="s">
        <v>51</v>
      </c>
      <c r="E2580" s="366" t="s">
        <v>10082</v>
      </c>
      <c r="F2580" s="366" t="s">
        <v>10078</v>
      </c>
      <c r="G2580" s="366" t="s">
        <v>10088</v>
      </c>
      <c r="H2580" s="366" t="s">
        <v>13087</v>
      </c>
      <c r="I2580" s="364" t="s">
        <v>14632</v>
      </c>
      <c r="J2580" s="367">
        <v>42661</v>
      </c>
      <c r="K2580" s="364" t="s">
        <v>14633</v>
      </c>
      <c r="L2580" s="364"/>
      <c r="M2580" s="364" t="s">
        <v>10084</v>
      </c>
      <c r="N2580" s="364"/>
      <c r="O2580" s="364" t="s">
        <v>57</v>
      </c>
      <c r="P2580" s="373">
        <v>335750000</v>
      </c>
      <c r="Q2580" s="364" t="s">
        <v>14634</v>
      </c>
      <c r="R2580" s="364" t="s">
        <v>9816</v>
      </c>
      <c r="S2580" s="340">
        <v>2</v>
      </c>
    </row>
    <row r="2581" spans="1:19" ht="31.5" thickBot="1" x14ac:dyDescent="0.4">
      <c r="A2581" s="357">
        <v>2570</v>
      </c>
      <c r="B2581" s="364" t="s">
        <v>13477</v>
      </c>
      <c r="C2581" s="364" t="s">
        <v>13478</v>
      </c>
      <c r="D2581" s="366" t="s">
        <v>59</v>
      </c>
      <c r="E2581" s="366" t="s">
        <v>10082</v>
      </c>
      <c r="F2581" s="366" t="s">
        <v>10078</v>
      </c>
      <c r="G2581" s="366" t="s">
        <v>10078</v>
      </c>
      <c r="H2581" s="366" t="s">
        <v>12623</v>
      </c>
      <c r="I2581" s="364" t="s">
        <v>14635</v>
      </c>
      <c r="J2581" s="367">
        <v>40445</v>
      </c>
      <c r="K2581" s="364" t="s">
        <v>14636</v>
      </c>
      <c r="L2581" s="364"/>
      <c r="M2581" s="364" t="s">
        <v>10084</v>
      </c>
      <c r="N2581" s="364"/>
      <c r="O2581" s="364" t="s">
        <v>57</v>
      </c>
      <c r="P2581" s="373">
        <v>216780000</v>
      </c>
      <c r="Q2581" s="364" t="s">
        <v>14637</v>
      </c>
      <c r="R2581" s="364" t="s">
        <v>9816</v>
      </c>
      <c r="S2581" s="340">
        <v>2</v>
      </c>
    </row>
    <row r="2582" spans="1:19" ht="15.5" x14ac:dyDescent="0.35">
      <c r="A2582" s="349">
        <v>2571</v>
      </c>
      <c r="B2582" s="364" t="s">
        <v>13477</v>
      </c>
      <c r="C2582" s="364" t="s">
        <v>13478</v>
      </c>
      <c r="D2582" s="366" t="s">
        <v>97</v>
      </c>
      <c r="E2582" s="366" t="s">
        <v>10082</v>
      </c>
      <c r="F2582" s="366" t="s">
        <v>10078</v>
      </c>
      <c r="G2582" s="366" t="s">
        <v>10078</v>
      </c>
      <c r="H2582" s="366" t="s">
        <v>11297</v>
      </c>
      <c r="I2582" s="364" t="s">
        <v>14638</v>
      </c>
      <c r="J2582" s="367">
        <v>40791</v>
      </c>
      <c r="K2582" s="364" t="s">
        <v>14639</v>
      </c>
      <c r="L2582" s="364"/>
      <c r="M2582" s="364" t="s">
        <v>10084</v>
      </c>
      <c r="N2582" s="364"/>
      <c r="O2582" s="364" t="s">
        <v>57</v>
      </c>
      <c r="P2582" s="373">
        <v>209625000</v>
      </c>
      <c r="Q2582" s="364" t="s">
        <v>14640</v>
      </c>
      <c r="R2582" s="364" t="s">
        <v>9816</v>
      </c>
      <c r="S2582" s="340">
        <v>2</v>
      </c>
    </row>
    <row r="2583" spans="1:19" ht="31.5" thickBot="1" x14ac:dyDescent="0.4">
      <c r="A2583" s="357">
        <v>2572</v>
      </c>
      <c r="B2583" s="364" t="s">
        <v>13477</v>
      </c>
      <c r="C2583" s="364" t="s">
        <v>13478</v>
      </c>
      <c r="D2583" s="366" t="s">
        <v>101</v>
      </c>
      <c r="E2583" s="366" t="s">
        <v>10082</v>
      </c>
      <c r="F2583" s="366" t="s">
        <v>10078</v>
      </c>
      <c r="G2583" s="366" t="s">
        <v>10078</v>
      </c>
      <c r="H2583" s="366" t="s">
        <v>11297</v>
      </c>
      <c r="I2583" s="364" t="s">
        <v>14641</v>
      </c>
      <c r="J2583" s="367">
        <v>41464</v>
      </c>
      <c r="K2583" s="364" t="s">
        <v>14642</v>
      </c>
      <c r="L2583" s="364"/>
      <c r="M2583" s="364" t="s">
        <v>10084</v>
      </c>
      <c r="N2583" s="364"/>
      <c r="O2583" s="364" t="s">
        <v>57</v>
      </c>
      <c r="P2583" s="373">
        <v>218700000</v>
      </c>
      <c r="Q2583" s="364" t="s">
        <v>14643</v>
      </c>
      <c r="R2583" s="364" t="s">
        <v>9816</v>
      </c>
      <c r="S2583" s="340">
        <v>2</v>
      </c>
    </row>
    <row r="2584" spans="1:19" ht="31" x14ac:dyDescent="0.35">
      <c r="A2584" s="349">
        <v>2573</v>
      </c>
      <c r="B2584" s="364" t="s">
        <v>13477</v>
      </c>
      <c r="C2584" s="364" t="s">
        <v>13478</v>
      </c>
      <c r="D2584" s="366" t="s">
        <v>107</v>
      </c>
      <c r="E2584" s="366" t="s">
        <v>10082</v>
      </c>
      <c r="F2584" s="366" t="s">
        <v>10078</v>
      </c>
      <c r="G2584" s="366" t="s">
        <v>10088</v>
      </c>
      <c r="H2584" s="366" t="s">
        <v>12626</v>
      </c>
      <c r="I2584" s="364" t="s">
        <v>14644</v>
      </c>
      <c r="J2584" s="367">
        <v>40445</v>
      </c>
      <c r="K2584" s="364" t="s">
        <v>14645</v>
      </c>
      <c r="L2584" s="364"/>
      <c r="M2584" s="364" t="s">
        <v>10084</v>
      </c>
      <c r="N2584" s="364"/>
      <c r="O2584" s="364" t="s">
        <v>57</v>
      </c>
      <c r="P2584" s="373">
        <v>150700000</v>
      </c>
      <c r="Q2584" s="364" t="s">
        <v>14646</v>
      </c>
      <c r="R2584" s="364" t="s">
        <v>9816</v>
      </c>
      <c r="S2584" s="340">
        <v>2</v>
      </c>
    </row>
    <row r="2585" spans="1:19" ht="16" thickBot="1" x14ac:dyDescent="0.4">
      <c r="A2585" s="357">
        <v>2574</v>
      </c>
      <c r="B2585" s="364" t="s">
        <v>13477</v>
      </c>
      <c r="C2585" s="364" t="s">
        <v>13478</v>
      </c>
      <c r="D2585" s="366" t="s">
        <v>112</v>
      </c>
      <c r="E2585" s="366" t="s">
        <v>10082</v>
      </c>
      <c r="F2585" s="366" t="s">
        <v>10078</v>
      </c>
      <c r="G2585" s="366" t="s">
        <v>10078</v>
      </c>
      <c r="H2585" s="366" t="s">
        <v>12626</v>
      </c>
      <c r="I2585" s="364" t="s">
        <v>12795</v>
      </c>
      <c r="J2585" s="367">
        <v>40376</v>
      </c>
      <c r="K2585" s="364" t="s">
        <v>14647</v>
      </c>
      <c r="L2585" s="364"/>
      <c r="M2585" s="364" t="s">
        <v>10084</v>
      </c>
      <c r="N2585" s="364"/>
      <c r="O2585" s="364" t="s">
        <v>57</v>
      </c>
      <c r="P2585" s="373">
        <v>157720500</v>
      </c>
      <c r="Q2585" s="364" t="s">
        <v>14648</v>
      </c>
      <c r="R2585" s="364" t="s">
        <v>9816</v>
      </c>
      <c r="S2585" s="340">
        <v>2</v>
      </c>
    </row>
    <row r="2586" spans="1:19" ht="46.5" x14ac:dyDescent="0.35">
      <c r="A2586" s="349">
        <v>2575</v>
      </c>
      <c r="B2586" s="364" t="s">
        <v>13477</v>
      </c>
      <c r="C2586" s="364" t="s">
        <v>13478</v>
      </c>
      <c r="D2586" s="366" t="s">
        <v>116</v>
      </c>
      <c r="E2586" s="366" t="s">
        <v>10082</v>
      </c>
      <c r="F2586" s="366" t="s">
        <v>10078</v>
      </c>
      <c r="G2586" s="366" t="s">
        <v>10078</v>
      </c>
      <c r="H2586" s="366" t="s">
        <v>2972</v>
      </c>
      <c r="I2586" s="364" t="s">
        <v>14629</v>
      </c>
      <c r="J2586" s="367">
        <v>43647</v>
      </c>
      <c r="K2586" s="364" t="s">
        <v>14649</v>
      </c>
      <c r="L2586" s="364"/>
      <c r="M2586" s="364" t="s">
        <v>10084</v>
      </c>
      <c r="N2586" s="364"/>
      <c r="O2586" s="364" t="s">
        <v>57</v>
      </c>
      <c r="P2586" s="373">
        <v>221378683.99999997</v>
      </c>
      <c r="Q2586" s="364" t="s">
        <v>14650</v>
      </c>
      <c r="R2586" s="364" t="s">
        <v>9816</v>
      </c>
      <c r="S2586" s="340">
        <v>2</v>
      </c>
    </row>
    <row r="2587" spans="1:19" ht="31.5" thickBot="1" x14ac:dyDescent="0.4">
      <c r="A2587" s="357">
        <v>2576</v>
      </c>
      <c r="B2587" s="364" t="s">
        <v>13477</v>
      </c>
      <c r="C2587" s="364" t="s">
        <v>13478</v>
      </c>
      <c r="D2587" s="366" t="s">
        <v>841</v>
      </c>
      <c r="E2587" s="366" t="s">
        <v>10082</v>
      </c>
      <c r="F2587" s="366" t="s">
        <v>10078</v>
      </c>
      <c r="G2587" s="366" t="s">
        <v>10078</v>
      </c>
      <c r="H2587" s="366" t="s">
        <v>12157</v>
      </c>
      <c r="I2587" s="364" t="s">
        <v>14651</v>
      </c>
      <c r="J2587" s="367">
        <v>43726</v>
      </c>
      <c r="K2587" s="364" t="s">
        <v>14652</v>
      </c>
      <c r="L2587" s="364"/>
      <c r="M2587" s="364" t="s">
        <v>10084</v>
      </c>
      <c r="N2587" s="364"/>
      <c r="O2587" s="364" t="s">
        <v>57</v>
      </c>
      <c r="P2587" s="373">
        <v>441685000</v>
      </c>
      <c r="Q2587" s="364" t="s">
        <v>14653</v>
      </c>
      <c r="R2587" s="364" t="s">
        <v>9816</v>
      </c>
      <c r="S2587" s="340">
        <v>2</v>
      </c>
    </row>
    <row r="2588" spans="1:19" ht="31" x14ac:dyDescent="0.35">
      <c r="A2588" s="349">
        <v>2577</v>
      </c>
      <c r="B2588" s="364" t="s">
        <v>13477</v>
      </c>
      <c r="C2588" s="364" t="s">
        <v>13478</v>
      </c>
      <c r="D2588" s="366" t="s">
        <v>904</v>
      </c>
      <c r="E2588" s="366" t="s">
        <v>10082</v>
      </c>
      <c r="F2588" s="366" t="s">
        <v>10078</v>
      </c>
      <c r="G2588" s="366" t="s">
        <v>10078</v>
      </c>
      <c r="H2588" s="366" t="s">
        <v>12584</v>
      </c>
      <c r="I2588" s="364" t="s">
        <v>14654</v>
      </c>
      <c r="J2588" s="367">
        <v>43017</v>
      </c>
      <c r="K2588" s="364" t="s">
        <v>14655</v>
      </c>
      <c r="L2588" s="364"/>
      <c r="M2588" s="364" t="s">
        <v>10084</v>
      </c>
      <c r="N2588" s="364"/>
      <c r="O2588" s="364" t="s">
        <v>57</v>
      </c>
      <c r="P2588" s="373">
        <v>263952000</v>
      </c>
      <c r="Q2588" s="364" t="s">
        <v>14656</v>
      </c>
      <c r="R2588" s="364" t="s">
        <v>9816</v>
      </c>
      <c r="S2588" s="340">
        <v>2</v>
      </c>
    </row>
    <row r="2589" spans="1:19" ht="31.5" thickBot="1" x14ac:dyDescent="0.4">
      <c r="A2589" s="357">
        <v>2578</v>
      </c>
      <c r="B2589" s="364" t="s">
        <v>13477</v>
      </c>
      <c r="C2589" s="364" t="s">
        <v>13478</v>
      </c>
      <c r="D2589" s="366" t="s">
        <v>122</v>
      </c>
      <c r="E2589" s="366" t="s">
        <v>10082</v>
      </c>
      <c r="F2589" s="366" t="s">
        <v>10078</v>
      </c>
      <c r="G2589" s="366" t="s">
        <v>10078</v>
      </c>
      <c r="H2589" s="366" t="s">
        <v>11297</v>
      </c>
      <c r="I2589" s="364" t="s">
        <v>14657</v>
      </c>
      <c r="J2589" s="367">
        <v>39813</v>
      </c>
      <c r="K2589" s="364"/>
      <c r="L2589" s="364"/>
      <c r="M2589" s="364" t="s">
        <v>10084</v>
      </c>
      <c r="N2589" s="364"/>
      <c r="O2589" s="364" t="s">
        <v>57</v>
      </c>
      <c r="P2589" s="373">
        <v>110138000</v>
      </c>
      <c r="Q2589" s="364" t="s">
        <v>14658</v>
      </c>
      <c r="R2589" s="364" t="s">
        <v>9816</v>
      </c>
      <c r="S2589" s="340">
        <v>2</v>
      </c>
    </row>
    <row r="2590" spans="1:19" ht="31" x14ac:dyDescent="0.35">
      <c r="A2590" s="349">
        <v>2579</v>
      </c>
      <c r="B2590" s="364" t="s">
        <v>13477</v>
      </c>
      <c r="C2590" s="364" t="s">
        <v>13478</v>
      </c>
      <c r="D2590" s="366" t="s">
        <v>126</v>
      </c>
      <c r="E2590" s="366" t="s">
        <v>10082</v>
      </c>
      <c r="F2590" s="366" t="s">
        <v>10078</v>
      </c>
      <c r="G2590" s="366" t="s">
        <v>10078</v>
      </c>
      <c r="H2590" s="366" t="s">
        <v>11297</v>
      </c>
      <c r="I2590" s="364" t="s">
        <v>14659</v>
      </c>
      <c r="J2590" s="367">
        <v>39813</v>
      </c>
      <c r="K2590" s="364"/>
      <c r="L2590" s="364"/>
      <c r="M2590" s="364" t="s">
        <v>10084</v>
      </c>
      <c r="N2590" s="364"/>
      <c r="O2590" s="364" t="s">
        <v>57</v>
      </c>
      <c r="P2590" s="373">
        <v>348749843</v>
      </c>
      <c r="Q2590" s="364" t="s">
        <v>14660</v>
      </c>
      <c r="R2590" s="364" t="s">
        <v>9816</v>
      </c>
      <c r="S2590" s="340">
        <v>2</v>
      </c>
    </row>
    <row r="2591" spans="1:19" ht="31.5" thickBot="1" x14ac:dyDescent="0.4">
      <c r="A2591" s="357">
        <v>2580</v>
      </c>
      <c r="B2591" s="364" t="s">
        <v>13477</v>
      </c>
      <c r="C2591" s="364" t="s">
        <v>13478</v>
      </c>
      <c r="D2591" s="366" t="s">
        <v>132</v>
      </c>
      <c r="E2591" s="366" t="s">
        <v>10082</v>
      </c>
      <c r="F2591" s="366" t="s">
        <v>10078</v>
      </c>
      <c r="G2591" s="366" t="s">
        <v>10078</v>
      </c>
      <c r="H2591" s="366" t="s">
        <v>11297</v>
      </c>
      <c r="I2591" s="364" t="s">
        <v>14654</v>
      </c>
      <c r="J2591" s="367">
        <v>39813</v>
      </c>
      <c r="K2591" s="364"/>
      <c r="L2591" s="364"/>
      <c r="M2591" s="364" t="s">
        <v>10084</v>
      </c>
      <c r="N2591" s="364"/>
      <c r="O2591" s="364" t="s">
        <v>57</v>
      </c>
      <c r="P2591" s="373">
        <v>435711275</v>
      </c>
      <c r="Q2591" s="364" t="s">
        <v>14661</v>
      </c>
      <c r="R2591" s="364" t="s">
        <v>9816</v>
      </c>
      <c r="S2591" s="340">
        <v>2</v>
      </c>
    </row>
    <row r="2592" spans="1:19" ht="31" x14ac:dyDescent="0.35">
      <c r="A2592" s="349">
        <v>2581</v>
      </c>
      <c r="B2592" s="364" t="s">
        <v>13477</v>
      </c>
      <c r="C2592" s="364" t="s">
        <v>13478</v>
      </c>
      <c r="D2592" s="366" t="s">
        <v>137</v>
      </c>
      <c r="E2592" s="366" t="s">
        <v>10082</v>
      </c>
      <c r="F2592" s="366" t="s">
        <v>10078</v>
      </c>
      <c r="G2592" s="366" t="s">
        <v>10078</v>
      </c>
      <c r="H2592" s="366" t="s">
        <v>11297</v>
      </c>
      <c r="I2592" s="364" t="s">
        <v>14662</v>
      </c>
      <c r="J2592" s="367">
        <v>39813</v>
      </c>
      <c r="K2592" s="364"/>
      <c r="L2592" s="364"/>
      <c r="M2592" s="364" t="s">
        <v>10084</v>
      </c>
      <c r="N2592" s="364"/>
      <c r="O2592" s="364" t="s">
        <v>57</v>
      </c>
      <c r="P2592" s="373">
        <v>108803000</v>
      </c>
      <c r="Q2592" s="364" t="s">
        <v>14663</v>
      </c>
      <c r="R2592" s="364" t="s">
        <v>9816</v>
      </c>
      <c r="S2592" s="340">
        <v>2</v>
      </c>
    </row>
    <row r="2593" spans="1:19" ht="31.5" thickBot="1" x14ac:dyDescent="0.4">
      <c r="A2593" s="357">
        <v>2582</v>
      </c>
      <c r="B2593" s="364" t="s">
        <v>13477</v>
      </c>
      <c r="C2593" s="364" t="s">
        <v>13478</v>
      </c>
      <c r="D2593" s="366" t="s">
        <v>146</v>
      </c>
      <c r="E2593" s="366" t="s">
        <v>10082</v>
      </c>
      <c r="F2593" s="366" t="s">
        <v>10078</v>
      </c>
      <c r="G2593" s="366" t="s">
        <v>10078</v>
      </c>
      <c r="H2593" s="366" t="s">
        <v>11297</v>
      </c>
      <c r="I2593" s="364" t="s">
        <v>14664</v>
      </c>
      <c r="J2593" s="367">
        <v>39813</v>
      </c>
      <c r="K2593" s="364"/>
      <c r="L2593" s="364"/>
      <c r="M2593" s="364" t="s">
        <v>10084</v>
      </c>
      <c r="N2593" s="364"/>
      <c r="O2593" s="364" t="s">
        <v>57</v>
      </c>
      <c r="P2593" s="373">
        <v>125104000</v>
      </c>
      <c r="Q2593" s="364" t="s">
        <v>14665</v>
      </c>
      <c r="R2593" s="364" t="s">
        <v>9816</v>
      </c>
      <c r="S2593" s="340">
        <v>2</v>
      </c>
    </row>
    <row r="2594" spans="1:19" ht="31" x14ac:dyDescent="0.35">
      <c r="A2594" s="349">
        <v>2583</v>
      </c>
      <c r="B2594" s="364" t="s">
        <v>13477</v>
      </c>
      <c r="C2594" s="364" t="s">
        <v>13478</v>
      </c>
      <c r="D2594" s="366" t="s">
        <v>154</v>
      </c>
      <c r="E2594" s="366" t="s">
        <v>10082</v>
      </c>
      <c r="F2594" s="366" t="s">
        <v>10078</v>
      </c>
      <c r="G2594" s="366" t="s">
        <v>10078</v>
      </c>
      <c r="H2594" s="366" t="s">
        <v>11297</v>
      </c>
      <c r="I2594" s="364" t="s">
        <v>14666</v>
      </c>
      <c r="J2594" s="367">
        <v>39813</v>
      </c>
      <c r="K2594" s="364"/>
      <c r="L2594" s="364"/>
      <c r="M2594" s="364" t="s">
        <v>10084</v>
      </c>
      <c r="N2594" s="364"/>
      <c r="O2594" s="364" t="s">
        <v>57</v>
      </c>
      <c r="P2594" s="373">
        <v>375863656</v>
      </c>
      <c r="Q2594" s="364" t="s">
        <v>14667</v>
      </c>
      <c r="R2594" s="364" t="s">
        <v>9816</v>
      </c>
      <c r="S2594" s="340">
        <v>2</v>
      </c>
    </row>
    <row r="2595" spans="1:19" ht="31.5" thickBot="1" x14ac:dyDescent="0.4">
      <c r="A2595" s="357">
        <v>2584</v>
      </c>
      <c r="B2595" s="364" t="s">
        <v>13477</v>
      </c>
      <c r="C2595" s="364" t="s">
        <v>13478</v>
      </c>
      <c r="D2595" s="366" t="s">
        <v>161</v>
      </c>
      <c r="E2595" s="366" t="s">
        <v>10082</v>
      </c>
      <c r="F2595" s="366" t="s">
        <v>10078</v>
      </c>
      <c r="G2595" s="366" t="s">
        <v>10078</v>
      </c>
      <c r="H2595" s="366" t="s">
        <v>11297</v>
      </c>
      <c r="I2595" s="364" t="s">
        <v>11635</v>
      </c>
      <c r="J2595" s="367">
        <v>39813</v>
      </c>
      <c r="K2595" s="364"/>
      <c r="L2595" s="364"/>
      <c r="M2595" s="364" t="s">
        <v>10084</v>
      </c>
      <c r="N2595" s="364"/>
      <c r="O2595" s="364" t="s">
        <v>57</v>
      </c>
      <c r="P2595" s="373">
        <v>183500000</v>
      </c>
      <c r="Q2595" s="364" t="s">
        <v>14668</v>
      </c>
      <c r="R2595" s="364" t="s">
        <v>9816</v>
      </c>
      <c r="S2595" s="340">
        <v>2</v>
      </c>
    </row>
    <row r="2596" spans="1:19" ht="31" x14ac:dyDescent="0.35">
      <c r="A2596" s="349">
        <v>2585</v>
      </c>
      <c r="B2596" s="364" t="s">
        <v>13477</v>
      </c>
      <c r="C2596" s="364" t="s">
        <v>13478</v>
      </c>
      <c r="D2596" s="366" t="s">
        <v>169</v>
      </c>
      <c r="E2596" s="366" t="s">
        <v>10082</v>
      </c>
      <c r="F2596" s="366" t="s">
        <v>10078</v>
      </c>
      <c r="G2596" s="366" t="s">
        <v>10088</v>
      </c>
      <c r="H2596" s="366" t="s">
        <v>11465</v>
      </c>
      <c r="I2596" s="364" t="s">
        <v>14669</v>
      </c>
      <c r="J2596" s="367">
        <v>39813</v>
      </c>
      <c r="K2596" s="364"/>
      <c r="L2596" s="364"/>
      <c r="M2596" s="364" t="s">
        <v>10084</v>
      </c>
      <c r="N2596" s="364"/>
      <c r="O2596" s="364" t="s">
        <v>57</v>
      </c>
      <c r="P2596" s="373">
        <v>262395000</v>
      </c>
      <c r="Q2596" s="364" t="s">
        <v>13603</v>
      </c>
      <c r="R2596" s="364" t="s">
        <v>9816</v>
      </c>
      <c r="S2596" s="340">
        <v>2</v>
      </c>
    </row>
    <row r="2597" spans="1:19" ht="31.5" thickBot="1" x14ac:dyDescent="0.4">
      <c r="A2597" s="357">
        <v>2586</v>
      </c>
      <c r="B2597" s="364" t="s">
        <v>13477</v>
      </c>
      <c r="C2597" s="364" t="s">
        <v>13478</v>
      </c>
      <c r="D2597" s="366" t="s">
        <v>176</v>
      </c>
      <c r="E2597" s="366" t="s">
        <v>10082</v>
      </c>
      <c r="F2597" s="366" t="s">
        <v>10078</v>
      </c>
      <c r="G2597" s="366" t="s">
        <v>10088</v>
      </c>
      <c r="H2597" s="366" t="s">
        <v>11465</v>
      </c>
      <c r="I2597" s="364" t="s">
        <v>14669</v>
      </c>
      <c r="J2597" s="367">
        <v>39813</v>
      </c>
      <c r="K2597" s="364"/>
      <c r="L2597" s="364"/>
      <c r="M2597" s="364" t="s">
        <v>10084</v>
      </c>
      <c r="N2597" s="364"/>
      <c r="O2597" s="364" t="s">
        <v>57</v>
      </c>
      <c r="P2597" s="373">
        <v>299671150</v>
      </c>
      <c r="Q2597" s="364" t="s">
        <v>13603</v>
      </c>
      <c r="R2597" s="364" t="s">
        <v>9816</v>
      </c>
      <c r="S2597" s="340">
        <v>2</v>
      </c>
    </row>
    <row r="2598" spans="1:19" ht="31" x14ac:dyDescent="0.35">
      <c r="A2598" s="349">
        <v>2587</v>
      </c>
      <c r="B2598" s="364" t="s">
        <v>13477</v>
      </c>
      <c r="C2598" s="364" t="s">
        <v>13478</v>
      </c>
      <c r="D2598" s="366" t="s">
        <v>1236</v>
      </c>
      <c r="E2598" s="366" t="s">
        <v>10082</v>
      </c>
      <c r="F2598" s="366" t="s">
        <v>10078</v>
      </c>
      <c r="G2598" s="366" t="s">
        <v>10078</v>
      </c>
      <c r="H2598" s="366" t="s">
        <v>11297</v>
      </c>
      <c r="I2598" s="364" t="s">
        <v>14670</v>
      </c>
      <c r="J2598" s="367">
        <v>39813</v>
      </c>
      <c r="K2598" s="364"/>
      <c r="L2598" s="364"/>
      <c r="M2598" s="364" t="s">
        <v>10084</v>
      </c>
      <c r="N2598" s="364"/>
      <c r="O2598" s="364" t="s">
        <v>57</v>
      </c>
      <c r="P2598" s="373">
        <v>315107200</v>
      </c>
      <c r="Q2598" s="364" t="s">
        <v>14671</v>
      </c>
      <c r="R2598" s="364" t="s">
        <v>9816</v>
      </c>
      <c r="S2598" s="340">
        <v>2</v>
      </c>
    </row>
    <row r="2599" spans="1:19" ht="31.5" thickBot="1" x14ac:dyDescent="0.4">
      <c r="A2599" s="357">
        <v>2588</v>
      </c>
      <c r="B2599" s="364" t="s">
        <v>13477</v>
      </c>
      <c r="C2599" s="364" t="s">
        <v>13478</v>
      </c>
      <c r="D2599" s="366" t="s">
        <v>181</v>
      </c>
      <c r="E2599" s="366" t="s">
        <v>10082</v>
      </c>
      <c r="F2599" s="366" t="s">
        <v>10078</v>
      </c>
      <c r="G2599" s="366" t="s">
        <v>10078</v>
      </c>
      <c r="H2599" s="366" t="s">
        <v>11297</v>
      </c>
      <c r="I2599" s="364" t="s">
        <v>14672</v>
      </c>
      <c r="J2599" s="367">
        <v>39813</v>
      </c>
      <c r="K2599" s="364"/>
      <c r="L2599" s="364"/>
      <c r="M2599" s="364" t="s">
        <v>10084</v>
      </c>
      <c r="N2599" s="364"/>
      <c r="O2599" s="364" t="s">
        <v>57</v>
      </c>
      <c r="P2599" s="373">
        <v>329908000</v>
      </c>
      <c r="Q2599" s="364" t="s">
        <v>14673</v>
      </c>
      <c r="R2599" s="364" t="s">
        <v>9816</v>
      </c>
      <c r="S2599" s="340">
        <v>2</v>
      </c>
    </row>
    <row r="2600" spans="1:19" ht="31" x14ac:dyDescent="0.35">
      <c r="A2600" s="349">
        <v>2589</v>
      </c>
      <c r="B2600" s="364" t="s">
        <v>13477</v>
      </c>
      <c r="C2600" s="364" t="s">
        <v>13478</v>
      </c>
      <c r="D2600" s="366" t="s">
        <v>187</v>
      </c>
      <c r="E2600" s="366" t="s">
        <v>10082</v>
      </c>
      <c r="F2600" s="366" t="s">
        <v>10078</v>
      </c>
      <c r="G2600" s="366" t="s">
        <v>10088</v>
      </c>
      <c r="H2600" s="366" t="s">
        <v>1122</v>
      </c>
      <c r="I2600" s="364" t="s">
        <v>14669</v>
      </c>
      <c r="J2600" s="367">
        <v>39813</v>
      </c>
      <c r="K2600" s="364"/>
      <c r="L2600" s="364"/>
      <c r="M2600" s="364" t="s">
        <v>10084</v>
      </c>
      <c r="N2600" s="364"/>
      <c r="O2600" s="364" t="s">
        <v>57</v>
      </c>
      <c r="P2600" s="373">
        <v>889198000</v>
      </c>
      <c r="Q2600" s="364" t="s">
        <v>13603</v>
      </c>
      <c r="R2600" s="364" t="s">
        <v>9816</v>
      </c>
      <c r="S2600" s="340">
        <v>2</v>
      </c>
    </row>
    <row r="2601" spans="1:19" ht="31.5" thickBot="1" x14ac:dyDescent="0.4">
      <c r="A2601" s="357">
        <v>2590</v>
      </c>
      <c r="B2601" s="364" t="s">
        <v>13477</v>
      </c>
      <c r="C2601" s="364" t="s">
        <v>13478</v>
      </c>
      <c r="D2601" s="366" t="s">
        <v>190</v>
      </c>
      <c r="E2601" s="366" t="s">
        <v>10082</v>
      </c>
      <c r="F2601" s="366" t="s">
        <v>10078</v>
      </c>
      <c r="G2601" s="366" t="s">
        <v>10088</v>
      </c>
      <c r="H2601" s="366" t="s">
        <v>11415</v>
      </c>
      <c r="I2601" s="364" t="s">
        <v>14674</v>
      </c>
      <c r="J2601" s="367">
        <v>40178</v>
      </c>
      <c r="K2601" s="364"/>
      <c r="L2601" s="364"/>
      <c r="M2601" s="364" t="s">
        <v>10084</v>
      </c>
      <c r="N2601" s="364"/>
      <c r="O2601" s="364" t="s">
        <v>57</v>
      </c>
      <c r="P2601" s="373">
        <v>234297410</v>
      </c>
      <c r="Q2601" s="364" t="s">
        <v>14675</v>
      </c>
      <c r="R2601" s="364" t="s">
        <v>9816</v>
      </c>
      <c r="S2601" s="340">
        <v>2</v>
      </c>
    </row>
    <row r="2602" spans="1:19" ht="31" x14ac:dyDescent="0.35">
      <c r="A2602" s="349">
        <v>2591</v>
      </c>
      <c r="B2602" s="364" t="s">
        <v>13477</v>
      </c>
      <c r="C2602" s="364" t="s">
        <v>13478</v>
      </c>
      <c r="D2602" s="366" t="s">
        <v>192</v>
      </c>
      <c r="E2602" s="366" t="s">
        <v>10082</v>
      </c>
      <c r="F2602" s="366" t="s">
        <v>10078</v>
      </c>
      <c r="G2602" s="366" t="s">
        <v>10088</v>
      </c>
      <c r="H2602" s="366" t="s">
        <v>8956</v>
      </c>
      <c r="I2602" s="364" t="s">
        <v>14669</v>
      </c>
      <c r="J2602" s="367">
        <v>39552</v>
      </c>
      <c r="K2602" s="364" t="s">
        <v>14676</v>
      </c>
      <c r="L2602" s="364"/>
      <c r="M2602" s="364" t="s">
        <v>10084</v>
      </c>
      <c r="N2602" s="364"/>
      <c r="O2602" s="364" t="s">
        <v>57</v>
      </c>
      <c r="P2602" s="373">
        <v>87465000</v>
      </c>
      <c r="Q2602" s="364" t="s">
        <v>14677</v>
      </c>
      <c r="R2602" s="364" t="s">
        <v>9816</v>
      </c>
      <c r="S2602" s="340">
        <v>2</v>
      </c>
    </row>
    <row r="2603" spans="1:19" ht="31.5" thickBot="1" x14ac:dyDescent="0.4">
      <c r="A2603" s="357">
        <v>2592</v>
      </c>
      <c r="B2603" s="364" t="s">
        <v>13477</v>
      </c>
      <c r="C2603" s="364" t="s">
        <v>13478</v>
      </c>
      <c r="D2603" s="366" t="s">
        <v>194</v>
      </c>
      <c r="E2603" s="366" t="s">
        <v>10082</v>
      </c>
      <c r="F2603" s="366" t="s">
        <v>10078</v>
      </c>
      <c r="G2603" s="366" t="s">
        <v>10078</v>
      </c>
      <c r="H2603" s="366" t="s">
        <v>11297</v>
      </c>
      <c r="I2603" s="364" t="s">
        <v>14678</v>
      </c>
      <c r="J2603" s="367">
        <v>39813</v>
      </c>
      <c r="K2603" s="364"/>
      <c r="L2603" s="364"/>
      <c r="M2603" s="364" t="s">
        <v>10084</v>
      </c>
      <c r="N2603" s="364"/>
      <c r="O2603" s="364" t="s">
        <v>57</v>
      </c>
      <c r="P2603" s="373">
        <v>430318175</v>
      </c>
      <c r="Q2603" s="364" t="s">
        <v>14679</v>
      </c>
      <c r="R2603" s="364" t="s">
        <v>9816</v>
      </c>
      <c r="S2603" s="340">
        <v>2</v>
      </c>
    </row>
    <row r="2604" spans="1:19" ht="31" x14ac:dyDescent="0.35">
      <c r="A2604" s="349">
        <v>2593</v>
      </c>
      <c r="B2604" s="364" t="s">
        <v>10486</v>
      </c>
      <c r="C2604" s="364" t="s">
        <v>10487</v>
      </c>
      <c r="D2604" s="366" t="s">
        <v>51</v>
      </c>
      <c r="E2604" s="366" t="s">
        <v>10082</v>
      </c>
      <c r="F2604" s="366" t="s">
        <v>10078</v>
      </c>
      <c r="G2604" s="366" t="s">
        <v>10078</v>
      </c>
      <c r="H2604" s="366" t="s">
        <v>11870</v>
      </c>
      <c r="I2604" s="364" t="s">
        <v>14674</v>
      </c>
      <c r="J2604" s="367">
        <v>40178</v>
      </c>
      <c r="K2604" s="364"/>
      <c r="L2604" s="364"/>
      <c r="M2604" s="364" t="s">
        <v>10084</v>
      </c>
      <c r="N2604" s="364"/>
      <c r="O2604" s="364" t="s">
        <v>57</v>
      </c>
      <c r="P2604" s="373">
        <v>26500000</v>
      </c>
      <c r="Q2604" s="364" t="s">
        <v>14680</v>
      </c>
      <c r="R2604" s="364" t="s">
        <v>9816</v>
      </c>
      <c r="S2604" s="340">
        <v>2</v>
      </c>
    </row>
    <row r="2605" spans="1:19" ht="31.5" thickBot="1" x14ac:dyDescent="0.4">
      <c r="A2605" s="357">
        <v>2594</v>
      </c>
      <c r="B2605" s="364" t="s">
        <v>12958</v>
      </c>
      <c r="C2605" s="364" t="s">
        <v>12959</v>
      </c>
      <c r="D2605" s="366" t="s">
        <v>51</v>
      </c>
      <c r="E2605" s="366" t="s">
        <v>10082</v>
      </c>
      <c r="F2605" s="366" t="s">
        <v>10078</v>
      </c>
      <c r="G2605" s="366" t="s">
        <v>10088</v>
      </c>
      <c r="H2605" s="366" t="s">
        <v>11686</v>
      </c>
      <c r="I2605" s="364" t="s">
        <v>14669</v>
      </c>
      <c r="J2605" s="367">
        <v>39552</v>
      </c>
      <c r="K2605" s="364" t="s">
        <v>14681</v>
      </c>
      <c r="L2605" s="364"/>
      <c r="M2605" s="364" t="s">
        <v>10084</v>
      </c>
      <c r="N2605" s="364"/>
      <c r="O2605" s="364" t="s">
        <v>57</v>
      </c>
      <c r="P2605" s="373">
        <v>106502000</v>
      </c>
      <c r="Q2605" s="364" t="s">
        <v>12587</v>
      </c>
      <c r="R2605" s="364" t="s">
        <v>9816</v>
      </c>
      <c r="S2605" s="340">
        <v>2</v>
      </c>
    </row>
    <row r="2606" spans="1:19" ht="31" x14ac:dyDescent="0.35">
      <c r="A2606" s="349">
        <v>2595</v>
      </c>
      <c r="B2606" s="364" t="s">
        <v>12958</v>
      </c>
      <c r="C2606" s="364" t="s">
        <v>12959</v>
      </c>
      <c r="D2606" s="366" t="s">
        <v>59</v>
      </c>
      <c r="E2606" s="366" t="s">
        <v>10082</v>
      </c>
      <c r="F2606" s="366" t="s">
        <v>10078</v>
      </c>
      <c r="G2606" s="366" t="s">
        <v>10088</v>
      </c>
      <c r="H2606" s="366" t="s">
        <v>11686</v>
      </c>
      <c r="I2606" s="364" t="s">
        <v>14669</v>
      </c>
      <c r="J2606" s="367">
        <v>39552</v>
      </c>
      <c r="K2606" s="364" t="s">
        <v>14682</v>
      </c>
      <c r="L2606" s="364"/>
      <c r="M2606" s="364" t="s">
        <v>10084</v>
      </c>
      <c r="N2606" s="364"/>
      <c r="O2606" s="364" t="s">
        <v>57</v>
      </c>
      <c r="P2606" s="373">
        <v>106502000</v>
      </c>
      <c r="Q2606" s="364" t="s">
        <v>12587</v>
      </c>
      <c r="R2606" s="364" t="s">
        <v>9816</v>
      </c>
      <c r="S2606" s="340">
        <v>2</v>
      </c>
    </row>
    <row r="2607" spans="1:19" ht="31.5" thickBot="1" x14ac:dyDescent="0.4">
      <c r="A2607" s="357">
        <v>2596</v>
      </c>
      <c r="B2607" s="364" t="s">
        <v>12958</v>
      </c>
      <c r="C2607" s="364" t="s">
        <v>12959</v>
      </c>
      <c r="D2607" s="366" t="s">
        <v>97</v>
      </c>
      <c r="E2607" s="366" t="s">
        <v>10082</v>
      </c>
      <c r="F2607" s="366" t="s">
        <v>10078</v>
      </c>
      <c r="G2607" s="366" t="s">
        <v>10088</v>
      </c>
      <c r="H2607" s="366" t="s">
        <v>11686</v>
      </c>
      <c r="I2607" s="364" t="s">
        <v>14669</v>
      </c>
      <c r="J2607" s="367">
        <v>39552</v>
      </c>
      <c r="K2607" s="364" t="s">
        <v>14683</v>
      </c>
      <c r="L2607" s="364"/>
      <c r="M2607" s="364" t="s">
        <v>10084</v>
      </c>
      <c r="N2607" s="364"/>
      <c r="O2607" s="364" t="s">
        <v>57</v>
      </c>
      <c r="P2607" s="373">
        <v>106502000</v>
      </c>
      <c r="Q2607" s="364" t="s">
        <v>12587</v>
      </c>
      <c r="R2607" s="364" t="s">
        <v>9816</v>
      </c>
      <c r="S2607" s="340">
        <v>2</v>
      </c>
    </row>
    <row r="2608" spans="1:19" ht="31" x14ac:dyDescent="0.35">
      <c r="A2608" s="349">
        <v>2597</v>
      </c>
      <c r="B2608" s="364" t="s">
        <v>12958</v>
      </c>
      <c r="C2608" s="364" t="s">
        <v>12959</v>
      </c>
      <c r="D2608" s="366" t="s">
        <v>101</v>
      </c>
      <c r="E2608" s="366" t="s">
        <v>10082</v>
      </c>
      <c r="F2608" s="366" t="s">
        <v>10078</v>
      </c>
      <c r="G2608" s="366" t="s">
        <v>10088</v>
      </c>
      <c r="H2608" s="366" t="s">
        <v>12623</v>
      </c>
      <c r="I2608" s="364" t="s">
        <v>13977</v>
      </c>
      <c r="J2608" s="367">
        <v>40178</v>
      </c>
      <c r="K2608" s="364"/>
      <c r="L2608" s="364"/>
      <c r="M2608" s="364" t="s">
        <v>10084</v>
      </c>
      <c r="N2608" s="364"/>
      <c r="O2608" s="364" t="s">
        <v>57</v>
      </c>
      <c r="P2608" s="373">
        <v>252702800</v>
      </c>
      <c r="Q2608" s="364" t="s">
        <v>14684</v>
      </c>
      <c r="R2608" s="364" t="s">
        <v>9816</v>
      </c>
      <c r="S2608" s="340">
        <v>2</v>
      </c>
    </row>
    <row r="2609" spans="1:19" ht="31.5" thickBot="1" x14ac:dyDescent="0.4">
      <c r="A2609" s="357">
        <v>2598</v>
      </c>
      <c r="B2609" s="364" t="s">
        <v>12958</v>
      </c>
      <c r="C2609" s="364" t="s">
        <v>12959</v>
      </c>
      <c r="D2609" s="366" t="s">
        <v>107</v>
      </c>
      <c r="E2609" s="366" t="s">
        <v>10082</v>
      </c>
      <c r="F2609" s="366" t="s">
        <v>10078</v>
      </c>
      <c r="G2609" s="366" t="s">
        <v>10088</v>
      </c>
      <c r="H2609" s="366" t="s">
        <v>11686</v>
      </c>
      <c r="I2609" s="364" t="s">
        <v>14669</v>
      </c>
      <c r="J2609" s="367">
        <v>39813</v>
      </c>
      <c r="K2609" s="364"/>
      <c r="L2609" s="364"/>
      <c r="M2609" s="364" t="s">
        <v>10084</v>
      </c>
      <c r="N2609" s="364"/>
      <c r="O2609" s="364" t="s">
        <v>57</v>
      </c>
      <c r="P2609" s="373">
        <v>106502000</v>
      </c>
      <c r="Q2609" s="364" t="s">
        <v>12587</v>
      </c>
      <c r="R2609" s="364" t="s">
        <v>9816</v>
      </c>
      <c r="S2609" s="340">
        <v>2</v>
      </c>
    </row>
    <row r="2610" spans="1:19" ht="31" x14ac:dyDescent="0.35">
      <c r="A2610" s="349">
        <v>2599</v>
      </c>
      <c r="B2610" s="364" t="s">
        <v>12958</v>
      </c>
      <c r="C2610" s="364" t="s">
        <v>12959</v>
      </c>
      <c r="D2610" s="366" t="s">
        <v>112</v>
      </c>
      <c r="E2610" s="366" t="s">
        <v>10082</v>
      </c>
      <c r="F2610" s="366" t="s">
        <v>10078</v>
      </c>
      <c r="G2610" s="366" t="s">
        <v>10088</v>
      </c>
      <c r="H2610" s="366" t="s">
        <v>11686</v>
      </c>
      <c r="I2610" s="364" t="s">
        <v>14669</v>
      </c>
      <c r="J2610" s="367">
        <v>39813</v>
      </c>
      <c r="K2610" s="364"/>
      <c r="L2610" s="364"/>
      <c r="M2610" s="364" t="s">
        <v>10084</v>
      </c>
      <c r="N2610" s="364"/>
      <c r="O2610" s="364" t="s">
        <v>57</v>
      </c>
      <c r="P2610" s="373">
        <v>106502000</v>
      </c>
      <c r="Q2610" s="364" t="s">
        <v>12587</v>
      </c>
      <c r="R2610" s="364" t="s">
        <v>9816</v>
      </c>
      <c r="S2610" s="340">
        <v>2</v>
      </c>
    </row>
    <row r="2611" spans="1:19" ht="31.5" thickBot="1" x14ac:dyDescent="0.4">
      <c r="A2611" s="357">
        <v>2600</v>
      </c>
      <c r="B2611" s="364" t="s">
        <v>12958</v>
      </c>
      <c r="C2611" s="364" t="s">
        <v>12959</v>
      </c>
      <c r="D2611" s="366" t="s">
        <v>116</v>
      </c>
      <c r="E2611" s="366" t="s">
        <v>10082</v>
      </c>
      <c r="F2611" s="366" t="s">
        <v>10078</v>
      </c>
      <c r="G2611" s="366" t="s">
        <v>10088</v>
      </c>
      <c r="H2611" s="366" t="s">
        <v>11686</v>
      </c>
      <c r="I2611" s="364" t="s">
        <v>14669</v>
      </c>
      <c r="J2611" s="367">
        <v>39813</v>
      </c>
      <c r="K2611" s="364"/>
      <c r="L2611" s="364"/>
      <c r="M2611" s="364" t="s">
        <v>10084</v>
      </c>
      <c r="N2611" s="364"/>
      <c r="O2611" s="364" t="s">
        <v>57</v>
      </c>
      <c r="P2611" s="373">
        <v>106502000</v>
      </c>
      <c r="Q2611" s="364" t="s">
        <v>12587</v>
      </c>
      <c r="R2611" s="364" t="s">
        <v>9816</v>
      </c>
      <c r="S2611" s="340">
        <v>2</v>
      </c>
    </row>
    <row r="2612" spans="1:19" ht="46.5" x14ac:dyDescent="0.35">
      <c r="A2612" s="349">
        <v>2601</v>
      </c>
      <c r="B2612" s="364" t="s">
        <v>10511</v>
      </c>
      <c r="C2612" s="364" t="s">
        <v>10512</v>
      </c>
      <c r="D2612" s="366" t="s">
        <v>51</v>
      </c>
      <c r="E2612" s="366" t="s">
        <v>10082</v>
      </c>
      <c r="F2612" s="366" t="s">
        <v>10078</v>
      </c>
      <c r="G2612" s="366" t="s">
        <v>10088</v>
      </c>
      <c r="H2612" s="366" t="s">
        <v>11324</v>
      </c>
      <c r="I2612" s="364" t="s">
        <v>14685</v>
      </c>
      <c r="J2612" s="367">
        <v>41928</v>
      </c>
      <c r="K2612" s="364" t="s">
        <v>14612</v>
      </c>
      <c r="L2612" s="364"/>
      <c r="M2612" s="364" t="s">
        <v>10084</v>
      </c>
      <c r="N2612" s="364"/>
      <c r="O2612" s="364" t="s">
        <v>57</v>
      </c>
      <c r="P2612" s="373">
        <v>23462500</v>
      </c>
      <c r="Q2612" s="364" t="s">
        <v>14686</v>
      </c>
      <c r="R2612" s="364" t="s">
        <v>9816</v>
      </c>
      <c r="S2612" s="340">
        <v>2</v>
      </c>
    </row>
    <row r="2613" spans="1:19" ht="31.5" thickBot="1" x14ac:dyDescent="0.4">
      <c r="A2613" s="357">
        <v>2602</v>
      </c>
      <c r="B2613" s="364" t="s">
        <v>10096</v>
      </c>
      <c r="C2613" s="364" t="s">
        <v>10097</v>
      </c>
      <c r="D2613" s="366" t="s">
        <v>51</v>
      </c>
      <c r="E2613" s="366" t="s">
        <v>10082</v>
      </c>
      <c r="F2613" s="366" t="s">
        <v>10078</v>
      </c>
      <c r="G2613" s="366" t="s">
        <v>10088</v>
      </c>
      <c r="H2613" s="366" t="s">
        <v>11409</v>
      </c>
      <c r="I2613" s="364" t="s">
        <v>14687</v>
      </c>
      <c r="J2613" s="367">
        <v>42307</v>
      </c>
      <c r="K2613" s="364" t="s">
        <v>14688</v>
      </c>
      <c r="L2613" s="364"/>
      <c r="M2613" s="364" t="s">
        <v>10084</v>
      </c>
      <c r="N2613" s="364"/>
      <c r="O2613" s="364" t="s">
        <v>57</v>
      </c>
      <c r="P2613" s="373">
        <v>131900000</v>
      </c>
      <c r="Q2613" s="364" t="s">
        <v>14689</v>
      </c>
      <c r="R2613" s="364" t="s">
        <v>9816</v>
      </c>
      <c r="S2613" s="340">
        <v>2</v>
      </c>
    </row>
    <row r="2614" spans="1:19" ht="46.5" x14ac:dyDescent="0.35">
      <c r="A2614" s="349">
        <v>2603</v>
      </c>
      <c r="B2614" s="364" t="s">
        <v>10096</v>
      </c>
      <c r="C2614" s="364" t="s">
        <v>10097</v>
      </c>
      <c r="D2614" s="366" t="s">
        <v>59</v>
      </c>
      <c r="E2614" s="366" t="s">
        <v>10082</v>
      </c>
      <c r="F2614" s="366" t="s">
        <v>10078</v>
      </c>
      <c r="G2614" s="366" t="s">
        <v>10088</v>
      </c>
      <c r="H2614" s="366" t="s">
        <v>11415</v>
      </c>
      <c r="I2614" s="364" t="s">
        <v>14690</v>
      </c>
      <c r="J2614" s="367">
        <v>42502</v>
      </c>
      <c r="K2614" s="364" t="s">
        <v>14691</v>
      </c>
      <c r="L2614" s="364"/>
      <c r="M2614" s="364" t="s">
        <v>10084</v>
      </c>
      <c r="N2614" s="364"/>
      <c r="O2614" s="364" t="s">
        <v>57</v>
      </c>
      <c r="P2614" s="373">
        <v>197200000</v>
      </c>
      <c r="Q2614" s="364" t="s">
        <v>14692</v>
      </c>
      <c r="R2614" s="364" t="s">
        <v>9816</v>
      </c>
      <c r="S2614" s="340">
        <v>2</v>
      </c>
    </row>
    <row r="2615" spans="1:19" ht="16" thickBot="1" x14ac:dyDescent="0.4">
      <c r="A2615" s="357">
        <v>2604</v>
      </c>
      <c r="B2615" s="364" t="s">
        <v>10096</v>
      </c>
      <c r="C2615" s="364" t="s">
        <v>10097</v>
      </c>
      <c r="D2615" s="366" t="s">
        <v>97</v>
      </c>
      <c r="E2615" s="366" t="s">
        <v>10082</v>
      </c>
      <c r="F2615" s="366" t="s">
        <v>10078</v>
      </c>
      <c r="G2615" s="366" t="s">
        <v>10088</v>
      </c>
      <c r="H2615" s="366" t="s">
        <v>12226</v>
      </c>
      <c r="I2615" s="364" t="s">
        <v>14674</v>
      </c>
      <c r="J2615" s="367">
        <v>40178</v>
      </c>
      <c r="K2615" s="364"/>
      <c r="L2615" s="364"/>
      <c r="M2615" s="364" t="s">
        <v>10084</v>
      </c>
      <c r="N2615" s="364"/>
      <c r="O2615" s="364" t="s">
        <v>57</v>
      </c>
      <c r="P2615" s="373">
        <v>355570500</v>
      </c>
      <c r="Q2615" s="364" t="s">
        <v>14693</v>
      </c>
      <c r="R2615" s="364" t="s">
        <v>9816</v>
      </c>
      <c r="S2615" s="340">
        <v>2</v>
      </c>
    </row>
    <row r="2616" spans="1:19" ht="46.5" x14ac:dyDescent="0.35">
      <c r="A2616" s="349">
        <v>2605</v>
      </c>
      <c r="B2616" s="364" t="s">
        <v>10541</v>
      </c>
      <c r="C2616" s="364" t="s">
        <v>10542</v>
      </c>
      <c r="D2616" s="366" t="s">
        <v>51</v>
      </c>
      <c r="E2616" s="366" t="s">
        <v>10082</v>
      </c>
      <c r="F2616" s="366" t="s">
        <v>10078</v>
      </c>
      <c r="G2616" s="366" t="s">
        <v>10078</v>
      </c>
      <c r="H2616" s="366" t="s">
        <v>12570</v>
      </c>
      <c r="I2616" s="364" t="s">
        <v>14694</v>
      </c>
      <c r="J2616" s="367">
        <v>43607</v>
      </c>
      <c r="K2616" s="364" t="s">
        <v>14695</v>
      </c>
      <c r="L2616" s="364"/>
      <c r="M2616" s="364" t="s">
        <v>10084</v>
      </c>
      <c r="N2616" s="364"/>
      <c r="O2616" s="364" t="s">
        <v>57</v>
      </c>
      <c r="P2616" s="373">
        <v>237067000</v>
      </c>
      <c r="Q2616" s="364" t="s">
        <v>14696</v>
      </c>
      <c r="R2616" s="364" t="s">
        <v>9859</v>
      </c>
      <c r="S2616" s="340">
        <v>2</v>
      </c>
    </row>
    <row r="2617" spans="1:19" ht="31.5" thickBot="1" x14ac:dyDescent="0.4">
      <c r="A2617" s="357">
        <v>2606</v>
      </c>
      <c r="B2617" s="364" t="s">
        <v>13477</v>
      </c>
      <c r="C2617" s="364" t="s">
        <v>13478</v>
      </c>
      <c r="D2617" s="366" t="s">
        <v>51</v>
      </c>
      <c r="E2617" s="366" t="s">
        <v>10082</v>
      </c>
      <c r="F2617" s="366" t="s">
        <v>10078</v>
      </c>
      <c r="G2617" s="366" t="s">
        <v>10078</v>
      </c>
      <c r="H2617" s="366" t="s">
        <v>12664</v>
      </c>
      <c r="I2617" s="364" t="s">
        <v>14697</v>
      </c>
      <c r="J2617" s="367">
        <v>39813</v>
      </c>
      <c r="K2617" s="364"/>
      <c r="L2617" s="364"/>
      <c r="M2617" s="364" t="s">
        <v>10084</v>
      </c>
      <c r="N2617" s="364"/>
      <c r="O2617" s="364" t="s">
        <v>57</v>
      </c>
      <c r="P2617" s="373">
        <v>172390000</v>
      </c>
      <c r="Q2617" s="364" t="s">
        <v>14698</v>
      </c>
      <c r="R2617" s="364" t="s">
        <v>9859</v>
      </c>
      <c r="S2617" s="340">
        <v>2</v>
      </c>
    </row>
    <row r="2618" spans="1:19" ht="31" x14ac:dyDescent="0.35">
      <c r="A2618" s="349">
        <v>2607</v>
      </c>
      <c r="B2618" s="364" t="s">
        <v>13477</v>
      </c>
      <c r="C2618" s="364" t="s">
        <v>13478</v>
      </c>
      <c r="D2618" s="366" t="s">
        <v>59</v>
      </c>
      <c r="E2618" s="366" t="s">
        <v>10082</v>
      </c>
      <c r="F2618" s="366" t="s">
        <v>10078</v>
      </c>
      <c r="G2618" s="366" t="s">
        <v>10078</v>
      </c>
      <c r="H2618" s="366" t="s">
        <v>11297</v>
      </c>
      <c r="I2618" s="364" t="s">
        <v>14699</v>
      </c>
      <c r="J2618" s="367">
        <v>39813</v>
      </c>
      <c r="K2618" s="364"/>
      <c r="L2618" s="364"/>
      <c r="M2618" s="364" t="s">
        <v>10084</v>
      </c>
      <c r="N2618" s="364"/>
      <c r="O2618" s="364" t="s">
        <v>57</v>
      </c>
      <c r="P2618" s="373">
        <v>86580000</v>
      </c>
      <c r="Q2618" s="364" t="s">
        <v>14700</v>
      </c>
      <c r="R2618" s="364" t="s">
        <v>9859</v>
      </c>
      <c r="S2618" s="340">
        <v>2</v>
      </c>
    </row>
    <row r="2619" spans="1:19" ht="31.5" thickBot="1" x14ac:dyDescent="0.4">
      <c r="A2619" s="357">
        <v>2608</v>
      </c>
      <c r="B2619" s="364" t="s">
        <v>13477</v>
      </c>
      <c r="C2619" s="364" t="s">
        <v>13478</v>
      </c>
      <c r="D2619" s="366" t="s">
        <v>97</v>
      </c>
      <c r="E2619" s="366" t="s">
        <v>10082</v>
      </c>
      <c r="F2619" s="366" t="s">
        <v>10078</v>
      </c>
      <c r="G2619" s="366" t="s">
        <v>10078</v>
      </c>
      <c r="H2619" s="366" t="s">
        <v>11297</v>
      </c>
      <c r="I2619" s="364" t="s">
        <v>14701</v>
      </c>
      <c r="J2619" s="367">
        <v>39813</v>
      </c>
      <c r="K2619" s="364"/>
      <c r="L2619" s="364"/>
      <c r="M2619" s="364" t="s">
        <v>10084</v>
      </c>
      <c r="N2619" s="364"/>
      <c r="O2619" s="364" t="s">
        <v>57</v>
      </c>
      <c r="P2619" s="373">
        <v>464935450</v>
      </c>
      <c r="Q2619" s="364" t="s">
        <v>14702</v>
      </c>
      <c r="R2619" s="364" t="s">
        <v>9859</v>
      </c>
      <c r="S2619" s="340">
        <v>2</v>
      </c>
    </row>
    <row r="2620" spans="1:19" ht="31" x14ac:dyDescent="0.35">
      <c r="A2620" s="349">
        <v>2609</v>
      </c>
      <c r="B2620" s="364" t="s">
        <v>13477</v>
      </c>
      <c r="C2620" s="364" t="s">
        <v>13478</v>
      </c>
      <c r="D2620" s="366" t="s">
        <v>101</v>
      </c>
      <c r="E2620" s="366" t="s">
        <v>10082</v>
      </c>
      <c r="F2620" s="366" t="s">
        <v>10078</v>
      </c>
      <c r="G2620" s="366" t="s">
        <v>10078</v>
      </c>
      <c r="H2620" s="366" t="s">
        <v>11297</v>
      </c>
      <c r="I2620" s="364" t="s">
        <v>14703</v>
      </c>
      <c r="J2620" s="367">
        <v>39813</v>
      </c>
      <c r="K2620" s="364"/>
      <c r="L2620" s="364"/>
      <c r="M2620" s="364" t="s">
        <v>10084</v>
      </c>
      <c r="N2620" s="364"/>
      <c r="O2620" s="364" t="s">
        <v>57</v>
      </c>
      <c r="P2620" s="373">
        <v>268750000</v>
      </c>
      <c r="Q2620" s="364" t="s">
        <v>14704</v>
      </c>
      <c r="R2620" s="364" t="s">
        <v>9859</v>
      </c>
      <c r="S2620" s="340">
        <v>2</v>
      </c>
    </row>
    <row r="2621" spans="1:19" ht="31.5" thickBot="1" x14ac:dyDescent="0.4">
      <c r="A2621" s="357">
        <v>2610</v>
      </c>
      <c r="B2621" s="364" t="s">
        <v>13477</v>
      </c>
      <c r="C2621" s="364" t="s">
        <v>13478</v>
      </c>
      <c r="D2621" s="366" t="s">
        <v>107</v>
      </c>
      <c r="E2621" s="366" t="s">
        <v>10082</v>
      </c>
      <c r="F2621" s="366" t="s">
        <v>10078</v>
      </c>
      <c r="G2621" s="366" t="s">
        <v>10088</v>
      </c>
      <c r="H2621" s="366" t="s">
        <v>12701</v>
      </c>
      <c r="I2621" s="364" t="s">
        <v>14697</v>
      </c>
      <c r="J2621" s="367">
        <v>39813</v>
      </c>
      <c r="K2621" s="364"/>
      <c r="L2621" s="364"/>
      <c r="M2621" s="364" t="s">
        <v>10084</v>
      </c>
      <c r="N2621" s="364"/>
      <c r="O2621" s="364" t="s">
        <v>57</v>
      </c>
      <c r="P2621" s="373">
        <v>630731000</v>
      </c>
      <c r="Q2621" s="364" t="s">
        <v>14705</v>
      </c>
      <c r="R2621" s="364" t="s">
        <v>9859</v>
      </c>
      <c r="S2621" s="340">
        <v>2</v>
      </c>
    </row>
    <row r="2622" spans="1:19" ht="31" x14ac:dyDescent="0.35">
      <c r="A2622" s="349">
        <v>2611</v>
      </c>
      <c r="B2622" s="364" t="s">
        <v>13477</v>
      </c>
      <c r="C2622" s="364" t="s">
        <v>13478</v>
      </c>
      <c r="D2622" s="366" t="s">
        <v>112</v>
      </c>
      <c r="E2622" s="366" t="s">
        <v>10082</v>
      </c>
      <c r="F2622" s="366" t="s">
        <v>10078</v>
      </c>
      <c r="G2622" s="366" t="s">
        <v>10078</v>
      </c>
      <c r="H2622" s="366" t="s">
        <v>12584</v>
      </c>
      <c r="I2622" s="364" t="s">
        <v>12806</v>
      </c>
      <c r="J2622" s="367"/>
      <c r="K2622" s="364" t="s">
        <v>14706</v>
      </c>
      <c r="L2622" s="364"/>
      <c r="M2622" s="364" t="s">
        <v>10084</v>
      </c>
      <c r="N2622" s="364"/>
      <c r="O2622" s="364" t="s">
        <v>57</v>
      </c>
      <c r="P2622" s="373">
        <v>356392000</v>
      </c>
      <c r="Q2622" s="364" t="s">
        <v>14707</v>
      </c>
      <c r="R2622" s="364" t="s">
        <v>9859</v>
      </c>
      <c r="S2622" s="340">
        <v>2</v>
      </c>
    </row>
    <row r="2623" spans="1:19" ht="31.5" thickBot="1" x14ac:dyDescent="0.4">
      <c r="A2623" s="357">
        <v>2612</v>
      </c>
      <c r="B2623" s="364" t="s">
        <v>13477</v>
      </c>
      <c r="C2623" s="364" t="s">
        <v>13478</v>
      </c>
      <c r="D2623" s="366" t="s">
        <v>116</v>
      </c>
      <c r="E2623" s="366" t="s">
        <v>10082</v>
      </c>
      <c r="F2623" s="366" t="s">
        <v>10078</v>
      </c>
      <c r="G2623" s="366" t="s">
        <v>10088</v>
      </c>
      <c r="H2623" s="366" t="s">
        <v>12157</v>
      </c>
      <c r="I2623" s="364" t="s">
        <v>14708</v>
      </c>
      <c r="J2623" s="367"/>
      <c r="K2623" s="364" t="s">
        <v>14709</v>
      </c>
      <c r="L2623" s="364"/>
      <c r="M2623" s="364" t="s">
        <v>10084</v>
      </c>
      <c r="N2623" s="364"/>
      <c r="O2623" s="364" t="s">
        <v>57</v>
      </c>
      <c r="P2623" s="373">
        <v>324630690</v>
      </c>
      <c r="Q2623" s="364" t="s">
        <v>14710</v>
      </c>
      <c r="R2623" s="364" t="s">
        <v>9859</v>
      </c>
      <c r="S2623" s="340">
        <v>2</v>
      </c>
    </row>
    <row r="2624" spans="1:19" ht="31" x14ac:dyDescent="0.35">
      <c r="A2624" s="349">
        <v>2613</v>
      </c>
      <c r="B2624" s="364" t="s">
        <v>13477</v>
      </c>
      <c r="C2624" s="364" t="s">
        <v>13478</v>
      </c>
      <c r="D2624" s="366" t="s">
        <v>841</v>
      </c>
      <c r="E2624" s="366" t="s">
        <v>10082</v>
      </c>
      <c r="F2624" s="366" t="s">
        <v>10078</v>
      </c>
      <c r="G2624" s="366" t="s">
        <v>10088</v>
      </c>
      <c r="H2624" s="366" t="s">
        <v>1433</v>
      </c>
      <c r="I2624" s="364" t="s">
        <v>14697</v>
      </c>
      <c r="J2624" s="367"/>
      <c r="K2624" s="364" t="s">
        <v>14711</v>
      </c>
      <c r="L2624" s="364"/>
      <c r="M2624" s="364" t="s">
        <v>10084</v>
      </c>
      <c r="N2624" s="364"/>
      <c r="O2624" s="364" t="s">
        <v>57</v>
      </c>
      <c r="P2624" s="373">
        <v>656410000</v>
      </c>
      <c r="Q2624" s="364" t="s">
        <v>14712</v>
      </c>
      <c r="R2624" s="364" t="s">
        <v>9859</v>
      </c>
      <c r="S2624" s="340">
        <v>2</v>
      </c>
    </row>
    <row r="2625" spans="1:19" ht="31.5" thickBot="1" x14ac:dyDescent="0.4">
      <c r="A2625" s="357">
        <v>2614</v>
      </c>
      <c r="B2625" s="364" t="s">
        <v>13477</v>
      </c>
      <c r="C2625" s="364" t="s">
        <v>13478</v>
      </c>
      <c r="D2625" s="366" t="s">
        <v>904</v>
      </c>
      <c r="E2625" s="366" t="s">
        <v>10082</v>
      </c>
      <c r="F2625" s="366" t="s">
        <v>10078</v>
      </c>
      <c r="G2625" s="366" t="s">
        <v>10088</v>
      </c>
      <c r="H2625" s="366" t="s">
        <v>11686</v>
      </c>
      <c r="I2625" s="364" t="s">
        <v>14708</v>
      </c>
      <c r="J2625" s="367"/>
      <c r="K2625" s="364" t="s">
        <v>14713</v>
      </c>
      <c r="L2625" s="364"/>
      <c r="M2625" s="364" t="s">
        <v>10084</v>
      </c>
      <c r="N2625" s="364"/>
      <c r="O2625" s="364" t="s">
        <v>57</v>
      </c>
      <c r="P2625" s="373">
        <v>326022000</v>
      </c>
      <c r="Q2625" s="364" t="s">
        <v>14714</v>
      </c>
      <c r="R2625" s="364" t="s">
        <v>9859</v>
      </c>
      <c r="S2625" s="340">
        <v>2</v>
      </c>
    </row>
    <row r="2626" spans="1:19" ht="31" x14ac:dyDescent="0.35">
      <c r="A2626" s="349">
        <v>2615</v>
      </c>
      <c r="B2626" s="364" t="s">
        <v>13477</v>
      </c>
      <c r="C2626" s="364" t="s">
        <v>13478</v>
      </c>
      <c r="D2626" s="366" t="s">
        <v>122</v>
      </c>
      <c r="E2626" s="366" t="s">
        <v>10082</v>
      </c>
      <c r="F2626" s="366" t="s">
        <v>10078</v>
      </c>
      <c r="G2626" s="366" t="s">
        <v>10078</v>
      </c>
      <c r="H2626" s="366" t="s">
        <v>12623</v>
      </c>
      <c r="I2626" s="364" t="s">
        <v>14715</v>
      </c>
      <c r="J2626" s="367">
        <v>40445</v>
      </c>
      <c r="K2626" s="364" t="s">
        <v>14716</v>
      </c>
      <c r="L2626" s="364"/>
      <c r="M2626" s="364" t="s">
        <v>10084</v>
      </c>
      <c r="N2626" s="364"/>
      <c r="O2626" s="364" t="s">
        <v>57</v>
      </c>
      <c r="P2626" s="373">
        <v>150650000</v>
      </c>
      <c r="Q2626" s="364" t="s">
        <v>14717</v>
      </c>
      <c r="R2626" s="364" t="s">
        <v>9859</v>
      </c>
      <c r="S2626" s="340">
        <v>2</v>
      </c>
    </row>
    <row r="2627" spans="1:19" ht="31.5" thickBot="1" x14ac:dyDescent="0.4">
      <c r="A2627" s="357">
        <v>2616</v>
      </c>
      <c r="B2627" s="364" t="s">
        <v>13477</v>
      </c>
      <c r="C2627" s="364" t="s">
        <v>13478</v>
      </c>
      <c r="D2627" s="366" t="s">
        <v>126</v>
      </c>
      <c r="E2627" s="366" t="s">
        <v>10082</v>
      </c>
      <c r="F2627" s="366" t="s">
        <v>10078</v>
      </c>
      <c r="G2627" s="366" t="s">
        <v>10078</v>
      </c>
      <c r="H2627" s="366" t="s">
        <v>11297</v>
      </c>
      <c r="I2627" s="364" t="s">
        <v>14718</v>
      </c>
      <c r="J2627" s="367">
        <v>39813</v>
      </c>
      <c r="K2627" s="364"/>
      <c r="L2627" s="364"/>
      <c r="M2627" s="364" t="s">
        <v>10084</v>
      </c>
      <c r="N2627" s="364"/>
      <c r="O2627" s="364" t="s">
        <v>57</v>
      </c>
      <c r="P2627" s="373">
        <v>280166000</v>
      </c>
      <c r="Q2627" s="364" t="s">
        <v>14719</v>
      </c>
      <c r="R2627" s="364" t="s">
        <v>9859</v>
      </c>
      <c r="S2627" s="340">
        <v>2</v>
      </c>
    </row>
    <row r="2628" spans="1:19" ht="31" x14ac:dyDescent="0.35">
      <c r="A2628" s="349">
        <v>2617</v>
      </c>
      <c r="B2628" s="364" t="s">
        <v>13477</v>
      </c>
      <c r="C2628" s="364" t="s">
        <v>13478</v>
      </c>
      <c r="D2628" s="366" t="s">
        <v>132</v>
      </c>
      <c r="E2628" s="366" t="s">
        <v>10082</v>
      </c>
      <c r="F2628" s="366" t="s">
        <v>10078</v>
      </c>
      <c r="G2628" s="366" t="s">
        <v>10088</v>
      </c>
      <c r="H2628" s="366" t="s">
        <v>13087</v>
      </c>
      <c r="I2628" s="364" t="s">
        <v>14708</v>
      </c>
      <c r="J2628" s="367">
        <v>42585</v>
      </c>
      <c r="K2628" s="364" t="s">
        <v>14720</v>
      </c>
      <c r="L2628" s="364"/>
      <c r="M2628" s="364" t="s">
        <v>10084</v>
      </c>
      <c r="N2628" s="364"/>
      <c r="O2628" s="364" t="s">
        <v>57</v>
      </c>
      <c r="P2628" s="373">
        <v>190400000</v>
      </c>
      <c r="Q2628" s="364" t="s">
        <v>14721</v>
      </c>
      <c r="R2628" s="364" t="s">
        <v>9859</v>
      </c>
      <c r="S2628" s="340">
        <v>2</v>
      </c>
    </row>
    <row r="2629" spans="1:19" ht="62.5" thickBot="1" x14ac:dyDescent="0.4">
      <c r="A2629" s="357">
        <v>2618</v>
      </c>
      <c r="B2629" s="364" t="s">
        <v>13477</v>
      </c>
      <c r="C2629" s="364" t="s">
        <v>13478</v>
      </c>
      <c r="D2629" s="366" t="s">
        <v>137</v>
      </c>
      <c r="E2629" s="366" t="s">
        <v>10082</v>
      </c>
      <c r="F2629" s="366" t="s">
        <v>10078</v>
      </c>
      <c r="G2629" s="366" t="s">
        <v>10088</v>
      </c>
      <c r="H2629" s="366" t="s">
        <v>12350</v>
      </c>
      <c r="I2629" s="364" t="s">
        <v>14722</v>
      </c>
      <c r="J2629" s="367">
        <v>41299</v>
      </c>
      <c r="K2629" s="364" t="s">
        <v>14559</v>
      </c>
      <c r="L2629" s="364"/>
      <c r="M2629" s="364"/>
      <c r="N2629" s="364"/>
      <c r="O2629" s="364" t="s">
        <v>422</v>
      </c>
      <c r="P2629" s="373">
        <v>508321000</v>
      </c>
      <c r="Q2629" s="364" t="s">
        <v>14560</v>
      </c>
      <c r="R2629" s="364" t="s">
        <v>9859</v>
      </c>
      <c r="S2629" s="340">
        <v>2</v>
      </c>
    </row>
    <row r="2630" spans="1:19" ht="31" x14ac:dyDescent="0.35">
      <c r="A2630" s="349">
        <v>2619</v>
      </c>
      <c r="B2630" s="364" t="s">
        <v>13516</v>
      </c>
      <c r="C2630" s="364" t="s">
        <v>13517</v>
      </c>
      <c r="D2630" s="366" t="s">
        <v>101</v>
      </c>
      <c r="E2630" s="366" t="s">
        <v>10082</v>
      </c>
      <c r="F2630" s="366" t="s">
        <v>10078</v>
      </c>
      <c r="G2630" s="366" t="s">
        <v>10078</v>
      </c>
      <c r="H2630" s="366" t="s">
        <v>11297</v>
      </c>
      <c r="I2630" s="364" t="s">
        <v>14723</v>
      </c>
      <c r="J2630" s="367"/>
      <c r="K2630" s="364" t="s">
        <v>14724</v>
      </c>
      <c r="L2630" s="364"/>
      <c r="M2630" s="364"/>
      <c r="N2630" s="364"/>
      <c r="O2630" s="364" t="s">
        <v>44</v>
      </c>
      <c r="P2630" s="373">
        <v>231276450</v>
      </c>
      <c r="Q2630" s="364" t="s">
        <v>14725</v>
      </c>
      <c r="R2630" s="364" t="s">
        <v>9859</v>
      </c>
      <c r="S2630" s="340">
        <v>2</v>
      </c>
    </row>
    <row r="2631" spans="1:19" ht="31.5" thickBot="1" x14ac:dyDescent="0.4">
      <c r="A2631" s="357">
        <v>2620</v>
      </c>
      <c r="B2631" s="364" t="s">
        <v>10486</v>
      </c>
      <c r="C2631" s="364" t="s">
        <v>10487</v>
      </c>
      <c r="D2631" s="366" t="s">
        <v>51</v>
      </c>
      <c r="E2631" s="366" t="s">
        <v>10082</v>
      </c>
      <c r="F2631" s="366" t="s">
        <v>10078</v>
      </c>
      <c r="G2631" s="366" t="s">
        <v>10088</v>
      </c>
      <c r="H2631" s="366" t="s">
        <v>11870</v>
      </c>
      <c r="I2631" s="364" t="s">
        <v>14726</v>
      </c>
      <c r="J2631" s="367">
        <v>40178</v>
      </c>
      <c r="K2631" s="364"/>
      <c r="L2631" s="364"/>
      <c r="M2631" s="364" t="s">
        <v>10084</v>
      </c>
      <c r="N2631" s="364"/>
      <c r="O2631" s="364" t="s">
        <v>57</v>
      </c>
      <c r="P2631" s="373">
        <v>26630000</v>
      </c>
      <c r="Q2631" s="364" t="s">
        <v>14727</v>
      </c>
      <c r="R2631" s="364" t="s">
        <v>9859</v>
      </c>
      <c r="S2631" s="340">
        <v>2</v>
      </c>
    </row>
    <row r="2632" spans="1:19" ht="31" x14ac:dyDescent="0.35">
      <c r="A2632" s="349">
        <v>2621</v>
      </c>
      <c r="B2632" s="364" t="s">
        <v>12958</v>
      </c>
      <c r="C2632" s="364" t="s">
        <v>12959</v>
      </c>
      <c r="D2632" s="366" t="s">
        <v>51</v>
      </c>
      <c r="E2632" s="366" t="s">
        <v>10082</v>
      </c>
      <c r="F2632" s="366" t="s">
        <v>10078</v>
      </c>
      <c r="G2632" s="366" t="s">
        <v>10078</v>
      </c>
      <c r="H2632" s="366" t="s">
        <v>11415</v>
      </c>
      <c r="I2632" s="364" t="s">
        <v>14697</v>
      </c>
      <c r="J2632" s="367">
        <v>39813</v>
      </c>
      <c r="K2632" s="364"/>
      <c r="L2632" s="364"/>
      <c r="M2632" s="364" t="s">
        <v>10084</v>
      </c>
      <c r="N2632" s="364"/>
      <c r="O2632" s="364" t="s">
        <v>57</v>
      </c>
      <c r="P2632" s="373">
        <v>257088000</v>
      </c>
      <c r="Q2632" s="364" t="s">
        <v>14567</v>
      </c>
      <c r="R2632" s="364" t="s">
        <v>9859</v>
      </c>
      <c r="S2632" s="340">
        <v>2</v>
      </c>
    </row>
    <row r="2633" spans="1:19" ht="31.5" thickBot="1" x14ac:dyDescent="0.4">
      <c r="A2633" s="357">
        <v>2622</v>
      </c>
      <c r="B2633" s="364" t="s">
        <v>12958</v>
      </c>
      <c r="C2633" s="364" t="s">
        <v>12959</v>
      </c>
      <c r="D2633" s="366" t="s">
        <v>59</v>
      </c>
      <c r="E2633" s="366" t="s">
        <v>10082</v>
      </c>
      <c r="F2633" s="366" t="s">
        <v>10078</v>
      </c>
      <c r="G2633" s="366" t="s">
        <v>10078</v>
      </c>
      <c r="H2633" s="366" t="s">
        <v>11364</v>
      </c>
      <c r="I2633" s="364" t="s">
        <v>14697</v>
      </c>
      <c r="J2633" s="367">
        <v>39813</v>
      </c>
      <c r="K2633" s="364"/>
      <c r="L2633" s="364"/>
      <c r="M2633" s="364" t="s">
        <v>10084</v>
      </c>
      <c r="N2633" s="364"/>
      <c r="O2633" s="364" t="s">
        <v>57</v>
      </c>
      <c r="P2633" s="373">
        <v>168648000</v>
      </c>
      <c r="Q2633" s="364" t="s">
        <v>14728</v>
      </c>
      <c r="R2633" s="364" t="s">
        <v>9859</v>
      </c>
      <c r="S2633" s="340">
        <v>2</v>
      </c>
    </row>
    <row r="2634" spans="1:19" ht="31" x14ac:dyDescent="0.35">
      <c r="A2634" s="349">
        <v>2623</v>
      </c>
      <c r="B2634" s="364" t="s">
        <v>12958</v>
      </c>
      <c r="C2634" s="364" t="s">
        <v>12959</v>
      </c>
      <c r="D2634" s="366" t="s">
        <v>97</v>
      </c>
      <c r="E2634" s="366" t="s">
        <v>10082</v>
      </c>
      <c r="F2634" s="366" t="s">
        <v>10078</v>
      </c>
      <c r="G2634" s="366" t="s">
        <v>10088</v>
      </c>
      <c r="H2634" s="366" t="s">
        <v>12623</v>
      </c>
      <c r="I2634" s="364" t="s">
        <v>14726</v>
      </c>
      <c r="J2634" s="367">
        <v>40178</v>
      </c>
      <c r="K2634" s="364"/>
      <c r="L2634" s="364"/>
      <c r="M2634" s="364" t="s">
        <v>10084</v>
      </c>
      <c r="N2634" s="364"/>
      <c r="O2634" s="364" t="s">
        <v>57</v>
      </c>
      <c r="P2634" s="373">
        <v>295830000</v>
      </c>
      <c r="Q2634" s="364" t="s">
        <v>14729</v>
      </c>
      <c r="R2634" s="364" t="s">
        <v>9859</v>
      </c>
      <c r="S2634" s="340">
        <v>2</v>
      </c>
    </row>
    <row r="2635" spans="1:19" ht="31.5" thickBot="1" x14ac:dyDescent="0.4">
      <c r="A2635" s="357">
        <v>2624</v>
      </c>
      <c r="B2635" s="364" t="s">
        <v>12958</v>
      </c>
      <c r="C2635" s="364" t="s">
        <v>12959</v>
      </c>
      <c r="D2635" s="366" t="s">
        <v>101</v>
      </c>
      <c r="E2635" s="366" t="s">
        <v>10082</v>
      </c>
      <c r="F2635" s="366" t="s">
        <v>10078</v>
      </c>
      <c r="G2635" s="366" t="s">
        <v>10088</v>
      </c>
      <c r="H2635" s="366" t="s">
        <v>13087</v>
      </c>
      <c r="I2635" s="364" t="s">
        <v>14697</v>
      </c>
      <c r="J2635" s="367">
        <v>39813</v>
      </c>
      <c r="K2635" s="364"/>
      <c r="L2635" s="364"/>
      <c r="M2635" s="364" t="s">
        <v>10084</v>
      </c>
      <c r="N2635" s="364"/>
      <c r="O2635" s="364" t="s">
        <v>57</v>
      </c>
      <c r="P2635" s="373">
        <v>115681000</v>
      </c>
      <c r="Q2635" s="364" t="s">
        <v>13717</v>
      </c>
      <c r="R2635" s="364" t="s">
        <v>9859</v>
      </c>
      <c r="S2635" s="340">
        <v>2</v>
      </c>
    </row>
    <row r="2636" spans="1:19" ht="31" x14ac:dyDescent="0.35">
      <c r="A2636" s="349">
        <v>2625</v>
      </c>
      <c r="B2636" s="364" t="s">
        <v>12958</v>
      </c>
      <c r="C2636" s="364" t="s">
        <v>12959</v>
      </c>
      <c r="D2636" s="366" t="s">
        <v>107</v>
      </c>
      <c r="E2636" s="366" t="s">
        <v>10082</v>
      </c>
      <c r="F2636" s="366" t="s">
        <v>10078</v>
      </c>
      <c r="G2636" s="366" t="s">
        <v>10078</v>
      </c>
      <c r="H2636" s="366" t="s">
        <v>11364</v>
      </c>
      <c r="I2636" s="364" t="s">
        <v>14730</v>
      </c>
      <c r="J2636" s="367">
        <v>39813</v>
      </c>
      <c r="K2636" s="364"/>
      <c r="L2636" s="364"/>
      <c r="M2636" s="364" t="s">
        <v>10084</v>
      </c>
      <c r="N2636" s="364"/>
      <c r="O2636" s="364" t="s">
        <v>57</v>
      </c>
      <c r="P2636" s="373">
        <v>152653000</v>
      </c>
      <c r="Q2636" s="364" t="s">
        <v>14728</v>
      </c>
      <c r="R2636" s="364" t="s">
        <v>9859</v>
      </c>
      <c r="S2636" s="340">
        <v>2</v>
      </c>
    </row>
    <row r="2637" spans="1:19" ht="31.5" thickBot="1" x14ac:dyDescent="0.4">
      <c r="A2637" s="357">
        <v>2626</v>
      </c>
      <c r="B2637" s="364" t="s">
        <v>12958</v>
      </c>
      <c r="C2637" s="364" t="s">
        <v>12959</v>
      </c>
      <c r="D2637" s="366" t="s">
        <v>112</v>
      </c>
      <c r="E2637" s="366" t="s">
        <v>10082</v>
      </c>
      <c r="F2637" s="366" t="s">
        <v>10078</v>
      </c>
      <c r="G2637" s="366" t="s">
        <v>10088</v>
      </c>
      <c r="H2637" s="366" t="s">
        <v>11324</v>
      </c>
      <c r="I2637" s="364" t="s">
        <v>14697</v>
      </c>
      <c r="J2637" s="367">
        <v>39813</v>
      </c>
      <c r="K2637" s="364"/>
      <c r="L2637" s="364"/>
      <c r="M2637" s="364" t="s">
        <v>10084</v>
      </c>
      <c r="N2637" s="364"/>
      <c r="O2637" s="364" t="s">
        <v>57</v>
      </c>
      <c r="P2637" s="373">
        <v>64069000</v>
      </c>
      <c r="Q2637" s="364" t="s">
        <v>14731</v>
      </c>
      <c r="R2637" s="364" t="s">
        <v>9859</v>
      </c>
      <c r="S2637" s="340">
        <v>2</v>
      </c>
    </row>
    <row r="2638" spans="1:19" ht="31" x14ac:dyDescent="0.35">
      <c r="A2638" s="349">
        <v>2627</v>
      </c>
      <c r="B2638" s="364" t="s">
        <v>12755</v>
      </c>
      <c r="C2638" s="364" t="s">
        <v>12756</v>
      </c>
      <c r="D2638" s="366" t="s">
        <v>51</v>
      </c>
      <c r="E2638" s="366" t="s">
        <v>10082</v>
      </c>
      <c r="F2638" s="366" t="s">
        <v>10078</v>
      </c>
      <c r="G2638" s="366" t="s">
        <v>10078</v>
      </c>
      <c r="H2638" s="366" t="s">
        <v>11364</v>
      </c>
      <c r="I2638" s="364" t="s">
        <v>14732</v>
      </c>
      <c r="J2638" s="367">
        <v>39813</v>
      </c>
      <c r="K2638" s="364"/>
      <c r="L2638" s="364"/>
      <c r="M2638" s="364" t="s">
        <v>10084</v>
      </c>
      <c r="N2638" s="364"/>
      <c r="O2638" s="364" t="s">
        <v>57</v>
      </c>
      <c r="P2638" s="373">
        <v>71573000</v>
      </c>
      <c r="Q2638" s="364" t="s">
        <v>14728</v>
      </c>
      <c r="R2638" s="364" t="s">
        <v>9859</v>
      </c>
      <c r="S2638" s="340">
        <v>2</v>
      </c>
    </row>
    <row r="2639" spans="1:19" ht="31.5" thickBot="1" x14ac:dyDescent="0.4">
      <c r="A2639" s="357">
        <v>2628</v>
      </c>
      <c r="B2639" s="364" t="s">
        <v>12755</v>
      </c>
      <c r="C2639" s="364" t="s">
        <v>12756</v>
      </c>
      <c r="D2639" s="366" t="s">
        <v>59</v>
      </c>
      <c r="E2639" s="366" t="s">
        <v>10082</v>
      </c>
      <c r="F2639" s="366" t="s">
        <v>10078</v>
      </c>
      <c r="G2639" s="366" t="s">
        <v>10078</v>
      </c>
      <c r="H2639" s="366" t="s">
        <v>11364</v>
      </c>
      <c r="I2639" s="364" t="s">
        <v>14697</v>
      </c>
      <c r="J2639" s="367">
        <v>39813</v>
      </c>
      <c r="K2639" s="364"/>
      <c r="L2639" s="364"/>
      <c r="M2639" s="364" t="s">
        <v>10084</v>
      </c>
      <c r="N2639" s="364"/>
      <c r="O2639" s="364" t="s">
        <v>57</v>
      </c>
      <c r="P2639" s="373">
        <v>69264000</v>
      </c>
      <c r="Q2639" s="364" t="s">
        <v>14728</v>
      </c>
      <c r="R2639" s="364" t="s">
        <v>9859</v>
      </c>
      <c r="S2639" s="340">
        <v>2</v>
      </c>
    </row>
    <row r="2640" spans="1:19" ht="31" x14ac:dyDescent="0.35">
      <c r="A2640" s="349">
        <v>2629</v>
      </c>
      <c r="B2640" s="364" t="s">
        <v>12755</v>
      </c>
      <c r="C2640" s="364" t="s">
        <v>12756</v>
      </c>
      <c r="D2640" s="366" t="s">
        <v>97</v>
      </c>
      <c r="E2640" s="366" t="s">
        <v>10082</v>
      </c>
      <c r="F2640" s="366" t="s">
        <v>10078</v>
      </c>
      <c r="G2640" s="366" t="s">
        <v>10078</v>
      </c>
      <c r="H2640" s="366" t="s">
        <v>11364</v>
      </c>
      <c r="I2640" s="364" t="s">
        <v>14697</v>
      </c>
      <c r="J2640" s="367">
        <v>39813</v>
      </c>
      <c r="K2640" s="364"/>
      <c r="L2640" s="364"/>
      <c r="M2640" s="364" t="s">
        <v>10084</v>
      </c>
      <c r="N2640" s="364"/>
      <c r="O2640" s="364" t="s">
        <v>57</v>
      </c>
      <c r="P2640" s="373">
        <v>70188000</v>
      </c>
      <c r="Q2640" s="364" t="s">
        <v>14728</v>
      </c>
      <c r="R2640" s="364" t="s">
        <v>9859</v>
      </c>
      <c r="S2640" s="340">
        <v>2</v>
      </c>
    </row>
    <row r="2641" spans="1:19" ht="47" thickBot="1" x14ac:dyDescent="0.4">
      <c r="A2641" s="357">
        <v>2630</v>
      </c>
      <c r="B2641" s="364" t="s">
        <v>10511</v>
      </c>
      <c r="C2641" s="364" t="s">
        <v>10512</v>
      </c>
      <c r="D2641" s="366" t="s">
        <v>51</v>
      </c>
      <c r="E2641" s="366" t="s">
        <v>10082</v>
      </c>
      <c r="F2641" s="366" t="s">
        <v>10078</v>
      </c>
      <c r="G2641" s="366" t="s">
        <v>10078</v>
      </c>
      <c r="H2641" s="366" t="s">
        <v>11451</v>
      </c>
      <c r="I2641" s="364" t="s">
        <v>14733</v>
      </c>
      <c r="J2641" s="367">
        <v>42307</v>
      </c>
      <c r="K2641" s="364" t="s">
        <v>13722</v>
      </c>
      <c r="L2641" s="364"/>
      <c r="M2641" s="364" t="s">
        <v>10084</v>
      </c>
      <c r="N2641" s="364"/>
      <c r="O2641" s="364" t="s">
        <v>57</v>
      </c>
      <c r="P2641" s="373">
        <v>34850000</v>
      </c>
      <c r="Q2641" s="364" t="s">
        <v>13723</v>
      </c>
      <c r="R2641" s="364" t="s">
        <v>9859</v>
      </c>
      <c r="S2641" s="340">
        <v>2</v>
      </c>
    </row>
    <row r="2642" spans="1:19" ht="15.5" x14ac:dyDescent="0.35">
      <c r="A2642" s="349">
        <v>2631</v>
      </c>
      <c r="B2642" s="364" t="s">
        <v>10096</v>
      </c>
      <c r="C2642" s="364" t="s">
        <v>10097</v>
      </c>
      <c r="D2642" s="366" t="s">
        <v>51</v>
      </c>
      <c r="E2642" s="366" t="s">
        <v>10082</v>
      </c>
      <c r="F2642" s="366" t="s">
        <v>10078</v>
      </c>
      <c r="G2642" s="366" t="s">
        <v>10088</v>
      </c>
      <c r="H2642" s="366" t="s">
        <v>231</v>
      </c>
      <c r="I2642" s="364" t="s">
        <v>14726</v>
      </c>
      <c r="J2642" s="367">
        <v>40178</v>
      </c>
      <c r="K2642" s="364"/>
      <c r="L2642" s="364"/>
      <c r="M2642" s="364" t="s">
        <v>10084</v>
      </c>
      <c r="N2642" s="364"/>
      <c r="O2642" s="364" t="s">
        <v>57</v>
      </c>
      <c r="P2642" s="373">
        <v>163570000</v>
      </c>
      <c r="Q2642" s="364" t="s">
        <v>14734</v>
      </c>
      <c r="R2642" s="364" t="s">
        <v>9859</v>
      </c>
      <c r="S2642" s="340">
        <v>2</v>
      </c>
    </row>
    <row r="2643" spans="1:19" ht="31.5" thickBot="1" x14ac:dyDescent="0.4">
      <c r="A2643" s="357">
        <v>2632</v>
      </c>
      <c r="B2643" s="364" t="s">
        <v>13477</v>
      </c>
      <c r="C2643" s="364" t="s">
        <v>13478</v>
      </c>
      <c r="D2643" s="366" t="s">
        <v>51</v>
      </c>
      <c r="E2643" s="366" t="s">
        <v>10082</v>
      </c>
      <c r="F2643" s="366" t="s">
        <v>10078</v>
      </c>
      <c r="G2643" s="366" t="s">
        <v>10078</v>
      </c>
      <c r="H2643" s="366" t="s">
        <v>11297</v>
      </c>
      <c r="I2643" s="364" t="s">
        <v>14735</v>
      </c>
      <c r="J2643" s="367">
        <v>39813</v>
      </c>
      <c r="K2643" s="364"/>
      <c r="L2643" s="364"/>
      <c r="M2643" s="364" t="s">
        <v>10084</v>
      </c>
      <c r="N2643" s="364"/>
      <c r="O2643" s="364" t="s">
        <v>57</v>
      </c>
      <c r="P2643" s="373">
        <v>464800875</v>
      </c>
      <c r="Q2643" s="364" t="s">
        <v>14736</v>
      </c>
      <c r="R2643" s="364" t="s">
        <v>9877</v>
      </c>
      <c r="S2643" s="340">
        <v>2</v>
      </c>
    </row>
    <row r="2644" spans="1:19" ht="31" x14ac:dyDescent="0.35">
      <c r="A2644" s="349">
        <v>2633</v>
      </c>
      <c r="B2644" s="364" t="s">
        <v>13477</v>
      </c>
      <c r="C2644" s="364" t="s">
        <v>13478</v>
      </c>
      <c r="D2644" s="366" t="s">
        <v>59</v>
      </c>
      <c r="E2644" s="366" t="s">
        <v>10082</v>
      </c>
      <c r="F2644" s="366" t="s">
        <v>10078</v>
      </c>
      <c r="G2644" s="366" t="s">
        <v>10088</v>
      </c>
      <c r="H2644" s="366" t="s">
        <v>11409</v>
      </c>
      <c r="I2644" s="364" t="s">
        <v>14737</v>
      </c>
      <c r="J2644" s="367">
        <v>39813</v>
      </c>
      <c r="K2644" s="364"/>
      <c r="L2644" s="364"/>
      <c r="M2644" s="364" t="s">
        <v>10084</v>
      </c>
      <c r="N2644" s="364"/>
      <c r="O2644" s="364" t="s">
        <v>57</v>
      </c>
      <c r="P2644" s="373">
        <v>852884900</v>
      </c>
      <c r="Q2644" s="364" t="s">
        <v>14738</v>
      </c>
      <c r="R2644" s="364" t="s">
        <v>9877</v>
      </c>
      <c r="S2644" s="340">
        <v>2</v>
      </c>
    </row>
    <row r="2645" spans="1:19" ht="16" thickBot="1" x14ac:dyDescent="0.4">
      <c r="A2645" s="357">
        <v>2634</v>
      </c>
      <c r="B2645" s="364" t="s">
        <v>13477</v>
      </c>
      <c r="C2645" s="364" t="s">
        <v>13478</v>
      </c>
      <c r="D2645" s="366" t="s">
        <v>97</v>
      </c>
      <c r="E2645" s="366" t="s">
        <v>10082</v>
      </c>
      <c r="F2645" s="366" t="s">
        <v>10078</v>
      </c>
      <c r="G2645" s="366" t="s">
        <v>10088</v>
      </c>
      <c r="H2645" s="366" t="s">
        <v>11297</v>
      </c>
      <c r="I2645" s="364" t="s">
        <v>14739</v>
      </c>
      <c r="J2645" s="367">
        <v>39813</v>
      </c>
      <c r="K2645" s="364"/>
      <c r="L2645" s="364"/>
      <c r="M2645" s="364" t="s">
        <v>10084</v>
      </c>
      <c r="N2645" s="364"/>
      <c r="O2645" s="364" t="s">
        <v>57</v>
      </c>
      <c r="P2645" s="373">
        <v>459361275</v>
      </c>
      <c r="Q2645" s="364" t="s">
        <v>14740</v>
      </c>
      <c r="R2645" s="364" t="s">
        <v>9877</v>
      </c>
      <c r="S2645" s="340">
        <v>2</v>
      </c>
    </row>
    <row r="2646" spans="1:19" ht="31" x14ac:dyDescent="0.35">
      <c r="A2646" s="349">
        <v>2635</v>
      </c>
      <c r="B2646" s="364" t="s">
        <v>13477</v>
      </c>
      <c r="C2646" s="364" t="s">
        <v>13478</v>
      </c>
      <c r="D2646" s="366" t="s">
        <v>101</v>
      </c>
      <c r="E2646" s="366" t="s">
        <v>10082</v>
      </c>
      <c r="F2646" s="366" t="s">
        <v>10078</v>
      </c>
      <c r="G2646" s="366" t="s">
        <v>10088</v>
      </c>
      <c r="H2646" s="366" t="s">
        <v>13707</v>
      </c>
      <c r="I2646" s="364" t="s">
        <v>14741</v>
      </c>
      <c r="J2646" s="367">
        <v>40178</v>
      </c>
      <c r="K2646" s="364"/>
      <c r="L2646" s="364"/>
      <c r="M2646" s="364" t="s">
        <v>10084</v>
      </c>
      <c r="N2646" s="364"/>
      <c r="O2646" s="364" t="s">
        <v>57</v>
      </c>
      <c r="P2646" s="373">
        <v>261540000</v>
      </c>
      <c r="Q2646" s="364" t="s">
        <v>14742</v>
      </c>
      <c r="R2646" s="364" t="s">
        <v>9877</v>
      </c>
      <c r="S2646" s="340">
        <v>2</v>
      </c>
    </row>
    <row r="2647" spans="1:19" ht="31.5" thickBot="1" x14ac:dyDescent="0.4">
      <c r="A2647" s="357">
        <v>2636</v>
      </c>
      <c r="B2647" s="364" t="s">
        <v>13477</v>
      </c>
      <c r="C2647" s="364" t="s">
        <v>13478</v>
      </c>
      <c r="D2647" s="366" t="s">
        <v>107</v>
      </c>
      <c r="E2647" s="366" t="s">
        <v>10082</v>
      </c>
      <c r="F2647" s="366" t="s">
        <v>10078</v>
      </c>
      <c r="G2647" s="366" t="s">
        <v>10088</v>
      </c>
      <c r="H2647" s="366" t="s">
        <v>12157</v>
      </c>
      <c r="I2647" s="364" t="s">
        <v>14743</v>
      </c>
      <c r="J2647" s="367"/>
      <c r="K2647" s="364" t="s">
        <v>14744</v>
      </c>
      <c r="L2647" s="364"/>
      <c r="M2647" s="364" t="s">
        <v>10084</v>
      </c>
      <c r="N2647" s="364"/>
      <c r="O2647" s="364" t="s">
        <v>57</v>
      </c>
      <c r="P2647" s="373">
        <v>272810000</v>
      </c>
      <c r="Q2647" s="364" t="s">
        <v>14745</v>
      </c>
      <c r="R2647" s="364" t="s">
        <v>9877</v>
      </c>
      <c r="S2647" s="340">
        <v>2</v>
      </c>
    </row>
    <row r="2648" spans="1:19" ht="31" x14ac:dyDescent="0.35">
      <c r="A2648" s="349">
        <v>2637</v>
      </c>
      <c r="B2648" s="364" t="s">
        <v>13477</v>
      </c>
      <c r="C2648" s="364" t="s">
        <v>13478</v>
      </c>
      <c r="D2648" s="366" t="s">
        <v>112</v>
      </c>
      <c r="E2648" s="366" t="s">
        <v>10082</v>
      </c>
      <c r="F2648" s="366" t="s">
        <v>10078</v>
      </c>
      <c r="G2648" s="366" t="s">
        <v>10078</v>
      </c>
      <c r="H2648" s="366" t="s">
        <v>11407</v>
      </c>
      <c r="I2648" s="364" t="s">
        <v>12200</v>
      </c>
      <c r="J2648" s="367">
        <v>43682</v>
      </c>
      <c r="K2648" s="364" t="s">
        <v>14746</v>
      </c>
      <c r="L2648" s="364"/>
      <c r="M2648" s="364" t="s">
        <v>10084</v>
      </c>
      <c r="N2648" s="364"/>
      <c r="O2648" s="364" t="s">
        <v>57</v>
      </c>
      <c r="P2648" s="373">
        <v>770903525</v>
      </c>
      <c r="Q2648" s="364" t="s">
        <v>14747</v>
      </c>
      <c r="R2648" s="364" t="s">
        <v>9877</v>
      </c>
      <c r="S2648" s="340">
        <v>2</v>
      </c>
    </row>
    <row r="2649" spans="1:19" ht="31.5" thickBot="1" x14ac:dyDescent="0.4">
      <c r="A2649" s="357">
        <v>2638</v>
      </c>
      <c r="B2649" s="364" t="s">
        <v>13477</v>
      </c>
      <c r="C2649" s="364" t="s">
        <v>13478</v>
      </c>
      <c r="D2649" s="366" t="s">
        <v>116</v>
      </c>
      <c r="E2649" s="366" t="s">
        <v>10082</v>
      </c>
      <c r="F2649" s="366" t="s">
        <v>10078</v>
      </c>
      <c r="G2649" s="366" t="s">
        <v>10088</v>
      </c>
      <c r="H2649" s="366" t="s">
        <v>11364</v>
      </c>
      <c r="I2649" s="364" t="s">
        <v>14741</v>
      </c>
      <c r="J2649" s="367">
        <v>40765</v>
      </c>
      <c r="K2649" s="364" t="s">
        <v>14748</v>
      </c>
      <c r="L2649" s="364"/>
      <c r="M2649" s="364" t="s">
        <v>10084</v>
      </c>
      <c r="N2649" s="364"/>
      <c r="O2649" s="364" t="s">
        <v>57</v>
      </c>
      <c r="P2649" s="373">
        <v>89373000</v>
      </c>
      <c r="Q2649" s="364" t="s">
        <v>14749</v>
      </c>
      <c r="R2649" s="364" t="s">
        <v>9877</v>
      </c>
      <c r="S2649" s="340">
        <v>2</v>
      </c>
    </row>
    <row r="2650" spans="1:19" ht="31" x14ac:dyDescent="0.35">
      <c r="A2650" s="349">
        <v>2639</v>
      </c>
      <c r="B2650" s="364" t="s">
        <v>13477</v>
      </c>
      <c r="C2650" s="364" t="s">
        <v>13478</v>
      </c>
      <c r="D2650" s="366" t="s">
        <v>841</v>
      </c>
      <c r="E2650" s="366" t="s">
        <v>10082</v>
      </c>
      <c r="F2650" s="366" t="s">
        <v>10078</v>
      </c>
      <c r="G2650" s="366" t="s">
        <v>10088</v>
      </c>
      <c r="H2650" s="366" t="s">
        <v>12623</v>
      </c>
      <c r="I2650" s="364" t="s">
        <v>14750</v>
      </c>
      <c r="J2650" s="367">
        <v>40445</v>
      </c>
      <c r="K2650" s="364" t="s">
        <v>14751</v>
      </c>
      <c r="L2650" s="364"/>
      <c r="M2650" s="364" t="s">
        <v>10084</v>
      </c>
      <c r="N2650" s="364"/>
      <c r="O2650" s="364" t="s">
        <v>57</v>
      </c>
      <c r="P2650" s="373">
        <v>149500000</v>
      </c>
      <c r="Q2650" s="364" t="s">
        <v>14752</v>
      </c>
      <c r="R2650" s="364" t="s">
        <v>9877</v>
      </c>
      <c r="S2650" s="340">
        <v>2</v>
      </c>
    </row>
    <row r="2651" spans="1:19" ht="31.5" thickBot="1" x14ac:dyDescent="0.4">
      <c r="A2651" s="357">
        <v>2640</v>
      </c>
      <c r="B2651" s="364" t="s">
        <v>13477</v>
      </c>
      <c r="C2651" s="364" t="s">
        <v>13478</v>
      </c>
      <c r="D2651" s="366" t="s">
        <v>904</v>
      </c>
      <c r="E2651" s="366" t="s">
        <v>10082</v>
      </c>
      <c r="F2651" s="366" t="s">
        <v>10078</v>
      </c>
      <c r="G2651" s="366" t="s">
        <v>10088</v>
      </c>
      <c r="H2651" s="366" t="s">
        <v>1433</v>
      </c>
      <c r="I2651" s="364" t="s">
        <v>14741</v>
      </c>
      <c r="J2651" s="367">
        <v>40445</v>
      </c>
      <c r="K2651" s="364" t="s">
        <v>14753</v>
      </c>
      <c r="L2651" s="364"/>
      <c r="M2651" s="364" t="s">
        <v>10084</v>
      </c>
      <c r="N2651" s="364"/>
      <c r="O2651" s="364" t="s">
        <v>57</v>
      </c>
      <c r="P2651" s="373">
        <v>269500000</v>
      </c>
      <c r="Q2651" s="364" t="s">
        <v>14754</v>
      </c>
      <c r="R2651" s="364" t="s">
        <v>9877</v>
      </c>
      <c r="S2651" s="340">
        <v>2</v>
      </c>
    </row>
    <row r="2652" spans="1:19" ht="46.5" x14ac:dyDescent="0.35">
      <c r="A2652" s="349">
        <v>2641</v>
      </c>
      <c r="B2652" s="364" t="s">
        <v>13477</v>
      </c>
      <c r="C2652" s="364" t="s">
        <v>13478</v>
      </c>
      <c r="D2652" s="366" t="s">
        <v>122</v>
      </c>
      <c r="E2652" s="366" t="s">
        <v>10082</v>
      </c>
      <c r="F2652" s="366" t="s">
        <v>10078</v>
      </c>
      <c r="G2652" s="366" t="s">
        <v>10088</v>
      </c>
      <c r="H2652" s="366" t="s">
        <v>12626</v>
      </c>
      <c r="I2652" s="364" t="s">
        <v>14755</v>
      </c>
      <c r="J2652" s="367">
        <v>42648</v>
      </c>
      <c r="K2652" s="364" t="s">
        <v>14756</v>
      </c>
      <c r="L2652" s="364"/>
      <c r="M2652" s="364" t="s">
        <v>10084</v>
      </c>
      <c r="N2652" s="364"/>
      <c r="O2652" s="364" t="s">
        <v>57</v>
      </c>
      <c r="P2652" s="373">
        <v>325519000</v>
      </c>
      <c r="Q2652" s="364" t="s">
        <v>14757</v>
      </c>
      <c r="R2652" s="364" t="s">
        <v>9877</v>
      </c>
      <c r="S2652" s="340">
        <v>2</v>
      </c>
    </row>
    <row r="2653" spans="1:19" ht="31.5" thickBot="1" x14ac:dyDescent="0.4">
      <c r="A2653" s="357">
        <v>2642</v>
      </c>
      <c r="B2653" s="364" t="s">
        <v>13477</v>
      </c>
      <c r="C2653" s="364" t="s">
        <v>13478</v>
      </c>
      <c r="D2653" s="366" t="s">
        <v>126</v>
      </c>
      <c r="E2653" s="366" t="s">
        <v>10082</v>
      </c>
      <c r="F2653" s="366" t="s">
        <v>10078</v>
      </c>
      <c r="G2653" s="366" t="s">
        <v>10088</v>
      </c>
      <c r="H2653" s="366" t="s">
        <v>11400</v>
      </c>
      <c r="I2653" s="364" t="s">
        <v>14758</v>
      </c>
      <c r="J2653" s="367">
        <v>41904</v>
      </c>
      <c r="K2653" s="364" t="s">
        <v>13491</v>
      </c>
      <c r="L2653" s="364"/>
      <c r="M2653" s="364" t="s">
        <v>10084</v>
      </c>
      <c r="N2653" s="364"/>
      <c r="O2653" s="364" t="s">
        <v>57</v>
      </c>
      <c r="P2653" s="373">
        <v>262342000</v>
      </c>
      <c r="Q2653" s="364" t="s">
        <v>14759</v>
      </c>
      <c r="R2653" s="364" t="s">
        <v>9877</v>
      </c>
      <c r="S2653" s="340">
        <v>2</v>
      </c>
    </row>
    <row r="2654" spans="1:19" ht="31" x14ac:dyDescent="0.35">
      <c r="A2654" s="349">
        <v>2643</v>
      </c>
      <c r="B2654" s="364" t="s">
        <v>13477</v>
      </c>
      <c r="C2654" s="364" t="s">
        <v>13478</v>
      </c>
      <c r="D2654" s="366" t="s">
        <v>132</v>
      </c>
      <c r="E2654" s="366" t="s">
        <v>10082</v>
      </c>
      <c r="F2654" s="366" t="s">
        <v>10078</v>
      </c>
      <c r="G2654" s="366" t="s">
        <v>10088</v>
      </c>
      <c r="H2654" s="366" t="s">
        <v>11297</v>
      </c>
      <c r="I2654" s="364" t="s">
        <v>13317</v>
      </c>
      <c r="J2654" s="367">
        <v>41145</v>
      </c>
      <c r="K2654" s="364" t="s">
        <v>14760</v>
      </c>
      <c r="L2654" s="364"/>
      <c r="M2654" s="364" t="s">
        <v>10084</v>
      </c>
      <c r="N2654" s="364"/>
      <c r="O2654" s="364" t="s">
        <v>57</v>
      </c>
      <c r="P2654" s="373">
        <v>200850000</v>
      </c>
      <c r="Q2654" s="364" t="s">
        <v>14761</v>
      </c>
      <c r="R2654" s="364" t="s">
        <v>9877</v>
      </c>
      <c r="S2654" s="340">
        <v>2</v>
      </c>
    </row>
    <row r="2655" spans="1:19" ht="78" thickBot="1" x14ac:dyDescent="0.4">
      <c r="A2655" s="357">
        <v>2644</v>
      </c>
      <c r="B2655" s="364" t="s">
        <v>13477</v>
      </c>
      <c r="C2655" s="364" t="s">
        <v>13478</v>
      </c>
      <c r="D2655" s="366" t="s">
        <v>137</v>
      </c>
      <c r="E2655" s="366" t="s">
        <v>10082</v>
      </c>
      <c r="F2655" s="366" t="s">
        <v>10078</v>
      </c>
      <c r="G2655" s="366" t="s">
        <v>10088</v>
      </c>
      <c r="H2655" s="366" t="s">
        <v>14762</v>
      </c>
      <c r="I2655" s="364" t="s">
        <v>14763</v>
      </c>
      <c r="J2655" s="367">
        <v>44756</v>
      </c>
      <c r="K2655" s="364" t="s">
        <v>13581</v>
      </c>
      <c r="L2655" s="364"/>
      <c r="M2655" s="364" t="s">
        <v>10084</v>
      </c>
      <c r="N2655" s="364" t="s">
        <v>14764</v>
      </c>
      <c r="O2655" s="364" t="s">
        <v>44</v>
      </c>
      <c r="P2655" s="373">
        <v>1698522400</v>
      </c>
      <c r="Q2655" s="364" t="s">
        <v>14765</v>
      </c>
      <c r="R2655" s="364" t="s">
        <v>9877</v>
      </c>
      <c r="S2655" s="340">
        <v>2</v>
      </c>
    </row>
    <row r="2656" spans="1:19" ht="31" x14ac:dyDescent="0.35">
      <c r="A2656" s="349">
        <v>2645</v>
      </c>
      <c r="B2656" s="364" t="s">
        <v>13516</v>
      </c>
      <c r="C2656" s="364" t="s">
        <v>13517</v>
      </c>
      <c r="D2656" s="366" t="s">
        <v>51</v>
      </c>
      <c r="E2656" s="366" t="s">
        <v>10082</v>
      </c>
      <c r="F2656" s="366" t="s">
        <v>10078</v>
      </c>
      <c r="G2656" s="366" t="s">
        <v>10088</v>
      </c>
      <c r="H2656" s="366" t="s">
        <v>11297</v>
      </c>
      <c r="I2656" s="364" t="s">
        <v>14766</v>
      </c>
      <c r="J2656" s="367"/>
      <c r="K2656" s="364" t="s">
        <v>14767</v>
      </c>
      <c r="L2656" s="364"/>
      <c r="M2656" s="364"/>
      <c r="N2656" s="364"/>
      <c r="O2656" s="364" t="s">
        <v>44</v>
      </c>
      <c r="P2656" s="373">
        <v>322358275</v>
      </c>
      <c r="Q2656" s="364" t="s">
        <v>14768</v>
      </c>
      <c r="R2656" s="364" t="s">
        <v>9877</v>
      </c>
      <c r="S2656" s="340">
        <v>2</v>
      </c>
    </row>
    <row r="2657" spans="1:19" ht="31.5" thickBot="1" x14ac:dyDescent="0.4">
      <c r="A2657" s="357">
        <v>2646</v>
      </c>
      <c r="B2657" s="364" t="s">
        <v>10486</v>
      </c>
      <c r="C2657" s="364" t="s">
        <v>10487</v>
      </c>
      <c r="D2657" s="366" t="s">
        <v>51</v>
      </c>
      <c r="E2657" s="366" t="s">
        <v>10082</v>
      </c>
      <c r="F2657" s="366" t="s">
        <v>10078</v>
      </c>
      <c r="G2657" s="366" t="s">
        <v>10088</v>
      </c>
      <c r="H2657" s="366" t="s">
        <v>11870</v>
      </c>
      <c r="I2657" s="364" t="s">
        <v>14741</v>
      </c>
      <c r="J2657" s="367">
        <v>40178</v>
      </c>
      <c r="K2657" s="364"/>
      <c r="L2657" s="364"/>
      <c r="M2657" s="364" t="s">
        <v>10084</v>
      </c>
      <c r="N2657" s="364"/>
      <c r="O2657" s="364" t="s">
        <v>57</v>
      </c>
      <c r="P2657" s="373">
        <v>32750000</v>
      </c>
      <c r="Q2657" s="364" t="s">
        <v>14769</v>
      </c>
      <c r="R2657" s="364" t="s">
        <v>9877</v>
      </c>
      <c r="S2657" s="340">
        <v>2</v>
      </c>
    </row>
    <row r="2658" spans="1:19" ht="31" x14ac:dyDescent="0.35">
      <c r="A2658" s="349">
        <v>2647</v>
      </c>
      <c r="B2658" s="364" t="s">
        <v>12958</v>
      </c>
      <c r="C2658" s="364" t="s">
        <v>12959</v>
      </c>
      <c r="D2658" s="366" t="s">
        <v>51</v>
      </c>
      <c r="E2658" s="366" t="s">
        <v>10082</v>
      </c>
      <c r="F2658" s="366" t="s">
        <v>10078</v>
      </c>
      <c r="G2658" s="366" t="s">
        <v>10088</v>
      </c>
      <c r="H2658" s="366" t="s">
        <v>8956</v>
      </c>
      <c r="I2658" s="364" t="s">
        <v>14737</v>
      </c>
      <c r="J2658" s="367">
        <v>39813</v>
      </c>
      <c r="K2658" s="364"/>
      <c r="L2658" s="364"/>
      <c r="M2658" s="364" t="s">
        <v>10084</v>
      </c>
      <c r="N2658" s="364"/>
      <c r="O2658" s="364" t="s">
        <v>57</v>
      </c>
      <c r="P2658" s="373">
        <v>96048450</v>
      </c>
      <c r="Q2658" s="364" t="s">
        <v>12587</v>
      </c>
      <c r="R2658" s="364" t="s">
        <v>9877</v>
      </c>
      <c r="S2658" s="340">
        <v>2</v>
      </c>
    </row>
    <row r="2659" spans="1:19" ht="31.5" thickBot="1" x14ac:dyDescent="0.4">
      <c r="A2659" s="357">
        <v>2648</v>
      </c>
      <c r="B2659" s="364" t="s">
        <v>12958</v>
      </c>
      <c r="C2659" s="364" t="s">
        <v>12959</v>
      </c>
      <c r="D2659" s="366" t="s">
        <v>59</v>
      </c>
      <c r="E2659" s="366" t="s">
        <v>10082</v>
      </c>
      <c r="F2659" s="366" t="s">
        <v>10078</v>
      </c>
      <c r="G2659" s="366" t="s">
        <v>10088</v>
      </c>
      <c r="H2659" s="366" t="s">
        <v>8956</v>
      </c>
      <c r="I2659" s="364" t="s">
        <v>14737</v>
      </c>
      <c r="J2659" s="367">
        <v>39813</v>
      </c>
      <c r="K2659" s="364"/>
      <c r="L2659" s="364"/>
      <c r="M2659" s="364" t="s">
        <v>10084</v>
      </c>
      <c r="N2659" s="364"/>
      <c r="O2659" s="364" t="s">
        <v>57</v>
      </c>
      <c r="P2659" s="373">
        <v>96048450</v>
      </c>
      <c r="Q2659" s="364" t="s">
        <v>12587</v>
      </c>
      <c r="R2659" s="364" t="s">
        <v>9877</v>
      </c>
      <c r="S2659" s="340">
        <v>2</v>
      </c>
    </row>
    <row r="2660" spans="1:19" ht="31" x14ac:dyDescent="0.35">
      <c r="A2660" s="349">
        <v>2649</v>
      </c>
      <c r="B2660" s="364" t="s">
        <v>12958</v>
      </c>
      <c r="C2660" s="364" t="s">
        <v>12959</v>
      </c>
      <c r="D2660" s="366" t="s">
        <v>97</v>
      </c>
      <c r="E2660" s="366" t="s">
        <v>10082</v>
      </c>
      <c r="F2660" s="366" t="s">
        <v>10078</v>
      </c>
      <c r="G2660" s="366" t="s">
        <v>10088</v>
      </c>
      <c r="H2660" s="366" t="s">
        <v>8956</v>
      </c>
      <c r="I2660" s="364" t="s">
        <v>14737</v>
      </c>
      <c r="J2660" s="367">
        <v>39813</v>
      </c>
      <c r="K2660" s="364"/>
      <c r="L2660" s="364"/>
      <c r="M2660" s="364" t="s">
        <v>10084</v>
      </c>
      <c r="N2660" s="364"/>
      <c r="O2660" s="364" t="s">
        <v>57</v>
      </c>
      <c r="P2660" s="373">
        <v>96048450</v>
      </c>
      <c r="Q2660" s="364" t="s">
        <v>12587</v>
      </c>
      <c r="R2660" s="364" t="s">
        <v>9877</v>
      </c>
      <c r="S2660" s="340">
        <v>2</v>
      </c>
    </row>
    <row r="2661" spans="1:19" ht="31.5" thickBot="1" x14ac:dyDescent="0.4">
      <c r="A2661" s="357">
        <v>2650</v>
      </c>
      <c r="B2661" s="364" t="s">
        <v>12958</v>
      </c>
      <c r="C2661" s="364" t="s">
        <v>12959</v>
      </c>
      <c r="D2661" s="366" t="s">
        <v>101</v>
      </c>
      <c r="E2661" s="366" t="s">
        <v>10082</v>
      </c>
      <c r="F2661" s="366" t="s">
        <v>10078</v>
      </c>
      <c r="G2661" s="366" t="s">
        <v>10088</v>
      </c>
      <c r="H2661" s="366" t="s">
        <v>12584</v>
      </c>
      <c r="I2661" s="364" t="s">
        <v>14737</v>
      </c>
      <c r="J2661" s="367">
        <v>39813</v>
      </c>
      <c r="K2661" s="364"/>
      <c r="L2661" s="364"/>
      <c r="M2661" s="364" t="s">
        <v>10084</v>
      </c>
      <c r="N2661" s="364"/>
      <c r="O2661" s="364" t="s">
        <v>57</v>
      </c>
      <c r="P2661" s="373">
        <v>145865000</v>
      </c>
      <c r="Q2661" s="364" t="s">
        <v>12587</v>
      </c>
      <c r="R2661" s="364" t="s">
        <v>9877</v>
      </c>
      <c r="S2661" s="340">
        <v>2</v>
      </c>
    </row>
    <row r="2662" spans="1:19" ht="31" x14ac:dyDescent="0.35">
      <c r="A2662" s="349">
        <v>2651</v>
      </c>
      <c r="B2662" s="364" t="s">
        <v>12958</v>
      </c>
      <c r="C2662" s="364" t="s">
        <v>12959</v>
      </c>
      <c r="D2662" s="366" t="s">
        <v>107</v>
      </c>
      <c r="E2662" s="366" t="s">
        <v>10082</v>
      </c>
      <c r="F2662" s="366" t="s">
        <v>10078</v>
      </c>
      <c r="G2662" s="366" t="s">
        <v>10088</v>
      </c>
      <c r="H2662" s="366" t="s">
        <v>11415</v>
      </c>
      <c r="I2662" s="364" t="s">
        <v>14741</v>
      </c>
      <c r="J2662" s="367">
        <v>40178</v>
      </c>
      <c r="K2662" s="364"/>
      <c r="L2662" s="364"/>
      <c r="M2662" s="364" t="s">
        <v>10084</v>
      </c>
      <c r="N2662" s="364"/>
      <c r="O2662" s="364" t="s">
        <v>57</v>
      </c>
      <c r="P2662" s="373">
        <v>261168000</v>
      </c>
      <c r="Q2662" s="364" t="s">
        <v>14770</v>
      </c>
      <c r="R2662" s="364" t="s">
        <v>9877</v>
      </c>
      <c r="S2662" s="340">
        <v>2</v>
      </c>
    </row>
    <row r="2663" spans="1:19" ht="31.5" thickBot="1" x14ac:dyDescent="0.4">
      <c r="A2663" s="357">
        <v>2652</v>
      </c>
      <c r="B2663" s="364" t="s">
        <v>12958</v>
      </c>
      <c r="C2663" s="364" t="s">
        <v>12959</v>
      </c>
      <c r="D2663" s="366" t="s">
        <v>112</v>
      </c>
      <c r="E2663" s="366" t="s">
        <v>10082</v>
      </c>
      <c r="F2663" s="366" t="s">
        <v>10078</v>
      </c>
      <c r="G2663" s="366" t="s">
        <v>10088</v>
      </c>
      <c r="H2663" s="366" t="s">
        <v>11407</v>
      </c>
      <c r="I2663" s="364" t="s">
        <v>14741</v>
      </c>
      <c r="J2663" s="367">
        <v>41870</v>
      </c>
      <c r="K2663" s="364" t="s">
        <v>14771</v>
      </c>
      <c r="L2663" s="364"/>
      <c r="M2663" s="364" t="s">
        <v>10084</v>
      </c>
      <c r="N2663" s="364"/>
      <c r="O2663" s="364" t="s">
        <v>57</v>
      </c>
      <c r="P2663" s="373">
        <v>219550000</v>
      </c>
      <c r="Q2663" s="364" t="s">
        <v>14772</v>
      </c>
      <c r="R2663" s="364" t="s">
        <v>9877</v>
      </c>
      <c r="S2663" s="340">
        <v>2</v>
      </c>
    </row>
    <row r="2664" spans="1:19" ht="31" x14ac:dyDescent="0.35">
      <c r="A2664" s="349">
        <v>2653</v>
      </c>
      <c r="B2664" s="364" t="s">
        <v>12958</v>
      </c>
      <c r="C2664" s="364" t="s">
        <v>12959</v>
      </c>
      <c r="D2664" s="366" t="s">
        <v>116</v>
      </c>
      <c r="E2664" s="366" t="s">
        <v>10082</v>
      </c>
      <c r="F2664" s="366" t="s">
        <v>10078</v>
      </c>
      <c r="G2664" s="366" t="s">
        <v>10088</v>
      </c>
      <c r="H2664" s="366" t="s">
        <v>8956</v>
      </c>
      <c r="I2664" s="364" t="s">
        <v>14737</v>
      </c>
      <c r="J2664" s="367">
        <v>39813</v>
      </c>
      <c r="K2664" s="364"/>
      <c r="L2664" s="364"/>
      <c r="M2664" s="364" t="s">
        <v>10084</v>
      </c>
      <c r="N2664" s="364"/>
      <c r="O2664" s="364" t="s">
        <v>57</v>
      </c>
      <c r="P2664" s="373">
        <v>90093000</v>
      </c>
      <c r="Q2664" s="364" t="s">
        <v>12587</v>
      </c>
      <c r="R2664" s="364" t="s">
        <v>9877</v>
      </c>
      <c r="S2664" s="340">
        <v>2</v>
      </c>
    </row>
    <row r="2665" spans="1:19" ht="31.5" thickBot="1" x14ac:dyDescent="0.4">
      <c r="A2665" s="357">
        <v>2654</v>
      </c>
      <c r="B2665" s="364" t="s">
        <v>12958</v>
      </c>
      <c r="C2665" s="364" t="s">
        <v>12959</v>
      </c>
      <c r="D2665" s="366" t="s">
        <v>841</v>
      </c>
      <c r="E2665" s="366" t="s">
        <v>10082</v>
      </c>
      <c r="F2665" s="366" t="s">
        <v>10078</v>
      </c>
      <c r="G2665" s="366" t="s">
        <v>10088</v>
      </c>
      <c r="H2665" s="366" t="s">
        <v>8956</v>
      </c>
      <c r="I2665" s="364" t="s">
        <v>14737</v>
      </c>
      <c r="J2665" s="367">
        <v>39813</v>
      </c>
      <c r="K2665" s="364"/>
      <c r="L2665" s="364"/>
      <c r="M2665" s="364" t="s">
        <v>10084</v>
      </c>
      <c r="N2665" s="364"/>
      <c r="O2665" s="364" t="s">
        <v>57</v>
      </c>
      <c r="P2665" s="373">
        <v>90093000</v>
      </c>
      <c r="Q2665" s="364" t="s">
        <v>12587</v>
      </c>
      <c r="R2665" s="364" t="s">
        <v>9877</v>
      </c>
      <c r="S2665" s="340">
        <v>2</v>
      </c>
    </row>
    <row r="2666" spans="1:19" ht="31" x14ac:dyDescent="0.35">
      <c r="A2666" s="349">
        <v>2655</v>
      </c>
      <c r="B2666" s="364" t="s">
        <v>12958</v>
      </c>
      <c r="C2666" s="364" t="s">
        <v>12959</v>
      </c>
      <c r="D2666" s="366" t="s">
        <v>904</v>
      </c>
      <c r="E2666" s="366" t="s">
        <v>10082</v>
      </c>
      <c r="F2666" s="366" t="s">
        <v>10078</v>
      </c>
      <c r="G2666" s="366" t="s">
        <v>10088</v>
      </c>
      <c r="H2666" s="366" t="s">
        <v>8956</v>
      </c>
      <c r="I2666" s="364" t="s">
        <v>14737</v>
      </c>
      <c r="J2666" s="367">
        <v>39813</v>
      </c>
      <c r="K2666" s="364"/>
      <c r="L2666" s="364"/>
      <c r="M2666" s="364" t="s">
        <v>10084</v>
      </c>
      <c r="N2666" s="364"/>
      <c r="O2666" s="364" t="s">
        <v>57</v>
      </c>
      <c r="P2666" s="373">
        <v>90093000</v>
      </c>
      <c r="Q2666" s="364" t="s">
        <v>12587</v>
      </c>
      <c r="R2666" s="364" t="s">
        <v>9877</v>
      </c>
      <c r="S2666" s="340">
        <v>2</v>
      </c>
    </row>
    <row r="2667" spans="1:19" ht="31.5" thickBot="1" x14ac:dyDescent="0.4">
      <c r="A2667" s="357">
        <v>2656</v>
      </c>
      <c r="B2667" s="364" t="s">
        <v>10511</v>
      </c>
      <c r="C2667" s="364" t="s">
        <v>10512</v>
      </c>
      <c r="D2667" s="366" t="s">
        <v>51</v>
      </c>
      <c r="E2667" s="366" t="s">
        <v>10082</v>
      </c>
      <c r="F2667" s="366" t="s">
        <v>10078</v>
      </c>
      <c r="G2667" s="366" t="s">
        <v>10088</v>
      </c>
      <c r="H2667" s="366" t="s">
        <v>11324</v>
      </c>
      <c r="I2667" s="364" t="s">
        <v>14773</v>
      </c>
      <c r="J2667" s="367">
        <v>41928</v>
      </c>
      <c r="K2667" s="364" t="s">
        <v>14612</v>
      </c>
      <c r="L2667" s="364"/>
      <c r="M2667" s="364" t="s">
        <v>10084</v>
      </c>
      <c r="N2667" s="364"/>
      <c r="O2667" s="364" t="s">
        <v>57</v>
      </c>
      <c r="P2667" s="373">
        <v>23462500</v>
      </c>
      <c r="Q2667" s="364" t="s">
        <v>14774</v>
      </c>
      <c r="R2667" s="364" t="s">
        <v>9877</v>
      </c>
      <c r="S2667" s="340">
        <v>2</v>
      </c>
    </row>
    <row r="2668" spans="1:19" ht="31" x14ac:dyDescent="0.35">
      <c r="A2668" s="349">
        <v>2657</v>
      </c>
      <c r="B2668" s="364" t="s">
        <v>10096</v>
      </c>
      <c r="C2668" s="364" t="s">
        <v>10097</v>
      </c>
      <c r="D2668" s="366" t="s">
        <v>51</v>
      </c>
      <c r="E2668" s="366" t="s">
        <v>10082</v>
      </c>
      <c r="F2668" s="366" t="s">
        <v>10078</v>
      </c>
      <c r="G2668" s="366" t="s">
        <v>10088</v>
      </c>
      <c r="H2668" s="366" t="s">
        <v>14775</v>
      </c>
      <c r="I2668" s="364" t="s">
        <v>14741</v>
      </c>
      <c r="J2668" s="367">
        <v>40178</v>
      </c>
      <c r="K2668" s="364"/>
      <c r="L2668" s="364"/>
      <c r="M2668" s="364" t="s">
        <v>10084</v>
      </c>
      <c r="N2668" s="364"/>
      <c r="O2668" s="364" t="s">
        <v>57</v>
      </c>
      <c r="P2668" s="373">
        <v>97800000</v>
      </c>
      <c r="Q2668" s="364" t="s">
        <v>14776</v>
      </c>
      <c r="R2668" s="364" t="s">
        <v>9877</v>
      </c>
      <c r="S2668" s="340">
        <v>2</v>
      </c>
    </row>
    <row r="2669" spans="1:19" ht="31.5" thickBot="1" x14ac:dyDescent="0.4">
      <c r="A2669" s="357">
        <v>2658</v>
      </c>
      <c r="B2669" s="364" t="s">
        <v>10155</v>
      </c>
      <c r="C2669" s="364" t="s">
        <v>10156</v>
      </c>
      <c r="D2669" s="366" t="s">
        <v>51</v>
      </c>
      <c r="E2669" s="366" t="s">
        <v>10082</v>
      </c>
      <c r="F2669" s="366" t="s">
        <v>10078</v>
      </c>
      <c r="G2669" s="366" t="s">
        <v>10088</v>
      </c>
      <c r="H2669" s="366" t="s">
        <v>11409</v>
      </c>
      <c r="I2669" s="364" t="s">
        <v>14777</v>
      </c>
      <c r="J2669" s="367">
        <v>40905</v>
      </c>
      <c r="K2669" s="364" t="s">
        <v>14778</v>
      </c>
      <c r="L2669" s="364"/>
      <c r="M2669" s="364" t="s">
        <v>10084</v>
      </c>
      <c r="N2669" s="364"/>
      <c r="O2669" s="364" t="s">
        <v>57</v>
      </c>
      <c r="P2669" s="373">
        <v>817483000</v>
      </c>
      <c r="Q2669" s="364" t="s">
        <v>14779</v>
      </c>
      <c r="R2669" s="364" t="s">
        <v>9892</v>
      </c>
      <c r="S2669" s="340">
        <v>3</v>
      </c>
    </row>
    <row r="2670" spans="1:19" ht="31" x14ac:dyDescent="0.35">
      <c r="A2670" s="349">
        <v>2659</v>
      </c>
      <c r="B2670" s="364" t="s">
        <v>10155</v>
      </c>
      <c r="C2670" s="364" t="s">
        <v>10156</v>
      </c>
      <c r="D2670" s="366" t="s">
        <v>59</v>
      </c>
      <c r="E2670" s="366" t="s">
        <v>10082</v>
      </c>
      <c r="F2670" s="366" t="s">
        <v>10078</v>
      </c>
      <c r="G2670" s="366" t="s">
        <v>10088</v>
      </c>
      <c r="H2670" s="366" t="s">
        <v>11315</v>
      </c>
      <c r="I2670" s="364" t="s">
        <v>14780</v>
      </c>
      <c r="J2670" s="367">
        <v>41212</v>
      </c>
      <c r="K2670" s="364" t="s">
        <v>14781</v>
      </c>
      <c r="L2670" s="364"/>
      <c r="M2670" s="364" t="s">
        <v>10084</v>
      </c>
      <c r="N2670" s="364"/>
      <c r="O2670" s="364" t="s">
        <v>57</v>
      </c>
      <c r="P2670" s="373">
        <v>81963000</v>
      </c>
      <c r="Q2670" s="364" t="s">
        <v>14782</v>
      </c>
      <c r="R2670" s="364" t="s">
        <v>9892</v>
      </c>
      <c r="S2670" s="340">
        <v>3</v>
      </c>
    </row>
    <row r="2671" spans="1:19" ht="31.5" thickBot="1" x14ac:dyDescent="0.4">
      <c r="A2671" s="357">
        <v>2660</v>
      </c>
      <c r="B2671" s="364" t="s">
        <v>10155</v>
      </c>
      <c r="C2671" s="364" t="s">
        <v>10156</v>
      </c>
      <c r="D2671" s="366" t="s">
        <v>97</v>
      </c>
      <c r="E2671" s="366" t="s">
        <v>10082</v>
      </c>
      <c r="F2671" s="366" t="s">
        <v>10071</v>
      </c>
      <c r="G2671" s="366" t="s">
        <v>10088</v>
      </c>
      <c r="H2671" s="366" t="s">
        <v>14783</v>
      </c>
      <c r="I2671" s="364" t="s">
        <v>10471</v>
      </c>
      <c r="J2671" s="367">
        <v>41113</v>
      </c>
      <c r="K2671" s="364" t="s">
        <v>14784</v>
      </c>
      <c r="L2671" s="364"/>
      <c r="M2671" s="364" t="s">
        <v>10084</v>
      </c>
      <c r="N2671" s="364"/>
      <c r="O2671" s="364" t="s">
        <v>422</v>
      </c>
      <c r="P2671" s="373">
        <v>6423406900</v>
      </c>
      <c r="Q2671" s="364" t="s">
        <v>14785</v>
      </c>
      <c r="R2671" s="364" t="s">
        <v>9892</v>
      </c>
      <c r="S2671" s="340">
        <v>3</v>
      </c>
    </row>
    <row r="2672" spans="1:19" ht="31" x14ac:dyDescent="0.35">
      <c r="A2672" s="349">
        <v>2661</v>
      </c>
      <c r="B2672" s="364" t="s">
        <v>10155</v>
      </c>
      <c r="C2672" s="364" t="s">
        <v>10156</v>
      </c>
      <c r="D2672" s="366" t="s">
        <v>101</v>
      </c>
      <c r="E2672" s="366" t="s">
        <v>10082</v>
      </c>
      <c r="F2672" s="366" t="s">
        <v>10078</v>
      </c>
      <c r="G2672" s="366" t="s">
        <v>10088</v>
      </c>
      <c r="H2672" s="366" t="s">
        <v>11409</v>
      </c>
      <c r="I2672" s="364" t="s">
        <v>14786</v>
      </c>
      <c r="J2672" s="367">
        <v>41102</v>
      </c>
      <c r="K2672" s="364" t="s">
        <v>14787</v>
      </c>
      <c r="L2672" s="364"/>
      <c r="M2672" s="364" t="s">
        <v>10084</v>
      </c>
      <c r="N2672" s="364"/>
      <c r="O2672" s="364" t="s">
        <v>57</v>
      </c>
      <c r="P2672" s="373">
        <v>727408000</v>
      </c>
      <c r="Q2672" s="364" t="s">
        <v>14788</v>
      </c>
      <c r="R2672" s="364" t="s">
        <v>9892</v>
      </c>
      <c r="S2672" s="340">
        <v>3</v>
      </c>
    </row>
    <row r="2673" spans="1:19" ht="31.5" thickBot="1" x14ac:dyDescent="0.4">
      <c r="A2673" s="357">
        <v>2662</v>
      </c>
      <c r="B2673" s="364" t="s">
        <v>10155</v>
      </c>
      <c r="C2673" s="364" t="s">
        <v>10156</v>
      </c>
      <c r="D2673" s="366" t="s">
        <v>107</v>
      </c>
      <c r="E2673" s="366" t="s">
        <v>10082</v>
      </c>
      <c r="F2673" s="366" t="s">
        <v>10078</v>
      </c>
      <c r="G2673" s="366" t="s">
        <v>10088</v>
      </c>
      <c r="H2673" s="366" t="s">
        <v>12187</v>
      </c>
      <c r="I2673" s="364" t="s">
        <v>14777</v>
      </c>
      <c r="J2673" s="367">
        <v>41100</v>
      </c>
      <c r="K2673" s="364" t="s">
        <v>14789</v>
      </c>
      <c r="L2673" s="364"/>
      <c r="M2673" s="364" t="s">
        <v>10084</v>
      </c>
      <c r="N2673" s="364"/>
      <c r="O2673" s="364" t="s">
        <v>57</v>
      </c>
      <c r="P2673" s="373">
        <v>772573000</v>
      </c>
      <c r="Q2673" s="364" t="s">
        <v>14790</v>
      </c>
      <c r="R2673" s="364" t="s">
        <v>9892</v>
      </c>
      <c r="S2673" s="340">
        <v>3</v>
      </c>
    </row>
    <row r="2674" spans="1:19" ht="31" x14ac:dyDescent="0.35">
      <c r="A2674" s="349">
        <v>2663</v>
      </c>
      <c r="B2674" s="364" t="s">
        <v>10155</v>
      </c>
      <c r="C2674" s="364" t="s">
        <v>10156</v>
      </c>
      <c r="D2674" s="366" t="s">
        <v>112</v>
      </c>
      <c r="E2674" s="366" t="s">
        <v>10082</v>
      </c>
      <c r="F2674" s="366" t="s">
        <v>10078</v>
      </c>
      <c r="G2674" s="366" t="s">
        <v>10078</v>
      </c>
      <c r="H2674" s="366" t="s">
        <v>14791</v>
      </c>
      <c r="I2674" s="364" t="s">
        <v>14792</v>
      </c>
      <c r="J2674" s="367">
        <v>43685</v>
      </c>
      <c r="K2674" s="364" t="s">
        <v>14793</v>
      </c>
      <c r="L2674" s="364"/>
      <c r="M2674" s="364" t="s">
        <v>10084</v>
      </c>
      <c r="N2674" s="364"/>
      <c r="O2674" s="364" t="s">
        <v>57</v>
      </c>
      <c r="P2674" s="373">
        <v>1461178997.5999999</v>
      </c>
      <c r="Q2674" s="364" t="s">
        <v>14794</v>
      </c>
      <c r="R2674" s="364" t="s">
        <v>9892</v>
      </c>
      <c r="S2674" s="340">
        <v>3</v>
      </c>
    </row>
    <row r="2675" spans="1:19" ht="31.5" thickBot="1" x14ac:dyDescent="0.4">
      <c r="A2675" s="357">
        <v>2664</v>
      </c>
      <c r="B2675" s="364" t="s">
        <v>10155</v>
      </c>
      <c r="C2675" s="364" t="s">
        <v>10156</v>
      </c>
      <c r="D2675" s="366" t="s">
        <v>116</v>
      </c>
      <c r="E2675" s="366" t="s">
        <v>10082</v>
      </c>
      <c r="F2675" s="366" t="s">
        <v>10078</v>
      </c>
      <c r="G2675" s="366" t="s">
        <v>10088</v>
      </c>
      <c r="H2675" s="366" t="s">
        <v>11472</v>
      </c>
      <c r="I2675" s="364" t="s">
        <v>14795</v>
      </c>
      <c r="J2675" s="367">
        <v>42875</v>
      </c>
      <c r="K2675" s="364" t="s">
        <v>14796</v>
      </c>
      <c r="L2675" s="364"/>
      <c r="M2675" s="364" t="s">
        <v>10084</v>
      </c>
      <c r="N2675" s="364"/>
      <c r="O2675" s="364" t="s">
        <v>57</v>
      </c>
      <c r="P2675" s="373">
        <v>381230000</v>
      </c>
      <c r="Q2675" s="364" t="s">
        <v>14797</v>
      </c>
      <c r="R2675" s="364" t="s">
        <v>9892</v>
      </c>
      <c r="S2675" s="340">
        <v>3</v>
      </c>
    </row>
    <row r="2676" spans="1:19" ht="31" x14ac:dyDescent="0.35">
      <c r="A2676" s="349">
        <v>2665</v>
      </c>
      <c r="B2676" s="364" t="s">
        <v>10155</v>
      </c>
      <c r="C2676" s="364" t="s">
        <v>10156</v>
      </c>
      <c r="D2676" s="366" t="s">
        <v>904</v>
      </c>
      <c r="E2676" s="366" t="s">
        <v>10082</v>
      </c>
      <c r="F2676" s="366" t="s">
        <v>10078</v>
      </c>
      <c r="G2676" s="366" t="s">
        <v>10088</v>
      </c>
      <c r="H2676" s="366" t="s">
        <v>11324</v>
      </c>
      <c r="I2676" s="364" t="s">
        <v>14786</v>
      </c>
      <c r="J2676" s="367">
        <v>39813</v>
      </c>
      <c r="K2676" s="364" t="s">
        <v>422</v>
      </c>
      <c r="L2676" s="364"/>
      <c r="M2676" s="364" t="s">
        <v>10084</v>
      </c>
      <c r="N2676" s="364"/>
      <c r="O2676" s="364" t="s">
        <v>57</v>
      </c>
      <c r="P2676" s="373">
        <v>66944000</v>
      </c>
      <c r="Q2676" s="364" t="s">
        <v>14798</v>
      </c>
      <c r="R2676" s="364" t="s">
        <v>9892</v>
      </c>
      <c r="S2676" s="340">
        <v>3</v>
      </c>
    </row>
    <row r="2677" spans="1:19" ht="31.5" thickBot="1" x14ac:dyDescent="0.4">
      <c r="A2677" s="357">
        <v>2666</v>
      </c>
      <c r="B2677" s="364" t="s">
        <v>10155</v>
      </c>
      <c r="C2677" s="364" t="s">
        <v>10156</v>
      </c>
      <c r="D2677" s="366" t="s">
        <v>122</v>
      </c>
      <c r="E2677" s="366" t="s">
        <v>10082</v>
      </c>
      <c r="F2677" s="366" t="s">
        <v>10078</v>
      </c>
      <c r="G2677" s="366" t="s">
        <v>10088</v>
      </c>
      <c r="H2677" s="366" t="s">
        <v>11324</v>
      </c>
      <c r="I2677" s="364" t="s">
        <v>14786</v>
      </c>
      <c r="J2677" s="367">
        <v>39813</v>
      </c>
      <c r="K2677" s="364" t="s">
        <v>422</v>
      </c>
      <c r="L2677" s="364"/>
      <c r="M2677" s="364" t="s">
        <v>10084</v>
      </c>
      <c r="N2677" s="364"/>
      <c r="O2677" s="364" t="s">
        <v>57</v>
      </c>
      <c r="P2677" s="373">
        <v>66944000</v>
      </c>
      <c r="Q2677" s="364" t="s">
        <v>14798</v>
      </c>
      <c r="R2677" s="364" t="s">
        <v>9892</v>
      </c>
      <c r="S2677" s="340">
        <v>3</v>
      </c>
    </row>
    <row r="2678" spans="1:19" ht="31" x14ac:dyDescent="0.35">
      <c r="A2678" s="349">
        <v>2667</v>
      </c>
      <c r="B2678" s="364" t="s">
        <v>10155</v>
      </c>
      <c r="C2678" s="364" t="s">
        <v>10156</v>
      </c>
      <c r="D2678" s="366" t="s">
        <v>126</v>
      </c>
      <c r="E2678" s="366" t="s">
        <v>10082</v>
      </c>
      <c r="F2678" s="366" t="s">
        <v>10078</v>
      </c>
      <c r="G2678" s="366" t="s">
        <v>10088</v>
      </c>
      <c r="H2678" s="366" t="s">
        <v>11324</v>
      </c>
      <c r="I2678" s="364" t="s">
        <v>14786</v>
      </c>
      <c r="J2678" s="367">
        <v>39813</v>
      </c>
      <c r="K2678" s="364" t="s">
        <v>422</v>
      </c>
      <c r="L2678" s="364"/>
      <c r="M2678" s="364" t="s">
        <v>10084</v>
      </c>
      <c r="N2678" s="364"/>
      <c r="O2678" s="364" t="s">
        <v>57</v>
      </c>
      <c r="P2678" s="373">
        <v>66944000</v>
      </c>
      <c r="Q2678" s="364" t="s">
        <v>14798</v>
      </c>
      <c r="R2678" s="364" t="s">
        <v>9892</v>
      </c>
      <c r="S2678" s="340">
        <v>3</v>
      </c>
    </row>
    <row r="2679" spans="1:19" ht="31.5" thickBot="1" x14ac:dyDescent="0.4">
      <c r="A2679" s="357">
        <v>2668</v>
      </c>
      <c r="B2679" s="364" t="s">
        <v>10155</v>
      </c>
      <c r="C2679" s="364" t="s">
        <v>10156</v>
      </c>
      <c r="D2679" s="366" t="s">
        <v>132</v>
      </c>
      <c r="E2679" s="366" t="s">
        <v>10082</v>
      </c>
      <c r="F2679" s="366" t="s">
        <v>10078</v>
      </c>
      <c r="G2679" s="366" t="s">
        <v>10088</v>
      </c>
      <c r="H2679" s="366" t="s">
        <v>11324</v>
      </c>
      <c r="I2679" s="364" t="s">
        <v>14786</v>
      </c>
      <c r="J2679" s="367">
        <v>39564</v>
      </c>
      <c r="K2679" s="364" t="s">
        <v>14799</v>
      </c>
      <c r="L2679" s="364"/>
      <c r="M2679" s="364" t="s">
        <v>10084</v>
      </c>
      <c r="N2679" s="364"/>
      <c r="O2679" s="364" t="s">
        <v>57</v>
      </c>
      <c r="P2679" s="373">
        <v>79596000</v>
      </c>
      <c r="Q2679" s="364" t="s">
        <v>14800</v>
      </c>
      <c r="R2679" s="364" t="s">
        <v>9892</v>
      </c>
      <c r="S2679" s="340">
        <v>3</v>
      </c>
    </row>
    <row r="2680" spans="1:19" ht="31" x14ac:dyDescent="0.35">
      <c r="A2680" s="349">
        <v>2669</v>
      </c>
      <c r="B2680" s="364" t="s">
        <v>10155</v>
      </c>
      <c r="C2680" s="364" t="s">
        <v>10156</v>
      </c>
      <c r="D2680" s="366" t="s">
        <v>137</v>
      </c>
      <c r="E2680" s="366" t="s">
        <v>10082</v>
      </c>
      <c r="F2680" s="366" t="s">
        <v>10078</v>
      </c>
      <c r="G2680" s="366" t="s">
        <v>10088</v>
      </c>
      <c r="H2680" s="366" t="s">
        <v>8954</v>
      </c>
      <c r="I2680" s="364" t="s">
        <v>14786</v>
      </c>
      <c r="J2680" s="367">
        <v>39568</v>
      </c>
      <c r="K2680" s="364" t="s">
        <v>14801</v>
      </c>
      <c r="L2680" s="364"/>
      <c r="M2680" s="364" t="s">
        <v>10084</v>
      </c>
      <c r="N2680" s="364"/>
      <c r="O2680" s="364" t="s">
        <v>57</v>
      </c>
      <c r="P2680" s="373">
        <v>41003000</v>
      </c>
      <c r="Q2680" s="364" t="s">
        <v>14802</v>
      </c>
      <c r="R2680" s="364" t="s">
        <v>9892</v>
      </c>
      <c r="S2680" s="340">
        <v>3</v>
      </c>
    </row>
    <row r="2681" spans="1:19" ht="31.5" thickBot="1" x14ac:dyDescent="0.4">
      <c r="A2681" s="357">
        <v>2670</v>
      </c>
      <c r="B2681" s="364" t="s">
        <v>10155</v>
      </c>
      <c r="C2681" s="364" t="s">
        <v>10156</v>
      </c>
      <c r="D2681" s="366" t="s">
        <v>146</v>
      </c>
      <c r="E2681" s="366" t="s">
        <v>10082</v>
      </c>
      <c r="F2681" s="366" t="s">
        <v>10078</v>
      </c>
      <c r="G2681" s="366" t="s">
        <v>10088</v>
      </c>
      <c r="H2681" s="366" t="s">
        <v>11324</v>
      </c>
      <c r="I2681" s="364" t="s">
        <v>14786</v>
      </c>
      <c r="J2681" s="367">
        <v>39813</v>
      </c>
      <c r="K2681" s="364" t="s">
        <v>422</v>
      </c>
      <c r="L2681" s="364"/>
      <c r="M2681" s="364" t="s">
        <v>10084</v>
      </c>
      <c r="N2681" s="364"/>
      <c r="O2681" s="364" t="s">
        <v>57</v>
      </c>
      <c r="P2681" s="373">
        <v>66944000</v>
      </c>
      <c r="Q2681" s="364" t="s">
        <v>14798</v>
      </c>
      <c r="R2681" s="364" t="s">
        <v>9892</v>
      </c>
      <c r="S2681" s="340">
        <v>3</v>
      </c>
    </row>
    <row r="2682" spans="1:19" ht="31" x14ac:dyDescent="0.35">
      <c r="A2682" s="349">
        <v>2671</v>
      </c>
      <c r="B2682" s="364" t="s">
        <v>10155</v>
      </c>
      <c r="C2682" s="364" t="s">
        <v>10156</v>
      </c>
      <c r="D2682" s="366" t="s">
        <v>154</v>
      </c>
      <c r="E2682" s="366" t="s">
        <v>10082</v>
      </c>
      <c r="F2682" s="366" t="s">
        <v>10078</v>
      </c>
      <c r="G2682" s="366" t="s">
        <v>10088</v>
      </c>
      <c r="H2682" s="366" t="s">
        <v>11627</v>
      </c>
      <c r="I2682" s="364" t="s">
        <v>14777</v>
      </c>
      <c r="J2682" s="367">
        <v>39955</v>
      </c>
      <c r="K2682" s="364" t="s">
        <v>14803</v>
      </c>
      <c r="L2682" s="364"/>
      <c r="M2682" s="364" t="s">
        <v>10084</v>
      </c>
      <c r="N2682" s="364"/>
      <c r="O2682" s="364" t="s">
        <v>57</v>
      </c>
      <c r="P2682" s="373">
        <v>49700000</v>
      </c>
      <c r="Q2682" s="364" t="s">
        <v>14804</v>
      </c>
      <c r="R2682" s="364" t="s">
        <v>9892</v>
      </c>
      <c r="S2682" s="340">
        <v>3</v>
      </c>
    </row>
    <row r="2683" spans="1:19" ht="31.5" thickBot="1" x14ac:dyDescent="0.4">
      <c r="A2683" s="357">
        <v>2672</v>
      </c>
      <c r="B2683" s="364" t="s">
        <v>10155</v>
      </c>
      <c r="C2683" s="364" t="s">
        <v>10156</v>
      </c>
      <c r="D2683" s="366" t="s">
        <v>161</v>
      </c>
      <c r="E2683" s="366" t="s">
        <v>10082</v>
      </c>
      <c r="F2683" s="366" t="s">
        <v>10078</v>
      </c>
      <c r="G2683" s="366" t="s">
        <v>10088</v>
      </c>
      <c r="H2683" s="366" t="s">
        <v>11318</v>
      </c>
      <c r="I2683" s="364" t="s">
        <v>14786</v>
      </c>
      <c r="J2683" s="367">
        <v>37986</v>
      </c>
      <c r="K2683" s="364" t="s">
        <v>14805</v>
      </c>
      <c r="L2683" s="364"/>
      <c r="M2683" s="364" t="s">
        <v>10084</v>
      </c>
      <c r="N2683" s="364"/>
      <c r="O2683" s="364" t="s">
        <v>57</v>
      </c>
      <c r="P2683" s="373">
        <v>1110808000</v>
      </c>
      <c r="Q2683" s="364" t="s">
        <v>14806</v>
      </c>
      <c r="R2683" s="364" t="s">
        <v>9892</v>
      </c>
      <c r="S2683" s="340">
        <v>3</v>
      </c>
    </row>
    <row r="2684" spans="1:19" ht="31" x14ac:dyDescent="0.35">
      <c r="A2684" s="349">
        <v>2673</v>
      </c>
      <c r="B2684" s="364" t="s">
        <v>10155</v>
      </c>
      <c r="C2684" s="364" t="s">
        <v>10156</v>
      </c>
      <c r="D2684" s="366" t="s">
        <v>169</v>
      </c>
      <c r="E2684" s="366" t="s">
        <v>10082</v>
      </c>
      <c r="F2684" s="366" t="s">
        <v>10078</v>
      </c>
      <c r="G2684" s="366" t="s">
        <v>10088</v>
      </c>
      <c r="H2684" s="366" t="s">
        <v>11324</v>
      </c>
      <c r="I2684" s="364" t="s">
        <v>14786</v>
      </c>
      <c r="J2684" s="367">
        <v>39813</v>
      </c>
      <c r="K2684" s="364" t="s">
        <v>422</v>
      </c>
      <c r="L2684" s="364"/>
      <c r="M2684" s="364" t="s">
        <v>10084</v>
      </c>
      <c r="N2684" s="364"/>
      <c r="O2684" s="364" t="s">
        <v>57</v>
      </c>
      <c r="P2684" s="373">
        <v>84794000</v>
      </c>
      <c r="Q2684" s="364" t="s">
        <v>14807</v>
      </c>
      <c r="R2684" s="364" t="s">
        <v>9892</v>
      </c>
      <c r="S2684" s="340">
        <v>3</v>
      </c>
    </row>
    <row r="2685" spans="1:19" ht="31.5" thickBot="1" x14ac:dyDescent="0.4">
      <c r="A2685" s="357">
        <v>2674</v>
      </c>
      <c r="B2685" s="364" t="s">
        <v>10155</v>
      </c>
      <c r="C2685" s="364" t="s">
        <v>10156</v>
      </c>
      <c r="D2685" s="366" t="s">
        <v>176</v>
      </c>
      <c r="E2685" s="366" t="s">
        <v>10082</v>
      </c>
      <c r="F2685" s="366" t="s">
        <v>10078</v>
      </c>
      <c r="G2685" s="366" t="s">
        <v>10088</v>
      </c>
      <c r="H2685" s="366" t="s">
        <v>11318</v>
      </c>
      <c r="I2685" s="364" t="s">
        <v>14786</v>
      </c>
      <c r="J2685" s="367">
        <v>37986</v>
      </c>
      <c r="K2685" s="364" t="s">
        <v>14805</v>
      </c>
      <c r="L2685" s="364"/>
      <c r="M2685" s="364" t="s">
        <v>10084</v>
      </c>
      <c r="N2685" s="364"/>
      <c r="O2685" s="364" t="s">
        <v>57</v>
      </c>
      <c r="P2685" s="373">
        <v>110138000</v>
      </c>
      <c r="Q2685" s="364" t="s">
        <v>14808</v>
      </c>
      <c r="R2685" s="364" t="s">
        <v>9892</v>
      </c>
      <c r="S2685" s="340">
        <v>3</v>
      </c>
    </row>
    <row r="2686" spans="1:19" ht="31" x14ac:dyDescent="0.35">
      <c r="A2686" s="349">
        <v>2675</v>
      </c>
      <c r="B2686" s="364" t="s">
        <v>10155</v>
      </c>
      <c r="C2686" s="364" t="s">
        <v>10156</v>
      </c>
      <c r="D2686" s="366" t="s">
        <v>1236</v>
      </c>
      <c r="E2686" s="366" t="s">
        <v>10082</v>
      </c>
      <c r="F2686" s="366" t="s">
        <v>10078</v>
      </c>
      <c r="G2686" s="366" t="s">
        <v>10088</v>
      </c>
      <c r="H2686" s="366" t="s">
        <v>11318</v>
      </c>
      <c r="I2686" s="364" t="s">
        <v>14786</v>
      </c>
      <c r="J2686" s="367">
        <v>37986</v>
      </c>
      <c r="K2686" s="364" t="s">
        <v>14805</v>
      </c>
      <c r="L2686" s="364"/>
      <c r="M2686" s="364" t="s">
        <v>10084</v>
      </c>
      <c r="N2686" s="364"/>
      <c r="O2686" s="364" t="s">
        <v>57</v>
      </c>
      <c r="P2686" s="373">
        <v>170363000</v>
      </c>
      <c r="Q2686" s="364" t="s">
        <v>14809</v>
      </c>
      <c r="R2686" s="364" t="s">
        <v>9892</v>
      </c>
      <c r="S2686" s="340">
        <v>3</v>
      </c>
    </row>
    <row r="2687" spans="1:19" ht="31.5" thickBot="1" x14ac:dyDescent="0.4">
      <c r="A2687" s="357">
        <v>2676</v>
      </c>
      <c r="B2687" s="364" t="s">
        <v>10155</v>
      </c>
      <c r="C2687" s="364" t="s">
        <v>10156</v>
      </c>
      <c r="D2687" s="366" t="s">
        <v>181</v>
      </c>
      <c r="E2687" s="366" t="s">
        <v>10673</v>
      </c>
      <c r="F2687" s="366" t="s">
        <v>10078</v>
      </c>
      <c r="G2687" s="366" t="s">
        <v>10088</v>
      </c>
      <c r="H2687" s="366" t="s">
        <v>11407</v>
      </c>
      <c r="I2687" s="364" t="s">
        <v>14786</v>
      </c>
      <c r="J2687" s="367">
        <v>37986</v>
      </c>
      <c r="K2687" s="364" t="s">
        <v>14805</v>
      </c>
      <c r="L2687" s="364"/>
      <c r="M2687" s="364" t="s">
        <v>10084</v>
      </c>
      <c r="N2687" s="364"/>
      <c r="O2687" s="364" t="s">
        <v>57</v>
      </c>
      <c r="P2687" s="373">
        <v>176880000</v>
      </c>
      <c r="Q2687" s="364" t="s">
        <v>14810</v>
      </c>
      <c r="R2687" s="364" t="s">
        <v>9892</v>
      </c>
      <c r="S2687" s="340">
        <v>3</v>
      </c>
    </row>
    <row r="2688" spans="1:19" ht="31" x14ac:dyDescent="0.35">
      <c r="A2688" s="349">
        <v>2677</v>
      </c>
      <c r="B2688" s="364" t="s">
        <v>10155</v>
      </c>
      <c r="C2688" s="364" t="s">
        <v>10156</v>
      </c>
      <c r="D2688" s="366" t="s">
        <v>187</v>
      </c>
      <c r="E2688" s="366" t="s">
        <v>10082</v>
      </c>
      <c r="F2688" s="366" t="s">
        <v>10078</v>
      </c>
      <c r="G2688" s="366" t="s">
        <v>10088</v>
      </c>
      <c r="H2688" s="366" t="s">
        <v>12664</v>
      </c>
      <c r="I2688" s="364" t="s">
        <v>14786</v>
      </c>
      <c r="J2688" s="367">
        <v>39734</v>
      </c>
      <c r="K2688" s="364" t="s">
        <v>14811</v>
      </c>
      <c r="L2688" s="364"/>
      <c r="M2688" s="364" t="s">
        <v>10084</v>
      </c>
      <c r="N2688" s="364"/>
      <c r="O2688" s="364" t="s">
        <v>57</v>
      </c>
      <c r="P2688" s="373">
        <v>283008000</v>
      </c>
      <c r="Q2688" s="364" t="s">
        <v>14812</v>
      </c>
      <c r="R2688" s="364" t="s">
        <v>9892</v>
      </c>
      <c r="S2688" s="340">
        <v>3</v>
      </c>
    </row>
    <row r="2689" spans="1:19" ht="31.5" thickBot="1" x14ac:dyDescent="0.4">
      <c r="A2689" s="357">
        <v>2678</v>
      </c>
      <c r="B2689" s="364" t="s">
        <v>10155</v>
      </c>
      <c r="C2689" s="364" t="s">
        <v>10156</v>
      </c>
      <c r="D2689" s="366" t="s">
        <v>190</v>
      </c>
      <c r="E2689" s="366" t="s">
        <v>10082</v>
      </c>
      <c r="F2689" s="366" t="s">
        <v>10078</v>
      </c>
      <c r="G2689" s="366" t="s">
        <v>10078</v>
      </c>
      <c r="H2689" s="366" t="s">
        <v>12623</v>
      </c>
      <c r="I2689" s="364" t="s">
        <v>14813</v>
      </c>
      <c r="J2689" s="367">
        <v>43228</v>
      </c>
      <c r="K2689" s="364" t="s">
        <v>14814</v>
      </c>
      <c r="L2689" s="364"/>
      <c r="M2689" s="364" t="s">
        <v>10084</v>
      </c>
      <c r="N2689" s="364"/>
      <c r="O2689" s="364" t="s">
        <v>8782</v>
      </c>
      <c r="P2689" s="373">
        <v>569520000</v>
      </c>
      <c r="Q2689" s="364" t="s">
        <v>14815</v>
      </c>
      <c r="R2689" s="364" t="s">
        <v>9892</v>
      </c>
      <c r="S2689" s="340">
        <v>3</v>
      </c>
    </row>
    <row r="2690" spans="1:19" ht="31" x14ac:dyDescent="0.35">
      <c r="A2690" s="349">
        <v>2679</v>
      </c>
      <c r="B2690" s="364" t="s">
        <v>10155</v>
      </c>
      <c r="C2690" s="364" t="s">
        <v>10156</v>
      </c>
      <c r="D2690" s="366" t="s">
        <v>192</v>
      </c>
      <c r="E2690" s="366" t="s">
        <v>10082</v>
      </c>
      <c r="F2690" s="366" t="s">
        <v>10078</v>
      </c>
      <c r="G2690" s="366" t="s">
        <v>10088</v>
      </c>
      <c r="H2690" s="366" t="s">
        <v>11324</v>
      </c>
      <c r="I2690" s="364" t="s">
        <v>14786</v>
      </c>
      <c r="J2690" s="367">
        <v>39752</v>
      </c>
      <c r="K2690" s="364" t="s">
        <v>14816</v>
      </c>
      <c r="L2690" s="364"/>
      <c r="M2690" s="364" t="s">
        <v>10084</v>
      </c>
      <c r="N2690" s="364"/>
      <c r="O2690" s="364" t="s">
        <v>57</v>
      </c>
      <c r="P2690" s="373">
        <v>29700000</v>
      </c>
      <c r="Q2690" s="364" t="s">
        <v>14817</v>
      </c>
      <c r="R2690" s="364" t="s">
        <v>9892</v>
      </c>
      <c r="S2690" s="340">
        <v>3</v>
      </c>
    </row>
    <row r="2691" spans="1:19" ht="31.5" thickBot="1" x14ac:dyDescent="0.4">
      <c r="A2691" s="357">
        <v>2680</v>
      </c>
      <c r="B2691" s="364" t="s">
        <v>10155</v>
      </c>
      <c r="C2691" s="364" t="s">
        <v>10156</v>
      </c>
      <c r="D2691" s="366" t="s">
        <v>194</v>
      </c>
      <c r="E2691" s="366" t="s">
        <v>10082</v>
      </c>
      <c r="F2691" s="366" t="s">
        <v>10078</v>
      </c>
      <c r="G2691" s="366" t="s">
        <v>10088</v>
      </c>
      <c r="H2691" s="366" t="s">
        <v>11384</v>
      </c>
      <c r="I2691" s="364" t="s">
        <v>14777</v>
      </c>
      <c r="J2691" s="367">
        <v>39946</v>
      </c>
      <c r="K2691" s="364" t="s">
        <v>14818</v>
      </c>
      <c r="L2691" s="364"/>
      <c r="M2691" s="364" t="s">
        <v>10084</v>
      </c>
      <c r="N2691" s="364"/>
      <c r="O2691" s="364" t="s">
        <v>57</v>
      </c>
      <c r="P2691" s="373">
        <v>222700000</v>
      </c>
      <c r="Q2691" s="364" t="s">
        <v>14819</v>
      </c>
      <c r="R2691" s="364" t="s">
        <v>9892</v>
      </c>
      <c r="S2691" s="340">
        <v>3</v>
      </c>
    </row>
    <row r="2692" spans="1:19" ht="31" x14ac:dyDescent="0.35">
      <c r="A2692" s="349">
        <v>2681</v>
      </c>
      <c r="B2692" s="364" t="s">
        <v>10155</v>
      </c>
      <c r="C2692" s="364" t="s">
        <v>10156</v>
      </c>
      <c r="D2692" s="366" t="s">
        <v>195</v>
      </c>
      <c r="E2692" s="366" t="s">
        <v>10082</v>
      </c>
      <c r="F2692" s="366" t="s">
        <v>10078</v>
      </c>
      <c r="G2692" s="366" t="s">
        <v>10088</v>
      </c>
      <c r="H2692" s="366" t="s">
        <v>11384</v>
      </c>
      <c r="I2692" s="364" t="s">
        <v>14786</v>
      </c>
      <c r="J2692" s="367">
        <v>40178</v>
      </c>
      <c r="K2692" s="364" t="s">
        <v>14820</v>
      </c>
      <c r="L2692" s="364"/>
      <c r="M2692" s="364" t="s">
        <v>10084</v>
      </c>
      <c r="N2692" s="364"/>
      <c r="O2692" s="364" t="s">
        <v>57</v>
      </c>
      <c r="P2692" s="373">
        <v>206350000</v>
      </c>
      <c r="Q2692" s="364" t="s">
        <v>14821</v>
      </c>
      <c r="R2692" s="364" t="s">
        <v>9892</v>
      </c>
      <c r="S2692" s="340">
        <v>3</v>
      </c>
    </row>
    <row r="2693" spans="1:19" ht="31.5" thickBot="1" x14ac:dyDescent="0.4">
      <c r="A2693" s="357">
        <v>2682</v>
      </c>
      <c r="B2693" s="364" t="s">
        <v>10155</v>
      </c>
      <c r="C2693" s="364" t="s">
        <v>10156</v>
      </c>
      <c r="D2693" s="366" t="s">
        <v>199</v>
      </c>
      <c r="E2693" s="366" t="s">
        <v>10082</v>
      </c>
      <c r="F2693" s="366" t="s">
        <v>10078</v>
      </c>
      <c r="G2693" s="366" t="s">
        <v>10078</v>
      </c>
      <c r="H2693" s="366" t="s">
        <v>11384</v>
      </c>
      <c r="I2693" s="364" t="s">
        <v>14777</v>
      </c>
      <c r="J2693" s="367">
        <v>39946</v>
      </c>
      <c r="K2693" s="364" t="s">
        <v>14822</v>
      </c>
      <c r="L2693" s="364"/>
      <c r="M2693" s="364" t="s">
        <v>10084</v>
      </c>
      <c r="N2693" s="364"/>
      <c r="O2693" s="364" t="s">
        <v>57</v>
      </c>
      <c r="P2693" s="373">
        <v>206500000</v>
      </c>
      <c r="Q2693" s="364" t="s">
        <v>14823</v>
      </c>
      <c r="R2693" s="364" t="s">
        <v>9892</v>
      </c>
      <c r="S2693" s="340">
        <v>3</v>
      </c>
    </row>
    <row r="2694" spans="1:19" ht="31" x14ac:dyDescent="0.35">
      <c r="A2694" s="349">
        <v>2683</v>
      </c>
      <c r="B2694" s="364" t="s">
        <v>10155</v>
      </c>
      <c r="C2694" s="364" t="s">
        <v>10156</v>
      </c>
      <c r="D2694" s="366" t="s">
        <v>200</v>
      </c>
      <c r="E2694" s="366" t="s">
        <v>10082</v>
      </c>
      <c r="F2694" s="366" t="s">
        <v>10078</v>
      </c>
      <c r="G2694" s="366" t="s">
        <v>10088</v>
      </c>
      <c r="H2694" s="366" t="s">
        <v>13166</v>
      </c>
      <c r="I2694" s="364" t="s">
        <v>14777</v>
      </c>
      <c r="J2694" s="367">
        <v>40376</v>
      </c>
      <c r="K2694" s="364" t="s">
        <v>14824</v>
      </c>
      <c r="L2694" s="364"/>
      <c r="M2694" s="364" t="s">
        <v>10084</v>
      </c>
      <c r="N2694" s="364"/>
      <c r="O2694" s="364" t="s">
        <v>57</v>
      </c>
      <c r="P2694" s="373">
        <v>148229000</v>
      </c>
      <c r="Q2694" s="364" t="s">
        <v>14825</v>
      </c>
      <c r="R2694" s="364" t="s">
        <v>9892</v>
      </c>
      <c r="S2694" s="340">
        <v>3</v>
      </c>
    </row>
    <row r="2695" spans="1:19" ht="31.5" thickBot="1" x14ac:dyDescent="0.4">
      <c r="A2695" s="357">
        <v>2684</v>
      </c>
      <c r="B2695" s="364" t="s">
        <v>10155</v>
      </c>
      <c r="C2695" s="364" t="s">
        <v>10156</v>
      </c>
      <c r="D2695" s="366" t="s">
        <v>209</v>
      </c>
      <c r="E2695" s="366" t="s">
        <v>10082</v>
      </c>
      <c r="F2695" s="366" t="s">
        <v>10078</v>
      </c>
      <c r="G2695" s="366" t="s">
        <v>10078</v>
      </c>
      <c r="H2695" s="366" t="s">
        <v>11409</v>
      </c>
      <c r="I2695" s="364" t="s">
        <v>14009</v>
      </c>
      <c r="J2695" s="367">
        <v>43228</v>
      </c>
      <c r="K2695" s="364" t="s">
        <v>14814</v>
      </c>
      <c r="L2695" s="364"/>
      <c r="M2695" s="364" t="s">
        <v>10084</v>
      </c>
      <c r="N2695" s="364"/>
      <c r="O2695" s="364" t="s">
        <v>8782</v>
      </c>
      <c r="P2695" s="373">
        <v>553228500</v>
      </c>
      <c r="Q2695" s="364" t="s">
        <v>14826</v>
      </c>
      <c r="R2695" s="364" t="s">
        <v>9892</v>
      </c>
      <c r="S2695" s="340">
        <v>3</v>
      </c>
    </row>
    <row r="2696" spans="1:19" ht="31" x14ac:dyDescent="0.35">
      <c r="A2696" s="349">
        <v>2685</v>
      </c>
      <c r="B2696" s="364" t="s">
        <v>10155</v>
      </c>
      <c r="C2696" s="364" t="s">
        <v>10156</v>
      </c>
      <c r="D2696" s="366" t="s">
        <v>215</v>
      </c>
      <c r="E2696" s="366" t="s">
        <v>10673</v>
      </c>
      <c r="F2696" s="366" t="s">
        <v>10078</v>
      </c>
      <c r="G2696" s="366" t="s">
        <v>10078</v>
      </c>
      <c r="H2696" s="366" t="s">
        <v>13082</v>
      </c>
      <c r="I2696" s="364" t="s">
        <v>14009</v>
      </c>
      <c r="J2696" s="367">
        <v>43228</v>
      </c>
      <c r="K2696" s="364" t="s">
        <v>14827</v>
      </c>
      <c r="L2696" s="364"/>
      <c r="M2696" s="364" t="s">
        <v>10084</v>
      </c>
      <c r="N2696" s="364"/>
      <c r="O2696" s="364" t="s">
        <v>8782</v>
      </c>
      <c r="P2696" s="373">
        <v>430513000</v>
      </c>
      <c r="Q2696" s="364" t="s">
        <v>14828</v>
      </c>
      <c r="R2696" s="364" t="s">
        <v>9892</v>
      </c>
      <c r="S2696" s="340">
        <v>3</v>
      </c>
    </row>
    <row r="2697" spans="1:19" ht="62.5" thickBot="1" x14ac:dyDescent="0.4">
      <c r="A2697" s="357">
        <v>2686</v>
      </c>
      <c r="B2697" s="364" t="s">
        <v>10155</v>
      </c>
      <c r="C2697" s="364" t="s">
        <v>10156</v>
      </c>
      <c r="D2697" s="366" t="s">
        <v>229</v>
      </c>
      <c r="E2697" s="366" t="s">
        <v>10082</v>
      </c>
      <c r="F2697" s="366" t="s">
        <v>10078</v>
      </c>
      <c r="G2697" s="366" t="s">
        <v>10088</v>
      </c>
      <c r="H2697" s="366" t="s">
        <v>12976</v>
      </c>
      <c r="I2697" s="364" t="s">
        <v>14023</v>
      </c>
      <c r="J2697" s="367">
        <v>44732</v>
      </c>
      <c r="K2697" s="364" t="s">
        <v>14829</v>
      </c>
      <c r="L2697" s="364"/>
      <c r="M2697" s="364" t="s">
        <v>10084</v>
      </c>
      <c r="N2697" s="364"/>
      <c r="O2697" s="364" t="s">
        <v>44</v>
      </c>
      <c r="P2697" s="373">
        <v>1105028950</v>
      </c>
      <c r="Q2697" s="364" t="s">
        <v>14830</v>
      </c>
      <c r="R2697" s="364" t="s">
        <v>9892</v>
      </c>
      <c r="S2697" s="340">
        <v>3</v>
      </c>
    </row>
    <row r="2698" spans="1:19" ht="77.5" x14ac:dyDescent="0.35">
      <c r="A2698" s="349">
        <v>2687</v>
      </c>
      <c r="B2698" s="364" t="s">
        <v>10155</v>
      </c>
      <c r="C2698" s="364" t="s">
        <v>10156</v>
      </c>
      <c r="D2698" s="366" t="s">
        <v>238</v>
      </c>
      <c r="E2698" s="366" t="s">
        <v>10082</v>
      </c>
      <c r="F2698" s="366" t="s">
        <v>10078</v>
      </c>
      <c r="G2698" s="366" t="s">
        <v>10088</v>
      </c>
      <c r="H2698" s="366" t="s">
        <v>12976</v>
      </c>
      <c r="I2698" s="364" t="s">
        <v>9897</v>
      </c>
      <c r="J2698" s="367">
        <v>44732</v>
      </c>
      <c r="K2698" s="364" t="s">
        <v>14831</v>
      </c>
      <c r="L2698" s="364"/>
      <c r="M2698" s="364" t="s">
        <v>10084</v>
      </c>
      <c r="N2698" s="364"/>
      <c r="O2698" s="364" t="s">
        <v>44</v>
      </c>
      <c r="P2698" s="373">
        <v>1104662350</v>
      </c>
      <c r="Q2698" s="364" t="s">
        <v>14832</v>
      </c>
      <c r="R2698" s="364" t="s">
        <v>9892</v>
      </c>
      <c r="S2698" s="340">
        <v>3</v>
      </c>
    </row>
    <row r="2699" spans="1:19" ht="31.5" thickBot="1" x14ac:dyDescent="0.4">
      <c r="A2699" s="357">
        <v>2688</v>
      </c>
      <c r="B2699" s="364" t="s">
        <v>10155</v>
      </c>
      <c r="C2699" s="364" t="s">
        <v>10156</v>
      </c>
      <c r="D2699" s="366" t="s">
        <v>253</v>
      </c>
      <c r="E2699" s="366" t="s">
        <v>10082</v>
      </c>
      <c r="F2699" s="366" t="s">
        <v>10078</v>
      </c>
      <c r="G2699" s="366" t="s">
        <v>10088</v>
      </c>
      <c r="H2699" s="366" t="s">
        <v>231</v>
      </c>
      <c r="I2699" s="364" t="s">
        <v>14023</v>
      </c>
      <c r="J2699" s="367"/>
      <c r="K2699" s="364" t="s">
        <v>14833</v>
      </c>
      <c r="L2699" s="364"/>
      <c r="M2699" s="364"/>
      <c r="N2699" s="364"/>
      <c r="O2699" s="364" t="s">
        <v>44</v>
      </c>
      <c r="P2699" s="373">
        <v>1343977585</v>
      </c>
      <c r="Q2699" s="364" t="s">
        <v>14834</v>
      </c>
      <c r="R2699" s="364" t="s">
        <v>9892</v>
      </c>
      <c r="S2699" s="340">
        <v>3</v>
      </c>
    </row>
    <row r="2700" spans="1:19" ht="31" x14ac:dyDescent="0.35">
      <c r="A2700" s="349">
        <v>2689</v>
      </c>
      <c r="B2700" s="364" t="s">
        <v>10155</v>
      </c>
      <c r="C2700" s="364" t="s">
        <v>10156</v>
      </c>
      <c r="D2700" s="366" t="s">
        <v>259</v>
      </c>
      <c r="E2700" s="366" t="s">
        <v>10082</v>
      </c>
      <c r="F2700" s="366" t="s">
        <v>10078</v>
      </c>
      <c r="G2700" s="366" t="s">
        <v>10088</v>
      </c>
      <c r="H2700" s="366" t="s">
        <v>4138</v>
      </c>
      <c r="I2700" s="364" t="s">
        <v>14009</v>
      </c>
      <c r="J2700" s="367"/>
      <c r="K2700" s="364" t="s">
        <v>14835</v>
      </c>
      <c r="L2700" s="364"/>
      <c r="M2700" s="364"/>
      <c r="N2700" s="364"/>
      <c r="O2700" s="364" t="s">
        <v>44</v>
      </c>
      <c r="P2700" s="373">
        <v>954677379.00000012</v>
      </c>
      <c r="Q2700" s="364" t="s">
        <v>14836</v>
      </c>
      <c r="R2700" s="364" t="s">
        <v>9892</v>
      </c>
      <c r="S2700" s="340">
        <v>3</v>
      </c>
    </row>
    <row r="2701" spans="1:19" ht="31.5" thickBot="1" x14ac:dyDescent="0.4">
      <c r="A2701" s="357">
        <v>2690</v>
      </c>
      <c r="B2701" s="364" t="s">
        <v>10155</v>
      </c>
      <c r="C2701" s="364" t="s">
        <v>10156</v>
      </c>
      <c r="D2701" s="366" t="s">
        <v>280</v>
      </c>
      <c r="E2701" s="366" t="s">
        <v>10082</v>
      </c>
      <c r="F2701" s="366" t="s">
        <v>10078</v>
      </c>
      <c r="G2701" s="366" t="s">
        <v>10088</v>
      </c>
      <c r="H2701" s="366" t="s">
        <v>14837</v>
      </c>
      <c r="I2701" s="364" t="s">
        <v>14023</v>
      </c>
      <c r="J2701" s="367"/>
      <c r="K2701" s="364" t="s">
        <v>14838</v>
      </c>
      <c r="L2701" s="364"/>
      <c r="M2701" s="364"/>
      <c r="N2701" s="364"/>
      <c r="O2701" s="364" t="s">
        <v>44</v>
      </c>
      <c r="P2701" s="373">
        <v>1847615120</v>
      </c>
      <c r="Q2701" s="364" t="s">
        <v>14839</v>
      </c>
      <c r="R2701" s="364" t="s">
        <v>9892</v>
      </c>
      <c r="S2701" s="340">
        <v>3</v>
      </c>
    </row>
    <row r="2702" spans="1:19" ht="31" x14ac:dyDescent="0.35">
      <c r="A2702" s="349">
        <v>2691</v>
      </c>
      <c r="B2702" s="364" t="s">
        <v>10155</v>
      </c>
      <c r="C2702" s="364" t="s">
        <v>10156</v>
      </c>
      <c r="D2702" s="366" t="s">
        <v>286</v>
      </c>
      <c r="E2702" s="366" t="s">
        <v>10082</v>
      </c>
      <c r="F2702" s="366" t="s">
        <v>10078</v>
      </c>
      <c r="G2702" s="366" t="s">
        <v>10088</v>
      </c>
      <c r="H2702" s="366" t="s">
        <v>12235</v>
      </c>
      <c r="I2702" s="364" t="s">
        <v>14840</v>
      </c>
      <c r="J2702" s="367"/>
      <c r="K2702" s="364" t="s">
        <v>14841</v>
      </c>
      <c r="L2702" s="364"/>
      <c r="M2702" s="364"/>
      <c r="N2702" s="364"/>
      <c r="O2702" s="364" t="s">
        <v>44</v>
      </c>
      <c r="P2702" s="373">
        <v>2262872853.9000001</v>
      </c>
      <c r="Q2702" s="364" t="s">
        <v>14842</v>
      </c>
      <c r="R2702" s="364" t="s">
        <v>9892</v>
      </c>
      <c r="S2702" s="340">
        <v>3</v>
      </c>
    </row>
    <row r="2703" spans="1:19" ht="31.5" thickBot="1" x14ac:dyDescent="0.4">
      <c r="A2703" s="357">
        <v>2692</v>
      </c>
      <c r="B2703" s="364" t="s">
        <v>10155</v>
      </c>
      <c r="C2703" s="364" t="s">
        <v>10156</v>
      </c>
      <c r="D2703" s="366" t="s">
        <v>291</v>
      </c>
      <c r="E2703" s="366" t="s">
        <v>10082</v>
      </c>
      <c r="F2703" s="366" t="s">
        <v>10078</v>
      </c>
      <c r="G2703" s="366" t="s">
        <v>10088</v>
      </c>
      <c r="H2703" s="366" t="s">
        <v>12572</v>
      </c>
      <c r="I2703" s="364" t="s">
        <v>14023</v>
      </c>
      <c r="J2703" s="367"/>
      <c r="K2703" s="364" t="s">
        <v>14843</v>
      </c>
      <c r="L2703" s="364"/>
      <c r="M2703" s="364"/>
      <c r="N2703" s="364"/>
      <c r="O2703" s="364" t="s">
        <v>44</v>
      </c>
      <c r="P2703" s="373">
        <v>2439666040.3000002</v>
      </c>
      <c r="Q2703" s="364" t="s">
        <v>14844</v>
      </c>
      <c r="R2703" s="364" t="s">
        <v>9892</v>
      </c>
      <c r="S2703" s="340">
        <v>3</v>
      </c>
    </row>
    <row r="2704" spans="1:19" ht="31" x14ac:dyDescent="0.35">
      <c r="A2704" s="349">
        <v>2693</v>
      </c>
      <c r="B2704" s="364" t="s">
        <v>10301</v>
      </c>
      <c r="C2704" s="364" t="s">
        <v>10302</v>
      </c>
      <c r="D2704" s="366" t="s">
        <v>51</v>
      </c>
      <c r="E2704" s="366" t="s">
        <v>10082</v>
      </c>
      <c r="F2704" s="366" t="s">
        <v>10078</v>
      </c>
      <c r="G2704" s="366" t="s">
        <v>10088</v>
      </c>
      <c r="H2704" s="366" t="s">
        <v>12226</v>
      </c>
      <c r="I2704" s="364" t="s">
        <v>14777</v>
      </c>
      <c r="J2704" s="367">
        <v>39972</v>
      </c>
      <c r="K2704" s="364" t="s">
        <v>14845</v>
      </c>
      <c r="L2704" s="364"/>
      <c r="M2704" s="364" t="s">
        <v>10084</v>
      </c>
      <c r="N2704" s="364"/>
      <c r="O2704" s="364" t="s">
        <v>57</v>
      </c>
      <c r="P2704" s="373">
        <v>796300000</v>
      </c>
      <c r="Q2704" s="364" t="s">
        <v>14846</v>
      </c>
      <c r="R2704" s="364" t="s">
        <v>9892</v>
      </c>
      <c r="S2704" s="340">
        <v>3</v>
      </c>
    </row>
    <row r="2705" spans="1:19" ht="31.5" thickBot="1" x14ac:dyDescent="0.4">
      <c r="A2705" s="357">
        <v>2694</v>
      </c>
      <c r="B2705" s="364" t="s">
        <v>10535</v>
      </c>
      <c r="C2705" s="364" t="s">
        <v>10536</v>
      </c>
      <c r="D2705" s="366" t="s">
        <v>51</v>
      </c>
      <c r="E2705" s="366" t="s">
        <v>10082</v>
      </c>
      <c r="F2705" s="366" t="s">
        <v>10078</v>
      </c>
      <c r="G2705" s="366" t="s">
        <v>10088</v>
      </c>
      <c r="H2705" s="366" t="s">
        <v>11641</v>
      </c>
      <c r="I2705" s="364" t="s">
        <v>14777</v>
      </c>
      <c r="J2705" s="367">
        <v>39955</v>
      </c>
      <c r="K2705" s="364" t="s">
        <v>14847</v>
      </c>
      <c r="L2705" s="364"/>
      <c r="M2705" s="364" t="s">
        <v>10084</v>
      </c>
      <c r="N2705" s="364"/>
      <c r="O2705" s="364" t="s">
        <v>57</v>
      </c>
      <c r="P2705" s="373">
        <v>99600000</v>
      </c>
      <c r="Q2705" s="364" t="s">
        <v>14848</v>
      </c>
      <c r="R2705" s="364" t="s">
        <v>9892</v>
      </c>
      <c r="S2705" s="340">
        <v>3</v>
      </c>
    </row>
    <row r="2706" spans="1:19" ht="31" x14ac:dyDescent="0.35">
      <c r="A2706" s="349">
        <v>2695</v>
      </c>
      <c r="B2706" s="364" t="s">
        <v>10900</v>
      </c>
      <c r="C2706" s="364" t="s">
        <v>10901</v>
      </c>
      <c r="D2706" s="366" t="s">
        <v>51</v>
      </c>
      <c r="E2706" s="366" t="s">
        <v>10673</v>
      </c>
      <c r="F2706" s="366" t="s">
        <v>10078</v>
      </c>
      <c r="G2706" s="366" t="s">
        <v>10088</v>
      </c>
      <c r="H2706" s="366" t="s">
        <v>14849</v>
      </c>
      <c r="I2706" s="364" t="s">
        <v>14850</v>
      </c>
      <c r="J2706" s="367"/>
      <c r="K2706" s="364"/>
      <c r="L2706" s="364"/>
      <c r="M2706" s="364" t="s">
        <v>10084</v>
      </c>
      <c r="N2706" s="364"/>
      <c r="O2706" s="364" t="s">
        <v>57</v>
      </c>
      <c r="P2706" s="373">
        <v>802179000</v>
      </c>
      <c r="Q2706" s="364" t="s">
        <v>14851</v>
      </c>
      <c r="R2706" s="364" t="s">
        <v>9892</v>
      </c>
      <c r="S2706" s="340">
        <v>3</v>
      </c>
    </row>
    <row r="2707" spans="1:19" ht="31.5" thickBot="1" x14ac:dyDescent="0.4">
      <c r="A2707" s="357">
        <v>2696</v>
      </c>
      <c r="B2707" s="364" t="s">
        <v>10900</v>
      </c>
      <c r="C2707" s="364" t="s">
        <v>10901</v>
      </c>
      <c r="D2707" s="366" t="s">
        <v>59</v>
      </c>
      <c r="E2707" s="366" t="s">
        <v>10673</v>
      </c>
      <c r="F2707" s="366" t="s">
        <v>10078</v>
      </c>
      <c r="G2707" s="366" t="s">
        <v>10078</v>
      </c>
      <c r="H2707" s="366" t="s">
        <v>11409</v>
      </c>
      <c r="I2707" s="364" t="s">
        <v>14813</v>
      </c>
      <c r="J2707" s="367">
        <v>43228</v>
      </c>
      <c r="K2707" s="364" t="s">
        <v>14814</v>
      </c>
      <c r="L2707" s="364"/>
      <c r="M2707" s="364" t="s">
        <v>10084</v>
      </c>
      <c r="N2707" s="364"/>
      <c r="O2707" s="364" t="s">
        <v>8782</v>
      </c>
      <c r="P2707" s="373">
        <v>349000000</v>
      </c>
      <c r="Q2707" s="364" t="s">
        <v>14852</v>
      </c>
      <c r="R2707" s="364" t="s">
        <v>9892</v>
      </c>
      <c r="S2707" s="340">
        <v>3</v>
      </c>
    </row>
    <row r="2708" spans="1:19" ht="31" x14ac:dyDescent="0.35">
      <c r="A2708" s="349">
        <v>2697</v>
      </c>
      <c r="B2708" s="364" t="s">
        <v>11617</v>
      </c>
      <c r="C2708" s="364" t="s">
        <v>11618</v>
      </c>
      <c r="D2708" s="366" t="s">
        <v>51</v>
      </c>
      <c r="E2708" s="366" t="s">
        <v>10082</v>
      </c>
      <c r="F2708" s="366" t="s">
        <v>10078</v>
      </c>
      <c r="G2708" s="366" t="s">
        <v>10088</v>
      </c>
      <c r="H2708" s="366" t="s">
        <v>11409</v>
      </c>
      <c r="I2708" s="364" t="s">
        <v>14786</v>
      </c>
      <c r="J2708" s="367">
        <v>39564</v>
      </c>
      <c r="K2708" s="364" t="s">
        <v>14853</v>
      </c>
      <c r="L2708" s="364"/>
      <c r="M2708" s="364" t="s">
        <v>10084</v>
      </c>
      <c r="N2708" s="364"/>
      <c r="O2708" s="364" t="s">
        <v>57</v>
      </c>
      <c r="P2708" s="373">
        <v>651806475</v>
      </c>
      <c r="Q2708" s="364" t="s">
        <v>14854</v>
      </c>
      <c r="R2708" s="364" t="s">
        <v>9892</v>
      </c>
      <c r="S2708" s="340">
        <v>3</v>
      </c>
    </row>
    <row r="2709" spans="1:19" ht="31.5" thickBot="1" x14ac:dyDescent="0.4">
      <c r="A2709" s="357">
        <v>2698</v>
      </c>
      <c r="B2709" s="364" t="s">
        <v>11617</v>
      </c>
      <c r="C2709" s="364" t="s">
        <v>11618</v>
      </c>
      <c r="D2709" s="366" t="s">
        <v>59</v>
      </c>
      <c r="E2709" s="366" t="s">
        <v>10082</v>
      </c>
      <c r="F2709" s="366" t="s">
        <v>10078</v>
      </c>
      <c r="G2709" s="366" t="s">
        <v>10088</v>
      </c>
      <c r="H2709" s="366" t="s">
        <v>14855</v>
      </c>
      <c r="I2709" s="364" t="s">
        <v>14786</v>
      </c>
      <c r="J2709" s="367">
        <v>39204</v>
      </c>
      <c r="K2709" s="364" t="s">
        <v>14856</v>
      </c>
      <c r="L2709" s="364"/>
      <c r="M2709" s="364" t="s">
        <v>10084</v>
      </c>
      <c r="N2709" s="364"/>
      <c r="O2709" s="364" t="s">
        <v>57</v>
      </c>
      <c r="P2709" s="373">
        <v>1757651186</v>
      </c>
      <c r="Q2709" s="364" t="s">
        <v>14857</v>
      </c>
      <c r="R2709" s="364" t="s">
        <v>9892</v>
      </c>
      <c r="S2709" s="340">
        <v>3</v>
      </c>
    </row>
    <row r="2710" spans="1:19" ht="31" x14ac:dyDescent="0.35">
      <c r="A2710" s="349">
        <v>2699</v>
      </c>
      <c r="B2710" s="364" t="s">
        <v>11617</v>
      </c>
      <c r="C2710" s="364" t="s">
        <v>11618</v>
      </c>
      <c r="D2710" s="366" t="s">
        <v>97</v>
      </c>
      <c r="E2710" s="366" t="s">
        <v>10082</v>
      </c>
      <c r="F2710" s="366" t="s">
        <v>10078</v>
      </c>
      <c r="G2710" s="366" t="s">
        <v>10078</v>
      </c>
      <c r="H2710" s="366" t="s">
        <v>13324</v>
      </c>
      <c r="I2710" s="364" t="s">
        <v>14858</v>
      </c>
      <c r="J2710" s="367">
        <v>41893</v>
      </c>
      <c r="K2710" s="364" t="s">
        <v>14859</v>
      </c>
      <c r="L2710" s="364"/>
      <c r="M2710" s="364" t="s">
        <v>10084</v>
      </c>
      <c r="N2710" s="364"/>
      <c r="O2710" s="364" t="s">
        <v>57</v>
      </c>
      <c r="P2710" s="373">
        <v>802040000</v>
      </c>
      <c r="Q2710" s="364" t="s">
        <v>14860</v>
      </c>
      <c r="R2710" s="364" t="s">
        <v>9892</v>
      </c>
      <c r="S2710" s="340">
        <v>3</v>
      </c>
    </row>
    <row r="2711" spans="1:19" ht="31.5" thickBot="1" x14ac:dyDescent="0.4">
      <c r="A2711" s="357">
        <v>2700</v>
      </c>
      <c r="B2711" s="364" t="s">
        <v>11617</v>
      </c>
      <c r="C2711" s="364" t="s">
        <v>11618</v>
      </c>
      <c r="D2711" s="366" t="s">
        <v>101</v>
      </c>
      <c r="E2711" s="366" t="s">
        <v>10082</v>
      </c>
      <c r="F2711" s="366" t="s">
        <v>10078</v>
      </c>
      <c r="G2711" s="366" t="s">
        <v>10088</v>
      </c>
      <c r="H2711" s="366" t="s">
        <v>12116</v>
      </c>
      <c r="I2711" s="364" t="s">
        <v>14777</v>
      </c>
      <c r="J2711" s="367">
        <v>42321</v>
      </c>
      <c r="K2711" s="364" t="s">
        <v>14861</v>
      </c>
      <c r="L2711" s="364"/>
      <c r="M2711" s="364" t="s">
        <v>10084</v>
      </c>
      <c r="N2711" s="364"/>
      <c r="O2711" s="364" t="s">
        <v>57</v>
      </c>
      <c r="P2711" s="373">
        <v>503500000</v>
      </c>
      <c r="Q2711" s="364" t="s">
        <v>14862</v>
      </c>
      <c r="R2711" s="364" t="s">
        <v>9892</v>
      </c>
      <c r="S2711" s="340">
        <v>3</v>
      </c>
    </row>
    <row r="2712" spans="1:19" ht="31" x14ac:dyDescent="0.35">
      <c r="A2712" s="349">
        <v>2701</v>
      </c>
      <c r="B2712" s="364" t="s">
        <v>11617</v>
      </c>
      <c r="C2712" s="364" t="s">
        <v>11618</v>
      </c>
      <c r="D2712" s="366" t="s">
        <v>107</v>
      </c>
      <c r="E2712" s="366" t="s">
        <v>10082</v>
      </c>
      <c r="F2712" s="366" t="s">
        <v>10078</v>
      </c>
      <c r="G2712" s="366" t="s">
        <v>10088</v>
      </c>
      <c r="H2712" s="366" t="s">
        <v>13324</v>
      </c>
      <c r="I2712" s="364" t="s">
        <v>14777</v>
      </c>
      <c r="J2712" s="367">
        <v>42214</v>
      </c>
      <c r="K2712" s="364" t="s">
        <v>14863</v>
      </c>
      <c r="L2712" s="364"/>
      <c r="M2712" s="364" t="s">
        <v>10084</v>
      </c>
      <c r="N2712" s="364"/>
      <c r="O2712" s="364" t="s">
        <v>57</v>
      </c>
      <c r="P2712" s="373">
        <v>1113886549</v>
      </c>
      <c r="Q2712" s="364" t="s">
        <v>14864</v>
      </c>
      <c r="R2712" s="364" t="s">
        <v>9892</v>
      </c>
      <c r="S2712" s="340">
        <v>3</v>
      </c>
    </row>
    <row r="2713" spans="1:19" ht="31.5" thickBot="1" x14ac:dyDescent="0.4">
      <c r="A2713" s="357">
        <v>2702</v>
      </c>
      <c r="B2713" s="364" t="s">
        <v>10687</v>
      </c>
      <c r="C2713" s="364" t="s">
        <v>10688</v>
      </c>
      <c r="D2713" s="366" t="s">
        <v>51</v>
      </c>
      <c r="E2713" s="366" t="s">
        <v>10082</v>
      </c>
      <c r="F2713" s="366" t="s">
        <v>10078</v>
      </c>
      <c r="G2713" s="366" t="s">
        <v>10088</v>
      </c>
      <c r="H2713" s="366" t="s">
        <v>11297</v>
      </c>
      <c r="I2713" s="364" t="s">
        <v>14777</v>
      </c>
      <c r="J2713" s="367">
        <v>39946</v>
      </c>
      <c r="K2713" s="364" t="s">
        <v>14865</v>
      </c>
      <c r="L2713" s="364"/>
      <c r="M2713" s="364" t="s">
        <v>10084</v>
      </c>
      <c r="N2713" s="364"/>
      <c r="O2713" s="364" t="s">
        <v>57</v>
      </c>
      <c r="P2713" s="373">
        <v>133500000</v>
      </c>
      <c r="Q2713" s="364" t="s">
        <v>13713</v>
      </c>
      <c r="R2713" s="364" t="s">
        <v>9892</v>
      </c>
      <c r="S2713" s="340">
        <v>3</v>
      </c>
    </row>
    <row r="2714" spans="1:19" ht="31" x14ac:dyDescent="0.35">
      <c r="A2714" s="349">
        <v>2703</v>
      </c>
      <c r="B2714" s="364" t="s">
        <v>10687</v>
      </c>
      <c r="C2714" s="364" t="s">
        <v>10688</v>
      </c>
      <c r="D2714" s="366" t="s">
        <v>59</v>
      </c>
      <c r="E2714" s="366" t="s">
        <v>10082</v>
      </c>
      <c r="F2714" s="366" t="s">
        <v>10078</v>
      </c>
      <c r="G2714" s="366" t="s">
        <v>10088</v>
      </c>
      <c r="H2714" s="366" t="s">
        <v>11297</v>
      </c>
      <c r="I2714" s="364" t="s">
        <v>14866</v>
      </c>
      <c r="J2714" s="367">
        <v>40905</v>
      </c>
      <c r="K2714" s="364" t="s">
        <v>14867</v>
      </c>
      <c r="L2714" s="364"/>
      <c r="M2714" s="364" t="s">
        <v>10084</v>
      </c>
      <c r="N2714" s="364"/>
      <c r="O2714" s="364" t="s">
        <v>57</v>
      </c>
      <c r="P2714" s="373">
        <v>160960000</v>
      </c>
      <c r="Q2714" s="364" t="s">
        <v>12692</v>
      </c>
      <c r="R2714" s="364" t="s">
        <v>9892</v>
      </c>
      <c r="S2714" s="340">
        <v>3</v>
      </c>
    </row>
    <row r="2715" spans="1:19" ht="31.5" thickBot="1" x14ac:dyDescent="0.4">
      <c r="A2715" s="357">
        <v>2704</v>
      </c>
      <c r="B2715" s="364" t="s">
        <v>10511</v>
      </c>
      <c r="C2715" s="364" t="s">
        <v>10512</v>
      </c>
      <c r="D2715" s="366" t="s">
        <v>51</v>
      </c>
      <c r="E2715" s="366" t="s">
        <v>10082</v>
      </c>
      <c r="F2715" s="366" t="s">
        <v>10078</v>
      </c>
      <c r="G2715" s="366" t="s">
        <v>10078</v>
      </c>
      <c r="H2715" s="366" t="s">
        <v>12939</v>
      </c>
      <c r="I2715" s="364" t="s">
        <v>14786</v>
      </c>
      <c r="J2715" s="367">
        <v>42320</v>
      </c>
      <c r="K2715" s="364" t="s">
        <v>14868</v>
      </c>
      <c r="L2715" s="364"/>
      <c r="M2715" s="364" t="s">
        <v>10084</v>
      </c>
      <c r="N2715" s="364"/>
      <c r="O2715" s="364" t="s">
        <v>57</v>
      </c>
      <c r="P2715" s="373">
        <v>9750000</v>
      </c>
      <c r="Q2715" s="364" t="s">
        <v>14869</v>
      </c>
      <c r="R2715" s="364" t="s">
        <v>9892</v>
      </c>
      <c r="S2715" s="340">
        <v>3</v>
      </c>
    </row>
    <row r="2716" spans="1:19" ht="31" x14ac:dyDescent="0.35">
      <c r="A2716" s="349">
        <v>2705</v>
      </c>
      <c r="B2716" s="364" t="s">
        <v>10096</v>
      </c>
      <c r="C2716" s="364" t="s">
        <v>10097</v>
      </c>
      <c r="D2716" s="366" t="s">
        <v>51</v>
      </c>
      <c r="E2716" s="366" t="s">
        <v>10082</v>
      </c>
      <c r="F2716" s="366" t="s">
        <v>10078</v>
      </c>
      <c r="G2716" s="366" t="s">
        <v>10088</v>
      </c>
      <c r="H2716" s="366" t="s">
        <v>12697</v>
      </c>
      <c r="I2716" s="364" t="s">
        <v>14870</v>
      </c>
      <c r="J2716" s="367">
        <v>41869</v>
      </c>
      <c r="K2716" s="364" t="s">
        <v>14871</v>
      </c>
      <c r="L2716" s="364"/>
      <c r="M2716" s="364" t="s">
        <v>10084</v>
      </c>
      <c r="N2716" s="364"/>
      <c r="O2716" s="364" t="s">
        <v>57</v>
      </c>
      <c r="P2716" s="373">
        <v>414100000</v>
      </c>
      <c r="Q2716" s="364" t="s">
        <v>14872</v>
      </c>
      <c r="R2716" s="364" t="s">
        <v>9892</v>
      </c>
      <c r="S2716" s="340">
        <v>3</v>
      </c>
    </row>
    <row r="2717" spans="1:19" ht="47" thickBot="1" x14ac:dyDescent="0.4">
      <c r="A2717" s="357">
        <v>2706</v>
      </c>
      <c r="B2717" s="364" t="s">
        <v>10155</v>
      </c>
      <c r="C2717" s="364" t="s">
        <v>10156</v>
      </c>
      <c r="D2717" s="366" t="s">
        <v>59</v>
      </c>
      <c r="E2717" s="366" t="s">
        <v>10082</v>
      </c>
      <c r="F2717" s="366" t="s">
        <v>10078</v>
      </c>
      <c r="G2717" s="366" t="s">
        <v>10088</v>
      </c>
      <c r="H2717" s="366" t="s">
        <v>14775</v>
      </c>
      <c r="I2717" s="364" t="s">
        <v>14873</v>
      </c>
      <c r="J2717" s="367"/>
      <c r="K2717" s="364"/>
      <c r="L2717" s="364"/>
      <c r="M2717" s="364" t="s">
        <v>10084</v>
      </c>
      <c r="N2717" s="364"/>
      <c r="O2717" s="364" t="s">
        <v>57</v>
      </c>
      <c r="P2717" s="373">
        <v>1234841900</v>
      </c>
      <c r="Q2717" s="364" t="s">
        <v>14874</v>
      </c>
      <c r="R2717" s="364" t="s">
        <v>14875</v>
      </c>
      <c r="S2717" s="340">
        <v>7</v>
      </c>
    </row>
    <row r="2718" spans="1:19" ht="46.5" x14ac:dyDescent="0.35">
      <c r="A2718" s="349">
        <v>2707</v>
      </c>
      <c r="B2718" s="364" t="s">
        <v>10155</v>
      </c>
      <c r="C2718" s="364" t="s">
        <v>10156</v>
      </c>
      <c r="D2718" s="366" t="s">
        <v>97</v>
      </c>
      <c r="E2718" s="366" t="s">
        <v>10082</v>
      </c>
      <c r="F2718" s="366" t="s">
        <v>10078</v>
      </c>
      <c r="G2718" s="366" t="s">
        <v>10088</v>
      </c>
      <c r="H2718" s="366" t="s">
        <v>12226</v>
      </c>
      <c r="I2718" s="364" t="s">
        <v>14873</v>
      </c>
      <c r="J2718" s="367">
        <v>40038</v>
      </c>
      <c r="K2718" s="364" t="s">
        <v>14876</v>
      </c>
      <c r="L2718" s="364"/>
      <c r="M2718" s="364" t="s">
        <v>10084</v>
      </c>
      <c r="N2718" s="364"/>
      <c r="O2718" s="364" t="s">
        <v>57</v>
      </c>
      <c r="P2718" s="373">
        <v>925100200</v>
      </c>
      <c r="Q2718" s="364" t="s">
        <v>14877</v>
      </c>
      <c r="R2718" s="364" t="s">
        <v>14875</v>
      </c>
      <c r="S2718" s="340">
        <v>7</v>
      </c>
    </row>
    <row r="2719" spans="1:19" ht="31.5" thickBot="1" x14ac:dyDescent="0.4">
      <c r="A2719" s="357">
        <v>2708</v>
      </c>
      <c r="B2719" s="364" t="s">
        <v>13877</v>
      </c>
      <c r="C2719" s="364" t="s">
        <v>13878</v>
      </c>
      <c r="D2719" s="366" t="s">
        <v>51</v>
      </c>
      <c r="E2719" s="366" t="s">
        <v>10082</v>
      </c>
      <c r="F2719" s="366" t="s">
        <v>10078</v>
      </c>
      <c r="G2719" s="366" t="s">
        <v>10088</v>
      </c>
      <c r="H2719" s="366" t="s">
        <v>11421</v>
      </c>
      <c r="I2719" s="364" t="s">
        <v>14878</v>
      </c>
      <c r="J2719" s="367">
        <v>39954</v>
      </c>
      <c r="K2719" s="364" t="s">
        <v>14879</v>
      </c>
      <c r="L2719" s="364"/>
      <c r="M2719" s="364" t="s">
        <v>10084</v>
      </c>
      <c r="N2719" s="364"/>
      <c r="O2719" s="364" t="s">
        <v>57</v>
      </c>
      <c r="P2719" s="373">
        <v>93942000</v>
      </c>
      <c r="Q2719" s="364" t="s">
        <v>14880</v>
      </c>
      <c r="R2719" s="364" t="s">
        <v>14875</v>
      </c>
      <c r="S2719" s="340">
        <v>7</v>
      </c>
    </row>
    <row r="2720" spans="1:19" ht="31" x14ac:dyDescent="0.35">
      <c r="A2720" s="349">
        <v>2709</v>
      </c>
      <c r="B2720" s="364" t="s">
        <v>10155</v>
      </c>
      <c r="C2720" s="364" t="s">
        <v>10156</v>
      </c>
      <c r="D2720" s="366" t="s">
        <v>51</v>
      </c>
      <c r="E2720" s="366" t="s">
        <v>10082</v>
      </c>
      <c r="F2720" s="366" t="s">
        <v>10078</v>
      </c>
      <c r="G2720" s="366" t="s">
        <v>10088</v>
      </c>
      <c r="H2720" s="366" t="s">
        <v>13082</v>
      </c>
      <c r="I2720" s="364" t="s">
        <v>14501</v>
      </c>
      <c r="J2720" s="367"/>
      <c r="K2720" s="364"/>
      <c r="L2720" s="364"/>
      <c r="M2720" s="364" t="s">
        <v>10084</v>
      </c>
      <c r="N2720" s="364"/>
      <c r="O2720" s="364" t="s">
        <v>422</v>
      </c>
      <c r="P2720" s="373">
        <v>92000000</v>
      </c>
      <c r="Q2720" s="364" t="s">
        <v>8603</v>
      </c>
      <c r="R2720" s="364" t="s">
        <v>9934</v>
      </c>
      <c r="S2720" s="340">
        <v>1</v>
      </c>
    </row>
    <row r="2721" spans="1:19" ht="31.5" thickBot="1" x14ac:dyDescent="0.4">
      <c r="A2721" s="357">
        <v>2710</v>
      </c>
      <c r="B2721" s="364" t="s">
        <v>10155</v>
      </c>
      <c r="C2721" s="364" t="s">
        <v>10156</v>
      </c>
      <c r="D2721" s="366" t="s">
        <v>59</v>
      </c>
      <c r="E2721" s="366" t="s">
        <v>10082</v>
      </c>
      <c r="F2721" s="366" t="s">
        <v>10078</v>
      </c>
      <c r="G2721" s="366" t="s">
        <v>10088</v>
      </c>
      <c r="H2721" s="366" t="s">
        <v>13324</v>
      </c>
      <c r="I2721" s="364" t="s">
        <v>14501</v>
      </c>
      <c r="J2721" s="367"/>
      <c r="K2721" s="364"/>
      <c r="L2721" s="364"/>
      <c r="M2721" s="364" t="s">
        <v>10084</v>
      </c>
      <c r="N2721" s="364"/>
      <c r="O2721" s="364" t="s">
        <v>57</v>
      </c>
      <c r="P2721" s="373">
        <v>496013000</v>
      </c>
      <c r="Q2721" s="364"/>
      <c r="R2721" s="364" t="s">
        <v>9934</v>
      </c>
      <c r="S2721" s="340">
        <v>1</v>
      </c>
    </row>
    <row r="2722" spans="1:19" ht="31" x14ac:dyDescent="0.35">
      <c r="A2722" s="349">
        <v>2711</v>
      </c>
      <c r="B2722" s="364" t="s">
        <v>10541</v>
      </c>
      <c r="C2722" s="364" t="s">
        <v>10542</v>
      </c>
      <c r="D2722" s="366" t="s">
        <v>51</v>
      </c>
      <c r="E2722" s="366" t="s">
        <v>10082</v>
      </c>
      <c r="F2722" s="366" t="s">
        <v>10078</v>
      </c>
      <c r="G2722" s="366" t="s">
        <v>10078</v>
      </c>
      <c r="H2722" s="366" t="s">
        <v>12650</v>
      </c>
      <c r="I2722" s="364" t="s">
        <v>14501</v>
      </c>
      <c r="J2722" s="367">
        <v>40178</v>
      </c>
      <c r="K2722" s="364" t="s">
        <v>63</v>
      </c>
      <c r="L2722" s="364"/>
      <c r="M2722" s="364" t="s">
        <v>10084</v>
      </c>
      <c r="N2722" s="364"/>
      <c r="O2722" s="364" t="s">
        <v>57</v>
      </c>
      <c r="P2722" s="373">
        <v>49600000</v>
      </c>
      <c r="Q2722" s="364" t="s">
        <v>14881</v>
      </c>
      <c r="R2722" s="364" t="s">
        <v>9934</v>
      </c>
      <c r="S2722" s="340">
        <v>1</v>
      </c>
    </row>
    <row r="2723" spans="1:19" ht="31.5" thickBot="1" x14ac:dyDescent="0.4">
      <c r="A2723" s="357">
        <v>2712</v>
      </c>
      <c r="B2723" s="364" t="s">
        <v>10096</v>
      </c>
      <c r="C2723" s="364" t="s">
        <v>10097</v>
      </c>
      <c r="D2723" s="366" t="s">
        <v>51</v>
      </c>
      <c r="E2723" s="366" t="s">
        <v>10082</v>
      </c>
      <c r="F2723" s="366" t="s">
        <v>10078</v>
      </c>
      <c r="G2723" s="366" t="s">
        <v>10078</v>
      </c>
      <c r="H2723" s="366" t="s">
        <v>14882</v>
      </c>
      <c r="I2723" s="364" t="s">
        <v>14501</v>
      </c>
      <c r="J2723" s="367"/>
      <c r="K2723" s="364"/>
      <c r="L2723" s="364"/>
      <c r="M2723" s="364" t="s">
        <v>10084</v>
      </c>
      <c r="N2723" s="364"/>
      <c r="O2723" s="364" t="s">
        <v>57</v>
      </c>
      <c r="P2723" s="373">
        <v>441090000</v>
      </c>
      <c r="Q2723" s="364" t="s">
        <v>14883</v>
      </c>
      <c r="R2723" s="364" t="s">
        <v>9934</v>
      </c>
      <c r="S2723" s="340">
        <v>1</v>
      </c>
    </row>
    <row r="2724" spans="1:19" ht="31" x14ac:dyDescent="0.35">
      <c r="A2724" s="349">
        <v>2713</v>
      </c>
      <c r="B2724" s="364" t="s">
        <v>10080</v>
      </c>
      <c r="C2724" s="364" t="s">
        <v>10081</v>
      </c>
      <c r="D2724" s="366" t="s">
        <v>51</v>
      </c>
      <c r="E2724" s="366" t="s">
        <v>10082</v>
      </c>
      <c r="F2724" s="366" t="s">
        <v>10078</v>
      </c>
      <c r="G2724" s="366" t="s">
        <v>10078</v>
      </c>
      <c r="H2724" s="366" t="s">
        <v>11332</v>
      </c>
      <c r="I2724" s="364" t="s">
        <v>14884</v>
      </c>
      <c r="J2724" s="367"/>
      <c r="K2724" s="364"/>
      <c r="L2724" s="364"/>
      <c r="M2724" s="364" t="s">
        <v>10084</v>
      </c>
      <c r="N2724" s="364"/>
      <c r="O2724" s="364" t="s">
        <v>57</v>
      </c>
      <c r="P2724" s="373">
        <v>11153000</v>
      </c>
      <c r="Q2724" s="364"/>
      <c r="R2724" s="364" t="s">
        <v>9937</v>
      </c>
      <c r="S2724" s="340">
        <v>1</v>
      </c>
    </row>
    <row r="2725" spans="1:19" ht="31.5" thickBot="1" x14ac:dyDescent="0.4">
      <c r="A2725" s="357">
        <v>2714</v>
      </c>
      <c r="B2725" s="364" t="s">
        <v>10080</v>
      </c>
      <c r="C2725" s="364" t="s">
        <v>10081</v>
      </c>
      <c r="D2725" s="366" t="s">
        <v>59</v>
      </c>
      <c r="E2725" s="366" t="s">
        <v>10082</v>
      </c>
      <c r="F2725" s="366" t="s">
        <v>10078</v>
      </c>
      <c r="G2725" s="366" t="s">
        <v>10078</v>
      </c>
      <c r="H2725" s="366" t="s">
        <v>1122</v>
      </c>
      <c r="I2725" s="364" t="s">
        <v>14884</v>
      </c>
      <c r="J2725" s="367"/>
      <c r="K2725" s="364"/>
      <c r="L2725" s="364"/>
      <c r="M2725" s="364" t="s">
        <v>10084</v>
      </c>
      <c r="N2725" s="364"/>
      <c r="O2725" s="364" t="s">
        <v>57</v>
      </c>
      <c r="P2725" s="373">
        <v>221204000</v>
      </c>
      <c r="Q2725" s="364"/>
      <c r="R2725" s="364" t="s">
        <v>9937</v>
      </c>
      <c r="S2725" s="340">
        <v>1</v>
      </c>
    </row>
    <row r="2726" spans="1:19" ht="31" x14ac:dyDescent="0.35">
      <c r="A2726" s="349">
        <v>2715</v>
      </c>
      <c r="B2726" s="364" t="s">
        <v>10080</v>
      </c>
      <c r="C2726" s="364" t="s">
        <v>10081</v>
      </c>
      <c r="D2726" s="366" t="s">
        <v>97</v>
      </c>
      <c r="E2726" s="366" t="s">
        <v>10082</v>
      </c>
      <c r="F2726" s="366" t="s">
        <v>10078</v>
      </c>
      <c r="G2726" s="366" t="s">
        <v>10078</v>
      </c>
      <c r="H2726" s="366" t="s">
        <v>11400</v>
      </c>
      <c r="I2726" s="364" t="s">
        <v>14884</v>
      </c>
      <c r="J2726" s="367"/>
      <c r="K2726" s="364"/>
      <c r="L2726" s="364"/>
      <c r="M2726" s="364" t="s">
        <v>10084</v>
      </c>
      <c r="N2726" s="364"/>
      <c r="O2726" s="364" t="s">
        <v>57</v>
      </c>
      <c r="P2726" s="373">
        <v>384213000</v>
      </c>
      <c r="Q2726" s="364"/>
      <c r="R2726" s="364" t="s">
        <v>9937</v>
      </c>
      <c r="S2726" s="340">
        <v>1</v>
      </c>
    </row>
    <row r="2727" spans="1:19" ht="31.5" thickBot="1" x14ac:dyDescent="0.4">
      <c r="A2727" s="357">
        <v>2716</v>
      </c>
      <c r="B2727" s="364" t="s">
        <v>10080</v>
      </c>
      <c r="C2727" s="364" t="s">
        <v>10081</v>
      </c>
      <c r="D2727" s="366" t="s">
        <v>101</v>
      </c>
      <c r="E2727" s="366" t="s">
        <v>10082</v>
      </c>
      <c r="F2727" s="366" t="s">
        <v>10078</v>
      </c>
      <c r="G2727" s="366" t="s">
        <v>10078</v>
      </c>
      <c r="H2727" s="366" t="s">
        <v>1122</v>
      </c>
      <c r="I2727" s="364" t="s">
        <v>14884</v>
      </c>
      <c r="J2727" s="367"/>
      <c r="K2727" s="364"/>
      <c r="L2727" s="364"/>
      <c r="M2727" s="364" t="s">
        <v>10084</v>
      </c>
      <c r="N2727" s="364"/>
      <c r="O2727" s="364" t="s">
        <v>57</v>
      </c>
      <c r="P2727" s="373">
        <v>493204000</v>
      </c>
      <c r="Q2727" s="364"/>
      <c r="R2727" s="364" t="s">
        <v>9937</v>
      </c>
      <c r="S2727" s="340">
        <v>1</v>
      </c>
    </row>
    <row r="2728" spans="1:19" ht="31" x14ac:dyDescent="0.35">
      <c r="A2728" s="349">
        <v>2717</v>
      </c>
      <c r="B2728" s="364" t="s">
        <v>10080</v>
      </c>
      <c r="C2728" s="364" t="s">
        <v>10081</v>
      </c>
      <c r="D2728" s="366" t="s">
        <v>107</v>
      </c>
      <c r="E2728" s="366" t="s">
        <v>10082</v>
      </c>
      <c r="F2728" s="366" t="s">
        <v>10078</v>
      </c>
      <c r="G2728" s="366" t="s">
        <v>10078</v>
      </c>
      <c r="H2728" s="366" t="s">
        <v>11364</v>
      </c>
      <c r="I2728" s="364" t="s">
        <v>14884</v>
      </c>
      <c r="J2728" s="367"/>
      <c r="K2728" s="364"/>
      <c r="L2728" s="364"/>
      <c r="M2728" s="364" t="s">
        <v>10084</v>
      </c>
      <c r="N2728" s="364"/>
      <c r="O2728" s="364" t="s">
        <v>422</v>
      </c>
      <c r="P2728" s="373">
        <v>150000000</v>
      </c>
      <c r="Q2728" s="364" t="s">
        <v>8603</v>
      </c>
      <c r="R2728" s="364" t="s">
        <v>9937</v>
      </c>
      <c r="S2728" s="340">
        <v>1</v>
      </c>
    </row>
    <row r="2729" spans="1:19" ht="31.5" thickBot="1" x14ac:dyDescent="0.4">
      <c r="A2729" s="357">
        <v>2718</v>
      </c>
      <c r="B2729" s="364" t="s">
        <v>10092</v>
      </c>
      <c r="C2729" s="364" t="s">
        <v>10093</v>
      </c>
      <c r="D2729" s="366" t="s">
        <v>51</v>
      </c>
      <c r="E2729" s="366" t="s">
        <v>10082</v>
      </c>
      <c r="F2729" s="366" t="s">
        <v>10078</v>
      </c>
      <c r="G2729" s="366" t="s">
        <v>10078</v>
      </c>
      <c r="H2729" s="366" t="s">
        <v>12979</v>
      </c>
      <c r="I2729" s="364" t="s">
        <v>14884</v>
      </c>
      <c r="J2729" s="367"/>
      <c r="K2729" s="364"/>
      <c r="L2729" s="364"/>
      <c r="M2729" s="364" t="s">
        <v>10084</v>
      </c>
      <c r="N2729" s="364"/>
      <c r="O2729" s="364" t="s">
        <v>57</v>
      </c>
      <c r="P2729" s="373">
        <v>156542954</v>
      </c>
      <c r="Q2729" s="364"/>
      <c r="R2729" s="364" t="s">
        <v>9937</v>
      </c>
      <c r="S2729" s="340">
        <v>1</v>
      </c>
    </row>
    <row r="2730" spans="1:19" ht="31" x14ac:dyDescent="0.35">
      <c r="A2730" s="349">
        <v>2719</v>
      </c>
      <c r="B2730" s="364" t="s">
        <v>10085</v>
      </c>
      <c r="C2730" s="364" t="s">
        <v>10086</v>
      </c>
      <c r="D2730" s="366" t="s">
        <v>51</v>
      </c>
      <c r="E2730" s="366" t="s">
        <v>10082</v>
      </c>
      <c r="F2730" s="366" t="s">
        <v>10078</v>
      </c>
      <c r="G2730" s="366" t="s">
        <v>10078</v>
      </c>
      <c r="H2730" s="366" t="s">
        <v>11308</v>
      </c>
      <c r="I2730" s="364" t="s">
        <v>14884</v>
      </c>
      <c r="J2730" s="367"/>
      <c r="K2730" s="364"/>
      <c r="L2730" s="364"/>
      <c r="M2730" s="364" t="s">
        <v>10084</v>
      </c>
      <c r="N2730" s="364"/>
      <c r="O2730" s="364" t="s">
        <v>57</v>
      </c>
      <c r="P2730" s="373">
        <v>147840000</v>
      </c>
      <c r="Q2730" s="364"/>
      <c r="R2730" s="364" t="s">
        <v>9937</v>
      </c>
      <c r="S2730" s="340">
        <v>1</v>
      </c>
    </row>
    <row r="2731" spans="1:19" ht="31.5" thickBot="1" x14ac:dyDescent="0.4">
      <c r="A2731" s="357">
        <v>2720</v>
      </c>
      <c r="B2731" s="364" t="s">
        <v>10080</v>
      </c>
      <c r="C2731" s="364" t="s">
        <v>10081</v>
      </c>
      <c r="D2731" s="366" t="s">
        <v>51</v>
      </c>
      <c r="E2731" s="366" t="s">
        <v>10082</v>
      </c>
      <c r="F2731" s="366" t="s">
        <v>10078</v>
      </c>
      <c r="G2731" s="366" t="s">
        <v>10078</v>
      </c>
      <c r="H2731" s="366" t="s">
        <v>11400</v>
      </c>
      <c r="I2731" s="364" t="s">
        <v>14885</v>
      </c>
      <c r="J2731" s="367"/>
      <c r="K2731" s="364"/>
      <c r="L2731" s="364"/>
      <c r="M2731" s="364" t="s">
        <v>10084</v>
      </c>
      <c r="N2731" s="364"/>
      <c r="O2731" s="364" t="s">
        <v>57</v>
      </c>
      <c r="P2731" s="373">
        <v>694174160</v>
      </c>
      <c r="Q2731" s="364"/>
      <c r="R2731" s="364" t="s">
        <v>9939</v>
      </c>
      <c r="S2731" s="340">
        <v>1</v>
      </c>
    </row>
    <row r="2732" spans="1:19" ht="31" x14ac:dyDescent="0.35">
      <c r="A2732" s="349">
        <v>2721</v>
      </c>
      <c r="B2732" s="364" t="s">
        <v>10080</v>
      </c>
      <c r="C2732" s="364" t="s">
        <v>10081</v>
      </c>
      <c r="D2732" s="366" t="s">
        <v>59</v>
      </c>
      <c r="E2732" s="366" t="s">
        <v>10082</v>
      </c>
      <c r="F2732" s="366" t="s">
        <v>10078</v>
      </c>
      <c r="G2732" s="366" t="s">
        <v>10078</v>
      </c>
      <c r="H2732" s="366" t="s">
        <v>1122</v>
      </c>
      <c r="I2732" s="364" t="s">
        <v>14885</v>
      </c>
      <c r="J2732" s="367"/>
      <c r="K2732" s="364"/>
      <c r="L2732" s="364"/>
      <c r="M2732" s="364" t="s">
        <v>10084</v>
      </c>
      <c r="N2732" s="364"/>
      <c r="O2732" s="364" t="s">
        <v>57</v>
      </c>
      <c r="P2732" s="373">
        <v>215604000</v>
      </c>
      <c r="Q2732" s="364"/>
      <c r="R2732" s="364" t="s">
        <v>9939</v>
      </c>
      <c r="S2732" s="340">
        <v>1</v>
      </c>
    </row>
    <row r="2733" spans="1:19" ht="31.5" thickBot="1" x14ac:dyDescent="0.4">
      <c r="A2733" s="357">
        <v>2722</v>
      </c>
      <c r="B2733" s="364" t="s">
        <v>10080</v>
      </c>
      <c r="C2733" s="364" t="s">
        <v>10081</v>
      </c>
      <c r="D2733" s="366" t="s">
        <v>97</v>
      </c>
      <c r="E2733" s="366" t="s">
        <v>10082</v>
      </c>
      <c r="F2733" s="366" t="s">
        <v>10078</v>
      </c>
      <c r="G2733" s="366" t="s">
        <v>10078</v>
      </c>
      <c r="H2733" s="366" t="s">
        <v>82</v>
      </c>
      <c r="I2733" s="364" t="s">
        <v>14885</v>
      </c>
      <c r="J2733" s="367"/>
      <c r="K2733" s="364"/>
      <c r="L2733" s="364"/>
      <c r="M2733" s="364" t="s">
        <v>10084</v>
      </c>
      <c r="N2733" s="364"/>
      <c r="O2733" s="364" t="s">
        <v>422</v>
      </c>
      <c r="P2733" s="373">
        <v>45000000</v>
      </c>
      <c r="Q2733" s="364" t="s">
        <v>8603</v>
      </c>
      <c r="R2733" s="364" t="s">
        <v>9939</v>
      </c>
      <c r="S2733" s="340">
        <v>1</v>
      </c>
    </row>
    <row r="2734" spans="1:19" ht="31" x14ac:dyDescent="0.35">
      <c r="A2734" s="349">
        <v>2723</v>
      </c>
      <c r="B2734" s="364" t="s">
        <v>10080</v>
      </c>
      <c r="C2734" s="364" t="s">
        <v>10081</v>
      </c>
      <c r="D2734" s="366" t="s">
        <v>101</v>
      </c>
      <c r="E2734" s="366" t="s">
        <v>10082</v>
      </c>
      <c r="F2734" s="366" t="s">
        <v>10078</v>
      </c>
      <c r="G2734" s="366" t="s">
        <v>10078</v>
      </c>
      <c r="H2734" s="366" t="s">
        <v>11308</v>
      </c>
      <c r="I2734" s="364" t="s">
        <v>14886</v>
      </c>
      <c r="J2734" s="367">
        <v>43718</v>
      </c>
      <c r="K2734" s="364" t="s">
        <v>14887</v>
      </c>
      <c r="L2734" s="364"/>
      <c r="M2734" s="364" t="s">
        <v>10084</v>
      </c>
      <c r="N2734" s="364"/>
      <c r="O2734" s="364" t="s">
        <v>57</v>
      </c>
      <c r="P2734" s="373">
        <v>221416000</v>
      </c>
      <c r="Q2734" s="364" t="s">
        <v>14888</v>
      </c>
      <c r="R2734" s="364" t="s">
        <v>9939</v>
      </c>
      <c r="S2734" s="340">
        <v>1</v>
      </c>
    </row>
    <row r="2735" spans="1:19" ht="47" thickBot="1" x14ac:dyDescent="0.4">
      <c r="A2735" s="357">
        <v>2724</v>
      </c>
      <c r="B2735" s="364" t="s">
        <v>10080</v>
      </c>
      <c r="C2735" s="364" t="s">
        <v>10081</v>
      </c>
      <c r="D2735" s="366" t="s">
        <v>107</v>
      </c>
      <c r="E2735" s="366" t="s">
        <v>10082</v>
      </c>
      <c r="F2735" s="366" t="s">
        <v>10078</v>
      </c>
      <c r="G2735" s="366" t="s">
        <v>10078</v>
      </c>
      <c r="H2735" s="366" t="s">
        <v>12623</v>
      </c>
      <c r="I2735" s="364" t="s">
        <v>14889</v>
      </c>
      <c r="J2735" s="367">
        <v>43966</v>
      </c>
      <c r="K2735" s="364" t="s">
        <v>14890</v>
      </c>
      <c r="L2735" s="364"/>
      <c r="M2735" s="364" t="s">
        <v>10084</v>
      </c>
      <c r="N2735" s="364"/>
      <c r="O2735" s="364" t="s">
        <v>57</v>
      </c>
      <c r="P2735" s="373">
        <v>210687050</v>
      </c>
      <c r="Q2735" s="364" t="s">
        <v>14891</v>
      </c>
      <c r="R2735" s="364" t="s">
        <v>9939</v>
      </c>
      <c r="S2735" s="340">
        <v>1</v>
      </c>
    </row>
    <row r="2736" spans="1:19" ht="62" x14ac:dyDescent="0.35">
      <c r="A2736" s="349">
        <v>2725</v>
      </c>
      <c r="B2736" s="364" t="s">
        <v>10110</v>
      </c>
      <c r="C2736" s="364" t="s">
        <v>10111</v>
      </c>
      <c r="D2736" s="366" t="s">
        <v>51</v>
      </c>
      <c r="E2736" s="366" t="s">
        <v>10082</v>
      </c>
      <c r="F2736" s="366" t="s">
        <v>10078</v>
      </c>
      <c r="G2736" s="366" t="s">
        <v>10088</v>
      </c>
      <c r="H2736" s="366" t="s">
        <v>11613</v>
      </c>
      <c r="I2736" s="364" t="s">
        <v>14892</v>
      </c>
      <c r="J2736" s="367">
        <v>43966</v>
      </c>
      <c r="K2736" s="364" t="s">
        <v>14893</v>
      </c>
      <c r="L2736" s="364"/>
      <c r="M2736" s="364" t="s">
        <v>10084</v>
      </c>
      <c r="N2736" s="364"/>
      <c r="O2736" s="364" t="s">
        <v>57</v>
      </c>
      <c r="P2736" s="373">
        <v>109725000</v>
      </c>
      <c r="Q2736" s="364" t="s">
        <v>14894</v>
      </c>
      <c r="R2736" s="364" t="s">
        <v>9939</v>
      </c>
      <c r="S2736" s="340">
        <v>1</v>
      </c>
    </row>
    <row r="2737" spans="1:19" ht="31.5" thickBot="1" x14ac:dyDescent="0.4">
      <c r="A2737" s="357">
        <v>2726</v>
      </c>
      <c r="B2737" s="364" t="s">
        <v>10092</v>
      </c>
      <c r="C2737" s="364" t="s">
        <v>10093</v>
      </c>
      <c r="D2737" s="366" t="s">
        <v>51</v>
      </c>
      <c r="E2737" s="366" t="s">
        <v>10082</v>
      </c>
      <c r="F2737" s="366" t="s">
        <v>10078</v>
      </c>
      <c r="G2737" s="366" t="s">
        <v>10088</v>
      </c>
      <c r="H2737" s="366" t="s">
        <v>11413</v>
      </c>
      <c r="I2737" s="364" t="s">
        <v>14885</v>
      </c>
      <c r="J2737" s="367"/>
      <c r="K2737" s="364"/>
      <c r="L2737" s="364"/>
      <c r="M2737" s="364" t="s">
        <v>10084</v>
      </c>
      <c r="N2737" s="364"/>
      <c r="O2737" s="364" t="s">
        <v>57</v>
      </c>
      <c r="P2737" s="373">
        <v>219542750</v>
      </c>
      <c r="Q2737" s="364"/>
      <c r="R2737" s="364" t="s">
        <v>9939</v>
      </c>
      <c r="S2737" s="340">
        <v>1</v>
      </c>
    </row>
    <row r="2738" spans="1:19" ht="31" x14ac:dyDescent="0.35">
      <c r="A2738" s="349">
        <v>2727</v>
      </c>
      <c r="B2738" s="364" t="s">
        <v>10085</v>
      </c>
      <c r="C2738" s="364" t="s">
        <v>10086</v>
      </c>
      <c r="D2738" s="366" t="s">
        <v>51</v>
      </c>
      <c r="E2738" s="366" t="s">
        <v>10082</v>
      </c>
      <c r="F2738" s="366" t="s">
        <v>10078</v>
      </c>
      <c r="G2738" s="366" t="s">
        <v>10078</v>
      </c>
      <c r="H2738" s="366" t="s">
        <v>11308</v>
      </c>
      <c r="I2738" s="364" t="s">
        <v>14885</v>
      </c>
      <c r="J2738" s="367"/>
      <c r="K2738" s="364"/>
      <c r="L2738" s="364"/>
      <c r="M2738" s="364" t="s">
        <v>10084</v>
      </c>
      <c r="N2738" s="364"/>
      <c r="O2738" s="364" t="s">
        <v>57</v>
      </c>
      <c r="P2738" s="373">
        <v>274458000</v>
      </c>
      <c r="Q2738" s="364"/>
      <c r="R2738" s="364" t="s">
        <v>9939</v>
      </c>
      <c r="S2738" s="340">
        <v>1</v>
      </c>
    </row>
    <row r="2739" spans="1:19" ht="31.5" thickBot="1" x14ac:dyDescent="0.4">
      <c r="A2739" s="357">
        <v>2728</v>
      </c>
      <c r="B2739" s="364" t="s">
        <v>10146</v>
      </c>
      <c r="C2739" s="364" t="s">
        <v>10147</v>
      </c>
      <c r="D2739" s="366" t="s">
        <v>51</v>
      </c>
      <c r="E2739" s="366" t="s">
        <v>10082</v>
      </c>
      <c r="F2739" s="366" t="s">
        <v>10078</v>
      </c>
      <c r="G2739" s="366" t="s">
        <v>10088</v>
      </c>
      <c r="H2739" s="366" t="s">
        <v>14895</v>
      </c>
      <c r="I2739" s="364" t="s">
        <v>14896</v>
      </c>
      <c r="J2739" s="367">
        <v>42391</v>
      </c>
      <c r="K2739" s="364" t="s">
        <v>14897</v>
      </c>
      <c r="L2739" s="364"/>
      <c r="M2739" s="364" t="s">
        <v>10084</v>
      </c>
      <c r="N2739" s="364"/>
      <c r="O2739" s="364" t="s">
        <v>57</v>
      </c>
      <c r="P2739" s="373">
        <v>221157000</v>
      </c>
      <c r="Q2739" s="364" t="s">
        <v>14898</v>
      </c>
      <c r="R2739" s="364" t="s">
        <v>9939</v>
      </c>
      <c r="S2739" s="340">
        <v>1</v>
      </c>
    </row>
    <row r="2740" spans="1:19" ht="46.5" x14ac:dyDescent="0.35">
      <c r="A2740" s="349">
        <v>2729</v>
      </c>
      <c r="B2740" s="364" t="s">
        <v>10080</v>
      </c>
      <c r="C2740" s="364" t="s">
        <v>10081</v>
      </c>
      <c r="D2740" s="366" t="s">
        <v>51</v>
      </c>
      <c r="E2740" s="366" t="s">
        <v>10082</v>
      </c>
      <c r="F2740" s="366" t="s">
        <v>10078</v>
      </c>
      <c r="G2740" s="366" t="s">
        <v>10088</v>
      </c>
      <c r="H2740" s="366" t="s">
        <v>2972</v>
      </c>
      <c r="I2740" s="364" t="s">
        <v>14899</v>
      </c>
      <c r="J2740" s="367">
        <v>42675</v>
      </c>
      <c r="K2740" s="364" t="s">
        <v>14900</v>
      </c>
      <c r="L2740" s="364"/>
      <c r="M2740" s="364" t="s">
        <v>10084</v>
      </c>
      <c r="N2740" s="364"/>
      <c r="O2740" s="364" t="s">
        <v>57</v>
      </c>
      <c r="P2740" s="373">
        <v>694650000</v>
      </c>
      <c r="Q2740" s="364" t="s">
        <v>14901</v>
      </c>
      <c r="R2740" s="364" t="s">
        <v>9943</v>
      </c>
      <c r="S2740" s="340">
        <v>1</v>
      </c>
    </row>
    <row r="2741" spans="1:19" ht="31.5" thickBot="1" x14ac:dyDescent="0.4">
      <c r="A2741" s="357">
        <v>2730</v>
      </c>
      <c r="B2741" s="364" t="s">
        <v>10080</v>
      </c>
      <c r="C2741" s="364" t="s">
        <v>10081</v>
      </c>
      <c r="D2741" s="366" t="s">
        <v>59</v>
      </c>
      <c r="E2741" s="366" t="s">
        <v>10082</v>
      </c>
      <c r="F2741" s="366" t="s">
        <v>10078</v>
      </c>
      <c r="G2741" s="366" t="s">
        <v>10088</v>
      </c>
      <c r="H2741" s="366" t="s">
        <v>13082</v>
      </c>
      <c r="I2741" s="364" t="s">
        <v>14899</v>
      </c>
      <c r="J2741" s="367"/>
      <c r="K2741" s="364"/>
      <c r="L2741" s="364"/>
      <c r="M2741" s="364" t="s">
        <v>10084</v>
      </c>
      <c r="N2741" s="364"/>
      <c r="O2741" s="364" t="s">
        <v>422</v>
      </c>
      <c r="P2741" s="373">
        <v>110000000</v>
      </c>
      <c r="Q2741" s="364" t="s">
        <v>8603</v>
      </c>
      <c r="R2741" s="364" t="s">
        <v>9943</v>
      </c>
      <c r="S2741" s="340">
        <v>1</v>
      </c>
    </row>
    <row r="2742" spans="1:19" ht="31" x14ac:dyDescent="0.35">
      <c r="A2742" s="349">
        <v>2731</v>
      </c>
      <c r="B2742" s="364" t="s">
        <v>10080</v>
      </c>
      <c r="C2742" s="364" t="s">
        <v>10081</v>
      </c>
      <c r="D2742" s="366" t="s">
        <v>97</v>
      </c>
      <c r="E2742" s="366" t="s">
        <v>10082</v>
      </c>
      <c r="F2742" s="366" t="s">
        <v>10078</v>
      </c>
      <c r="G2742" s="366" t="s">
        <v>10078</v>
      </c>
      <c r="H2742" s="366" t="s">
        <v>12997</v>
      </c>
      <c r="I2742" s="364" t="s">
        <v>14899</v>
      </c>
      <c r="J2742" s="367"/>
      <c r="K2742" s="364"/>
      <c r="L2742" s="364"/>
      <c r="M2742" s="364" t="s">
        <v>10084</v>
      </c>
      <c r="N2742" s="364"/>
      <c r="O2742" s="364" t="s">
        <v>57</v>
      </c>
      <c r="P2742" s="373">
        <v>207263000</v>
      </c>
      <c r="Q2742" s="364"/>
      <c r="R2742" s="364" t="s">
        <v>9943</v>
      </c>
      <c r="S2742" s="340">
        <v>1</v>
      </c>
    </row>
    <row r="2743" spans="1:19" ht="31.5" thickBot="1" x14ac:dyDescent="0.4">
      <c r="A2743" s="357">
        <v>2732</v>
      </c>
      <c r="B2743" s="364" t="s">
        <v>10080</v>
      </c>
      <c r="C2743" s="364" t="s">
        <v>10081</v>
      </c>
      <c r="D2743" s="366" t="s">
        <v>101</v>
      </c>
      <c r="E2743" s="366" t="s">
        <v>10082</v>
      </c>
      <c r="F2743" s="366" t="s">
        <v>10078</v>
      </c>
      <c r="G2743" s="366" t="s">
        <v>10078</v>
      </c>
      <c r="H2743" s="366" t="s">
        <v>11960</v>
      </c>
      <c r="I2743" s="364" t="s">
        <v>14899</v>
      </c>
      <c r="J2743" s="367"/>
      <c r="K2743" s="364"/>
      <c r="L2743" s="364"/>
      <c r="M2743" s="364" t="s">
        <v>10084</v>
      </c>
      <c r="N2743" s="364"/>
      <c r="O2743" s="364" t="s">
        <v>57</v>
      </c>
      <c r="P2743" s="373">
        <v>326009000</v>
      </c>
      <c r="Q2743" s="364"/>
      <c r="R2743" s="364" t="s">
        <v>9943</v>
      </c>
      <c r="S2743" s="340">
        <v>1</v>
      </c>
    </row>
    <row r="2744" spans="1:19" ht="31" x14ac:dyDescent="0.35">
      <c r="A2744" s="349">
        <v>2733</v>
      </c>
      <c r="B2744" s="364" t="s">
        <v>10110</v>
      </c>
      <c r="C2744" s="364" t="s">
        <v>10111</v>
      </c>
      <c r="D2744" s="366" t="s">
        <v>51</v>
      </c>
      <c r="E2744" s="366" t="s">
        <v>10082</v>
      </c>
      <c r="F2744" s="366" t="s">
        <v>10078</v>
      </c>
      <c r="G2744" s="366" t="s">
        <v>10078</v>
      </c>
      <c r="H2744" s="366" t="s">
        <v>11291</v>
      </c>
      <c r="I2744" s="364" t="s">
        <v>14899</v>
      </c>
      <c r="J2744" s="367"/>
      <c r="K2744" s="364"/>
      <c r="L2744" s="364"/>
      <c r="M2744" s="364" t="s">
        <v>10084</v>
      </c>
      <c r="N2744" s="364"/>
      <c r="O2744" s="364" t="s">
        <v>57</v>
      </c>
      <c r="P2744" s="373">
        <v>10456000</v>
      </c>
      <c r="Q2744" s="364"/>
      <c r="R2744" s="364" t="s">
        <v>9943</v>
      </c>
      <c r="S2744" s="340">
        <v>1</v>
      </c>
    </row>
    <row r="2745" spans="1:19" ht="47" thickBot="1" x14ac:dyDescent="0.4">
      <c r="A2745" s="357">
        <v>2734</v>
      </c>
      <c r="B2745" s="364" t="s">
        <v>10110</v>
      </c>
      <c r="C2745" s="364" t="s">
        <v>10111</v>
      </c>
      <c r="D2745" s="366" t="s">
        <v>59</v>
      </c>
      <c r="E2745" s="366" t="s">
        <v>10082</v>
      </c>
      <c r="F2745" s="366" t="s">
        <v>10078</v>
      </c>
      <c r="G2745" s="366" t="s">
        <v>10078</v>
      </c>
      <c r="H2745" s="366" t="s">
        <v>11870</v>
      </c>
      <c r="I2745" s="364" t="s">
        <v>14902</v>
      </c>
      <c r="J2745" s="367">
        <v>43966</v>
      </c>
      <c r="K2745" s="364" t="s">
        <v>14903</v>
      </c>
      <c r="L2745" s="364"/>
      <c r="M2745" s="364" t="s">
        <v>10084</v>
      </c>
      <c r="N2745" s="364"/>
      <c r="O2745" s="364" t="s">
        <v>57</v>
      </c>
      <c r="P2745" s="373">
        <v>76950000</v>
      </c>
      <c r="Q2745" s="364" t="s">
        <v>14904</v>
      </c>
      <c r="R2745" s="364" t="s">
        <v>9943</v>
      </c>
      <c r="S2745" s="340">
        <v>1</v>
      </c>
    </row>
    <row r="2746" spans="1:19" ht="31" x14ac:dyDescent="0.35">
      <c r="A2746" s="349">
        <v>2735</v>
      </c>
      <c r="B2746" s="364" t="s">
        <v>10110</v>
      </c>
      <c r="C2746" s="364" t="s">
        <v>10111</v>
      </c>
      <c r="D2746" s="366" t="s">
        <v>97</v>
      </c>
      <c r="E2746" s="366" t="s">
        <v>10082</v>
      </c>
      <c r="F2746" s="366" t="s">
        <v>10078</v>
      </c>
      <c r="G2746" s="366" t="s">
        <v>10088</v>
      </c>
      <c r="H2746" s="366" t="s">
        <v>11408</v>
      </c>
      <c r="I2746" s="364" t="s">
        <v>14899</v>
      </c>
      <c r="J2746" s="367">
        <v>42465</v>
      </c>
      <c r="K2746" s="364" t="s">
        <v>14905</v>
      </c>
      <c r="L2746" s="364"/>
      <c r="M2746" s="364" t="s">
        <v>10084</v>
      </c>
      <c r="N2746" s="364"/>
      <c r="O2746" s="364" t="s">
        <v>57</v>
      </c>
      <c r="P2746" s="373">
        <v>82645000</v>
      </c>
      <c r="Q2746" s="364" t="s">
        <v>14906</v>
      </c>
      <c r="R2746" s="364" t="s">
        <v>9943</v>
      </c>
      <c r="S2746" s="340">
        <v>1</v>
      </c>
    </row>
    <row r="2747" spans="1:19" ht="62.5" thickBot="1" x14ac:dyDescent="0.4">
      <c r="A2747" s="357">
        <v>2736</v>
      </c>
      <c r="B2747" s="364" t="s">
        <v>10110</v>
      </c>
      <c r="C2747" s="364" t="s">
        <v>10111</v>
      </c>
      <c r="D2747" s="366" t="s">
        <v>107</v>
      </c>
      <c r="E2747" s="366" t="s">
        <v>10082</v>
      </c>
      <c r="F2747" s="366" t="s">
        <v>10078</v>
      </c>
      <c r="G2747" s="366" t="s">
        <v>10088</v>
      </c>
      <c r="H2747" s="366" t="s">
        <v>14907</v>
      </c>
      <c r="I2747" s="364" t="s">
        <v>14908</v>
      </c>
      <c r="J2747" s="367"/>
      <c r="K2747" s="364" t="s">
        <v>14909</v>
      </c>
      <c r="L2747" s="364"/>
      <c r="M2747" s="364"/>
      <c r="N2747" s="364"/>
      <c r="O2747" s="364" t="s">
        <v>44</v>
      </c>
      <c r="P2747" s="373">
        <v>148913400</v>
      </c>
      <c r="Q2747" s="364" t="s">
        <v>14910</v>
      </c>
      <c r="R2747" s="364" t="s">
        <v>9943</v>
      </c>
      <c r="S2747" s="340">
        <v>1</v>
      </c>
    </row>
    <row r="2748" spans="1:19" ht="62" x14ac:dyDescent="0.35">
      <c r="A2748" s="349">
        <v>2737</v>
      </c>
      <c r="B2748" s="364" t="s">
        <v>10110</v>
      </c>
      <c r="C2748" s="364" t="s">
        <v>10111</v>
      </c>
      <c r="D2748" s="366" t="s">
        <v>112</v>
      </c>
      <c r="E2748" s="366" t="s">
        <v>10082</v>
      </c>
      <c r="F2748" s="366" t="s">
        <v>10078</v>
      </c>
      <c r="G2748" s="366" t="s">
        <v>10088</v>
      </c>
      <c r="H2748" s="366" t="s">
        <v>14911</v>
      </c>
      <c r="I2748" s="364" t="s">
        <v>14908</v>
      </c>
      <c r="J2748" s="367"/>
      <c r="K2748" s="364" t="s">
        <v>14912</v>
      </c>
      <c r="L2748" s="364"/>
      <c r="M2748" s="364"/>
      <c r="N2748" s="364"/>
      <c r="O2748" s="364" t="s">
        <v>44</v>
      </c>
      <c r="P2748" s="373">
        <v>249202260</v>
      </c>
      <c r="Q2748" s="364" t="s">
        <v>14913</v>
      </c>
      <c r="R2748" s="364" t="s">
        <v>9943</v>
      </c>
      <c r="S2748" s="340">
        <v>1</v>
      </c>
    </row>
    <row r="2749" spans="1:19" ht="47" thickBot="1" x14ac:dyDescent="0.4">
      <c r="A2749" s="357">
        <v>2738</v>
      </c>
      <c r="B2749" s="364" t="s">
        <v>10765</v>
      </c>
      <c r="C2749" s="364" t="s">
        <v>10766</v>
      </c>
      <c r="D2749" s="366" t="s">
        <v>51</v>
      </c>
      <c r="E2749" s="366" t="s">
        <v>10082</v>
      </c>
      <c r="F2749" s="366" t="s">
        <v>10078</v>
      </c>
      <c r="G2749" s="366" t="s">
        <v>10088</v>
      </c>
      <c r="H2749" s="366" t="s">
        <v>14914</v>
      </c>
      <c r="I2749" s="364" t="s">
        <v>14915</v>
      </c>
      <c r="J2749" s="367"/>
      <c r="K2749" s="364" t="s">
        <v>14916</v>
      </c>
      <c r="L2749" s="364"/>
      <c r="M2749" s="364"/>
      <c r="N2749" s="364"/>
      <c r="O2749" s="364" t="s">
        <v>44</v>
      </c>
      <c r="P2749" s="373">
        <v>199030750</v>
      </c>
      <c r="Q2749" s="364" t="s">
        <v>14917</v>
      </c>
      <c r="R2749" s="364" t="s">
        <v>9943</v>
      </c>
      <c r="S2749" s="340">
        <v>1</v>
      </c>
    </row>
    <row r="2750" spans="1:19" ht="31" x14ac:dyDescent="0.35">
      <c r="A2750" s="349">
        <v>2739</v>
      </c>
      <c r="B2750" s="364" t="s">
        <v>10096</v>
      </c>
      <c r="C2750" s="364" t="s">
        <v>10097</v>
      </c>
      <c r="D2750" s="366" t="s">
        <v>51</v>
      </c>
      <c r="E2750" s="366" t="s">
        <v>10082</v>
      </c>
      <c r="F2750" s="366" t="s">
        <v>10078</v>
      </c>
      <c r="G2750" s="366" t="s">
        <v>10088</v>
      </c>
      <c r="H2750" s="366" t="s">
        <v>14918</v>
      </c>
      <c r="I2750" s="364" t="s">
        <v>14919</v>
      </c>
      <c r="J2750" s="367"/>
      <c r="K2750" s="364" t="s">
        <v>14920</v>
      </c>
      <c r="L2750" s="364"/>
      <c r="M2750" s="364"/>
      <c r="N2750" s="364"/>
      <c r="O2750" s="364" t="s">
        <v>44</v>
      </c>
      <c r="P2750" s="373">
        <v>166052070</v>
      </c>
      <c r="Q2750" s="364" t="s">
        <v>14921</v>
      </c>
      <c r="R2750" s="364" t="s">
        <v>9943</v>
      </c>
      <c r="S2750" s="340">
        <v>1</v>
      </c>
    </row>
    <row r="2751" spans="1:19" ht="47" thickBot="1" x14ac:dyDescent="0.4">
      <c r="A2751" s="357">
        <v>2740</v>
      </c>
      <c r="B2751" s="364" t="s">
        <v>10096</v>
      </c>
      <c r="C2751" s="364" t="s">
        <v>10097</v>
      </c>
      <c r="D2751" s="366" t="s">
        <v>59</v>
      </c>
      <c r="E2751" s="366" t="s">
        <v>10082</v>
      </c>
      <c r="F2751" s="366" t="s">
        <v>10078</v>
      </c>
      <c r="G2751" s="366" t="s">
        <v>10088</v>
      </c>
      <c r="H2751" s="366" t="s">
        <v>11384</v>
      </c>
      <c r="I2751" s="364" t="s">
        <v>14915</v>
      </c>
      <c r="J2751" s="367"/>
      <c r="K2751" s="364" t="s">
        <v>14922</v>
      </c>
      <c r="L2751" s="364"/>
      <c r="M2751" s="364"/>
      <c r="N2751" s="364"/>
      <c r="O2751" s="364" t="s">
        <v>44</v>
      </c>
      <c r="P2751" s="373">
        <v>198833447.19999999</v>
      </c>
      <c r="Q2751" s="364"/>
      <c r="R2751" s="364" t="s">
        <v>9943</v>
      </c>
      <c r="S2751" s="340">
        <v>1</v>
      </c>
    </row>
    <row r="2752" spans="1:19" ht="31" x14ac:dyDescent="0.35">
      <c r="A2752" s="349">
        <v>2741</v>
      </c>
      <c r="B2752" s="364" t="s">
        <v>10155</v>
      </c>
      <c r="C2752" s="364" t="s">
        <v>10156</v>
      </c>
      <c r="D2752" s="366" t="s">
        <v>51</v>
      </c>
      <c r="E2752" s="366" t="s">
        <v>10082</v>
      </c>
      <c r="F2752" s="366" t="s">
        <v>10078</v>
      </c>
      <c r="G2752" s="366" t="s">
        <v>10088</v>
      </c>
      <c r="H2752" s="366" t="s">
        <v>13120</v>
      </c>
      <c r="I2752" s="364" t="s">
        <v>14923</v>
      </c>
      <c r="J2752" s="367">
        <v>42949</v>
      </c>
      <c r="K2752" s="364" t="s">
        <v>14924</v>
      </c>
      <c r="L2752" s="364"/>
      <c r="M2752" s="364" t="s">
        <v>10084</v>
      </c>
      <c r="N2752" s="364"/>
      <c r="O2752" s="364" t="s">
        <v>57</v>
      </c>
      <c r="P2752" s="373">
        <v>221152000</v>
      </c>
      <c r="Q2752" s="364" t="s">
        <v>14925</v>
      </c>
      <c r="R2752" s="364" t="s">
        <v>9946</v>
      </c>
      <c r="S2752" s="340">
        <v>1</v>
      </c>
    </row>
    <row r="2753" spans="1:19" ht="31.5" thickBot="1" x14ac:dyDescent="0.4">
      <c r="A2753" s="357">
        <v>2742</v>
      </c>
      <c r="B2753" s="364" t="s">
        <v>10080</v>
      </c>
      <c r="C2753" s="364" t="s">
        <v>10081</v>
      </c>
      <c r="D2753" s="366" t="s">
        <v>51</v>
      </c>
      <c r="E2753" s="366" t="s">
        <v>10082</v>
      </c>
      <c r="F2753" s="366" t="s">
        <v>10078</v>
      </c>
      <c r="G2753" s="366" t="s">
        <v>10078</v>
      </c>
      <c r="H2753" s="366" t="s">
        <v>13811</v>
      </c>
      <c r="I2753" s="364" t="s">
        <v>14923</v>
      </c>
      <c r="J2753" s="367"/>
      <c r="K2753" s="364"/>
      <c r="L2753" s="364"/>
      <c r="M2753" s="364" t="s">
        <v>10084</v>
      </c>
      <c r="N2753" s="364"/>
      <c r="O2753" s="364" t="s">
        <v>57</v>
      </c>
      <c r="P2753" s="373">
        <v>210083000</v>
      </c>
      <c r="Q2753" s="364"/>
      <c r="R2753" s="364" t="s">
        <v>9946</v>
      </c>
      <c r="S2753" s="340">
        <v>1</v>
      </c>
    </row>
    <row r="2754" spans="1:19" ht="31" x14ac:dyDescent="0.35">
      <c r="A2754" s="349">
        <v>2743</v>
      </c>
      <c r="B2754" s="364" t="s">
        <v>10080</v>
      </c>
      <c r="C2754" s="364" t="s">
        <v>10081</v>
      </c>
      <c r="D2754" s="366" t="s">
        <v>59</v>
      </c>
      <c r="E2754" s="366" t="s">
        <v>10082</v>
      </c>
      <c r="F2754" s="366" t="s">
        <v>10078</v>
      </c>
      <c r="G2754" s="366" t="s">
        <v>10078</v>
      </c>
      <c r="H2754" s="366" t="s">
        <v>11960</v>
      </c>
      <c r="I2754" s="364" t="s">
        <v>14923</v>
      </c>
      <c r="J2754" s="367"/>
      <c r="K2754" s="364"/>
      <c r="L2754" s="364"/>
      <c r="M2754" s="364" t="s">
        <v>10084</v>
      </c>
      <c r="N2754" s="364"/>
      <c r="O2754" s="364" t="s">
        <v>57</v>
      </c>
      <c r="P2754" s="373">
        <v>202145000</v>
      </c>
      <c r="Q2754" s="364"/>
      <c r="R2754" s="364" t="s">
        <v>9946</v>
      </c>
      <c r="S2754" s="340">
        <v>1</v>
      </c>
    </row>
    <row r="2755" spans="1:19" ht="31.5" thickBot="1" x14ac:dyDescent="0.4">
      <c r="A2755" s="357">
        <v>2744</v>
      </c>
      <c r="B2755" s="364" t="s">
        <v>10080</v>
      </c>
      <c r="C2755" s="364" t="s">
        <v>10081</v>
      </c>
      <c r="D2755" s="366" t="s">
        <v>97</v>
      </c>
      <c r="E2755" s="366" t="s">
        <v>10082</v>
      </c>
      <c r="F2755" s="366" t="s">
        <v>10078</v>
      </c>
      <c r="G2755" s="366" t="s">
        <v>10078</v>
      </c>
      <c r="H2755" s="366" t="s">
        <v>11409</v>
      </c>
      <c r="I2755" s="364" t="s">
        <v>14923</v>
      </c>
      <c r="J2755" s="367"/>
      <c r="K2755" s="364"/>
      <c r="L2755" s="364"/>
      <c r="M2755" s="364" t="s">
        <v>10084</v>
      </c>
      <c r="N2755" s="364"/>
      <c r="O2755" s="364" t="s">
        <v>422</v>
      </c>
      <c r="P2755" s="373">
        <v>80000000</v>
      </c>
      <c r="Q2755" s="364" t="s">
        <v>8603</v>
      </c>
      <c r="R2755" s="364" t="s">
        <v>9946</v>
      </c>
      <c r="S2755" s="340">
        <v>1</v>
      </c>
    </row>
    <row r="2756" spans="1:19" ht="31" x14ac:dyDescent="0.35">
      <c r="A2756" s="349">
        <v>2745</v>
      </c>
      <c r="B2756" s="364" t="s">
        <v>10080</v>
      </c>
      <c r="C2756" s="364" t="s">
        <v>10081</v>
      </c>
      <c r="D2756" s="366" t="s">
        <v>101</v>
      </c>
      <c r="E2756" s="366" t="s">
        <v>10082</v>
      </c>
      <c r="F2756" s="366" t="s">
        <v>10078</v>
      </c>
      <c r="G2756" s="366" t="s">
        <v>10088</v>
      </c>
      <c r="H2756" s="366" t="s">
        <v>12157</v>
      </c>
      <c r="I2756" s="364" t="s">
        <v>14923</v>
      </c>
      <c r="J2756" s="367">
        <v>41904</v>
      </c>
      <c r="K2756" s="364" t="s">
        <v>14926</v>
      </c>
      <c r="L2756" s="364"/>
      <c r="M2756" s="364" t="s">
        <v>10084</v>
      </c>
      <c r="N2756" s="364"/>
      <c r="O2756" s="364" t="s">
        <v>57</v>
      </c>
      <c r="P2756" s="373">
        <v>583933860</v>
      </c>
      <c r="Q2756" s="364" t="s">
        <v>14927</v>
      </c>
      <c r="R2756" s="364" t="s">
        <v>9946</v>
      </c>
      <c r="S2756" s="340">
        <v>1</v>
      </c>
    </row>
    <row r="2757" spans="1:19" ht="47" thickBot="1" x14ac:dyDescent="0.4">
      <c r="A2757" s="357">
        <v>2746</v>
      </c>
      <c r="B2757" s="364" t="s">
        <v>10080</v>
      </c>
      <c r="C2757" s="364" t="s">
        <v>10081</v>
      </c>
      <c r="D2757" s="366" t="s">
        <v>107</v>
      </c>
      <c r="E2757" s="366" t="s">
        <v>10082</v>
      </c>
      <c r="F2757" s="366" t="s">
        <v>10078</v>
      </c>
      <c r="G2757" s="366" t="s">
        <v>10088</v>
      </c>
      <c r="H2757" s="366" t="s">
        <v>2972</v>
      </c>
      <c r="I2757" s="364" t="s">
        <v>14923</v>
      </c>
      <c r="J2757" s="367">
        <v>42675</v>
      </c>
      <c r="K2757" s="364" t="s">
        <v>14928</v>
      </c>
      <c r="L2757" s="364"/>
      <c r="M2757" s="364" t="s">
        <v>10084</v>
      </c>
      <c r="N2757" s="364"/>
      <c r="O2757" s="364" t="s">
        <v>57</v>
      </c>
      <c r="P2757" s="373">
        <v>346500000</v>
      </c>
      <c r="Q2757" s="364" t="s">
        <v>14929</v>
      </c>
      <c r="R2757" s="364" t="s">
        <v>9946</v>
      </c>
      <c r="S2757" s="340">
        <v>1</v>
      </c>
    </row>
    <row r="2758" spans="1:19" ht="31" x14ac:dyDescent="0.35">
      <c r="A2758" s="349">
        <v>2747</v>
      </c>
      <c r="B2758" s="364" t="s">
        <v>10110</v>
      </c>
      <c r="C2758" s="364" t="s">
        <v>10111</v>
      </c>
      <c r="D2758" s="366" t="s">
        <v>51</v>
      </c>
      <c r="E2758" s="366" t="s">
        <v>10082</v>
      </c>
      <c r="F2758" s="366" t="s">
        <v>10078</v>
      </c>
      <c r="G2758" s="366" t="s">
        <v>10088</v>
      </c>
      <c r="H2758" s="366" t="s">
        <v>11328</v>
      </c>
      <c r="I2758" s="364" t="s">
        <v>14923</v>
      </c>
      <c r="J2758" s="367">
        <v>43297</v>
      </c>
      <c r="K2758" s="364" t="s">
        <v>14930</v>
      </c>
      <c r="L2758" s="364"/>
      <c r="M2758" s="364" t="s">
        <v>10084</v>
      </c>
      <c r="N2758" s="364"/>
      <c r="O2758" s="364" t="s">
        <v>57</v>
      </c>
      <c r="P2758" s="373">
        <v>88433000</v>
      </c>
      <c r="Q2758" s="364" t="s">
        <v>14931</v>
      </c>
      <c r="R2758" s="364" t="s">
        <v>9946</v>
      </c>
      <c r="S2758" s="340">
        <v>1</v>
      </c>
    </row>
    <row r="2759" spans="1:19" ht="31.5" thickBot="1" x14ac:dyDescent="0.4">
      <c r="A2759" s="357">
        <v>2748</v>
      </c>
      <c r="B2759" s="364" t="s">
        <v>10110</v>
      </c>
      <c r="C2759" s="364" t="s">
        <v>10111</v>
      </c>
      <c r="D2759" s="366" t="s">
        <v>59</v>
      </c>
      <c r="E2759" s="366" t="s">
        <v>10082</v>
      </c>
      <c r="F2759" s="366" t="s">
        <v>10078</v>
      </c>
      <c r="G2759" s="366" t="s">
        <v>10088</v>
      </c>
      <c r="H2759" s="366" t="s">
        <v>11332</v>
      </c>
      <c r="I2759" s="364" t="s">
        <v>14923</v>
      </c>
      <c r="J2759" s="367">
        <v>42149</v>
      </c>
      <c r="K2759" s="364" t="s">
        <v>14932</v>
      </c>
      <c r="L2759" s="364"/>
      <c r="M2759" s="364" t="s">
        <v>10084</v>
      </c>
      <c r="N2759" s="364"/>
      <c r="O2759" s="364" t="s">
        <v>57</v>
      </c>
      <c r="P2759" s="373">
        <v>82111500</v>
      </c>
      <c r="Q2759" s="364" t="s">
        <v>14933</v>
      </c>
      <c r="R2759" s="364" t="s">
        <v>9946</v>
      </c>
      <c r="S2759" s="340">
        <v>1</v>
      </c>
    </row>
    <row r="2760" spans="1:19" ht="31" x14ac:dyDescent="0.35">
      <c r="A2760" s="349">
        <v>2749</v>
      </c>
      <c r="B2760" s="364" t="s">
        <v>10110</v>
      </c>
      <c r="C2760" s="364" t="s">
        <v>10111</v>
      </c>
      <c r="D2760" s="366" t="s">
        <v>97</v>
      </c>
      <c r="E2760" s="366" t="s">
        <v>10082</v>
      </c>
      <c r="F2760" s="366" t="s">
        <v>10078</v>
      </c>
      <c r="G2760" s="366" t="s">
        <v>10078</v>
      </c>
      <c r="H2760" s="366" t="s">
        <v>11332</v>
      </c>
      <c r="I2760" s="364" t="s">
        <v>14923</v>
      </c>
      <c r="J2760" s="367"/>
      <c r="K2760" s="364"/>
      <c r="L2760" s="364"/>
      <c r="M2760" s="364" t="s">
        <v>10084</v>
      </c>
      <c r="N2760" s="364"/>
      <c r="O2760" s="364" t="s">
        <v>57</v>
      </c>
      <c r="P2760" s="373">
        <v>8984000</v>
      </c>
      <c r="Q2760" s="364"/>
      <c r="R2760" s="364" t="s">
        <v>9946</v>
      </c>
      <c r="S2760" s="340">
        <v>1</v>
      </c>
    </row>
    <row r="2761" spans="1:19" ht="31.5" thickBot="1" x14ac:dyDescent="0.4">
      <c r="A2761" s="357">
        <v>2750</v>
      </c>
      <c r="B2761" s="364" t="s">
        <v>10110</v>
      </c>
      <c r="C2761" s="364" t="s">
        <v>10111</v>
      </c>
      <c r="D2761" s="366" t="s">
        <v>101</v>
      </c>
      <c r="E2761" s="366" t="s">
        <v>10082</v>
      </c>
      <c r="F2761" s="366" t="s">
        <v>10078</v>
      </c>
      <c r="G2761" s="366" t="s">
        <v>10078</v>
      </c>
      <c r="H2761" s="366" t="s">
        <v>11421</v>
      </c>
      <c r="I2761" s="364" t="s">
        <v>14923</v>
      </c>
      <c r="J2761" s="367"/>
      <c r="K2761" s="364"/>
      <c r="L2761" s="364"/>
      <c r="M2761" s="364" t="s">
        <v>10084</v>
      </c>
      <c r="N2761" s="364"/>
      <c r="O2761" s="364" t="s">
        <v>57</v>
      </c>
      <c r="P2761" s="373">
        <v>8984000</v>
      </c>
      <c r="Q2761" s="364"/>
      <c r="R2761" s="364" t="s">
        <v>9946</v>
      </c>
      <c r="S2761" s="340">
        <v>1</v>
      </c>
    </row>
    <row r="2762" spans="1:19" ht="31" x14ac:dyDescent="0.35">
      <c r="A2762" s="349">
        <v>2751</v>
      </c>
      <c r="B2762" s="364" t="s">
        <v>10085</v>
      </c>
      <c r="C2762" s="364" t="s">
        <v>10086</v>
      </c>
      <c r="D2762" s="366" t="s">
        <v>51</v>
      </c>
      <c r="E2762" s="366" t="s">
        <v>10082</v>
      </c>
      <c r="F2762" s="366" t="s">
        <v>10078</v>
      </c>
      <c r="G2762" s="366" t="s">
        <v>10078</v>
      </c>
      <c r="H2762" s="366" t="s">
        <v>11308</v>
      </c>
      <c r="I2762" s="364" t="s">
        <v>14923</v>
      </c>
      <c r="J2762" s="367"/>
      <c r="K2762" s="364"/>
      <c r="L2762" s="364"/>
      <c r="M2762" s="364" t="s">
        <v>10084</v>
      </c>
      <c r="N2762" s="364"/>
      <c r="O2762" s="364" t="s">
        <v>57</v>
      </c>
      <c r="P2762" s="373">
        <v>62889000</v>
      </c>
      <c r="Q2762" s="364"/>
      <c r="R2762" s="364" t="s">
        <v>9946</v>
      </c>
      <c r="S2762" s="340">
        <v>1</v>
      </c>
    </row>
    <row r="2763" spans="1:19" ht="31.5" thickBot="1" x14ac:dyDescent="0.4">
      <c r="A2763" s="357">
        <v>2752</v>
      </c>
      <c r="B2763" s="364" t="s">
        <v>10085</v>
      </c>
      <c r="C2763" s="364" t="s">
        <v>10086</v>
      </c>
      <c r="D2763" s="366" t="s">
        <v>59</v>
      </c>
      <c r="E2763" s="366" t="s">
        <v>10082</v>
      </c>
      <c r="F2763" s="366" t="s">
        <v>10078</v>
      </c>
      <c r="G2763" s="366" t="s">
        <v>10078</v>
      </c>
      <c r="H2763" s="366" t="s">
        <v>11308</v>
      </c>
      <c r="I2763" s="364" t="s">
        <v>14923</v>
      </c>
      <c r="J2763" s="367"/>
      <c r="K2763" s="364"/>
      <c r="L2763" s="364"/>
      <c r="M2763" s="364" t="s">
        <v>10084</v>
      </c>
      <c r="N2763" s="364"/>
      <c r="O2763" s="364" t="s">
        <v>57</v>
      </c>
      <c r="P2763" s="373">
        <v>62889000</v>
      </c>
      <c r="Q2763" s="364"/>
      <c r="R2763" s="364" t="s">
        <v>9946</v>
      </c>
      <c r="S2763" s="340">
        <v>1</v>
      </c>
    </row>
    <row r="2764" spans="1:19" ht="31" x14ac:dyDescent="0.35">
      <c r="A2764" s="349">
        <v>2753</v>
      </c>
      <c r="B2764" s="364" t="s">
        <v>10096</v>
      </c>
      <c r="C2764" s="364" t="s">
        <v>10097</v>
      </c>
      <c r="D2764" s="366" t="s">
        <v>51</v>
      </c>
      <c r="E2764" s="366" t="s">
        <v>10082</v>
      </c>
      <c r="F2764" s="366" t="s">
        <v>10078</v>
      </c>
      <c r="G2764" s="366" t="s">
        <v>10088</v>
      </c>
      <c r="H2764" s="366" t="s">
        <v>11308</v>
      </c>
      <c r="I2764" s="364" t="s">
        <v>14923</v>
      </c>
      <c r="J2764" s="367">
        <v>42328</v>
      </c>
      <c r="K2764" s="364" t="s">
        <v>14934</v>
      </c>
      <c r="L2764" s="364"/>
      <c r="M2764" s="364" t="s">
        <v>10084</v>
      </c>
      <c r="N2764" s="364"/>
      <c r="O2764" s="364" t="s">
        <v>57</v>
      </c>
      <c r="P2764" s="373">
        <v>442543550</v>
      </c>
      <c r="Q2764" s="364" t="s">
        <v>14935</v>
      </c>
      <c r="R2764" s="364" t="s">
        <v>9946</v>
      </c>
      <c r="S2764" s="340">
        <v>1</v>
      </c>
    </row>
    <row r="2765" spans="1:19" ht="31.5" thickBot="1" x14ac:dyDescent="0.4">
      <c r="A2765" s="357">
        <v>2754</v>
      </c>
      <c r="B2765" s="364" t="s">
        <v>10080</v>
      </c>
      <c r="C2765" s="364" t="s">
        <v>10081</v>
      </c>
      <c r="D2765" s="366" t="s">
        <v>51</v>
      </c>
      <c r="E2765" s="366" t="s">
        <v>10082</v>
      </c>
      <c r="F2765" s="366" t="s">
        <v>10078</v>
      </c>
      <c r="G2765" s="366" t="s">
        <v>10078</v>
      </c>
      <c r="H2765" s="366" t="s">
        <v>11421</v>
      </c>
      <c r="I2765" s="364" t="s">
        <v>14936</v>
      </c>
      <c r="J2765" s="367"/>
      <c r="K2765" s="364"/>
      <c r="L2765" s="364"/>
      <c r="M2765" s="364" t="s">
        <v>10084</v>
      </c>
      <c r="N2765" s="364"/>
      <c r="O2765" s="364" t="s">
        <v>57</v>
      </c>
      <c r="P2765" s="373">
        <v>364523000</v>
      </c>
      <c r="Q2765" s="364"/>
      <c r="R2765" s="364" t="s">
        <v>9948</v>
      </c>
      <c r="S2765" s="340">
        <v>1</v>
      </c>
    </row>
    <row r="2766" spans="1:19" ht="31" x14ac:dyDescent="0.35">
      <c r="A2766" s="349">
        <v>2755</v>
      </c>
      <c r="B2766" s="364" t="s">
        <v>10080</v>
      </c>
      <c r="C2766" s="364" t="s">
        <v>10081</v>
      </c>
      <c r="D2766" s="366" t="s">
        <v>59</v>
      </c>
      <c r="E2766" s="366" t="s">
        <v>10082</v>
      </c>
      <c r="F2766" s="366" t="s">
        <v>10078</v>
      </c>
      <c r="G2766" s="366" t="s">
        <v>10078</v>
      </c>
      <c r="H2766" s="366" t="s">
        <v>11400</v>
      </c>
      <c r="I2766" s="364" t="s">
        <v>14936</v>
      </c>
      <c r="J2766" s="367"/>
      <c r="K2766" s="364"/>
      <c r="L2766" s="364"/>
      <c r="M2766" s="364" t="s">
        <v>10084</v>
      </c>
      <c r="N2766" s="364"/>
      <c r="O2766" s="364" t="s">
        <v>57</v>
      </c>
      <c r="P2766" s="373">
        <v>121984000</v>
      </c>
      <c r="Q2766" s="364"/>
      <c r="R2766" s="364" t="s">
        <v>9948</v>
      </c>
      <c r="S2766" s="340">
        <v>1</v>
      </c>
    </row>
    <row r="2767" spans="1:19" ht="31.5" thickBot="1" x14ac:dyDescent="0.4">
      <c r="A2767" s="357">
        <v>2756</v>
      </c>
      <c r="B2767" s="364" t="s">
        <v>10080</v>
      </c>
      <c r="C2767" s="364" t="s">
        <v>10081</v>
      </c>
      <c r="D2767" s="366" t="s">
        <v>97</v>
      </c>
      <c r="E2767" s="366" t="s">
        <v>10082</v>
      </c>
      <c r="F2767" s="366" t="s">
        <v>10078</v>
      </c>
      <c r="G2767" s="366" t="s">
        <v>10078</v>
      </c>
      <c r="H2767" s="366" t="s">
        <v>11421</v>
      </c>
      <c r="I2767" s="364" t="s">
        <v>14936</v>
      </c>
      <c r="J2767" s="367"/>
      <c r="K2767" s="364"/>
      <c r="L2767" s="364"/>
      <c r="M2767" s="364" t="s">
        <v>10084</v>
      </c>
      <c r="N2767" s="364"/>
      <c r="O2767" s="364" t="s">
        <v>57</v>
      </c>
      <c r="P2767" s="373">
        <v>60992000</v>
      </c>
      <c r="Q2767" s="364"/>
      <c r="R2767" s="364" t="s">
        <v>9948</v>
      </c>
      <c r="S2767" s="340">
        <v>1</v>
      </c>
    </row>
    <row r="2768" spans="1:19" ht="31" x14ac:dyDescent="0.35">
      <c r="A2768" s="349">
        <v>2757</v>
      </c>
      <c r="B2768" s="364" t="s">
        <v>10080</v>
      </c>
      <c r="C2768" s="364" t="s">
        <v>10081</v>
      </c>
      <c r="D2768" s="366" t="s">
        <v>101</v>
      </c>
      <c r="E2768" s="366" t="s">
        <v>10082</v>
      </c>
      <c r="F2768" s="366" t="s">
        <v>10078</v>
      </c>
      <c r="G2768" s="366" t="s">
        <v>10078</v>
      </c>
      <c r="H2768" s="366" t="s">
        <v>11409</v>
      </c>
      <c r="I2768" s="364" t="s">
        <v>14936</v>
      </c>
      <c r="J2768" s="367"/>
      <c r="K2768" s="364"/>
      <c r="L2768" s="364"/>
      <c r="M2768" s="364" t="s">
        <v>10084</v>
      </c>
      <c r="N2768" s="364"/>
      <c r="O2768" s="364" t="s">
        <v>422</v>
      </c>
      <c r="P2768" s="373">
        <v>80000000</v>
      </c>
      <c r="Q2768" s="364" t="s">
        <v>8603</v>
      </c>
      <c r="R2768" s="364" t="s">
        <v>9948</v>
      </c>
      <c r="S2768" s="340">
        <v>1</v>
      </c>
    </row>
    <row r="2769" spans="1:19" ht="47" thickBot="1" x14ac:dyDescent="0.4">
      <c r="A2769" s="357">
        <v>2758</v>
      </c>
      <c r="B2769" s="364" t="s">
        <v>10092</v>
      </c>
      <c r="C2769" s="364" t="s">
        <v>10093</v>
      </c>
      <c r="D2769" s="366" t="s">
        <v>51</v>
      </c>
      <c r="E2769" s="366" t="s">
        <v>10082</v>
      </c>
      <c r="F2769" s="366" t="s">
        <v>10078</v>
      </c>
      <c r="G2769" s="366" t="s">
        <v>10078</v>
      </c>
      <c r="H2769" s="366" t="s">
        <v>11536</v>
      </c>
      <c r="I2769" s="364" t="s">
        <v>14937</v>
      </c>
      <c r="J2769" s="367">
        <v>43966</v>
      </c>
      <c r="K2769" s="364" t="s">
        <v>14938</v>
      </c>
      <c r="L2769" s="364"/>
      <c r="M2769" s="364" t="s">
        <v>10084</v>
      </c>
      <c r="N2769" s="364"/>
      <c r="O2769" s="364" t="s">
        <v>57</v>
      </c>
      <c r="P2769" s="373">
        <v>191397000</v>
      </c>
      <c r="Q2769" s="364" t="s">
        <v>14939</v>
      </c>
      <c r="R2769" s="364" t="s">
        <v>9948</v>
      </c>
      <c r="S2769" s="340">
        <v>1</v>
      </c>
    </row>
    <row r="2770" spans="1:19" ht="31" x14ac:dyDescent="0.35">
      <c r="A2770" s="349">
        <v>2759</v>
      </c>
      <c r="B2770" s="364" t="s">
        <v>10191</v>
      </c>
      <c r="C2770" s="364" t="s">
        <v>10192</v>
      </c>
      <c r="D2770" s="366" t="s">
        <v>51</v>
      </c>
      <c r="E2770" s="366" t="s">
        <v>10082</v>
      </c>
      <c r="F2770" s="366" t="s">
        <v>10078</v>
      </c>
      <c r="G2770" s="366" t="s">
        <v>10078</v>
      </c>
      <c r="H2770" s="366" t="s">
        <v>2972</v>
      </c>
      <c r="I2770" s="364" t="s">
        <v>14940</v>
      </c>
      <c r="J2770" s="367">
        <v>43294</v>
      </c>
      <c r="K2770" s="364" t="s">
        <v>14941</v>
      </c>
      <c r="L2770" s="364"/>
      <c r="M2770" s="364" t="s">
        <v>10084</v>
      </c>
      <c r="N2770" s="364"/>
      <c r="O2770" s="364" t="s">
        <v>57</v>
      </c>
      <c r="P2770" s="373">
        <v>220830000</v>
      </c>
      <c r="Q2770" s="364" t="s">
        <v>14942</v>
      </c>
      <c r="R2770" s="364" t="s">
        <v>9948</v>
      </c>
      <c r="S2770" s="340">
        <v>1</v>
      </c>
    </row>
    <row r="2771" spans="1:19" ht="31.5" thickBot="1" x14ac:dyDescent="0.4">
      <c r="A2771" s="357">
        <v>2760</v>
      </c>
      <c r="B2771" s="364" t="s">
        <v>10191</v>
      </c>
      <c r="C2771" s="364" t="s">
        <v>10192</v>
      </c>
      <c r="D2771" s="366" t="s">
        <v>59</v>
      </c>
      <c r="E2771" s="366" t="s">
        <v>10082</v>
      </c>
      <c r="F2771" s="366" t="s">
        <v>10078</v>
      </c>
      <c r="G2771" s="366" t="s">
        <v>10078</v>
      </c>
      <c r="H2771" s="366" t="s">
        <v>14320</v>
      </c>
      <c r="I2771" s="364" t="s">
        <v>14940</v>
      </c>
      <c r="J2771" s="367">
        <v>42391</v>
      </c>
      <c r="K2771" s="364" t="s">
        <v>14943</v>
      </c>
      <c r="L2771" s="364"/>
      <c r="M2771" s="364" t="s">
        <v>10084</v>
      </c>
      <c r="N2771" s="364"/>
      <c r="O2771" s="364" t="s">
        <v>57</v>
      </c>
      <c r="P2771" s="373">
        <v>311800000</v>
      </c>
      <c r="Q2771" s="364" t="s">
        <v>14944</v>
      </c>
      <c r="R2771" s="364" t="s">
        <v>9948</v>
      </c>
      <c r="S2771" s="340">
        <v>1</v>
      </c>
    </row>
    <row r="2772" spans="1:19" ht="46.5" x14ac:dyDescent="0.35">
      <c r="A2772" s="349">
        <v>2761</v>
      </c>
      <c r="B2772" s="364" t="s">
        <v>10155</v>
      </c>
      <c r="C2772" s="364" t="s">
        <v>10156</v>
      </c>
      <c r="D2772" s="366" t="s">
        <v>51</v>
      </c>
      <c r="E2772" s="366" t="s">
        <v>10082</v>
      </c>
      <c r="F2772" s="366" t="s">
        <v>10078</v>
      </c>
      <c r="G2772" s="366" t="s">
        <v>10078</v>
      </c>
      <c r="H2772" s="366" t="s">
        <v>12206</v>
      </c>
      <c r="I2772" s="364" t="s">
        <v>8746</v>
      </c>
      <c r="J2772" s="367">
        <v>43588</v>
      </c>
      <c r="K2772" s="364" t="s">
        <v>14945</v>
      </c>
      <c r="L2772" s="364"/>
      <c r="M2772" s="364" t="s">
        <v>10084</v>
      </c>
      <c r="N2772" s="364"/>
      <c r="O2772" s="364" t="s">
        <v>57</v>
      </c>
      <c r="P2772" s="373">
        <v>241287580</v>
      </c>
      <c r="Q2772" s="364" t="s">
        <v>14946</v>
      </c>
      <c r="R2772" s="364" t="s">
        <v>9950</v>
      </c>
      <c r="S2772" s="340">
        <v>1</v>
      </c>
    </row>
    <row r="2773" spans="1:19" ht="31.5" thickBot="1" x14ac:dyDescent="0.4">
      <c r="A2773" s="357">
        <v>2762</v>
      </c>
      <c r="B2773" s="364" t="s">
        <v>10080</v>
      </c>
      <c r="C2773" s="364" t="s">
        <v>10081</v>
      </c>
      <c r="D2773" s="366" t="s">
        <v>51</v>
      </c>
      <c r="E2773" s="366" t="s">
        <v>10082</v>
      </c>
      <c r="F2773" s="366" t="s">
        <v>10078</v>
      </c>
      <c r="G2773" s="366" t="s">
        <v>10078</v>
      </c>
      <c r="H2773" s="366" t="s">
        <v>14947</v>
      </c>
      <c r="I2773" s="364" t="s">
        <v>14948</v>
      </c>
      <c r="J2773" s="367"/>
      <c r="K2773" s="364"/>
      <c r="L2773" s="364"/>
      <c r="M2773" s="364" t="s">
        <v>10084</v>
      </c>
      <c r="N2773" s="364"/>
      <c r="O2773" s="364" t="s">
        <v>422</v>
      </c>
      <c r="P2773" s="373">
        <v>90000000</v>
      </c>
      <c r="Q2773" s="364" t="s">
        <v>8603</v>
      </c>
      <c r="R2773" s="364" t="s">
        <v>9950</v>
      </c>
      <c r="S2773" s="340">
        <v>1</v>
      </c>
    </row>
    <row r="2774" spans="1:19" ht="31" x14ac:dyDescent="0.35">
      <c r="A2774" s="349">
        <v>2763</v>
      </c>
      <c r="B2774" s="364" t="s">
        <v>10080</v>
      </c>
      <c r="C2774" s="364" t="s">
        <v>10081</v>
      </c>
      <c r="D2774" s="366" t="s">
        <v>59</v>
      </c>
      <c r="E2774" s="366" t="s">
        <v>10082</v>
      </c>
      <c r="F2774" s="366" t="s">
        <v>10078</v>
      </c>
      <c r="G2774" s="366" t="s">
        <v>10088</v>
      </c>
      <c r="H2774" s="366" t="s">
        <v>14949</v>
      </c>
      <c r="I2774" s="364" t="s">
        <v>14948</v>
      </c>
      <c r="J2774" s="367">
        <v>42275</v>
      </c>
      <c r="K2774" s="364" t="s">
        <v>14950</v>
      </c>
      <c r="L2774" s="364"/>
      <c r="M2774" s="364" t="s">
        <v>10084</v>
      </c>
      <c r="N2774" s="364"/>
      <c r="O2774" s="364" t="s">
        <v>57</v>
      </c>
      <c r="P2774" s="373">
        <v>811310920</v>
      </c>
      <c r="Q2774" s="364" t="s">
        <v>14951</v>
      </c>
      <c r="R2774" s="364" t="s">
        <v>9950</v>
      </c>
      <c r="S2774" s="340">
        <v>1</v>
      </c>
    </row>
    <row r="2775" spans="1:19" ht="31.5" thickBot="1" x14ac:dyDescent="0.4">
      <c r="A2775" s="357">
        <v>2764</v>
      </c>
      <c r="B2775" s="364" t="s">
        <v>10080</v>
      </c>
      <c r="C2775" s="364" t="s">
        <v>10081</v>
      </c>
      <c r="D2775" s="366" t="s">
        <v>97</v>
      </c>
      <c r="E2775" s="366" t="s">
        <v>10082</v>
      </c>
      <c r="F2775" s="366" t="s">
        <v>10078</v>
      </c>
      <c r="G2775" s="366" t="s">
        <v>10078</v>
      </c>
      <c r="H2775" s="366" t="s">
        <v>11400</v>
      </c>
      <c r="I2775" s="364" t="s">
        <v>14948</v>
      </c>
      <c r="J2775" s="367"/>
      <c r="K2775" s="364"/>
      <c r="L2775" s="364"/>
      <c r="M2775" s="364" t="s">
        <v>10084</v>
      </c>
      <c r="N2775" s="364"/>
      <c r="O2775" s="364" t="s">
        <v>57</v>
      </c>
      <c r="P2775" s="373">
        <v>229333000</v>
      </c>
      <c r="Q2775" s="364"/>
      <c r="R2775" s="364" t="s">
        <v>9950</v>
      </c>
      <c r="S2775" s="340">
        <v>1</v>
      </c>
    </row>
    <row r="2776" spans="1:19" ht="31" x14ac:dyDescent="0.35">
      <c r="A2776" s="349">
        <v>2765</v>
      </c>
      <c r="B2776" s="364" t="s">
        <v>10080</v>
      </c>
      <c r="C2776" s="364" t="s">
        <v>10081</v>
      </c>
      <c r="D2776" s="366" t="s">
        <v>101</v>
      </c>
      <c r="E2776" s="366" t="s">
        <v>10082</v>
      </c>
      <c r="F2776" s="366" t="s">
        <v>10078</v>
      </c>
      <c r="G2776" s="366" t="s">
        <v>10078</v>
      </c>
      <c r="H2776" s="366" t="s">
        <v>11400</v>
      </c>
      <c r="I2776" s="364" t="s">
        <v>14948</v>
      </c>
      <c r="J2776" s="367"/>
      <c r="K2776" s="364"/>
      <c r="L2776" s="364"/>
      <c r="M2776" s="364" t="s">
        <v>10084</v>
      </c>
      <c r="N2776" s="364"/>
      <c r="O2776" s="364" t="s">
        <v>57</v>
      </c>
      <c r="P2776" s="373">
        <v>137558000</v>
      </c>
      <c r="Q2776" s="364"/>
      <c r="R2776" s="364" t="s">
        <v>9950</v>
      </c>
      <c r="S2776" s="340">
        <v>1</v>
      </c>
    </row>
    <row r="2777" spans="1:19" ht="31.5" thickBot="1" x14ac:dyDescent="0.4">
      <c r="A2777" s="357">
        <v>2766</v>
      </c>
      <c r="B2777" s="364" t="s">
        <v>10080</v>
      </c>
      <c r="C2777" s="364" t="s">
        <v>10081</v>
      </c>
      <c r="D2777" s="366" t="s">
        <v>107</v>
      </c>
      <c r="E2777" s="366" t="s">
        <v>10082</v>
      </c>
      <c r="F2777" s="366" t="s">
        <v>10078</v>
      </c>
      <c r="G2777" s="366" t="s">
        <v>10078</v>
      </c>
      <c r="H2777" s="366" t="s">
        <v>1122</v>
      </c>
      <c r="I2777" s="364" t="s">
        <v>14948</v>
      </c>
      <c r="J2777" s="367"/>
      <c r="K2777" s="364"/>
      <c r="L2777" s="364"/>
      <c r="M2777" s="364" t="s">
        <v>10084</v>
      </c>
      <c r="N2777" s="364"/>
      <c r="O2777" s="364" t="s">
        <v>57</v>
      </c>
      <c r="P2777" s="373">
        <v>471834500</v>
      </c>
      <c r="Q2777" s="364"/>
      <c r="R2777" s="364" t="s">
        <v>9950</v>
      </c>
      <c r="S2777" s="340">
        <v>1</v>
      </c>
    </row>
    <row r="2778" spans="1:19" ht="31" x14ac:dyDescent="0.35">
      <c r="A2778" s="349">
        <v>2767</v>
      </c>
      <c r="B2778" s="364" t="s">
        <v>10110</v>
      </c>
      <c r="C2778" s="364" t="s">
        <v>10111</v>
      </c>
      <c r="D2778" s="366" t="s">
        <v>51</v>
      </c>
      <c r="E2778" s="366" t="s">
        <v>10082</v>
      </c>
      <c r="F2778" s="366" t="s">
        <v>10078</v>
      </c>
      <c r="G2778" s="366" t="s">
        <v>10088</v>
      </c>
      <c r="H2778" s="366" t="s">
        <v>11447</v>
      </c>
      <c r="I2778" s="364" t="s">
        <v>14948</v>
      </c>
      <c r="J2778" s="367">
        <v>42391</v>
      </c>
      <c r="K2778" s="364" t="s">
        <v>14952</v>
      </c>
      <c r="L2778" s="364"/>
      <c r="M2778" s="364" t="s">
        <v>10084</v>
      </c>
      <c r="N2778" s="364"/>
      <c r="O2778" s="364" t="s">
        <v>57</v>
      </c>
      <c r="P2778" s="373">
        <v>82603000</v>
      </c>
      <c r="Q2778" s="364" t="s">
        <v>14953</v>
      </c>
      <c r="R2778" s="364" t="s">
        <v>9950</v>
      </c>
      <c r="S2778" s="340">
        <v>1</v>
      </c>
    </row>
    <row r="2779" spans="1:19" ht="31.5" thickBot="1" x14ac:dyDescent="0.4">
      <c r="A2779" s="357">
        <v>2768</v>
      </c>
      <c r="B2779" s="364" t="s">
        <v>10486</v>
      </c>
      <c r="C2779" s="364" t="s">
        <v>10487</v>
      </c>
      <c r="D2779" s="366" t="s">
        <v>51</v>
      </c>
      <c r="E2779" s="366" t="s">
        <v>10082</v>
      </c>
      <c r="F2779" s="366" t="s">
        <v>10078</v>
      </c>
      <c r="G2779" s="366" t="s">
        <v>10078</v>
      </c>
      <c r="H2779" s="366" t="s">
        <v>11451</v>
      </c>
      <c r="I2779" s="364" t="s">
        <v>14948</v>
      </c>
      <c r="J2779" s="367"/>
      <c r="K2779" s="364"/>
      <c r="L2779" s="364"/>
      <c r="M2779" s="364" t="s">
        <v>10084</v>
      </c>
      <c r="N2779" s="364"/>
      <c r="O2779" s="364" t="s">
        <v>57</v>
      </c>
      <c r="P2779" s="373">
        <v>46080000</v>
      </c>
      <c r="Q2779" s="364" t="s">
        <v>14954</v>
      </c>
      <c r="R2779" s="364" t="s">
        <v>9950</v>
      </c>
      <c r="S2779" s="340">
        <v>1</v>
      </c>
    </row>
    <row r="2780" spans="1:19" ht="31" x14ac:dyDescent="0.35">
      <c r="A2780" s="349">
        <v>2769</v>
      </c>
      <c r="B2780" s="364" t="s">
        <v>10765</v>
      </c>
      <c r="C2780" s="364" t="s">
        <v>10766</v>
      </c>
      <c r="D2780" s="366" t="s">
        <v>51</v>
      </c>
      <c r="E2780" s="366" t="s">
        <v>10082</v>
      </c>
      <c r="F2780" s="366" t="s">
        <v>10078</v>
      </c>
      <c r="G2780" s="366" t="s">
        <v>10078</v>
      </c>
      <c r="H2780" s="366" t="s">
        <v>2972</v>
      </c>
      <c r="I2780" s="364" t="s">
        <v>14955</v>
      </c>
      <c r="J2780" s="367">
        <v>42464</v>
      </c>
      <c r="K2780" s="364" t="s">
        <v>14956</v>
      </c>
      <c r="L2780" s="364"/>
      <c r="M2780" s="364" t="s">
        <v>10084</v>
      </c>
      <c r="N2780" s="364"/>
      <c r="O2780" s="364" t="s">
        <v>57</v>
      </c>
      <c r="P2780" s="373">
        <v>199155000</v>
      </c>
      <c r="Q2780" s="364" t="s">
        <v>14957</v>
      </c>
      <c r="R2780" s="364" t="s">
        <v>9950</v>
      </c>
      <c r="S2780" s="340">
        <v>1</v>
      </c>
    </row>
    <row r="2781" spans="1:19" ht="31.5" thickBot="1" x14ac:dyDescent="0.4">
      <c r="A2781" s="357">
        <v>2770</v>
      </c>
      <c r="B2781" s="364" t="s">
        <v>10085</v>
      </c>
      <c r="C2781" s="364" t="s">
        <v>10086</v>
      </c>
      <c r="D2781" s="366" t="s">
        <v>51</v>
      </c>
      <c r="E2781" s="366" t="s">
        <v>10082</v>
      </c>
      <c r="F2781" s="366" t="s">
        <v>10078</v>
      </c>
      <c r="G2781" s="366" t="s">
        <v>10078</v>
      </c>
      <c r="H2781" s="366" t="s">
        <v>11400</v>
      </c>
      <c r="I2781" s="364" t="s">
        <v>14948</v>
      </c>
      <c r="J2781" s="367"/>
      <c r="K2781" s="364"/>
      <c r="L2781" s="364"/>
      <c r="M2781" s="364" t="s">
        <v>10084</v>
      </c>
      <c r="N2781" s="364"/>
      <c r="O2781" s="364" t="s">
        <v>57</v>
      </c>
      <c r="P2781" s="373">
        <v>174347000</v>
      </c>
      <c r="Q2781" s="364"/>
      <c r="R2781" s="364" t="s">
        <v>9950</v>
      </c>
      <c r="S2781" s="340">
        <v>1</v>
      </c>
    </row>
    <row r="2782" spans="1:19" ht="46.5" x14ac:dyDescent="0.35">
      <c r="A2782" s="349">
        <v>2771</v>
      </c>
      <c r="B2782" s="364" t="s">
        <v>10096</v>
      </c>
      <c r="C2782" s="364" t="s">
        <v>10097</v>
      </c>
      <c r="D2782" s="366" t="s">
        <v>51</v>
      </c>
      <c r="E2782" s="366" t="s">
        <v>10082</v>
      </c>
      <c r="F2782" s="366" t="s">
        <v>10078</v>
      </c>
      <c r="G2782" s="366" t="s">
        <v>10088</v>
      </c>
      <c r="H2782" s="366" t="s">
        <v>14958</v>
      </c>
      <c r="I2782" s="364" t="s">
        <v>14959</v>
      </c>
      <c r="J2782" s="367"/>
      <c r="K2782" s="364" t="s">
        <v>14960</v>
      </c>
      <c r="L2782" s="364"/>
      <c r="M2782" s="364"/>
      <c r="N2782" s="364"/>
      <c r="O2782" s="364" t="s">
        <v>44</v>
      </c>
      <c r="P2782" s="373">
        <v>199065853.70000002</v>
      </c>
      <c r="Q2782" s="364" t="s">
        <v>14961</v>
      </c>
      <c r="R2782" s="364" t="s">
        <v>9950</v>
      </c>
      <c r="S2782" s="340">
        <v>1</v>
      </c>
    </row>
    <row r="2783" spans="1:19" ht="31.5" thickBot="1" x14ac:dyDescent="0.4">
      <c r="A2783" s="357">
        <v>2772</v>
      </c>
      <c r="B2783" s="364" t="s">
        <v>10080</v>
      </c>
      <c r="C2783" s="364" t="s">
        <v>10081</v>
      </c>
      <c r="D2783" s="366" t="s">
        <v>51</v>
      </c>
      <c r="E2783" s="366" t="s">
        <v>10082</v>
      </c>
      <c r="F2783" s="366" t="s">
        <v>10078</v>
      </c>
      <c r="G2783" s="366" t="s">
        <v>10088</v>
      </c>
      <c r="H2783" s="366" t="s">
        <v>13422</v>
      </c>
      <c r="I2783" s="364" t="s">
        <v>14962</v>
      </c>
      <c r="J2783" s="367"/>
      <c r="K2783" s="364"/>
      <c r="L2783" s="364"/>
      <c r="M2783" s="364" t="s">
        <v>10084</v>
      </c>
      <c r="N2783" s="364"/>
      <c r="O2783" s="364" t="s">
        <v>422</v>
      </c>
      <c r="P2783" s="373">
        <v>90000000</v>
      </c>
      <c r="Q2783" s="364" t="s">
        <v>8603</v>
      </c>
      <c r="R2783" s="364" t="s">
        <v>9951</v>
      </c>
      <c r="S2783" s="340">
        <v>1</v>
      </c>
    </row>
    <row r="2784" spans="1:19" ht="31" x14ac:dyDescent="0.35">
      <c r="A2784" s="349">
        <v>2773</v>
      </c>
      <c r="B2784" s="364" t="s">
        <v>10080</v>
      </c>
      <c r="C2784" s="364" t="s">
        <v>10081</v>
      </c>
      <c r="D2784" s="366" t="s">
        <v>59</v>
      </c>
      <c r="E2784" s="366" t="s">
        <v>10082</v>
      </c>
      <c r="F2784" s="366" t="s">
        <v>10078</v>
      </c>
      <c r="G2784" s="366" t="s">
        <v>10078</v>
      </c>
      <c r="H2784" s="366" t="s">
        <v>11400</v>
      </c>
      <c r="I2784" s="364" t="s">
        <v>14962</v>
      </c>
      <c r="J2784" s="367"/>
      <c r="K2784" s="364"/>
      <c r="L2784" s="364"/>
      <c r="M2784" s="364" t="s">
        <v>10084</v>
      </c>
      <c r="N2784" s="364"/>
      <c r="O2784" s="364" t="s">
        <v>57</v>
      </c>
      <c r="P2784" s="373">
        <v>199879000</v>
      </c>
      <c r="Q2784" s="364"/>
      <c r="R2784" s="364" t="s">
        <v>9951</v>
      </c>
      <c r="S2784" s="340">
        <v>1</v>
      </c>
    </row>
    <row r="2785" spans="1:19" ht="31.5" thickBot="1" x14ac:dyDescent="0.4">
      <c r="A2785" s="357">
        <v>2774</v>
      </c>
      <c r="B2785" s="364" t="s">
        <v>10080</v>
      </c>
      <c r="C2785" s="364" t="s">
        <v>10081</v>
      </c>
      <c r="D2785" s="366" t="s">
        <v>97</v>
      </c>
      <c r="E2785" s="366" t="s">
        <v>10082</v>
      </c>
      <c r="F2785" s="366" t="s">
        <v>10078</v>
      </c>
      <c r="G2785" s="366" t="s">
        <v>10078</v>
      </c>
      <c r="H2785" s="366" t="s">
        <v>13811</v>
      </c>
      <c r="I2785" s="364" t="s">
        <v>14962</v>
      </c>
      <c r="J2785" s="367"/>
      <c r="K2785" s="364"/>
      <c r="L2785" s="364"/>
      <c r="M2785" s="364" t="s">
        <v>10084</v>
      </c>
      <c r="N2785" s="364"/>
      <c r="O2785" s="364" t="s">
        <v>57</v>
      </c>
      <c r="P2785" s="373">
        <v>196529000</v>
      </c>
      <c r="Q2785" s="364"/>
      <c r="R2785" s="364" t="s">
        <v>9951</v>
      </c>
      <c r="S2785" s="340">
        <v>1</v>
      </c>
    </row>
    <row r="2786" spans="1:19" ht="31" x14ac:dyDescent="0.35">
      <c r="A2786" s="349">
        <v>2775</v>
      </c>
      <c r="B2786" s="364" t="s">
        <v>10110</v>
      </c>
      <c r="C2786" s="364" t="s">
        <v>10111</v>
      </c>
      <c r="D2786" s="366" t="s">
        <v>51</v>
      </c>
      <c r="E2786" s="366" t="s">
        <v>10082</v>
      </c>
      <c r="F2786" s="366" t="s">
        <v>10078</v>
      </c>
      <c r="G2786" s="366" t="s">
        <v>10088</v>
      </c>
      <c r="H2786" s="366" t="s">
        <v>11328</v>
      </c>
      <c r="I2786" s="364" t="s">
        <v>14962</v>
      </c>
      <c r="J2786" s="367">
        <v>43297</v>
      </c>
      <c r="K2786" s="364" t="s">
        <v>14930</v>
      </c>
      <c r="L2786" s="364"/>
      <c r="M2786" s="364" t="s">
        <v>10084</v>
      </c>
      <c r="N2786" s="364"/>
      <c r="O2786" s="364" t="s">
        <v>57</v>
      </c>
      <c r="P2786" s="373">
        <v>167579745</v>
      </c>
      <c r="Q2786" s="364" t="s">
        <v>14963</v>
      </c>
      <c r="R2786" s="364" t="s">
        <v>9951</v>
      </c>
      <c r="S2786" s="340">
        <v>1</v>
      </c>
    </row>
    <row r="2787" spans="1:19" ht="62.5" thickBot="1" x14ac:dyDescent="0.4">
      <c r="A2787" s="357">
        <v>2776</v>
      </c>
      <c r="B2787" s="364" t="s">
        <v>10110</v>
      </c>
      <c r="C2787" s="364" t="s">
        <v>10111</v>
      </c>
      <c r="D2787" s="366" t="s">
        <v>59</v>
      </c>
      <c r="E2787" s="366" t="s">
        <v>10082</v>
      </c>
      <c r="F2787" s="366"/>
      <c r="G2787" s="366"/>
      <c r="H2787" s="366" t="s">
        <v>14911</v>
      </c>
      <c r="I2787" s="364" t="s">
        <v>63</v>
      </c>
      <c r="J2787" s="367"/>
      <c r="K2787" s="364" t="s">
        <v>14964</v>
      </c>
      <c r="L2787" s="364"/>
      <c r="M2787" s="364"/>
      <c r="N2787" s="364"/>
      <c r="O2787" s="364" t="s">
        <v>44</v>
      </c>
      <c r="P2787" s="373">
        <v>249757160</v>
      </c>
      <c r="Q2787" s="364" t="s">
        <v>14965</v>
      </c>
      <c r="R2787" s="364" t="s">
        <v>9951</v>
      </c>
      <c r="S2787" s="340">
        <v>1</v>
      </c>
    </row>
    <row r="2788" spans="1:19" ht="31" x14ac:dyDescent="0.35">
      <c r="A2788" s="349">
        <v>2777</v>
      </c>
      <c r="B2788" s="364" t="s">
        <v>10092</v>
      </c>
      <c r="C2788" s="364" t="s">
        <v>10093</v>
      </c>
      <c r="D2788" s="366" t="s">
        <v>51</v>
      </c>
      <c r="E2788" s="366" t="s">
        <v>10082</v>
      </c>
      <c r="F2788" s="366" t="s">
        <v>10078</v>
      </c>
      <c r="G2788" s="366" t="s">
        <v>10088</v>
      </c>
      <c r="H2788" s="366" t="s">
        <v>12979</v>
      </c>
      <c r="I2788" s="364" t="s">
        <v>14962</v>
      </c>
      <c r="J2788" s="367"/>
      <c r="K2788" s="364"/>
      <c r="L2788" s="364"/>
      <c r="M2788" s="364" t="s">
        <v>10084</v>
      </c>
      <c r="N2788" s="364"/>
      <c r="O2788" s="364" t="s">
        <v>57</v>
      </c>
      <c r="P2788" s="373">
        <v>202847750</v>
      </c>
      <c r="Q2788" s="364"/>
      <c r="R2788" s="364" t="s">
        <v>9951</v>
      </c>
      <c r="S2788" s="340">
        <v>1</v>
      </c>
    </row>
    <row r="2789" spans="1:19" ht="31.5" thickBot="1" x14ac:dyDescent="0.4">
      <c r="A2789" s="357">
        <v>2778</v>
      </c>
      <c r="B2789" s="364" t="s">
        <v>10997</v>
      </c>
      <c r="C2789" s="364" t="s">
        <v>10998</v>
      </c>
      <c r="D2789" s="366" t="s">
        <v>51</v>
      </c>
      <c r="E2789" s="366" t="s">
        <v>10082</v>
      </c>
      <c r="F2789" s="366" t="s">
        <v>10078</v>
      </c>
      <c r="G2789" s="366" t="s">
        <v>10078</v>
      </c>
      <c r="H2789" s="366" t="s">
        <v>11303</v>
      </c>
      <c r="I2789" s="364" t="s">
        <v>14966</v>
      </c>
      <c r="J2789" s="367"/>
      <c r="K2789" s="364"/>
      <c r="L2789" s="364"/>
      <c r="M2789" s="364" t="s">
        <v>10084</v>
      </c>
      <c r="N2789" s="364"/>
      <c r="O2789" s="364" t="s">
        <v>57</v>
      </c>
      <c r="P2789" s="373">
        <v>218725000</v>
      </c>
      <c r="Q2789" s="364"/>
      <c r="R2789" s="364" t="s">
        <v>9951</v>
      </c>
      <c r="S2789" s="340">
        <v>1</v>
      </c>
    </row>
    <row r="2790" spans="1:19" ht="31" x14ac:dyDescent="0.35">
      <c r="A2790" s="349">
        <v>2779</v>
      </c>
      <c r="B2790" s="364" t="s">
        <v>10765</v>
      </c>
      <c r="C2790" s="364" t="s">
        <v>10766</v>
      </c>
      <c r="D2790" s="366" t="s">
        <v>51</v>
      </c>
      <c r="E2790" s="366" t="s">
        <v>10082</v>
      </c>
      <c r="F2790" s="366" t="s">
        <v>10078</v>
      </c>
      <c r="G2790" s="366" t="s">
        <v>10078</v>
      </c>
      <c r="H2790" s="366" t="s">
        <v>2972</v>
      </c>
      <c r="I2790" s="364" t="s">
        <v>14967</v>
      </c>
      <c r="J2790" s="367">
        <v>42328</v>
      </c>
      <c r="K2790" s="364" t="s">
        <v>14968</v>
      </c>
      <c r="L2790" s="364"/>
      <c r="M2790" s="364" t="s">
        <v>10084</v>
      </c>
      <c r="N2790" s="364"/>
      <c r="O2790" s="364" t="s">
        <v>57</v>
      </c>
      <c r="P2790" s="373">
        <v>221150000</v>
      </c>
      <c r="Q2790" s="364" t="s">
        <v>14969</v>
      </c>
      <c r="R2790" s="364" t="s">
        <v>9951</v>
      </c>
      <c r="S2790" s="340">
        <v>1</v>
      </c>
    </row>
    <row r="2791" spans="1:19" ht="31.5" thickBot="1" x14ac:dyDescent="0.4">
      <c r="A2791" s="357">
        <v>2780</v>
      </c>
      <c r="B2791" s="364" t="s">
        <v>10085</v>
      </c>
      <c r="C2791" s="364" t="s">
        <v>10086</v>
      </c>
      <c r="D2791" s="366" t="s">
        <v>51</v>
      </c>
      <c r="E2791" s="366" t="s">
        <v>10082</v>
      </c>
      <c r="F2791" s="366" t="s">
        <v>10078</v>
      </c>
      <c r="G2791" s="366" t="s">
        <v>10078</v>
      </c>
      <c r="H2791" s="366" t="s">
        <v>11308</v>
      </c>
      <c r="I2791" s="364" t="s">
        <v>14962</v>
      </c>
      <c r="J2791" s="367"/>
      <c r="K2791" s="364"/>
      <c r="L2791" s="364"/>
      <c r="M2791" s="364" t="s">
        <v>10084</v>
      </c>
      <c r="N2791" s="364"/>
      <c r="O2791" s="364" t="s">
        <v>57</v>
      </c>
      <c r="P2791" s="373">
        <v>62889000</v>
      </c>
      <c r="Q2791" s="364"/>
      <c r="R2791" s="364" t="s">
        <v>9951</v>
      </c>
      <c r="S2791" s="340">
        <v>1</v>
      </c>
    </row>
    <row r="2792" spans="1:19" ht="31" x14ac:dyDescent="0.35">
      <c r="A2792" s="349">
        <v>2781</v>
      </c>
      <c r="B2792" s="364" t="s">
        <v>10085</v>
      </c>
      <c r="C2792" s="364" t="s">
        <v>10086</v>
      </c>
      <c r="D2792" s="366" t="s">
        <v>59</v>
      </c>
      <c r="E2792" s="366" t="s">
        <v>10082</v>
      </c>
      <c r="F2792" s="366" t="s">
        <v>10078</v>
      </c>
      <c r="G2792" s="366" t="s">
        <v>10078</v>
      </c>
      <c r="H2792" s="366" t="s">
        <v>11308</v>
      </c>
      <c r="I2792" s="364" t="s">
        <v>14962</v>
      </c>
      <c r="J2792" s="367"/>
      <c r="K2792" s="364"/>
      <c r="L2792" s="364"/>
      <c r="M2792" s="364" t="s">
        <v>10084</v>
      </c>
      <c r="N2792" s="364"/>
      <c r="O2792" s="364" t="s">
        <v>57</v>
      </c>
      <c r="P2792" s="373">
        <v>132739000</v>
      </c>
      <c r="Q2792" s="364"/>
      <c r="R2792" s="364" t="s">
        <v>9951</v>
      </c>
      <c r="S2792" s="340">
        <v>1</v>
      </c>
    </row>
    <row r="2793" spans="1:19" ht="31.5" thickBot="1" x14ac:dyDescent="0.4">
      <c r="A2793" s="357">
        <v>2782</v>
      </c>
      <c r="B2793" s="364" t="s">
        <v>10096</v>
      </c>
      <c r="C2793" s="364" t="s">
        <v>10097</v>
      </c>
      <c r="D2793" s="366" t="s">
        <v>51</v>
      </c>
      <c r="E2793" s="366" t="s">
        <v>10082</v>
      </c>
      <c r="F2793" s="366" t="s">
        <v>10078</v>
      </c>
      <c r="G2793" s="366" t="s">
        <v>10088</v>
      </c>
      <c r="H2793" s="366" t="s">
        <v>8955</v>
      </c>
      <c r="I2793" s="364" t="s">
        <v>14962</v>
      </c>
      <c r="J2793" s="367">
        <v>42299</v>
      </c>
      <c r="K2793" s="364" t="s">
        <v>14970</v>
      </c>
      <c r="L2793" s="364"/>
      <c r="M2793" s="364" t="s">
        <v>10084</v>
      </c>
      <c r="N2793" s="364"/>
      <c r="O2793" s="364" t="s">
        <v>57</v>
      </c>
      <c r="P2793" s="373">
        <v>199300000</v>
      </c>
      <c r="Q2793" s="364" t="s">
        <v>14971</v>
      </c>
      <c r="R2793" s="364" t="s">
        <v>9951</v>
      </c>
      <c r="S2793" s="340">
        <v>1</v>
      </c>
    </row>
    <row r="2794" spans="1:19" ht="31" x14ac:dyDescent="0.35">
      <c r="A2794" s="349">
        <v>2783</v>
      </c>
      <c r="B2794" s="364" t="s">
        <v>10080</v>
      </c>
      <c r="C2794" s="364" t="s">
        <v>10081</v>
      </c>
      <c r="D2794" s="366" t="s">
        <v>51</v>
      </c>
      <c r="E2794" s="366" t="s">
        <v>10082</v>
      </c>
      <c r="F2794" s="366" t="s">
        <v>10078</v>
      </c>
      <c r="G2794" s="366" t="s">
        <v>10088</v>
      </c>
      <c r="H2794" s="366" t="s">
        <v>14972</v>
      </c>
      <c r="I2794" s="364" t="s">
        <v>14973</v>
      </c>
      <c r="J2794" s="367">
        <v>42500</v>
      </c>
      <c r="K2794" s="364" t="s">
        <v>14974</v>
      </c>
      <c r="L2794" s="364"/>
      <c r="M2794" s="364" t="s">
        <v>10084</v>
      </c>
      <c r="N2794" s="364"/>
      <c r="O2794" s="364" t="s">
        <v>57</v>
      </c>
      <c r="P2794" s="373">
        <v>735649000</v>
      </c>
      <c r="Q2794" s="364" t="s">
        <v>14975</v>
      </c>
      <c r="R2794" s="364" t="s">
        <v>14976</v>
      </c>
      <c r="S2794" s="340">
        <v>1</v>
      </c>
    </row>
    <row r="2795" spans="1:19" ht="31.5" thickBot="1" x14ac:dyDescent="0.4">
      <c r="A2795" s="357">
        <v>2784</v>
      </c>
      <c r="B2795" s="364" t="s">
        <v>10146</v>
      </c>
      <c r="C2795" s="364" t="s">
        <v>10147</v>
      </c>
      <c r="D2795" s="366" t="s">
        <v>51</v>
      </c>
      <c r="E2795" s="366" t="s">
        <v>10082</v>
      </c>
      <c r="F2795" s="366" t="s">
        <v>10078</v>
      </c>
      <c r="G2795" s="366" t="s">
        <v>10088</v>
      </c>
      <c r="H2795" s="366" t="s">
        <v>11308</v>
      </c>
      <c r="I2795" s="364" t="s">
        <v>14977</v>
      </c>
      <c r="J2795" s="367">
        <v>42949</v>
      </c>
      <c r="K2795" s="364" t="s">
        <v>14978</v>
      </c>
      <c r="L2795" s="364"/>
      <c r="M2795" s="364" t="s">
        <v>10084</v>
      </c>
      <c r="N2795" s="364"/>
      <c r="O2795" s="364" t="s">
        <v>57</v>
      </c>
      <c r="P2795" s="373">
        <v>221005000</v>
      </c>
      <c r="Q2795" s="364" t="s">
        <v>14979</v>
      </c>
      <c r="R2795" s="364" t="s">
        <v>14976</v>
      </c>
      <c r="S2795" s="340">
        <v>1</v>
      </c>
    </row>
    <row r="2796" spans="1:19" ht="31" x14ac:dyDescent="0.35">
      <c r="A2796" s="349">
        <v>2785</v>
      </c>
      <c r="B2796" s="364" t="s">
        <v>10080</v>
      </c>
      <c r="C2796" s="364" t="s">
        <v>10081</v>
      </c>
      <c r="D2796" s="366" t="s">
        <v>51</v>
      </c>
      <c r="E2796" s="366" t="s">
        <v>10082</v>
      </c>
      <c r="F2796" s="366" t="s">
        <v>10078</v>
      </c>
      <c r="G2796" s="366" t="s">
        <v>10078</v>
      </c>
      <c r="H2796" s="366" t="s">
        <v>13219</v>
      </c>
      <c r="I2796" s="364" t="s">
        <v>14980</v>
      </c>
      <c r="J2796" s="367"/>
      <c r="K2796" s="364"/>
      <c r="L2796" s="364"/>
      <c r="M2796" s="364" t="s">
        <v>10084</v>
      </c>
      <c r="N2796" s="364"/>
      <c r="O2796" s="364" t="s">
        <v>57</v>
      </c>
      <c r="P2796" s="373">
        <v>198078000</v>
      </c>
      <c r="Q2796" s="364"/>
      <c r="R2796" s="364" t="s">
        <v>9953</v>
      </c>
      <c r="S2796" s="340">
        <v>1</v>
      </c>
    </row>
    <row r="2797" spans="1:19" ht="31.5" thickBot="1" x14ac:dyDescent="0.4">
      <c r="A2797" s="357">
        <v>2786</v>
      </c>
      <c r="B2797" s="364" t="s">
        <v>10080</v>
      </c>
      <c r="C2797" s="364" t="s">
        <v>10081</v>
      </c>
      <c r="D2797" s="366" t="s">
        <v>97</v>
      </c>
      <c r="E2797" s="366" t="s">
        <v>10082</v>
      </c>
      <c r="F2797" s="366" t="s">
        <v>10078</v>
      </c>
      <c r="G2797" s="366" t="s">
        <v>10088</v>
      </c>
      <c r="H2797" s="366" t="s">
        <v>11308</v>
      </c>
      <c r="I2797" s="364" t="s">
        <v>14981</v>
      </c>
      <c r="J2797" s="367"/>
      <c r="K2797" s="364" t="s">
        <v>14982</v>
      </c>
      <c r="L2797" s="364"/>
      <c r="M2797" s="364"/>
      <c r="N2797" s="364"/>
      <c r="O2797" s="364" t="s">
        <v>44</v>
      </c>
      <c r="P2797" s="373">
        <v>247437570</v>
      </c>
      <c r="Q2797" s="364" t="s">
        <v>14983</v>
      </c>
      <c r="R2797" s="364" t="s">
        <v>9953</v>
      </c>
      <c r="S2797" s="340">
        <v>1</v>
      </c>
    </row>
    <row r="2798" spans="1:19" ht="31" x14ac:dyDescent="0.35">
      <c r="A2798" s="349">
        <v>2787</v>
      </c>
      <c r="B2798" s="364" t="s">
        <v>10080</v>
      </c>
      <c r="C2798" s="364" t="s">
        <v>10081</v>
      </c>
      <c r="D2798" s="366" t="s">
        <v>101</v>
      </c>
      <c r="E2798" s="366" t="s">
        <v>10082</v>
      </c>
      <c r="F2798" s="366" t="s">
        <v>10078</v>
      </c>
      <c r="G2798" s="366" t="s">
        <v>10088</v>
      </c>
      <c r="H2798" s="366" t="s">
        <v>11384</v>
      </c>
      <c r="I2798" s="364" t="s">
        <v>14984</v>
      </c>
      <c r="J2798" s="367"/>
      <c r="K2798" s="364" t="s">
        <v>14985</v>
      </c>
      <c r="L2798" s="364"/>
      <c r="M2798" s="364"/>
      <c r="N2798" s="364"/>
      <c r="O2798" s="364" t="s">
        <v>44</v>
      </c>
      <c r="P2798" s="373">
        <v>98793785</v>
      </c>
      <c r="Q2798" s="364" t="s">
        <v>14986</v>
      </c>
      <c r="R2798" s="364" t="s">
        <v>9953</v>
      </c>
      <c r="S2798" s="340">
        <v>1</v>
      </c>
    </row>
    <row r="2799" spans="1:19" ht="31.5" thickBot="1" x14ac:dyDescent="0.4">
      <c r="A2799" s="357">
        <v>2788</v>
      </c>
      <c r="B2799" s="364" t="s">
        <v>10092</v>
      </c>
      <c r="C2799" s="364" t="s">
        <v>10093</v>
      </c>
      <c r="D2799" s="366" t="s">
        <v>51</v>
      </c>
      <c r="E2799" s="366" t="s">
        <v>10082</v>
      </c>
      <c r="F2799" s="366" t="s">
        <v>10078</v>
      </c>
      <c r="G2799" s="366" t="s">
        <v>10078</v>
      </c>
      <c r="H2799" s="366" t="s">
        <v>12979</v>
      </c>
      <c r="I2799" s="364" t="s">
        <v>14980</v>
      </c>
      <c r="J2799" s="367"/>
      <c r="K2799" s="364"/>
      <c r="L2799" s="364"/>
      <c r="M2799" s="364" t="s">
        <v>10084</v>
      </c>
      <c r="N2799" s="364"/>
      <c r="O2799" s="364" t="s">
        <v>57</v>
      </c>
      <c r="P2799" s="373">
        <v>167172955</v>
      </c>
      <c r="Q2799" s="364"/>
      <c r="R2799" s="364" t="s">
        <v>9953</v>
      </c>
      <c r="S2799" s="340">
        <v>1</v>
      </c>
    </row>
    <row r="2800" spans="1:19" ht="31" x14ac:dyDescent="0.35">
      <c r="A2800" s="349">
        <v>2789</v>
      </c>
      <c r="B2800" s="364" t="s">
        <v>10080</v>
      </c>
      <c r="C2800" s="364" t="s">
        <v>10081</v>
      </c>
      <c r="D2800" s="366" t="s">
        <v>51</v>
      </c>
      <c r="E2800" s="366" t="s">
        <v>10082</v>
      </c>
      <c r="F2800" s="366" t="s">
        <v>10078</v>
      </c>
      <c r="G2800" s="366" t="s">
        <v>10078</v>
      </c>
      <c r="H2800" s="366" t="s">
        <v>11400</v>
      </c>
      <c r="I2800" s="364" t="s">
        <v>9806</v>
      </c>
      <c r="J2800" s="367"/>
      <c r="K2800" s="364"/>
      <c r="L2800" s="364"/>
      <c r="M2800" s="364" t="s">
        <v>10084</v>
      </c>
      <c r="N2800" s="364"/>
      <c r="O2800" s="364" t="s">
        <v>57</v>
      </c>
      <c r="P2800" s="373">
        <v>349877003.99999994</v>
      </c>
      <c r="Q2800" s="364"/>
      <c r="R2800" s="364" t="s">
        <v>9954</v>
      </c>
      <c r="S2800" s="340">
        <v>1</v>
      </c>
    </row>
    <row r="2801" spans="1:19" ht="31.5" thickBot="1" x14ac:dyDescent="0.4">
      <c r="A2801" s="357">
        <v>2790</v>
      </c>
      <c r="B2801" s="364" t="s">
        <v>10080</v>
      </c>
      <c r="C2801" s="364" t="s">
        <v>10081</v>
      </c>
      <c r="D2801" s="366" t="s">
        <v>59</v>
      </c>
      <c r="E2801" s="366" t="s">
        <v>10082</v>
      </c>
      <c r="F2801" s="366" t="s">
        <v>10078</v>
      </c>
      <c r="G2801" s="366" t="s">
        <v>10078</v>
      </c>
      <c r="H2801" s="366" t="s">
        <v>1122</v>
      </c>
      <c r="I2801" s="364" t="s">
        <v>9806</v>
      </c>
      <c r="J2801" s="367"/>
      <c r="K2801" s="364"/>
      <c r="L2801" s="364"/>
      <c r="M2801" s="364" t="s">
        <v>10084</v>
      </c>
      <c r="N2801" s="364"/>
      <c r="O2801" s="364" t="s">
        <v>57</v>
      </c>
      <c r="P2801" s="373">
        <v>340026880</v>
      </c>
      <c r="Q2801" s="364"/>
      <c r="R2801" s="364" t="s">
        <v>9954</v>
      </c>
      <c r="S2801" s="340">
        <v>1</v>
      </c>
    </row>
    <row r="2802" spans="1:19" ht="31" x14ac:dyDescent="0.35">
      <c r="A2802" s="349">
        <v>2791</v>
      </c>
      <c r="B2802" s="364" t="s">
        <v>10080</v>
      </c>
      <c r="C2802" s="364" t="s">
        <v>10081</v>
      </c>
      <c r="D2802" s="366" t="s">
        <v>97</v>
      </c>
      <c r="E2802" s="366" t="s">
        <v>10082</v>
      </c>
      <c r="F2802" s="366" t="s">
        <v>10078</v>
      </c>
      <c r="G2802" s="366" t="s">
        <v>10078</v>
      </c>
      <c r="H2802" s="366" t="s">
        <v>1122</v>
      </c>
      <c r="I2802" s="364" t="s">
        <v>9806</v>
      </c>
      <c r="J2802" s="367"/>
      <c r="K2802" s="364"/>
      <c r="L2802" s="364"/>
      <c r="M2802" s="364" t="s">
        <v>10084</v>
      </c>
      <c r="N2802" s="364"/>
      <c r="O2802" s="364" t="s">
        <v>57</v>
      </c>
      <c r="P2802" s="373">
        <v>135925000</v>
      </c>
      <c r="Q2802" s="364"/>
      <c r="R2802" s="364" t="s">
        <v>9954</v>
      </c>
      <c r="S2802" s="340">
        <v>1</v>
      </c>
    </row>
    <row r="2803" spans="1:19" ht="31.5" thickBot="1" x14ac:dyDescent="0.4">
      <c r="A2803" s="357">
        <v>2792</v>
      </c>
      <c r="B2803" s="364" t="s">
        <v>10080</v>
      </c>
      <c r="C2803" s="364" t="s">
        <v>10081</v>
      </c>
      <c r="D2803" s="366" t="s">
        <v>101</v>
      </c>
      <c r="E2803" s="366" t="s">
        <v>10082</v>
      </c>
      <c r="F2803" s="366" t="s">
        <v>10078</v>
      </c>
      <c r="G2803" s="366" t="s">
        <v>10078</v>
      </c>
      <c r="H2803" s="366" t="s">
        <v>14987</v>
      </c>
      <c r="I2803" s="364" t="s">
        <v>9806</v>
      </c>
      <c r="J2803" s="367"/>
      <c r="K2803" s="364"/>
      <c r="L2803" s="364"/>
      <c r="M2803" s="364" t="s">
        <v>10084</v>
      </c>
      <c r="N2803" s="364"/>
      <c r="O2803" s="364" t="s">
        <v>422</v>
      </c>
      <c r="P2803" s="373">
        <v>180000000</v>
      </c>
      <c r="Q2803" s="364" t="s">
        <v>8603</v>
      </c>
      <c r="R2803" s="364" t="s">
        <v>9954</v>
      </c>
      <c r="S2803" s="340">
        <v>1</v>
      </c>
    </row>
    <row r="2804" spans="1:19" ht="31" x14ac:dyDescent="0.35">
      <c r="A2804" s="349">
        <v>2793</v>
      </c>
      <c r="B2804" s="364" t="s">
        <v>10110</v>
      </c>
      <c r="C2804" s="364" t="s">
        <v>10111</v>
      </c>
      <c r="D2804" s="366" t="s">
        <v>51</v>
      </c>
      <c r="E2804" s="366" t="s">
        <v>10082</v>
      </c>
      <c r="F2804" s="366" t="s">
        <v>10078</v>
      </c>
      <c r="G2804" s="366" t="s">
        <v>10088</v>
      </c>
      <c r="H2804" s="366" t="s">
        <v>11447</v>
      </c>
      <c r="I2804" s="364" t="s">
        <v>9806</v>
      </c>
      <c r="J2804" s="367">
        <v>42391</v>
      </c>
      <c r="K2804" s="364" t="s">
        <v>14988</v>
      </c>
      <c r="L2804" s="364"/>
      <c r="M2804" s="364" t="s">
        <v>10084</v>
      </c>
      <c r="N2804" s="364"/>
      <c r="O2804" s="364" t="s">
        <v>57</v>
      </c>
      <c r="P2804" s="373">
        <v>82550000</v>
      </c>
      <c r="Q2804" s="364" t="s">
        <v>14989</v>
      </c>
      <c r="R2804" s="364" t="s">
        <v>9954</v>
      </c>
      <c r="S2804" s="340">
        <v>1</v>
      </c>
    </row>
    <row r="2805" spans="1:19" ht="47" thickBot="1" x14ac:dyDescent="0.4">
      <c r="A2805" s="357">
        <v>2794</v>
      </c>
      <c r="B2805" s="364" t="s">
        <v>10110</v>
      </c>
      <c r="C2805" s="364" t="s">
        <v>10111</v>
      </c>
      <c r="D2805" s="366" t="s">
        <v>101</v>
      </c>
      <c r="E2805" s="366" t="s">
        <v>10082</v>
      </c>
      <c r="F2805" s="366" t="s">
        <v>10078</v>
      </c>
      <c r="G2805" s="366" t="s">
        <v>10088</v>
      </c>
      <c r="H2805" s="366" t="s">
        <v>14990</v>
      </c>
      <c r="I2805" s="364" t="s">
        <v>14991</v>
      </c>
      <c r="J2805" s="367"/>
      <c r="K2805" s="364" t="s">
        <v>14992</v>
      </c>
      <c r="L2805" s="364"/>
      <c r="M2805" s="364"/>
      <c r="N2805" s="364"/>
      <c r="O2805" s="364" t="s">
        <v>44</v>
      </c>
      <c r="P2805" s="373">
        <v>90528300</v>
      </c>
      <c r="Q2805" s="364" t="s">
        <v>14993</v>
      </c>
      <c r="R2805" s="364" t="s">
        <v>9954</v>
      </c>
      <c r="S2805" s="340">
        <v>1</v>
      </c>
    </row>
    <row r="2806" spans="1:19" ht="62" x14ac:dyDescent="0.35">
      <c r="A2806" s="349">
        <v>2795</v>
      </c>
      <c r="B2806" s="364" t="s">
        <v>10110</v>
      </c>
      <c r="C2806" s="364" t="s">
        <v>10111</v>
      </c>
      <c r="D2806" s="366" t="s">
        <v>107</v>
      </c>
      <c r="E2806" s="366" t="s">
        <v>10082</v>
      </c>
      <c r="F2806" s="366"/>
      <c r="G2806" s="366"/>
      <c r="H2806" s="366" t="s">
        <v>14911</v>
      </c>
      <c r="I2806" s="364" t="s">
        <v>63</v>
      </c>
      <c r="J2806" s="367"/>
      <c r="K2806" s="364" t="s">
        <v>14994</v>
      </c>
      <c r="L2806" s="364"/>
      <c r="M2806" s="364"/>
      <c r="N2806" s="364"/>
      <c r="O2806" s="364" t="s">
        <v>44</v>
      </c>
      <c r="P2806" s="373">
        <v>249235260</v>
      </c>
      <c r="Q2806" s="364" t="s">
        <v>14995</v>
      </c>
      <c r="R2806" s="364" t="s">
        <v>9954</v>
      </c>
      <c r="S2806" s="340">
        <v>1</v>
      </c>
    </row>
    <row r="2807" spans="1:19" ht="47" thickBot="1" x14ac:dyDescent="0.4">
      <c r="A2807" s="357">
        <v>2796</v>
      </c>
      <c r="B2807" s="364" t="s">
        <v>10110</v>
      </c>
      <c r="C2807" s="364" t="s">
        <v>10111</v>
      </c>
      <c r="D2807" s="366" t="s">
        <v>112</v>
      </c>
      <c r="E2807" s="366" t="s">
        <v>10082</v>
      </c>
      <c r="F2807" s="366" t="s">
        <v>10078</v>
      </c>
      <c r="G2807" s="366" t="s">
        <v>10088</v>
      </c>
      <c r="H2807" s="366" t="s">
        <v>14996</v>
      </c>
      <c r="I2807" s="364" t="s">
        <v>14991</v>
      </c>
      <c r="J2807" s="367"/>
      <c r="K2807" s="364" t="s">
        <v>14997</v>
      </c>
      <c r="L2807" s="364"/>
      <c r="M2807" s="364"/>
      <c r="N2807" s="364"/>
      <c r="O2807" s="364" t="s">
        <v>44</v>
      </c>
      <c r="P2807" s="373">
        <v>224124420</v>
      </c>
      <c r="Q2807" s="364" t="s">
        <v>14998</v>
      </c>
      <c r="R2807" s="364" t="s">
        <v>9954</v>
      </c>
      <c r="S2807" s="340">
        <v>1</v>
      </c>
    </row>
    <row r="2808" spans="1:19" ht="31" x14ac:dyDescent="0.35">
      <c r="A2808" s="349">
        <v>2797</v>
      </c>
      <c r="B2808" s="364" t="s">
        <v>10146</v>
      </c>
      <c r="C2808" s="364" t="s">
        <v>10147</v>
      </c>
      <c r="D2808" s="366" t="s">
        <v>51</v>
      </c>
      <c r="E2808" s="366" t="s">
        <v>10082</v>
      </c>
      <c r="F2808" s="366" t="s">
        <v>10078</v>
      </c>
      <c r="G2808" s="366" t="s">
        <v>10088</v>
      </c>
      <c r="H2808" s="366" t="s">
        <v>8960</v>
      </c>
      <c r="I2808" s="364" t="s">
        <v>9806</v>
      </c>
      <c r="J2808" s="367">
        <v>41934</v>
      </c>
      <c r="K2808" s="364" t="s">
        <v>14999</v>
      </c>
      <c r="L2808" s="364"/>
      <c r="M2808" s="364" t="s">
        <v>10084</v>
      </c>
      <c r="N2808" s="364"/>
      <c r="O2808" s="364" t="s">
        <v>57</v>
      </c>
      <c r="P2808" s="373">
        <v>199300000</v>
      </c>
      <c r="Q2808" s="364" t="s">
        <v>15000</v>
      </c>
      <c r="R2808" s="364" t="s">
        <v>9954</v>
      </c>
      <c r="S2808" s="340">
        <v>1</v>
      </c>
    </row>
    <row r="2809" spans="1:19" ht="31.5" thickBot="1" x14ac:dyDescent="0.4">
      <c r="A2809" s="357">
        <v>2798</v>
      </c>
      <c r="B2809" s="364" t="s">
        <v>10096</v>
      </c>
      <c r="C2809" s="364" t="s">
        <v>10097</v>
      </c>
      <c r="D2809" s="366" t="s">
        <v>51</v>
      </c>
      <c r="E2809" s="366" t="s">
        <v>10082</v>
      </c>
      <c r="F2809" s="366" t="s">
        <v>10078</v>
      </c>
      <c r="G2809" s="366" t="s">
        <v>10088</v>
      </c>
      <c r="H2809" s="366" t="s">
        <v>12913</v>
      </c>
      <c r="I2809" s="364" t="s">
        <v>9806</v>
      </c>
      <c r="J2809" s="367">
        <v>42465</v>
      </c>
      <c r="K2809" s="364" t="s">
        <v>15001</v>
      </c>
      <c r="L2809" s="364"/>
      <c r="M2809" s="364" t="s">
        <v>10084</v>
      </c>
      <c r="N2809" s="364"/>
      <c r="O2809" s="364" t="s">
        <v>57</v>
      </c>
      <c r="P2809" s="373">
        <v>199209000</v>
      </c>
      <c r="Q2809" s="364" t="s">
        <v>15002</v>
      </c>
      <c r="R2809" s="364" t="s">
        <v>9954</v>
      </c>
      <c r="S2809" s="340">
        <v>1</v>
      </c>
    </row>
    <row r="2810" spans="1:19" ht="31" x14ac:dyDescent="0.35">
      <c r="A2810" s="349">
        <v>2799</v>
      </c>
      <c r="B2810" s="364" t="s">
        <v>10080</v>
      </c>
      <c r="C2810" s="364" t="s">
        <v>10081</v>
      </c>
      <c r="D2810" s="366" t="s">
        <v>51</v>
      </c>
      <c r="E2810" s="366" t="s">
        <v>10082</v>
      </c>
      <c r="F2810" s="366" t="s">
        <v>10078</v>
      </c>
      <c r="G2810" s="366" t="s">
        <v>10078</v>
      </c>
      <c r="H2810" s="366" t="s">
        <v>3405</v>
      </c>
      <c r="I2810" s="364" t="s">
        <v>15003</v>
      </c>
      <c r="J2810" s="367"/>
      <c r="K2810" s="364"/>
      <c r="L2810" s="364"/>
      <c r="M2810" s="364" t="s">
        <v>10084</v>
      </c>
      <c r="N2810" s="364"/>
      <c r="O2810" s="364" t="s">
        <v>422</v>
      </c>
      <c r="P2810" s="373">
        <v>92000000</v>
      </c>
      <c r="Q2810" s="364" t="s">
        <v>8603</v>
      </c>
      <c r="R2810" s="364" t="s">
        <v>9956</v>
      </c>
      <c r="S2810" s="340">
        <v>1</v>
      </c>
    </row>
    <row r="2811" spans="1:19" ht="31.5" thickBot="1" x14ac:dyDescent="0.4">
      <c r="A2811" s="357">
        <v>2800</v>
      </c>
      <c r="B2811" s="364" t="s">
        <v>10080</v>
      </c>
      <c r="C2811" s="364" t="s">
        <v>10081</v>
      </c>
      <c r="D2811" s="366" t="s">
        <v>59</v>
      </c>
      <c r="E2811" s="366" t="s">
        <v>10082</v>
      </c>
      <c r="F2811" s="366" t="s">
        <v>10078</v>
      </c>
      <c r="G2811" s="366" t="s">
        <v>10078</v>
      </c>
      <c r="H2811" s="366" t="s">
        <v>12187</v>
      </c>
      <c r="I2811" s="364" t="s">
        <v>15003</v>
      </c>
      <c r="J2811" s="367"/>
      <c r="K2811" s="364"/>
      <c r="L2811" s="364"/>
      <c r="M2811" s="364" t="s">
        <v>10084</v>
      </c>
      <c r="N2811" s="364"/>
      <c r="O2811" s="364" t="s">
        <v>57</v>
      </c>
      <c r="P2811" s="373">
        <v>546555000</v>
      </c>
      <c r="Q2811" s="364"/>
      <c r="R2811" s="364" t="s">
        <v>9956</v>
      </c>
      <c r="S2811" s="340">
        <v>1</v>
      </c>
    </row>
    <row r="2812" spans="1:19" ht="31" x14ac:dyDescent="0.35">
      <c r="A2812" s="349">
        <v>2801</v>
      </c>
      <c r="B2812" s="364" t="s">
        <v>10080</v>
      </c>
      <c r="C2812" s="364" t="s">
        <v>10081</v>
      </c>
      <c r="D2812" s="366" t="s">
        <v>97</v>
      </c>
      <c r="E2812" s="366" t="s">
        <v>10082</v>
      </c>
      <c r="F2812" s="366" t="s">
        <v>10078</v>
      </c>
      <c r="G2812" s="366" t="s">
        <v>10078</v>
      </c>
      <c r="H2812" s="366" t="s">
        <v>11400</v>
      </c>
      <c r="I2812" s="364" t="s">
        <v>15003</v>
      </c>
      <c r="J2812" s="367"/>
      <c r="K2812" s="364"/>
      <c r="L2812" s="364"/>
      <c r="M2812" s="364" t="s">
        <v>10084</v>
      </c>
      <c r="N2812" s="364"/>
      <c r="O2812" s="364" t="s">
        <v>57</v>
      </c>
      <c r="P2812" s="373">
        <v>284777000</v>
      </c>
      <c r="Q2812" s="364"/>
      <c r="R2812" s="364" t="s">
        <v>9956</v>
      </c>
      <c r="S2812" s="340">
        <v>1</v>
      </c>
    </row>
    <row r="2813" spans="1:19" ht="47" thickBot="1" x14ac:dyDescent="0.4">
      <c r="A2813" s="357">
        <v>2802</v>
      </c>
      <c r="B2813" s="364" t="s">
        <v>10080</v>
      </c>
      <c r="C2813" s="364" t="s">
        <v>10081</v>
      </c>
      <c r="D2813" s="366" t="s">
        <v>101</v>
      </c>
      <c r="E2813" s="366" t="s">
        <v>10082</v>
      </c>
      <c r="F2813" s="366" t="s">
        <v>10078</v>
      </c>
      <c r="G2813" s="366" t="s">
        <v>10088</v>
      </c>
      <c r="H2813" s="366" t="s">
        <v>3405</v>
      </c>
      <c r="I2813" s="364" t="s">
        <v>15004</v>
      </c>
      <c r="J2813" s="367"/>
      <c r="K2813" s="364" t="s">
        <v>15005</v>
      </c>
      <c r="L2813" s="364"/>
      <c r="M2813" s="364"/>
      <c r="N2813" s="364"/>
      <c r="O2813" s="364" t="s">
        <v>44</v>
      </c>
      <c r="P2813" s="373">
        <v>555468375</v>
      </c>
      <c r="Q2813" s="364" t="s">
        <v>15006</v>
      </c>
      <c r="R2813" s="364" t="s">
        <v>9956</v>
      </c>
      <c r="S2813" s="340">
        <v>1</v>
      </c>
    </row>
    <row r="2814" spans="1:19" ht="46.5" x14ac:dyDescent="0.35">
      <c r="A2814" s="349">
        <v>2803</v>
      </c>
      <c r="B2814" s="364" t="s">
        <v>10110</v>
      </c>
      <c r="C2814" s="364" t="s">
        <v>10111</v>
      </c>
      <c r="D2814" s="366" t="s">
        <v>51</v>
      </c>
      <c r="E2814" s="366" t="s">
        <v>10082</v>
      </c>
      <c r="F2814" s="366" t="s">
        <v>10078</v>
      </c>
      <c r="G2814" s="366" t="s">
        <v>10078</v>
      </c>
      <c r="H2814" s="366" t="s">
        <v>12623</v>
      </c>
      <c r="I2814" s="364" t="s">
        <v>15004</v>
      </c>
      <c r="J2814" s="367"/>
      <c r="K2814" s="364" t="s">
        <v>15007</v>
      </c>
      <c r="L2814" s="364"/>
      <c r="M2814" s="364"/>
      <c r="N2814" s="364"/>
      <c r="O2814" s="364" t="s">
        <v>44</v>
      </c>
      <c r="P2814" s="373">
        <v>306937250</v>
      </c>
      <c r="Q2814" s="364" t="s">
        <v>15008</v>
      </c>
      <c r="R2814" s="364" t="s">
        <v>9956</v>
      </c>
      <c r="S2814" s="340">
        <v>1</v>
      </c>
    </row>
    <row r="2815" spans="1:19" ht="31.5" thickBot="1" x14ac:dyDescent="0.4">
      <c r="A2815" s="357">
        <v>2804</v>
      </c>
      <c r="B2815" s="364" t="s">
        <v>10085</v>
      </c>
      <c r="C2815" s="364" t="s">
        <v>10086</v>
      </c>
      <c r="D2815" s="366" t="s">
        <v>51</v>
      </c>
      <c r="E2815" s="366" t="s">
        <v>10082</v>
      </c>
      <c r="F2815" s="366" t="s">
        <v>10078</v>
      </c>
      <c r="G2815" s="366" t="s">
        <v>10078</v>
      </c>
      <c r="H2815" s="366" t="s">
        <v>11297</v>
      </c>
      <c r="I2815" s="364" t="s">
        <v>15003</v>
      </c>
      <c r="J2815" s="367"/>
      <c r="K2815" s="364"/>
      <c r="L2815" s="364"/>
      <c r="M2815" s="364" t="s">
        <v>10084</v>
      </c>
      <c r="N2815" s="364"/>
      <c r="O2815" s="364" t="s">
        <v>57</v>
      </c>
      <c r="P2815" s="373">
        <v>264427349.99999997</v>
      </c>
      <c r="Q2815" s="364"/>
      <c r="R2815" s="364" t="s">
        <v>9956</v>
      </c>
      <c r="S2815" s="340">
        <v>1</v>
      </c>
    </row>
    <row r="2816" spans="1:19" ht="31" x14ac:dyDescent="0.35">
      <c r="A2816" s="349">
        <v>2805</v>
      </c>
      <c r="B2816" s="364" t="s">
        <v>10085</v>
      </c>
      <c r="C2816" s="364" t="s">
        <v>10086</v>
      </c>
      <c r="D2816" s="366" t="s">
        <v>59</v>
      </c>
      <c r="E2816" s="366" t="s">
        <v>10082</v>
      </c>
      <c r="F2816" s="366" t="s">
        <v>10078</v>
      </c>
      <c r="G2816" s="366" t="s">
        <v>10078</v>
      </c>
      <c r="H2816" s="366" t="s">
        <v>11297</v>
      </c>
      <c r="I2816" s="364" t="s">
        <v>15003</v>
      </c>
      <c r="J2816" s="367"/>
      <c r="K2816" s="364"/>
      <c r="L2816" s="364"/>
      <c r="M2816" s="364" t="s">
        <v>10084</v>
      </c>
      <c r="N2816" s="364"/>
      <c r="O2816" s="364" t="s">
        <v>57</v>
      </c>
      <c r="P2816" s="373">
        <v>131456350</v>
      </c>
      <c r="Q2816" s="364"/>
      <c r="R2816" s="364" t="s">
        <v>9956</v>
      </c>
      <c r="S2816" s="340">
        <v>1</v>
      </c>
    </row>
    <row r="2817" spans="1:19" ht="31.5" thickBot="1" x14ac:dyDescent="0.4">
      <c r="A2817" s="357">
        <v>2806</v>
      </c>
      <c r="B2817" s="364" t="s">
        <v>10191</v>
      </c>
      <c r="C2817" s="364" t="s">
        <v>10192</v>
      </c>
      <c r="D2817" s="366" t="s">
        <v>51</v>
      </c>
      <c r="E2817" s="366" t="s">
        <v>10082</v>
      </c>
      <c r="F2817" s="366" t="s">
        <v>10078</v>
      </c>
      <c r="G2817" s="366" t="s">
        <v>10078</v>
      </c>
      <c r="H2817" s="366" t="s">
        <v>11297</v>
      </c>
      <c r="I2817" s="364" t="s">
        <v>15003</v>
      </c>
      <c r="J2817" s="367">
        <v>43248</v>
      </c>
      <c r="K2817" s="364" t="s">
        <v>15009</v>
      </c>
      <c r="L2817" s="364"/>
      <c r="M2817" s="364" t="s">
        <v>10084</v>
      </c>
      <c r="N2817" s="364"/>
      <c r="O2817" s="364" t="s">
        <v>57</v>
      </c>
      <c r="P2817" s="373">
        <v>221064000</v>
      </c>
      <c r="Q2817" s="364" t="s">
        <v>15010</v>
      </c>
      <c r="R2817" s="364" t="s">
        <v>9956</v>
      </c>
      <c r="S2817" s="340">
        <v>1</v>
      </c>
    </row>
    <row r="2818" spans="1:19" ht="31" x14ac:dyDescent="0.35">
      <c r="A2818" s="349">
        <v>2807</v>
      </c>
      <c r="B2818" s="364" t="s">
        <v>10080</v>
      </c>
      <c r="C2818" s="364" t="s">
        <v>10081</v>
      </c>
      <c r="D2818" s="366" t="s">
        <v>51</v>
      </c>
      <c r="E2818" s="366" t="s">
        <v>10082</v>
      </c>
      <c r="F2818" s="366" t="s">
        <v>10078</v>
      </c>
      <c r="G2818" s="366" t="s">
        <v>10078</v>
      </c>
      <c r="H2818" s="366" t="s">
        <v>15011</v>
      </c>
      <c r="I2818" s="364" t="s">
        <v>15012</v>
      </c>
      <c r="J2818" s="367"/>
      <c r="K2818" s="364"/>
      <c r="L2818" s="364"/>
      <c r="M2818" s="364" t="s">
        <v>10084</v>
      </c>
      <c r="N2818" s="364"/>
      <c r="O2818" s="364" t="s">
        <v>57</v>
      </c>
      <c r="P2818" s="373">
        <v>319630000</v>
      </c>
      <c r="Q2818" s="364"/>
      <c r="R2818" s="364" t="s">
        <v>15013</v>
      </c>
      <c r="S2818" s="340">
        <v>1</v>
      </c>
    </row>
    <row r="2819" spans="1:19" ht="31.5" thickBot="1" x14ac:dyDescent="0.4">
      <c r="A2819" s="357">
        <v>2808</v>
      </c>
      <c r="B2819" s="364" t="s">
        <v>10080</v>
      </c>
      <c r="C2819" s="364" t="s">
        <v>10081</v>
      </c>
      <c r="D2819" s="366" t="s">
        <v>59</v>
      </c>
      <c r="E2819" s="366" t="s">
        <v>10082</v>
      </c>
      <c r="F2819" s="366" t="s">
        <v>10078</v>
      </c>
      <c r="G2819" s="366" t="s">
        <v>10088</v>
      </c>
      <c r="H2819" s="366" t="s">
        <v>3405</v>
      </c>
      <c r="I2819" s="364" t="s">
        <v>15014</v>
      </c>
      <c r="J2819" s="367">
        <v>41906</v>
      </c>
      <c r="K2819" s="364" t="s">
        <v>15015</v>
      </c>
      <c r="L2819" s="364"/>
      <c r="M2819" s="364" t="s">
        <v>10084</v>
      </c>
      <c r="N2819" s="364"/>
      <c r="O2819" s="364" t="s">
        <v>57</v>
      </c>
      <c r="P2819" s="373">
        <v>500592580</v>
      </c>
      <c r="Q2819" s="364" t="s">
        <v>15016</v>
      </c>
      <c r="R2819" s="364" t="s">
        <v>15013</v>
      </c>
      <c r="S2819" s="340">
        <v>1</v>
      </c>
    </row>
    <row r="2820" spans="1:19" ht="31" x14ac:dyDescent="0.35">
      <c r="A2820" s="349">
        <v>2809</v>
      </c>
      <c r="B2820" s="364" t="s">
        <v>10080</v>
      </c>
      <c r="C2820" s="364" t="s">
        <v>10081</v>
      </c>
      <c r="D2820" s="366" t="s">
        <v>97</v>
      </c>
      <c r="E2820" s="366" t="s">
        <v>10082</v>
      </c>
      <c r="F2820" s="366" t="s">
        <v>10078</v>
      </c>
      <c r="G2820" s="366" t="s">
        <v>10088</v>
      </c>
      <c r="H2820" s="366" t="s">
        <v>11384</v>
      </c>
      <c r="I2820" s="364" t="s">
        <v>15012</v>
      </c>
      <c r="J2820" s="367">
        <v>42328</v>
      </c>
      <c r="K2820" s="364" t="s">
        <v>15017</v>
      </c>
      <c r="L2820" s="364"/>
      <c r="M2820" s="364" t="s">
        <v>10084</v>
      </c>
      <c r="N2820" s="364"/>
      <c r="O2820" s="364" t="s">
        <v>57</v>
      </c>
      <c r="P2820" s="373">
        <v>221255000</v>
      </c>
      <c r="Q2820" s="364" t="s">
        <v>15018</v>
      </c>
      <c r="R2820" s="364" t="s">
        <v>15013</v>
      </c>
      <c r="S2820" s="340">
        <v>1</v>
      </c>
    </row>
    <row r="2821" spans="1:19" ht="31.5" thickBot="1" x14ac:dyDescent="0.4">
      <c r="A2821" s="357">
        <v>2810</v>
      </c>
      <c r="B2821" s="364" t="s">
        <v>10110</v>
      </c>
      <c r="C2821" s="364" t="s">
        <v>10111</v>
      </c>
      <c r="D2821" s="366" t="s">
        <v>51</v>
      </c>
      <c r="E2821" s="366" t="s">
        <v>10082</v>
      </c>
      <c r="F2821" s="366" t="s">
        <v>10078</v>
      </c>
      <c r="G2821" s="366" t="s">
        <v>10088</v>
      </c>
      <c r="H2821" s="366" t="s">
        <v>11332</v>
      </c>
      <c r="I2821" s="364" t="s">
        <v>15012</v>
      </c>
      <c r="J2821" s="367">
        <v>42149</v>
      </c>
      <c r="K2821" s="364" t="s">
        <v>15019</v>
      </c>
      <c r="L2821" s="364"/>
      <c r="M2821" s="364" t="s">
        <v>10084</v>
      </c>
      <c r="N2821" s="364"/>
      <c r="O2821" s="364" t="s">
        <v>57</v>
      </c>
      <c r="P2821" s="373">
        <v>81903500</v>
      </c>
      <c r="Q2821" s="364" t="s">
        <v>15020</v>
      </c>
      <c r="R2821" s="364" t="s">
        <v>15013</v>
      </c>
      <c r="S2821" s="340">
        <v>1</v>
      </c>
    </row>
    <row r="2822" spans="1:19" ht="31" x14ac:dyDescent="0.35">
      <c r="A2822" s="349">
        <v>2811</v>
      </c>
      <c r="B2822" s="364" t="s">
        <v>10146</v>
      </c>
      <c r="C2822" s="364" t="s">
        <v>10147</v>
      </c>
      <c r="D2822" s="366" t="s">
        <v>51</v>
      </c>
      <c r="E2822" s="366" t="s">
        <v>10082</v>
      </c>
      <c r="F2822" s="366" t="s">
        <v>10078</v>
      </c>
      <c r="G2822" s="366" t="s">
        <v>10088</v>
      </c>
      <c r="H2822" s="366" t="s">
        <v>14895</v>
      </c>
      <c r="I2822" s="364" t="s">
        <v>15021</v>
      </c>
      <c r="J2822" s="367">
        <v>42391</v>
      </c>
      <c r="K2822" s="364" t="s">
        <v>15022</v>
      </c>
      <c r="L2822" s="364"/>
      <c r="M2822" s="364" t="s">
        <v>10084</v>
      </c>
      <c r="N2822" s="364"/>
      <c r="O2822" s="364" t="s">
        <v>57</v>
      </c>
      <c r="P2822" s="373">
        <v>221092000</v>
      </c>
      <c r="Q2822" s="364" t="s">
        <v>15023</v>
      </c>
      <c r="R2822" s="364" t="s">
        <v>15013</v>
      </c>
      <c r="S2822" s="340">
        <v>1</v>
      </c>
    </row>
    <row r="2823" spans="1:19" ht="31.5" thickBot="1" x14ac:dyDescent="0.4">
      <c r="A2823" s="357">
        <v>2812</v>
      </c>
      <c r="B2823" s="364" t="s">
        <v>10146</v>
      </c>
      <c r="C2823" s="364" t="s">
        <v>10147</v>
      </c>
      <c r="D2823" s="366" t="s">
        <v>59</v>
      </c>
      <c r="E2823" s="366" t="s">
        <v>10082</v>
      </c>
      <c r="F2823" s="366" t="s">
        <v>10078</v>
      </c>
      <c r="G2823" s="366" t="s">
        <v>10088</v>
      </c>
      <c r="H2823" s="366" t="s">
        <v>13166</v>
      </c>
      <c r="I2823" s="364" t="s">
        <v>15012</v>
      </c>
      <c r="J2823" s="367">
        <v>41906</v>
      </c>
      <c r="K2823" s="364" t="s">
        <v>15024</v>
      </c>
      <c r="L2823" s="364"/>
      <c r="M2823" s="364" t="s">
        <v>10084</v>
      </c>
      <c r="N2823" s="364"/>
      <c r="O2823" s="364" t="s">
        <v>57</v>
      </c>
      <c r="P2823" s="373">
        <v>183750000</v>
      </c>
      <c r="Q2823" s="364" t="s">
        <v>15023</v>
      </c>
      <c r="R2823" s="364" t="s">
        <v>15013</v>
      </c>
      <c r="S2823" s="340">
        <v>1</v>
      </c>
    </row>
    <row r="2824" spans="1:19" ht="31" x14ac:dyDescent="0.35">
      <c r="A2824" s="349">
        <v>2813</v>
      </c>
      <c r="B2824" s="364" t="s">
        <v>10155</v>
      </c>
      <c r="C2824" s="364" t="s">
        <v>10156</v>
      </c>
      <c r="D2824" s="366" t="s">
        <v>51</v>
      </c>
      <c r="E2824" s="366" t="s">
        <v>10082</v>
      </c>
      <c r="F2824" s="366" t="s">
        <v>10078</v>
      </c>
      <c r="G2824" s="366" t="s">
        <v>10088</v>
      </c>
      <c r="H2824" s="366" t="s">
        <v>11384</v>
      </c>
      <c r="I2824" s="364" t="s">
        <v>15025</v>
      </c>
      <c r="J2824" s="367">
        <v>42149</v>
      </c>
      <c r="K2824" s="364" t="s">
        <v>15026</v>
      </c>
      <c r="L2824" s="364"/>
      <c r="M2824" s="364" t="s">
        <v>10084</v>
      </c>
      <c r="N2824" s="364"/>
      <c r="O2824" s="364" t="s">
        <v>57</v>
      </c>
      <c r="P2824" s="373">
        <v>220737500</v>
      </c>
      <c r="Q2824" s="364" t="s">
        <v>15027</v>
      </c>
      <c r="R2824" s="364" t="s">
        <v>9957</v>
      </c>
      <c r="S2824" s="340">
        <v>1</v>
      </c>
    </row>
    <row r="2825" spans="1:19" ht="31.5" thickBot="1" x14ac:dyDescent="0.4">
      <c r="A2825" s="357">
        <v>2814</v>
      </c>
      <c r="B2825" s="364" t="s">
        <v>10080</v>
      </c>
      <c r="C2825" s="364" t="s">
        <v>10081</v>
      </c>
      <c r="D2825" s="366" t="s">
        <v>51</v>
      </c>
      <c r="E2825" s="366" t="s">
        <v>10082</v>
      </c>
      <c r="F2825" s="366" t="s">
        <v>10078</v>
      </c>
      <c r="G2825" s="366" t="s">
        <v>10078</v>
      </c>
      <c r="H2825" s="366" t="s">
        <v>1122</v>
      </c>
      <c r="I2825" s="364" t="s">
        <v>15025</v>
      </c>
      <c r="J2825" s="367"/>
      <c r="K2825" s="364"/>
      <c r="L2825" s="364"/>
      <c r="M2825" s="364" t="s">
        <v>10084</v>
      </c>
      <c r="N2825" s="364"/>
      <c r="O2825" s="364" t="s">
        <v>57</v>
      </c>
      <c r="P2825" s="373">
        <v>109785000</v>
      </c>
      <c r="Q2825" s="364"/>
      <c r="R2825" s="364" t="s">
        <v>9957</v>
      </c>
      <c r="S2825" s="340">
        <v>1</v>
      </c>
    </row>
    <row r="2826" spans="1:19" ht="31" x14ac:dyDescent="0.35">
      <c r="A2826" s="349">
        <v>2815</v>
      </c>
      <c r="B2826" s="364" t="s">
        <v>10080</v>
      </c>
      <c r="C2826" s="364" t="s">
        <v>10081</v>
      </c>
      <c r="D2826" s="366" t="s">
        <v>59</v>
      </c>
      <c r="E2826" s="366" t="s">
        <v>10082</v>
      </c>
      <c r="F2826" s="366" t="s">
        <v>10078</v>
      </c>
      <c r="G2826" s="366" t="s">
        <v>10078</v>
      </c>
      <c r="H2826" s="366" t="s">
        <v>1122</v>
      </c>
      <c r="I2826" s="364" t="s">
        <v>15025</v>
      </c>
      <c r="J2826" s="367"/>
      <c r="K2826" s="364"/>
      <c r="L2826" s="364"/>
      <c r="M2826" s="364" t="s">
        <v>10084</v>
      </c>
      <c r="N2826" s="364"/>
      <c r="O2826" s="364" t="s">
        <v>57</v>
      </c>
      <c r="P2826" s="373">
        <v>142785000</v>
      </c>
      <c r="Q2826" s="364"/>
      <c r="R2826" s="364" t="s">
        <v>9957</v>
      </c>
      <c r="S2826" s="340">
        <v>1</v>
      </c>
    </row>
    <row r="2827" spans="1:19" ht="31.5" thickBot="1" x14ac:dyDescent="0.4">
      <c r="A2827" s="357">
        <v>2816</v>
      </c>
      <c r="B2827" s="364" t="s">
        <v>10080</v>
      </c>
      <c r="C2827" s="364" t="s">
        <v>10081</v>
      </c>
      <c r="D2827" s="366" t="s">
        <v>97</v>
      </c>
      <c r="E2827" s="366" t="s">
        <v>10082</v>
      </c>
      <c r="F2827" s="366" t="s">
        <v>10078</v>
      </c>
      <c r="G2827" s="366" t="s">
        <v>10078</v>
      </c>
      <c r="H2827" s="366" t="s">
        <v>1122</v>
      </c>
      <c r="I2827" s="364" t="s">
        <v>15025</v>
      </c>
      <c r="J2827" s="367"/>
      <c r="K2827" s="364"/>
      <c r="L2827" s="364"/>
      <c r="M2827" s="364" t="s">
        <v>10084</v>
      </c>
      <c r="N2827" s="364"/>
      <c r="O2827" s="364" t="s">
        <v>57</v>
      </c>
      <c r="P2827" s="373">
        <v>451381000</v>
      </c>
      <c r="Q2827" s="364"/>
      <c r="R2827" s="364" t="s">
        <v>9957</v>
      </c>
      <c r="S2827" s="340">
        <v>1</v>
      </c>
    </row>
    <row r="2828" spans="1:19" ht="31" x14ac:dyDescent="0.35">
      <c r="A2828" s="349">
        <v>2817</v>
      </c>
      <c r="B2828" s="364" t="s">
        <v>10080</v>
      </c>
      <c r="C2828" s="364" t="s">
        <v>10081</v>
      </c>
      <c r="D2828" s="366" t="s">
        <v>101</v>
      </c>
      <c r="E2828" s="366" t="s">
        <v>10082</v>
      </c>
      <c r="F2828" s="366" t="s">
        <v>10078</v>
      </c>
      <c r="G2828" s="366" t="s">
        <v>10078</v>
      </c>
      <c r="H2828" s="366" t="s">
        <v>4138</v>
      </c>
      <c r="I2828" s="364" t="s">
        <v>15025</v>
      </c>
      <c r="J2828" s="367"/>
      <c r="K2828" s="364"/>
      <c r="L2828" s="364"/>
      <c r="M2828" s="364" t="s">
        <v>10084</v>
      </c>
      <c r="N2828" s="364"/>
      <c r="O2828" s="364" t="s">
        <v>422</v>
      </c>
      <c r="P2828" s="373">
        <v>110000000</v>
      </c>
      <c r="Q2828" s="364" t="s">
        <v>8603</v>
      </c>
      <c r="R2828" s="364" t="s">
        <v>9957</v>
      </c>
      <c r="S2828" s="340">
        <v>1</v>
      </c>
    </row>
    <row r="2829" spans="1:19" ht="31.5" thickBot="1" x14ac:dyDescent="0.4">
      <c r="A2829" s="357">
        <v>2818</v>
      </c>
      <c r="B2829" s="364" t="s">
        <v>10080</v>
      </c>
      <c r="C2829" s="364" t="s">
        <v>10081</v>
      </c>
      <c r="D2829" s="366" t="s">
        <v>107</v>
      </c>
      <c r="E2829" s="366" t="s">
        <v>10082</v>
      </c>
      <c r="F2829" s="366" t="s">
        <v>10078</v>
      </c>
      <c r="G2829" s="366" t="s">
        <v>10088</v>
      </c>
      <c r="H2829" s="366" t="s">
        <v>11384</v>
      </c>
      <c r="I2829" s="364" t="s">
        <v>15025</v>
      </c>
      <c r="J2829" s="367">
        <v>42328</v>
      </c>
      <c r="K2829" s="364" t="s">
        <v>15028</v>
      </c>
      <c r="L2829" s="364"/>
      <c r="M2829" s="364" t="s">
        <v>10084</v>
      </c>
      <c r="N2829" s="364"/>
      <c r="O2829" s="364" t="s">
        <v>57</v>
      </c>
      <c r="P2829" s="373">
        <v>220964000</v>
      </c>
      <c r="Q2829" s="364" t="s">
        <v>15029</v>
      </c>
      <c r="R2829" s="364" t="s">
        <v>9957</v>
      </c>
      <c r="S2829" s="340">
        <v>1</v>
      </c>
    </row>
    <row r="2830" spans="1:19" ht="46.5" x14ac:dyDescent="0.35">
      <c r="A2830" s="349">
        <v>2819</v>
      </c>
      <c r="B2830" s="364" t="s">
        <v>10110</v>
      </c>
      <c r="C2830" s="364" t="s">
        <v>10111</v>
      </c>
      <c r="D2830" s="366" t="s">
        <v>51</v>
      </c>
      <c r="E2830" s="366" t="s">
        <v>10082</v>
      </c>
      <c r="F2830" s="366" t="s">
        <v>10078</v>
      </c>
      <c r="G2830" s="366" t="s">
        <v>10078</v>
      </c>
      <c r="H2830" s="366" t="s">
        <v>11870</v>
      </c>
      <c r="I2830" s="364" t="s">
        <v>15030</v>
      </c>
      <c r="J2830" s="367">
        <v>43966</v>
      </c>
      <c r="K2830" s="364" t="s">
        <v>15031</v>
      </c>
      <c r="L2830" s="364"/>
      <c r="M2830" s="364" t="s">
        <v>10084</v>
      </c>
      <c r="N2830" s="364"/>
      <c r="O2830" s="364" t="s">
        <v>57</v>
      </c>
      <c r="P2830" s="373">
        <v>76950000</v>
      </c>
      <c r="Q2830" s="364" t="s">
        <v>15032</v>
      </c>
      <c r="R2830" s="364" t="s">
        <v>9957</v>
      </c>
      <c r="S2830" s="340">
        <v>1</v>
      </c>
    </row>
    <row r="2831" spans="1:19" ht="31.5" thickBot="1" x14ac:dyDescent="0.4">
      <c r="A2831" s="357">
        <v>2820</v>
      </c>
      <c r="B2831" s="364" t="s">
        <v>10110</v>
      </c>
      <c r="C2831" s="364" t="s">
        <v>10111</v>
      </c>
      <c r="D2831" s="366" t="s">
        <v>59</v>
      </c>
      <c r="E2831" s="366" t="s">
        <v>10082</v>
      </c>
      <c r="F2831" s="366" t="s">
        <v>10078</v>
      </c>
      <c r="G2831" s="366" t="s">
        <v>10088</v>
      </c>
      <c r="H2831" s="366" t="s">
        <v>11332</v>
      </c>
      <c r="I2831" s="364" t="s">
        <v>15025</v>
      </c>
      <c r="J2831" s="367">
        <v>42328</v>
      </c>
      <c r="K2831" s="364" t="s">
        <v>15033</v>
      </c>
      <c r="L2831" s="364"/>
      <c r="M2831" s="364" t="s">
        <v>10084</v>
      </c>
      <c r="N2831" s="364"/>
      <c r="O2831" s="364" t="s">
        <v>57</v>
      </c>
      <c r="P2831" s="373">
        <v>133386000</v>
      </c>
      <c r="Q2831" s="364" t="s">
        <v>15034</v>
      </c>
      <c r="R2831" s="364" t="s">
        <v>9957</v>
      </c>
      <c r="S2831" s="340">
        <v>1</v>
      </c>
    </row>
    <row r="2832" spans="1:19" ht="62" x14ac:dyDescent="0.35">
      <c r="A2832" s="349">
        <v>2821</v>
      </c>
      <c r="B2832" s="364" t="s">
        <v>10110</v>
      </c>
      <c r="C2832" s="364" t="s">
        <v>10111</v>
      </c>
      <c r="D2832" s="366" t="s">
        <v>97</v>
      </c>
      <c r="E2832" s="366" t="s">
        <v>10082</v>
      </c>
      <c r="F2832" s="366" t="s">
        <v>10078</v>
      </c>
      <c r="G2832" s="366" t="s">
        <v>10088</v>
      </c>
      <c r="H2832" s="366" t="s">
        <v>12007</v>
      </c>
      <c r="I2832" s="364" t="s">
        <v>11329</v>
      </c>
      <c r="J2832" s="367">
        <v>44749</v>
      </c>
      <c r="K2832" s="364" t="s">
        <v>15035</v>
      </c>
      <c r="L2832" s="364"/>
      <c r="M2832" s="364"/>
      <c r="N2832" s="364"/>
      <c r="O2832" s="364" t="s">
        <v>44</v>
      </c>
      <c r="P2832" s="373">
        <v>328408870</v>
      </c>
      <c r="Q2832" s="364" t="s">
        <v>15036</v>
      </c>
      <c r="R2832" s="364" t="s">
        <v>9957</v>
      </c>
      <c r="S2832" s="340">
        <v>1</v>
      </c>
    </row>
    <row r="2833" spans="1:19" ht="31.5" thickBot="1" x14ac:dyDescent="0.4">
      <c r="A2833" s="357">
        <v>2822</v>
      </c>
      <c r="B2833" s="364" t="s">
        <v>10092</v>
      </c>
      <c r="C2833" s="364" t="s">
        <v>10093</v>
      </c>
      <c r="D2833" s="366" t="s">
        <v>51</v>
      </c>
      <c r="E2833" s="366" t="s">
        <v>10082</v>
      </c>
      <c r="F2833" s="366" t="s">
        <v>10078</v>
      </c>
      <c r="G2833" s="366" t="s">
        <v>10088</v>
      </c>
      <c r="H2833" s="366" t="s">
        <v>11409</v>
      </c>
      <c r="I2833" s="364" t="s">
        <v>15025</v>
      </c>
      <c r="J2833" s="367"/>
      <c r="K2833" s="364"/>
      <c r="L2833" s="364"/>
      <c r="M2833" s="364" t="s">
        <v>10084</v>
      </c>
      <c r="N2833" s="364"/>
      <c r="O2833" s="364" t="s">
        <v>57</v>
      </c>
      <c r="P2833" s="373">
        <v>341447052</v>
      </c>
      <c r="Q2833" s="364"/>
      <c r="R2833" s="364" t="s">
        <v>9957</v>
      </c>
      <c r="S2833" s="340">
        <v>1</v>
      </c>
    </row>
    <row r="2834" spans="1:19" ht="15.5" x14ac:dyDescent="0.35">
      <c r="A2834" s="349">
        <v>2823</v>
      </c>
      <c r="B2834" s="364" t="s">
        <v>10765</v>
      </c>
      <c r="C2834" s="364" t="s">
        <v>10766</v>
      </c>
      <c r="D2834" s="366" t="s">
        <v>51</v>
      </c>
      <c r="E2834" s="366" t="s">
        <v>10082</v>
      </c>
      <c r="F2834" s="366" t="s">
        <v>10078</v>
      </c>
      <c r="G2834" s="366" t="s">
        <v>10078</v>
      </c>
      <c r="H2834" s="366" t="s">
        <v>2972</v>
      </c>
      <c r="I2834" s="364" t="s">
        <v>15037</v>
      </c>
      <c r="J2834" s="367">
        <v>42149</v>
      </c>
      <c r="K2834" s="364" t="s">
        <v>15038</v>
      </c>
      <c r="L2834" s="364"/>
      <c r="M2834" s="364" t="s">
        <v>10084</v>
      </c>
      <c r="N2834" s="364"/>
      <c r="O2834" s="364" t="s">
        <v>57</v>
      </c>
      <c r="P2834" s="373">
        <v>221278000</v>
      </c>
      <c r="Q2834" s="364" t="s">
        <v>15039</v>
      </c>
      <c r="R2834" s="364" t="s">
        <v>9957</v>
      </c>
      <c r="S2834" s="340">
        <v>1</v>
      </c>
    </row>
    <row r="2835" spans="1:19" ht="31.5" thickBot="1" x14ac:dyDescent="0.4">
      <c r="A2835" s="357">
        <v>2824</v>
      </c>
      <c r="B2835" s="364" t="s">
        <v>10085</v>
      </c>
      <c r="C2835" s="364" t="s">
        <v>10086</v>
      </c>
      <c r="D2835" s="366" t="s">
        <v>97</v>
      </c>
      <c r="E2835" s="366" t="s">
        <v>10082</v>
      </c>
      <c r="F2835" s="366" t="s">
        <v>10078</v>
      </c>
      <c r="G2835" s="366" t="s">
        <v>10078</v>
      </c>
      <c r="H2835" s="366" t="s">
        <v>11308</v>
      </c>
      <c r="I2835" s="364" t="s">
        <v>15025</v>
      </c>
      <c r="J2835" s="367"/>
      <c r="K2835" s="364"/>
      <c r="L2835" s="364"/>
      <c r="M2835" s="364" t="s">
        <v>10084</v>
      </c>
      <c r="N2835" s="364"/>
      <c r="O2835" s="364" t="s">
        <v>57</v>
      </c>
      <c r="P2835" s="373">
        <v>243599947.5</v>
      </c>
      <c r="Q2835" s="364"/>
      <c r="R2835" s="364" t="s">
        <v>9957</v>
      </c>
      <c r="S2835" s="340">
        <v>1</v>
      </c>
    </row>
    <row r="2836" spans="1:19" ht="31" x14ac:dyDescent="0.35">
      <c r="A2836" s="349">
        <v>2825</v>
      </c>
      <c r="B2836" s="364" t="s">
        <v>10085</v>
      </c>
      <c r="C2836" s="364" t="s">
        <v>10086</v>
      </c>
      <c r="D2836" s="366" t="s">
        <v>101</v>
      </c>
      <c r="E2836" s="366" t="s">
        <v>10082</v>
      </c>
      <c r="F2836" s="366" t="s">
        <v>10078</v>
      </c>
      <c r="G2836" s="366" t="s">
        <v>10078</v>
      </c>
      <c r="H2836" s="366" t="s">
        <v>11308</v>
      </c>
      <c r="I2836" s="364" t="s">
        <v>15025</v>
      </c>
      <c r="J2836" s="367"/>
      <c r="K2836" s="364"/>
      <c r="L2836" s="364"/>
      <c r="M2836" s="364" t="s">
        <v>10084</v>
      </c>
      <c r="N2836" s="364"/>
      <c r="O2836" s="364" t="s">
        <v>57</v>
      </c>
      <c r="P2836" s="373">
        <v>45541000</v>
      </c>
      <c r="Q2836" s="364"/>
      <c r="R2836" s="364" t="s">
        <v>9957</v>
      </c>
      <c r="S2836" s="340">
        <v>1</v>
      </c>
    </row>
    <row r="2837" spans="1:19" ht="31.5" thickBot="1" x14ac:dyDescent="0.4">
      <c r="A2837" s="357">
        <v>2826</v>
      </c>
      <c r="B2837" s="364" t="s">
        <v>10096</v>
      </c>
      <c r="C2837" s="364" t="s">
        <v>10097</v>
      </c>
      <c r="D2837" s="366" t="s">
        <v>51</v>
      </c>
      <c r="E2837" s="366" t="s">
        <v>10082</v>
      </c>
      <c r="F2837" s="366" t="s">
        <v>10078</v>
      </c>
      <c r="G2837" s="366" t="s">
        <v>10088</v>
      </c>
      <c r="H2837" s="366" t="s">
        <v>13033</v>
      </c>
      <c r="I2837" s="364" t="s">
        <v>15025</v>
      </c>
      <c r="J2837" s="367">
        <v>42149</v>
      </c>
      <c r="K2837" s="364" t="s">
        <v>15040</v>
      </c>
      <c r="L2837" s="364"/>
      <c r="M2837" s="364" t="s">
        <v>10084</v>
      </c>
      <c r="N2837" s="364"/>
      <c r="O2837" s="364" t="s">
        <v>57</v>
      </c>
      <c r="P2837" s="373">
        <v>353935900</v>
      </c>
      <c r="Q2837" s="364" t="s">
        <v>15041</v>
      </c>
      <c r="R2837" s="364" t="s">
        <v>9957</v>
      </c>
      <c r="S2837" s="340">
        <v>1</v>
      </c>
    </row>
    <row r="2838" spans="1:19" ht="31" x14ac:dyDescent="0.35">
      <c r="A2838" s="349">
        <v>2827</v>
      </c>
      <c r="B2838" s="364" t="s">
        <v>10080</v>
      </c>
      <c r="C2838" s="364" t="s">
        <v>10081</v>
      </c>
      <c r="D2838" s="366" t="s">
        <v>51</v>
      </c>
      <c r="E2838" s="366" t="s">
        <v>10082</v>
      </c>
      <c r="F2838" s="366" t="s">
        <v>10078</v>
      </c>
      <c r="G2838" s="366" t="s">
        <v>10078</v>
      </c>
      <c r="H2838" s="366" t="s">
        <v>13436</v>
      </c>
      <c r="I2838" s="364" t="s">
        <v>15042</v>
      </c>
      <c r="J2838" s="367"/>
      <c r="K2838" s="364"/>
      <c r="L2838" s="364"/>
      <c r="M2838" s="364" t="s">
        <v>10084</v>
      </c>
      <c r="N2838" s="364"/>
      <c r="O2838" s="364" t="s">
        <v>422</v>
      </c>
      <c r="P2838" s="373">
        <v>90000000</v>
      </c>
      <c r="Q2838" s="364" t="s">
        <v>8603</v>
      </c>
      <c r="R2838" s="364" t="s">
        <v>9959</v>
      </c>
      <c r="S2838" s="340">
        <v>1</v>
      </c>
    </row>
    <row r="2839" spans="1:19" ht="31.5" thickBot="1" x14ac:dyDescent="0.4">
      <c r="A2839" s="357">
        <v>2828</v>
      </c>
      <c r="B2839" s="364" t="s">
        <v>10080</v>
      </c>
      <c r="C2839" s="364" t="s">
        <v>10081</v>
      </c>
      <c r="D2839" s="366" t="s">
        <v>59</v>
      </c>
      <c r="E2839" s="366" t="s">
        <v>10082</v>
      </c>
      <c r="F2839" s="366" t="s">
        <v>10078</v>
      </c>
      <c r="G2839" s="366" t="s">
        <v>10078</v>
      </c>
      <c r="H2839" s="366" t="s">
        <v>13811</v>
      </c>
      <c r="I2839" s="364" t="s">
        <v>15043</v>
      </c>
      <c r="J2839" s="367"/>
      <c r="K2839" s="364"/>
      <c r="L2839" s="364"/>
      <c r="M2839" s="364" t="s">
        <v>10084</v>
      </c>
      <c r="N2839" s="364"/>
      <c r="O2839" s="364" t="s">
        <v>57</v>
      </c>
      <c r="P2839" s="373">
        <v>501529000</v>
      </c>
      <c r="Q2839" s="364"/>
      <c r="R2839" s="364" t="s">
        <v>9959</v>
      </c>
      <c r="S2839" s="340">
        <v>1</v>
      </c>
    </row>
    <row r="2840" spans="1:19" ht="31" x14ac:dyDescent="0.35">
      <c r="A2840" s="349">
        <v>2829</v>
      </c>
      <c r="B2840" s="364" t="s">
        <v>10080</v>
      </c>
      <c r="C2840" s="364" t="s">
        <v>10081</v>
      </c>
      <c r="D2840" s="366" t="s">
        <v>97</v>
      </c>
      <c r="E2840" s="366" t="s">
        <v>10082</v>
      </c>
      <c r="F2840" s="366" t="s">
        <v>10078</v>
      </c>
      <c r="G2840" s="366" t="s">
        <v>10078</v>
      </c>
      <c r="H2840" s="366" t="s">
        <v>11400</v>
      </c>
      <c r="I2840" s="364" t="s">
        <v>15043</v>
      </c>
      <c r="J2840" s="367"/>
      <c r="K2840" s="364"/>
      <c r="L2840" s="364"/>
      <c r="M2840" s="364" t="s">
        <v>10084</v>
      </c>
      <c r="N2840" s="364"/>
      <c r="O2840" s="364" t="s">
        <v>57</v>
      </c>
      <c r="P2840" s="373">
        <v>568680520.60000002</v>
      </c>
      <c r="Q2840" s="364"/>
      <c r="R2840" s="364" t="s">
        <v>9959</v>
      </c>
      <c r="S2840" s="340">
        <v>1</v>
      </c>
    </row>
    <row r="2841" spans="1:19" ht="47" thickBot="1" x14ac:dyDescent="0.4">
      <c r="A2841" s="357">
        <v>2830</v>
      </c>
      <c r="B2841" s="364" t="s">
        <v>10080</v>
      </c>
      <c r="C2841" s="364" t="s">
        <v>10081</v>
      </c>
      <c r="D2841" s="366" t="s">
        <v>101</v>
      </c>
      <c r="E2841" s="366" t="s">
        <v>10082</v>
      </c>
      <c r="F2841" s="366" t="s">
        <v>10078</v>
      </c>
      <c r="G2841" s="366" t="s">
        <v>10088</v>
      </c>
      <c r="H2841" s="366" t="s">
        <v>12017</v>
      </c>
      <c r="I2841" s="364" t="s">
        <v>15044</v>
      </c>
      <c r="J2841" s="367"/>
      <c r="K2841" s="364" t="s">
        <v>15045</v>
      </c>
      <c r="L2841" s="364"/>
      <c r="M2841" s="364"/>
      <c r="N2841" s="364"/>
      <c r="O2841" s="364" t="s">
        <v>44</v>
      </c>
      <c r="P2841" s="373">
        <v>275656948.99999994</v>
      </c>
      <c r="Q2841" s="364" t="s">
        <v>15046</v>
      </c>
      <c r="R2841" s="364" t="s">
        <v>9959</v>
      </c>
      <c r="S2841" s="340">
        <v>1</v>
      </c>
    </row>
    <row r="2842" spans="1:19" ht="31" x14ac:dyDescent="0.35">
      <c r="A2842" s="349">
        <v>2831</v>
      </c>
      <c r="B2842" s="364" t="s">
        <v>10110</v>
      </c>
      <c r="C2842" s="364" t="s">
        <v>10111</v>
      </c>
      <c r="D2842" s="366" t="s">
        <v>51</v>
      </c>
      <c r="E2842" s="366" t="s">
        <v>10082</v>
      </c>
      <c r="F2842" s="366" t="s">
        <v>10078</v>
      </c>
      <c r="G2842" s="366" t="s">
        <v>10088</v>
      </c>
      <c r="H2842" s="366" t="s">
        <v>11332</v>
      </c>
      <c r="I2842" s="364" t="s">
        <v>15042</v>
      </c>
      <c r="J2842" s="367">
        <v>42151</v>
      </c>
      <c r="K2842" s="364" t="s">
        <v>15047</v>
      </c>
      <c r="L2842" s="364"/>
      <c r="M2842" s="364" t="s">
        <v>10084</v>
      </c>
      <c r="N2842" s="364"/>
      <c r="O2842" s="364" t="s">
        <v>57</v>
      </c>
      <c r="P2842" s="373">
        <v>82162500</v>
      </c>
      <c r="Q2842" s="364" t="s">
        <v>15048</v>
      </c>
      <c r="R2842" s="364" t="s">
        <v>9959</v>
      </c>
      <c r="S2842" s="340">
        <v>1</v>
      </c>
    </row>
    <row r="2843" spans="1:19" ht="31.5" thickBot="1" x14ac:dyDescent="0.4">
      <c r="A2843" s="357">
        <v>2832</v>
      </c>
      <c r="B2843" s="364" t="s">
        <v>10085</v>
      </c>
      <c r="C2843" s="364" t="s">
        <v>10086</v>
      </c>
      <c r="D2843" s="366" t="s">
        <v>51</v>
      </c>
      <c r="E2843" s="366" t="s">
        <v>10082</v>
      </c>
      <c r="F2843" s="366" t="s">
        <v>10078</v>
      </c>
      <c r="G2843" s="366" t="s">
        <v>10078</v>
      </c>
      <c r="H2843" s="366" t="s">
        <v>11308</v>
      </c>
      <c r="I2843" s="364" t="s">
        <v>15042</v>
      </c>
      <c r="J2843" s="367"/>
      <c r="K2843" s="364"/>
      <c r="L2843" s="364"/>
      <c r="M2843" s="364" t="s">
        <v>10084</v>
      </c>
      <c r="N2843" s="364"/>
      <c r="O2843" s="364" t="s">
        <v>57</v>
      </c>
      <c r="P2843" s="373">
        <v>62889000</v>
      </c>
      <c r="Q2843" s="364"/>
      <c r="R2843" s="364" t="s">
        <v>9959</v>
      </c>
      <c r="S2843" s="340">
        <v>1</v>
      </c>
    </row>
    <row r="2844" spans="1:19" ht="31" x14ac:dyDescent="0.35">
      <c r="A2844" s="349">
        <v>2833</v>
      </c>
      <c r="B2844" s="364" t="s">
        <v>10085</v>
      </c>
      <c r="C2844" s="364" t="s">
        <v>10086</v>
      </c>
      <c r="D2844" s="366" t="s">
        <v>59</v>
      </c>
      <c r="E2844" s="366" t="s">
        <v>10082</v>
      </c>
      <c r="F2844" s="366" t="s">
        <v>10078</v>
      </c>
      <c r="G2844" s="366" t="s">
        <v>10078</v>
      </c>
      <c r="H2844" s="366" t="s">
        <v>11308</v>
      </c>
      <c r="I2844" s="364" t="s">
        <v>15042</v>
      </c>
      <c r="J2844" s="367"/>
      <c r="K2844" s="364"/>
      <c r="L2844" s="364"/>
      <c r="M2844" s="364" t="s">
        <v>10084</v>
      </c>
      <c r="N2844" s="364"/>
      <c r="O2844" s="364" t="s">
        <v>57</v>
      </c>
      <c r="P2844" s="373">
        <v>62889000</v>
      </c>
      <c r="Q2844" s="364"/>
      <c r="R2844" s="364" t="s">
        <v>9959</v>
      </c>
      <c r="S2844" s="340">
        <v>1</v>
      </c>
    </row>
    <row r="2845" spans="1:19" ht="47" thickBot="1" x14ac:dyDescent="0.4">
      <c r="A2845" s="357">
        <v>2834</v>
      </c>
      <c r="B2845" s="364" t="s">
        <v>10146</v>
      </c>
      <c r="C2845" s="364" t="s">
        <v>10147</v>
      </c>
      <c r="D2845" s="366" t="s">
        <v>51</v>
      </c>
      <c r="E2845" s="366" t="s">
        <v>10082</v>
      </c>
      <c r="F2845" s="366" t="s">
        <v>10078</v>
      </c>
      <c r="G2845" s="366" t="s">
        <v>10088</v>
      </c>
      <c r="H2845" s="366" t="s">
        <v>11324</v>
      </c>
      <c r="I2845" s="364" t="s">
        <v>11329</v>
      </c>
      <c r="J2845" s="367">
        <v>44760</v>
      </c>
      <c r="K2845" s="364" t="s">
        <v>15049</v>
      </c>
      <c r="L2845" s="364"/>
      <c r="M2845" s="364"/>
      <c r="N2845" s="364"/>
      <c r="O2845" s="364" t="s">
        <v>44</v>
      </c>
      <c r="P2845" s="373">
        <v>192141600</v>
      </c>
      <c r="Q2845" s="364" t="s">
        <v>15050</v>
      </c>
      <c r="R2845" s="364" t="s">
        <v>9959</v>
      </c>
      <c r="S2845" s="340">
        <v>1</v>
      </c>
    </row>
    <row r="2846" spans="1:19" ht="31" x14ac:dyDescent="0.35">
      <c r="A2846" s="349">
        <v>2835</v>
      </c>
      <c r="B2846" s="364" t="s">
        <v>10096</v>
      </c>
      <c r="C2846" s="364" t="s">
        <v>10097</v>
      </c>
      <c r="D2846" s="366" t="s">
        <v>51</v>
      </c>
      <c r="E2846" s="366" t="s">
        <v>10082</v>
      </c>
      <c r="F2846" s="366" t="s">
        <v>10078</v>
      </c>
      <c r="G2846" s="366" t="s">
        <v>10078</v>
      </c>
      <c r="H2846" s="366" t="s">
        <v>12459</v>
      </c>
      <c r="I2846" s="364" t="s">
        <v>15042</v>
      </c>
      <c r="J2846" s="367"/>
      <c r="K2846" s="364"/>
      <c r="L2846" s="364"/>
      <c r="M2846" s="364" t="s">
        <v>10084</v>
      </c>
      <c r="N2846" s="364"/>
      <c r="O2846" s="364" t="s">
        <v>57</v>
      </c>
      <c r="P2846" s="373">
        <v>420349000</v>
      </c>
      <c r="Q2846" s="364" t="s">
        <v>15051</v>
      </c>
      <c r="R2846" s="364" t="s">
        <v>9959</v>
      </c>
      <c r="S2846" s="340">
        <v>1</v>
      </c>
    </row>
    <row r="2847" spans="1:19" ht="31.5" thickBot="1" x14ac:dyDescent="0.4">
      <c r="A2847" s="357">
        <v>2836</v>
      </c>
      <c r="B2847" s="364" t="s">
        <v>10080</v>
      </c>
      <c r="C2847" s="364" t="s">
        <v>10081</v>
      </c>
      <c r="D2847" s="366" t="s">
        <v>51</v>
      </c>
      <c r="E2847" s="366" t="s">
        <v>10082</v>
      </c>
      <c r="F2847" s="366" t="s">
        <v>10078</v>
      </c>
      <c r="G2847" s="366" t="s">
        <v>10078</v>
      </c>
      <c r="H2847" s="366" t="s">
        <v>11308</v>
      </c>
      <c r="I2847" s="364" t="s">
        <v>15052</v>
      </c>
      <c r="J2847" s="367"/>
      <c r="K2847" s="364"/>
      <c r="L2847" s="364"/>
      <c r="M2847" s="364" t="s">
        <v>10084</v>
      </c>
      <c r="N2847" s="364"/>
      <c r="O2847" s="364" t="s">
        <v>57</v>
      </c>
      <c r="P2847" s="373">
        <v>99694000</v>
      </c>
      <c r="Q2847" s="364"/>
      <c r="R2847" s="364" t="s">
        <v>9961</v>
      </c>
      <c r="S2847" s="340">
        <v>1</v>
      </c>
    </row>
    <row r="2848" spans="1:19" ht="31" x14ac:dyDescent="0.35">
      <c r="A2848" s="349">
        <v>2837</v>
      </c>
      <c r="B2848" s="364" t="s">
        <v>10080</v>
      </c>
      <c r="C2848" s="364" t="s">
        <v>10081</v>
      </c>
      <c r="D2848" s="366" t="s">
        <v>59</v>
      </c>
      <c r="E2848" s="366" t="s">
        <v>10082</v>
      </c>
      <c r="F2848" s="366" t="s">
        <v>10078</v>
      </c>
      <c r="G2848" s="366" t="s">
        <v>10078</v>
      </c>
      <c r="H2848" s="366" t="s">
        <v>11400</v>
      </c>
      <c r="I2848" s="364" t="s">
        <v>15052</v>
      </c>
      <c r="J2848" s="367"/>
      <c r="K2848" s="364"/>
      <c r="L2848" s="364"/>
      <c r="M2848" s="364" t="s">
        <v>10084</v>
      </c>
      <c r="N2848" s="364"/>
      <c r="O2848" s="364" t="s">
        <v>57</v>
      </c>
      <c r="P2848" s="373">
        <v>336145235</v>
      </c>
      <c r="Q2848" s="364"/>
      <c r="R2848" s="364" t="s">
        <v>9961</v>
      </c>
      <c r="S2848" s="340">
        <v>1</v>
      </c>
    </row>
    <row r="2849" spans="1:19" ht="31.5" thickBot="1" x14ac:dyDescent="0.4">
      <c r="A2849" s="357">
        <v>2838</v>
      </c>
      <c r="B2849" s="364" t="s">
        <v>10080</v>
      </c>
      <c r="C2849" s="364" t="s">
        <v>10081</v>
      </c>
      <c r="D2849" s="366" t="s">
        <v>97</v>
      </c>
      <c r="E2849" s="366" t="s">
        <v>10082</v>
      </c>
      <c r="F2849" s="366" t="s">
        <v>10078</v>
      </c>
      <c r="G2849" s="366" t="s">
        <v>10078</v>
      </c>
      <c r="H2849" s="366" t="s">
        <v>11400</v>
      </c>
      <c r="I2849" s="364" t="s">
        <v>15052</v>
      </c>
      <c r="J2849" s="367"/>
      <c r="K2849" s="364"/>
      <c r="L2849" s="364"/>
      <c r="M2849" s="364" t="s">
        <v>10084</v>
      </c>
      <c r="N2849" s="364"/>
      <c r="O2849" s="364" t="s">
        <v>57</v>
      </c>
      <c r="P2849" s="373">
        <v>125469000</v>
      </c>
      <c r="Q2849" s="364"/>
      <c r="R2849" s="364" t="s">
        <v>9961</v>
      </c>
      <c r="S2849" s="340">
        <v>1</v>
      </c>
    </row>
    <row r="2850" spans="1:19" ht="31" x14ac:dyDescent="0.35">
      <c r="A2850" s="349">
        <v>2839</v>
      </c>
      <c r="B2850" s="364" t="s">
        <v>10080</v>
      </c>
      <c r="C2850" s="364" t="s">
        <v>10081</v>
      </c>
      <c r="D2850" s="366" t="s">
        <v>101</v>
      </c>
      <c r="E2850" s="366" t="s">
        <v>10082</v>
      </c>
      <c r="F2850" s="366" t="s">
        <v>10078</v>
      </c>
      <c r="G2850" s="366" t="s">
        <v>10078</v>
      </c>
      <c r="H2850" s="366" t="s">
        <v>12157</v>
      </c>
      <c r="I2850" s="364" t="s">
        <v>15052</v>
      </c>
      <c r="J2850" s="367">
        <v>41904</v>
      </c>
      <c r="K2850" s="364" t="s">
        <v>15053</v>
      </c>
      <c r="L2850" s="364"/>
      <c r="M2850" s="364" t="s">
        <v>10084</v>
      </c>
      <c r="N2850" s="364"/>
      <c r="O2850" s="364" t="s">
        <v>57</v>
      </c>
      <c r="P2850" s="373">
        <v>138931900</v>
      </c>
      <c r="Q2850" s="364" t="s">
        <v>15054</v>
      </c>
      <c r="R2850" s="364" t="s">
        <v>9961</v>
      </c>
      <c r="S2850" s="340">
        <v>1</v>
      </c>
    </row>
    <row r="2851" spans="1:19" ht="31.5" thickBot="1" x14ac:dyDescent="0.4">
      <c r="A2851" s="357">
        <v>2840</v>
      </c>
      <c r="B2851" s="364" t="s">
        <v>10110</v>
      </c>
      <c r="C2851" s="364" t="s">
        <v>10111</v>
      </c>
      <c r="D2851" s="366" t="s">
        <v>51</v>
      </c>
      <c r="E2851" s="366" t="s">
        <v>10082</v>
      </c>
      <c r="F2851" s="366" t="s">
        <v>10078</v>
      </c>
      <c r="G2851" s="366" t="s">
        <v>10078</v>
      </c>
      <c r="H2851" s="366" t="s">
        <v>11332</v>
      </c>
      <c r="I2851" s="364" t="s">
        <v>15052</v>
      </c>
      <c r="J2851" s="367"/>
      <c r="K2851" s="364"/>
      <c r="L2851" s="364"/>
      <c r="M2851" s="364" t="s">
        <v>10084</v>
      </c>
      <c r="N2851" s="364"/>
      <c r="O2851" s="364" t="s">
        <v>57</v>
      </c>
      <c r="P2851" s="373">
        <v>10223000</v>
      </c>
      <c r="Q2851" s="364"/>
      <c r="R2851" s="364" t="s">
        <v>9961</v>
      </c>
      <c r="S2851" s="340">
        <v>1</v>
      </c>
    </row>
    <row r="2852" spans="1:19" ht="31" x14ac:dyDescent="0.35">
      <c r="A2852" s="349">
        <v>2841</v>
      </c>
      <c r="B2852" s="364" t="s">
        <v>10080</v>
      </c>
      <c r="C2852" s="364" t="s">
        <v>10081</v>
      </c>
      <c r="D2852" s="366" t="s">
        <v>51</v>
      </c>
      <c r="E2852" s="366" t="s">
        <v>10082</v>
      </c>
      <c r="F2852" s="366" t="s">
        <v>10078</v>
      </c>
      <c r="G2852" s="366" t="s">
        <v>10078</v>
      </c>
      <c r="H2852" s="366" t="s">
        <v>1122</v>
      </c>
      <c r="I2852" s="364" t="s">
        <v>15055</v>
      </c>
      <c r="J2852" s="367"/>
      <c r="K2852" s="364"/>
      <c r="L2852" s="364"/>
      <c r="M2852" s="364" t="s">
        <v>10084</v>
      </c>
      <c r="N2852" s="364"/>
      <c r="O2852" s="364" t="s">
        <v>57</v>
      </c>
      <c r="P2852" s="373">
        <v>459622952.00000006</v>
      </c>
      <c r="Q2852" s="364"/>
      <c r="R2852" s="364" t="s">
        <v>9963</v>
      </c>
      <c r="S2852" s="340">
        <v>1</v>
      </c>
    </row>
    <row r="2853" spans="1:19" ht="31.5" thickBot="1" x14ac:dyDescent="0.4">
      <c r="A2853" s="357">
        <v>2842</v>
      </c>
      <c r="B2853" s="364" t="s">
        <v>10080</v>
      </c>
      <c r="C2853" s="364" t="s">
        <v>10081</v>
      </c>
      <c r="D2853" s="366" t="s">
        <v>59</v>
      </c>
      <c r="E2853" s="366" t="s">
        <v>10082</v>
      </c>
      <c r="F2853" s="366" t="s">
        <v>10078</v>
      </c>
      <c r="G2853" s="366" t="s">
        <v>10078</v>
      </c>
      <c r="H2853" s="366" t="s">
        <v>11960</v>
      </c>
      <c r="I2853" s="364" t="s">
        <v>15055</v>
      </c>
      <c r="J2853" s="367"/>
      <c r="K2853" s="364"/>
      <c r="L2853" s="364"/>
      <c r="M2853" s="364" t="s">
        <v>10084</v>
      </c>
      <c r="N2853" s="364"/>
      <c r="O2853" s="364" t="s">
        <v>57</v>
      </c>
      <c r="P2853" s="373">
        <v>265701500</v>
      </c>
      <c r="Q2853" s="364"/>
      <c r="R2853" s="364" t="s">
        <v>9963</v>
      </c>
      <c r="S2853" s="340">
        <v>1</v>
      </c>
    </row>
    <row r="2854" spans="1:19" ht="31" x14ac:dyDescent="0.35">
      <c r="A2854" s="349">
        <v>2843</v>
      </c>
      <c r="B2854" s="364" t="s">
        <v>10080</v>
      </c>
      <c r="C2854" s="364" t="s">
        <v>10081</v>
      </c>
      <c r="D2854" s="366" t="s">
        <v>97</v>
      </c>
      <c r="E2854" s="366" t="s">
        <v>10082</v>
      </c>
      <c r="F2854" s="366" t="s">
        <v>10078</v>
      </c>
      <c r="G2854" s="366" t="s">
        <v>10078</v>
      </c>
      <c r="H2854" s="366" t="s">
        <v>15011</v>
      </c>
      <c r="I2854" s="364" t="s">
        <v>15055</v>
      </c>
      <c r="J2854" s="367"/>
      <c r="K2854" s="364"/>
      <c r="L2854" s="364"/>
      <c r="M2854" s="364" t="s">
        <v>10084</v>
      </c>
      <c r="N2854" s="364"/>
      <c r="O2854" s="364" t="s">
        <v>422</v>
      </c>
      <c r="P2854" s="373">
        <v>108000000</v>
      </c>
      <c r="Q2854" s="364" t="s">
        <v>8603</v>
      </c>
      <c r="R2854" s="364" t="s">
        <v>9963</v>
      </c>
      <c r="S2854" s="340">
        <v>1</v>
      </c>
    </row>
    <row r="2855" spans="1:19" ht="31.5" thickBot="1" x14ac:dyDescent="0.4">
      <c r="A2855" s="357">
        <v>2844</v>
      </c>
      <c r="B2855" s="364" t="s">
        <v>10080</v>
      </c>
      <c r="C2855" s="364" t="s">
        <v>10081</v>
      </c>
      <c r="D2855" s="366" t="s">
        <v>101</v>
      </c>
      <c r="E2855" s="366" t="s">
        <v>10082</v>
      </c>
      <c r="F2855" s="366" t="s">
        <v>10078</v>
      </c>
      <c r="G2855" s="366" t="s">
        <v>10078</v>
      </c>
      <c r="H2855" s="366" t="s">
        <v>13157</v>
      </c>
      <c r="I2855" s="364" t="s">
        <v>15055</v>
      </c>
      <c r="J2855" s="367">
        <v>41904</v>
      </c>
      <c r="K2855" s="364" t="s">
        <v>15056</v>
      </c>
      <c r="L2855" s="364"/>
      <c r="M2855" s="364" t="s">
        <v>10084</v>
      </c>
      <c r="N2855" s="364"/>
      <c r="O2855" s="364" t="s">
        <v>57</v>
      </c>
      <c r="P2855" s="373">
        <v>418427190</v>
      </c>
      <c r="Q2855" s="364" t="s">
        <v>15057</v>
      </c>
      <c r="R2855" s="364" t="s">
        <v>9963</v>
      </c>
      <c r="S2855" s="340">
        <v>1</v>
      </c>
    </row>
    <row r="2856" spans="1:19" ht="31" x14ac:dyDescent="0.35">
      <c r="A2856" s="349">
        <v>2845</v>
      </c>
      <c r="B2856" s="364" t="s">
        <v>10110</v>
      </c>
      <c r="C2856" s="364" t="s">
        <v>10111</v>
      </c>
      <c r="D2856" s="366" t="s">
        <v>59</v>
      </c>
      <c r="E2856" s="366" t="s">
        <v>10082</v>
      </c>
      <c r="F2856" s="366" t="s">
        <v>10078</v>
      </c>
      <c r="G2856" s="366" t="s">
        <v>10088</v>
      </c>
      <c r="H2856" s="366" t="s">
        <v>11332</v>
      </c>
      <c r="I2856" s="364" t="s">
        <v>15055</v>
      </c>
      <c r="J2856" s="367"/>
      <c r="K2856" s="364" t="s">
        <v>15058</v>
      </c>
      <c r="L2856" s="364"/>
      <c r="M2856" s="364"/>
      <c r="N2856" s="364"/>
      <c r="O2856" s="364" t="s">
        <v>44</v>
      </c>
      <c r="P2856" s="373">
        <v>87757745</v>
      </c>
      <c r="Q2856" s="364" t="s">
        <v>15059</v>
      </c>
      <c r="R2856" s="364" t="s">
        <v>9963</v>
      </c>
      <c r="S2856" s="340">
        <v>1</v>
      </c>
    </row>
    <row r="2857" spans="1:19" ht="31.5" thickBot="1" x14ac:dyDescent="0.4">
      <c r="A2857" s="357">
        <v>2846</v>
      </c>
      <c r="B2857" s="364" t="s">
        <v>10092</v>
      </c>
      <c r="C2857" s="364" t="s">
        <v>10093</v>
      </c>
      <c r="D2857" s="366" t="s">
        <v>51</v>
      </c>
      <c r="E2857" s="366" t="s">
        <v>10082</v>
      </c>
      <c r="F2857" s="366" t="s">
        <v>10078</v>
      </c>
      <c r="G2857" s="366" t="s">
        <v>10078</v>
      </c>
      <c r="H2857" s="366" t="s">
        <v>12979</v>
      </c>
      <c r="I2857" s="364" t="s">
        <v>15055</v>
      </c>
      <c r="J2857" s="367"/>
      <c r="K2857" s="364"/>
      <c r="L2857" s="364"/>
      <c r="M2857" s="364" t="s">
        <v>10084</v>
      </c>
      <c r="N2857" s="364"/>
      <c r="O2857" s="364" t="s">
        <v>57</v>
      </c>
      <c r="P2857" s="373">
        <v>152842955</v>
      </c>
      <c r="Q2857" s="364"/>
      <c r="R2857" s="364" t="s">
        <v>9963</v>
      </c>
      <c r="S2857" s="340">
        <v>1</v>
      </c>
    </row>
    <row r="2858" spans="1:19" ht="31" x14ac:dyDescent="0.35">
      <c r="A2858" s="349">
        <v>2847</v>
      </c>
      <c r="B2858" s="364" t="s">
        <v>10085</v>
      </c>
      <c r="C2858" s="364" t="s">
        <v>10086</v>
      </c>
      <c r="D2858" s="366" t="s">
        <v>51</v>
      </c>
      <c r="E2858" s="366" t="s">
        <v>10082</v>
      </c>
      <c r="F2858" s="366" t="s">
        <v>10078</v>
      </c>
      <c r="G2858" s="366" t="s">
        <v>10078</v>
      </c>
      <c r="H2858" s="366" t="s">
        <v>11308</v>
      </c>
      <c r="I2858" s="364" t="s">
        <v>15055</v>
      </c>
      <c r="J2858" s="367"/>
      <c r="K2858" s="364"/>
      <c r="L2858" s="364"/>
      <c r="M2858" s="364" t="s">
        <v>10084</v>
      </c>
      <c r="N2858" s="364"/>
      <c r="O2858" s="364" t="s">
        <v>57</v>
      </c>
      <c r="P2858" s="373">
        <v>58800000</v>
      </c>
      <c r="Q2858" s="364"/>
      <c r="R2858" s="364" t="s">
        <v>9963</v>
      </c>
      <c r="S2858" s="340">
        <v>1</v>
      </c>
    </row>
    <row r="2859" spans="1:19" ht="31.5" thickBot="1" x14ac:dyDescent="0.4">
      <c r="A2859" s="357">
        <v>2848</v>
      </c>
      <c r="B2859" s="364" t="s">
        <v>10085</v>
      </c>
      <c r="C2859" s="364" t="s">
        <v>10086</v>
      </c>
      <c r="D2859" s="366" t="s">
        <v>59</v>
      </c>
      <c r="E2859" s="366" t="s">
        <v>10082</v>
      </c>
      <c r="F2859" s="366" t="s">
        <v>10078</v>
      </c>
      <c r="G2859" s="366" t="s">
        <v>10078</v>
      </c>
      <c r="H2859" s="366" t="s">
        <v>11308</v>
      </c>
      <c r="I2859" s="364" t="s">
        <v>15055</v>
      </c>
      <c r="J2859" s="367"/>
      <c r="K2859" s="364"/>
      <c r="L2859" s="364"/>
      <c r="M2859" s="364" t="s">
        <v>10084</v>
      </c>
      <c r="N2859" s="364"/>
      <c r="O2859" s="364" t="s">
        <v>57</v>
      </c>
      <c r="P2859" s="373">
        <v>58800000</v>
      </c>
      <c r="Q2859" s="364"/>
      <c r="R2859" s="364" t="s">
        <v>9963</v>
      </c>
      <c r="S2859" s="340">
        <v>1</v>
      </c>
    </row>
    <row r="2860" spans="1:19" ht="31" x14ac:dyDescent="0.35">
      <c r="A2860" s="349">
        <v>2849</v>
      </c>
      <c r="B2860" s="364" t="s">
        <v>10080</v>
      </c>
      <c r="C2860" s="364" t="s">
        <v>10081</v>
      </c>
      <c r="D2860" s="366" t="s">
        <v>51</v>
      </c>
      <c r="E2860" s="366" t="s">
        <v>10082</v>
      </c>
      <c r="F2860" s="366" t="s">
        <v>10078</v>
      </c>
      <c r="G2860" s="366" t="s">
        <v>10078</v>
      </c>
      <c r="H2860" s="366" t="s">
        <v>11400</v>
      </c>
      <c r="I2860" s="364" t="s">
        <v>15025</v>
      </c>
      <c r="J2860" s="367"/>
      <c r="K2860" s="364"/>
      <c r="L2860" s="364"/>
      <c r="M2860" s="364" t="s">
        <v>10084</v>
      </c>
      <c r="N2860" s="364"/>
      <c r="O2860" s="364" t="s">
        <v>57</v>
      </c>
      <c r="P2860" s="373">
        <v>420013000</v>
      </c>
      <c r="Q2860" s="364"/>
      <c r="R2860" s="364" t="s">
        <v>9966</v>
      </c>
      <c r="S2860" s="340">
        <v>1</v>
      </c>
    </row>
    <row r="2861" spans="1:19" ht="31.5" thickBot="1" x14ac:dyDescent="0.4">
      <c r="A2861" s="357">
        <v>2850</v>
      </c>
      <c r="B2861" s="364" t="s">
        <v>10080</v>
      </c>
      <c r="C2861" s="364" t="s">
        <v>10081</v>
      </c>
      <c r="D2861" s="366" t="s">
        <v>59</v>
      </c>
      <c r="E2861" s="366" t="s">
        <v>10082</v>
      </c>
      <c r="F2861" s="366" t="s">
        <v>10078</v>
      </c>
      <c r="G2861" s="366" t="s">
        <v>10078</v>
      </c>
      <c r="H2861" s="366" t="s">
        <v>11400</v>
      </c>
      <c r="I2861" s="364" t="s">
        <v>15025</v>
      </c>
      <c r="J2861" s="367"/>
      <c r="K2861" s="364"/>
      <c r="L2861" s="364"/>
      <c r="M2861" s="364" t="s">
        <v>10084</v>
      </c>
      <c r="N2861" s="364"/>
      <c r="O2861" s="364" t="s">
        <v>57</v>
      </c>
      <c r="P2861" s="373">
        <v>148013000</v>
      </c>
      <c r="Q2861" s="364"/>
      <c r="R2861" s="364" t="s">
        <v>9966</v>
      </c>
      <c r="S2861" s="340">
        <v>1</v>
      </c>
    </row>
    <row r="2862" spans="1:19" ht="31" x14ac:dyDescent="0.35">
      <c r="A2862" s="349">
        <v>2851</v>
      </c>
      <c r="B2862" s="364" t="s">
        <v>10080</v>
      </c>
      <c r="C2862" s="364" t="s">
        <v>10081</v>
      </c>
      <c r="D2862" s="366" t="s">
        <v>97</v>
      </c>
      <c r="E2862" s="366" t="s">
        <v>10082</v>
      </c>
      <c r="F2862" s="366" t="s">
        <v>10078</v>
      </c>
      <c r="G2862" s="366" t="s">
        <v>10078</v>
      </c>
      <c r="H2862" s="366" t="s">
        <v>11960</v>
      </c>
      <c r="I2862" s="364" t="s">
        <v>15025</v>
      </c>
      <c r="J2862" s="367"/>
      <c r="K2862" s="364"/>
      <c r="L2862" s="364"/>
      <c r="M2862" s="364" t="s">
        <v>10084</v>
      </c>
      <c r="N2862" s="364"/>
      <c r="O2862" s="364" t="s">
        <v>57</v>
      </c>
      <c r="P2862" s="373">
        <v>230027000</v>
      </c>
      <c r="Q2862" s="364"/>
      <c r="R2862" s="364" t="s">
        <v>9966</v>
      </c>
      <c r="S2862" s="340">
        <v>1</v>
      </c>
    </row>
    <row r="2863" spans="1:19" ht="47" thickBot="1" x14ac:dyDescent="0.4">
      <c r="A2863" s="357">
        <v>2852</v>
      </c>
      <c r="B2863" s="364" t="s">
        <v>10080</v>
      </c>
      <c r="C2863" s="364" t="s">
        <v>10081</v>
      </c>
      <c r="D2863" s="366" t="s">
        <v>101</v>
      </c>
      <c r="E2863" s="366" t="s">
        <v>10082</v>
      </c>
      <c r="F2863" s="366" t="s">
        <v>10078</v>
      </c>
      <c r="G2863" s="366" t="s">
        <v>10088</v>
      </c>
      <c r="H2863" s="366" t="s">
        <v>11870</v>
      </c>
      <c r="I2863" s="364" t="s">
        <v>15060</v>
      </c>
      <c r="J2863" s="367">
        <v>44757</v>
      </c>
      <c r="K2863" s="364" t="s">
        <v>15061</v>
      </c>
      <c r="L2863" s="364"/>
      <c r="M2863" s="364"/>
      <c r="N2863" s="364"/>
      <c r="O2863" s="364" t="s">
        <v>44</v>
      </c>
      <c r="P2863" s="373">
        <v>87917600</v>
      </c>
      <c r="Q2863" s="364" t="s">
        <v>15062</v>
      </c>
      <c r="R2863" s="364" t="s">
        <v>9966</v>
      </c>
      <c r="S2863" s="340">
        <v>1</v>
      </c>
    </row>
    <row r="2864" spans="1:19" ht="46.5" x14ac:dyDescent="0.35">
      <c r="A2864" s="349">
        <v>2853</v>
      </c>
      <c r="B2864" s="364" t="s">
        <v>10110</v>
      </c>
      <c r="C2864" s="364" t="s">
        <v>10111</v>
      </c>
      <c r="D2864" s="366" t="s">
        <v>51</v>
      </c>
      <c r="E2864" s="366" t="s">
        <v>10082</v>
      </c>
      <c r="F2864" s="366" t="s">
        <v>10078</v>
      </c>
      <c r="G2864" s="366" t="s">
        <v>10088</v>
      </c>
      <c r="H2864" s="366" t="s">
        <v>15063</v>
      </c>
      <c r="I2864" s="364" t="s">
        <v>15064</v>
      </c>
      <c r="J2864" s="367">
        <v>44749</v>
      </c>
      <c r="K2864" s="364" t="s">
        <v>15065</v>
      </c>
      <c r="L2864" s="364"/>
      <c r="M2864" s="364"/>
      <c r="N2864" s="364"/>
      <c r="O2864" s="364" t="s">
        <v>44</v>
      </c>
      <c r="P2864" s="373">
        <v>223817000</v>
      </c>
      <c r="Q2864" s="364" t="s">
        <v>15066</v>
      </c>
      <c r="R2864" s="364" t="s">
        <v>9966</v>
      </c>
      <c r="S2864" s="340">
        <v>1</v>
      </c>
    </row>
    <row r="2865" spans="1:19" ht="31.5" thickBot="1" x14ac:dyDescent="0.4">
      <c r="A2865" s="357">
        <v>2854</v>
      </c>
      <c r="B2865" s="364" t="s">
        <v>10092</v>
      </c>
      <c r="C2865" s="364" t="s">
        <v>10093</v>
      </c>
      <c r="D2865" s="366" t="s">
        <v>51</v>
      </c>
      <c r="E2865" s="366" t="s">
        <v>10082</v>
      </c>
      <c r="F2865" s="366" t="s">
        <v>10078</v>
      </c>
      <c r="G2865" s="366" t="s">
        <v>10088</v>
      </c>
      <c r="H2865" s="366" t="s">
        <v>12979</v>
      </c>
      <c r="I2865" s="364" t="s">
        <v>15025</v>
      </c>
      <c r="J2865" s="367">
        <v>41904</v>
      </c>
      <c r="K2865" s="364" t="s">
        <v>10355</v>
      </c>
      <c r="L2865" s="364"/>
      <c r="M2865" s="364" t="s">
        <v>10084</v>
      </c>
      <c r="N2865" s="364"/>
      <c r="O2865" s="364" t="s">
        <v>57</v>
      </c>
      <c r="P2865" s="373">
        <v>147500000</v>
      </c>
      <c r="Q2865" s="364" t="s">
        <v>15067</v>
      </c>
      <c r="R2865" s="364" t="s">
        <v>9966</v>
      </c>
      <c r="S2865" s="340">
        <v>1</v>
      </c>
    </row>
    <row r="2866" spans="1:19" ht="31" x14ac:dyDescent="0.35">
      <c r="A2866" s="349">
        <v>2855</v>
      </c>
      <c r="B2866" s="364" t="s">
        <v>10765</v>
      </c>
      <c r="C2866" s="364" t="s">
        <v>10766</v>
      </c>
      <c r="D2866" s="366" t="s">
        <v>51</v>
      </c>
      <c r="E2866" s="366" t="s">
        <v>10082</v>
      </c>
      <c r="F2866" s="366" t="s">
        <v>10078</v>
      </c>
      <c r="G2866" s="366" t="s">
        <v>10078</v>
      </c>
      <c r="H2866" s="366" t="s">
        <v>2972</v>
      </c>
      <c r="I2866" s="364" t="s">
        <v>15068</v>
      </c>
      <c r="J2866" s="367">
        <v>42328</v>
      </c>
      <c r="K2866" s="364" t="s">
        <v>15069</v>
      </c>
      <c r="L2866" s="364"/>
      <c r="M2866" s="364" t="s">
        <v>10084</v>
      </c>
      <c r="N2866" s="364"/>
      <c r="O2866" s="364" t="s">
        <v>57</v>
      </c>
      <c r="P2866" s="373">
        <v>221209000</v>
      </c>
      <c r="Q2866" s="364" t="s">
        <v>15070</v>
      </c>
      <c r="R2866" s="364" t="s">
        <v>9966</v>
      </c>
      <c r="S2866" s="340">
        <v>1</v>
      </c>
    </row>
    <row r="2867" spans="1:19" ht="31.5" thickBot="1" x14ac:dyDescent="0.4">
      <c r="A2867" s="357">
        <v>2856</v>
      </c>
      <c r="B2867" s="364" t="s">
        <v>10085</v>
      </c>
      <c r="C2867" s="364" t="s">
        <v>10086</v>
      </c>
      <c r="D2867" s="366" t="s">
        <v>51</v>
      </c>
      <c r="E2867" s="366" t="s">
        <v>10082</v>
      </c>
      <c r="F2867" s="366" t="s">
        <v>10078</v>
      </c>
      <c r="G2867" s="366" t="s">
        <v>10078</v>
      </c>
      <c r="H2867" s="366" t="s">
        <v>11421</v>
      </c>
      <c r="I2867" s="364" t="s">
        <v>15025</v>
      </c>
      <c r="J2867" s="367"/>
      <c r="K2867" s="364"/>
      <c r="L2867" s="364"/>
      <c r="M2867" s="364" t="s">
        <v>10084</v>
      </c>
      <c r="N2867" s="364"/>
      <c r="O2867" s="364" t="s">
        <v>57</v>
      </c>
      <c r="P2867" s="373">
        <v>57507000</v>
      </c>
      <c r="Q2867" s="364"/>
      <c r="R2867" s="364" t="s">
        <v>9966</v>
      </c>
      <c r="S2867" s="340">
        <v>1</v>
      </c>
    </row>
    <row r="2868" spans="1:19" ht="31" x14ac:dyDescent="0.35">
      <c r="A2868" s="349">
        <v>2857</v>
      </c>
      <c r="B2868" s="364" t="s">
        <v>10085</v>
      </c>
      <c r="C2868" s="364" t="s">
        <v>10086</v>
      </c>
      <c r="D2868" s="366" t="s">
        <v>59</v>
      </c>
      <c r="E2868" s="366" t="s">
        <v>10082</v>
      </c>
      <c r="F2868" s="366" t="s">
        <v>10078</v>
      </c>
      <c r="G2868" s="366" t="s">
        <v>10078</v>
      </c>
      <c r="H2868" s="366" t="s">
        <v>11421</v>
      </c>
      <c r="I2868" s="364" t="s">
        <v>15025</v>
      </c>
      <c r="J2868" s="367"/>
      <c r="K2868" s="364"/>
      <c r="L2868" s="364"/>
      <c r="M2868" s="364" t="s">
        <v>10084</v>
      </c>
      <c r="N2868" s="364"/>
      <c r="O2868" s="364" t="s">
        <v>57</v>
      </c>
      <c r="P2868" s="373">
        <v>127357000</v>
      </c>
      <c r="Q2868" s="364"/>
      <c r="R2868" s="364" t="s">
        <v>9966</v>
      </c>
      <c r="S2868" s="340">
        <v>1</v>
      </c>
    </row>
    <row r="2869" spans="1:19" ht="31.5" thickBot="1" x14ac:dyDescent="0.4">
      <c r="A2869" s="357">
        <v>2858</v>
      </c>
      <c r="B2869" s="364" t="s">
        <v>10085</v>
      </c>
      <c r="C2869" s="364" t="s">
        <v>10086</v>
      </c>
      <c r="D2869" s="366" t="s">
        <v>97</v>
      </c>
      <c r="E2869" s="366" t="s">
        <v>10082</v>
      </c>
      <c r="F2869" s="366" t="s">
        <v>10078</v>
      </c>
      <c r="G2869" s="366" t="s">
        <v>10088</v>
      </c>
      <c r="H2869" s="366" t="s">
        <v>11409</v>
      </c>
      <c r="I2869" s="364" t="s">
        <v>15025</v>
      </c>
      <c r="J2869" s="367">
        <v>40413</v>
      </c>
      <c r="K2869" s="364" t="s">
        <v>15071</v>
      </c>
      <c r="L2869" s="364"/>
      <c r="M2869" s="364" t="s">
        <v>10084</v>
      </c>
      <c r="N2869" s="364"/>
      <c r="O2869" s="364" t="s">
        <v>422</v>
      </c>
      <c r="P2869" s="373">
        <v>245182341</v>
      </c>
      <c r="Q2869" s="364" t="s">
        <v>15072</v>
      </c>
      <c r="R2869" s="364" t="s">
        <v>9966</v>
      </c>
      <c r="S2869" s="340">
        <v>1</v>
      </c>
    </row>
    <row r="2870" spans="1:19" ht="31" x14ac:dyDescent="0.35">
      <c r="A2870" s="349">
        <v>2859</v>
      </c>
      <c r="B2870" s="364" t="s">
        <v>10085</v>
      </c>
      <c r="C2870" s="364" t="s">
        <v>10086</v>
      </c>
      <c r="D2870" s="366" t="s">
        <v>101</v>
      </c>
      <c r="E2870" s="366" t="s">
        <v>10082</v>
      </c>
      <c r="F2870" s="366" t="s">
        <v>10078</v>
      </c>
      <c r="G2870" s="366" t="s">
        <v>10088</v>
      </c>
      <c r="H2870" s="366" t="s">
        <v>11421</v>
      </c>
      <c r="I2870" s="364" t="s">
        <v>15025</v>
      </c>
      <c r="J2870" s="367">
        <v>40413</v>
      </c>
      <c r="K2870" s="364" t="s">
        <v>15071</v>
      </c>
      <c r="L2870" s="364"/>
      <c r="M2870" s="364" t="s">
        <v>10084</v>
      </c>
      <c r="N2870" s="364"/>
      <c r="O2870" s="364" t="s">
        <v>422</v>
      </c>
      <c r="P2870" s="373">
        <v>245182341</v>
      </c>
      <c r="Q2870" s="364" t="s">
        <v>15073</v>
      </c>
      <c r="R2870" s="364" t="s">
        <v>9966</v>
      </c>
      <c r="S2870" s="340">
        <v>1</v>
      </c>
    </row>
    <row r="2871" spans="1:19" ht="31.5" thickBot="1" x14ac:dyDescent="0.4">
      <c r="A2871" s="357">
        <v>2860</v>
      </c>
      <c r="B2871" s="364" t="s">
        <v>10096</v>
      </c>
      <c r="C2871" s="364" t="s">
        <v>10097</v>
      </c>
      <c r="D2871" s="366" t="s">
        <v>51</v>
      </c>
      <c r="E2871" s="366" t="s">
        <v>10082</v>
      </c>
      <c r="F2871" s="366" t="s">
        <v>10078</v>
      </c>
      <c r="G2871" s="366" t="s">
        <v>10088</v>
      </c>
      <c r="H2871" s="366" t="s">
        <v>13471</v>
      </c>
      <c r="I2871" s="364" t="s">
        <v>15025</v>
      </c>
      <c r="J2871" s="367">
        <v>42949</v>
      </c>
      <c r="K2871" s="364" t="s">
        <v>15074</v>
      </c>
      <c r="L2871" s="364"/>
      <c r="M2871" s="364" t="s">
        <v>10084</v>
      </c>
      <c r="N2871" s="364"/>
      <c r="O2871" s="364" t="s">
        <v>57</v>
      </c>
      <c r="P2871" s="373">
        <v>442412050</v>
      </c>
      <c r="Q2871" s="364" t="s">
        <v>15075</v>
      </c>
      <c r="R2871" s="364" t="s">
        <v>9966</v>
      </c>
      <c r="S2871" s="340">
        <v>1</v>
      </c>
    </row>
    <row r="2872" spans="1:19" ht="46.5" x14ac:dyDescent="0.35">
      <c r="A2872" s="349">
        <v>2861</v>
      </c>
      <c r="B2872" s="364" t="s">
        <v>10155</v>
      </c>
      <c r="C2872" s="364" t="s">
        <v>10156</v>
      </c>
      <c r="D2872" s="366" t="s">
        <v>51</v>
      </c>
      <c r="E2872" s="366" t="s">
        <v>10082</v>
      </c>
      <c r="F2872" s="366" t="s">
        <v>10078</v>
      </c>
      <c r="G2872" s="366" t="s">
        <v>10088</v>
      </c>
      <c r="H2872" s="366" t="s">
        <v>12979</v>
      </c>
      <c r="I2872" s="364" t="s">
        <v>15025</v>
      </c>
      <c r="J2872" s="367">
        <v>42569</v>
      </c>
      <c r="K2872" s="364" t="s">
        <v>15076</v>
      </c>
      <c r="L2872" s="364"/>
      <c r="M2872" s="364" t="s">
        <v>10084</v>
      </c>
      <c r="N2872" s="364"/>
      <c r="O2872" s="364" t="s">
        <v>57</v>
      </c>
      <c r="P2872" s="373">
        <v>221040000</v>
      </c>
      <c r="Q2872" s="364" t="s">
        <v>15077</v>
      </c>
      <c r="R2872" s="364" t="s">
        <v>9738</v>
      </c>
      <c r="S2872" s="340">
        <v>1</v>
      </c>
    </row>
    <row r="2873" spans="1:19" ht="31.5" thickBot="1" x14ac:dyDescent="0.4">
      <c r="A2873" s="357">
        <v>2862</v>
      </c>
      <c r="B2873" s="364" t="s">
        <v>10080</v>
      </c>
      <c r="C2873" s="364" t="s">
        <v>10081</v>
      </c>
      <c r="D2873" s="366" t="s">
        <v>51</v>
      </c>
      <c r="E2873" s="366" t="s">
        <v>10082</v>
      </c>
      <c r="F2873" s="366" t="s">
        <v>10078</v>
      </c>
      <c r="G2873" s="366" t="s">
        <v>10078</v>
      </c>
      <c r="H2873" s="366" t="s">
        <v>11413</v>
      </c>
      <c r="I2873" s="364" t="s">
        <v>15025</v>
      </c>
      <c r="J2873" s="367"/>
      <c r="K2873" s="364"/>
      <c r="L2873" s="364"/>
      <c r="M2873" s="364" t="s">
        <v>10084</v>
      </c>
      <c r="N2873" s="364"/>
      <c r="O2873" s="364" t="s">
        <v>422</v>
      </c>
      <c r="P2873" s="373">
        <v>60000000</v>
      </c>
      <c r="Q2873" s="364" t="s">
        <v>8603</v>
      </c>
      <c r="R2873" s="364" t="s">
        <v>9738</v>
      </c>
      <c r="S2873" s="340">
        <v>1</v>
      </c>
    </row>
    <row r="2874" spans="1:19" ht="31" x14ac:dyDescent="0.35">
      <c r="A2874" s="349">
        <v>2863</v>
      </c>
      <c r="B2874" s="364" t="s">
        <v>10080</v>
      </c>
      <c r="C2874" s="364" t="s">
        <v>10081</v>
      </c>
      <c r="D2874" s="366" t="s">
        <v>59</v>
      </c>
      <c r="E2874" s="366" t="s">
        <v>10082</v>
      </c>
      <c r="F2874" s="366" t="s">
        <v>10078</v>
      </c>
      <c r="G2874" s="366" t="s">
        <v>10078</v>
      </c>
      <c r="H2874" s="366" t="s">
        <v>11400</v>
      </c>
      <c r="I2874" s="364" t="s">
        <v>15025</v>
      </c>
      <c r="J2874" s="367"/>
      <c r="K2874" s="364"/>
      <c r="L2874" s="364"/>
      <c r="M2874" s="364" t="s">
        <v>10084</v>
      </c>
      <c r="N2874" s="364"/>
      <c r="O2874" s="364" t="s">
        <v>57</v>
      </c>
      <c r="P2874" s="373">
        <v>83646000</v>
      </c>
      <c r="Q2874" s="364"/>
      <c r="R2874" s="364" t="s">
        <v>9738</v>
      </c>
      <c r="S2874" s="340">
        <v>1</v>
      </c>
    </row>
    <row r="2875" spans="1:19" ht="31.5" thickBot="1" x14ac:dyDescent="0.4">
      <c r="A2875" s="357">
        <v>2864</v>
      </c>
      <c r="B2875" s="364" t="s">
        <v>10080</v>
      </c>
      <c r="C2875" s="364" t="s">
        <v>10081</v>
      </c>
      <c r="D2875" s="366" t="s">
        <v>97</v>
      </c>
      <c r="E2875" s="366" t="s">
        <v>10082</v>
      </c>
      <c r="F2875" s="366" t="s">
        <v>10078</v>
      </c>
      <c r="G2875" s="366" t="s">
        <v>10078</v>
      </c>
      <c r="H2875" s="366" t="s">
        <v>1122</v>
      </c>
      <c r="I2875" s="364" t="s">
        <v>15025</v>
      </c>
      <c r="J2875" s="367"/>
      <c r="K2875" s="364"/>
      <c r="L2875" s="364"/>
      <c r="M2875" s="364" t="s">
        <v>10084</v>
      </c>
      <c r="N2875" s="364"/>
      <c r="O2875" s="364" t="s">
        <v>57</v>
      </c>
      <c r="P2875" s="373">
        <v>125469000</v>
      </c>
      <c r="Q2875" s="364"/>
      <c r="R2875" s="364" t="s">
        <v>9738</v>
      </c>
      <c r="S2875" s="340">
        <v>1</v>
      </c>
    </row>
    <row r="2876" spans="1:19" ht="31" x14ac:dyDescent="0.35">
      <c r="A2876" s="349">
        <v>2865</v>
      </c>
      <c r="B2876" s="364" t="s">
        <v>10080</v>
      </c>
      <c r="C2876" s="364" t="s">
        <v>10081</v>
      </c>
      <c r="D2876" s="366" t="s">
        <v>101</v>
      </c>
      <c r="E2876" s="366" t="s">
        <v>10082</v>
      </c>
      <c r="F2876" s="366" t="s">
        <v>10078</v>
      </c>
      <c r="G2876" s="366" t="s">
        <v>10078</v>
      </c>
      <c r="H2876" s="366" t="s">
        <v>1122</v>
      </c>
      <c r="I2876" s="364" t="s">
        <v>15025</v>
      </c>
      <c r="J2876" s="367"/>
      <c r="K2876" s="364"/>
      <c r="L2876" s="364"/>
      <c r="M2876" s="364" t="s">
        <v>10084</v>
      </c>
      <c r="N2876" s="364"/>
      <c r="O2876" s="364" t="s">
        <v>57</v>
      </c>
      <c r="P2876" s="373">
        <v>193867000</v>
      </c>
      <c r="Q2876" s="364"/>
      <c r="R2876" s="364" t="s">
        <v>9738</v>
      </c>
      <c r="S2876" s="340">
        <v>1</v>
      </c>
    </row>
    <row r="2877" spans="1:19" ht="31.5" thickBot="1" x14ac:dyDescent="0.4">
      <c r="A2877" s="357">
        <v>2866</v>
      </c>
      <c r="B2877" s="364" t="s">
        <v>10080</v>
      </c>
      <c r="C2877" s="364" t="s">
        <v>10081</v>
      </c>
      <c r="D2877" s="366" t="s">
        <v>107</v>
      </c>
      <c r="E2877" s="366" t="s">
        <v>10082</v>
      </c>
      <c r="F2877" s="366" t="s">
        <v>10078</v>
      </c>
      <c r="G2877" s="366" t="s">
        <v>10088</v>
      </c>
      <c r="H2877" s="366" t="s">
        <v>12157</v>
      </c>
      <c r="I2877" s="364" t="s">
        <v>15025</v>
      </c>
      <c r="J2877" s="367"/>
      <c r="K2877" s="364"/>
      <c r="L2877" s="364"/>
      <c r="M2877" s="364" t="s">
        <v>10084</v>
      </c>
      <c r="N2877" s="364"/>
      <c r="O2877" s="364" t="s">
        <v>57</v>
      </c>
      <c r="P2877" s="373">
        <v>794576000</v>
      </c>
      <c r="Q2877" s="364"/>
      <c r="R2877" s="364" t="s">
        <v>9738</v>
      </c>
      <c r="S2877" s="340">
        <v>1</v>
      </c>
    </row>
    <row r="2878" spans="1:19" ht="31" x14ac:dyDescent="0.35">
      <c r="A2878" s="349">
        <v>2867</v>
      </c>
      <c r="B2878" s="364" t="s">
        <v>10080</v>
      </c>
      <c r="C2878" s="364" t="s">
        <v>10081</v>
      </c>
      <c r="D2878" s="366" t="s">
        <v>112</v>
      </c>
      <c r="E2878" s="366" t="s">
        <v>10082</v>
      </c>
      <c r="F2878" s="366" t="s">
        <v>10078</v>
      </c>
      <c r="G2878" s="366" t="s">
        <v>10088</v>
      </c>
      <c r="H2878" s="366" t="s">
        <v>13157</v>
      </c>
      <c r="I2878" s="364" t="s">
        <v>15025</v>
      </c>
      <c r="J2878" s="367"/>
      <c r="K2878" s="364"/>
      <c r="L2878" s="364"/>
      <c r="M2878" s="364" t="s">
        <v>10084</v>
      </c>
      <c r="N2878" s="364"/>
      <c r="O2878" s="364" t="s">
        <v>57</v>
      </c>
      <c r="P2878" s="373">
        <v>317170000</v>
      </c>
      <c r="Q2878" s="364"/>
      <c r="R2878" s="364" t="s">
        <v>9738</v>
      </c>
      <c r="S2878" s="340">
        <v>1</v>
      </c>
    </row>
    <row r="2879" spans="1:19" ht="31.5" thickBot="1" x14ac:dyDescent="0.4">
      <c r="A2879" s="357">
        <v>2868</v>
      </c>
      <c r="B2879" s="364" t="s">
        <v>10110</v>
      </c>
      <c r="C2879" s="364" t="s">
        <v>10111</v>
      </c>
      <c r="D2879" s="366" t="s">
        <v>59</v>
      </c>
      <c r="E2879" s="366" t="s">
        <v>10082</v>
      </c>
      <c r="F2879" s="366" t="s">
        <v>10078</v>
      </c>
      <c r="G2879" s="366" t="s">
        <v>10088</v>
      </c>
      <c r="H2879" s="366" t="s">
        <v>11447</v>
      </c>
      <c r="I2879" s="364" t="s">
        <v>15025</v>
      </c>
      <c r="J2879" s="367">
        <v>43256</v>
      </c>
      <c r="K2879" s="364" t="s">
        <v>15078</v>
      </c>
      <c r="L2879" s="364"/>
      <c r="M2879" s="364" t="s">
        <v>10084</v>
      </c>
      <c r="N2879" s="364"/>
      <c r="O2879" s="364" t="s">
        <v>57</v>
      </c>
      <c r="P2879" s="373">
        <v>110328000</v>
      </c>
      <c r="Q2879" s="364" t="s">
        <v>15079</v>
      </c>
      <c r="R2879" s="364" t="s">
        <v>9738</v>
      </c>
      <c r="S2879" s="340">
        <v>1</v>
      </c>
    </row>
    <row r="2880" spans="1:19" ht="46.5" x14ac:dyDescent="0.35">
      <c r="A2880" s="349">
        <v>2869</v>
      </c>
      <c r="B2880" s="364" t="s">
        <v>10110</v>
      </c>
      <c r="C2880" s="364" t="s">
        <v>10111</v>
      </c>
      <c r="D2880" s="366" t="s">
        <v>97</v>
      </c>
      <c r="E2880" s="366" t="s">
        <v>10082</v>
      </c>
      <c r="F2880" s="366" t="s">
        <v>10078</v>
      </c>
      <c r="G2880" s="366" t="s">
        <v>10078</v>
      </c>
      <c r="H2880" s="366" t="s">
        <v>11870</v>
      </c>
      <c r="I2880" s="364" t="s">
        <v>15080</v>
      </c>
      <c r="J2880" s="367">
        <v>43966</v>
      </c>
      <c r="K2880" s="364" t="s">
        <v>15081</v>
      </c>
      <c r="L2880" s="364"/>
      <c r="M2880" s="364" t="s">
        <v>10084</v>
      </c>
      <c r="N2880" s="364"/>
      <c r="O2880" s="364" t="s">
        <v>57</v>
      </c>
      <c r="P2880" s="373">
        <v>76950000</v>
      </c>
      <c r="Q2880" s="364" t="s">
        <v>15082</v>
      </c>
      <c r="R2880" s="364" t="s">
        <v>9738</v>
      </c>
      <c r="S2880" s="340">
        <v>1</v>
      </c>
    </row>
    <row r="2881" spans="1:19" ht="47" thickBot="1" x14ac:dyDescent="0.4">
      <c r="A2881" s="357">
        <v>2870</v>
      </c>
      <c r="B2881" s="364" t="s">
        <v>10110</v>
      </c>
      <c r="C2881" s="364" t="s">
        <v>10111</v>
      </c>
      <c r="D2881" s="366" t="s">
        <v>101</v>
      </c>
      <c r="E2881" s="366" t="s">
        <v>10082</v>
      </c>
      <c r="F2881" s="366" t="s">
        <v>10078</v>
      </c>
      <c r="G2881" s="366" t="s">
        <v>10088</v>
      </c>
      <c r="H2881" s="366" t="s">
        <v>15083</v>
      </c>
      <c r="I2881" s="364" t="s">
        <v>15060</v>
      </c>
      <c r="J2881" s="367">
        <v>44756</v>
      </c>
      <c r="K2881" s="364" t="s">
        <v>15084</v>
      </c>
      <c r="L2881" s="364"/>
      <c r="M2881" s="364"/>
      <c r="N2881" s="364"/>
      <c r="O2881" s="364" t="s">
        <v>44</v>
      </c>
      <c r="P2881" s="373">
        <v>139146600</v>
      </c>
      <c r="Q2881" s="364" t="s">
        <v>15085</v>
      </c>
      <c r="R2881" s="364" t="s">
        <v>9738</v>
      </c>
      <c r="S2881" s="340">
        <v>1</v>
      </c>
    </row>
    <row r="2882" spans="1:19" ht="31" x14ac:dyDescent="0.35">
      <c r="A2882" s="349">
        <v>2871</v>
      </c>
      <c r="B2882" s="364" t="s">
        <v>10765</v>
      </c>
      <c r="C2882" s="364" t="s">
        <v>10766</v>
      </c>
      <c r="D2882" s="366" t="s">
        <v>51</v>
      </c>
      <c r="E2882" s="366" t="s">
        <v>10082</v>
      </c>
      <c r="F2882" s="366" t="s">
        <v>10078</v>
      </c>
      <c r="G2882" s="366" t="s">
        <v>10078</v>
      </c>
      <c r="H2882" s="366" t="s">
        <v>2972</v>
      </c>
      <c r="I2882" s="364" t="s">
        <v>15086</v>
      </c>
      <c r="J2882" s="367">
        <v>42328</v>
      </c>
      <c r="K2882" s="364" t="s">
        <v>15087</v>
      </c>
      <c r="L2882" s="364"/>
      <c r="M2882" s="364" t="s">
        <v>10084</v>
      </c>
      <c r="N2882" s="364"/>
      <c r="O2882" s="364" t="s">
        <v>57</v>
      </c>
      <c r="P2882" s="373">
        <v>220775000</v>
      </c>
      <c r="Q2882" s="364" t="s">
        <v>15088</v>
      </c>
      <c r="R2882" s="364" t="s">
        <v>9738</v>
      </c>
      <c r="S2882" s="340">
        <v>1</v>
      </c>
    </row>
    <row r="2883" spans="1:19" ht="31.5" thickBot="1" x14ac:dyDescent="0.4">
      <c r="A2883" s="357">
        <v>2872</v>
      </c>
      <c r="B2883" s="364" t="s">
        <v>10085</v>
      </c>
      <c r="C2883" s="364" t="s">
        <v>10086</v>
      </c>
      <c r="D2883" s="366" t="s">
        <v>51</v>
      </c>
      <c r="E2883" s="366" t="s">
        <v>10082</v>
      </c>
      <c r="F2883" s="366" t="s">
        <v>10078</v>
      </c>
      <c r="G2883" s="366" t="s">
        <v>10078</v>
      </c>
      <c r="H2883" s="366" t="s">
        <v>11400</v>
      </c>
      <c r="I2883" s="364" t="s">
        <v>15025</v>
      </c>
      <c r="J2883" s="367"/>
      <c r="K2883" s="364"/>
      <c r="L2883" s="364"/>
      <c r="M2883" s="364" t="s">
        <v>10084</v>
      </c>
      <c r="N2883" s="364"/>
      <c r="O2883" s="364" t="s">
        <v>57</v>
      </c>
      <c r="P2883" s="373">
        <v>83646000</v>
      </c>
      <c r="Q2883" s="364"/>
      <c r="R2883" s="364" t="s">
        <v>9738</v>
      </c>
      <c r="S2883" s="340">
        <v>1</v>
      </c>
    </row>
    <row r="2884" spans="1:19" ht="31" x14ac:dyDescent="0.35">
      <c r="A2884" s="349">
        <v>2873</v>
      </c>
      <c r="B2884" s="364" t="s">
        <v>10085</v>
      </c>
      <c r="C2884" s="364" t="s">
        <v>10086</v>
      </c>
      <c r="D2884" s="366" t="s">
        <v>59</v>
      </c>
      <c r="E2884" s="366" t="s">
        <v>10082</v>
      </c>
      <c r="F2884" s="366" t="s">
        <v>10078</v>
      </c>
      <c r="G2884" s="366" t="s">
        <v>10078</v>
      </c>
      <c r="H2884" s="366" t="s">
        <v>11400</v>
      </c>
      <c r="I2884" s="364" t="s">
        <v>15089</v>
      </c>
      <c r="J2884" s="367"/>
      <c r="K2884" s="364"/>
      <c r="L2884" s="364"/>
      <c r="M2884" s="364" t="s">
        <v>10084</v>
      </c>
      <c r="N2884" s="364"/>
      <c r="O2884" s="364" t="s">
        <v>57</v>
      </c>
      <c r="P2884" s="373">
        <v>83646000</v>
      </c>
      <c r="Q2884" s="364"/>
      <c r="R2884" s="364" t="s">
        <v>9738</v>
      </c>
      <c r="S2884" s="340">
        <v>1</v>
      </c>
    </row>
    <row r="2885" spans="1:19" ht="31.5" thickBot="1" x14ac:dyDescent="0.4">
      <c r="A2885" s="357">
        <v>2874</v>
      </c>
      <c r="B2885" s="364" t="s">
        <v>10085</v>
      </c>
      <c r="C2885" s="364" t="s">
        <v>10086</v>
      </c>
      <c r="D2885" s="366" t="s">
        <v>97</v>
      </c>
      <c r="E2885" s="366" t="s">
        <v>10082</v>
      </c>
      <c r="F2885" s="366" t="s">
        <v>10078</v>
      </c>
      <c r="G2885" s="366" t="s">
        <v>10078</v>
      </c>
      <c r="H2885" s="366" t="s">
        <v>11400</v>
      </c>
      <c r="I2885" s="364" t="s">
        <v>15025</v>
      </c>
      <c r="J2885" s="367"/>
      <c r="K2885" s="364"/>
      <c r="L2885" s="364"/>
      <c r="M2885" s="364" t="s">
        <v>10084</v>
      </c>
      <c r="N2885" s="364"/>
      <c r="O2885" s="364" t="s">
        <v>57</v>
      </c>
      <c r="P2885" s="373">
        <v>83646000</v>
      </c>
      <c r="Q2885" s="364"/>
      <c r="R2885" s="364" t="s">
        <v>9738</v>
      </c>
      <c r="S2885" s="340">
        <v>1</v>
      </c>
    </row>
    <row r="2886" spans="1:19" ht="31" x14ac:dyDescent="0.35">
      <c r="A2886" s="349">
        <v>2875</v>
      </c>
      <c r="B2886" s="364" t="s">
        <v>10085</v>
      </c>
      <c r="C2886" s="364" t="s">
        <v>10086</v>
      </c>
      <c r="D2886" s="366" t="s">
        <v>101</v>
      </c>
      <c r="E2886" s="366" t="s">
        <v>10082</v>
      </c>
      <c r="F2886" s="366" t="s">
        <v>10078</v>
      </c>
      <c r="G2886" s="366" t="s">
        <v>10078</v>
      </c>
      <c r="H2886" s="366" t="s">
        <v>11400</v>
      </c>
      <c r="I2886" s="364" t="s">
        <v>15025</v>
      </c>
      <c r="J2886" s="367"/>
      <c r="K2886" s="364"/>
      <c r="L2886" s="364"/>
      <c r="M2886" s="364" t="s">
        <v>10084</v>
      </c>
      <c r="N2886" s="364"/>
      <c r="O2886" s="364" t="s">
        <v>57</v>
      </c>
      <c r="P2886" s="373">
        <v>83646000</v>
      </c>
      <c r="Q2886" s="364"/>
      <c r="R2886" s="364" t="s">
        <v>9738</v>
      </c>
      <c r="S2886" s="340">
        <v>1</v>
      </c>
    </row>
    <row r="2887" spans="1:19" ht="47" thickBot="1" x14ac:dyDescent="0.4">
      <c r="A2887" s="357">
        <v>2876</v>
      </c>
      <c r="B2887" s="364" t="s">
        <v>10146</v>
      </c>
      <c r="C2887" s="364" t="s">
        <v>10147</v>
      </c>
      <c r="D2887" s="366" t="s">
        <v>51</v>
      </c>
      <c r="E2887" s="366" t="s">
        <v>10082</v>
      </c>
      <c r="F2887" s="366" t="s">
        <v>10078</v>
      </c>
      <c r="G2887" s="366" t="s">
        <v>10078</v>
      </c>
      <c r="H2887" s="366" t="s">
        <v>11551</v>
      </c>
      <c r="I2887" s="364" t="s">
        <v>11329</v>
      </c>
      <c r="J2887" s="367">
        <v>43966</v>
      </c>
      <c r="K2887" s="364" t="s">
        <v>15090</v>
      </c>
      <c r="L2887" s="364"/>
      <c r="M2887" s="364" t="s">
        <v>10084</v>
      </c>
      <c r="N2887" s="364"/>
      <c r="O2887" s="364" t="s">
        <v>57</v>
      </c>
      <c r="P2887" s="373">
        <v>99750000</v>
      </c>
      <c r="Q2887" s="364" t="s">
        <v>15091</v>
      </c>
      <c r="R2887" s="364" t="s">
        <v>9738</v>
      </c>
      <c r="S2887" s="340">
        <v>1</v>
      </c>
    </row>
    <row r="2888" spans="1:19" ht="46.5" x14ac:dyDescent="0.35">
      <c r="A2888" s="349">
        <v>2877</v>
      </c>
      <c r="B2888" s="364" t="s">
        <v>10146</v>
      </c>
      <c r="C2888" s="364" t="s">
        <v>10147</v>
      </c>
      <c r="D2888" s="366" t="s">
        <v>59</v>
      </c>
      <c r="E2888" s="366" t="s">
        <v>10082</v>
      </c>
      <c r="F2888" s="366" t="s">
        <v>10078</v>
      </c>
      <c r="G2888" s="366" t="s">
        <v>10088</v>
      </c>
      <c r="H2888" s="366" t="s">
        <v>2980</v>
      </c>
      <c r="I2888" s="364" t="s">
        <v>15092</v>
      </c>
      <c r="J2888" s="367">
        <v>43966</v>
      </c>
      <c r="K2888" s="364" t="s">
        <v>15093</v>
      </c>
      <c r="L2888" s="364"/>
      <c r="M2888" s="364" t="s">
        <v>10084</v>
      </c>
      <c r="N2888" s="364"/>
      <c r="O2888" s="364" t="s">
        <v>57</v>
      </c>
      <c r="P2888" s="373">
        <v>339592000</v>
      </c>
      <c r="Q2888" s="364" t="s">
        <v>15094</v>
      </c>
      <c r="R2888" s="364" t="s">
        <v>9738</v>
      </c>
      <c r="S2888" s="340">
        <v>1</v>
      </c>
    </row>
    <row r="2889" spans="1:19" ht="31.5" thickBot="1" x14ac:dyDescent="0.4">
      <c r="A2889" s="357">
        <v>2878</v>
      </c>
      <c r="B2889" s="364" t="s">
        <v>10096</v>
      </c>
      <c r="C2889" s="364" t="s">
        <v>10097</v>
      </c>
      <c r="D2889" s="366" t="s">
        <v>51</v>
      </c>
      <c r="E2889" s="366" t="s">
        <v>10082</v>
      </c>
      <c r="F2889" s="366" t="s">
        <v>10078</v>
      </c>
      <c r="G2889" s="366" t="s">
        <v>10088</v>
      </c>
      <c r="H2889" s="366" t="s">
        <v>15095</v>
      </c>
      <c r="I2889" s="364" t="s">
        <v>15025</v>
      </c>
      <c r="J2889" s="367">
        <v>42149</v>
      </c>
      <c r="K2889" s="364" t="s">
        <v>15096</v>
      </c>
      <c r="L2889" s="364"/>
      <c r="M2889" s="364" t="s">
        <v>10084</v>
      </c>
      <c r="N2889" s="364"/>
      <c r="O2889" s="364" t="s">
        <v>57</v>
      </c>
      <c r="P2889" s="373">
        <v>331432000</v>
      </c>
      <c r="Q2889" s="364" t="s">
        <v>15097</v>
      </c>
      <c r="R2889" s="364" t="s">
        <v>9738</v>
      </c>
      <c r="S2889" s="340">
        <v>1</v>
      </c>
    </row>
    <row r="2890" spans="1:19" ht="31" x14ac:dyDescent="0.35">
      <c r="A2890" s="349">
        <v>2879</v>
      </c>
      <c r="B2890" s="364" t="s">
        <v>10080</v>
      </c>
      <c r="C2890" s="364" t="s">
        <v>10081</v>
      </c>
      <c r="D2890" s="366" t="s">
        <v>51</v>
      </c>
      <c r="E2890" s="366" t="s">
        <v>10082</v>
      </c>
      <c r="F2890" s="366" t="s">
        <v>10078</v>
      </c>
      <c r="G2890" s="366" t="s">
        <v>10078</v>
      </c>
      <c r="H2890" s="366" t="s">
        <v>11421</v>
      </c>
      <c r="I2890" s="364" t="s">
        <v>15098</v>
      </c>
      <c r="J2890" s="367"/>
      <c r="K2890" s="364"/>
      <c r="L2890" s="364"/>
      <c r="M2890" s="364" t="s">
        <v>10084</v>
      </c>
      <c r="N2890" s="364"/>
      <c r="O2890" s="364" t="s">
        <v>57</v>
      </c>
      <c r="P2890" s="373">
        <v>50536000</v>
      </c>
      <c r="Q2890" s="364"/>
      <c r="R2890" s="364" t="s">
        <v>9740</v>
      </c>
      <c r="S2890" s="340">
        <v>1</v>
      </c>
    </row>
    <row r="2891" spans="1:19" ht="31.5" thickBot="1" x14ac:dyDescent="0.4">
      <c r="A2891" s="357">
        <v>2880</v>
      </c>
      <c r="B2891" s="364" t="s">
        <v>10080</v>
      </c>
      <c r="C2891" s="364" t="s">
        <v>10081</v>
      </c>
      <c r="D2891" s="366" t="s">
        <v>59</v>
      </c>
      <c r="E2891" s="366" t="s">
        <v>10082</v>
      </c>
      <c r="F2891" s="366" t="s">
        <v>10078</v>
      </c>
      <c r="G2891" s="366" t="s">
        <v>10078</v>
      </c>
      <c r="H2891" s="366" t="s">
        <v>1122</v>
      </c>
      <c r="I2891" s="364" t="s">
        <v>15098</v>
      </c>
      <c r="J2891" s="367"/>
      <c r="K2891" s="364"/>
      <c r="L2891" s="364"/>
      <c r="M2891" s="364" t="s">
        <v>10084</v>
      </c>
      <c r="N2891" s="364"/>
      <c r="O2891" s="364" t="s">
        <v>57</v>
      </c>
      <c r="P2891" s="373">
        <v>151608000</v>
      </c>
      <c r="Q2891" s="364"/>
      <c r="R2891" s="364" t="s">
        <v>9740</v>
      </c>
      <c r="S2891" s="340">
        <v>1</v>
      </c>
    </row>
    <row r="2892" spans="1:19" ht="31" x14ac:dyDescent="0.35">
      <c r="A2892" s="349">
        <v>2881</v>
      </c>
      <c r="B2892" s="364" t="s">
        <v>10080</v>
      </c>
      <c r="C2892" s="364" t="s">
        <v>10081</v>
      </c>
      <c r="D2892" s="366" t="s">
        <v>97</v>
      </c>
      <c r="E2892" s="366" t="s">
        <v>10082</v>
      </c>
      <c r="F2892" s="366" t="s">
        <v>10078</v>
      </c>
      <c r="G2892" s="366" t="s">
        <v>10078</v>
      </c>
      <c r="H2892" s="366" t="s">
        <v>1122</v>
      </c>
      <c r="I2892" s="364" t="s">
        <v>15098</v>
      </c>
      <c r="J2892" s="367"/>
      <c r="K2892" s="364"/>
      <c r="L2892" s="364"/>
      <c r="M2892" s="364" t="s">
        <v>10084</v>
      </c>
      <c r="N2892" s="364"/>
      <c r="O2892" s="364" t="s">
        <v>57</v>
      </c>
      <c r="P2892" s="373">
        <v>151608000</v>
      </c>
      <c r="Q2892" s="364"/>
      <c r="R2892" s="364" t="s">
        <v>9740</v>
      </c>
      <c r="S2892" s="340">
        <v>1</v>
      </c>
    </row>
    <row r="2893" spans="1:19" ht="31.5" thickBot="1" x14ac:dyDescent="0.4">
      <c r="A2893" s="357">
        <v>2882</v>
      </c>
      <c r="B2893" s="364" t="s">
        <v>10080</v>
      </c>
      <c r="C2893" s="364" t="s">
        <v>10081</v>
      </c>
      <c r="D2893" s="366" t="s">
        <v>101</v>
      </c>
      <c r="E2893" s="366" t="s">
        <v>10082</v>
      </c>
      <c r="F2893" s="366" t="s">
        <v>10078</v>
      </c>
      <c r="G2893" s="366" t="s">
        <v>10078</v>
      </c>
      <c r="H2893" s="366" t="s">
        <v>11421</v>
      </c>
      <c r="I2893" s="364" t="s">
        <v>15098</v>
      </c>
      <c r="J2893" s="367"/>
      <c r="K2893" s="364"/>
      <c r="L2893" s="364"/>
      <c r="M2893" s="364" t="s">
        <v>10084</v>
      </c>
      <c r="N2893" s="364"/>
      <c r="O2893" s="364" t="s">
        <v>57</v>
      </c>
      <c r="P2893" s="373">
        <v>50536000</v>
      </c>
      <c r="Q2893" s="364"/>
      <c r="R2893" s="364" t="s">
        <v>9740</v>
      </c>
      <c r="S2893" s="340">
        <v>1</v>
      </c>
    </row>
    <row r="2894" spans="1:19" ht="31" x14ac:dyDescent="0.35">
      <c r="A2894" s="349">
        <v>2883</v>
      </c>
      <c r="B2894" s="364" t="s">
        <v>10080</v>
      </c>
      <c r="C2894" s="364" t="s">
        <v>10081</v>
      </c>
      <c r="D2894" s="366" t="s">
        <v>107</v>
      </c>
      <c r="E2894" s="366" t="s">
        <v>10082</v>
      </c>
      <c r="F2894" s="366" t="s">
        <v>10078</v>
      </c>
      <c r="G2894" s="366" t="s">
        <v>10088</v>
      </c>
      <c r="H2894" s="366" t="s">
        <v>12157</v>
      </c>
      <c r="I2894" s="364" t="s">
        <v>15098</v>
      </c>
      <c r="J2894" s="367">
        <v>41904</v>
      </c>
      <c r="K2894" s="364" t="s">
        <v>15099</v>
      </c>
      <c r="L2894" s="364"/>
      <c r="M2894" s="364" t="s">
        <v>10084</v>
      </c>
      <c r="N2894" s="364"/>
      <c r="O2894" s="364" t="s">
        <v>57</v>
      </c>
      <c r="P2894" s="373">
        <v>580144790</v>
      </c>
      <c r="Q2894" s="364" t="s">
        <v>15100</v>
      </c>
      <c r="R2894" s="364" t="s">
        <v>9740</v>
      </c>
      <c r="S2894" s="340">
        <v>1</v>
      </c>
    </row>
    <row r="2895" spans="1:19" ht="47" thickBot="1" x14ac:dyDescent="0.4">
      <c r="A2895" s="357">
        <v>2884</v>
      </c>
      <c r="B2895" s="364" t="s">
        <v>10080</v>
      </c>
      <c r="C2895" s="364" t="s">
        <v>10081</v>
      </c>
      <c r="D2895" s="366" t="s">
        <v>112</v>
      </c>
      <c r="E2895" s="366" t="s">
        <v>10082</v>
      </c>
      <c r="F2895" s="366" t="s">
        <v>10078</v>
      </c>
      <c r="G2895" s="366" t="s">
        <v>10088</v>
      </c>
      <c r="H2895" s="366" t="s">
        <v>2972</v>
      </c>
      <c r="I2895" s="364" t="s">
        <v>15098</v>
      </c>
      <c r="J2895" s="367">
        <v>42675</v>
      </c>
      <c r="K2895" s="364" t="s">
        <v>15101</v>
      </c>
      <c r="L2895" s="364"/>
      <c r="M2895" s="364" t="s">
        <v>10084</v>
      </c>
      <c r="N2895" s="364"/>
      <c r="O2895" s="364" t="s">
        <v>57</v>
      </c>
      <c r="P2895" s="373">
        <v>172881937</v>
      </c>
      <c r="Q2895" s="364" t="s">
        <v>15102</v>
      </c>
      <c r="R2895" s="364" t="s">
        <v>9740</v>
      </c>
      <c r="S2895" s="340">
        <v>1</v>
      </c>
    </row>
    <row r="2896" spans="1:19" ht="31" x14ac:dyDescent="0.35">
      <c r="A2896" s="349">
        <v>2885</v>
      </c>
      <c r="B2896" s="364" t="s">
        <v>10080</v>
      </c>
      <c r="C2896" s="364" t="s">
        <v>10081</v>
      </c>
      <c r="D2896" s="366" t="s">
        <v>116</v>
      </c>
      <c r="E2896" s="366" t="s">
        <v>10082</v>
      </c>
      <c r="F2896" s="366" t="s">
        <v>10078</v>
      </c>
      <c r="G2896" s="366" t="s">
        <v>10078</v>
      </c>
      <c r="H2896" s="366" t="s">
        <v>11413</v>
      </c>
      <c r="I2896" s="364" t="s">
        <v>15098</v>
      </c>
      <c r="J2896" s="367"/>
      <c r="K2896" s="364"/>
      <c r="L2896" s="364"/>
      <c r="M2896" s="364" t="s">
        <v>10084</v>
      </c>
      <c r="N2896" s="364"/>
      <c r="O2896" s="364" t="s">
        <v>422</v>
      </c>
      <c r="P2896" s="373">
        <v>195640000</v>
      </c>
      <c r="Q2896" s="364" t="s">
        <v>8603</v>
      </c>
      <c r="R2896" s="364" t="s">
        <v>9740</v>
      </c>
      <c r="S2896" s="340">
        <v>1</v>
      </c>
    </row>
    <row r="2897" spans="1:19" ht="47" thickBot="1" x14ac:dyDescent="0.4">
      <c r="A2897" s="357">
        <v>2886</v>
      </c>
      <c r="B2897" s="364" t="s">
        <v>10080</v>
      </c>
      <c r="C2897" s="364" t="s">
        <v>10081</v>
      </c>
      <c r="D2897" s="366" t="s">
        <v>841</v>
      </c>
      <c r="E2897" s="366" t="s">
        <v>10082</v>
      </c>
      <c r="F2897" s="366" t="s">
        <v>10078</v>
      </c>
      <c r="G2897" s="366" t="s">
        <v>10088</v>
      </c>
      <c r="H2897" s="366" t="s">
        <v>13033</v>
      </c>
      <c r="I2897" s="364" t="s">
        <v>15098</v>
      </c>
      <c r="J2897" s="367">
        <v>42271</v>
      </c>
      <c r="K2897" s="364" t="s">
        <v>15103</v>
      </c>
      <c r="L2897" s="364"/>
      <c r="M2897" s="364" t="s">
        <v>10084</v>
      </c>
      <c r="N2897" s="364"/>
      <c r="O2897" s="364" t="s">
        <v>57</v>
      </c>
      <c r="P2897" s="373">
        <v>213031736</v>
      </c>
      <c r="Q2897" s="364" t="s">
        <v>15104</v>
      </c>
      <c r="R2897" s="364" t="s">
        <v>9740</v>
      </c>
      <c r="S2897" s="340">
        <v>1</v>
      </c>
    </row>
    <row r="2898" spans="1:19" ht="46.5" x14ac:dyDescent="0.35">
      <c r="A2898" s="349">
        <v>2887</v>
      </c>
      <c r="B2898" s="364" t="s">
        <v>10080</v>
      </c>
      <c r="C2898" s="364" t="s">
        <v>10081</v>
      </c>
      <c r="D2898" s="366" t="s">
        <v>904</v>
      </c>
      <c r="E2898" s="366" t="s">
        <v>10082</v>
      </c>
      <c r="F2898" s="366" t="s">
        <v>10078</v>
      </c>
      <c r="G2898" s="366" t="s">
        <v>10078</v>
      </c>
      <c r="H2898" s="366" t="s">
        <v>12623</v>
      </c>
      <c r="I2898" s="364" t="s">
        <v>15105</v>
      </c>
      <c r="J2898" s="367">
        <v>43588</v>
      </c>
      <c r="K2898" s="364" t="s">
        <v>15106</v>
      </c>
      <c r="L2898" s="364"/>
      <c r="M2898" s="364" t="s">
        <v>10084</v>
      </c>
      <c r="N2898" s="364"/>
      <c r="O2898" s="364" t="s">
        <v>57</v>
      </c>
      <c r="P2898" s="373">
        <v>215574000</v>
      </c>
      <c r="Q2898" s="364" t="s">
        <v>15107</v>
      </c>
      <c r="R2898" s="364" t="s">
        <v>9740</v>
      </c>
      <c r="S2898" s="340">
        <v>1</v>
      </c>
    </row>
    <row r="2899" spans="1:19" ht="47" thickBot="1" x14ac:dyDescent="0.4">
      <c r="A2899" s="357">
        <v>2888</v>
      </c>
      <c r="B2899" s="364" t="s">
        <v>10080</v>
      </c>
      <c r="C2899" s="364" t="s">
        <v>10081</v>
      </c>
      <c r="D2899" s="366" t="s">
        <v>122</v>
      </c>
      <c r="E2899" s="366" t="s">
        <v>10082</v>
      </c>
      <c r="F2899" s="366" t="s">
        <v>10078</v>
      </c>
      <c r="G2899" s="366" t="s">
        <v>10088</v>
      </c>
      <c r="H2899" s="366" t="s">
        <v>15108</v>
      </c>
      <c r="I2899" s="364" t="s">
        <v>15060</v>
      </c>
      <c r="J2899" s="367">
        <v>44760</v>
      </c>
      <c r="K2899" s="364" t="s">
        <v>15109</v>
      </c>
      <c r="L2899" s="364"/>
      <c r="M2899" s="364"/>
      <c r="N2899" s="364"/>
      <c r="O2899" s="364" t="s">
        <v>44</v>
      </c>
      <c r="P2899" s="373">
        <v>479921000</v>
      </c>
      <c r="Q2899" s="364" t="s">
        <v>15110</v>
      </c>
      <c r="R2899" s="364" t="s">
        <v>9740</v>
      </c>
      <c r="S2899" s="340">
        <v>1</v>
      </c>
    </row>
    <row r="2900" spans="1:19" ht="31" x14ac:dyDescent="0.35">
      <c r="A2900" s="349">
        <v>2889</v>
      </c>
      <c r="B2900" s="364" t="s">
        <v>10110</v>
      </c>
      <c r="C2900" s="364" t="s">
        <v>10111</v>
      </c>
      <c r="D2900" s="366" t="s">
        <v>51</v>
      </c>
      <c r="E2900" s="366" t="s">
        <v>10082</v>
      </c>
      <c r="F2900" s="366" t="s">
        <v>10078</v>
      </c>
      <c r="G2900" s="366" t="s">
        <v>10088</v>
      </c>
      <c r="H2900" s="366" t="s">
        <v>11332</v>
      </c>
      <c r="I2900" s="364" t="s">
        <v>15098</v>
      </c>
      <c r="J2900" s="367">
        <v>42970</v>
      </c>
      <c r="K2900" s="364" t="s">
        <v>15111</v>
      </c>
      <c r="L2900" s="364"/>
      <c r="M2900" s="364" t="s">
        <v>10084</v>
      </c>
      <c r="N2900" s="364"/>
      <c r="O2900" s="364" t="s">
        <v>57</v>
      </c>
      <c r="P2900" s="373">
        <v>148780000</v>
      </c>
      <c r="Q2900" s="364" t="s">
        <v>15112</v>
      </c>
      <c r="R2900" s="364" t="s">
        <v>9740</v>
      </c>
      <c r="S2900" s="340">
        <v>1</v>
      </c>
    </row>
    <row r="2901" spans="1:19" ht="31.5" thickBot="1" x14ac:dyDescent="0.4">
      <c r="A2901" s="357">
        <v>2890</v>
      </c>
      <c r="B2901" s="364" t="s">
        <v>10110</v>
      </c>
      <c r="C2901" s="364" t="s">
        <v>10111</v>
      </c>
      <c r="D2901" s="366" t="s">
        <v>59</v>
      </c>
      <c r="E2901" s="366" t="s">
        <v>10082</v>
      </c>
      <c r="F2901" s="366" t="s">
        <v>10078</v>
      </c>
      <c r="G2901" s="366" t="s">
        <v>10078</v>
      </c>
      <c r="H2901" s="366" t="s">
        <v>11332</v>
      </c>
      <c r="I2901" s="364" t="s">
        <v>15098</v>
      </c>
      <c r="J2901" s="367"/>
      <c r="K2901" s="364"/>
      <c r="L2901" s="364"/>
      <c r="M2901" s="364" t="s">
        <v>10084</v>
      </c>
      <c r="N2901" s="364"/>
      <c r="O2901" s="364" t="s">
        <v>57</v>
      </c>
      <c r="P2901" s="373">
        <v>8984000</v>
      </c>
      <c r="Q2901" s="364"/>
      <c r="R2901" s="364" t="s">
        <v>9740</v>
      </c>
      <c r="S2901" s="340">
        <v>1</v>
      </c>
    </row>
    <row r="2902" spans="1:19" ht="46.5" x14ac:dyDescent="0.35">
      <c r="A2902" s="349">
        <v>2891</v>
      </c>
      <c r="B2902" s="364" t="s">
        <v>10765</v>
      </c>
      <c r="C2902" s="364" t="s">
        <v>10766</v>
      </c>
      <c r="D2902" s="366" t="s">
        <v>51</v>
      </c>
      <c r="E2902" s="366" t="s">
        <v>10082</v>
      </c>
      <c r="F2902" s="366" t="s">
        <v>10078</v>
      </c>
      <c r="G2902" s="366" t="s">
        <v>10078</v>
      </c>
      <c r="H2902" s="366" t="s">
        <v>15113</v>
      </c>
      <c r="I2902" s="364" t="s">
        <v>15105</v>
      </c>
      <c r="J2902" s="367">
        <v>43706</v>
      </c>
      <c r="K2902" s="364" t="s">
        <v>15114</v>
      </c>
      <c r="L2902" s="364"/>
      <c r="M2902" s="364" t="s">
        <v>10084</v>
      </c>
      <c r="N2902" s="364"/>
      <c r="O2902" s="364" t="s">
        <v>57</v>
      </c>
      <c r="P2902" s="373">
        <v>110438000</v>
      </c>
      <c r="Q2902" s="364" t="s">
        <v>15115</v>
      </c>
      <c r="R2902" s="364" t="s">
        <v>9740</v>
      </c>
      <c r="S2902" s="340">
        <v>1</v>
      </c>
    </row>
    <row r="2903" spans="1:19" ht="31.5" thickBot="1" x14ac:dyDescent="0.4">
      <c r="A2903" s="357">
        <v>2892</v>
      </c>
      <c r="B2903" s="364" t="s">
        <v>10085</v>
      </c>
      <c r="C2903" s="364" t="s">
        <v>10086</v>
      </c>
      <c r="D2903" s="366" t="s">
        <v>51</v>
      </c>
      <c r="E2903" s="366" t="s">
        <v>10082</v>
      </c>
      <c r="F2903" s="366" t="s">
        <v>10078</v>
      </c>
      <c r="G2903" s="366" t="s">
        <v>10078</v>
      </c>
      <c r="H2903" s="366" t="s">
        <v>11308</v>
      </c>
      <c r="I2903" s="364" t="s">
        <v>15098</v>
      </c>
      <c r="J2903" s="367"/>
      <c r="K2903" s="364"/>
      <c r="L2903" s="364"/>
      <c r="M2903" s="364" t="s">
        <v>10084</v>
      </c>
      <c r="N2903" s="364"/>
      <c r="O2903" s="364" t="s">
        <v>57</v>
      </c>
      <c r="P2903" s="373">
        <v>62889000</v>
      </c>
      <c r="Q2903" s="364"/>
      <c r="R2903" s="364" t="s">
        <v>9740</v>
      </c>
      <c r="S2903" s="340">
        <v>1</v>
      </c>
    </row>
    <row r="2904" spans="1:19" ht="31" x14ac:dyDescent="0.35">
      <c r="A2904" s="349">
        <v>2893</v>
      </c>
      <c r="B2904" s="364" t="s">
        <v>10085</v>
      </c>
      <c r="C2904" s="364" t="s">
        <v>10086</v>
      </c>
      <c r="D2904" s="366" t="s">
        <v>59</v>
      </c>
      <c r="E2904" s="366" t="s">
        <v>10082</v>
      </c>
      <c r="F2904" s="366" t="s">
        <v>10078</v>
      </c>
      <c r="G2904" s="366" t="s">
        <v>10078</v>
      </c>
      <c r="H2904" s="366" t="s">
        <v>11308</v>
      </c>
      <c r="I2904" s="364" t="s">
        <v>15098</v>
      </c>
      <c r="J2904" s="367"/>
      <c r="K2904" s="364"/>
      <c r="L2904" s="364"/>
      <c r="M2904" s="364" t="s">
        <v>10084</v>
      </c>
      <c r="N2904" s="364"/>
      <c r="O2904" s="364" t="s">
        <v>57</v>
      </c>
      <c r="P2904" s="373">
        <v>531254400</v>
      </c>
      <c r="Q2904" s="364"/>
      <c r="R2904" s="364" t="s">
        <v>9740</v>
      </c>
      <c r="S2904" s="340">
        <v>1</v>
      </c>
    </row>
    <row r="2905" spans="1:19" ht="31.5" thickBot="1" x14ac:dyDescent="0.4">
      <c r="A2905" s="357">
        <v>2894</v>
      </c>
      <c r="B2905" s="364" t="s">
        <v>10096</v>
      </c>
      <c r="C2905" s="364" t="s">
        <v>10097</v>
      </c>
      <c r="D2905" s="366" t="s">
        <v>51</v>
      </c>
      <c r="E2905" s="366" t="s">
        <v>10082</v>
      </c>
      <c r="F2905" s="366" t="s">
        <v>10078</v>
      </c>
      <c r="G2905" s="366" t="s">
        <v>10088</v>
      </c>
      <c r="H2905" s="366" t="s">
        <v>11465</v>
      </c>
      <c r="I2905" s="364" t="s">
        <v>15098</v>
      </c>
      <c r="J2905" s="367">
        <v>42970</v>
      </c>
      <c r="K2905" s="364" t="s">
        <v>15116</v>
      </c>
      <c r="L2905" s="364"/>
      <c r="M2905" s="364" t="s">
        <v>10084</v>
      </c>
      <c r="N2905" s="364"/>
      <c r="O2905" s="364" t="s">
        <v>57</v>
      </c>
      <c r="P2905" s="373">
        <v>198540000</v>
      </c>
      <c r="Q2905" s="364" t="s">
        <v>15117</v>
      </c>
      <c r="R2905" s="364" t="s">
        <v>9740</v>
      </c>
      <c r="S2905" s="340">
        <v>1</v>
      </c>
    </row>
    <row r="2906" spans="1:19" ht="46.5" x14ac:dyDescent="0.35">
      <c r="A2906" s="349">
        <v>2895</v>
      </c>
      <c r="B2906" s="364" t="s">
        <v>10096</v>
      </c>
      <c r="C2906" s="364" t="s">
        <v>10097</v>
      </c>
      <c r="D2906" s="366" t="s">
        <v>59</v>
      </c>
      <c r="E2906" s="366" t="s">
        <v>10082</v>
      </c>
      <c r="F2906" s="366" t="s">
        <v>10078</v>
      </c>
      <c r="G2906" s="366" t="s">
        <v>10088</v>
      </c>
      <c r="H2906" s="366" t="s">
        <v>12017</v>
      </c>
      <c r="I2906" s="364" t="s">
        <v>15098</v>
      </c>
      <c r="J2906" s="367">
        <v>41558</v>
      </c>
      <c r="K2906" s="364" t="s">
        <v>15118</v>
      </c>
      <c r="L2906" s="364"/>
      <c r="M2906" s="364" t="s">
        <v>10084</v>
      </c>
      <c r="N2906" s="364"/>
      <c r="O2906" s="364" t="s">
        <v>57</v>
      </c>
      <c r="P2906" s="373">
        <v>165750000</v>
      </c>
      <c r="Q2906" s="364" t="s">
        <v>15119</v>
      </c>
      <c r="R2906" s="364" t="s">
        <v>9740</v>
      </c>
      <c r="S2906" s="340">
        <v>1</v>
      </c>
    </row>
    <row r="2907" spans="1:19" ht="31.5" thickBot="1" x14ac:dyDescent="0.4">
      <c r="A2907" s="357">
        <v>2896</v>
      </c>
      <c r="B2907" s="364" t="s">
        <v>10080</v>
      </c>
      <c r="C2907" s="364" t="s">
        <v>10081</v>
      </c>
      <c r="D2907" s="366" t="s">
        <v>51</v>
      </c>
      <c r="E2907" s="366" t="s">
        <v>10082</v>
      </c>
      <c r="F2907" s="366" t="s">
        <v>10078</v>
      </c>
      <c r="G2907" s="366" t="s">
        <v>10078</v>
      </c>
      <c r="H2907" s="366" t="s">
        <v>14947</v>
      </c>
      <c r="I2907" s="364" t="s">
        <v>14962</v>
      </c>
      <c r="J2907" s="367"/>
      <c r="K2907" s="364"/>
      <c r="L2907" s="364"/>
      <c r="M2907" s="364" t="s">
        <v>10084</v>
      </c>
      <c r="N2907" s="364"/>
      <c r="O2907" s="364" t="s">
        <v>422</v>
      </c>
      <c r="P2907" s="373">
        <v>180000000</v>
      </c>
      <c r="Q2907" s="364" t="s">
        <v>8603</v>
      </c>
      <c r="R2907" s="364" t="s">
        <v>9743</v>
      </c>
      <c r="S2907" s="340">
        <v>1</v>
      </c>
    </row>
    <row r="2908" spans="1:19" ht="31" x14ac:dyDescent="0.35">
      <c r="A2908" s="349">
        <v>2897</v>
      </c>
      <c r="B2908" s="364" t="s">
        <v>10080</v>
      </c>
      <c r="C2908" s="364" t="s">
        <v>10081</v>
      </c>
      <c r="D2908" s="366" t="s">
        <v>59</v>
      </c>
      <c r="E2908" s="366" t="s">
        <v>10082</v>
      </c>
      <c r="F2908" s="366" t="s">
        <v>10078</v>
      </c>
      <c r="G2908" s="366" t="s">
        <v>10078</v>
      </c>
      <c r="H2908" s="366" t="s">
        <v>1122</v>
      </c>
      <c r="I2908" s="364" t="s">
        <v>14962</v>
      </c>
      <c r="J2908" s="367"/>
      <c r="K2908" s="364"/>
      <c r="L2908" s="364"/>
      <c r="M2908" s="364" t="s">
        <v>10084</v>
      </c>
      <c r="N2908" s="364"/>
      <c r="O2908" s="364" t="s">
        <v>57</v>
      </c>
      <c r="P2908" s="373">
        <v>327714000</v>
      </c>
      <c r="Q2908" s="364"/>
      <c r="R2908" s="364" t="s">
        <v>9743</v>
      </c>
      <c r="S2908" s="340">
        <v>1</v>
      </c>
    </row>
    <row r="2909" spans="1:19" ht="31.5" thickBot="1" x14ac:dyDescent="0.4">
      <c r="A2909" s="357">
        <v>2898</v>
      </c>
      <c r="B2909" s="364" t="s">
        <v>10080</v>
      </c>
      <c r="C2909" s="364" t="s">
        <v>10081</v>
      </c>
      <c r="D2909" s="366" t="s">
        <v>97</v>
      </c>
      <c r="E2909" s="366" t="s">
        <v>10082</v>
      </c>
      <c r="F2909" s="366" t="s">
        <v>10078</v>
      </c>
      <c r="G2909" s="366" t="s">
        <v>10078</v>
      </c>
      <c r="H2909" s="366" t="s">
        <v>1122</v>
      </c>
      <c r="I2909" s="364" t="s">
        <v>14962</v>
      </c>
      <c r="J2909" s="367"/>
      <c r="K2909" s="364"/>
      <c r="L2909" s="364"/>
      <c r="M2909" s="364" t="s">
        <v>10084</v>
      </c>
      <c r="N2909" s="364"/>
      <c r="O2909" s="364" t="s">
        <v>57</v>
      </c>
      <c r="P2909" s="373">
        <v>276383000</v>
      </c>
      <c r="Q2909" s="364"/>
      <c r="R2909" s="364" t="s">
        <v>9743</v>
      </c>
      <c r="S2909" s="340">
        <v>1</v>
      </c>
    </row>
    <row r="2910" spans="1:19" ht="31" x14ac:dyDescent="0.35">
      <c r="A2910" s="349">
        <v>2899</v>
      </c>
      <c r="B2910" s="364" t="s">
        <v>10080</v>
      </c>
      <c r="C2910" s="364" t="s">
        <v>10081</v>
      </c>
      <c r="D2910" s="366" t="s">
        <v>101</v>
      </c>
      <c r="E2910" s="366" t="s">
        <v>10082</v>
      </c>
      <c r="F2910" s="366" t="s">
        <v>10078</v>
      </c>
      <c r="G2910" s="366" t="s">
        <v>10078</v>
      </c>
      <c r="H2910" s="366" t="s">
        <v>11400</v>
      </c>
      <c r="I2910" s="364" t="s">
        <v>14962</v>
      </c>
      <c r="J2910" s="367"/>
      <c r="K2910" s="364"/>
      <c r="L2910" s="364"/>
      <c r="M2910" s="364" t="s">
        <v>10084</v>
      </c>
      <c r="N2910" s="364"/>
      <c r="O2910" s="364" t="s">
        <v>57</v>
      </c>
      <c r="P2910" s="373">
        <v>128542000</v>
      </c>
      <c r="Q2910" s="364"/>
      <c r="R2910" s="364" t="s">
        <v>9743</v>
      </c>
      <c r="S2910" s="340">
        <v>1</v>
      </c>
    </row>
    <row r="2911" spans="1:19" ht="31.5" thickBot="1" x14ac:dyDescent="0.4">
      <c r="A2911" s="357">
        <v>2900</v>
      </c>
      <c r="B2911" s="364" t="s">
        <v>10765</v>
      </c>
      <c r="C2911" s="364" t="s">
        <v>10766</v>
      </c>
      <c r="D2911" s="366" t="s">
        <v>51</v>
      </c>
      <c r="E2911" s="366" t="s">
        <v>10082</v>
      </c>
      <c r="F2911" s="366" t="s">
        <v>10078</v>
      </c>
      <c r="G2911" s="366" t="s">
        <v>10078</v>
      </c>
      <c r="H2911" s="366" t="s">
        <v>2972</v>
      </c>
      <c r="I2911" s="364" t="s">
        <v>15120</v>
      </c>
      <c r="J2911" s="367">
        <v>42151</v>
      </c>
      <c r="K2911" s="364" t="s">
        <v>15121</v>
      </c>
      <c r="L2911" s="364"/>
      <c r="M2911" s="364" t="s">
        <v>10084</v>
      </c>
      <c r="N2911" s="364"/>
      <c r="O2911" s="364" t="s">
        <v>57</v>
      </c>
      <c r="P2911" s="373">
        <v>220990000</v>
      </c>
      <c r="Q2911" s="364" t="s">
        <v>15122</v>
      </c>
      <c r="R2911" s="364" t="s">
        <v>9743</v>
      </c>
      <c r="S2911" s="340">
        <v>1</v>
      </c>
    </row>
    <row r="2912" spans="1:19" ht="31" x14ac:dyDescent="0.35">
      <c r="A2912" s="349">
        <v>2901</v>
      </c>
      <c r="B2912" s="364" t="s">
        <v>10085</v>
      </c>
      <c r="C2912" s="364" t="s">
        <v>10086</v>
      </c>
      <c r="D2912" s="366" t="s">
        <v>51</v>
      </c>
      <c r="E2912" s="366" t="s">
        <v>10082</v>
      </c>
      <c r="F2912" s="366" t="s">
        <v>10078</v>
      </c>
      <c r="G2912" s="366" t="s">
        <v>10078</v>
      </c>
      <c r="H2912" s="366" t="s">
        <v>11421</v>
      </c>
      <c r="I2912" s="364" t="s">
        <v>14962</v>
      </c>
      <c r="J2912" s="367"/>
      <c r="K2912" s="364"/>
      <c r="L2912" s="364"/>
      <c r="M2912" s="364" t="s">
        <v>10084</v>
      </c>
      <c r="N2912" s="364"/>
      <c r="O2912" s="364" t="s">
        <v>57</v>
      </c>
      <c r="P2912" s="373">
        <v>50536000</v>
      </c>
      <c r="Q2912" s="364"/>
      <c r="R2912" s="364" t="s">
        <v>9743</v>
      </c>
      <c r="S2912" s="340">
        <v>1</v>
      </c>
    </row>
    <row r="2913" spans="1:19" ht="31.5" thickBot="1" x14ac:dyDescent="0.4">
      <c r="A2913" s="357">
        <v>2902</v>
      </c>
      <c r="B2913" s="364" t="s">
        <v>10085</v>
      </c>
      <c r="C2913" s="364" t="s">
        <v>10086</v>
      </c>
      <c r="D2913" s="366" t="s">
        <v>59</v>
      </c>
      <c r="E2913" s="366" t="s">
        <v>10082</v>
      </c>
      <c r="F2913" s="366" t="s">
        <v>10071</v>
      </c>
      <c r="G2913" s="366" t="s">
        <v>10088</v>
      </c>
      <c r="H2913" s="366" t="s">
        <v>11421</v>
      </c>
      <c r="I2913" s="364" t="s">
        <v>14962</v>
      </c>
      <c r="J2913" s="367"/>
      <c r="K2913" s="364"/>
      <c r="L2913" s="364"/>
      <c r="M2913" s="364" t="s">
        <v>10084</v>
      </c>
      <c r="N2913" s="364"/>
      <c r="O2913" s="364" t="s">
        <v>57</v>
      </c>
      <c r="P2913" s="373">
        <v>50536000</v>
      </c>
      <c r="Q2913" s="364"/>
      <c r="R2913" s="364" t="s">
        <v>9743</v>
      </c>
      <c r="S2913" s="340">
        <v>1</v>
      </c>
    </row>
    <row r="2914" spans="1:19" ht="31" x14ac:dyDescent="0.35">
      <c r="A2914" s="349">
        <v>2903</v>
      </c>
      <c r="B2914" s="364" t="s">
        <v>10085</v>
      </c>
      <c r="C2914" s="364" t="s">
        <v>10086</v>
      </c>
      <c r="D2914" s="366" t="s">
        <v>97</v>
      </c>
      <c r="E2914" s="366" t="s">
        <v>10082</v>
      </c>
      <c r="F2914" s="366" t="s">
        <v>10078</v>
      </c>
      <c r="G2914" s="366" t="s">
        <v>10078</v>
      </c>
      <c r="H2914" s="366" t="s">
        <v>11421</v>
      </c>
      <c r="I2914" s="364" t="s">
        <v>14962</v>
      </c>
      <c r="J2914" s="367"/>
      <c r="K2914" s="364"/>
      <c r="L2914" s="364"/>
      <c r="M2914" s="364" t="s">
        <v>10084</v>
      </c>
      <c r="N2914" s="364"/>
      <c r="O2914" s="364" t="s">
        <v>57</v>
      </c>
      <c r="P2914" s="373">
        <v>50536000</v>
      </c>
      <c r="Q2914" s="364"/>
      <c r="R2914" s="364" t="s">
        <v>9743</v>
      </c>
      <c r="S2914" s="340">
        <v>1</v>
      </c>
    </row>
    <row r="2915" spans="1:19" ht="31.5" thickBot="1" x14ac:dyDescent="0.4">
      <c r="A2915" s="357">
        <v>2904</v>
      </c>
      <c r="B2915" s="364" t="s">
        <v>10096</v>
      </c>
      <c r="C2915" s="364" t="s">
        <v>10097</v>
      </c>
      <c r="D2915" s="366" t="s">
        <v>51</v>
      </c>
      <c r="E2915" s="366" t="s">
        <v>10082</v>
      </c>
      <c r="F2915" s="366" t="s">
        <v>10078</v>
      </c>
      <c r="G2915" s="366" t="s">
        <v>10088</v>
      </c>
      <c r="H2915" s="366" t="s">
        <v>11634</v>
      </c>
      <c r="I2915" s="364" t="s">
        <v>14962</v>
      </c>
      <c r="J2915" s="367">
        <v>42149</v>
      </c>
      <c r="K2915" s="364" t="s">
        <v>15123</v>
      </c>
      <c r="L2915" s="364"/>
      <c r="M2915" s="364" t="s">
        <v>10084</v>
      </c>
      <c r="N2915" s="364"/>
      <c r="O2915" s="364" t="s">
        <v>57</v>
      </c>
      <c r="P2915" s="373">
        <v>220879000</v>
      </c>
      <c r="Q2915" s="364" t="s">
        <v>15124</v>
      </c>
      <c r="R2915" s="364" t="s">
        <v>9743</v>
      </c>
      <c r="S2915" s="340">
        <v>1</v>
      </c>
    </row>
    <row r="2916" spans="1:19" ht="46.5" x14ac:dyDescent="0.35">
      <c r="A2916" s="349">
        <v>2905</v>
      </c>
      <c r="B2916" s="364" t="s">
        <v>10155</v>
      </c>
      <c r="C2916" s="364" t="s">
        <v>10156</v>
      </c>
      <c r="D2916" s="366" t="s">
        <v>51</v>
      </c>
      <c r="E2916" s="366" t="s">
        <v>10082</v>
      </c>
      <c r="F2916" s="366" t="s">
        <v>10078</v>
      </c>
      <c r="G2916" s="366" t="s">
        <v>10078</v>
      </c>
      <c r="H2916" s="366" t="s">
        <v>2972</v>
      </c>
      <c r="I2916" s="364" t="s">
        <v>15125</v>
      </c>
      <c r="J2916" s="367">
        <v>44399</v>
      </c>
      <c r="K2916" s="364" t="s">
        <v>15126</v>
      </c>
      <c r="L2916" s="364"/>
      <c r="M2916" s="364" t="s">
        <v>10084</v>
      </c>
      <c r="N2916" s="364"/>
      <c r="O2916" s="364" t="s">
        <v>57</v>
      </c>
      <c r="P2916" s="373">
        <v>132709666.59999999</v>
      </c>
      <c r="Q2916" s="364" t="s">
        <v>15127</v>
      </c>
      <c r="R2916" s="364" t="s">
        <v>9968</v>
      </c>
      <c r="S2916" s="340">
        <v>1</v>
      </c>
    </row>
    <row r="2917" spans="1:19" ht="31.5" thickBot="1" x14ac:dyDescent="0.4">
      <c r="A2917" s="357">
        <v>2906</v>
      </c>
      <c r="B2917" s="364" t="s">
        <v>10080</v>
      </c>
      <c r="C2917" s="364" t="s">
        <v>10081</v>
      </c>
      <c r="D2917" s="366" t="s">
        <v>51</v>
      </c>
      <c r="E2917" s="366" t="s">
        <v>10082</v>
      </c>
      <c r="F2917" s="366" t="s">
        <v>10078</v>
      </c>
      <c r="G2917" s="366" t="s">
        <v>10088</v>
      </c>
      <c r="H2917" s="366" t="s">
        <v>12350</v>
      </c>
      <c r="I2917" s="364" t="s">
        <v>15128</v>
      </c>
      <c r="J2917" s="367"/>
      <c r="K2917" s="364"/>
      <c r="L2917" s="364"/>
      <c r="M2917" s="364" t="s">
        <v>10084</v>
      </c>
      <c r="N2917" s="364"/>
      <c r="O2917" s="364" t="s">
        <v>57</v>
      </c>
      <c r="P2917" s="373">
        <v>519932786</v>
      </c>
      <c r="Q2917" s="364"/>
      <c r="R2917" s="364" t="s">
        <v>9968</v>
      </c>
      <c r="S2917" s="340">
        <v>1</v>
      </c>
    </row>
    <row r="2918" spans="1:19" ht="31" x14ac:dyDescent="0.35">
      <c r="A2918" s="349">
        <v>2907</v>
      </c>
      <c r="B2918" s="364" t="s">
        <v>10080</v>
      </c>
      <c r="C2918" s="364" t="s">
        <v>10081</v>
      </c>
      <c r="D2918" s="366" t="s">
        <v>59</v>
      </c>
      <c r="E2918" s="366" t="s">
        <v>10082</v>
      </c>
      <c r="F2918" s="366" t="s">
        <v>10078</v>
      </c>
      <c r="G2918" s="366" t="s">
        <v>10088</v>
      </c>
      <c r="H2918" s="366" t="s">
        <v>12157</v>
      </c>
      <c r="I2918" s="364" t="s">
        <v>15128</v>
      </c>
      <c r="J2918" s="367"/>
      <c r="K2918" s="364"/>
      <c r="L2918" s="364"/>
      <c r="M2918" s="364" t="s">
        <v>10084</v>
      </c>
      <c r="N2918" s="364"/>
      <c r="O2918" s="364" t="s">
        <v>57</v>
      </c>
      <c r="P2918" s="373">
        <v>117150000</v>
      </c>
      <c r="Q2918" s="364"/>
      <c r="R2918" s="364" t="s">
        <v>9968</v>
      </c>
      <c r="S2918" s="340">
        <v>1</v>
      </c>
    </row>
    <row r="2919" spans="1:19" ht="31.5" thickBot="1" x14ac:dyDescent="0.4">
      <c r="A2919" s="357">
        <v>2908</v>
      </c>
      <c r="B2919" s="364" t="s">
        <v>10080</v>
      </c>
      <c r="C2919" s="364" t="s">
        <v>10081</v>
      </c>
      <c r="D2919" s="366" t="s">
        <v>97</v>
      </c>
      <c r="E2919" s="366" t="s">
        <v>10082</v>
      </c>
      <c r="F2919" s="366" t="s">
        <v>10078</v>
      </c>
      <c r="G2919" s="366" t="s">
        <v>10078</v>
      </c>
      <c r="H2919" s="366" t="s">
        <v>11308</v>
      </c>
      <c r="I2919" s="364" t="s">
        <v>10548</v>
      </c>
      <c r="J2919" s="367">
        <v>43706</v>
      </c>
      <c r="K2919" s="364" t="s">
        <v>15129</v>
      </c>
      <c r="L2919" s="364"/>
      <c r="M2919" s="364" t="s">
        <v>10084</v>
      </c>
      <c r="N2919" s="364"/>
      <c r="O2919" s="364" t="s">
        <v>57</v>
      </c>
      <c r="P2919" s="373">
        <v>221287000</v>
      </c>
      <c r="Q2919" s="364" t="s">
        <v>15130</v>
      </c>
      <c r="R2919" s="364" t="s">
        <v>9968</v>
      </c>
      <c r="S2919" s="340">
        <v>1</v>
      </c>
    </row>
    <row r="2920" spans="1:19" ht="46.5" x14ac:dyDescent="0.35">
      <c r="A2920" s="349">
        <v>2909</v>
      </c>
      <c r="B2920" s="364" t="s">
        <v>10080</v>
      </c>
      <c r="C2920" s="364" t="s">
        <v>10081</v>
      </c>
      <c r="D2920" s="366" t="s">
        <v>101</v>
      </c>
      <c r="E2920" s="366" t="s">
        <v>10082</v>
      </c>
      <c r="F2920" s="366" t="s">
        <v>10078</v>
      </c>
      <c r="G2920" s="366" t="s">
        <v>10078</v>
      </c>
      <c r="H2920" s="366" t="s">
        <v>11308</v>
      </c>
      <c r="I2920" s="364" t="s">
        <v>10477</v>
      </c>
      <c r="J2920" s="367">
        <v>44301</v>
      </c>
      <c r="K2920" s="364" t="s">
        <v>15131</v>
      </c>
      <c r="L2920" s="364"/>
      <c r="M2920" s="364" t="s">
        <v>10084</v>
      </c>
      <c r="N2920" s="364"/>
      <c r="O2920" s="364" t="s">
        <v>57</v>
      </c>
      <c r="P2920" s="373">
        <v>175275000</v>
      </c>
      <c r="Q2920" s="364" t="s">
        <v>15132</v>
      </c>
      <c r="R2920" s="364" t="s">
        <v>9968</v>
      </c>
      <c r="S2920" s="340">
        <v>1</v>
      </c>
    </row>
    <row r="2921" spans="1:19" ht="47" thickBot="1" x14ac:dyDescent="0.4">
      <c r="A2921" s="357">
        <v>2910</v>
      </c>
      <c r="B2921" s="364" t="s">
        <v>10110</v>
      </c>
      <c r="C2921" s="364" t="s">
        <v>10111</v>
      </c>
      <c r="D2921" s="366" t="s">
        <v>51</v>
      </c>
      <c r="E2921" s="366" t="s">
        <v>10082</v>
      </c>
      <c r="F2921" s="366" t="s">
        <v>10078</v>
      </c>
      <c r="G2921" s="366" t="s">
        <v>10078</v>
      </c>
      <c r="H2921" s="366" t="s">
        <v>11315</v>
      </c>
      <c r="I2921" s="364" t="s">
        <v>15133</v>
      </c>
      <c r="J2921" s="367">
        <v>44399</v>
      </c>
      <c r="K2921" s="364" t="s">
        <v>15134</v>
      </c>
      <c r="L2921" s="364"/>
      <c r="M2921" s="364" t="s">
        <v>10084</v>
      </c>
      <c r="N2921" s="364"/>
      <c r="O2921" s="364" t="s">
        <v>57</v>
      </c>
      <c r="P2921" s="373">
        <v>122172500</v>
      </c>
      <c r="Q2921" s="364" t="s">
        <v>15135</v>
      </c>
      <c r="R2921" s="364" t="s">
        <v>9968</v>
      </c>
      <c r="S2921" s="340">
        <v>1</v>
      </c>
    </row>
    <row r="2922" spans="1:19" ht="31" x14ac:dyDescent="0.35">
      <c r="A2922" s="349">
        <v>2911</v>
      </c>
      <c r="B2922" s="364" t="s">
        <v>10110</v>
      </c>
      <c r="C2922" s="364" t="s">
        <v>10111</v>
      </c>
      <c r="D2922" s="366" t="s">
        <v>59</v>
      </c>
      <c r="E2922" s="366" t="s">
        <v>10082</v>
      </c>
      <c r="F2922" s="366" t="s">
        <v>10078</v>
      </c>
      <c r="G2922" s="366" t="s">
        <v>10088</v>
      </c>
      <c r="H2922" s="366" t="s">
        <v>15136</v>
      </c>
      <c r="I2922" s="364" t="s">
        <v>15137</v>
      </c>
      <c r="J2922" s="367"/>
      <c r="K2922" s="364" t="s">
        <v>15138</v>
      </c>
      <c r="L2922" s="364"/>
      <c r="M2922" s="364"/>
      <c r="N2922" s="364"/>
      <c r="O2922" s="364" t="s">
        <v>44</v>
      </c>
      <c r="P2922" s="373">
        <v>221476911.99999997</v>
      </c>
      <c r="Q2922" s="364" t="s">
        <v>15139</v>
      </c>
      <c r="R2922" s="364" t="s">
        <v>9968</v>
      </c>
      <c r="S2922" s="340">
        <v>1</v>
      </c>
    </row>
    <row r="2923" spans="1:19" ht="31.5" thickBot="1" x14ac:dyDescent="0.4">
      <c r="A2923" s="357">
        <v>2912</v>
      </c>
      <c r="B2923" s="364" t="s">
        <v>10997</v>
      </c>
      <c r="C2923" s="364" t="s">
        <v>10998</v>
      </c>
      <c r="D2923" s="366" t="s">
        <v>51</v>
      </c>
      <c r="E2923" s="366" t="s">
        <v>10082</v>
      </c>
      <c r="F2923" s="366" t="s">
        <v>10078</v>
      </c>
      <c r="G2923" s="366" t="s">
        <v>10088</v>
      </c>
      <c r="H2923" s="366" t="s">
        <v>11469</v>
      </c>
      <c r="I2923" s="364" t="s">
        <v>15128</v>
      </c>
      <c r="J2923" s="367"/>
      <c r="K2923" s="364"/>
      <c r="L2923" s="364"/>
      <c r="M2923" s="364" t="s">
        <v>10084</v>
      </c>
      <c r="N2923" s="364"/>
      <c r="O2923" s="364" t="s">
        <v>57</v>
      </c>
      <c r="P2923" s="373">
        <v>445023500</v>
      </c>
      <c r="Q2923" s="364" t="s">
        <v>15140</v>
      </c>
      <c r="R2923" s="364" t="s">
        <v>9968</v>
      </c>
      <c r="S2923" s="340">
        <v>1</v>
      </c>
    </row>
    <row r="2924" spans="1:19" ht="31" x14ac:dyDescent="0.35">
      <c r="A2924" s="349">
        <v>2913</v>
      </c>
      <c r="B2924" s="364" t="s">
        <v>10765</v>
      </c>
      <c r="C2924" s="364" t="s">
        <v>10766</v>
      </c>
      <c r="D2924" s="366" t="s">
        <v>51</v>
      </c>
      <c r="E2924" s="366" t="s">
        <v>10082</v>
      </c>
      <c r="F2924" s="366" t="s">
        <v>10078</v>
      </c>
      <c r="G2924" s="366" t="s">
        <v>10078</v>
      </c>
      <c r="H2924" s="366" t="s">
        <v>2972</v>
      </c>
      <c r="I2924" s="364" t="s">
        <v>10548</v>
      </c>
      <c r="J2924" s="367">
        <v>42997</v>
      </c>
      <c r="K2924" s="364" t="s">
        <v>15141</v>
      </c>
      <c r="L2924" s="364"/>
      <c r="M2924" s="364" t="s">
        <v>10084</v>
      </c>
      <c r="N2924" s="364"/>
      <c r="O2924" s="364" t="s">
        <v>57</v>
      </c>
      <c r="P2924" s="373">
        <v>237116000</v>
      </c>
      <c r="Q2924" s="364" t="s">
        <v>15142</v>
      </c>
      <c r="R2924" s="364" t="s">
        <v>9968</v>
      </c>
      <c r="S2924" s="340">
        <v>1</v>
      </c>
    </row>
    <row r="2925" spans="1:19" ht="31.5" thickBot="1" x14ac:dyDescent="0.4">
      <c r="A2925" s="357">
        <v>2914</v>
      </c>
      <c r="B2925" s="364" t="s">
        <v>10146</v>
      </c>
      <c r="C2925" s="364" t="s">
        <v>10147</v>
      </c>
      <c r="D2925" s="366" t="s">
        <v>51</v>
      </c>
      <c r="E2925" s="366" t="s">
        <v>10082</v>
      </c>
      <c r="F2925" s="366" t="s">
        <v>10078</v>
      </c>
      <c r="G2925" s="366" t="s">
        <v>10078</v>
      </c>
      <c r="H2925" s="366" t="s">
        <v>2972</v>
      </c>
      <c r="I2925" s="364"/>
      <c r="J2925" s="367"/>
      <c r="K2925" s="364"/>
      <c r="L2925" s="364"/>
      <c r="M2925" s="364" t="s">
        <v>10084</v>
      </c>
      <c r="N2925" s="364"/>
      <c r="O2925" s="364" t="s">
        <v>57</v>
      </c>
      <c r="P2925" s="373">
        <v>171190000</v>
      </c>
      <c r="Q2925" s="364" t="s">
        <v>15143</v>
      </c>
      <c r="R2925" s="364" t="s">
        <v>9968</v>
      </c>
      <c r="S2925" s="340">
        <v>1</v>
      </c>
    </row>
    <row r="2926" spans="1:19" ht="31" x14ac:dyDescent="0.35">
      <c r="A2926" s="349">
        <v>2915</v>
      </c>
      <c r="B2926" s="364" t="s">
        <v>10155</v>
      </c>
      <c r="C2926" s="364" t="s">
        <v>10156</v>
      </c>
      <c r="D2926" s="366" t="s">
        <v>51</v>
      </c>
      <c r="E2926" s="366" t="s">
        <v>10082</v>
      </c>
      <c r="F2926" s="366" t="s">
        <v>10078</v>
      </c>
      <c r="G2926" s="366" t="s">
        <v>10088</v>
      </c>
      <c r="H2926" s="366" t="s">
        <v>13011</v>
      </c>
      <c r="I2926" s="364" t="s">
        <v>15144</v>
      </c>
      <c r="J2926" s="367"/>
      <c r="K2926" s="364"/>
      <c r="L2926" s="364"/>
      <c r="M2926" s="364" t="s">
        <v>10084</v>
      </c>
      <c r="N2926" s="364"/>
      <c r="O2926" s="364" t="s">
        <v>57</v>
      </c>
      <c r="P2926" s="373">
        <v>199650000</v>
      </c>
      <c r="Q2926" s="364"/>
      <c r="R2926" s="364" t="s">
        <v>9914</v>
      </c>
      <c r="S2926" s="340">
        <v>1</v>
      </c>
    </row>
    <row r="2927" spans="1:19" ht="31.5" thickBot="1" x14ac:dyDescent="0.4">
      <c r="A2927" s="357">
        <v>2916</v>
      </c>
      <c r="B2927" s="364" t="s">
        <v>10155</v>
      </c>
      <c r="C2927" s="364" t="s">
        <v>10156</v>
      </c>
      <c r="D2927" s="366" t="s">
        <v>59</v>
      </c>
      <c r="E2927" s="366" t="s">
        <v>10082</v>
      </c>
      <c r="F2927" s="366" t="s">
        <v>10078</v>
      </c>
      <c r="G2927" s="366" t="s">
        <v>10078</v>
      </c>
      <c r="H2927" s="366" t="s">
        <v>12350</v>
      </c>
      <c r="I2927" s="364" t="s">
        <v>15144</v>
      </c>
      <c r="J2927" s="367"/>
      <c r="K2927" s="364"/>
      <c r="L2927" s="364"/>
      <c r="M2927" s="364" t="s">
        <v>10084</v>
      </c>
      <c r="N2927" s="364"/>
      <c r="O2927" s="364" t="s">
        <v>57</v>
      </c>
      <c r="P2927" s="373">
        <v>417530000</v>
      </c>
      <c r="Q2927" s="364"/>
      <c r="R2927" s="364" t="s">
        <v>9914</v>
      </c>
      <c r="S2927" s="340">
        <v>1</v>
      </c>
    </row>
    <row r="2928" spans="1:19" ht="46.5" x14ac:dyDescent="0.35">
      <c r="A2928" s="349">
        <v>2917</v>
      </c>
      <c r="B2928" s="364" t="s">
        <v>10146</v>
      </c>
      <c r="C2928" s="364" t="s">
        <v>10147</v>
      </c>
      <c r="D2928" s="366" t="s">
        <v>51</v>
      </c>
      <c r="E2928" s="366" t="s">
        <v>10082</v>
      </c>
      <c r="F2928" s="366" t="s">
        <v>10078</v>
      </c>
      <c r="G2928" s="366" t="s">
        <v>10088</v>
      </c>
      <c r="H2928" s="366" t="s">
        <v>8961</v>
      </c>
      <c r="I2928" s="364" t="s">
        <v>15144</v>
      </c>
      <c r="J2928" s="367">
        <v>42949</v>
      </c>
      <c r="K2928" s="364" t="s">
        <v>15145</v>
      </c>
      <c r="L2928" s="364"/>
      <c r="M2928" s="364" t="s">
        <v>10084</v>
      </c>
      <c r="N2928" s="364"/>
      <c r="O2928" s="364" t="s">
        <v>57</v>
      </c>
      <c r="P2928" s="373">
        <v>221026000</v>
      </c>
      <c r="Q2928" s="364" t="s">
        <v>15146</v>
      </c>
      <c r="R2928" s="364" t="s">
        <v>9914</v>
      </c>
      <c r="S2928" s="340">
        <v>1</v>
      </c>
    </row>
    <row r="2929" spans="1:19" ht="31.5" thickBot="1" x14ac:dyDescent="0.4">
      <c r="A2929" s="357">
        <v>2918</v>
      </c>
      <c r="B2929" s="364" t="s">
        <v>10080</v>
      </c>
      <c r="C2929" s="364" t="s">
        <v>10081</v>
      </c>
      <c r="D2929" s="366" t="s">
        <v>51</v>
      </c>
      <c r="E2929" s="366" t="s">
        <v>10082</v>
      </c>
      <c r="F2929" s="366" t="s">
        <v>10078</v>
      </c>
      <c r="G2929" s="366" t="s">
        <v>10078</v>
      </c>
      <c r="H2929" s="366" t="s">
        <v>1122</v>
      </c>
      <c r="I2929" s="364" t="s">
        <v>15147</v>
      </c>
      <c r="J2929" s="367"/>
      <c r="K2929" s="364"/>
      <c r="L2929" s="364"/>
      <c r="M2929" s="364" t="s">
        <v>10084</v>
      </c>
      <c r="N2929" s="364"/>
      <c r="O2929" s="364" t="s">
        <v>57</v>
      </c>
      <c r="P2929" s="373">
        <v>216635000</v>
      </c>
      <c r="Q2929" s="364"/>
      <c r="R2929" s="364" t="s">
        <v>9916</v>
      </c>
      <c r="S2929" s="340">
        <v>1</v>
      </c>
    </row>
    <row r="2930" spans="1:19" ht="31" x14ac:dyDescent="0.35">
      <c r="A2930" s="349">
        <v>2919</v>
      </c>
      <c r="B2930" s="364" t="s">
        <v>10080</v>
      </c>
      <c r="C2930" s="364" t="s">
        <v>10081</v>
      </c>
      <c r="D2930" s="366" t="s">
        <v>59</v>
      </c>
      <c r="E2930" s="366" t="s">
        <v>10082</v>
      </c>
      <c r="F2930" s="366" t="s">
        <v>10078</v>
      </c>
      <c r="G2930" s="366" t="s">
        <v>10078</v>
      </c>
      <c r="H2930" s="366" t="s">
        <v>1122</v>
      </c>
      <c r="I2930" s="364" t="s">
        <v>15147</v>
      </c>
      <c r="J2930" s="367"/>
      <c r="K2930" s="364"/>
      <c r="L2930" s="364"/>
      <c r="M2930" s="364" t="s">
        <v>10084</v>
      </c>
      <c r="N2930" s="364"/>
      <c r="O2930" s="364" t="s">
        <v>57</v>
      </c>
      <c r="P2930" s="373">
        <v>216635000</v>
      </c>
      <c r="Q2930" s="364"/>
      <c r="R2930" s="364" t="s">
        <v>9916</v>
      </c>
      <c r="S2930" s="340">
        <v>1</v>
      </c>
    </row>
    <row r="2931" spans="1:19" ht="31.5" thickBot="1" x14ac:dyDescent="0.4">
      <c r="A2931" s="357">
        <v>2920</v>
      </c>
      <c r="B2931" s="364" t="s">
        <v>10080</v>
      </c>
      <c r="C2931" s="364" t="s">
        <v>10081</v>
      </c>
      <c r="D2931" s="366" t="s">
        <v>97</v>
      </c>
      <c r="E2931" s="366" t="s">
        <v>10082</v>
      </c>
      <c r="F2931" s="366" t="s">
        <v>10078</v>
      </c>
      <c r="G2931" s="366" t="s">
        <v>10078</v>
      </c>
      <c r="H2931" s="366" t="s">
        <v>11421</v>
      </c>
      <c r="I2931" s="364" t="s">
        <v>15147</v>
      </c>
      <c r="J2931" s="367"/>
      <c r="K2931" s="364"/>
      <c r="L2931" s="364"/>
      <c r="M2931" s="364" t="s">
        <v>10084</v>
      </c>
      <c r="N2931" s="364"/>
      <c r="O2931" s="364" t="s">
        <v>57</v>
      </c>
      <c r="P2931" s="373">
        <v>72212000</v>
      </c>
      <c r="Q2931" s="364"/>
      <c r="R2931" s="364" t="s">
        <v>9916</v>
      </c>
      <c r="S2931" s="340">
        <v>1</v>
      </c>
    </row>
    <row r="2932" spans="1:19" ht="31" x14ac:dyDescent="0.35">
      <c r="A2932" s="349">
        <v>2921</v>
      </c>
      <c r="B2932" s="364" t="s">
        <v>10080</v>
      </c>
      <c r="C2932" s="364" t="s">
        <v>10081</v>
      </c>
      <c r="D2932" s="366" t="s">
        <v>101</v>
      </c>
      <c r="E2932" s="366" t="s">
        <v>10082</v>
      </c>
      <c r="F2932" s="366" t="s">
        <v>10078</v>
      </c>
      <c r="G2932" s="366" t="s">
        <v>10078</v>
      </c>
      <c r="H2932" s="366" t="s">
        <v>1122</v>
      </c>
      <c r="I2932" s="364" t="s">
        <v>15147</v>
      </c>
      <c r="J2932" s="367"/>
      <c r="K2932" s="364"/>
      <c r="L2932" s="364"/>
      <c r="M2932" s="364" t="s">
        <v>10084</v>
      </c>
      <c r="N2932" s="364"/>
      <c r="O2932" s="364" t="s">
        <v>57</v>
      </c>
      <c r="P2932" s="373">
        <v>590485000</v>
      </c>
      <c r="Q2932" s="364"/>
      <c r="R2932" s="364" t="s">
        <v>9916</v>
      </c>
      <c r="S2932" s="340">
        <v>1</v>
      </c>
    </row>
    <row r="2933" spans="1:19" ht="31.5" thickBot="1" x14ac:dyDescent="0.4">
      <c r="A2933" s="357">
        <v>2922</v>
      </c>
      <c r="B2933" s="364" t="s">
        <v>10080</v>
      </c>
      <c r="C2933" s="364" t="s">
        <v>10081</v>
      </c>
      <c r="D2933" s="366" t="s">
        <v>107</v>
      </c>
      <c r="E2933" s="366" t="s">
        <v>10082</v>
      </c>
      <c r="F2933" s="366" t="s">
        <v>10078</v>
      </c>
      <c r="G2933" s="366" t="s">
        <v>10078</v>
      </c>
      <c r="H2933" s="366" t="s">
        <v>13011</v>
      </c>
      <c r="I2933" s="364" t="s">
        <v>15147</v>
      </c>
      <c r="J2933" s="367"/>
      <c r="K2933" s="364"/>
      <c r="L2933" s="364"/>
      <c r="M2933" s="364" t="s">
        <v>10084</v>
      </c>
      <c r="N2933" s="364"/>
      <c r="O2933" s="364" t="s">
        <v>422</v>
      </c>
      <c r="P2933" s="373">
        <v>731491287.5</v>
      </c>
      <c r="Q2933" s="364" t="s">
        <v>15148</v>
      </c>
      <c r="R2933" s="364" t="s">
        <v>9916</v>
      </c>
      <c r="S2933" s="340">
        <v>1</v>
      </c>
    </row>
    <row r="2934" spans="1:19" ht="31" x14ac:dyDescent="0.35">
      <c r="A2934" s="349">
        <v>2923</v>
      </c>
      <c r="B2934" s="364" t="s">
        <v>10092</v>
      </c>
      <c r="C2934" s="364" t="s">
        <v>10093</v>
      </c>
      <c r="D2934" s="366" t="s">
        <v>51</v>
      </c>
      <c r="E2934" s="366" t="s">
        <v>10082</v>
      </c>
      <c r="F2934" s="366" t="s">
        <v>10078</v>
      </c>
      <c r="G2934" s="366" t="s">
        <v>10078</v>
      </c>
      <c r="H2934" s="366" t="s">
        <v>12979</v>
      </c>
      <c r="I2934" s="364" t="s">
        <v>15147</v>
      </c>
      <c r="J2934" s="367"/>
      <c r="K2934" s="364"/>
      <c r="L2934" s="364"/>
      <c r="M2934" s="364" t="s">
        <v>10084</v>
      </c>
      <c r="N2934" s="364"/>
      <c r="O2934" s="364" t="s">
        <v>57</v>
      </c>
      <c r="P2934" s="373">
        <v>166877954</v>
      </c>
      <c r="Q2934" s="364"/>
      <c r="R2934" s="364" t="s">
        <v>9916</v>
      </c>
      <c r="S2934" s="340">
        <v>1</v>
      </c>
    </row>
    <row r="2935" spans="1:19" ht="31.5" thickBot="1" x14ac:dyDescent="0.4">
      <c r="A2935" s="357">
        <v>2924</v>
      </c>
      <c r="B2935" s="364" t="s">
        <v>10085</v>
      </c>
      <c r="C2935" s="364" t="s">
        <v>10086</v>
      </c>
      <c r="D2935" s="366" t="s">
        <v>51</v>
      </c>
      <c r="E2935" s="366" t="s">
        <v>10082</v>
      </c>
      <c r="F2935" s="366" t="s">
        <v>10078</v>
      </c>
      <c r="G2935" s="366" t="s">
        <v>10078</v>
      </c>
      <c r="H2935" s="366" t="s">
        <v>11308</v>
      </c>
      <c r="I2935" s="364" t="s">
        <v>15147</v>
      </c>
      <c r="J2935" s="367"/>
      <c r="K2935" s="364"/>
      <c r="L2935" s="364"/>
      <c r="M2935" s="364" t="s">
        <v>10084</v>
      </c>
      <c r="N2935" s="364"/>
      <c r="O2935" s="364" t="s">
        <v>57</v>
      </c>
      <c r="P2935" s="373">
        <v>321547750</v>
      </c>
      <c r="Q2935" s="364"/>
      <c r="R2935" s="364" t="s">
        <v>9916</v>
      </c>
      <c r="S2935" s="340">
        <v>1</v>
      </c>
    </row>
    <row r="2936" spans="1:19" ht="31" x14ac:dyDescent="0.35">
      <c r="A2936" s="349">
        <v>2925</v>
      </c>
      <c r="B2936" s="364" t="s">
        <v>10085</v>
      </c>
      <c r="C2936" s="364" t="s">
        <v>10086</v>
      </c>
      <c r="D2936" s="366" t="s">
        <v>59</v>
      </c>
      <c r="E2936" s="366" t="s">
        <v>10082</v>
      </c>
      <c r="F2936" s="366" t="s">
        <v>10078</v>
      </c>
      <c r="G2936" s="366" t="s">
        <v>10078</v>
      </c>
      <c r="H2936" s="366" t="s">
        <v>11308</v>
      </c>
      <c r="I2936" s="364" t="s">
        <v>15147</v>
      </c>
      <c r="J2936" s="367"/>
      <c r="K2936" s="364"/>
      <c r="L2936" s="364"/>
      <c r="M2936" s="364" t="s">
        <v>10084</v>
      </c>
      <c r="N2936" s="364"/>
      <c r="O2936" s="364" t="s">
        <v>57</v>
      </c>
      <c r="P2936" s="373">
        <v>159623000</v>
      </c>
      <c r="Q2936" s="364"/>
      <c r="R2936" s="364" t="s">
        <v>9916</v>
      </c>
      <c r="S2936" s="340">
        <v>1</v>
      </c>
    </row>
    <row r="2937" spans="1:19" ht="31.5" thickBot="1" x14ac:dyDescent="0.4">
      <c r="A2937" s="357">
        <v>2926</v>
      </c>
      <c r="B2937" s="364" t="s">
        <v>10085</v>
      </c>
      <c r="C2937" s="364" t="s">
        <v>10086</v>
      </c>
      <c r="D2937" s="366" t="s">
        <v>97</v>
      </c>
      <c r="E2937" s="366" t="s">
        <v>10082</v>
      </c>
      <c r="F2937" s="366" t="s">
        <v>10078</v>
      </c>
      <c r="G2937" s="366" t="s">
        <v>10088</v>
      </c>
      <c r="H2937" s="366" t="s">
        <v>11409</v>
      </c>
      <c r="I2937" s="364" t="s">
        <v>15149</v>
      </c>
      <c r="J2937" s="367">
        <v>39969</v>
      </c>
      <c r="K2937" s="364" t="s">
        <v>15150</v>
      </c>
      <c r="L2937" s="364"/>
      <c r="M2937" s="364" t="s">
        <v>10084</v>
      </c>
      <c r="N2937" s="364"/>
      <c r="O2937" s="364" t="s">
        <v>422</v>
      </c>
      <c r="P2937" s="373">
        <v>250145828</v>
      </c>
      <c r="Q2937" s="364" t="s">
        <v>15151</v>
      </c>
      <c r="R2937" s="364" t="s">
        <v>9916</v>
      </c>
      <c r="S2937" s="340">
        <v>1</v>
      </c>
    </row>
    <row r="2938" spans="1:19" ht="46.5" x14ac:dyDescent="0.35">
      <c r="A2938" s="349">
        <v>2927</v>
      </c>
      <c r="B2938" s="364" t="s">
        <v>10155</v>
      </c>
      <c r="C2938" s="364" t="s">
        <v>10156</v>
      </c>
      <c r="D2938" s="366" t="s">
        <v>51</v>
      </c>
      <c r="E2938" s="366" t="s">
        <v>10082</v>
      </c>
      <c r="F2938" s="366" t="s">
        <v>10078</v>
      </c>
      <c r="G2938" s="366" t="s">
        <v>10078</v>
      </c>
      <c r="H2938" s="366" t="s">
        <v>11308</v>
      </c>
      <c r="I2938" s="364" t="s">
        <v>15152</v>
      </c>
      <c r="J2938" s="367">
        <v>43966</v>
      </c>
      <c r="K2938" s="364" t="s">
        <v>15153</v>
      </c>
      <c r="L2938" s="364"/>
      <c r="M2938" s="364" t="s">
        <v>10084</v>
      </c>
      <c r="N2938" s="364"/>
      <c r="O2938" s="364" t="s">
        <v>57</v>
      </c>
      <c r="P2938" s="373">
        <v>191700000</v>
      </c>
      <c r="Q2938" s="364" t="s">
        <v>15154</v>
      </c>
      <c r="R2938" s="364" t="s">
        <v>9918</v>
      </c>
      <c r="S2938" s="340">
        <v>1</v>
      </c>
    </row>
    <row r="2939" spans="1:19" ht="31.5" thickBot="1" x14ac:dyDescent="0.4">
      <c r="A2939" s="357">
        <v>2928</v>
      </c>
      <c r="B2939" s="364" t="s">
        <v>10080</v>
      </c>
      <c r="C2939" s="364" t="s">
        <v>10081</v>
      </c>
      <c r="D2939" s="366" t="s">
        <v>51</v>
      </c>
      <c r="E2939" s="366" t="s">
        <v>10082</v>
      </c>
      <c r="F2939" s="366" t="s">
        <v>10078</v>
      </c>
      <c r="G2939" s="366" t="s">
        <v>10078</v>
      </c>
      <c r="H2939" s="366" t="s">
        <v>15155</v>
      </c>
      <c r="I2939" s="364" t="s">
        <v>15156</v>
      </c>
      <c r="J2939" s="367"/>
      <c r="K2939" s="364"/>
      <c r="L2939" s="364"/>
      <c r="M2939" s="364" t="s">
        <v>10084</v>
      </c>
      <c r="N2939" s="364"/>
      <c r="O2939" s="364" t="s">
        <v>57</v>
      </c>
      <c r="P2939" s="373">
        <v>429732584</v>
      </c>
      <c r="Q2939" s="364"/>
      <c r="R2939" s="364" t="s">
        <v>9918</v>
      </c>
      <c r="S2939" s="340">
        <v>1</v>
      </c>
    </row>
    <row r="2940" spans="1:19" ht="31" x14ac:dyDescent="0.35">
      <c r="A2940" s="349">
        <v>2929</v>
      </c>
      <c r="B2940" s="364" t="s">
        <v>10080</v>
      </c>
      <c r="C2940" s="364" t="s">
        <v>10081</v>
      </c>
      <c r="D2940" s="366" t="s">
        <v>59</v>
      </c>
      <c r="E2940" s="366" t="s">
        <v>10082</v>
      </c>
      <c r="F2940" s="366" t="s">
        <v>10078</v>
      </c>
      <c r="G2940" s="366" t="s">
        <v>10078</v>
      </c>
      <c r="H2940" s="366" t="s">
        <v>11400</v>
      </c>
      <c r="I2940" s="364" t="s">
        <v>15156</v>
      </c>
      <c r="J2940" s="367"/>
      <c r="K2940" s="364"/>
      <c r="L2940" s="364"/>
      <c r="M2940" s="364" t="s">
        <v>10084</v>
      </c>
      <c r="N2940" s="364"/>
      <c r="O2940" s="364" t="s">
        <v>57</v>
      </c>
      <c r="P2940" s="373">
        <v>302933500</v>
      </c>
      <c r="Q2940" s="364"/>
      <c r="R2940" s="364" t="s">
        <v>9918</v>
      </c>
      <c r="S2940" s="340">
        <v>1</v>
      </c>
    </row>
    <row r="2941" spans="1:19" ht="47" thickBot="1" x14ac:dyDescent="0.4">
      <c r="A2941" s="357">
        <v>2930</v>
      </c>
      <c r="B2941" s="364" t="s">
        <v>10110</v>
      </c>
      <c r="C2941" s="364" t="s">
        <v>10111</v>
      </c>
      <c r="D2941" s="366" t="s">
        <v>51</v>
      </c>
      <c r="E2941" s="366" t="s">
        <v>10082</v>
      </c>
      <c r="F2941" s="366" t="s">
        <v>10078</v>
      </c>
      <c r="G2941" s="366" t="s">
        <v>10078</v>
      </c>
      <c r="H2941" s="366" t="s">
        <v>11870</v>
      </c>
      <c r="I2941" s="364" t="s">
        <v>15157</v>
      </c>
      <c r="J2941" s="367">
        <v>43966</v>
      </c>
      <c r="K2941" s="364" t="s">
        <v>15158</v>
      </c>
      <c r="L2941" s="364"/>
      <c r="M2941" s="364" t="s">
        <v>10084</v>
      </c>
      <c r="N2941" s="364"/>
      <c r="O2941" s="364" t="s">
        <v>57</v>
      </c>
      <c r="P2941" s="373">
        <v>76404000</v>
      </c>
      <c r="Q2941" s="364" t="s">
        <v>15159</v>
      </c>
      <c r="R2941" s="364" t="s">
        <v>9918</v>
      </c>
      <c r="S2941" s="340">
        <v>1</v>
      </c>
    </row>
    <row r="2942" spans="1:19" ht="62" x14ac:dyDescent="0.35">
      <c r="A2942" s="349">
        <v>2931</v>
      </c>
      <c r="B2942" s="364" t="s">
        <v>10110</v>
      </c>
      <c r="C2942" s="364" t="s">
        <v>10111</v>
      </c>
      <c r="D2942" s="366" t="s">
        <v>59</v>
      </c>
      <c r="E2942" s="366" t="s">
        <v>10082</v>
      </c>
      <c r="F2942" s="366" t="s">
        <v>10078</v>
      </c>
      <c r="G2942" s="366" t="s">
        <v>10078</v>
      </c>
      <c r="H2942" s="366" t="s">
        <v>12407</v>
      </c>
      <c r="I2942" s="364" t="s">
        <v>15160</v>
      </c>
      <c r="J2942" s="367">
        <v>43966</v>
      </c>
      <c r="K2942" s="364" t="s">
        <v>15161</v>
      </c>
      <c r="L2942" s="364"/>
      <c r="M2942" s="364" t="s">
        <v>10084</v>
      </c>
      <c r="N2942" s="364"/>
      <c r="O2942" s="364" t="s">
        <v>57</v>
      </c>
      <c r="P2942" s="373">
        <v>109725000</v>
      </c>
      <c r="Q2942" s="364" t="s">
        <v>15162</v>
      </c>
      <c r="R2942" s="364" t="s">
        <v>9918</v>
      </c>
      <c r="S2942" s="340">
        <v>1</v>
      </c>
    </row>
    <row r="2943" spans="1:19" ht="31.5" thickBot="1" x14ac:dyDescent="0.4">
      <c r="A2943" s="357">
        <v>2932</v>
      </c>
      <c r="B2943" s="364" t="s">
        <v>10110</v>
      </c>
      <c r="C2943" s="364" t="s">
        <v>10111</v>
      </c>
      <c r="D2943" s="366" t="s">
        <v>97</v>
      </c>
      <c r="E2943" s="366" t="s">
        <v>10082</v>
      </c>
      <c r="F2943" s="366" t="s">
        <v>10078</v>
      </c>
      <c r="G2943" s="366" t="s">
        <v>10078</v>
      </c>
      <c r="H2943" s="366" t="s">
        <v>11349</v>
      </c>
      <c r="I2943" s="364" t="s">
        <v>15156</v>
      </c>
      <c r="J2943" s="367"/>
      <c r="K2943" s="364"/>
      <c r="L2943" s="364"/>
      <c r="M2943" s="364" t="s">
        <v>10084</v>
      </c>
      <c r="N2943" s="364"/>
      <c r="O2943" s="364" t="s">
        <v>57</v>
      </c>
      <c r="P2943" s="373">
        <v>16047000</v>
      </c>
      <c r="Q2943" s="364"/>
      <c r="R2943" s="364" t="s">
        <v>9918</v>
      </c>
      <c r="S2943" s="340">
        <v>1</v>
      </c>
    </row>
    <row r="2944" spans="1:19" ht="31" x14ac:dyDescent="0.35">
      <c r="A2944" s="349">
        <v>2933</v>
      </c>
      <c r="B2944" s="364" t="s">
        <v>10092</v>
      </c>
      <c r="C2944" s="364" t="s">
        <v>10093</v>
      </c>
      <c r="D2944" s="366" t="s">
        <v>51</v>
      </c>
      <c r="E2944" s="366" t="s">
        <v>10082</v>
      </c>
      <c r="F2944" s="366" t="s">
        <v>10078</v>
      </c>
      <c r="G2944" s="366" t="s">
        <v>10078</v>
      </c>
      <c r="H2944" s="366" t="s">
        <v>11318</v>
      </c>
      <c r="I2944" s="364" t="s">
        <v>15156</v>
      </c>
      <c r="J2944" s="367"/>
      <c r="K2944" s="364"/>
      <c r="L2944" s="364"/>
      <c r="M2944" s="364" t="s">
        <v>10084</v>
      </c>
      <c r="N2944" s="364"/>
      <c r="O2944" s="364" t="s">
        <v>57</v>
      </c>
      <c r="P2944" s="373">
        <v>121065500</v>
      </c>
      <c r="Q2944" s="364"/>
      <c r="R2944" s="364" t="s">
        <v>9918</v>
      </c>
      <c r="S2944" s="340">
        <v>1</v>
      </c>
    </row>
    <row r="2945" spans="1:19" ht="31.5" thickBot="1" x14ac:dyDescent="0.4">
      <c r="A2945" s="357">
        <v>2934</v>
      </c>
      <c r="B2945" s="364" t="s">
        <v>10085</v>
      </c>
      <c r="C2945" s="364" t="s">
        <v>10086</v>
      </c>
      <c r="D2945" s="366" t="s">
        <v>51</v>
      </c>
      <c r="E2945" s="366" t="s">
        <v>10082</v>
      </c>
      <c r="F2945" s="366" t="s">
        <v>10078</v>
      </c>
      <c r="G2945" s="366" t="s">
        <v>10078</v>
      </c>
      <c r="H2945" s="366" t="s">
        <v>11308</v>
      </c>
      <c r="I2945" s="364" t="s">
        <v>15156</v>
      </c>
      <c r="J2945" s="367"/>
      <c r="K2945" s="364"/>
      <c r="L2945" s="364"/>
      <c r="M2945" s="364" t="s">
        <v>10084</v>
      </c>
      <c r="N2945" s="364"/>
      <c r="O2945" s="364" t="s">
        <v>57</v>
      </c>
      <c r="P2945" s="373">
        <v>264386000</v>
      </c>
      <c r="Q2945" s="364"/>
      <c r="R2945" s="364" t="s">
        <v>9918</v>
      </c>
      <c r="S2945" s="340">
        <v>1</v>
      </c>
    </row>
    <row r="2946" spans="1:19" ht="46.5" x14ac:dyDescent="0.35">
      <c r="A2946" s="349">
        <v>2935</v>
      </c>
      <c r="B2946" s="364" t="s">
        <v>10085</v>
      </c>
      <c r="C2946" s="364" t="s">
        <v>10086</v>
      </c>
      <c r="D2946" s="366" t="s">
        <v>59</v>
      </c>
      <c r="E2946" s="366" t="s">
        <v>10082</v>
      </c>
      <c r="F2946" s="366" t="s">
        <v>10078</v>
      </c>
      <c r="G2946" s="366" t="s">
        <v>10078</v>
      </c>
      <c r="H2946" s="366" t="s">
        <v>11634</v>
      </c>
      <c r="I2946" s="364" t="s">
        <v>15163</v>
      </c>
      <c r="J2946" s="367">
        <v>41585</v>
      </c>
      <c r="K2946" s="364" t="s">
        <v>15164</v>
      </c>
      <c r="L2946" s="364"/>
      <c r="M2946" s="364" t="s">
        <v>10084</v>
      </c>
      <c r="N2946" s="364"/>
      <c r="O2946" s="364" t="s">
        <v>57</v>
      </c>
      <c r="P2946" s="373">
        <v>137500000</v>
      </c>
      <c r="Q2946" s="364" t="s">
        <v>15165</v>
      </c>
      <c r="R2946" s="364" t="s">
        <v>9918</v>
      </c>
      <c r="S2946" s="340">
        <v>1</v>
      </c>
    </row>
    <row r="2947" spans="1:19" ht="31.5" thickBot="1" x14ac:dyDescent="0.4">
      <c r="A2947" s="357">
        <v>2936</v>
      </c>
      <c r="B2947" s="364" t="s">
        <v>10080</v>
      </c>
      <c r="C2947" s="364" t="s">
        <v>10081</v>
      </c>
      <c r="D2947" s="366" t="s">
        <v>51</v>
      </c>
      <c r="E2947" s="366" t="s">
        <v>10082</v>
      </c>
      <c r="F2947" s="366" t="s">
        <v>10078</v>
      </c>
      <c r="G2947" s="366" t="s">
        <v>10078</v>
      </c>
      <c r="H2947" s="366" t="s">
        <v>13011</v>
      </c>
      <c r="I2947" s="364" t="s">
        <v>15166</v>
      </c>
      <c r="J2947" s="367"/>
      <c r="K2947" s="364"/>
      <c r="L2947" s="364"/>
      <c r="M2947" s="364" t="s">
        <v>10084</v>
      </c>
      <c r="N2947" s="364"/>
      <c r="O2947" s="364" t="s">
        <v>422</v>
      </c>
      <c r="P2947" s="373">
        <v>92000000</v>
      </c>
      <c r="Q2947" s="364" t="s">
        <v>8603</v>
      </c>
      <c r="R2947" s="364" t="s">
        <v>9920</v>
      </c>
      <c r="S2947" s="340">
        <v>1</v>
      </c>
    </row>
    <row r="2948" spans="1:19" ht="31" x14ac:dyDescent="0.35">
      <c r="A2948" s="349">
        <v>2937</v>
      </c>
      <c r="B2948" s="364" t="s">
        <v>10080</v>
      </c>
      <c r="C2948" s="364" t="s">
        <v>10081</v>
      </c>
      <c r="D2948" s="366" t="s">
        <v>59</v>
      </c>
      <c r="E2948" s="366" t="s">
        <v>10082</v>
      </c>
      <c r="F2948" s="366" t="s">
        <v>10078</v>
      </c>
      <c r="G2948" s="366" t="s">
        <v>10078</v>
      </c>
      <c r="H2948" s="366" t="s">
        <v>11400</v>
      </c>
      <c r="I2948" s="364" t="s">
        <v>15166</v>
      </c>
      <c r="J2948" s="367"/>
      <c r="K2948" s="364"/>
      <c r="L2948" s="364"/>
      <c r="M2948" s="364" t="s">
        <v>10084</v>
      </c>
      <c r="N2948" s="364"/>
      <c r="O2948" s="364" t="s">
        <v>57</v>
      </c>
      <c r="P2948" s="373">
        <v>260409711</v>
      </c>
      <c r="Q2948" s="364"/>
      <c r="R2948" s="364" t="s">
        <v>9920</v>
      </c>
      <c r="S2948" s="340">
        <v>1</v>
      </c>
    </row>
    <row r="2949" spans="1:19" ht="31.5" thickBot="1" x14ac:dyDescent="0.4">
      <c r="A2949" s="357">
        <v>2938</v>
      </c>
      <c r="B2949" s="364" t="s">
        <v>10080</v>
      </c>
      <c r="C2949" s="364" t="s">
        <v>10081</v>
      </c>
      <c r="D2949" s="366" t="s">
        <v>97</v>
      </c>
      <c r="E2949" s="366" t="s">
        <v>10082</v>
      </c>
      <c r="F2949" s="366" t="s">
        <v>10078</v>
      </c>
      <c r="G2949" s="366" t="s">
        <v>10078</v>
      </c>
      <c r="H2949" s="366" t="s">
        <v>11400</v>
      </c>
      <c r="I2949" s="364" t="s">
        <v>15166</v>
      </c>
      <c r="J2949" s="367"/>
      <c r="K2949" s="364"/>
      <c r="L2949" s="364"/>
      <c r="M2949" s="364" t="s">
        <v>10084</v>
      </c>
      <c r="N2949" s="364"/>
      <c r="O2949" s="364" t="s">
        <v>57</v>
      </c>
      <c r="P2949" s="373">
        <v>201929500</v>
      </c>
      <c r="Q2949" s="364"/>
      <c r="R2949" s="364" t="s">
        <v>9920</v>
      </c>
      <c r="S2949" s="340">
        <v>1</v>
      </c>
    </row>
    <row r="2950" spans="1:19" ht="31" x14ac:dyDescent="0.35">
      <c r="A2950" s="349">
        <v>2939</v>
      </c>
      <c r="B2950" s="364" t="s">
        <v>10092</v>
      </c>
      <c r="C2950" s="364" t="s">
        <v>10093</v>
      </c>
      <c r="D2950" s="366" t="s">
        <v>51</v>
      </c>
      <c r="E2950" s="366" t="s">
        <v>10082</v>
      </c>
      <c r="F2950" s="366" t="s">
        <v>10078</v>
      </c>
      <c r="G2950" s="366" t="s">
        <v>10078</v>
      </c>
      <c r="H2950" s="366" t="s">
        <v>12979</v>
      </c>
      <c r="I2950" s="364" t="s">
        <v>15167</v>
      </c>
      <c r="J2950" s="367">
        <v>41564</v>
      </c>
      <c r="K2950" s="364" t="s">
        <v>15168</v>
      </c>
      <c r="L2950" s="364"/>
      <c r="M2950" s="364" t="s">
        <v>10084</v>
      </c>
      <c r="N2950" s="364"/>
      <c r="O2950" s="364" t="s">
        <v>57</v>
      </c>
      <c r="P2950" s="373">
        <v>155164520</v>
      </c>
      <c r="Q2950" s="364"/>
      <c r="R2950" s="364" t="s">
        <v>9920</v>
      </c>
      <c r="S2950" s="340">
        <v>1</v>
      </c>
    </row>
    <row r="2951" spans="1:19" ht="31.5" thickBot="1" x14ac:dyDescent="0.4">
      <c r="A2951" s="357">
        <v>2940</v>
      </c>
      <c r="B2951" s="364" t="s">
        <v>10085</v>
      </c>
      <c r="C2951" s="364" t="s">
        <v>10086</v>
      </c>
      <c r="D2951" s="366" t="s">
        <v>51</v>
      </c>
      <c r="E2951" s="366" t="s">
        <v>10082</v>
      </c>
      <c r="F2951" s="366" t="s">
        <v>10078</v>
      </c>
      <c r="G2951" s="366" t="s">
        <v>10078</v>
      </c>
      <c r="H2951" s="366" t="s">
        <v>11421</v>
      </c>
      <c r="I2951" s="364" t="s">
        <v>15166</v>
      </c>
      <c r="J2951" s="367"/>
      <c r="K2951" s="364"/>
      <c r="L2951" s="364"/>
      <c r="M2951" s="364" t="s">
        <v>10084</v>
      </c>
      <c r="N2951" s="364"/>
      <c r="O2951" s="364" t="s">
        <v>57</v>
      </c>
      <c r="P2951" s="373">
        <v>48141000</v>
      </c>
      <c r="Q2951" s="364"/>
      <c r="R2951" s="364" t="s">
        <v>9920</v>
      </c>
      <c r="S2951" s="340">
        <v>1</v>
      </c>
    </row>
    <row r="2952" spans="1:19" ht="31" x14ac:dyDescent="0.35">
      <c r="A2952" s="349">
        <v>2941</v>
      </c>
      <c r="B2952" s="364" t="s">
        <v>10085</v>
      </c>
      <c r="C2952" s="364" t="s">
        <v>10086</v>
      </c>
      <c r="D2952" s="366" t="s">
        <v>59</v>
      </c>
      <c r="E2952" s="366" t="s">
        <v>10082</v>
      </c>
      <c r="F2952" s="366" t="s">
        <v>10078</v>
      </c>
      <c r="G2952" s="366" t="s">
        <v>10078</v>
      </c>
      <c r="H2952" s="366" t="s">
        <v>15169</v>
      </c>
      <c r="I2952" s="364" t="s">
        <v>15166</v>
      </c>
      <c r="J2952" s="367"/>
      <c r="K2952" s="364"/>
      <c r="L2952" s="364"/>
      <c r="M2952" s="364" t="s">
        <v>10084</v>
      </c>
      <c r="N2952" s="364"/>
      <c r="O2952" s="364" t="s">
        <v>57</v>
      </c>
      <c r="P2952" s="373">
        <v>180391000</v>
      </c>
      <c r="Q2952" s="364"/>
      <c r="R2952" s="364" t="s">
        <v>9920</v>
      </c>
      <c r="S2952" s="340">
        <v>1</v>
      </c>
    </row>
    <row r="2953" spans="1:19" ht="31.5" thickBot="1" x14ac:dyDescent="0.4">
      <c r="A2953" s="357">
        <v>2942</v>
      </c>
      <c r="B2953" s="364" t="s">
        <v>10155</v>
      </c>
      <c r="C2953" s="364" t="s">
        <v>10156</v>
      </c>
      <c r="D2953" s="366" t="s">
        <v>51</v>
      </c>
      <c r="E2953" s="366" t="s">
        <v>10082</v>
      </c>
      <c r="F2953" s="366" t="s">
        <v>10078</v>
      </c>
      <c r="G2953" s="366" t="s">
        <v>10078</v>
      </c>
      <c r="H2953" s="366" t="s">
        <v>11308</v>
      </c>
      <c r="I2953" s="364" t="s">
        <v>15170</v>
      </c>
      <c r="J2953" s="367"/>
      <c r="K2953" s="364"/>
      <c r="L2953" s="364"/>
      <c r="M2953" s="364" t="s">
        <v>10084</v>
      </c>
      <c r="N2953" s="364"/>
      <c r="O2953" s="364" t="s">
        <v>57</v>
      </c>
      <c r="P2953" s="373">
        <v>92359000</v>
      </c>
      <c r="Q2953" s="364"/>
      <c r="R2953" s="364" t="s">
        <v>9922</v>
      </c>
      <c r="S2953" s="340">
        <v>1</v>
      </c>
    </row>
    <row r="2954" spans="1:19" ht="31" x14ac:dyDescent="0.35">
      <c r="A2954" s="349">
        <v>2943</v>
      </c>
      <c r="B2954" s="364" t="s">
        <v>10155</v>
      </c>
      <c r="C2954" s="364" t="s">
        <v>10156</v>
      </c>
      <c r="D2954" s="366" t="s">
        <v>59</v>
      </c>
      <c r="E2954" s="366" t="s">
        <v>10082</v>
      </c>
      <c r="F2954" s="366" t="s">
        <v>10078</v>
      </c>
      <c r="G2954" s="366" t="s">
        <v>10078</v>
      </c>
      <c r="H2954" s="366" t="s">
        <v>11308</v>
      </c>
      <c r="I2954" s="364" t="s">
        <v>15170</v>
      </c>
      <c r="J2954" s="367"/>
      <c r="K2954" s="364"/>
      <c r="L2954" s="364"/>
      <c r="M2954" s="364" t="s">
        <v>10084</v>
      </c>
      <c r="N2954" s="364"/>
      <c r="O2954" s="364" t="s">
        <v>57</v>
      </c>
      <c r="P2954" s="373">
        <v>63028200</v>
      </c>
      <c r="Q2954" s="364"/>
      <c r="R2954" s="364" t="s">
        <v>9922</v>
      </c>
      <c r="S2954" s="340">
        <v>1</v>
      </c>
    </row>
    <row r="2955" spans="1:19" ht="31.5" thickBot="1" x14ac:dyDescent="0.4">
      <c r="A2955" s="357">
        <v>2944</v>
      </c>
      <c r="B2955" s="364" t="s">
        <v>10155</v>
      </c>
      <c r="C2955" s="364" t="s">
        <v>10156</v>
      </c>
      <c r="D2955" s="366" t="s">
        <v>97</v>
      </c>
      <c r="E2955" s="366" t="s">
        <v>10082</v>
      </c>
      <c r="F2955" s="366" t="s">
        <v>10078</v>
      </c>
      <c r="G2955" s="366" t="s">
        <v>10078</v>
      </c>
      <c r="H2955" s="366" t="s">
        <v>11308</v>
      </c>
      <c r="I2955" s="364" t="s">
        <v>15170</v>
      </c>
      <c r="J2955" s="367"/>
      <c r="K2955" s="364"/>
      <c r="L2955" s="364"/>
      <c r="M2955" s="364" t="s">
        <v>10084</v>
      </c>
      <c r="N2955" s="364"/>
      <c r="O2955" s="364" t="s">
        <v>57</v>
      </c>
      <c r="P2955" s="373">
        <v>94856000</v>
      </c>
      <c r="Q2955" s="364"/>
      <c r="R2955" s="364" t="s">
        <v>9922</v>
      </c>
      <c r="S2955" s="340">
        <v>1</v>
      </c>
    </row>
    <row r="2956" spans="1:19" ht="31" x14ac:dyDescent="0.35">
      <c r="A2956" s="349">
        <v>2945</v>
      </c>
      <c r="B2956" s="364" t="s">
        <v>10080</v>
      </c>
      <c r="C2956" s="364" t="s">
        <v>10081</v>
      </c>
      <c r="D2956" s="366" t="s">
        <v>51</v>
      </c>
      <c r="E2956" s="366" t="s">
        <v>10082</v>
      </c>
      <c r="F2956" s="366" t="s">
        <v>10078</v>
      </c>
      <c r="G2956" s="366" t="s">
        <v>10078</v>
      </c>
      <c r="H2956" s="366" t="s">
        <v>1122</v>
      </c>
      <c r="I2956" s="364" t="s">
        <v>15170</v>
      </c>
      <c r="J2956" s="367"/>
      <c r="K2956" s="364"/>
      <c r="L2956" s="364"/>
      <c r="M2956" s="364" t="s">
        <v>10084</v>
      </c>
      <c r="N2956" s="364"/>
      <c r="O2956" s="364" t="s">
        <v>57</v>
      </c>
      <c r="P2956" s="373">
        <v>310149578.99999994</v>
      </c>
      <c r="Q2956" s="364"/>
      <c r="R2956" s="364" t="s">
        <v>9922</v>
      </c>
      <c r="S2956" s="340">
        <v>1</v>
      </c>
    </row>
    <row r="2957" spans="1:19" ht="31.5" thickBot="1" x14ac:dyDescent="0.4">
      <c r="A2957" s="357">
        <v>2946</v>
      </c>
      <c r="B2957" s="364" t="s">
        <v>10080</v>
      </c>
      <c r="C2957" s="364" t="s">
        <v>10081</v>
      </c>
      <c r="D2957" s="366" t="s">
        <v>59</v>
      </c>
      <c r="E2957" s="366" t="s">
        <v>10082</v>
      </c>
      <c r="F2957" s="366" t="s">
        <v>10078</v>
      </c>
      <c r="G2957" s="366" t="s">
        <v>10078</v>
      </c>
      <c r="H2957" s="366" t="s">
        <v>13011</v>
      </c>
      <c r="I2957" s="364" t="s">
        <v>15170</v>
      </c>
      <c r="J2957" s="367"/>
      <c r="K2957" s="364"/>
      <c r="L2957" s="364"/>
      <c r="M2957" s="364" t="s">
        <v>10084</v>
      </c>
      <c r="N2957" s="364"/>
      <c r="O2957" s="364" t="s">
        <v>422</v>
      </c>
      <c r="P2957" s="373">
        <v>90000000</v>
      </c>
      <c r="Q2957" s="364" t="s">
        <v>8603</v>
      </c>
      <c r="R2957" s="364" t="s">
        <v>9922</v>
      </c>
      <c r="S2957" s="340">
        <v>1</v>
      </c>
    </row>
    <row r="2958" spans="1:19" ht="31" x14ac:dyDescent="0.35">
      <c r="A2958" s="349">
        <v>2947</v>
      </c>
      <c r="B2958" s="364" t="s">
        <v>10080</v>
      </c>
      <c r="C2958" s="364" t="s">
        <v>10081</v>
      </c>
      <c r="D2958" s="366" t="s">
        <v>97</v>
      </c>
      <c r="E2958" s="366" t="s">
        <v>10082</v>
      </c>
      <c r="F2958" s="366" t="s">
        <v>10078</v>
      </c>
      <c r="G2958" s="366" t="s">
        <v>10078</v>
      </c>
      <c r="H2958" s="366" t="s">
        <v>11400</v>
      </c>
      <c r="I2958" s="364" t="s">
        <v>15170</v>
      </c>
      <c r="J2958" s="367"/>
      <c r="K2958" s="364"/>
      <c r="L2958" s="364"/>
      <c r="M2958" s="364" t="s">
        <v>10084</v>
      </c>
      <c r="N2958" s="364"/>
      <c r="O2958" s="364" t="s">
        <v>57</v>
      </c>
      <c r="P2958" s="373">
        <v>148435000</v>
      </c>
      <c r="Q2958" s="364"/>
      <c r="R2958" s="364" t="s">
        <v>9922</v>
      </c>
      <c r="S2958" s="340">
        <v>1</v>
      </c>
    </row>
    <row r="2959" spans="1:19" ht="31.5" thickBot="1" x14ac:dyDescent="0.4">
      <c r="A2959" s="357">
        <v>2948</v>
      </c>
      <c r="B2959" s="364" t="s">
        <v>10092</v>
      </c>
      <c r="C2959" s="364" t="s">
        <v>10093</v>
      </c>
      <c r="D2959" s="366" t="s">
        <v>51</v>
      </c>
      <c r="E2959" s="366" t="s">
        <v>10082</v>
      </c>
      <c r="F2959" s="366" t="s">
        <v>10078</v>
      </c>
      <c r="G2959" s="366" t="s">
        <v>10078</v>
      </c>
      <c r="H2959" s="366" t="s">
        <v>12979</v>
      </c>
      <c r="I2959" s="364" t="s">
        <v>15170</v>
      </c>
      <c r="J2959" s="367"/>
      <c r="K2959" s="364"/>
      <c r="L2959" s="364"/>
      <c r="M2959" s="364" t="s">
        <v>10084</v>
      </c>
      <c r="N2959" s="364"/>
      <c r="O2959" s="364" t="s">
        <v>57</v>
      </c>
      <c r="P2959" s="373">
        <v>127575000</v>
      </c>
      <c r="Q2959" s="364"/>
      <c r="R2959" s="364" t="s">
        <v>9922</v>
      </c>
      <c r="S2959" s="340">
        <v>1</v>
      </c>
    </row>
    <row r="2960" spans="1:19" ht="31" x14ac:dyDescent="0.35">
      <c r="A2960" s="349">
        <v>2949</v>
      </c>
      <c r="B2960" s="364" t="s">
        <v>10085</v>
      </c>
      <c r="C2960" s="364" t="s">
        <v>10086</v>
      </c>
      <c r="D2960" s="366" t="s">
        <v>51</v>
      </c>
      <c r="E2960" s="366" t="s">
        <v>10082</v>
      </c>
      <c r="F2960" s="366" t="s">
        <v>10078</v>
      </c>
      <c r="G2960" s="366" t="s">
        <v>10078</v>
      </c>
      <c r="H2960" s="366" t="s">
        <v>12623</v>
      </c>
      <c r="I2960" s="364" t="s">
        <v>15170</v>
      </c>
      <c r="J2960" s="367"/>
      <c r="K2960" s="364"/>
      <c r="L2960" s="364"/>
      <c r="M2960" s="364" t="s">
        <v>10084</v>
      </c>
      <c r="N2960" s="364"/>
      <c r="O2960" s="364" t="s">
        <v>57</v>
      </c>
      <c r="P2960" s="373">
        <v>112350000</v>
      </c>
      <c r="Q2960" s="364"/>
      <c r="R2960" s="364" t="s">
        <v>9922</v>
      </c>
      <c r="S2960" s="340">
        <v>1</v>
      </c>
    </row>
    <row r="2961" spans="1:19" ht="31.5" thickBot="1" x14ac:dyDescent="0.4">
      <c r="A2961" s="357">
        <v>2950</v>
      </c>
      <c r="B2961" s="364" t="s">
        <v>10191</v>
      </c>
      <c r="C2961" s="364" t="s">
        <v>10192</v>
      </c>
      <c r="D2961" s="366" t="s">
        <v>51</v>
      </c>
      <c r="E2961" s="366" t="s">
        <v>10082</v>
      </c>
      <c r="F2961" s="366" t="s">
        <v>10078</v>
      </c>
      <c r="G2961" s="366" t="s">
        <v>10078</v>
      </c>
      <c r="H2961" s="366" t="s">
        <v>11384</v>
      </c>
      <c r="I2961" s="364" t="s">
        <v>15170</v>
      </c>
      <c r="J2961" s="367">
        <v>42328</v>
      </c>
      <c r="K2961" s="364" t="s">
        <v>15171</v>
      </c>
      <c r="L2961" s="364"/>
      <c r="M2961" s="364" t="s">
        <v>10084</v>
      </c>
      <c r="N2961" s="364"/>
      <c r="O2961" s="364" t="s">
        <v>57</v>
      </c>
      <c r="P2961" s="373">
        <v>199101000</v>
      </c>
      <c r="Q2961" s="364" t="s">
        <v>15172</v>
      </c>
      <c r="R2961" s="364" t="s">
        <v>9922</v>
      </c>
      <c r="S2961" s="340">
        <v>1</v>
      </c>
    </row>
    <row r="2962" spans="1:19" ht="31" x14ac:dyDescent="0.35">
      <c r="A2962" s="349">
        <v>2951</v>
      </c>
      <c r="B2962" s="364" t="s">
        <v>10080</v>
      </c>
      <c r="C2962" s="364" t="s">
        <v>10081</v>
      </c>
      <c r="D2962" s="366" t="s">
        <v>51</v>
      </c>
      <c r="E2962" s="366" t="s">
        <v>10082</v>
      </c>
      <c r="F2962" s="366" t="s">
        <v>10078</v>
      </c>
      <c r="G2962" s="366" t="s">
        <v>10078</v>
      </c>
      <c r="H2962" s="366" t="s">
        <v>11960</v>
      </c>
      <c r="I2962" s="364" t="s">
        <v>15173</v>
      </c>
      <c r="J2962" s="367"/>
      <c r="K2962" s="364"/>
      <c r="L2962" s="364"/>
      <c r="M2962" s="364" t="s">
        <v>10084</v>
      </c>
      <c r="N2962" s="364"/>
      <c r="O2962" s="364" t="s">
        <v>57</v>
      </c>
      <c r="P2962" s="373">
        <v>240705000</v>
      </c>
      <c r="Q2962" s="364"/>
      <c r="R2962" s="364" t="s">
        <v>9923</v>
      </c>
      <c r="S2962" s="340">
        <v>1</v>
      </c>
    </row>
    <row r="2963" spans="1:19" ht="31.5" thickBot="1" x14ac:dyDescent="0.4">
      <c r="A2963" s="357">
        <v>2952</v>
      </c>
      <c r="B2963" s="364" t="s">
        <v>10080</v>
      </c>
      <c r="C2963" s="364" t="s">
        <v>10081</v>
      </c>
      <c r="D2963" s="366" t="s">
        <v>59</v>
      </c>
      <c r="E2963" s="366" t="s">
        <v>10082</v>
      </c>
      <c r="F2963" s="366" t="s">
        <v>10078</v>
      </c>
      <c r="G2963" s="366" t="s">
        <v>10078</v>
      </c>
      <c r="H2963" s="366" t="s">
        <v>12997</v>
      </c>
      <c r="I2963" s="364" t="s">
        <v>15173</v>
      </c>
      <c r="J2963" s="367"/>
      <c r="K2963" s="364"/>
      <c r="L2963" s="364"/>
      <c r="M2963" s="364" t="s">
        <v>10084</v>
      </c>
      <c r="N2963" s="364"/>
      <c r="O2963" s="364" t="s">
        <v>57</v>
      </c>
      <c r="P2963" s="373">
        <v>957386650</v>
      </c>
      <c r="Q2963" s="364"/>
      <c r="R2963" s="364" t="s">
        <v>9923</v>
      </c>
      <c r="S2963" s="340">
        <v>1</v>
      </c>
    </row>
    <row r="2964" spans="1:19" ht="31" x14ac:dyDescent="0.35">
      <c r="A2964" s="349">
        <v>2953</v>
      </c>
      <c r="B2964" s="364" t="s">
        <v>10080</v>
      </c>
      <c r="C2964" s="364" t="s">
        <v>10081</v>
      </c>
      <c r="D2964" s="366" t="s">
        <v>97</v>
      </c>
      <c r="E2964" s="366" t="s">
        <v>10082</v>
      </c>
      <c r="F2964" s="366" t="s">
        <v>10078</v>
      </c>
      <c r="G2964" s="366" t="s">
        <v>10078</v>
      </c>
      <c r="H2964" s="366" t="s">
        <v>11960</v>
      </c>
      <c r="I2964" s="364" t="s">
        <v>15173</v>
      </c>
      <c r="J2964" s="367"/>
      <c r="K2964" s="364"/>
      <c r="L2964" s="364"/>
      <c r="M2964" s="364" t="s">
        <v>10084</v>
      </c>
      <c r="N2964" s="364"/>
      <c r="O2964" s="364" t="s">
        <v>57</v>
      </c>
      <c r="P2964" s="373">
        <v>240705000</v>
      </c>
      <c r="Q2964" s="364"/>
      <c r="R2964" s="364" t="s">
        <v>9923</v>
      </c>
      <c r="S2964" s="340">
        <v>1</v>
      </c>
    </row>
    <row r="2965" spans="1:19" ht="31.5" thickBot="1" x14ac:dyDescent="0.4">
      <c r="A2965" s="357">
        <v>2954</v>
      </c>
      <c r="B2965" s="364" t="s">
        <v>10080</v>
      </c>
      <c r="C2965" s="364" t="s">
        <v>10081</v>
      </c>
      <c r="D2965" s="366" t="s">
        <v>101</v>
      </c>
      <c r="E2965" s="366" t="s">
        <v>10082</v>
      </c>
      <c r="F2965" s="366" t="s">
        <v>10078</v>
      </c>
      <c r="G2965" s="366" t="s">
        <v>10078</v>
      </c>
      <c r="H2965" s="366" t="s">
        <v>11400</v>
      </c>
      <c r="I2965" s="364" t="s">
        <v>15173</v>
      </c>
      <c r="J2965" s="367"/>
      <c r="K2965" s="364"/>
      <c r="L2965" s="364"/>
      <c r="M2965" s="364" t="s">
        <v>10084</v>
      </c>
      <c r="N2965" s="364"/>
      <c r="O2965" s="364" t="s">
        <v>57</v>
      </c>
      <c r="P2965" s="373">
        <v>147817500</v>
      </c>
      <c r="Q2965" s="364"/>
      <c r="R2965" s="364" t="s">
        <v>9923</v>
      </c>
      <c r="S2965" s="340">
        <v>1</v>
      </c>
    </row>
    <row r="2966" spans="1:19" ht="46.5" x14ac:dyDescent="0.35">
      <c r="A2966" s="349">
        <v>2955</v>
      </c>
      <c r="B2966" s="364" t="s">
        <v>10080</v>
      </c>
      <c r="C2966" s="364" t="s">
        <v>10081</v>
      </c>
      <c r="D2966" s="366" t="s">
        <v>107</v>
      </c>
      <c r="E2966" s="366" t="s">
        <v>10082</v>
      </c>
      <c r="F2966" s="366" t="s">
        <v>10078</v>
      </c>
      <c r="G2966" s="366" t="s">
        <v>10088</v>
      </c>
      <c r="H2966" s="366" t="s">
        <v>12664</v>
      </c>
      <c r="I2966" s="364" t="s">
        <v>15173</v>
      </c>
      <c r="J2966" s="367">
        <v>42877</v>
      </c>
      <c r="K2966" s="364" t="s">
        <v>15174</v>
      </c>
      <c r="L2966" s="364"/>
      <c r="M2966" s="364" t="s">
        <v>10084</v>
      </c>
      <c r="N2966" s="364"/>
      <c r="O2966" s="364" t="s">
        <v>57</v>
      </c>
      <c r="P2966" s="373">
        <v>179077500</v>
      </c>
      <c r="Q2966" s="364" t="s">
        <v>15175</v>
      </c>
      <c r="R2966" s="364" t="s">
        <v>9923</v>
      </c>
      <c r="S2966" s="340">
        <v>1</v>
      </c>
    </row>
    <row r="2967" spans="1:19" ht="31.5" thickBot="1" x14ac:dyDescent="0.4">
      <c r="A2967" s="357">
        <v>2956</v>
      </c>
      <c r="B2967" s="364" t="s">
        <v>10080</v>
      </c>
      <c r="C2967" s="364" t="s">
        <v>10081</v>
      </c>
      <c r="D2967" s="366" t="s">
        <v>112</v>
      </c>
      <c r="E2967" s="366" t="s">
        <v>10082</v>
      </c>
      <c r="F2967" s="366" t="s">
        <v>10078</v>
      </c>
      <c r="G2967" s="366" t="s">
        <v>10078</v>
      </c>
      <c r="H2967" s="366" t="s">
        <v>231</v>
      </c>
      <c r="I2967" s="364" t="s">
        <v>15173</v>
      </c>
      <c r="J2967" s="367"/>
      <c r="K2967" s="364"/>
      <c r="L2967" s="364"/>
      <c r="M2967" s="364" t="s">
        <v>10084</v>
      </c>
      <c r="N2967" s="364"/>
      <c r="O2967" s="364" t="s">
        <v>422</v>
      </c>
      <c r="P2967" s="373">
        <v>80000000</v>
      </c>
      <c r="Q2967" s="364" t="s">
        <v>8603</v>
      </c>
      <c r="R2967" s="364" t="s">
        <v>9923</v>
      </c>
      <c r="S2967" s="340">
        <v>1</v>
      </c>
    </row>
    <row r="2968" spans="1:19" ht="31" x14ac:dyDescent="0.35">
      <c r="A2968" s="349">
        <v>2957</v>
      </c>
      <c r="B2968" s="364" t="s">
        <v>10110</v>
      </c>
      <c r="C2968" s="364" t="s">
        <v>10111</v>
      </c>
      <c r="D2968" s="366" t="s">
        <v>51</v>
      </c>
      <c r="E2968" s="366" t="s">
        <v>10082</v>
      </c>
      <c r="F2968" s="366" t="s">
        <v>10078</v>
      </c>
      <c r="G2968" s="366" t="s">
        <v>10088</v>
      </c>
      <c r="H2968" s="366" t="s">
        <v>11332</v>
      </c>
      <c r="I2968" s="364" t="s">
        <v>15173</v>
      </c>
      <c r="J2968" s="367">
        <v>42151</v>
      </c>
      <c r="K2968" s="364" t="s">
        <v>15176</v>
      </c>
      <c r="L2968" s="364"/>
      <c r="M2968" s="364" t="s">
        <v>10084</v>
      </c>
      <c r="N2968" s="364"/>
      <c r="O2968" s="364" t="s">
        <v>57</v>
      </c>
      <c r="P2968" s="373">
        <v>82336500</v>
      </c>
      <c r="Q2968" s="364" t="s">
        <v>15177</v>
      </c>
      <c r="R2968" s="364" t="s">
        <v>9923</v>
      </c>
      <c r="S2968" s="340">
        <v>1</v>
      </c>
    </row>
    <row r="2969" spans="1:19" ht="47" thickBot="1" x14ac:dyDescent="0.4">
      <c r="A2969" s="357">
        <v>2958</v>
      </c>
      <c r="B2969" s="364" t="s">
        <v>10110</v>
      </c>
      <c r="C2969" s="364" t="s">
        <v>10111</v>
      </c>
      <c r="D2969" s="366" t="s">
        <v>59</v>
      </c>
      <c r="E2969" s="366" t="s">
        <v>10082</v>
      </c>
      <c r="F2969" s="366" t="s">
        <v>10078</v>
      </c>
      <c r="G2969" s="366" t="s">
        <v>10078</v>
      </c>
      <c r="H2969" s="366" t="s">
        <v>2972</v>
      </c>
      <c r="I2969" s="364" t="s">
        <v>15178</v>
      </c>
      <c r="J2969" s="367">
        <v>44398</v>
      </c>
      <c r="K2969" s="364" t="s">
        <v>15179</v>
      </c>
      <c r="L2969" s="364"/>
      <c r="M2969" s="364" t="s">
        <v>10084</v>
      </c>
      <c r="N2969" s="364"/>
      <c r="O2969" s="364" t="s">
        <v>57</v>
      </c>
      <c r="P2969" s="373">
        <v>89516000</v>
      </c>
      <c r="Q2969" s="364" t="s">
        <v>15180</v>
      </c>
      <c r="R2969" s="364" t="s">
        <v>9923</v>
      </c>
      <c r="S2969" s="340">
        <v>1</v>
      </c>
    </row>
    <row r="2970" spans="1:19" ht="31" x14ac:dyDescent="0.35">
      <c r="A2970" s="349">
        <v>2959</v>
      </c>
      <c r="B2970" s="364" t="s">
        <v>10110</v>
      </c>
      <c r="C2970" s="364" t="s">
        <v>10111</v>
      </c>
      <c r="D2970" s="366" t="s">
        <v>97</v>
      </c>
      <c r="E2970" s="366" t="s">
        <v>10082</v>
      </c>
      <c r="F2970" s="366" t="s">
        <v>10078</v>
      </c>
      <c r="G2970" s="366" t="s">
        <v>10078</v>
      </c>
      <c r="H2970" s="366" t="s">
        <v>11332</v>
      </c>
      <c r="I2970" s="364" t="s">
        <v>15173</v>
      </c>
      <c r="J2970" s="367"/>
      <c r="K2970" s="364"/>
      <c r="L2970" s="364"/>
      <c r="M2970" s="364" t="s">
        <v>10084</v>
      </c>
      <c r="N2970" s="364"/>
      <c r="O2970" s="364" t="s">
        <v>57</v>
      </c>
      <c r="P2970" s="373">
        <v>10698000</v>
      </c>
      <c r="Q2970" s="364"/>
      <c r="R2970" s="364" t="s">
        <v>9923</v>
      </c>
      <c r="S2970" s="340">
        <v>1</v>
      </c>
    </row>
    <row r="2971" spans="1:19" ht="47" thickBot="1" x14ac:dyDescent="0.4">
      <c r="A2971" s="357">
        <v>2960</v>
      </c>
      <c r="B2971" s="364" t="s">
        <v>10110</v>
      </c>
      <c r="C2971" s="364" t="s">
        <v>10111</v>
      </c>
      <c r="D2971" s="366" t="s">
        <v>101</v>
      </c>
      <c r="E2971" s="366" t="s">
        <v>10082</v>
      </c>
      <c r="F2971" s="366" t="s">
        <v>10078</v>
      </c>
      <c r="G2971" s="366" t="s">
        <v>10088</v>
      </c>
      <c r="H2971" s="366" t="s">
        <v>11870</v>
      </c>
      <c r="I2971" s="364" t="s">
        <v>15181</v>
      </c>
      <c r="J2971" s="367"/>
      <c r="K2971" s="364" t="s">
        <v>15182</v>
      </c>
      <c r="L2971" s="364"/>
      <c r="M2971" s="364"/>
      <c r="N2971" s="364"/>
      <c r="O2971" s="364" t="s">
        <v>44</v>
      </c>
      <c r="P2971" s="373">
        <v>177919000</v>
      </c>
      <c r="Q2971" s="364" t="s">
        <v>15183</v>
      </c>
      <c r="R2971" s="364" t="s">
        <v>9923</v>
      </c>
      <c r="S2971" s="340">
        <v>1</v>
      </c>
    </row>
    <row r="2972" spans="1:19" ht="46.5" x14ac:dyDescent="0.35">
      <c r="A2972" s="349">
        <v>2961</v>
      </c>
      <c r="B2972" s="364" t="s">
        <v>10110</v>
      </c>
      <c r="C2972" s="364" t="s">
        <v>10111</v>
      </c>
      <c r="D2972" s="366" t="s">
        <v>107</v>
      </c>
      <c r="E2972" s="366" t="s">
        <v>10082</v>
      </c>
      <c r="F2972" s="366" t="s">
        <v>10078</v>
      </c>
      <c r="G2972" s="366" t="s">
        <v>10088</v>
      </c>
      <c r="H2972" s="366" t="s">
        <v>12623</v>
      </c>
      <c r="I2972" s="364" t="s">
        <v>15181</v>
      </c>
      <c r="J2972" s="367"/>
      <c r="K2972" s="364" t="s">
        <v>15184</v>
      </c>
      <c r="L2972" s="364"/>
      <c r="M2972" s="364"/>
      <c r="N2972" s="364"/>
      <c r="O2972" s="364" t="s">
        <v>44</v>
      </c>
      <c r="P2972" s="373">
        <v>281451040</v>
      </c>
      <c r="Q2972" s="364" t="s">
        <v>15185</v>
      </c>
      <c r="R2972" s="364" t="s">
        <v>9923</v>
      </c>
      <c r="S2972" s="340">
        <v>1</v>
      </c>
    </row>
    <row r="2973" spans="1:19" ht="31.5" thickBot="1" x14ac:dyDescent="0.4">
      <c r="A2973" s="357">
        <v>2962</v>
      </c>
      <c r="B2973" s="364" t="s">
        <v>10092</v>
      </c>
      <c r="C2973" s="364" t="s">
        <v>10093</v>
      </c>
      <c r="D2973" s="366" t="s">
        <v>51</v>
      </c>
      <c r="E2973" s="366" t="s">
        <v>10082</v>
      </c>
      <c r="F2973" s="366" t="s">
        <v>10078</v>
      </c>
      <c r="G2973" s="366" t="s">
        <v>10088</v>
      </c>
      <c r="H2973" s="366" t="s">
        <v>12979</v>
      </c>
      <c r="I2973" s="364" t="s">
        <v>15173</v>
      </c>
      <c r="J2973" s="367">
        <v>39969</v>
      </c>
      <c r="K2973" s="364" t="s">
        <v>15186</v>
      </c>
      <c r="L2973" s="364"/>
      <c r="M2973" s="364" t="s">
        <v>10084</v>
      </c>
      <c r="N2973" s="364"/>
      <c r="O2973" s="364" t="s">
        <v>422</v>
      </c>
      <c r="P2973" s="373">
        <v>177026911.00000003</v>
      </c>
      <c r="Q2973" s="364" t="s">
        <v>15187</v>
      </c>
      <c r="R2973" s="364" t="s">
        <v>9923</v>
      </c>
      <c r="S2973" s="340">
        <v>1</v>
      </c>
    </row>
    <row r="2974" spans="1:19" ht="31" x14ac:dyDescent="0.35">
      <c r="A2974" s="349">
        <v>2963</v>
      </c>
      <c r="B2974" s="364" t="s">
        <v>10092</v>
      </c>
      <c r="C2974" s="364" t="s">
        <v>10093</v>
      </c>
      <c r="D2974" s="366" t="s">
        <v>59</v>
      </c>
      <c r="E2974" s="366" t="s">
        <v>10082</v>
      </c>
      <c r="F2974" s="366" t="s">
        <v>10078</v>
      </c>
      <c r="G2974" s="366" t="s">
        <v>10088</v>
      </c>
      <c r="H2974" s="366" t="s">
        <v>12979</v>
      </c>
      <c r="I2974" s="364" t="s">
        <v>15188</v>
      </c>
      <c r="J2974" s="367">
        <v>41904</v>
      </c>
      <c r="K2974" s="364" t="s">
        <v>15189</v>
      </c>
      <c r="L2974" s="364"/>
      <c r="M2974" s="364" t="s">
        <v>10084</v>
      </c>
      <c r="N2974" s="364"/>
      <c r="O2974" s="364" t="s">
        <v>57</v>
      </c>
      <c r="P2974" s="373">
        <v>147500000</v>
      </c>
      <c r="Q2974" s="364" t="s">
        <v>15190</v>
      </c>
      <c r="R2974" s="364" t="s">
        <v>9923</v>
      </c>
      <c r="S2974" s="340">
        <v>1</v>
      </c>
    </row>
    <row r="2975" spans="1:19" ht="31.5" thickBot="1" x14ac:dyDescent="0.4">
      <c r="A2975" s="357">
        <v>2964</v>
      </c>
      <c r="B2975" s="364" t="s">
        <v>10085</v>
      </c>
      <c r="C2975" s="364" t="s">
        <v>10086</v>
      </c>
      <c r="D2975" s="366" t="s">
        <v>51</v>
      </c>
      <c r="E2975" s="366" t="s">
        <v>10082</v>
      </c>
      <c r="F2975" s="366" t="s">
        <v>10078</v>
      </c>
      <c r="G2975" s="366" t="s">
        <v>10078</v>
      </c>
      <c r="H2975" s="366" t="s">
        <v>11308</v>
      </c>
      <c r="I2975" s="364" t="s">
        <v>15173</v>
      </c>
      <c r="J2975" s="367"/>
      <c r="K2975" s="364"/>
      <c r="L2975" s="364"/>
      <c r="M2975" s="364" t="s">
        <v>10084</v>
      </c>
      <c r="N2975" s="364"/>
      <c r="O2975" s="364" t="s">
        <v>57</v>
      </c>
      <c r="P2975" s="373">
        <v>74886000</v>
      </c>
      <c r="Q2975" s="364"/>
      <c r="R2975" s="364" t="s">
        <v>9923</v>
      </c>
      <c r="S2975" s="340">
        <v>1</v>
      </c>
    </row>
    <row r="2976" spans="1:19" ht="31" x14ac:dyDescent="0.35">
      <c r="A2976" s="349">
        <v>2965</v>
      </c>
      <c r="B2976" s="364" t="s">
        <v>10085</v>
      </c>
      <c r="C2976" s="364" t="s">
        <v>10086</v>
      </c>
      <c r="D2976" s="366" t="s">
        <v>59</v>
      </c>
      <c r="E2976" s="366" t="s">
        <v>10082</v>
      </c>
      <c r="F2976" s="366" t="s">
        <v>10078</v>
      </c>
      <c r="G2976" s="366" t="s">
        <v>10078</v>
      </c>
      <c r="H2976" s="366" t="s">
        <v>11308</v>
      </c>
      <c r="I2976" s="364" t="s">
        <v>15173</v>
      </c>
      <c r="J2976" s="367"/>
      <c r="K2976" s="364"/>
      <c r="L2976" s="364"/>
      <c r="M2976" s="364" t="s">
        <v>10084</v>
      </c>
      <c r="N2976" s="364"/>
      <c r="O2976" s="364" t="s">
        <v>57</v>
      </c>
      <c r="P2976" s="373">
        <v>74886000</v>
      </c>
      <c r="Q2976" s="364"/>
      <c r="R2976" s="364" t="s">
        <v>9923</v>
      </c>
      <c r="S2976" s="340">
        <v>1</v>
      </c>
    </row>
    <row r="2977" spans="1:19" ht="47" thickBot="1" x14ac:dyDescent="0.4">
      <c r="A2977" s="357">
        <v>2966</v>
      </c>
      <c r="B2977" s="364" t="s">
        <v>10117</v>
      </c>
      <c r="C2977" s="364" t="s">
        <v>10118</v>
      </c>
      <c r="D2977" s="366" t="s">
        <v>51</v>
      </c>
      <c r="E2977" s="366" t="s">
        <v>10082</v>
      </c>
      <c r="F2977" s="366" t="s">
        <v>10078</v>
      </c>
      <c r="G2977" s="366" t="s">
        <v>10088</v>
      </c>
      <c r="H2977" s="366" t="s">
        <v>11324</v>
      </c>
      <c r="I2977" s="364" t="s">
        <v>15191</v>
      </c>
      <c r="J2977" s="367"/>
      <c r="K2977" s="364" t="s">
        <v>15192</v>
      </c>
      <c r="L2977" s="364"/>
      <c r="M2977" s="364"/>
      <c r="N2977" s="364"/>
      <c r="O2977" s="364" t="s">
        <v>44</v>
      </c>
      <c r="P2977" s="373">
        <v>221510661.99999997</v>
      </c>
      <c r="Q2977" s="364" t="s">
        <v>15193</v>
      </c>
      <c r="R2977" s="364" t="s">
        <v>9923</v>
      </c>
      <c r="S2977" s="340">
        <v>1</v>
      </c>
    </row>
    <row r="2978" spans="1:19" ht="31" x14ac:dyDescent="0.35">
      <c r="A2978" s="349">
        <v>2967</v>
      </c>
      <c r="B2978" s="364" t="s">
        <v>10096</v>
      </c>
      <c r="C2978" s="364" t="s">
        <v>10097</v>
      </c>
      <c r="D2978" s="366" t="s">
        <v>51</v>
      </c>
      <c r="E2978" s="366" t="s">
        <v>10082</v>
      </c>
      <c r="F2978" s="366" t="s">
        <v>10078</v>
      </c>
      <c r="G2978" s="366" t="s">
        <v>10088</v>
      </c>
      <c r="H2978" s="366" t="s">
        <v>5412</v>
      </c>
      <c r="I2978" s="364" t="s">
        <v>15173</v>
      </c>
      <c r="J2978" s="367">
        <v>42328</v>
      </c>
      <c r="K2978" s="364" t="s">
        <v>15194</v>
      </c>
      <c r="L2978" s="364"/>
      <c r="M2978" s="364" t="s">
        <v>10084</v>
      </c>
      <c r="N2978" s="364"/>
      <c r="O2978" s="364" t="s">
        <v>57</v>
      </c>
      <c r="P2978" s="373">
        <v>419948000</v>
      </c>
      <c r="Q2978" s="364" t="s">
        <v>15195</v>
      </c>
      <c r="R2978" s="364" t="s">
        <v>9923</v>
      </c>
      <c r="S2978" s="340">
        <v>1</v>
      </c>
    </row>
    <row r="2979" spans="1:19" ht="47" thickBot="1" x14ac:dyDescent="0.4">
      <c r="A2979" s="357">
        <v>2968</v>
      </c>
      <c r="B2979" s="364" t="s">
        <v>10155</v>
      </c>
      <c r="C2979" s="364" t="s">
        <v>10156</v>
      </c>
      <c r="D2979" s="366" t="s">
        <v>51</v>
      </c>
      <c r="E2979" s="366" t="s">
        <v>10082</v>
      </c>
      <c r="F2979" s="366" t="s">
        <v>10078</v>
      </c>
      <c r="G2979" s="366" t="s">
        <v>10078</v>
      </c>
      <c r="H2979" s="366" t="s">
        <v>12623</v>
      </c>
      <c r="I2979" s="364" t="s">
        <v>15196</v>
      </c>
      <c r="J2979" s="367">
        <v>43966</v>
      </c>
      <c r="K2979" s="364" t="s">
        <v>15197</v>
      </c>
      <c r="L2979" s="364"/>
      <c r="M2979" s="364" t="s">
        <v>10084</v>
      </c>
      <c r="N2979" s="364"/>
      <c r="O2979" s="364" t="s">
        <v>57</v>
      </c>
      <c r="P2979" s="373">
        <v>193850000</v>
      </c>
      <c r="Q2979" s="364" t="s">
        <v>15198</v>
      </c>
      <c r="R2979" s="364" t="s">
        <v>9925</v>
      </c>
      <c r="S2979" s="340">
        <v>1</v>
      </c>
    </row>
    <row r="2980" spans="1:19" ht="31" x14ac:dyDescent="0.35">
      <c r="A2980" s="349">
        <v>2969</v>
      </c>
      <c r="B2980" s="364" t="s">
        <v>10080</v>
      </c>
      <c r="C2980" s="364" t="s">
        <v>10081</v>
      </c>
      <c r="D2980" s="366" t="s">
        <v>51</v>
      </c>
      <c r="E2980" s="366" t="s">
        <v>10082</v>
      </c>
      <c r="F2980" s="366" t="s">
        <v>10078</v>
      </c>
      <c r="G2980" s="366" t="s">
        <v>10078</v>
      </c>
      <c r="H2980" s="366" t="s">
        <v>13900</v>
      </c>
      <c r="I2980" s="364" t="s">
        <v>15199</v>
      </c>
      <c r="J2980" s="367"/>
      <c r="K2980" s="364"/>
      <c r="L2980" s="364"/>
      <c r="M2980" s="364" t="s">
        <v>10084</v>
      </c>
      <c r="N2980" s="364"/>
      <c r="O2980" s="364" t="s">
        <v>422</v>
      </c>
      <c r="P2980" s="373">
        <v>108000000</v>
      </c>
      <c r="Q2980" s="364" t="s">
        <v>8603</v>
      </c>
      <c r="R2980" s="364" t="s">
        <v>9925</v>
      </c>
      <c r="S2980" s="340">
        <v>1</v>
      </c>
    </row>
    <row r="2981" spans="1:19" ht="31.5" thickBot="1" x14ac:dyDescent="0.4">
      <c r="A2981" s="357">
        <v>2970</v>
      </c>
      <c r="B2981" s="364" t="s">
        <v>10080</v>
      </c>
      <c r="C2981" s="364" t="s">
        <v>10081</v>
      </c>
      <c r="D2981" s="366" t="s">
        <v>59</v>
      </c>
      <c r="E2981" s="366" t="s">
        <v>10082</v>
      </c>
      <c r="F2981" s="366" t="s">
        <v>10078</v>
      </c>
      <c r="G2981" s="366" t="s">
        <v>10078</v>
      </c>
      <c r="H2981" s="366" t="s">
        <v>12623</v>
      </c>
      <c r="I2981" s="364" t="s">
        <v>15200</v>
      </c>
      <c r="J2981" s="367">
        <v>43676</v>
      </c>
      <c r="K2981" s="364" t="s">
        <v>15201</v>
      </c>
      <c r="L2981" s="364"/>
      <c r="M2981" s="364" t="s">
        <v>10084</v>
      </c>
      <c r="N2981" s="364"/>
      <c r="O2981" s="364" t="s">
        <v>57</v>
      </c>
      <c r="P2981" s="373">
        <v>221426500</v>
      </c>
      <c r="Q2981" s="364" t="s">
        <v>15202</v>
      </c>
      <c r="R2981" s="364" t="s">
        <v>9925</v>
      </c>
      <c r="S2981" s="340">
        <v>1</v>
      </c>
    </row>
    <row r="2982" spans="1:19" ht="46.5" x14ac:dyDescent="0.35">
      <c r="A2982" s="349">
        <v>2971</v>
      </c>
      <c r="B2982" s="364" t="s">
        <v>10080</v>
      </c>
      <c r="C2982" s="364" t="s">
        <v>10081</v>
      </c>
      <c r="D2982" s="366" t="s">
        <v>97</v>
      </c>
      <c r="E2982" s="366" t="s">
        <v>10082</v>
      </c>
      <c r="F2982" s="366" t="s">
        <v>10078</v>
      </c>
      <c r="G2982" s="366" t="s">
        <v>10078</v>
      </c>
      <c r="H2982" s="366" t="s">
        <v>12664</v>
      </c>
      <c r="I2982" s="364" t="s">
        <v>15196</v>
      </c>
      <c r="J2982" s="367">
        <v>43966</v>
      </c>
      <c r="K2982" s="364" t="s">
        <v>15203</v>
      </c>
      <c r="L2982" s="364"/>
      <c r="M2982" s="364" t="s">
        <v>10084</v>
      </c>
      <c r="N2982" s="364"/>
      <c r="O2982" s="364" t="s">
        <v>57</v>
      </c>
      <c r="P2982" s="373">
        <v>397416002.5</v>
      </c>
      <c r="Q2982" s="364" t="s">
        <v>15204</v>
      </c>
      <c r="R2982" s="364" t="s">
        <v>9925</v>
      </c>
      <c r="S2982" s="340">
        <v>1</v>
      </c>
    </row>
    <row r="2983" spans="1:19" ht="31.5" thickBot="1" x14ac:dyDescent="0.4">
      <c r="A2983" s="357">
        <v>2972</v>
      </c>
      <c r="B2983" s="364" t="s">
        <v>10080</v>
      </c>
      <c r="C2983" s="364" t="s">
        <v>10081</v>
      </c>
      <c r="D2983" s="366" t="s">
        <v>101</v>
      </c>
      <c r="E2983" s="366" t="s">
        <v>10082</v>
      </c>
      <c r="F2983" s="366" t="s">
        <v>10078</v>
      </c>
      <c r="G2983" s="366" t="s">
        <v>10078</v>
      </c>
      <c r="H2983" s="366" t="s">
        <v>11960</v>
      </c>
      <c r="I2983" s="364" t="s">
        <v>15199</v>
      </c>
      <c r="J2983" s="367"/>
      <c r="K2983" s="364"/>
      <c r="L2983" s="364"/>
      <c r="M2983" s="364" t="s">
        <v>10084</v>
      </c>
      <c r="N2983" s="364"/>
      <c r="O2983" s="364" t="s">
        <v>57</v>
      </c>
      <c r="P2983" s="373">
        <v>370088000</v>
      </c>
      <c r="Q2983" s="364"/>
      <c r="R2983" s="364" t="s">
        <v>9925</v>
      </c>
      <c r="S2983" s="340">
        <v>1</v>
      </c>
    </row>
    <row r="2984" spans="1:19" ht="31" x14ac:dyDescent="0.35">
      <c r="A2984" s="349">
        <v>2973</v>
      </c>
      <c r="B2984" s="364" t="s">
        <v>10080</v>
      </c>
      <c r="C2984" s="364" t="s">
        <v>10081</v>
      </c>
      <c r="D2984" s="366" t="s">
        <v>107</v>
      </c>
      <c r="E2984" s="366" t="s">
        <v>10082</v>
      </c>
      <c r="F2984" s="366" t="s">
        <v>10078</v>
      </c>
      <c r="G2984" s="366" t="s">
        <v>10078</v>
      </c>
      <c r="H2984" s="366" t="s">
        <v>13826</v>
      </c>
      <c r="I2984" s="364" t="s">
        <v>15199</v>
      </c>
      <c r="J2984" s="367"/>
      <c r="K2984" s="364"/>
      <c r="L2984" s="364"/>
      <c r="M2984" s="364" t="s">
        <v>10084</v>
      </c>
      <c r="N2984" s="364"/>
      <c r="O2984" s="364" t="s">
        <v>57</v>
      </c>
      <c r="P2984" s="373">
        <v>467813000</v>
      </c>
      <c r="Q2984" s="364"/>
      <c r="R2984" s="364" t="s">
        <v>9925</v>
      </c>
      <c r="S2984" s="340">
        <v>1</v>
      </c>
    </row>
    <row r="2985" spans="1:19" ht="31.5" thickBot="1" x14ac:dyDescent="0.4">
      <c r="A2985" s="357">
        <v>2974</v>
      </c>
      <c r="B2985" s="364" t="s">
        <v>10080</v>
      </c>
      <c r="C2985" s="364" t="s">
        <v>10081</v>
      </c>
      <c r="D2985" s="366" t="s">
        <v>112</v>
      </c>
      <c r="E2985" s="366" t="s">
        <v>10082</v>
      </c>
      <c r="F2985" s="366" t="s">
        <v>10078</v>
      </c>
      <c r="G2985" s="366" t="s">
        <v>10078</v>
      </c>
      <c r="H2985" s="366" t="s">
        <v>11400</v>
      </c>
      <c r="I2985" s="364" t="s">
        <v>15199</v>
      </c>
      <c r="J2985" s="367"/>
      <c r="K2985" s="364"/>
      <c r="L2985" s="364"/>
      <c r="M2985" s="364" t="s">
        <v>10084</v>
      </c>
      <c r="N2985" s="364"/>
      <c r="O2985" s="364" t="s">
        <v>57</v>
      </c>
      <c r="P2985" s="373">
        <v>100294000</v>
      </c>
      <c r="Q2985" s="364"/>
      <c r="R2985" s="364" t="s">
        <v>9925</v>
      </c>
      <c r="S2985" s="340">
        <v>1</v>
      </c>
    </row>
    <row r="2986" spans="1:19" ht="31" x14ac:dyDescent="0.35">
      <c r="A2986" s="349">
        <v>2975</v>
      </c>
      <c r="B2986" s="364" t="s">
        <v>10080</v>
      </c>
      <c r="C2986" s="364" t="s">
        <v>10081</v>
      </c>
      <c r="D2986" s="366" t="s">
        <v>116</v>
      </c>
      <c r="E2986" s="366" t="s">
        <v>10082</v>
      </c>
      <c r="F2986" s="366" t="s">
        <v>10078</v>
      </c>
      <c r="G2986" s="366" t="s">
        <v>10078</v>
      </c>
      <c r="H2986" s="366" t="s">
        <v>11960</v>
      </c>
      <c r="I2986" s="364" t="s">
        <v>15199</v>
      </c>
      <c r="J2986" s="367"/>
      <c r="K2986" s="364"/>
      <c r="L2986" s="364"/>
      <c r="M2986" s="364" t="s">
        <v>10084</v>
      </c>
      <c r="N2986" s="364"/>
      <c r="O2986" s="364" t="s">
        <v>57</v>
      </c>
      <c r="P2986" s="373">
        <v>443798000</v>
      </c>
      <c r="Q2986" s="364"/>
      <c r="R2986" s="364" t="s">
        <v>9925</v>
      </c>
      <c r="S2986" s="340">
        <v>1</v>
      </c>
    </row>
    <row r="2987" spans="1:19" ht="62.5" thickBot="1" x14ac:dyDescent="0.4">
      <c r="A2987" s="357">
        <v>2976</v>
      </c>
      <c r="B2987" s="364" t="s">
        <v>10110</v>
      </c>
      <c r="C2987" s="364" t="s">
        <v>10111</v>
      </c>
      <c r="D2987" s="366" t="s">
        <v>51</v>
      </c>
      <c r="E2987" s="366" t="s">
        <v>10082</v>
      </c>
      <c r="F2987" s="366" t="s">
        <v>10078</v>
      </c>
      <c r="G2987" s="366" t="s">
        <v>10088</v>
      </c>
      <c r="H2987" s="366" t="s">
        <v>11613</v>
      </c>
      <c r="I2987" s="364" t="s">
        <v>15205</v>
      </c>
      <c r="J2987" s="367">
        <v>43966</v>
      </c>
      <c r="K2987" s="364" t="s">
        <v>15206</v>
      </c>
      <c r="L2987" s="364"/>
      <c r="M2987" s="364" t="s">
        <v>10084</v>
      </c>
      <c r="N2987" s="364"/>
      <c r="O2987" s="364" t="s">
        <v>57</v>
      </c>
      <c r="P2987" s="373">
        <v>109725000</v>
      </c>
      <c r="Q2987" s="364" t="s">
        <v>15207</v>
      </c>
      <c r="R2987" s="364" t="s">
        <v>9925</v>
      </c>
      <c r="S2987" s="340">
        <v>1</v>
      </c>
    </row>
    <row r="2988" spans="1:19" ht="62" x14ac:dyDescent="0.35">
      <c r="A2988" s="349">
        <v>2977</v>
      </c>
      <c r="B2988" s="364" t="s">
        <v>10110</v>
      </c>
      <c r="C2988" s="364" t="s">
        <v>10111</v>
      </c>
      <c r="D2988" s="366" t="s">
        <v>59</v>
      </c>
      <c r="E2988" s="366" t="s">
        <v>10082</v>
      </c>
      <c r="F2988" s="366" t="s">
        <v>10078</v>
      </c>
      <c r="G2988" s="366" t="s">
        <v>10088</v>
      </c>
      <c r="H2988" s="366" t="s">
        <v>12623</v>
      </c>
      <c r="I2988" s="364" t="s">
        <v>15208</v>
      </c>
      <c r="J2988" s="367"/>
      <c r="K2988" s="364" t="s">
        <v>15209</v>
      </c>
      <c r="L2988" s="364"/>
      <c r="M2988" s="364"/>
      <c r="N2988" s="364"/>
      <c r="O2988" s="364" t="s">
        <v>44</v>
      </c>
      <c r="P2988" s="373">
        <v>279236040</v>
      </c>
      <c r="Q2988" s="364" t="s">
        <v>15208</v>
      </c>
      <c r="R2988" s="364" t="s">
        <v>9925</v>
      </c>
      <c r="S2988" s="340">
        <v>1</v>
      </c>
    </row>
    <row r="2989" spans="1:19" ht="31.5" thickBot="1" x14ac:dyDescent="0.4">
      <c r="A2989" s="357">
        <v>2978</v>
      </c>
      <c r="B2989" s="364" t="s">
        <v>10092</v>
      </c>
      <c r="C2989" s="364" t="s">
        <v>10093</v>
      </c>
      <c r="D2989" s="366" t="s">
        <v>51</v>
      </c>
      <c r="E2989" s="366" t="s">
        <v>10082</v>
      </c>
      <c r="F2989" s="366" t="s">
        <v>10078</v>
      </c>
      <c r="G2989" s="366" t="s">
        <v>10078</v>
      </c>
      <c r="H2989" s="366" t="s">
        <v>11960</v>
      </c>
      <c r="I2989" s="364" t="s">
        <v>15199</v>
      </c>
      <c r="J2989" s="367"/>
      <c r="K2989" s="364"/>
      <c r="L2989" s="364"/>
      <c r="M2989" s="364" t="s">
        <v>10084</v>
      </c>
      <c r="N2989" s="364"/>
      <c r="O2989" s="364" t="s">
        <v>57</v>
      </c>
      <c r="P2989" s="373">
        <v>200588000</v>
      </c>
      <c r="Q2989" s="364"/>
      <c r="R2989" s="364" t="s">
        <v>9925</v>
      </c>
      <c r="S2989" s="340">
        <v>1</v>
      </c>
    </row>
    <row r="2990" spans="1:19" ht="31" x14ac:dyDescent="0.35">
      <c r="A2990" s="349">
        <v>2979</v>
      </c>
      <c r="B2990" s="364" t="s">
        <v>10085</v>
      </c>
      <c r="C2990" s="364" t="s">
        <v>10086</v>
      </c>
      <c r="D2990" s="366" t="s">
        <v>51</v>
      </c>
      <c r="E2990" s="366" t="s">
        <v>10082</v>
      </c>
      <c r="F2990" s="366" t="s">
        <v>10078</v>
      </c>
      <c r="G2990" s="366" t="s">
        <v>10088</v>
      </c>
      <c r="H2990" s="366" t="s">
        <v>11409</v>
      </c>
      <c r="I2990" s="364" t="s">
        <v>15199</v>
      </c>
      <c r="J2990" s="367">
        <v>40413</v>
      </c>
      <c r="K2990" s="364" t="s">
        <v>15210</v>
      </c>
      <c r="L2990" s="364"/>
      <c r="M2990" s="364" t="s">
        <v>10084</v>
      </c>
      <c r="N2990" s="364"/>
      <c r="O2990" s="364" t="s">
        <v>422</v>
      </c>
      <c r="P2990" s="373">
        <v>245202341</v>
      </c>
      <c r="Q2990" s="364" t="s">
        <v>15211</v>
      </c>
      <c r="R2990" s="364" t="s">
        <v>9925</v>
      </c>
      <c r="S2990" s="340">
        <v>1</v>
      </c>
    </row>
    <row r="2991" spans="1:19" ht="31.5" thickBot="1" x14ac:dyDescent="0.4">
      <c r="A2991" s="357">
        <v>2980</v>
      </c>
      <c r="B2991" s="364" t="s">
        <v>10085</v>
      </c>
      <c r="C2991" s="364" t="s">
        <v>10086</v>
      </c>
      <c r="D2991" s="366" t="s">
        <v>59</v>
      </c>
      <c r="E2991" s="366" t="s">
        <v>10082</v>
      </c>
      <c r="F2991" s="366" t="s">
        <v>10078</v>
      </c>
      <c r="G2991" s="366" t="s">
        <v>10078</v>
      </c>
      <c r="H2991" s="366" t="s">
        <v>11324</v>
      </c>
      <c r="I2991" s="364" t="s">
        <v>15199</v>
      </c>
      <c r="J2991" s="367"/>
      <c r="K2991" s="364"/>
      <c r="L2991" s="364"/>
      <c r="M2991" s="364" t="s">
        <v>10084</v>
      </c>
      <c r="N2991" s="364"/>
      <c r="O2991" s="364" t="s">
        <v>57</v>
      </c>
      <c r="P2991" s="373">
        <v>248246375</v>
      </c>
      <c r="Q2991" s="364"/>
      <c r="R2991" s="364" t="s">
        <v>9925</v>
      </c>
      <c r="S2991" s="340">
        <v>1</v>
      </c>
    </row>
    <row r="2992" spans="1:19" ht="31" x14ac:dyDescent="0.35">
      <c r="A2992" s="349">
        <v>2981</v>
      </c>
      <c r="B2992" s="364" t="s">
        <v>10096</v>
      </c>
      <c r="C2992" s="364" t="s">
        <v>10097</v>
      </c>
      <c r="D2992" s="366" t="s">
        <v>51</v>
      </c>
      <c r="E2992" s="366" t="s">
        <v>10082</v>
      </c>
      <c r="F2992" s="366" t="s">
        <v>10078</v>
      </c>
      <c r="G2992" s="366" t="s">
        <v>10088</v>
      </c>
      <c r="H2992" s="366" t="s">
        <v>15212</v>
      </c>
      <c r="I2992" s="364" t="s">
        <v>15199</v>
      </c>
      <c r="J2992" s="367">
        <v>42975</v>
      </c>
      <c r="K2992" s="364" t="s">
        <v>15213</v>
      </c>
      <c r="L2992" s="364"/>
      <c r="M2992" s="364" t="s">
        <v>10084</v>
      </c>
      <c r="N2992" s="364"/>
      <c r="O2992" s="364" t="s">
        <v>57</v>
      </c>
      <c r="P2992" s="373">
        <v>198723000</v>
      </c>
      <c r="Q2992" s="364" t="s">
        <v>15214</v>
      </c>
      <c r="R2992" s="364" t="s">
        <v>9925</v>
      </c>
      <c r="S2992" s="340">
        <v>1</v>
      </c>
    </row>
    <row r="2993" spans="1:19" ht="47" thickBot="1" x14ac:dyDescent="0.4">
      <c r="A2993" s="357">
        <v>2982</v>
      </c>
      <c r="B2993" s="364" t="s">
        <v>10096</v>
      </c>
      <c r="C2993" s="364" t="s">
        <v>10097</v>
      </c>
      <c r="D2993" s="366" t="s">
        <v>59</v>
      </c>
      <c r="E2993" s="366" t="s">
        <v>10082</v>
      </c>
      <c r="F2993" s="366" t="s">
        <v>10078</v>
      </c>
      <c r="G2993" s="366" t="s">
        <v>10088</v>
      </c>
      <c r="H2993" s="366" t="s">
        <v>15215</v>
      </c>
      <c r="I2993" s="364" t="s">
        <v>15216</v>
      </c>
      <c r="J2993" s="367"/>
      <c r="K2993" s="364" t="s">
        <v>15217</v>
      </c>
      <c r="L2993" s="364"/>
      <c r="M2993" s="364"/>
      <c r="N2993" s="364"/>
      <c r="O2993" s="364" t="s">
        <v>44</v>
      </c>
      <c r="P2993" s="373">
        <v>165518745</v>
      </c>
      <c r="Q2993" s="364" t="s">
        <v>15218</v>
      </c>
      <c r="R2993" s="364" t="s">
        <v>9925</v>
      </c>
      <c r="S2993" s="340">
        <v>1</v>
      </c>
    </row>
    <row r="2994" spans="1:19" ht="46.5" x14ac:dyDescent="0.35">
      <c r="A2994" s="349">
        <v>2983</v>
      </c>
      <c r="B2994" s="364" t="s">
        <v>10096</v>
      </c>
      <c r="C2994" s="364" t="s">
        <v>10097</v>
      </c>
      <c r="D2994" s="366" t="s">
        <v>97</v>
      </c>
      <c r="E2994" s="366" t="s">
        <v>10082</v>
      </c>
      <c r="F2994" s="366" t="s">
        <v>10078</v>
      </c>
      <c r="G2994" s="366" t="s">
        <v>10088</v>
      </c>
      <c r="H2994" s="366" t="s">
        <v>15219</v>
      </c>
      <c r="I2994" s="364" t="s">
        <v>15220</v>
      </c>
      <c r="J2994" s="367"/>
      <c r="K2994" s="364" t="s">
        <v>15221</v>
      </c>
      <c r="L2994" s="364"/>
      <c r="M2994" s="364"/>
      <c r="N2994" s="364"/>
      <c r="O2994" s="364" t="s">
        <v>44</v>
      </c>
      <c r="P2994" s="373">
        <v>195558731.00000003</v>
      </c>
      <c r="Q2994" s="364" t="s">
        <v>15222</v>
      </c>
      <c r="R2994" s="364" t="s">
        <v>9925</v>
      </c>
      <c r="S2994" s="340">
        <v>1</v>
      </c>
    </row>
    <row r="2995" spans="1:19" ht="31.5" thickBot="1" x14ac:dyDescent="0.4">
      <c r="A2995" s="357">
        <v>2984</v>
      </c>
      <c r="B2995" s="364" t="s">
        <v>10080</v>
      </c>
      <c r="C2995" s="364" t="s">
        <v>10081</v>
      </c>
      <c r="D2995" s="366" t="s">
        <v>51</v>
      </c>
      <c r="E2995" s="366" t="s">
        <v>10082</v>
      </c>
      <c r="F2995" s="366" t="s">
        <v>10078</v>
      </c>
      <c r="G2995" s="366" t="s">
        <v>10078</v>
      </c>
      <c r="H2995" s="366" t="s">
        <v>11400</v>
      </c>
      <c r="I2995" s="364" t="s">
        <v>15223</v>
      </c>
      <c r="J2995" s="367"/>
      <c r="K2995" s="364"/>
      <c r="L2995" s="364"/>
      <c r="M2995" s="364" t="s">
        <v>10084</v>
      </c>
      <c r="N2995" s="364"/>
      <c r="O2995" s="364" t="s">
        <v>57</v>
      </c>
      <c r="P2995" s="373">
        <v>254796207.89999998</v>
      </c>
      <c r="Q2995" s="364"/>
      <c r="R2995" s="364" t="s">
        <v>9927</v>
      </c>
      <c r="S2995" s="340">
        <v>1</v>
      </c>
    </row>
    <row r="2996" spans="1:19" ht="31" x14ac:dyDescent="0.35">
      <c r="A2996" s="349">
        <v>2985</v>
      </c>
      <c r="B2996" s="364" t="s">
        <v>10080</v>
      </c>
      <c r="C2996" s="364" t="s">
        <v>10081</v>
      </c>
      <c r="D2996" s="366" t="s">
        <v>59</v>
      </c>
      <c r="E2996" s="366" t="s">
        <v>10082</v>
      </c>
      <c r="F2996" s="366" t="s">
        <v>10078</v>
      </c>
      <c r="G2996" s="366" t="s">
        <v>10078</v>
      </c>
      <c r="H2996" s="366" t="s">
        <v>12997</v>
      </c>
      <c r="I2996" s="364" t="s">
        <v>15223</v>
      </c>
      <c r="J2996" s="367"/>
      <c r="K2996" s="364"/>
      <c r="L2996" s="364"/>
      <c r="M2996" s="364" t="s">
        <v>10084</v>
      </c>
      <c r="N2996" s="364"/>
      <c r="O2996" s="364" t="s">
        <v>57</v>
      </c>
      <c r="P2996" s="373">
        <v>1033973500</v>
      </c>
      <c r="Q2996" s="364"/>
      <c r="R2996" s="364" t="s">
        <v>9927</v>
      </c>
      <c r="S2996" s="340">
        <v>1</v>
      </c>
    </row>
    <row r="2997" spans="1:19" ht="31.5" thickBot="1" x14ac:dyDescent="0.4">
      <c r="A2997" s="357">
        <v>2986</v>
      </c>
      <c r="B2997" s="364" t="s">
        <v>10080</v>
      </c>
      <c r="C2997" s="364" t="s">
        <v>10081</v>
      </c>
      <c r="D2997" s="366" t="s">
        <v>97</v>
      </c>
      <c r="E2997" s="366" t="s">
        <v>10082</v>
      </c>
      <c r="F2997" s="366" t="s">
        <v>10078</v>
      </c>
      <c r="G2997" s="366" t="s">
        <v>10078</v>
      </c>
      <c r="H2997" s="366" t="s">
        <v>1122</v>
      </c>
      <c r="I2997" s="364" t="s">
        <v>15223</v>
      </c>
      <c r="J2997" s="367"/>
      <c r="K2997" s="364"/>
      <c r="L2997" s="364"/>
      <c r="M2997" s="364" t="s">
        <v>10084</v>
      </c>
      <c r="N2997" s="364"/>
      <c r="O2997" s="364" t="s">
        <v>57</v>
      </c>
      <c r="P2997" s="373">
        <v>432734000</v>
      </c>
      <c r="Q2997" s="364"/>
      <c r="R2997" s="364" t="s">
        <v>9927</v>
      </c>
      <c r="S2997" s="340">
        <v>1</v>
      </c>
    </row>
    <row r="2998" spans="1:19" ht="46.5" x14ac:dyDescent="0.35">
      <c r="A2998" s="349">
        <v>2987</v>
      </c>
      <c r="B2998" s="364" t="s">
        <v>10110</v>
      </c>
      <c r="C2998" s="364" t="s">
        <v>10111</v>
      </c>
      <c r="D2998" s="366" t="s">
        <v>51</v>
      </c>
      <c r="E2998" s="366" t="s">
        <v>10082</v>
      </c>
      <c r="F2998" s="366" t="s">
        <v>10078</v>
      </c>
      <c r="G2998" s="366" t="s">
        <v>10088</v>
      </c>
      <c r="H2998" s="366" t="s">
        <v>12623</v>
      </c>
      <c r="I2998" s="364" t="s">
        <v>15224</v>
      </c>
      <c r="J2998" s="367"/>
      <c r="K2998" s="364" t="s">
        <v>15225</v>
      </c>
      <c r="L2998" s="364"/>
      <c r="M2998" s="364"/>
      <c r="N2998" s="364"/>
      <c r="O2998" s="364" t="s">
        <v>44</v>
      </c>
      <c r="P2998" s="373">
        <v>306884750</v>
      </c>
      <c r="Q2998" s="364" t="s">
        <v>15226</v>
      </c>
      <c r="R2998" s="364" t="s">
        <v>9927</v>
      </c>
      <c r="S2998" s="340">
        <v>1</v>
      </c>
    </row>
    <row r="2999" spans="1:19" ht="47" thickBot="1" x14ac:dyDescent="0.4">
      <c r="A2999" s="357">
        <v>2988</v>
      </c>
      <c r="B2999" s="364" t="s">
        <v>10110</v>
      </c>
      <c r="C2999" s="364" t="s">
        <v>10111</v>
      </c>
      <c r="D2999" s="366" t="s">
        <v>59</v>
      </c>
      <c r="E2999" s="366" t="s">
        <v>10082</v>
      </c>
      <c r="F2999" s="366" t="s">
        <v>10078</v>
      </c>
      <c r="G2999" s="366" t="s">
        <v>10078</v>
      </c>
      <c r="H2999" s="366" t="s">
        <v>12623</v>
      </c>
      <c r="I2999" s="364" t="s">
        <v>15224</v>
      </c>
      <c r="J2999" s="367"/>
      <c r="K2999" s="364" t="s">
        <v>15227</v>
      </c>
      <c r="L2999" s="364"/>
      <c r="M2999" s="364"/>
      <c r="N2999" s="364"/>
      <c r="O2999" s="364" t="s">
        <v>44</v>
      </c>
      <c r="P2999" s="373">
        <v>286694000</v>
      </c>
      <c r="Q2999" s="364" t="s">
        <v>15228</v>
      </c>
      <c r="R2999" s="364" t="s">
        <v>9927</v>
      </c>
      <c r="S2999" s="340">
        <v>1</v>
      </c>
    </row>
    <row r="3000" spans="1:19" ht="31" x14ac:dyDescent="0.35">
      <c r="A3000" s="349">
        <v>2989</v>
      </c>
      <c r="B3000" s="364" t="s">
        <v>10092</v>
      </c>
      <c r="C3000" s="364" t="s">
        <v>10093</v>
      </c>
      <c r="D3000" s="366" t="s">
        <v>51</v>
      </c>
      <c r="E3000" s="366" t="s">
        <v>10082</v>
      </c>
      <c r="F3000" s="366" t="s">
        <v>10078</v>
      </c>
      <c r="G3000" s="366" t="s">
        <v>10078</v>
      </c>
      <c r="H3000" s="366" t="s">
        <v>12979</v>
      </c>
      <c r="I3000" s="364" t="s">
        <v>15223</v>
      </c>
      <c r="J3000" s="367"/>
      <c r="K3000" s="364"/>
      <c r="L3000" s="364"/>
      <c r="M3000" s="364" t="s">
        <v>10084</v>
      </c>
      <c r="N3000" s="364"/>
      <c r="O3000" s="364" t="s">
        <v>57</v>
      </c>
      <c r="P3000" s="373">
        <v>127315200</v>
      </c>
      <c r="Q3000" s="364"/>
      <c r="R3000" s="364" t="s">
        <v>9927</v>
      </c>
      <c r="S3000" s="340">
        <v>1</v>
      </c>
    </row>
    <row r="3001" spans="1:19" ht="47" thickBot="1" x14ac:dyDescent="0.4">
      <c r="A3001" s="357">
        <v>2990</v>
      </c>
      <c r="B3001" s="364" t="s">
        <v>10146</v>
      </c>
      <c r="C3001" s="364" t="s">
        <v>10147</v>
      </c>
      <c r="D3001" s="366" t="s">
        <v>51</v>
      </c>
      <c r="E3001" s="366" t="s">
        <v>10082</v>
      </c>
      <c r="F3001" s="366" t="s">
        <v>10078</v>
      </c>
      <c r="G3001" s="366" t="s">
        <v>10078</v>
      </c>
      <c r="H3001" s="366" t="s">
        <v>11536</v>
      </c>
      <c r="I3001" s="364" t="s">
        <v>15229</v>
      </c>
      <c r="J3001" s="367">
        <v>43966</v>
      </c>
      <c r="K3001" s="364" t="s">
        <v>15230</v>
      </c>
      <c r="L3001" s="364"/>
      <c r="M3001" s="364" t="s">
        <v>10084</v>
      </c>
      <c r="N3001" s="364"/>
      <c r="O3001" s="364" t="s">
        <v>57</v>
      </c>
      <c r="P3001" s="373">
        <v>562523000</v>
      </c>
      <c r="Q3001" s="364" t="s">
        <v>15231</v>
      </c>
      <c r="R3001" s="364" t="s">
        <v>9927</v>
      </c>
      <c r="S3001" s="340">
        <v>1</v>
      </c>
    </row>
    <row r="3002" spans="1:19" ht="46.5" x14ac:dyDescent="0.35">
      <c r="A3002" s="349">
        <v>2991</v>
      </c>
      <c r="B3002" s="364" t="s">
        <v>10096</v>
      </c>
      <c r="C3002" s="364" t="s">
        <v>10097</v>
      </c>
      <c r="D3002" s="366" t="s">
        <v>51</v>
      </c>
      <c r="E3002" s="366" t="s">
        <v>10082</v>
      </c>
      <c r="F3002" s="366" t="s">
        <v>10078</v>
      </c>
      <c r="G3002" s="366" t="s">
        <v>10088</v>
      </c>
      <c r="H3002" s="366" t="s">
        <v>13166</v>
      </c>
      <c r="I3002" s="364" t="s">
        <v>15224</v>
      </c>
      <c r="J3002" s="367"/>
      <c r="K3002" s="364" t="s">
        <v>15232</v>
      </c>
      <c r="L3002" s="364"/>
      <c r="M3002" s="364"/>
      <c r="N3002" s="364"/>
      <c r="O3002" s="364" t="s">
        <v>44</v>
      </c>
      <c r="P3002" s="373">
        <v>102970994</v>
      </c>
      <c r="Q3002" s="364" t="s">
        <v>15233</v>
      </c>
      <c r="R3002" s="364" t="s">
        <v>9927</v>
      </c>
      <c r="S3002" s="340">
        <v>1</v>
      </c>
    </row>
    <row r="3003" spans="1:19" ht="31.5" thickBot="1" x14ac:dyDescent="0.4">
      <c r="A3003" s="357">
        <v>2992</v>
      </c>
      <c r="B3003" s="364" t="s">
        <v>10080</v>
      </c>
      <c r="C3003" s="364" t="s">
        <v>10081</v>
      </c>
      <c r="D3003" s="366" t="s">
        <v>51</v>
      </c>
      <c r="E3003" s="366" t="s">
        <v>10082</v>
      </c>
      <c r="F3003" s="366" t="s">
        <v>10078</v>
      </c>
      <c r="G3003" s="366" t="s">
        <v>10078</v>
      </c>
      <c r="H3003" s="366" t="s">
        <v>11400</v>
      </c>
      <c r="I3003" s="364" t="s">
        <v>15234</v>
      </c>
      <c r="J3003" s="367"/>
      <c r="K3003" s="364"/>
      <c r="L3003" s="364"/>
      <c r="M3003" s="364" t="s">
        <v>10084</v>
      </c>
      <c r="N3003" s="364"/>
      <c r="O3003" s="364" t="s">
        <v>57</v>
      </c>
      <c r="P3003" s="373">
        <v>148435000</v>
      </c>
      <c r="Q3003" s="364"/>
      <c r="R3003" s="364" t="s">
        <v>9929</v>
      </c>
      <c r="S3003" s="340">
        <v>1</v>
      </c>
    </row>
    <row r="3004" spans="1:19" ht="31" x14ac:dyDescent="0.35">
      <c r="A3004" s="349">
        <v>2993</v>
      </c>
      <c r="B3004" s="364" t="s">
        <v>10080</v>
      </c>
      <c r="C3004" s="364" t="s">
        <v>10081</v>
      </c>
      <c r="D3004" s="366" t="s">
        <v>59</v>
      </c>
      <c r="E3004" s="366" t="s">
        <v>10082</v>
      </c>
      <c r="F3004" s="366" t="s">
        <v>10078</v>
      </c>
      <c r="G3004" s="366" t="s">
        <v>10078</v>
      </c>
      <c r="H3004" s="366" t="s">
        <v>11400</v>
      </c>
      <c r="I3004" s="364" t="s">
        <v>15234</v>
      </c>
      <c r="J3004" s="367"/>
      <c r="K3004" s="364"/>
      <c r="L3004" s="364"/>
      <c r="M3004" s="364" t="s">
        <v>10084</v>
      </c>
      <c r="N3004" s="364"/>
      <c r="O3004" s="364" t="s">
        <v>57</v>
      </c>
      <c r="P3004" s="373">
        <v>140411000</v>
      </c>
      <c r="Q3004" s="364"/>
      <c r="R3004" s="364" t="s">
        <v>9929</v>
      </c>
      <c r="S3004" s="340">
        <v>1</v>
      </c>
    </row>
    <row r="3005" spans="1:19" ht="31.5" thickBot="1" x14ac:dyDescent="0.4">
      <c r="A3005" s="357">
        <v>2994</v>
      </c>
      <c r="B3005" s="364" t="s">
        <v>10080</v>
      </c>
      <c r="C3005" s="364" t="s">
        <v>10081</v>
      </c>
      <c r="D3005" s="366" t="s">
        <v>97</v>
      </c>
      <c r="E3005" s="366" t="s">
        <v>10082</v>
      </c>
      <c r="F3005" s="366" t="s">
        <v>10078</v>
      </c>
      <c r="G3005" s="366" t="s">
        <v>10078</v>
      </c>
      <c r="H3005" s="366" t="s">
        <v>1122</v>
      </c>
      <c r="I3005" s="364" t="s">
        <v>15234</v>
      </c>
      <c r="J3005" s="367"/>
      <c r="K3005" s="364"/>
      <c r="L3005" s="364"/>
      <c r="M3005" s="364" t="s">
        <v>10084</v>
      </c>
      <c r="N3005" s="364"/>
      <c r="O3005" s="364" t="s">
        <v>57</v>
      </c>
      <c r="P3005" s="373">
        <v>168494000</v>
      </c>
      <c r="Q3005" s="364"/>
      <c r="R3005" s="364" t="s">
        <v>9929</v>
      </c>
      <c r="S3005" s="340">
        <v>1</v>
      </c>
    </row>
    <row r="3006" spans="1:19" ht="31" x14ac:dyDescent="0.35">
      <c r="A3006" s="349">
        <v>2995</v>
      </c>
      <c r="B3006" s="364" t="s">
        <v>10080</v>
      </c>
      <c r="C3006" s="364" t="s">
        <v>10081</v>
      </c>
      <c r="D3006" s="366" t="s">
        <v>101</v>
      </c>
      <c r="E3006" s="366" t="s">
        <v>10082</v>
      </c>
      <c r="F3006" s="366" t="s">
        <v>10078</v>
      </c>
      <c r="G3006" s="366" t="s">
        <v>10078</v>
      </c>
      <c r="H3006" s="366" t="s">
        <v>13011</v>
      </c>
      <c r="I3006" s="364" t="s">
        <v>15234</v>
      </c>
      <c r="J3006" s="367"/>
      <c r="K3006" s="364"/>
      <c r="L3006" s="364"/>
      <c r="M3006" s="364" t="s">
        <v>10084</v>
      </c>
      <c r="N3006" s="364"/>
      <c r="O3006" s="364" t="s">
        <v>422</v>
      </c>
      <c r="P3006" s="373">
        <v>70000000</v>
      </c>
      <c r="Q3006" s="364" t="s">
        <v>8603</v>
      </c>
      <c r="R3006" s="364" t="s">
        <v>9929</v>
      </c>
      <c r="S3006" s="340">
        <v>1</v>
      </c>
    </row>
    <row r="3007" spans="1:19" ht="31.5" thickBot="1" x14ac:dyDescent="0.4">
      <c r="A3007" s="357">
        <v>2996</v>
      </c>
      <c r="B3007" s="364" t="s">
        <v>10092</v>
      </c>
      <c r="C3007" s="364" t="s">
        <v>10093</v>
      </c>
      <c r="D3007" s="366" t="s">
        <v>51</v>
      </c>
      <c r="E3007" s="366" t="s">
        <v>10082</v>
      </c>
      <c r="F3007" s="366" t="s">
        <v>10078</v>
      </c>
      <c r="G3007" s="366" t="s">
        <v>10078</v>
      </c>
      <c r="H3007" s="366" t="s">
        <v>12979</v>
      </c>
      <c r="I3007" s="364" t="s">
        <v>15234</v>
      </c>
      <c r="J3007" s="367"/>
      <c r="K3007" s="364"/>
      <c r="L3007" s="364"/>
      <c r="M3007" s="364" t="s">
        <v>10084</v>
      </c>
      <c r="N3007" s="364"/>
      <c r="O3007" s="364" t="s">
        <v>57</v>
      </c>
      <c r="P3007" s="373">
        <v>129004000</v>
      </c>
      <c r="Q3007" s="364"/>
      <c r="R3007" s="364" t="s">
        <v>9929</v>
      </c>
      <c r="S3007" s="340">
        <v>1</v>
      </c>
    </row>
    <row r="3008" spans="1:19" ht="31" x14ac:dyDescent="0.35">
      <c r="A3008" s="349">
        <v>2997</v>
      </c>
      <c r="B3008" s="364" t="s">
        <v>10085</v>
      </c>
      <c r="C3008" s="364" t="s">
        <v>10086</v>
      </c>
      <c r="D3008" s="366" t="s">
        <v>51</v>
      </c>
      <c r="E3008" s="366" t="s">
        <v>10082</v>
      </c>
      <c r="F3008" s="366" t="s">
        <v>10078</v>
      </c>
      <c r="G3008" s="366" t="s">
        <v>10078</v>
      </c>
      <c r="H3008" s="366" t="s">
        <v>11308</v>
      </c>
      <c r="I3008" s="364" t="s">
        <v>15235</v>
      </c>
      <c r="J3008" s="367"/>
      <c r="K3008" s="364"/>
      <c r="L3008" s="364"/>
      <c r="M3008" s="364" t="s">
        <v>10084</v>
      </c>
      <c r="N3008" s="364"/>
      <c r="O3008" s="364" t="s">
        <v>57</v>
      </c>
      <c r="P3008" s="373">
        <v>162109000</v>
      </c>
      <c r="Q3008" s="364"/>
      <c r="R3008" s="364" t="s">
        <v>9929</v>
      </c>
      <c r="S3008" s="340">
        <v>1</v>
      </c>
    </row>
    <row r="3009" spans="1:19" ht="31.5" thickBot="1" x14ac:dyDescent="0.4">
      <c r="A3009" s="357">
        <v>2998</v>
      </c>
      <c r="B3009" s="364" t="s">
        <v>10085</v>
      </c>
      <c r="C3009" s="364" t="s">
        <v>10086</v>
      </c>
      <c r="D3009" s="366" t="s">
        <v>59</v>
      </c>
      <c r="E3009" s="366" t="s">
        <v>10082</v>
      </c>
      <c r="F3009" s="366" t="s">
        <v>10078</v>
      </c>
      <c r="G3009" s="366" t="s">
        <v>10078</v>
      </c>
      <c r="H3009" s="366" t="s">
        <v>11308</v>
      </c>
      <c r="I3009" s="364" t="s">
        <v>15235</v>
      </c>
      <c r="J3009" s="367"/>
      <c r="K3009" s="364"/>
      <c r="L3009" s="364"/>
      <c r="M3009" s="364" t="s">
        <v>10084</v>
      </c>
      <c r="N3009" s="364"/>
      <c r="O3009" s="364" t="s">
        <v>57</v>
      </c>
      <c r="P3009" s="373">
        <v>92359000</v>
      </c>
      <c r="Q3009" s="364"/>
      <c r="R3009" s="364" t="s">
        <v>9929</v>
      </c>
      <c r="S3009" s="340">
        <v>1</v>
      </c>
    </row>
    <row r="3010" spans="1:19" ht="46.5" x14ac:dyDescent="0.35">
      <c r="A3010" s="349">
        <v>2999</v>
      </c>
      <c r="B3010" s="364" t="s">
        <v>10146</v>
      </c>
      <c r="C3010" s="364" t="s">
        <v>10147</v>
      </c>
      <c r="D3010" s="366" t="s">
        <v>51</v>
      </c>
      <c r="E3010" s="366" t="s">
        <v>10082</v>
      </c>
      <c r="F3010" s="366" t="s">
        <v>10078</v>
      </c>
      <c r="G3010" s="366" t="s">
        <v>10088</v>
      </c>
      <c r="H3010" s="366" t="s">
        <v>13120</v>
      </c>
      <c r="I3010" s="364"/>
      <c r="J3010" s="367">
        <v>44756</v>
      </c>
      <c r="K3010" s="364" t="s">
        <v>15236</v>
      </c>
      <c r="L3010" s="364"/>
      <c r="M3010" s="364"/>
      <c r="N3010" s="364"/>
      <c r="O3010" s="364" t="s">
        <v>44</v>
      </c>
      <c r="P3010" s="373">
        <v>309131500</v>
      </c>
      <c r="Q3010" s="364" t="s">
        <v>15237</v>
      </c>
      <c r="R3010" s="364" t="s">
        <v>9929</v>
      </c>
      <c r="S3010" s="340">
        <v>1</v>
      </c>
    </row>
    <row r="3011" spans="1:19" ht="31.5" thickBot="1" x14ac:dyDescent="0.4">
      <c r="A3011" s="357">
        <v>3000</v>
      </c>
      <c r="B3011" s="364" t="s">
        <v>10080</v>
      </c>
      <c r="C3011" s="364" t="s">
        <v>10081</v>
      </c>
      <c r="D3011" s="366" t="s">
        <v>51</v>
      </c>
      <c r="E3011" s="366" t="s">
        <v>10082</v>
      </c>
      <c r="F3011" s="366" t="s">
        <v>10078</v>
      </c>
      <c r="G3011" s="366" t="s">
        <v>10078</v>
      </c>
      <c r="H3011" s="366" t="s">
        <v>11960</v>
      </c>
      <c r="I3011" s="364" t="s">
        <v>15173</v>
      </c>
      <c r="J3011" s="367"/>
      <c r="K3011" s="364"/>
      <c r="L3011" s="364"/>
      <c r="M3011" s="364" t="s">
        <v>10084</v>
      </c>
      <c r="N3011" s="364"/>
      <c r="O3011" s="364" t="s">
        <v>422</v>
      </c>
      <c r="P3011" s="373">
        <v>80000000</v>
      </c>
      <c r="Q3011" s="364" t="s">
        <v>8603</v>
      </c>
      <c r="R3011" s="364" t="s">
        <v>9930</v>
      </c>
      <c r="S3011" s="340">
        <v>1</v>
      </c>
    </row>
    <row r="3012" spans="1:19" ht="46.5" x14ac:dyDescent="0.35">
      <c r="A3012" s="349">
        <v>3001</v>
      </c>
      <c r="B3012" s="364" t="s">
        <v>10080</v>
      </c>
      <c r="C3012" s="364" t="s">
        <v>10081</v>
      </c>
      <c r="D3012" s="366" t="s">
        <v>59</v>
      </c>
      <c r="E3012" s="366" t="s">
        <v>10082</v>
      </c>
      <c r="F3012" s="366" t="s">
        <v>10078</v>
      </c>
      <c r="G3012" s="366" t="s">
        <v>10078</v>
      </c>
      <c r="H3012" s="366" t="s">
        <v>12623</v>
      </c>
      <c r="I3012" s="364" t="s">
        <v>15238</v>
      </c>
      <c r="J3012" s="367">
        <v>43588</v>
      </c>
      <c r="K3012" s="364" t="s">
        <v>15239</v>
      </c>
      <c r="L3012" s="364"/>
      <c r="M3012" s="364" t="s">
        <v>10084</v>
      </c>
      <c r="N3012" s="364"/>
      <c r="O3012" s="364" t="s">
        <v>57</v>
      </c>
      <c r="P3012" s="373">
        <v>191688000</v>
      </c>
      <c r="Q3012" s="364" t="s">
        <v>15240</v>
      </c>
      <c r="R3012" s="364" t="s">
        <v>9930</v>
      </c>
      <c r="S3012" s="340">
        <v>1</v>
      </c>
    </row>
    <row r="3013" spans="1:19" ht="31.5" thickBot="1" x14ac:dyDescent="0.4">
      <c r="A3013" s="357">
        <v>3002</v>
      </c>
      <c r="B3013" s="364" t="s">
        <v>10080</v>
      </c>
      <c r="C3013" s="364" t="s">
        <v>10081</v>
      </c>
      <c r="D3013" s="366" t="s">
        <v>97</v>
      </c>
      <c r="E3013" s="366" t="s">
        <v>10082</v>
      </c>
      <c r="F3013" s="366" t="s">
        <v>10078</v>
      </c>
      <c r="G3013" s="366" t="s">
        <v>10078</v>
      </c>
      <c r="H3013" s="366" t="s">
        <v>1122</v>
      </c>
      <c r="I3013" s="364" t="s">
        <v>15173</v>
      </c>
      <c r="J3013" s="367"/>
      <c r="K3013" s="364"/>
      <c r="L3013" s="364"/>
      <c r="M3013" s="364" t="s">
        <v>10084</v>
      </c>
      <c r="N3013" s="364"/>
      <c r="O3013" s="364" t="s">
        <v>57</v>
      </c>
      <c r="P3013" s="373">
        <v>299842000</v>
      </c>
      <c r="Q3013" s="364"/>
      <c r="R3013" s="364" t="s">
        <v>9930</v>
      </c>
      <c r="S3013" s="340">
        <v>1</v>
      </c>
    </row>
    <row r="3014" spans="1:19" ht="31" x14ac:dyDescent="0.35">
      <c r="A3014" s="349">
        <v>3003</v>
      </c>
      <c r="B3014" s="364" t="s">
        <v>10080</v>
      </c>
      <c r="C3014" s="364" t="s">
        <v>10081</v>
      </c>
      <c r="D3014" s="366" t="s">
        <v>101</v>
      </c>
      <c r="E3014" s="366" t="s">
        <v>10082</v>
      </c>
      <c r="F3014" s="366" t="s">
        <v>10078</v>
      </c>
      <c r="G3014" s="366" t="s">
        <v>10078</v>
      </c>
      <c r="H3014" s="366" t="s">
        <v>1122</v>
      </c>
      <c r="I3014" s="364" t="s">
        <v>15173</v>
      </c>
      <c r="J3014" s="367"/>
      <c r="K3014" s="364"/>
      <c r="L3014" s="364"/>
      <c r="M3014" s="364" t="s">
        <v>10084</v>
      </c>
      <c r="N3014" s="364"/>
      <c r="O3014" s="364" t="s">
        <v>57</v>
      </c>
      <c r="P3014" s="373">
        <v>204599000</v>
      </c>
      <c r="Q3014" s="364"/>
      <c r="R3014" s="364" t="s">
        <v>9930</v>
      </c>
      <c r="S3014" s="340">
        <v>1</v>
      </c>
    </row>
    <row r="3015" spans="1:19" ht="31.5" thickBot="1" x14ac:dyDescent="0.4">
      <c r="A3015" s="357">
        <v>3004</v>
      </c>
      <c r="B3015" s="364" t="s">
        <v>10080</v>
      </c>
      <c r="C3015" s="364" t="s">
        <v>10081</v>
      </c>
      <c r="D3015" s="366" t="s">
        <v>107</v>
      </c>
      <c r="E3015" s="366" t="s">
        <v>10082</v>
      </c>
      <c r="F3015" s="366" t="s">
        <v>10078</v>
      </c>
      <c r="G3015" s="366" t="s">
        <v>10078</v>
      </c>
      <c r="H3015" s="366" t="s">
        <v>11400</v>
      </c>
      <c r="I3015" s="364" t="s">
        <v>15173</v>
      </c>
      <c r="J3015" s="367"/>
      <c r="K3015" s="364"/>
      <c r="L3015" s="364"/>
      <c r="M3015" s="364" t="s">
        <v>10084</v>
      </c>
      <c r="N3015" s="364"/>
      <c r="O3015" s="364" t="s">
        <v>57</v>
      </c>
      <c r="P3015" s="373">
        <v>211653000</v>
      </c>
      <c r="Q3015" s="364"/>
      <c r="R3015" s="364" t="s">
        <v>9930</v>
      </c>
      <c r="S3015" s="340">
        <v>1</v>
      </c>
    </row>
    <row r="3016" spans="1:19" ht="31" x14ac:dyDescent="0.35">
      <c r="A3016" s="349">
        <v>3005</v>
      </c>
      <c r="B3016" s="364" t="s">
        <v>10110</v>
      </c>
      <c r="C3016" s="364" t="s">
        <v>10111</v>
      </c>
      <c r="D3016" s="366" t="s">
        <v>51</v>
      </c>
      <c r="E3016" s="366" t="s">
        <v>10082</v>
      </c>
      <c r="F3016" s="366" t="s">
        <v>10078</v>
      </c>
      <c r="G3016" s="366" t="s">
        <v>10078</v>
      </c>
      <c r="H3016" s="366" t="s">
        <v>11332</v>
      </c>
      <c r="I3016" s="364" t="s">
        <v>15173</v>
      </c>
      <c r="J3016" s="367"/>
      <c r="K3016" s="364"/>
      <c r="L3016" s="364"/>
      <c r="M3016" s="364" t="s">
        <v>10084</v>
      </c>
      <c r="N3016" s="364"/>
      <c r="O3016" s="364" t="s">
        <v>57</v>
      </c>
      <c r="P3016" s="373">
        <v>12124000</v>
      </c>
      <c r="Q3016" s="364"/>
      <c r="R3016" s="364" t="s">
        <v>9930</v>
      </c>
      <c r="S3016" s="340">
        <v>1</v>
      </c>
    </row>
    <row r="3017" spans="1:19" ht="31.5" thickBot="1" x14ac:dyDescent="0.4">
      <c r="A3017" s="357">
        <v>3006</v>
      </c>
      <c r="B3017" s="364" t="s">
        <v>10110</v>
      </c>
      <c r="C3017" s="364" t="s">
        <v>10111</v>
      </c>
      <c r="D3017" s="366" t="s">
        <v>59</v>
      </c>
      <c r="E3017" s="366" t="s">
        <v>10082</v>
      </c>
      <c r="F3017" s="366" t="s">
        <v>10078</v>
      </c>
      <c r="G3017" s="366" t="s">
        <v>10088</v>
      </c>
      <c r="H3017" s="366" t="s">
        <v>12623</v>
      </c>
      <c r="I3017" s="364" t="s">
        <v>15241</v>
      </c>
      <c r="J3017" s="367"/>
      <c r="K3017" s="364" t="s">
        <v>15242</v>
      </c>
      <c r="L3017" s="364"/>
      <c r="M3017" s="364"/>
      <c r="N3017" s="364"/>
      <c r="O3017" s="364" t="s">
        <v>44</v>
      </c>
      <c r="P3017" s="373">
        <v>85687187.5</v>
      </c>
      <c r="Q3017" s="364" t="s">
        <v>15243</v>
      </c>
      <c r="R3017" s="364" t="s">
        <v>9930</v>
      </c>
      <c r="S3017" s="340">
        <v>1</v>
      </c>
    </row>
    <row r="3018" spans="1:19" ht="46.5" x14ac:dyDescent="0.35">
      <c r="A3018" s="349">
        <v>3007</v>
      </c>
      <c r="B3018" s="364" t="s">
        <v>10110</v>
      </c>
      <c r="C3018" s="364" t="s">
        <v>10111</v>
      </c>
      <c r="D3018" s="366" t="s">
        <v>97</v>
      </c>
      <c r="E3018" s="366" t="s">
        <v>10082</v>
      </c>
      <c r="F3018" s="366" t="s">
        <v>10078</v>
      </c>
      <c r="G3018" s="366" t="s">
        <v>10088</v>
      </c>
      <c r="H3018" s="366" t="s">
        <v>12623</v>
      </c>
      <c r="I3018" s="364" t="s">
        <v>15244</v>
      </c>
      <c r="J3018" s="367"/>
      <c r="K3018" s="364" t="s">
        <v>15245</v>
      </c>
      <c r="L3018" s="364"/>
      <c r="M3018" s="364"/>
      <c r="N3018" s="364"/>
      <c r="O3018" s="364" t="s">
        <v>44</v>
      </c>
      <c r="P3018" s="373">
        <v>280431650</v>
      </c>
      <c r="Q3018" s="364" t="s">
        <v>15246</v>
      </c>
      <c r="R3018" s="364" t="s">
        <v>9930</v>
      </c>
      <c r="S3018" s="340">
        <v>1</v>
      </c>
    </row>
    <row r="3019" spans="1:19" ht="31.5" thickBot="1" x14ac:dyDescent="0.4">
      <c r="A3019" s="357">
        <v>3008</v>
      </c>
      <c r="B3019" s="364" t="s">
        <v>10085</v>
      </c>
      <c r="C3019" s="364" t="s">
        <v>10086</v>
      </c>
      <c r="D3019" s="366" t="s">
        <v>51</v>
      </c>
      <c r="E3019" s="366" t="s">
        <v>10082</v>
      </c>
      <c r="F3019" s="366" t="s">
        <v>10078</v>
      </c>
      <c r="G3019" s="366" t="s">
        <v>10078</v>
      </c>
      <c r="H3019" s="366" t="s">
        <v>12623</v>
      </c>
      <c r="I3019" s="364" t="s">
        <v>15173</v>
      </c>
      <c r="J3019" s="367"/>
      <c r="K3019" s="364"/>
      <c r="L3019" s="364"/>
      <c r="M3019" s="364" t="s">
        <v>10084</v>
      </c>
      <c r="N3019" s="364"/>
      <c r="O3019" s="364" t="s">
        <v>57</v>
      </c>
      <c r="P3019" s="373">
        <v>253406117</v>
      </c>
      <c r="Q3019" s="364"/>
      <c r="R3019" s="364" t="s">
        <v>9930</v>
      </c>
      <c r="S3019" s="340">
        <v>1</v>
      </c>
    </row>
    <row r="3020" spans="1:19" ht="31" x14ac:dyDescent="0.35">
      <c r="A3020" s="349">
        <v>3009</v>
      </c>
      <c r="B3020" s="364" t="s">
        <v>10146</v>
      </c>
      <c r="C3020" s="364" t="s">
        <v>10147</v>
      </c>
      <c r="D3020" s="366" t="s">
        <v>51</v>
      </c>
      <c r="E3020" s="366" t="s">
        <v>10082</v>
      </c>
      <c r="F3020" s="366" t="s">
        <v>10078</v>
      </c>
      <c r="G3020" s="366" t="s">
        <v>10088</v>
      </c>
      <c r="H3020" s="366" t="s">
        <v>12623</v>
      </c>
      <c r="I3020" s="364"/>
      <c r="J3020" s="367">
        <v>44760</v>
      </c>
      <c r="K3020" s="364" t="s">
        <v>15247</v>
      </c>
      <c r="L3020" s="364"/>
      <c r="M3020" s="364"/>
      <c r="N3020" s="364"/>
      <c r="O3020" s="364" t="s">
        <v>44</v>
      </c>
      <c r="P3020" s="373">
        <v>432240075</v>
      </c>
      <c r="Q3020" s="364" t="s">
        <v>15248</v>
      </c>
      <c r="R3020" s="364" t="s">
        <v>9930</v>
      </c>
      <c r="S3020" s="340">
        <v>1</v>
      </c>
    </row>
    <row r="3021" spans="1:19" ht="31.5" thickBot="1" x14ac:dyDescent="0.4">
      <c r="A3021" s="357">
        <v>3010</v>
      </c>
      <c r="B3021" s="364" t="s">
        <v>10096</v>
      </c>
      <c r="C3021" s="364" t="s">
        <v>10097</v>
      </c>
      <c r="D3021" s="366" t="s">
        <v>51</v>
      </c>
      <c r="E3021" s="366" t="s">
        <v>10082</v>
      </c>
      <c r="F3021" s="366" t="s">
        <v>10078</v>
      </c>
      <c r="G3021" s="366" t="s">
        <v>10088</v>
      </c>
      <c r="H3021" s="366" t="s">
        <v>15249</v>
      </c>
      <c r="I3021" s="364" t="s">
        <v>15173</v>
      </c>
      <c r="J3021" s="367">
        <v>42328</v>
      </c>
      <c r="K3021" s="364" t="s">
        <v>15250</v>
      </c>
      <c r="L3021" s="364"/>
      <c r="M3021" s="364" t="s">
        <v>10084</v>
      </c>
      <c r="N3021" s="364"/>
      <c r="O3021" s="364" t="s">
        <v>57</v>
      </c>
      <c r="P3021" s="373">
        <v>221198000</v>
      </c>
      <c r="Q3021" s="364" t="s">
        <v>15251</v>
      </c>
      <c r="R3021" s="364" t="s">
        <v>9930</v>
      </c>
      <c r="S3021" s="340">
        <v>1</v>
      </c>
    </row>
    <row r="3022" spans="1:19" ht="31" x14ac:dyDescent="0.35">
      <c r="A3022" s="349">
        <v>3011</v>
      </c>
      <c r="B3022" s="364" t="s">
        <v>10096</v>
      </c>
      <c r="C3022" s="364" t="s">
        <v>10097</v>
      </c>
      <c r="D3022" s="366" t="s">
        <v>59</v>
      </c>
      <c r="E3022" s="366" t="s">
        <v>10082</v>
      </c>
      <c r="F3022" s="366" t="s">
        <v>10078</v>
      </c>
      <c r="G3022" s="366" t="s">
        <v>10088</v>
      </c>
      <c r="H3022" s="366" t="s">
        <v>15252</v>
      </c>
      <c r="I3022" s="364" t="s">
        <v>15244</v>
      </c>
      <c r="J3022" s="367"/>
      <c r="K3022" s="364" t="s">
        <v>15253</v>
      </c>
      <c r="L3022" s="364"/>
      <c r="M3022" s="364"/>
      <c r="N3022" s="364"/>
      <c r="O3022" s="364" t="s">
        <v>44</v>
      </c>
      <c r="P3022" s="373">
        <v>221097335</v>
      </c>
      <c r="Q3022" s="364" t="s">
        <v>15254</v>
      </c>
      <c r="R3022" s="364" t="s">
        <v>9930</v>
      </c>
      <c r="S3022" s="340">
        <v>1</v>
      </c>
    </row>
    <row r="3023" spans="1:19" ht="31.5" thickBot="1" x14ac:dyDescent="0.4">
      <c r="A3023" s="357">
        <v>3012</v>
      </c>
      <c r="B3023" s="364" t="s">
        <v>10080</v>
      </c>
      <c r="C3023" s="364" t="s">
        <v>10081</v>
      </c>
      <c r="D3023" s="366" t="s">
        <v>51</v>
      </c>
      <c r="E3023" s="366" t="s">
        <v>10082</v>
      </c>
      <c r="F3023" s="366" t="s">
        <v>10078</v>
      </c>
      <c r="G3023" s="366" t="s">
        <v>10078</v>
      </c>
      <c r="H3023" s="366" t="s">
        <v>13082</v>
      </c>
      <c r="I3023" s="364" t="s">
        <v>15188</v>
      </c>
      <c r="J3023" s="367"/>
      <c r="K3023" s="364"/>
      <c r="L3023" s="364"/>
      <c r="M3023" s="364" t="s">
        <v>10084</v>
      </c>
      <c r="N3023" s="364"/>
      <c r="O3023" s="364" t="s">
        <v>422</v>
      </c>
      <c r="P3023" s="373">
        <v>365511250</v>
      </c>
      <c r="Q3023" s="364" t="s">
        <v>8603</v>
      </c>
      <c r="R3023" s="364" t="s">
        <v>9931</v>
      </c>
      <c r="S3023" s="340">
        <v>1</v>
      </c>
    </row>
    <row r="3024" spans="1:19" ht="31" x14ac:dyDescent="0.35">
      <c r="A3024" s="349">
        <v>3013</v>
      </c>
      <c r="B3024" s="364" t="s">
        <v>10080</v>
      </c>
      <c r="C3024" s="364" t="s">
        <v>10081</v>
      </c>
      <c r="D3024" s="366" t="s">
        <v>59</v>
      </c>
      <c r="E3024" s="366" t="s">
        <v>10082</v>
      </c>
      <c r="F3024" s="366" t="s">
        <v>10078</v>
      </c>
      <c r="G3024" s="366" t="s">
        <v>10078</v>
      </c>
      <c r="H3024" s="366" t="s">
        <v>13011</v>
      </c>
      <c r="I3024" s="364" t="s">
        <v>15188</v>
      </c>
      <c r="J3024" s="367"/>
      <c r="K3024" s="364"/>
      <c r="L3024" s="364"/>
      <c r="M3024" s="364" t="s">
        <v>10084</v>
      </c>
      <c r="N3024" s="364"/>
      <c r="O3024" s="364" t="s">
        <v>422</v>
      </c>
      <c r="P3024" s="373">
        <v>93530000</v>
      </c>
      <c r="Q3024" s="364" t="s">
        <v>8603</v>
      </c>
      <c r="R3024" s="364" t="s">
        <v>9931</v>
      </c>
      <c r="S3024" s="340">
        <v>1</v>
      </c>
    </row>
    <row r="3025" spans="1:19" ht="31.5" thickBot="1" x14ac:dyDescent="0.4">
      <c r="A3025" s="357">
        <v>3014</v>
      </c>
      <c r="B3025" s="364" t="s">
        <v>10080</v>
      </c>
      <c r="C3025" s="364" t="s">
        <v>10081</v>
      </c>
      <c r="D3025" s="366" t="s">
        <v>97</v>
      </c>
      <c r="E3025" s="366" t="s">
        <v>10082</v>
      </c>
      <c r="F3025" s="366" t="s">
        <v>10078</v>
      </c>
      <c r="G3025" s="366" t="s">
        <v>10078</v>
      </c>
      <c r="H3025" s="366" t="s">
        <v>11400</v>
      </c>
      <c r="I3025" s="364" t="s">
        <v>15223</v>
      </c>
      <c r="J3025" s="367"/>
      <c r="K3025" s="364"/>
      <c r="L3025" s="364"/>
      <c r="M3025" s="364" t="s">
        <v>10084</v>
      </c>
      <c r="N3025" s="364"/>
      <c r="O3025" s="364" t="s">
        <v>57</v>
      </c>
      <c r="P3025" s="373">
        <v>246317000</v>
      </c>
      <c r="Q3025" s="364"/>
      <c r="R3025" s="364" t="s">
        <v>9931</v>
      </c>
      <c r="S3025" s="340">
        <v>1</v>
      </c>
    </row>
    <row r="3026" spans="1:19" ht="31" x14ac:dyDescent="0.35">
      <c r="A3026" s="349">
        <v>3015</v>
      </c>
      <c r="B3026" s="364" t="s">
        <v>10080</v>
      </c>
      <c r="C3026" s="364" t="s">
        <v>10081</v>
      </c>
      <c r="D3026" s="366" t="s">
        <v>101</v>
      </c>
      <c r="E3026" s="366" t="s">
        <v>10082</v>
      </c>
      <c r="F3026" s="366" t="s">
        <v>10078</v>
      </c>
      <c r="G3026" s="366" t="s">
        <v>10078</v>
      </c>
      <c r="H3026" s="366" t="s">
        <v>11960</v>
      </c>
      <c r="I3026" s="364" t="s">
        <v>15188</v>
      </c>
      <c r="J3026" s="367"/>
      <c r="K3026" s="364"/>
      <c r="L3026" s="364"/>
      <c r="M3026" s="364" t="s">
        <v>10084</v>
      </c>
      <c r="N3026" s="364"/>
      <c r="O3026" s="364" t="s">
        <v>57</v>
      </c>
      <c r="P3026" s="373">
        <v>655360870</v>
      </c>
      <c r="Q3026" s="364"/>
      <c r="R3026" s="364" t="s">
        <v>9931</v>
      </c>
      <c r="S3026" s="340">
        <v>1</v>
      </c>
    </row>
    <row r="3027" spans="1:19" ht="31.5" thickBot="1" x14ac:dyDescent="0.4">
      <c r="A3027" s="357">
        <v>3016</v>
      </c>
      <c r="B3027" s="364" t="s">
        <v>10080</v>
      </c>
      <c r="C3027" s="364" t="s">
        <v>10081</v>
      </c>
      <c r="D3027" s="366" t="s">
        <v>107</v>
      </c>
      <c r="E3027" s="366" t="s">
        <v>10082</v>
      </c>
      <c r="F3027" s="366" t="s">
        <v>10078</v>
      </c>
      <c r="G3027" s="366" t="s">
        <v>10078</v>
      </c>
      <c r="H3027" s="366" t="s">
        <v>11364</v>
      </c>
      <c r="I3027" s="364" t="s">
        <v>15188</v>
      </c>
      <c r="J3027" s="367"/>
      <c r="K3027" s="364"/>
      <c r="L3027" s="364"/>
      <c r="M3027" s="364" t="s">
        <v>10084</v>
      </c>
      <c r="N3027" s="364"/>
      <c r="O3027" s="364" t="s">
        <v>57</v>
      </c>
      <c r="P3027" s="373">
        <v>57769000</v>
      </c>
      <c r="Q3027" s="364"/>
      <c r="R3027" s="364" t="s">
        <v>9931</v>
      </c>
      <c r="S3027" s="340">
        <v>1</v>
      </c>
    </row>
    <row r="3028" spans="1:19" ht="31" x14ac:dyDescent="0.35">
      <c r="A3028" s="349">
        <v>3017</v>
      </c>
      <c r="B3028" s="364" t="s">
        <v>10080</v>
      </c>
      <c r="C3028" s="364" t="s">
        <v>10081</v>
      </c>
      <c r="D3028" s="366" t="s">
        <v>112</v>
      </c>
      <c r="E3028" s="366" t="s">
        <v>10082</v>
      </c>
      <c r="F3028" s="366" t="s">
        <v>10078</v>
      </c>
      <c r="G3028" s="366" t="s">
        <v>10078</v>
      </c>
      <c r="H3028" s="366" t="s">
        <v>11469</v>
      </c>
      <c r="I3028" s="364" t="s">
        <v>15188</v>
      </c>
      <c r="J3028" s="367"/>
      <c r="K3028" s="364"/>
      <c r="L3028" s="364"/>
      <c r="M3028" s="364" t="s">
        <v>10084</v>
      </c>
      <c r="N3028" s="364"/>
      <c r="O3028" s="364" t="s">
        <v>57</v>
      </c>
      <c r="P3028" s="373">
        <v>231077000</v>
      </c>
      <c r="Q3028" s="364"/>
      <c r="R3028" s="364" t="s">
        <v>9931</v>
      </c>
      <c r="S3028" s="340">
        <v>1</v>
      </c>
    </row>
    <row r="3029" spans="1:19" ht="62.5" thickBot="1" x14ac:dyDescent="0.4">
      <c r="A3029" s="357">
        <v>3018</v>
      </c>
      <c r="B3029" s="364" t="s">
        <v>10110</v>
      </c>
      <c r="C3029" s="364" t="s">
        <v>10111</v>
      </c>
      <c r="D3029" s="366" t="s">
        <v>51</v>
      </c>
      <c r="E3029" s="366" t="s">
        <v>10082</v>
      </c>
      <c r="F3029" s="366" t="s">
        <v>10078</v>
      </c>
      <c r="G3029" s="366" t="s">
        <v>10088</v>
      </c>
      <c r="H3029" s="366" t="s">
        <v>12157</v>
      </c>
      <c r="I3029" s="364" t="s">
        <v>15255</v>
      </c>
      <c r="J3029" s="367">
        <v>44754</v>
      </c>
      <c r="K3029" s="364" t="s">
        <v>15256</v>
      </c>
      <c r="L3029" s="364"/>
      <c r="M3029" s="364"/>
      <c r="N3029" s="364"/>
      <c r="O3029" s="364" t="s">
        <v>44</v>
      </c>
      <c r="P3029" s="373">
        <v>235382000</v>
      </c>
      <c r="Q3029" s="364" t="s">
        <v>15257</v>
      </c>
      <c r="R3029" s="364" t="s">
        <v>9931</v>
      </c>
      <c r="S3029" s="340">
        <v>1</v>
      </c>
    </row>
    <row r="3030" spans="1:19" ht="46.5" x14ac:dyDescent="0.35">
      <c r="A3030" s="349">
        <v>3019</v>
      </c>
      <c r="B3030" s="364" t="s">
        <v>10110</v>
      </c>
      <c r="C3030" s="364" t="s">
        <v>10111</v>
      </c>
      <c r="D3030" s="366" t="s">
        <v>59</v>
      </c>
      <c r="E3030" s="366" t="s">
        <v>10082</v>
      </c>
      <c r="F3030" s="366" t="s">
        <v>10078</v>
      </c>
      <c r="G3030" s="366" t="s">
        <v>10088</v>
      </c>
      <c r="H3030" s="366"/>
      <c r="I3030" s="364" t="s">
        <v>14726</v>
      </c>
      <c r="J3030" s="367">
        <v>44748</v>
      </c>
      <c r="K3030" s="364" t="s">
        <v>15258</v>
      </c>
      <c r="L3030" s="364"/>
      <c r="M3030" s="364"/>
      <c r="N3030" s="364"/>
      <c r="O3030" s="364" t="s">
        <v>44</v>
      </c>
      <c r="P3030" s="373">
        <v>277617000</v>
      </c>
      <c r="Q3030" s="364" t="s">
        <v>15259</v>
      </c>
      <c r="R3030" s="364" t="s">
        <v>9931</v>
      </c>
      <c r="S3030" s="340">
        <v>1</v>
      </c>
    </row>
    <row r="3031" spans="1:19" ht="31.5" thickBot="1" x14ac:dyDescent="0.4">
      <c r="A3031" s="357">
        <v>3020</v>
      </c>
      <c r="B3031" s="364" t="s">
        <v>10085</v>
      </c>
      <c r="C3031" s="364" t="s">
        <v>10086</v>
      </c>
      <c r="D3031" s="366" t="s">
        <v>51</v>
      </c>
      <c r="E3031" s="366" t="s">
        <v>10082</v>
      </c>
      <c r="F3031" s="366" t="s">
        <v>10078</v>
      </c>
      <c r="G3031" s="366" t="s">
        <v>10078</v>
      </c>
      <c r="H3031" s="366" t="s">
        <v>11409</v>
      </c>
      <c r="I3031" s="364" t="s">
        <v>15188</v>
      </c>
      <c r="J3031" s="367"/>
      <c r="K3031" s="364"/>
      <c r="L3031" s="364"/>
      <c r="M3031" s="364" t="s">
        <v>10084</v>
      </c>
      <c r="N3031" s="364"/>
      <c r="O3031" s="364" t="s">
        <v>57</v>
      </c>
      <c r="P3031" s="373">
        <v>678794250</v>
      </c>
      <c r="Q3031" s="364"/>
      <c r="R3031" s="364" t="s">
        <v>9931</v>
      </c>
      <c r="S3031" s="340">
        <v>1</v>
      </c>
    </row>
    <row r="3032" spans="1:19" ht="31" x14ac:dyDescent="0.35">
      <c r="A3032" s="349">
        <v>3021</v>
      </c>
      <c r="B3032" s="364" t="s">
        <v>10096</v>
      </c>
      <c r="C3032" s="364" t="s">
        <v>10097</v>
      </c>
      <c r="D3032" s="366" t="s">
        <v>59</v>
      </c>
      <c r="E3032" s="366" t="s">
        <v>10082</v>
      </c>
      <c r="F3032" s="366" t="s">
        <v>10078</v>
      </c>
      <c r="G3032" s="366" t="s">
        <v>10088</v>
      </c>
      <c r="H3032" s="366"/>
      <c r="I3032" s="364" t="s">
        <v>15260</v>
      </c>
      <c r="J3032" s="367"/>
      <c r="K3032" s="364" t="s">
        <v>15261</v>
      </c>
      <c r="L3032" s="364"/>
      <c r="M3032" s="364"/>
      <c r="N3032" s="364"/>
      <c r="O3032" s="364" t="s">
        <v>44</v>
      </c>
      <c r="P3032" s="373">
        <v>211638200</v>
      </c>
      <c r="Q3032" s="364" t="s">
        <v>15262</v>
      </c>
      <c r="R3032" s="364" t="s">
        <v>9931</v>
      </c>
      <c r="S3032" s="340">
        <v>1</v>
      </c>
    </row>
    <row r="3033" spans="1:19" ht="31.5" thickBot="1" x14ac:dyDescent="0.4">
      <c r="A3033" s="357">
        <v>3022</v>
      </c>
      <c r="B3033" s="364" t="s">
        <v>10092</v>
      </c>
      <c r="C3033" s="364" t="s">
        <v>10093</v>
      </c>
      <c r="D3033" s="366" t="s">
        <v>51</v>
      </c>
      <c r="E3033" s="366" t="s">
        <v>10082</v>
      </c>
      <c r="F3033" s="366" t="s">
        <v>10078</v>
      </c>
      <c r="G3033" s="366" t="s">
        <v>10088</v>
      </c>
      <c r="H3033" s="366" t="s">
        <v>11409</v>
      </c>
      <c r="I3033" s="364" t="s">
        <v>15263</v>
      </c>
      <c r="J3033" s="367"/>
      <c r="K3033" s="364"/>
      <c r="L3033" s="364"/>
      <c r="M3033" s="364" t="s">
        <v>10084</v>
      </c>
      <c r="N3033" s="364"/>
      <c r="O3033" s="364" t="s">
        <v>57</v>
      </c>
      <c r="P3033" s="373">
        <v>229210734</v>
      </c>
      <c r="Q3033" s="364"/>
      <c r="R3033" s="364" t="s">
        <v>15264</v>
      </c>
      <c r="S3033" s="340">
        <v>1</v>
      </c>
    </row>
    <row r="3034" spans="1:19" ht="77.5" x14ac:dyDescent="0.35">
      <c r="A3034" s="349">
        <v>3023</v>
      </c>
      <c r="B3034" s="364" t="s">
        <v>11830</v>
      </c>
      <c r="C3034" s="364" t="s">
        <v>11831</v>
      </c>
      <c r="D3034" s="366" t="s">
        <v>51</v>
      </c>
      <c r="E3034" s="366" t="s">
        <v>10082</v>
      </c>
      <c r="F3034" s="366" t="s">
        <v>10078</v>
      </c>
      <c r="G3034" s="366" t="s">
        <v>10078</v>
      </c>
      <c r="H3034" s="366" t="s">
        <v>231</v>
      </c>
      <c r="I3034" s="364" t="s">
        <v>15265</v>
      </c>
      <c r="J3034" s="367">
        <v>43966</v>
      </c>
      <c r="K3034" s="364" t="s">
        <v>15266</v>
      </c>
      <c r="L3034" s="364"/>
      <c r="M3034" s="364" t="s">
        <v>10084</v>
      </c>
      <c r="N3034" s="364"/>
      <c r="O3034" s="364" t="s">
        <v>57</v>
      </c>
      <c r="P3034" s="373">
        <v>423812500</v>
      </c>
      <c r="Q3034" s="364" t="s">
        <v>15267</v>
      </c>
      <c r="R3034" s="364" t="s">
        <v>15268</v>
      </c>
      <c r="S3034" s="340">
        <v>1</v>
      </c>
    </row>
    <row r="3035" spans="1:19" ht="109" thickBot="1" x14ac:dyDescent="0.4">
      <c r="A3035" s="357">
        <v>3024</v>
      </c>
      <c r="B3035" s="364" t="s">
        <v>10110</v>
      </c>
      <c r="C3035" s="364" t="s">
        <v>10111</v>
      </c>
      <c r="D3035" s="366" t="s">
        <v>59</v>
      </c>
      <c r="E3035" s="366" t="s">
        <v>10082</v>
      </c>
      <c r="F3035" s="366" t="s">
        <v>10078</v>
      </c>
      <c r="G3035" s="366" t="s">
        <v>10078</v>
      </c>
      <c r="H3035" s="366" t="s">
        <v>163</v>
      </c>
      <c r="I3035" s="364" t="s">
        <v>15269</v>
      </c>
      <c r="J3035" s="367"/>
      <c r="K3035" s="364" t="s">
        <v>15270</v>
      </c>
      <c r="L3035" s="364"/>
      <c r="M3035" s="364"/>
      <c r="N3035" s="364"/>
      <c r="O3035" s="364" t="s">
        <v>44</v>
      </c>
      <c r="P3035" s="373">
        <v>577727300</v>
      </c>
      <c r="Q3035" s="364" t="s">
        <v>15271</v>
      </c>
      <c r="R3035" s="364" t="s">
        <v>15268</v>
      </c>
      <c r="S3035" s="340">
        <v>1</v>
      </c>
    </row>
    <row r="3036" spans="1:19" ht="93" x14ac:dyDescent="0.35">
      <c r="A3036" s="349">
        <v>3025</v>
      </c>
      <c r="B3036" s="364" t="s">
        <v>10110</v>
      </c>
      <c r="C3036" s="364" t="s">
        <v>10111</v>
      </c>
      <c r="D3036" s="366" t="s">
        <v>97</v>
      </c>
      <c r="E3036" s="366" t="s">
        <v>10082</v>
      </c>
      <c r="F3036" s="366" t="s">
        <v>10078</v>
      </c>
      <c r="G3036" s="366" t="s">
        <v>10078</v>
      </c>
      <c r="H3036" s="366" t="s">
        <v>13337</v>
      </c>
      <c r="I3036" s="364" t="s">
        <v>15269</v>
      </c>
      <c r="J3036" s="367"/>
      <c r="K3036" s="364" t="s">
        <v>15272</v>
      </c>
      <c r="L3036" s="364"/>
      <c r="M3036" s="364"/>
      <c r="N3036" s="364"/>
      <c r="O3036" s="364" t="s">
        <v>44</v>
      </c>
      <c r="P3036" s="373">
        <v>269750470</v>
      </c>
      <c r="Q3036" s="364" t="s">
        <v>15273</v>
      </c>
      <c r="R3036" s="364" t="s">
        <v>15268</v>
      </c>
      <c r="S3036" s="340">
        <v>1</v>
      </c>
    </row>
    <row r="3037" spans="1:19" ht="47" thickBot="1" x14ac:dyDescent="0.4">
      <c r="A3037" s="357">
        <v>3026</v>
      </c>
      <c r="B3037" s="364" t="s">
        <v>10110</v>
      </c>
      <c r="C3037" s="364" t="s">
        <v>10111</v>
      </c>
      <c r="D3037" s="366" t="s">
        <v>101</v>
      </c>
      <c r="E3037" s="366" t="s">
        <v>10082</v>
      </c>
      <c r="F3037" s="366" t="s">
        <v>10078</v>
      </c>
      <c r="G3037" s="366" t="s">
        <v>10088</v>
      </c>
      <c r="H3037" s="366" t="s">
        <v>11415</v>
      </c>
      <c r="I3037" s="364" t="s">
        <v>15269</v>
      </c>
      <c r="J3037" s="367"/>
      <c r="K3037" s="364" t="s">
        <v>15274</v>
      </c>
      <c r="L3037" s="364"/>
      <c r="M3037" s="364"/>
      <c r="N3037" s="364"/>
      <c r="O3037" s="364" t="s">
        <v>44</v>
      </c>
      <c r="P3037" s="373">
        <v>547400400</v>
      </c>
      <c r="Q3037" s="364" t="s">
        <v>15275</v>
      </c>
      <c r="R3037" s="364" t="s">
        <v>15268</v>
      </c>
      <c r="S3037" s="340">
        <v>1</v>
      </c>
    </row>
    <row r="3038" spans="1:19" ht="31" x14ac:dyDescent="0.35">
      <c r="A3038" s="349">
        <v>3027</v>
      </c>
      <c r="B3038" s="364" t="s">
        <v>10092</v>
      </c>
      <c r="C3038" s="364" t="s">
        <v>10093</v>
      </c>
      <c r="D3038" s="366" t="s">
        <v>51</v>
      </c>
      <c r="E3038" s="366" t="s">
        <v>10082</v>
      </c>
      <c r="F3038" s="366" t="s">
        <v>10078</v>
      </c>
      <c r="G3038" s="366" t="s">
        <v>10078</v>
      </c>
      <c r="H3038" s="366" t="s">
        <v>11409</v>
      </c>
      <c r="I3038" s="364" t="s">
        <v>13127</v>
      </c>
      <c r="J3038" s="367"/>
      <c r="K3038" s="364"/>
      <c r="L3038" s="364"/>
      <c r="M3038" s="364" t="s">
        <v>10084</v>
      </c>
      <c r="N3038" s="364"/>
      <c r="O3038" s="364" t="s">
        <v>57</v>
      </c>
      <c r="P3038" s="373">
        <v>503372500</v>
      </c>
      <c r="Q3038" s="364"/>
      <c r="R3038" s="364" t="s">
        <v>15268</v>
      </c>
      <c r="S3038" s="340">
        <v>1</v>
      </c>
    </row>
    <row r="3039" spans="1:19" ht="47" thickBot="1" x14ac:dyDescent="0.4">
      <c r="A3039" s="357">
        <v>3028</v>
      </c>
      <c r="B3039" s="364" t="s">
        <v>10085</v>
      </c>
      <c r="C3039" s="364" t="s">
        <v>10086</v>
      </c>
      <c r="D3039" s="366" t="s">
        <v>51</v>
      </c>
      <c r="E3039" s="366" t="s">
        <v>10082</v>
      </c>
      <c r="F3039" s="366" t="s">
        <v>10078</v>
      </c>
      <c r="G3039" s="366" t="s">
        <v>10078</v>
      </c>
      <c r="H3039" s="366" t="s">
        <v>11634</v>
      </c>
      <c r="I3039" s="364" t="s">
        <v>13127</v>
      </c>
      <c r="J3039" s="367">
        <v>41585</v>
      </c>
      <c r="K3039" s="364" t="s">
        <v>15276</v>
      </c>
      <c r="L3039" s="364"/>
      <c r="M3039" s="364" t="s">
        <v>10084</v>
      </c>
      <c r="N3039" s="364"/>
      <c r="O3039" s="364" t="s">
        <v>57</v>
      </c>
      <c r="P3039" s="373">
        <v>137500000</v>
      </c>
      <c r="Q3039" s="364" t="s">
        <v>15277</v>
      </c>
      <c r="R3039" s="364" t="s">
        <v>15268</v>
      </c>
      <c r="S3039" s="340">
        <v>1</v>
      </c>
    </row>
    <row r="3040" spans="1:19" ht="46.5" x14ac:dyDescent="0.35">
      <c r="A3040" s="349">
        <v>3029</v>
      </c>
      <c r="B3040" s="364" t="s">
        <v>10146</v>
      </c>
      <c r="C3040" s="364" t="s">
        <v>10147</v>
      </c>
      <c r="D3040" s="366" t="s">
        <v>51</v>
      </c>
      <c r="E3040" s="366" t="s">
        <v>10082</v>
      </c>
      <c r="F3040" s="366" t="s">
        <v>10078</v>
      </c>
      <c r="G3040" s="366" t="s">
        <v>10078</v>
      </c>
      <c r="H3040" s="366" t="s">
        <v>11308</v>
      </c>
      <c r="I3040" s="364" t="s">
        <v>15265</v>
      </c>
      <c r="J3040" s="367">
        <v>43966</v>
      </c>
      <c r="K3040" s="364" t="s">
        <v>15278</v>
      </c>
      <c r="L3040" s="364"/>
      <c r="M3040" s="364" t="s">
        <v>10084</v>
      </c>
      <c r="N3040" s="364"/>
      <c r="O3040" s="364" t="s">
        <v>57</v>
      </c>
      <c r="P3040" s="373">
        <v>179992000</v>
      </c>
      <c r="Q3040" s="364" t="s">
        <v>15279</v>
      </c>
      <c r="R3040" s="364" t="s">
        <v>15268</v>
      </c>
      <c r="S3040" s="340">
        <v>1</v>
      </c>
    </row>
    <row r="3041" spans="1:19" ht="31.5" thickBot="1" x14ac:dyDescent="0.4">
      <c r="A3041" s="357">
        <v>3030</v>
      </c>
      <c r="B3041" s="364" t="s">
        <v>11830</v>
      </c>
      <c r="C3041" s="364" t="s">
        <v>11831</v>
      </c>
      <c r="D3041" s="366" t="s">
        <v>51</v>
      </c>
      <c r="E3041" s="366" t="s">
        <v>10082</v>
      </c>
      <c r="F3041" s="366" t="s">
        <v>10078</v>
      </c>
      <c r="G3041" s="366" t="s">
        <v>10088</v>
      </c>
      <c r="H3041" s="366" t="s">
        <v>2972</v>
      </c>
      <c r="I3041" s="364" t="s">
        <v>13295</v>
      </c>
      <c r="J3041" s="367">
        <v>42472</v>
      </c>
      <c r="K3041" s="364" t="s">
        <v>15280</v>
      </c>
      <c r="L3041" s="364"/>
      <c r="M3041" s="364" t="s">
        <v>10084</v>
      </c>
      <c r="N3041" s="364"/>
      <c r="O3041" s="364" t="s">
        <v>57</v>
      </c>
      <c r="P3041" s="373">
        <v>348759300</v>
      </c>
      <c r="Q3041" s="364" t="s">
        <v>15281</v>
      </c>
      <c r="R3041" s="364" t="s">
        <v>15282</v>
      </c>
      <c r="S3041" s="340">
        <v>1</v>
      </c>
    </row>
    <row r="3042" spans="1:19" ht="31" x14ac:dyDescent="0.35">
      <c r="A3042" s="349">
        <v>3031</v>
      </c>
      <c r="B3042" s="364" t="s">
        <v>10080</v>
      </c>
      <c r="C3042" s="364" t="s">
        <v>10081</v>
      </c>
      <c r="D3042" s="366" t="s">
        <v>51</v>
      </c>
      <c r="E3042" s="366" t="s">
        <v>10082</v>
      </c>
      <c r="F3042" s="366" t="s">
        <v>10078</v>
      </c>
      <c r="G3042" s="366" t="s">
        <v>10088</v>
      </c>
      <c r="H3042" s="366" t="s">
        <v>2972</v>
      </c>
      <c r="I3042" s="364" t="s">
        <v>13295</v>
      </c>
      <c r="J3042" s="367">
        <v>42472</v>
      </c>
      <c r="K3042" s="364" t="s">
        <v>15283</v>
      </c>
      <c r="L3042" s="364"/>
      <c r="M3042" s="364" t="s">
        <v>10084</v>
      </c>
      <c r="N3042" s="364"/>
      <c r="O3042" s="364" t="s">
        <v>57</v>
      </c>
      <c r="P3042" s="373">
        <v>213605700</v>
      </c>
      <c r="Q3042" s="364" t="s">
        <v>15284</v>
      </c>
      <c r="R3042" s="364" t="s">
        <v>15282</v>
      </c>
      <c r="S3042" s="340">
        <v>1</v>
      </c>
    </row>
    <row r="3043" spans="1:19" ht="109" thickBot="1" x14ac:dyDescent="0.4">
      <c r="A3043" s="357">
        <v>3032</v>
      </c>
      <c r="B3043" s="364" t="s">
        <v>10110</v>
      </c>
      <c r="C3043" s="364" t="s">
        <v>10111</v>
      </c>
      <c r="D3043" s="366" t="s">
        <v>97</v>
      </c>
      <c r="E3043" s="366" t="s">
        <v>10082</v>
      </c>
      <c r="F3043" s="366" t="s">
        <v>10078</v>
      </c>
      <c r="G3043" s="366" t="s">
        <v>10088</v>
      </c>
      <c r="H3043" s="366" t="s">
        <v>82</v>
      </c>
      <c r="I3043" s="364" t="s">
        <v>15285</v>
      </c>
      <c r="J3043" s="367"/>
      <c r="K3043" s="364" t="s">
        <v>15286</v>
      </c>
      <c r="L3043" s="364"/>
      <c r="M3043" s="364"/>
      <c r="N3043" s="364"/>
      <c r="O3043" s="364" t="s">
        <v>44</v>
      </c>
      <c r="P3043" s="373">
        <v>550950200</v>
      </c>
      <c r="Q3043" s="364" t="s">
        <v>15287</v>
      </c>
      <c r="R3043" s="364" t="s">
        <v>15282</v>
      </c>
      <c r="S3043" s="340">
        <v>1</v>
      </c>
    </row>
    <row r="3044" spans="1:19" ht="93" x14ac:dyDescent="0.35">
      <c r="A3044" s="349">
        <v>3033</v>
      </c>
      <c r="B3044" s="364" t="s">
        <v>10110</v>
      </c>
      <c r="C3044" s="364" t="s">
        <v>10111</v>
      </c>
      <c r="D3044" s="366" t="s">
        <v>101</v>
      </c>
      <c r="E3044" s="366" t="s">
        <v>10082</v>
      </c>
      <c r="F3044" s="366" t="s">
        <v>10078</v>
      </c>
      <c r="G3044" s="366" t="s">
        <v>10088</v>
      </c>
      <c r="H3044" s="366" t="s">
        <v>13337</v>
      </c>
      <c r="I3044" s="364" t="s">
        <v>15285</v>
      </c>
      <c r="J3044" s="367"/>
      <c r="K3044" s="364" t="s">
        <v>15288</v>
      </c>
      <c r="L3044" s="364"/>
      <c r="M3044" s="364"/>
      <c r="N3044" s="364"/>
      <c r="O3044" s="364" t="s">
        <v>44</v>
      </c>
      <c r="P3044" s="373">
        <v>268753370</v>
      </c>
      <c r="Q3044" s="364" t="s">
        <v>15289</v>
      </c>
      <c r="R3044" s="364" t="s">
        <v>15282</v>
      </c>
      <c r="S3044" s="340">
        <v>1</v>
      </c>
    </row>
    <row r="3045" spans="1:19" ht="109" thickBot="1" x14ac:dyDescent="0.4">
      <c r="A3045" s="357">
        <v>3034</v>
      </c>
      <c r="B3045" s="364" t="s">
        <v>10110</v>
      </c>
      <c r="C3045" s="364" t="s">
        <v>10111</v>
      </c>
      <c r="D3045" s="366" t="s">
        <v>107</v>
      </c>
      <c r="E3045" s="366" t="s">
        <v>10082</v>
      </c>
      <c r="F3045" s="366" t="s">
        <v>10078</v>
      </c>
      <c r="G3045" s="366" t="s">
        <v>10088</v>
      </c>
      <c r="H3045" s="366" t="s">
        <v>163</v>
      </c>
      <c r="I3045" s="364" t="s">
        <v>15285</v>
      </c>
      <c r="J3045" s="367"/>
      <c r="K3045" s="364" t="s">
        <v>15290</v>
      </c>
      <c r="L3045" s="364"/>
      <c r="M3045" s="364"/>
      <c r="N3045" s="364"/>
      <c r="O3045" s="364" t="s">
        <v>44</v>
      </c>
      <c r="P3045" s="373">
        <v>538606800</v>
      </c>
      <c r="Q3045" s="364" t="s">
        <v>15291</v>
      </c>
      <c r="R3045" s="364" t="s">
        <v>15282</v>
      </c>
      <c r="S3045" s="340">
        <v>1</v>
      </c>
    </row>
    <row r="3046" spans="1:19" ht="93" x14ac:dyDescent="0.35">
      <c r="A3046" s="349">
        <v>3035</v>
      </c>
      <c r="B3046" s="364" t="s">
        <v>10110</v>
      </c>
      <c r="C3046" s="364" t="s">
        <v>10111</v>
      </c>
      <c r="D3046" s="366" t="s">
        <v>112</v>
      </c>
      <c r="E3046" s="366" t="s">
        <v>10082</v>
      </c>
      <c r="F3046" s="366" t="s">
        <v>10078</v>
      </c>
      <c r="G3046" s="366" t="s">
        <v>10088</v>
      </c>
      <c r="H3046" s="366" t="s">
        <v>11409</v>
      </c>
      <c r="I3046" s="364" t="s">
        <v>15285</v>
      </c>
      <c r="J3046" s="367"/>
      <c r="K3046" s="364" t="s">
        <v>15292</v>
      </c>
      <c r="L3046" s="364"/>
      <c r="M3046" s="364"/>
      <c r="N3046" s="364"/>
      <c r="O3046" s="364" t="s">
        <v>44</v>
      </c>
      <c r="P3046" s="373">
        <v>508713310</v>
      </c>
      <c r="Q3046" s="364" t="s">
        <v>15293</v>
      </c>
      <c r="R3046" s="364" t="s">
        <v>15282</v>
      </c>
      <c r="S3046" s="340">
        <v>1</v>
      </c>
    </row>
    <row r="3047" spans="1:19" ht="62.5" thickBot="1" x14ac:dyDescent="0.4">
      <c r="A3047" s="357">
        <v>3036</v>
      </c>
      <c r="B3047" s="364" t="s">
        <v>10092</v>
      </c>
      <c r="C3047" s="364" t="s">
        <v>10093</v>
      </c>
      <c r="D3047" s="366" t="s">
        <v>51</v>
      </c>
      <c r="E3047" s="366" t="s">
        <v>10082</v>
      </c>
      <c r="F3047" s="366" t="s">
        <v>10078</v>
      </c>
      <c r="G3047" s="366" t="s">
        <v>10078</v>
      </c>
      <c r="H3047" s="366" t="s">
        <v>11409</v>
      </c>
      <c r="I3047" s="364" t="s">
        <v>15294</v>
      </c>
      <c r="J3047" s="367">
        <v>43966</v>
      </c>
      <c r="K3047" s="364" t="s">
        <v>15295</v>
      </c>
      <c r="L3047" s="364"/>
      <c r="M3047" s="364" t="s">
        <v>10084</v>
      </c>
      <c r="N3047" s="364"/>
      <c r="O3047" s="364" t="s">
        <v>57</v>
      </c>
      <c r="P3047" s="373">
        <v>422552500</v>
      </c>
      <c r="Q3047" s="364" t="s">
        <v>15296</v>
      </c>
      <c r="R3047" s="364" t="s">
        <v>15282</v>
      </c>
      <c r="S3047" s="340">
        <v>1</v>
      </c>
    </row>
    <row r="3048" spans="1:19" ht="46.5" x14ac:dyDescent="0.35">
      <c r="A3048" s="349">
        <v>3037</v>
      </c>
      <c r="B3048" s="364" t="s">
        <v>10085</v>
      </c>
      <c r="C3048" s="364" t="s">
        <v>10086</v>
      </c>
      <c r="D3048" s="366" t="s">
        <v>51</v>
      </c>
      <c r="E3048" s="366" t="s">
        <v>10082</v>
      </c>
      <c r="F3048" s="366" t="s">
        <v>10078</v>
      </c>
      <c r="G3048" s="366" t="s">
        <v>10088</v>
      </c>
      <c r="H3048" s="366" t="s">
        <v>8956</v>
      </c>
      <c r="I3048" s="364" t="s">
        <v>13295</v>
      </c>
      <c r="J3048" s="367">
        <v>41528</v>
      </c>
      <c r="K3048" s="364" t="s">
        <v>15297</v>
      </c>
      <c r="L3048" s="364"/>
      <c r="M3048" s="364" t="s">
        <v>10084</v>
      </c>
      <c r="N3048" s="364"/>
      <c r="O3048" s="364" t="s">
        <v>57</v>
      </c>
      <c r="P3048" s="373">
        <v>136335000</v>
      </c>
      <c r="Q3048" s="364" t="s">
        <v>15298</v>
      </c>
      <c r="R3048" s="364" t="s">
        <v>15282</v>
      </c>
      <c r="S3048" s="340">
        <v>1</v>
      </c>
    </row>
    <row r="3049" spans="1:19" ht="31.5" thickBot="1" x14ac:dyDescent="0.4">
      <c r="A3049" s="357">
        <v>3038</v>
      </c>
      <c r="B3049" s="364" t="s">
        <v>10146</v>
      </c>
      <c r="C3049" s="364" t="s">
        <v>10147</v>
      </c>
      <c r="D3049" s="366" t="s">
        <v>51</v>
      </c>
      <c r="E3049" s="366" t="s">
        <v>10082</v>
      </c>
      <c r="F3049" s="366" t="s">
        <v>10078</v>
      </c>
      <c r="G3049" s="366" t="s">
        <v>10088</v>
      </c>
      <c r="H3049" s="366" t="s">
        <v>11461</v>
      </c>
      <c r="I3049" s="364" t="s">
        <v>13295</v>
      </c>
      <c r="J3049" s="367">
        <v>42474</v>
      </c>
      <c r="K3049" s="364" t="s">
        <v>15299</v>
      </c>
      <c r="L3049" s="364"/>
      <c r="M3049" s="364" t="s">
        <v>10084</v>
      </c>
      <c r="N3049" s="364"/>
      <c r="O3049" s="364" t="s">
        <v>57</v>
      </c>
      <c r="P3049" s="373">
        <v>221312000</v>
      </c>
      <c r="Q3049" s="364" t="s">
        <v>15300</v>
      </c>
      <c r="R3049" s="364" t="s">
        <v>15282</v>
      </c>
      <c r="S3049" s="340">
        <v>1</v>
      </c>
    </row>
    <row r="3050" spans="1:19" ht="31" x14ac:dyDescent="0.35">
      <c r="A3050" s="349">
        <v>3039</v>
      </c>
      <c r="B3050" s="364" t="s">
        <v>10146</v>
      </c>
      <c r="C3050" s="364" t="s">
        <v>10147</v>
      </c>
      <c r="D3050" s="366" t="s">
        <v>59</v>
      </c>
      <c r="E3050" s="366" t="s">
        <v>10082</v>
      </c>
      <c r="F3050" s="366" t="s">
        <v>10078</v>
      </c>
      <c r="G3050" s="366" t="s">
        <v>10088</v>
      </c>
      <c r="H3050" s="366" t="s">
        <v>12157</v>
      </c>
      <c r="I3050" s="364" t="s">
        <v>13295</v>
      </c>
      <c r="J3050" s="367">
        <v>42881</v>
      </c>
      <c r="K3050" s="364" t="s">
        <v>15301</v>
      </c>
      <c r="L3050" s="364"/>
      <c r="M3050" s="364" t="s">
        <v>10084</v>
      </c>
      <c r="N3050" s="364"/>
      <c r="O3050" s="364" t="s">
        <v>57</v>
      </c>
      <c r="P3050" s="373">
        <v>221034000</v>
      </c>
      <c r="Q3050" s="364" t="s">
        <v>15302</v>
      </c>
      <c r="R3050" s="364" t="s">
        <v>15282</v>
      </c>
      <c r="S3050" s="340">
        <v>1</v>
      </c>
    </row>
    <row r="3051" spans="1:19" ht="78" thickBot="1" x14ac:dyDescent="0.4">
      <c r="A3051" s="357">
        <v>3040</v>
      </c>
      <c r="B3051" s="364" t="s">
        <v>11830</v>
      </c>
      <c r="C3051" s="364" t="s">
        <v>11831</v>
      </c>
      <c r="D3051" s="366" t="s">
        <v>51</v>
      </c>
      <c r="E3051" s="366" t="s">
        <v>10082</v>
      </c>
      <c r="F3051" s="366" t="s">
        <v>10078</v>
      </c>
      <c r="G3051" s="366" t="s">
        <v>10078</v>
      </c>
      <c r="H3051" s="366" t="s">
        <v>231</v>
      </c>
      <c r="I3051" s="364" t="s">
        <v>15303</v>
      </c>
      <c r="J3051" s="367">
        <v>43966</v>
      </c>
      <c r="K3051" s="364" t="s">
        <v>15304</v>
      </c>
      <c r="L3051" s="364"/>
      <c r="M3051" s="364" t="s">
        <v>10084</v>
      </c>
      <c r="N3051" s="364"/>
      <c r="O3051" s="364" t="s">
        <v>57</v>
      </c>
      <c r="P3051" s="373">
        <v>428637500</v>
      </c>
      <c r="Q3051" s="364" t="s">
        <v>15305</v>
      </c>
      <c r="R3051" s="364" t="s">
        <v>15306</v>
      </c>
      <c r="S3051" s="340">
        <v>1</v>
      </c>
    </row>
    <row r="3052" spans="1:19" ht="31" x14ac:dyDescent="0.35">
      <c r="A3052" s="349">
        <v>3041</v>
      </c>
      <c r="B3052" s="364" t="s">
        <v>10392</v>
      </c>
      <c r="C3052" s="364" t="s">
        <v>10393</v>
      </c>
      <c r="D3052" s="366" t="s">
        <v>51</v>
      </c>
      <c r="E3052" s="366" t="s">
        <v>10082</v>
      </c>
      <c r="F3052" s="366" t="s">
        <v>10078</v>
      </c>
      <c r="G3052" s="366" t="s">
        <v>10078</v>
      </c>
      <c r="H3052" s="366" t="s">
        <v>12266</v>
      </c>
      <c r="I3052" s="364" t="s">
        <v>11913</v>
      </c>
      <c r="J3052" s="367">
        <v>42200</v>
      </c>
      <c r="K3052" s="364" t="s">
        <v>15307</v>
      </c>
      <c r="L3052" s="364"/>
      <c r="M3052" s="364" t="s">
        <v>10084</v>
      </c>
      <c r="N3052" s="364"/>
      <c r="O3052" s="364" t="s">
        <v>57</v>
      </c>
      <c r="P3052" s="373">
        <v>382474000</v>
      </c>
      <c r="Q3052" s="364" t="s">
        <v>15308</v>
      </c>
      <c r="R3052" s="364" t="s">
        <v>15306</v>
      </c>
      <c r="S3052" s="340">
        <v>1</v>
      </c>
    </row>
    <row r="3053" spans="1:19" ht="62.5" thickBot="1" x14ac:dyDescent="0.4">
      <c r="A3053" s="357">
        <v>3042</v>
      </c>
      <c r="B3053" s="364" t="s">
        <v>10092</v>
      </c>
      <c r="C3053" s="364" t="s">
        <v>10093</v>
      </c>
      <c r="D3053" s="366" t="s">
        <v>51</v>
      </c>
      <c r="E3053" s="366" t="s">
        <v>10082</v>
      </c>
      <c r="F3053" s="366" t="s">
        <v>10078</v>
      </c>
      <c r="G3053" s="366" t="s">
        <v>10078</v>
      </c>
      <c r="H3053" s="366" t="s">
        <v>11409</v>
      </c>
      <c r="I3053" s="364" t="s">
        <v>15309</v>
      </c>
      <c r="J3053" s="367">
        <v>43966</v>
      </c>
      <c r="K3053" s="364" t="s">
        <v>15310</v>
      </c>
      <c r="L3053" s="364"/>
      <c r="M3053" s="364" t="s">
        <v>10084</v>
      </c>
      <c r="N3053" s="364"/>
      <c r="O3053" s="364" t="s">
        <v>57</v>
      </c>
      <c r="P3053" s="373">
        <v>436108000</v>
      </c>
      <c r="Q3053" s="364" t="s">
        <v>15311</v>
      </c>
      <c r="R3053" s="364" t="s">
        <v>15306</v>
      </c>
      <c r="S3053" s="340">
        <v>1</v>
      </c>
    </row>
    <row r="3054" spans="1:19" ht="31" x14ac:dyDescent="0.35">
      <c r="A3054" s="349">
        <v>3043</v>
      </c>
      <c r="B3054" s="364" t="s">
        <v>10146</v>
      </c>
      <c r="C3054" s="364" t="s">
        <v>10147</v>
      </c>
      <c r="D3054" s="366" t="s">
        <v>51</v>
      </c>
      <c r="E3054" s="366" t="s">
        <v>10082</v>
      </c>
      <c r="F3054" s="366" t="s">
        <v>10078</v>
      </c>
      <c r="G3054" s="366" t="s">
        <v>10088</v>
      </c>
      <c r="H3054" s="366" t="s">
        <v>13763</v>
      </c>
      <c r="I3054" s="364" t="s">
        <v>15312</v>
      </c>
      <c r="J3054" s="367">
        <v>42151</v>
      </c>
      <c r="K3054" s="364" t="s">
        <v>15313</v>
      </c>
      <c r="L3054" s="364"/>
      <c r="M3054" s="364" t="s">
        <v>10084</v>
      </c>
      <c r="N3054" s="364"/>
      <c r="O3054" s="364" t="s">
        <v>57</v>
      </c>
      <c r="P3054" s="373">
        <v>307997500</v>
      </c>
      <c r="Q3054" s="364" t="s">
        <v>15314</v>
      </c>
      <c r="R3054" s="364" t="s">
        <v>15306</v>
      </c>
      <c r="S3054" s="340">
        <v>1</v>
      </c>
    </row>
    <row r="3055" spans="1:19" ht="31.5" thickBot="1" x14ac:dyDescent="0.4">
      <c r="A3055" s="357">
        <v>3044</v>
      </c>
      <c r="B3055" s="364" t="s">
        <v>10146</v>
      </c>
      <c r="C3055" s="364" t="s">
        <v>10147</v>
      </c>
      <c r="D3055" s="366" t="s">
        <v>59</v>
      </c>
      <c r="E3055" s="366" t="s">
        <v>10082</v>
      </c>
      <c r="F3055" s="366" t="s">
        <v>10078</v>
      </c>
      <c r="G3055" s="366" t="s">
        <v>10088</v>
      </c>
      <c r="H3055" s="366" t="s">
        <v>2972</v>
      </c>
      <c r="I3055" s="364" t="s">
        <v>15312</v>
      </c>
      <c r="J3055" s="367">
        <v>43228</v>
      </c>
      <c r="K3055" s="364" t="s">
        <v>15315</v>
      </c>
      <c r="L3055" s="364"/>
      <c r="M3055" s="364" t="s">
        <v>10084</v>
      </c>
      <c r="N3055" s="364"/>
      <c r="O3055" s="364" t="s">
        <v>57</v>
      </c>
      <c r="P3055" s="373">
        <v>221247000</v>
      </c>
      <c r="Q3055" s="364" t="s">
        <v>15316</v>
      </c>
      <c r="R3055" s="364" t="s">
        <v>15306</v>
      </c>
      <c r="S3055" s="340">
        <v>1</v>
      </c>
    </row>
    <row r="3056" spans="1:19" ht="46.5" x14ac:dyDescent="0.35">
      <c r="A3056" s="349">
        <v>3045</v>
      </c>
      <c r="B3056" s="364" t="s">
        <v>10146</v>
      </c>
      <c r="C3056" s="364" t="s">
        <v>10147</v>
      </c>
      <c r="D3056" s="366" t="s">
        <v>51</v>
      </c>
      <c r="E3056" s="366" t="s">
        <v>10082</v>
      </c>
      <c r="F3056" s="366" t="s">
        <v>10078</v>
      </c>
      <c r="G3056" s="366" t="s">
        <v>10078</v>
      </c>
      <c r="H3056" s="366" t="s">
        <v>11551</v>
      </c>
      <c r="I3056" s="364" t="s">
        <v>15317</v>
      </c>
      <c r="J3056" s="367">
        <v>43966</v>
      </c>
      <c r="K3056" s="364" t="s">
        <v>15318</v>
      </c>
      <c r="L3056" s="364"/>
      <c r="M3056" s="364" t="s">
        <v>10084</v>
      </c>
      <c r="N3056" s="364"/>
      <c r="O3056" s="364" t="s">
        <v>57</v>
      </c>
      <c r="P3056" s="373">
        <v>110135500</v>
      </c>
      <c r="Q3056" s="364" t="s">
        <v>15319</v>
      </c>
      <c r="R3056" s="364" t="s">
        <v>15320</v>
      </c>
      <c r="S3056" s="340">
        <v>1</v>
      </c>
    </row>
    <row r="3057" spans="1:19" ht="31.5" thickBot="1" x14ac:dyDescent="0.4">
      <c r="A3057" s="357">
        <v>3046</v>
      </c>
      <c r="B3057" s="364" t="s">
        <v>10092</v>
      </c>
      <c r="C3057" s="364" t="s">
        <v>10093</v>
      </c>
      <c r="D3057" s="366" t="s">
        <v>51</v>
      </c>
      <c r="E3057" s="366" t="s">
        <v>10082</v>
      </c>
      <c r="F3057" s="366" t="s">
        <v>10078</v>
      </c>
      <c r="G3057" s="366" t="s">
        <v>10078</v>
      </c>
      <c r="H3057" s="366" t="s">
        <v>11409</v>
      </c>
      <c r="I3057" s="364" t="s">
        <v>10015</v>
      </c>
      <c r="J3057" s="367"/>
      <c r="K3057" s="364"/>
      <c r="L3057" s="364"/>
      <c r="M3057" s="364" t="s">
        <v>10084</v>
      </c>
      <c r="N3057" s="364"/>
      <c r="O3057" s="364" t="s">
        <v>57</v>
      </c>
      <c r="P3057" s="373">
        <v>238997500</v>
      </c>
      <c r="Q3057" s="364"/>
      <c r="R3057" s="364" t="s">
        <v>15321</v>
      </c>
      <c r="S3057" s="340">
        <v>1</v>
      </c>
    </row>
    <row r="3058" spans="1:19" ht="31" x14ac:dyDescent="0.35">
      <c r="A3058" s="349">
        <v>3047</v>
      </c>
      <c r="B3058" s="364" t="s">
        <v>10146</v>
      </c>
      <c r="C3058" s="364" t="s">
        <v>10147</v>
      </c>
      <c r="D3058" s="366" t="s">
        <v>51</v>
      </c>
      <c r="E3058" s="366" t="s">
        <v>10082</v>
      </c>
      <c r="F3058" s="366" t="s">
        <v>10078</v>
      </c>
      <c r="G3058" s="366" t="s">
        <v>10088</v>
      </c>
      <c r="H3058" s="366" t="s">
        <v>12157</v>
      </c>
      <c r="I3058" s="364" t="s">
        <v>10015</v>
      </c>
      <c r="J3058" s="367">
        <v>42850</v>
      </c>
      <c r="K3058" s="364" t="s">
        <v>15322</v>
      </c>
      <c r="L3058" s="364"/>
      <c r="M3058" s="364" t="s">
        <v>10084</v>
      </c>
      <c r="N3058" s="364"/>
      <c r="O3058" s="364" t="s">
        <v>57</v>
      </c>
      <c r="P3058" s="373">
        <v>221060000</v>
      </c>
      <c r="Q3058" s="364" t="s">
        <v>15323</v>
      </c>
      <c r="R3058" s="364" t="s">
        <v>15321</v>
      </c>
      <c r="S3058" s="340">
        <v>1</v>
      </c>
    </row>
    <row r="3059" spans="1:19" ht="31.5" thickBot="1" x14ac:dyDescent="0.4">
      <c r="A3059" s="357">
        <v>3048</v>
      </c>
      <c r="B3059" s="364" t="s">
        <v>10191</v>
      </c>
      <c r="C3059" s="364" t="s">
        <v>10192</v>
      </c>
      <c r="D3059" s="366" t="s">
        <v>51</v>
      </c>
      <c r="E3059" s="366" t="s">
        <v>10082</v>
      </c>
      <c r="F3059" s="366" t="s">
        <v>10078</v>
      </c>
      <c r="G3059" s="366" t="s">
        <v>10078</v>
      </c>
      <c r="H3059" s="366" t="s">
        <v>8959</v>
      </c>
      <c r="I3059" s="364" t="s">
        <v>10015</v>
      </c>
      <c r="J3059" s="367">
        <v>42149</v>
      </c>
      <c r="K3059" s="364" t="s">
        <v>15324</v>
      </c>
      <c r="L3059" s="364"/>
      <c r="M3059" s="364" t="s">
        <v>10084</v>
      </c>
      <c r="N3059" s="364"/>
      <c r="O3059" s="364" t="s">
        <v>57</v>
      </c>
      <c r="P3059" s="373">
        <v>193423000</v>
      </c>
      <c r="Q3059" s="364" t="s">
        <v>15325</v>
      </c>
      <c r="R3059" s="364" t="s">
        <v>15321</v>
      </c>
      <c r="S3059" s="340">
        <v>1</v>
      </c>
    </row>
    <row r="3060" spans="1:19" ht="46.5" x14ac:dyDescent="0.35">
      <c r="A3060" s="349">
        <v>3049</v>
      </c>
      <c r="B3060" s="364" t="s">
        <v>10092</v>
      </c>
      <c r="C3060" s="364" t="s">
        <v>10093</v>
      </c>
      <c r="D3060" s="366" t="s">
        <v>51</v>
      </c>
      <c r="E3060" s="366" t="s">
        <v>10082</v>
      </c>
      <c r="F3060" s="366" t="s">
        <v>10078</v>
      </c>
      <c r="G3060" s="366" t="s">
        <v>10078</v>
      </c>
      <c r="H3060" s="366" t="s">
        <v>13219</v>
      </c>
      <c r="I3060" s="364" t="s">
        <v>15326</v>
      </c>
      <c r="J3060" s="367">
        <v>43588</v>
      </c>
      <c r="K3060" s="364" t="s">
        <v>15327</v>
      </c>
      <c r="L3060" s="364"/>
      <c r="M3060" s="364" t="s">
        <v>10084</v>
      </c>
      <c r="N3060" s="364"/>
      <c r="O3060" s="364" t="s">
        <v>57</v>
      </c>
      <c r="P3060" s="373">
        <v>381582250</v>
      </c>
      <c r="Q3060" s="364" t="s">
        <v>15328</v>
      </c>
      <c r="R3060" s="364" t="s">
        <v>15329</v>
      </c>
      <c r="S3060" s="340">
        <v>1</v>
      </c>
    </row>
    <row r="3061" spans="1:19" ht="47" thickBot="1" x14ac:dyDescent="0.4">
      <c r="A3061" s="357">
        <v>3050</v>
      </c>
      <c r="B3061" s="364" t="s">
        <v>10085</v>
      </c>
      <c r="C3061" s="364" t="s">
        <v>10086</v>
      </c>
      <c r="D3061" s="366" t="s">
        <v>51</v>
      </c>
      <c r="E3061" s="366" t="s">
        <v>10082</v>
      </c>
      <c r="F3061" s="366" t="s">
        <v>10078</v>
      </c>
      <c r="G3061" s="366" t="s">
        <v>10078</v>
      </c>
      <c r="H3061" s="366" t="s">
        <v>11634</v>
      </c>
      <c r="I3061" s="364" t="s">
        <v>13147</v>
      </c>
      <c r="J3061" s="367">
        <v>41585</v>
      </c>
      <c r="K3061" s="364" t="s">
        <v>15330</v>
      </c>
      <c r="L3061" s="364"/>
      <c r="M3061" s="364" t="s">
        <v>10084</v>
      </c>
      <c r="N3061" s="364"/>
      <c r="O3061" s="364" t="s">
        <v>57</v>
      </c>
      <c r="P3061" s="373">
        <v>137500000</v>
      </c>
      <c r="Q3061" s="364" t="s">
        <v>15331</v>
      </c>
      <c r="R3061" s="364" t="s">
        <v>15329</v>
      </c>
      <c r="S3061" s="340">
        <v>1</v>
      </c>
    </row>
    <row r="3062" spans="1:19" ht="46.5" x14ac:dyDescent="0.35">
      <c r="A3062" s="349">
        <v>3051</v>
      </c>
      <c r="B3062" s="364" t="s">
        <v>10146</v>
      </c>
      <c r="C3062" s="364" t="s">
        <v>10147</v>
      </c>
      <c r="D3062" s="366" t="s">
        <v>51</v>
      </c>
      <c r="E3062" s="366" t="s">
        <v>10082</v>
      </c>
      <c r="F3062" s="366" t="s">
        <v>10078</v>
      </c>
      <c r="G3062" s="366" t="s">
        <v>10078</v>
      </c>
      <c r="H3062" s="366" t="s">
        <v>11308</v>
      </c>
      <c r="I3062" s="364" t="s">
        <v>15326</v>
      </c>
      <c r="J3062" s="367">
        <v>43966</v>
      </c>
      <c r="K3062" s="364" t="s">
        <v>15332</v>
      </c>
      <c r="L3062" s="364"/>
      <c r="M3062" s="364" t="s">
        <v>10084</v>
      </c>
      <c r="N3062" s="364"/>
      <c r="O3062" s="364" t="s">
        <v>57</v>
      </c>
      <c r="P3062" s="373">
        <v>179992000</v>
      </c>
      <c r="Q3062" s="364" t="s">
        <v>15333</v>
      </c>
      <c r="R3062" s="364" t="s">
        <v>15329</v>
      </c>
      <c r="S3062" s="340">
        <v>1</v>
      </c>
    </row>
    <row r="3063" spans="1:19" ht="31.5" thickBot="1" x14ac:dyDescent="0.4">
      <c r="A3063" s="357">
        <v>3052</v>
      </c>
      <c r="B3063" s="364" t="s">
        <v>10080</v>
      </c>
      <c r="C3063" s="364" t="s">
        <v>10081</v>
      </c>
      <c r="D3063" s="366" t="s">
        <v>51</v>
      </c>
      <c r="E3063" s="366" t="s">
        <v>10082</v>
      </c>
      <c r="F3063" s="366" t="s">
        <v>10078</v>
      </c>
      <c r="G3063" s="366" t="s">
        <v>10078</v>
      </c>
      <c r="H3063" s="366" t="s">
        <v>3405</v>
      </c>
      <c r="I3063" s="364" t="s">
        <v>15163</v>
      </c>
      <c r="J3063" s="367">
        <v>41904</v>
      </c>
      <c r="K3063" s="364" t="s">
        <v>15334</v>
      </c>
      <c r="L3063" s="364"/>
      <c r="M3063" s="364" t="s">
        <v>10084</v>
      </c>
      <c r="N3063" s="364"/>
      <c r="O3063" s="364" t="s">
        <v>57</v>
      </c>
      <c r="P3063" s="373">
        <v>265307520.00000003</v>
      </c>
      <c r="Q3063" s="364" t="s">
        <v>15335</v>
      </c>
      <c r="R3063" s="364" t="s">
        <v>15336</v>
      </c>
      <c r="S3063" s="340">
        <v>1</v>
      </c>
    </row>
    <row r="3064" spans="1:19" ht="46.5" x14ac:dyDescent="0.35">
      <c r="A3064" s="349">
        <v>3053</v>
      </c>
      <c r="B3064" s="364" t="s">
        <v>10146</v>
      </c>
      <c r="C3064" s="364" t="s">
        <v>10147</v>
      </c>
      <c r="D3064" s="366" t="s">
        <v>51</v>
      </c>
      <c r="E3064" s="366" t="s">
        <v>10082</v>
      </c>
      <c r="F3064" s="366" t="s">
        <v>10078</v>
      </c>
      <c r="G3064" s="366" t="s">
        <v>10078</v>
      </c>
      <c r="H3064" s="366" t="s">
        <v>11551</v>
      </c>
      <c r="I3064" s="364" t="s">
        <v>15337</v>
      </c>
      <c r="J3064" s="367">
        <v>43966</v>
      </c>
      <c r="K3064" s="364" t="s">
        <v>15338</v>
      </c>
      <c r="L3064" s="364"/>
      <c r="M3064" s="364" t="s">
        <v>10084</v>
      </c>
      <c r="N3064" s="364"/>
      <c r="O3064" s="364" t="s">
        <v>57</v>
      </c>
      <c r="P3064" s="373">
        <v>114712500</v>
      </c>
      <c r="Q3064" s="364" t="s">
        <v>15339</v>
      </c>
      <c r="R3064" s="364" t="s">
        <v>15336</v>
      </c>
      <c r="S3064" s="340">
        <v>1</v>
      </c>
    </row>
    <row r="3065" spans="1:19" ht="31.5" thickBot="1" x14ac:dyDescent="0.4">
      <c r="A3065" s="357">
        <v>3054</v>
      </c>
      <c r="B3065" s="364" t="s">
        <v>10080</v>
      </c>
      <c r="C3065" s="364" t="s">
        <v>10081</v>
      </c>
      <c r="D3065" s="366" t="s">
        <v>51</v>
      </c>
      <c r="E3065" s="366" t="s">
        <v>10082</v>
      </c>
      <c r="F3065" s="366" t="s">
        <v>10078</v>
      </c>
      <c r="G3065" s="366" t="s">
        <v>10078</v>
      </c>
      <c r="H3065" s="366" t="s">
        <v>14053</v>
      </c>
      <c r="I3065" s="364" t="s">
        <v>15340</v>
      </c>
      <c r="J3065" s="367"/>
      <c r="K3065" s="364"/>
      <c r="L3065" s="364"/>
      <c r="M3065" s="364" t="s">
        <v>10084</v>
      </c>
      <c r="N3065" s="364"/>
      <c r="O3065" s="364" t="s">
        <v>57</v>
      </c>
      <c r="P3065" s="373">
        <v>337937000</v>
      </c>
      <c r="Q3065" s="364"/>
      <c r="R3065" s="364" t="s">
        <v>9972</v>
      </c>
      <c r="S3065" s="340">
        <v>1</v>
      </c>
    </row>
    <row r="3066" spans="1:19" ht="31" x14ac:dyDescent="0.35">
      <c r="A3066" s="349">
        <v>3055</v>
      </c>
      <c r="B3066" s="364" t="s">
        <v>10110</v>
      </c>
      <c r="C3066" s="364" t="s">
        <v>10111</v>
      </c>
      <c r="D3066" s="366" t="s">
        <v>51</v>
      </c>
      <c r="E3066" s="366" t="s">
        <v>10082</v>
      </c>
      <c r="F3066" s="366" t="s">
        <v>10078</v>
      </c>
      <c r="G3066" s="366" t="s">
        <v>10078</v>
      </c>
      <c r="H3066" s="366" t="s">
        <v>11291</v>
      </c>
      <c r="I3066" s="364" t="s">
        <v>15340</v>
      </c>
      <c r="J3066" s="367"/>
      <c r="K3066" s="364"/>
      <c r="L3066" s="364"/>
      <c r="M3066" s="364" t="s">
        <v>10084</v>
      </c>
      <c r="N3066" s="364"/>
      <c r="O3066" s="364" t="s">
        <v>57</v>
      </c>
      <c r="P3066" s="373">
        <v>17880000</v>
      </c>
      <c r="Q3066" s="364"/>
      <c r="R3066" s="364" t="s">
        <v>9972</v>
      </c>
      <c r="S3066" s="340">
        <v>1</v>
      </c>
    </row>
    <row r="3067" spans="1:19" ht="31.5" thickBot="1" x14ac:dyDescent="0.4">
      <c r="A3067" s="357">
        <v>3056</v>
      </c>
      <c r="B3067" s="364" t="s">
        <v>10085</v>
      </c>
      <c r="C3067" s="364" t="s">
        <v>10086</v>
      </c>
      <c r="D3067" s="366" t="s">
        <v>51</v>
      </c>
      <c r="E3067" s="366" t="s">
        <v>10082</v>
      </c>
      <c r="F3067" s="366" t="s">
        <v>10078</v>
      </c>
      <c r="G3067" s="366" t="s">
        <v>10088</v>
      </c>
      <c r="H3067" s="366" t="s">
        <v>11421</v>
      </c>
      <c r="I3067" s="364" t="s">
        <v>15340</v>
      </c>
      <c r="J3067" s="367"/>
      <c r="K3067" s="364"/>
      <c r="L3067" s="364"/>
      <c r="M3067" s="364" t="s">
        <v>10084</v>
      </c>
      <c r="N3067" s="364"/>
      <c r="O3067" s="364" t="s">
        <v>57</v>
      </c>
      <c r="P3067" s="373">
        <v>99670000</v>
      </c>
      <c r="Q3067" s="364"/>
      <c r="R3067" s="364" t="s">
        <v>9972</v>
      </c>
      <c r="S3067" s="340">
        <v>1</v>
      </c>
    </row>
    <row r="3068" spans="1:19" ht="46.5" x14ac:dyDescent="0.35">
      <c r="A3068" s="349">
        <v>3057</v>
      </c>
      <c r="B3068" s="364" t="s">
        <v>10146</v>
      </c>
      <c r="C3068" s="364" t="s">
        <v>10147</v>
      </c>
      <c r="D3068" s="366" t="s">
        <v>51</v>
      </c>
      <c r="E3068" s="366" t="s">
        <v>10082</v>
      </c>
      <c r="F3068" s="366" t="s">
        <v>10078</v>
      </c>
      <c r="G3068" s="366" t="s">
        <v>10078</v>
      </c>
      <c r="H3068" s="366" t="s">
        <v>11551</v>
      </c>
      <c r="I3068" s="364" t="s">
        <v>15341</v>
      </c>
      <c r="J3068" s="367">
        <v>43966</v>
      </c>
      <c r="K3068" s="364" t="s">
        <v>15342</v>
      </c>
      <c r="L3068" s="364"/>
      <c r="M3068" s="364" t="s">
        <v>10084</v>
      </c>
      <c r="N3068" s="364"/>
      <c r="O3068" s="364" t="s">
        <v>57</v>
      </c>
      <c r="P3068" s="373">
        <v>179992000</v>
      </c>
      <c r="Q3068" s="364" t="s">
        <v>15343</v>
      </c>
      <c r="R3068" s="364" t="s">
        <v>9972</v>
      </c>
      <c r="S3068" s="340">
        <v>1</v>
      </c>
    </row>
    <row r="3069" spans="1:19" ht="31.5" thickBot="1" x14ac:dyDescent="0.4">
      <c r="A3069" s="357">
        <v>3058</v>
      </c>
      <c r="B3069" s="364" t="s">
        <v>10392</v>
      </c>
      <c r="C3069" s="364" t="s">
        <v>10393</v>
      </c>
      <c r="D3069" s="366" t="s">
        <v>51</v>
      </c>
      <c r="E3069" s="366" t="s">
        <v>10082</v>
      </c>
      <c r="F3069" s="366" t="s">
        <v>10078</v>
      </c>
      <c r="G3069" s="366" t="s">
        <v>10078</v>
      </c>
      <c r="H3069" s="366" t="s">
        <v>2972</v>
      </c>
      <c r="I3069" s="364" t="s">
        <v>11911</v>
      </c>
      <c r="J3069" s="367">
        <v>43231</v>
      </c>
      <c r="K3069" s="364" t="s">
        <v>15344</v>
      </c>
      <c r="L3069" s="364"/>
      <c r="M3069" s="364" t="s">
        <v>10084</v>
      </c>
      <c r="N3069" s="364"/>
      <c r="O3069" s="364" t="s">
        <v>57</v>
      </c>
      <c r="P3069" s="373">
        <v>221305000</v>
      </c>
      <c r="Q3069" s="364" t="s">
        <v>15345</v>
      </c>
      <c r="R3069" s="364" t="s">
        <v>15346</v>
      </c>
      <c r="S3069" s="340">
        <v>1</v>
      </c>
    </row>
    <row r="3070" spans="1:19" ht="31" x14ac:dyDescent="0.35">
      <c r="A3070" s="349">
        <v>3059</v>
      </c>
      <c r="B3070" s="364" t="s">
        <v>10146</v>
      </c>
      <c r="C3070" s="364" t="s">
        <v>10147</v>
      </c>
      <c r="D3070" s="366" t="s">
        <v>51</v>
      </c>
      <c r="E3070" s="366" t="s">
        <v>10082</v>
      </c>
      <c r="F3070" s="366" t="s">
        <v>10078</v>
      </c>
      <c r="G3070" s="366" t="s">
        <v>10078</v>
      </c>
      <c r="H3070" s="366" t="s">
        <v>11308</v>
      </c>
      <c r="I3070" s="364" t="s">
        <v>15347</v>
      </c>
      <c r="J3070" s="367">
        <v>43966</v>
      </c>
      <c r="K3070" s="364" t="s">
        <v>15348</v>
      </c>
      <c r="L3070" s="364"/>
      <c r="M3070" s="364" t="s">
        <v>10084</v>
      </c>
      <c r="N3070" s="364"/>
      <c r="O3070" s="364" t="s">
        <v>57</v>
      </c>
      <c r="P3070" s="373">
        <v>114712500</v>
      </c>
      <c r="Q3070" s="364" t="s">
        <v>15349</v>
      </c>
      <c r="R3070" s="364" t="s">
        <v>15346</v>
      </c>
      <c r="S3070" s="340">
        <v>1</v>
      </c>
    </row>
    <row r="3071" spans="1:19" ht="31.5" thickBot="1" x14ac:dyDescent="0.4">
      <c r="A3071" s="357">
        <v>3060</v>
      </c>
      <c r="B3071" s="364" t="s">
        <v>10080</v>
      </c>
      <c r="C3071" s="364" t="s">
        <v>10081</v>
      </c>
      <c r="D3071" s="366" t="s">
        <v>51</v>
      </c>
      <c r="E3071" s="366" t="s">
        <v>10082</v>
      </c>
      <c r="F3071" s="366" t="s">
        <v>10078</v>
      </c>
      <c r="G3071" s="366" t="s">
        <v>10078</v>
      </c>
      <c r="H3071" s="366" t="s">
        <v>12157</v>
      </c>
      <c r="I3071" s="364" t="s">
        <v>12209</v>
      </c>
      <c r="J3071" s="367">
        <v>43659</v>
      </c>
      <c r="K3071" s="364" t="s">
        <v>15350</v>
      </c>
      <c r="L3071" s="364"/>
      <c r="M3071" s="364" t="s">
        <v>10084</v>
      </c>
      <c r="N3071" s="364"/>
      <c r="O3071" s="364" t="s">
        <v>57</v>
      </c>
      <c r="P3071" s="373">
        <v>221596000</v>
      </c>
      <c r="Q3071" s="364" t="s">
        <v>15351</v>
      </c>
      <c r="R3071" s="364" t="s">
        <v>15352</v>
      </c>
      <c r="S3071" s="340">
        <v>1</v>
      </c>
    </row>
    <row r="3072" spans="1:19" ht="77.5" x14ac:dyDescent="0.35">
      <c r="A3072" s="349">
        <v>3061</v>
      </c>
      <c r="B3072" s="364" t="s">
        <v>10080</v>
      </c>
      <c r="C3072" s="364" t="s">
        <v>10081</v>
      </c>
      <c r="D3072" s="366" t="s">
        <v>97</v>
      </c>
      <c r="E3072" s="366" t="s">
        <v>10082</v>
      </c>
      <c r="F3072" s="366" t="s">
        <v>10078</v>
      </c>
      <c r="G3072" s="366" t="s">
        <v>10078</v>
      </c>
      <c r="H3072" s="366" t="s">
        <v>15353</v>
      </c>
      <c r="I3072" s="364" t="s">
        <v>15354</v>
      </c>
      <c r="J3072" s="367"/>
      <c r="K3072" s="364" t="s">
        <v>15355</v>
      </c>
      <c r="L3072" s="364"/>
      <c r="M3072" s="364"/>
      <c r="N3072" s="364"/>
      <c r="O3072" s="364" t="s">
        <v>44</v>
      </c>
      <c r="P3072" s="373">
        <v>1756529600</v>
      </c>
      <c r="Q3072" s="364" t="s">
        <v>15356</v>
      </c>
      <c r="R3072" s="364" t="s">
        <v>15352</v>
      </c>
      <c r="S3072" s="340">
        <v>1</v>
      </c>
    </row>
    <row r="3073" spans="1:19" ht="31.5" thickBot="1" x14ac:dyDescent="0.4">
      <c r="A3073" s="357">
        <v>3062</v>
      </c>
      <c r="B3073" s="364" t="s">
        <v>10146</v>
      </c>
      <c r="C3073" s="364" t="s">
        <v>10147</v>
      </c>
      <c r="D3073" s="366" t="s">
        <v>51</v>
      </c>
      <c r="E3073" s="366" t="s">
        <v>10082</v>
      </c>
      <c r="F3073" s="366" t="s">
        <v>10078</v>
      </c>
      <c r="G3073" s="366" t="s">
        <v>10078</v>
      </c>
      <c r="H3073" s="366" t="s">
        <v>11308</v>
      </c>
      <c r="I3073" s="364" t="s">
        <v>15357</v>
      </c>
      <c r="J3073" s="367">
        <v>43966</v>
      </c>
      <c r="K3073" s="364" t="s">
        <v>15358</v>
      </c>
      <c r="L3073" s="364"/>
      <c r="M3073" s="364" t="s">
        <v>10084</v>
      </c>
      <c r="N3073" s="364"/>
      <c r="O3073" s="364" t="s">
        <v>57</v>
      </c>
      <c r="P3073" s="373">
        <v>165978015</v>
      </c>
      <c r="Q3073" s="364" t="s">
        <v>15359</v>
      </c>
      <c r="R3073" s="364" t="s">
        <v>15352</v>
      </c>
      <c r="S3073" s="340">
        <v>1</v>
      </c>
    </row>
    <row r="3074" spans="1:19" ht="31" x14ac:dyDescent="0.35">
      <c r="A3074" s="349">
        <v>3063</v>
      </c>
      <c r="B3074" s="364" t="s">
        <v>10080</v>
      </c>
      <c r="C3074" s="364" t="s">
        <v>10081</v>
      </c>
      <c r="D3074" s="366" t="s">
        <v>51</v>
      </c>
      <c r="E3074" s="366" t="s">
        <v>10082</v>
      </c>
      <c r="F3074" s="366" t="s">
        <v>10078</v>
      </c>
      <c r="G3074" s="366" t="s">
        <v>10088</v>
      </c>
      <c r="H3074" s="366" t="s">
        <v>11400</v>
      </c>
      <c r="I3074" s="364" t="s">
        <v>13792</v>
      </c>
      <c r="J3074" s="367"/>
      <c r="K3074" s="364"/>
      <c r="L3074" s="364"/>
      <c r="M3074" s="364" t="s">
        <v>10084</v>
      </c>
      <c r="N3074" s="364"/>
      <c r="O3074" s="364" t="s">
        <v>57</v>
      </c>
      <c r="P3074" s="373">
        <v>321395000</v>
      </c>
      <c r="Q3074" s="364"/>
      <c r="R3074" s="364" t="s">
        <v>9974</v>
      </c>
      <c r="S3074" s="340">
        <v>1</v>
      </c>
    </row>
    <row r="3075" spans="1:19" ht="31.5" thickBot="1" x14ac:dyDescent="0.4">
      <c r="A3075" s="357">
        <v>3064</v>
      </c>
      <c r="B3075" s="364" t="s">
        <v>10080</v>
      </c>
      <c r="C3075" s="364" t="s">
        <v>10081</v>
      </c>
      <c r="D3075" s="366" t="s">
        <v>59</v>
      </c>
      <c r="E3075" s="366" t="s">
        <v>10082</v>
      </c>
      <c r="F3075" s="366" t="s">
        <v>10078</v>
      </c>
      <c r="G3075" s="366" t="s">
        <v>10088</v>
      </c>
      <c r="H3075" s="366" t="s">
        <v>163</v>
      </c>
      <c r="I3075" s="364" t="s">
        <v>13792</v>
      </c>
      <c r="J3075" s="367"/>
      <c r="K3075" s="364"/>
      <c r="L3075" s="364"/>
      <c r="M3075" s="364" t="s">
        <v>10084</v>
      </c>
      <c r="N3075" s="364"/>
      <c r="O3075" s="364" t="s">
        <v>57</v>
      </c>
      <c r="P3075" s="373">
        <v>525623000</v>
      </c>
      <c r="Q3075" s="364"/>
      <c r="R3075" s="364" t="s">
        <v>9974</v>
      </c>
      <c r="S3075" s="340">
        <v>1</v>
      </c>
    </row>
    <row r="3076" spans="1:19" ht="31" x14ac:dyDescent="0.35">
      <c r="A3076" s="349">
        <v>3065</v>
      </c>
      <c r="B3076" s="364" t="s">
        <v>10092</v>
      </c>
      <c r="C3076" s="364" t="s">
        <v>10093</v>
      </c>
      <c r="D3076" s="366" t="s">
        <v>51</v>
      </c>
      <c r="E3076" s="366" t="s">
        <v>10082</v>
      </c>
      <c r="F3076" s="366" t="s">
        <v>10078</v>
      </c>
      <c r="G3076" s="366" t="s">
        <v>10088</v>
      </c>
      <c r="H3076" s="366" t="s">
        <v>12979</v>
      </c>
      <c r="I3076" s="364" t="s">
        <v>13792</v>
      </c>
      <c r="J3076" s="367">
        <v>39969</v>
      </c>
      <c r="K3076" s="364" t="s">
        <v>15360</v>
      </c>
      <c r="L3076" s="364"/>
      <c r="M3076" s="364" t="s">
        <v>10084</v>
      </c>
      <c r="N3076" s="364"/>
      <c r="O3076" s="364" t="s">
        <v>422</v>
      </c>
      <c r="P3076" s="373">
        <v>140166249</v>
      </c>
      <c r="Q3076" s="364" t="s">
        <v>15361</v>
      </c>
      <c r="R3076" s="364" t="s">
        <v>9974</v>
      </c>
      <c r="S3076" s="340">
        <v>1</v>
      </c>
    </row>
    <row r="3077" spans="1:19" ht="31.5" thickBot="1" x14ac:dyDescent="0.4">
      <c r="A3077" s="357">
        <v>3066</v>
      </c>
      <c r="B3077" s="364" t="s">
        <v>10092</v>
      </c>
      <c r="C3077" s="364" t="s">
        <v>10093</v>
      </c>
      <c r="D3077" s="366" t="s">
        <v>59</v>
      </c>
      <c r="E3077" s="366" t="s">
        <v>10082</v>
      </c>
      <c r="F3077" s="366" t="s">
        <v>10078</v>
      </c>
      <c r="G3077" s="366" t="s">
        <v>10088</v>
      </c>
      <c r="H3077" s="366" t="s">
        <v>11318</v>
      </c>
      <c r="I3077" s="364" t="s">
        <v>13792</v>
      </c>
      <c r="J3077" s="367"/>
      <c r="K3077" s="364"/>
      <c r="L3077" s="364"/>
      <c r="M3077" s="364" t="s">
        <v>10084</v>
      </c>
      <c r="N3077" s="364"/>
      <c r="O3077" s="364" t="s">
        <v>57</v>
      </c>
      <c r="P3077" s="373">
        <v>53000000</v>
      </c>
      <c r="Q3077" s="364"/>
      <c r="R3077" s="364" t="s">
        <v>9974</v>
      </c>
      <c r="S3077" s="340">
        <v>1</v>
      </c>
    </row>
    <row r="3078" spans="1:19" ht="46.5" x14ac:dyDescent="0.35">
      <c r="A3078" s="349">
        <v>3067</v>
      </c>
      <c r="B3078" s="364" t="s">
        <v>10085</v>
      </c>
      <c r="C3078" s="364" t="s">
        <v>10086</v>
      </c>
      <c r="D3078" s="366" t="s">
        <v>51</v>
      </c>
      <c r="E3078" s="366" t="s">
        <v>10082</v>
      </c>
      <c r="F3078" s="366" t="s">
        <v>10078</v>
      </c>
      <c r="G3078" s="366" t="s">
        <v>10078</v>
      </c>
      <c r="H3078" s="366" t="s">
        <v>8952</v>
      </c>
      <c r="I3078" s="364" t="s">
        <v>13792</v>
      </c>
      <c r="J3078" s="367">
        <v>41585</v>
      </c>
      <c r="K3078" s="364" t="s">
        <v>15362</v>
      </c>
      <c r="L3078" s="364"/>
      <c r="M3078" s="364" t="s">
        <v>10084</v>
      </c>
      <c r="N3078" s="364"/>
      <c r="O3078" s="364" t="s">
        <v>57</v>
      </c>
      <c r="P3078" s="373">
        <v>137500000</v>
      </c>
      <c r="Q3078" s="364" t="s">
        <v>15363</v>
      </c>
      <c r="R3078" s="364" t="s">
        <v>9974</v>
      </c>
      <c r="S3078" s="340">
        <v>1</v>
      </c>
    </row>
    <row r="3079" spans="1:19" ht="31.5" thickBot="1" x14ac:dyDescent="0.4">
      <c r="A3079" s="357">
        <v>3068</v>
      </c>
      <c r="B3079" s="364" t="s">
        <v>10085</v>
      </c>
      <c r="C3079" s="364" t="s">
        <v>10086</v>
      </c>
      <c r="D3079" s="366" t="s">
        <v>59</v>
      </c>
      <c r="E3079" s="366" t="s">
        <v>10082</v>
      </c>
      <c r="F3079" s="366" t="s">
        <v>10078</v>
      </c>
      <c r="G3079" s="366" t="s">
        <v>10088</v>
      </c>
      <c r="H3079" s="366" t="s">
        <v>11686</v>
      </c>
      <c r="I3079" s="364" t="s">
        <v>13792</v>
      </c>
      <c r="J3079" s="367"/>
      <c r="K3079" s="364"/>
      <c r="L3079" s="364"/>
      <c r="M3079" s="364" t="s">
        <v>10084</v>
      </c>
      <c r="N3079" s="364"/>
      <c r="O3079" s="364" t="s">
        <v>57</v>
      </c>
      <c r="P3079" s="373">
        <v>192837000</v>
      </c>
      <c r="Q3079" s="364"/>
      <c r="R3079" s="364" t="s">
        <v>9974</v>
      </c>
      <c r="S3079" s="340">
        <v>1</v>
      </c>
    </row>
    <row r="3080" spans="1:19" ht="31" x14ac:dyDescent="0.35">
      <c r="A3080" s="349">
        <v>3069</v>
      </c>
      <c r="B3080" s="364" t="s">
        <v>10085</v>
      </c>
      <c r="C3080" s="364" t="s">
        <v>10086</v>
      </c>
      <c r="D3080" s="366" t="s">
        <v>97</v>
      </c>
      <c r="E3080" s="366" t="s">
        <v>10082</v>
      </c>
      <c r="F3080" s="366" t="s">
        <v>10078</v>
      </c>
      <c r="G3080" s="366" t="s">
        <v>10088</v>
      </c>
      <c r="H3080" s="366" t="s">
        <v>11686</v>
      </c>
      <c r="I3080" s="364" t="s">
        <v>13792</v>
      </c>
      <c r="J3080" s="367"/>
      <c r="K3080" s="364"/>
      <c r="L3080" s="364"/>
      <c r="M3080" s="364" t="s">
        <v>10084</v>
      </c>
      <c r="N3080" s="364"/>
      <c r="O3080" s="364" t="s">
        <v>57</v>
      </c>
      <c r="P3080" s="373">
        <v>192837000</v>
      </c>
      <c r="Q3080" s="364"/>
      <c r="R3080" s="364" t="s">
        <v>9974</v>
      </c>
      <c r="S3080" s="340">
        <v>1</v>
      </c>
    </row>
    <row r="3081" spans="1:19" ht="31.5" thickBot="1" x14ac:dyDescent="0.4">
      <c r="A3081" s="357">
        <v>3070</v>
      </c>
      <c r="B3081" s="364" t="s">
        <v>10085</v>
      </c>
      <c r="C3081" s="364" t="s">
        <v>10086</v>
      </c>
      <c r="D3081" s="366" t="s">
        <v>101</v>
      </c>
      <c r="E3081" s="366" t="s">
        <v>10082</v>
      </c>
      <c r="F3081" s="366" t="s">
        <v>10078</v>
      </c>
      <c r="G3081" s="366" t="s">
        <v>10088</v>
      </c>
      <c r="H3081" s="366" t="s">
        <v>11686</v>
      </c>
      <c r="I3081" s="364" t="s">
        <v>13792</v>
      </c>
      <c r="J3081" s="367"/>
      <c r="K3081" s="364"/>
      <c r="L3081" s="364"/>
      <c r="M3081" s="364" t="s">
        <v>10084</v>
      </c>
      <c r="N3081" s="364"/>
      <c r="O3081" s="364" t="s">
        <v>57</v>
      </c>
      <c r="P3081" s="373">
        <v>262602000</v>
      </c>
      <c r="Q3081" s="364"/>
      <c r="R3081" s="364" t="s">
        <v>9974</v>
      </c>
      <c r="S3081" s="340">
        <v>1</v>
      </c>
    </row>
    <row r="3082" spans="1:19" ht="31" x14ac:dyDescent="0.35">
      <c r="A3082" s="349">
        <v>3071</v>
      </c>
      <c r="B3082" s="364" t="s">
        <v>10146</v>
      </c>
      <c r="C3082" s="364" t="s">
        <v>10147</v>
      </c>
      <c r="D3082" s="366" t="s">
        <v>51</v>
      </c>
      <c r="E3082" s="366" t="s">
        <v>10082</v>
      </c>
      <c r="F3082" s="366" t="s">
        <v>10078</v>
      </c>
      <c r="G3082" s="366" t="s">
        <v>10088</v>
      </c>
      <c r="H3082" s="366" t="s">
        <v>2972</v>
      </c>
      <c r="I3082" s="364" t="s">
        <v>13792</v>
      </c>
      <c r="J3082" s="367">
        <v>43228</v>
      </c>
      <c r="K3082" s="364" t="s">
        <v>15364</v>
      </c>
      <c r="L3082" s="364"/>
      <c r="M3082" s="364" t="s">
        <v>10084</v>
      </c>
      <c r="N3082" s="364"/>
      <c r="O3082" s="364" t="s">
        <v>57</v>
      </c>
      <c r="P3082" s="373">
        <v>221212000</v>
      </c>
      <c r="Q3082" s="364" t="s">
        <v>15365</v>
      </c>
      <c r="R3082" s="364" t="s">
        <v>9974</v>
      </c>
      <c r="S3082" s="340">
        <v>1</v>
      </c>
    </row>
    <row r="3083" spans="1:19" ht="31.5" thickBot="1" x14ac:dyDescent="0.4">
      <c r="A3083" s="357">
        <v>3072</v>
      </c>
      <c r="B3083" s="364" t="s">
        <v>11830</v>
      </c>
      <c r="C3083" s="364" t="s">
        <v>11831</v>
      </c>
      <c r="D3083" s="366" t="s">
        <v>51</v>
      </c>
      <c r="E3083" s="366" t="s">
        <v>10082</v>
      </c>
      <c r="F3083" s="366" t="s">
        <v>10078</v>
      </c>
      <c r="G3083" s="366" t="s">
        <v>10088</v>
      </c>
      <c r="H3083" s="366" t="s">
        <v>12250</v>
      </c>
      <c r="I3083" s="364" t="s">
        <v>13371</v>
      </c>
      <c r="J3083" s="367">
        <v>40413</v>
      </c>
      <c r="K3083" s="364" t="s">
        <v>15366</v>
      </c>
      <c r="L3083" s="364"/>
      <c r="M3083" s="364" t="s">
        <v>10084</v>
      </c>
      <c r="N3083" s="364"/>
      <c r="O3083" s="364" t="s">
        <v>422</v>
      </c>
      <c r="P3083" s="373">
        <v>178150000</v>
      </c>
      <c r="Q3083" s="364" t="s">
        <v>15367</v>
      </c>
      <c r="R3083" s="364" t="s">
        <v>9977</v>
      </c>
      <c r="S3083" s="340">
        <v>1</v>
      </c>
    </row>
    <row r="3084" spans="1:19" ht="31" x14ac:dyDescent="0.35">
      <c r="A3084" s="349">
        <v>3073</v>
      </c>
      <c r="B3084" s="364" t="s">
        <v>11830</v>
      </c>
      <c r="C3084" s="364" t="s">
        <v>11831</v>
      </c>
      <c r="D3084" s="366" t="s">
        <v>59</v>
      </c>
      <c r="E3084" s="366" t="s">
        <v>10082</v>
      </c>
      <c r="F3084" s="366" t="s">
        <v>10078</v>
      </c>
      <c r="G3084" s="366" t="s">
        <v>10088</v>
      </c>
      <c r="H3084" s="366" t="s">
        <v>11364</v>
      </c>
      <c r="I3084" s="364" t="s">
        <v>13371</v>
      </c>
      <c r="J3084" s="367"/>
      <c r="K3084" s="364"/>
      <c r="L3084" s="364"/>
      <c r="M3084" s="364" t="s">
        <v>10084</v>
      </c>
      <c r="N3084" s="364"/>
      <c r="O3084" s="364" t="s">
        <v>57</v>
      </c>
      <c r="P3084" s="373">
        <v>169250000</v>
      </c>
      <c r="Q3084" s="364"/>
      <c r="R3084" s="364" t="s">
        <v>9977</v>
      </c>
      <c r="S3084" s="340">
        <v>1</v>
      </c>
    </row>
    <row r="3085" spans="1:19" ht="31.5" thickBot="1" x14ac:dyDescent="0.4">
      <c r="A3085" s="357">
        <v>3074</v>
      </c>
      <c r="B3085" s="364" t="s">
        <v>10475</v>
      </c>
      <c r="C3085" s="364" t="s">
        <v>10476</v>
      </c>
      <c r="D3085" s="366" t="s">
        <v>51</v>
      </c>
      <c r="E3085" s="366" t="s">
        <v>10082</v>
      </c>
      <c r="F3085" s="366" t="s">
        <v>10078</v>
      </c>
      <c r="G3085" s="366" t="s">
        <v>10088</v>
      </c>
      <c r="H3085" s="366" t="s">
        <v>11297</v>
      </c>
      <c r="I3085" s="364" t="s">
        <v>13371</v>
      </c>
      <c r="J3085" s="367"/>
      <c r="K3085" s="364"/>
      <c r="L3085" s="364"/>
      <c r="M3085" s="364" t="s">
        <v>10084</v>
      </c>
      <c r="N3085" s="364"/>
      <c r="O3085" s="364" t="s">
        <v>57</v>
      </c>
      <c r="P3085" s="373">
        <v>135977000</v>
      </c>
      <c r="Q3085" s="364"/>
      <c r="R3085" s="364" t="s">
        <v>9977</v>
      </c>
      <c r="S3085" s="340">
        <v>1</v>
      </c>
    </row>
    <row r="3086" spans="1:19" ht="31" x14ac:dyDescent="0.35">
      <c r="A3086" s="349">
        <v>3075</v>
      </c>
      <c r="B3086" s="364" t="s">
        <v>10080</v>
      </c>
      <c r="C3086" s="364" t="s">
        <v>10081</v>
      </c>
      <c r="D3086" s="366" t="s">
        <v>51</v>
      </c>
      <c r="E3086" s="366" t="s">
        <v>10082</v>
      </c>
      <c r="F3086" s="366" t="s">
        <v>10078</v>
      </c>
      <c r="G3086" s="366" t="s">
        <v>10088</v>
      </c>
      <c r="H3086" s="366" t="s">
        <v>12266</v>
      </c>
      <c r="I3086" s="364" t="s">
        <v>13371</v>
      </c>
      <c r="J3086" s="367"/>
      <c r="K3086" s="364"/>
      <c r="L3086" s="364"/>
      <c r="M3086" s="364" t="s">
        <v>10084</v>
      </c>
      <c r="N3086" s="364"/>
      <c r="O3086" s="364" t="s">
        <v>57</v>
      </c>
      <c r="P3086" s="373">
        <v>629637000</v>
      </c>
      <c r="Q3086" s="364"/>
      <c r="R3086" s="364" t="s">
        <v>9977</v>
      </c>
      <c r="S3086" s="340">
        <v>1</v>
      </c>
    </row>
    <row r="3087" spans="1:19" ht="31.5" thickBot="1" x14ac:dyDescent="0.4">
      <c r="A3087" s="357">
        <v>3076</v>
      </c>
      <c r="B3087" s="364" t="s">
        <v>10080</v>
      </c>
      <c r="C3087" s="364" t="s">
        <v>10081</v>
      </c>
      <c r="D3087" s="366" t="s">
        <v>59</v>
      </c>
      <c r="E3087" s="366" t="s">
        <v>10082</v>
      </c>
      <c r="F3087" s="366" t="s">
        <v>10078</v>
      </c>
      <c r="G3087" s="366" t="s">
        <v>10088</v>
      </c>
      <c r="H3087" s="366" t="s">
        <v>163</v>
      </c>
      <c r="I3087" s="364" t="s">
        <v>13371</v>
      </c>
      <c r="J3087" s="367"/>
      <c r="K3087" s="364"/>
      <c r="L3087" s="364"/>
      <c r="M3087" s="364" t="s">
        <v>10084</v>
      </c>
      <c r="N3087" s="364"/>
      <c r="O3087" s="364" t="s">
        <v>57</v>
      </c>
      <c r="P3087" s="373">
        <v>244758000</v>
      </c>
      <c r="Q3087" s="364"/>
      <c r="R3087" s="364" t="s">
        <v>9977</v>
      </c>
      <c r="S3087" s="340">
        <v>1</v>
      </c>
    </row>
    <row r="3088" spans="1:19" ht="31" x14ac:dyDescent="0.35">
      <c r="A3088" s="349">
        <v>3077</v>
      </c>
      <c r="B3088" s="364" t="s">
        <v>10080</v>
      </c>
      <c r="C3088" s="364" t="s">
        <v>10081</v>
      </c>
      <c r="D3088" s="366" t="s">
        <v>97</v>
      </c>
      <c r="E3088" s="366" t="s">
        <v>10082</v>
      </c>
      <c r="F3088" s="366" t="s">
        <v>10078</v>
      </c>
      <c r="G3088" s="366" t="s">
        <v>10088</v>
      </c>
      <c r="H3088" s="366" t="s">
        <v>163</v>
      </c>
      <c r="I3088" s="364" t="s">
        <v>13371</v>
      </c>
      <c r="J3088" s="367"/>
      <c r="K3088" s="364"/>
      <c r="L3088" s="364"/>
      <c r="M3088" s="364" t="s">
        <v>10084</v>
      </c>
      <c r="N3088" s="364"/>
      <c r="O3088" s="364" t="s">
        <v>57</v>
      </c>
      <c r="P3088" s="373">
        <v>244758000</v>
      </c>
      <c r="Q3088" s="364"/>
      <c r="R3088" s="364" t="s">
        <v>9977</v>
      </c>
      <c r="S3088" s="340">
        <v>1</v>
      </c>
    </row>
    <row r="3089" spans="1:19" ht="31.5" thickBot="1" x14ac:dyDescent="0.4">
      <c r="A3089" s="357">
        <v>3078</v>
      </c>
      <c r="B3089" s="364" t="s">
        <v>10110</v>
      </c>
      <c r="C3089" s="364" t="s">
        <v>10111</v>
      </c>
      <c r="D3089" s="366" t="s">
        <v>51</v>
      </c>
      <c r="E3089" s="366" t="s">
        <v>10082</v>
      </c>
      <c r="F3089" s="366" t="s">
        <v>10078</v>
      </c>
      <c r="G3089" s="366" t="s">
        <v>10078</v>
      </c>
      <c r="H3089" s="366" t="s">
        <v>11613</v>
      </c>
      <c r="I3089" s="364" t="s">
        <v>13371</v>
      </c>
      <c r="J3089" s="367"/>
      <c r="K3089" s="364"/>
      <c r="L3089" s="364"/>
      <c r="M3089" s="364" t="s">
        <v>10084</v>
      </c>
      <c r="N3089" s="364"/>
      <c r="O3089" s="364" t="s">
        <v>57</v>
      </c>
      <c r="P3089" s="373">
        <v>33994000</v>
      </c>
      <c r="Q3089" s="364"/>
      <c r="R3089" s="364" t="s">
        <v>9977</v>
      </c>
      <c r="S3089" s="340">
        <v>1</v>
      </c>
    </row>
    <row r="3090" spans="1:19" ht="46.5" x14ac:dyDescent="0.35">
      <c r="A3090" s="349">
        <v>3079</v>
      </c>
      <c r="B3090" s="364" t="s">
        <v>10110</v>
      </c>
      <c r="C3090" s="364" t="s">
        <v>10111</v>
      </c>
      <c r="D3090" s="366" t="s">
        <v>59</v>
      </c>
      <c r="E3090" s="366" t="s">
        <v>10082</v>
      </c>
      <c r="F3090" s="366" t="s">
        <v>10078</v>
      </c>
      <c r="G3090" s="366" t="s">
        <v>10088</v>
      </c>
      <c r="H3090" s="366" t="s">
        <v>11324</v>
      </c>
      <c r="I3090" s="364" t="s">
        <v>15368</v>
      </c>
      <c r="J3090" s="367"/>
      <c r="K3090" s="364" t="s">
        <v>15369</v>
      </c>
      <c r="L3090" s="364"/>
      <c r="M3090" s="364"/>
      <c r="N3090" s="364"/>
      <c r="O3090" s="364" t="s">
        <v>44</v>
      </c>
      <c r="P3090" s="373">
        <v>169997287.5</v>
      </c>
      <c r="Q3090" s="364" t="s">
        <v>15370</v>
      </c>
      <c r="R3090" s="364" t="s">
        <v>9977</v>
      </c>
      <c r="S3090" s="340">
        <v>1</v>
      </c>
    </row>
    <row r="3091" spans="1:19" ht="31.5" thickBot="1" x14ac:dyDescent="0.4">
      <c r="A3091" s="357">
        <v>3080</v>
      </c>
      <c r="B3091" s="364" t="s">
        <v>10085</v>
      </c>
      <c r="C3091" s="364" t="s">
        <v>10086</v>
      </c>
      <c r="D3091" s="366" t="s">
        <v>51</v>
      </c>
      <c r="E3091" s="366" t="s">
        <v>10082</v>
      </c>
      <c r="F3091" s="366" t="s">
        <v>10078</v>
      </c>
      <c r="G3091" s="366" t="s">
        <v>10088</v>
      </c>
      <c r="H3091" s="366" t="s">
        <v>11308</v>
      </c>
      <c r="I3091" s="364" t="s">
        <v>13371</v>
      </c>
      <c r="J3091" s="367"/>
      <c r="K3091" s="364"/>
      <c r="L3091" s="364"/>
      <c r="M3091" s="364" t="s">
        <v>10084</v>
      </c>
      <c r="N3091" s="364"/>
      <c r="O3091" s="364" t="s">
        <v>57</v>
      </c>
      <c r="P3091" s="373">
        <v>126911000</v>
      </c>
      <c r="Q3091" s="364"/>
      <c r="R3091" s="364" t="s">
        <v>9977</v>
      </c>
      <c r="S3091" s="340">
        <v>1</v>
      </c>
    </row>
    <row r="3092" spans="1:19" ht="31" x14ac:dyDescent="0.35">
      <c r="A3092" s="349">
        <v>3081</v>
      </c>
      <c r="B3092" s="364" t="s">
        <v>10085</v>
      </c>
      <c r="C3092" s="364" t="s">
        <v>10086</v>
      </c>
      <c r="D3092" s="366" t="s">
        <v>59</v>
      </c>
      <c r="E3092" s="366" t="s">
        <v>10082</v>
      </c>
      <c r="F3092" s="366" t="s">
        <v>10078</v>
      </c>
      <c r="G3092" s="366" t="s">
        <v>10088</v>
      </c>
      <c r="H3092" s="366" t="s">
        <v>11308</v>
      </c>
      <c r="I3092" s="364" t="s">
        <v>13371</v>
      </c>
      <c r="J3092" s="367"/>
      <c r="K3092" s="364"/>
      <c r="L3092" s="364"/>
      <c r="M3092" s="364" t="s">
        <v>10084</v>
      </c>
      <c r="N3092" s="364"/>
      <c r="O3092" s="364" t="s">
        <v>57</v>
      </c>
      <c r="P3092" s="373">
        <v>126911000</v>
      </c>
      <c r="Q3092" s="364"/>
      <c r="R3092" s="364" t="s">
        <v>9977</v>
      </c>
      <c r="S3092" s="340">
        <v>1</v>
      </c>
    </row>
    <row r="3093" spans="1:19" ht="31.5" thickBot="1" x14ac:dyDescent="0.4">
      <c r="A3093" s="357">
        <v>3082</v>
      </c>
      <c r="B3093" s="364" t="s">
        <v>10146</v>
      </c>
      <c r="C3093" s="364" t="s">
        <v>10147</v>
      </c>
      <c r="D3093" s="366" t="s">
        <v>51</v>
      </c>
      <c r="E3093" s="366" t="s">
        <v>10082</v>
      </c>
      <c r="F3093" s="366" t="s">
        <v>10078</v>
      </c>
      <c r="G3093" s="366" t="s">
        <v>10088</v>
      </c>
      <c r="H3093" s="366" t="s">
        <v>8960</v>
      </c>
      <c r="I3093" s="364" t="s">
        <v>13371</v>
      </c>
      <c r="J3093" s="367">
        <v>41904</v>
      </c>
      <c r="K3093" s="364" t="s">
        <v>15371</v>
      </c>
      <c r="L3093" s="364"/>
      <c r="M3093" s="364" t="s">
        <v>10084</v>
      </c>
      <c r="N3093" s="364"/>
      <c r="O3093" s="364" t="s">
        <v>57</v>
      </c>
      <c r="P3093" s="373">
        <v>183750000</v>
      </c>
      <c r="Q3093" s="364" t="s">
        <v>15372</v>
      </c>
      <c r="R3093" s="364" t="s">
        <v>9977</v>
      </c>
      <c r="S3093" s="340">
        <v>1</v>
      </c>
    </row>
    <row r="3094" spans="1:19" ht="46.5" x14ac:dyDescent="0.35">
      <c r="A3094" s="349">
        <v>3083</v>
      </c>
      <c r="B3094" s="364" t="s">
        <v>10146</v>
      </c>
      <c r="C3094" s="364" t="s">
        <v>10147</v>
      </c>
      <c r="D3094" s="366" t="s">
        <v>59</v>
      </c>
      <c r="E3094" s="366" t="s">
        <v>10082</v>
      </c>
      <c r="F3094" s="366" t="s">
        <v>10078</v>
      </c>
      <c r="G3094" s="366" t="s">
        <v>10078</v>
      </c>
      <c r="H3094" s="366" t="s">
        <v>11551</v>
      </c>
      <c r="I3094" s="364" t="s">
        <v>15373</v>
      </c>
      <c r="J3094" s="367">
        <v>43966</v>
      </c>
      <c r="K3094" s="364" t="s">
        <v>15374</v>
      </c>
      <c r="L3094" s="364"/>
      <c r="M3094" s="364" t="s">
        <v>10084</v>
      </c>
      <c r="N3094" s="364"/>
      <c r="O3094" s="364" t="s">
        <v>57</v>
      </c>
      <c r="P3094" s="373">
        <v>179992000</v>
      </c>
      <c r="Q3094" s="364" t="s">
        <v>15375</v>
      </c>
      <c r="R3094" s="364" t="s">
        <v>9977</v>
      </c>
      <c r="S3094" s="340">
        <v>1</v>
      </c>
    </row>
    <row r="3095" spans="1:19" ht="31.5" thickBot="1" x14ac:dyDescent="0.4">
      <c r="A3095" s="357">
        <v>3084</v>
      </c>
      <c r="B3095" s="364" t="s">
        <v>10096</v>
      </c>
      <c r="C3095" s="364" t="s">
        <v>10097</v>
      </c>
      <c r="D3095" s="366" t="s">
        <v>51</v>
      </c>
      <c r="E3095" s="366" t="s">
        <v>10082</v>
      </c>
      <c r="F3095" s="366" t="s">
        <v>10078</v>
      </c>
      <c r="G3095" s="366" t="s">
        <v>10088</v>
      </c>
      <c r="H3095" s="366" t="s">
        <v>1433</v>
      </c>
      <c r="I3095" s="364" t="s">
        <v>13371</v>
      </c>
      <c r="J3095" s="367">
        <v>42975</v>
      </c>
      <c r="K3095" s="364" t="s">
        <v>15376</v>
      </c>
      <c r="L3095" s="364"/>
      <c r="M3095" s="364" t="s">
        <v>10084</v>
      </c>
      <c r="N3095" s="364"/>
      <c r="O3095" s="364" t="s">
        <v>57</v>
      </c>
      <c r="P3095" s="373">
        <v>199200000</v>
      </c>
      <c r="Q3095" s="364" t="s">
        <v>15377</v>
      </c>
      <c r="R3095" s="364" t="s">
        <v>9977</v>
      </c>
      <c r="S3095" s="340">
        <v>1</v>
      </c>
    </row>
    <row r="3096" spans="1:19" ht="31" x14ac:dyDescent="0.35">
      <c r="A3096" s="349">
        <v>3085</v>
      </c>
      <c r="B3096" s="364" t="s">
        <v>10080</v>
      </c>
      <c r="C3096" s="364" t="s">
        <v>10081</v>
      </c>
      <c r="D3096" s="366" t="s">
        <v>51</v>
      </c>
      <c r="E3096" s="366" t="s">
        <v>10082</v>
      </c>
      <c r="F3096" s="366" t="s">
        <v>10078</v>
      </c>
      <c r="G3096" s="366" t="s">
        <v>10078</v>
      </c>
      <c r="H3096" s="366" t="s">
        <v>11465</v>
      </c>
      <c r="I3096" s="364" t="s">
        <v>15223</v>
      </c>
      <c r="J3096" s="367"/>
      <c r="K3096" s="364"/>
      <c r="L3096" s="364"/>
      <c r="M3096" s="364" t="s">
        <v>10084</v>
      </c>
      <c r="N3096" s="364"/>
      <c r="O3096" s="364" t="s">
        <v>57</v>
      </c>
      <c r="P3096" s="373">
        <v>552477000</v>
      </c>
      <c r="Q3096" s="364"/>
      <c r="R3096" s="364" t="s">
        <v>9979</v>
      </c>
      <c r="S3096" s="340">
        <v>1</v>
      </c>
    </row>
    <row r="3097" spans="1:19" ht="31.5" thickBot="1" x14ac:dyDescent="0.4">
      <c r="A3097" s="357">
        <v>3086</v>
      </c>
      <c r="B3097" s="364" t="s">
        <v>10080</v>
      </c>
      <c r="C3097" s="364" t="s">
        <v>10081</v>
      </c>
      <c r="D3097" s="366" t="s">
        <v>59</v>
      </c>
      <c r="E3097" s="366" t="s">
        <v>10082</v>
      </c>
      <c r="F3097" s="366" t="s">
        <v>10078</v>
      </c>
      <c r="G3097" s="366" t="s">
        <v>10078</v>
      </c>
      <c r="H3097" s="366" t="s">
        <v>8961</v>
      </c>
      <c r="I3097" s="364" t="s">
        <v>15223</v>
      </c>
      <c r="J3097" s="367"/>
      <c r="K3097" s="364"/>
      <c r="L3097" s="364"/>
      <c r="M3097" s="364" t="s">
        <v>10084</v>
      </c>
      <c r="N3097" s="364"/>
      <c r="O3097" s="364" t="s">
        <v>57</v>
      </c>
      <c r="P3097" s="373">
        <v>359939000</v>
      </c>
      <c r="Q3097" s="364"/>
      <c r="R3097" s="364" t="s">
        <v>9979</v>
      </c>
      <c r="S3097" s="340">
        <v>1</v>
      </c>
    </row>
    <row r="3098" spans="1:19" ht="31" x14ac:dyDescent="0.35">
      <c r="A3098" s="349">
        <v>3087</v>
      </c>
      <c r="B3098" s="364" t="s">
        <v>10080</v>
      </c>
      <c r="C3098" s="364" t="s">
        <v>10081</v>
      </c>
      <c r="D3098" s="366" t="s">
        <v>97</v>
      </c>
      <c r="E3098" s="366" t="s">
        <v>10082</v>
      </c>
      <c r="F3098" s="366" t="s">
        <v>10078</v>
      </c>
      <c r="G3098" s="366" t="s">
        <v>10078</v>
      </c>
      <c r="H3098" s="366" t="s">
        <v>14053</v>
      </c>
      <c r="I3098" s="364" t="s">
        <v>15223</v>
      </c>
      <c r="J3098" s="367"/>
      <c r="K3098" s="364"/>
      <c r="L3098" s="364"/>
      <c r="M3098" s="364" t="s">
        <v>10084</v>
      </c>
      <c r="N3098" s="364"/>
      <c r="O3098" s="364" t="s">
        <v>57</v>
      </c>
      <c r="P3098" s="373">
        <v>752448360</v>
      </c>
      <c r="Q3098" s="364"/>
      <c r="R3098" s="364" t="s">
        <v>9979</v>
      </c>
      <c r="S3098" s="340">
        <v>1</v>
      </c>
    </row>
    <row r="3099" spans="1:19" ht="31.5" thickBot="1" x14ac:dyDescent="0.4">
      <c r="A3099" s="357">
        <v>3088</v>
      </c>
      <c r="B3099" s="364" t="s">
        <v>10080</v>
      </c>
      <c r="C3099" s="364" t="s">
        <v>10081</v>
      </c>
      <c r="D3099" s="366" t="s">
        <v>101</v>
      </c>
      <c r="E3099" s="366" t="s">
        <v>10082</v>
      </c>
      <c r="F3099" s="366" t="s">
        <v>10078</v>
      </c>
      <c r="G3099" s="366" t="s">
        <v>10078</v>
      </c>
      <c r="H3099" s="366" t="s">
        <v>12960</v>
      </c>
      <c r="I3099" s="364" t="s">
        <v>15223</v>
      </c>
      <c r="J3099" s="367"/>
      <c r="K3099" s="364"/>
      <c r="L3099" s="364"/>
      <c r="M3099" s="364" t="s">
        <v>10084</v>
      </c>
      <c r="N3099" s="364"/>
      <c r="O3099" s="364" t="s">
        <v>57</v>
      </c>
      <c r="P3099" s="373">
        <v>927527900</v>
      </c>
      <c r="Q3099" s="364"/>
      <c r="R3099" s="364" t="s">
        <v>9979</v>
      </c>
      <c r="S3099" s="340">
        <v>1</v>
      </c>
    </row>
    <row r="3100" spans="1:19" ht="31" x14ac:dyDescent="0.35">
      <c r="A3100" s="349">
        <v>3089</v>
      </c>
      <c r="B3100" s="364" t="s">
        <v>10080</v>
      </c>
      <c r="C3100" s="364" t="s">
        <v>10081</v>
      </c>
      <c r="D3100" s="366" t="s">
        <v>107</v>
      </c>
      <c r="E3100" s="366" t="s">
        <v>10082</v>
      </c>
      <c r="F3100" s="366" t="s">
        <v>10078</v>
      </c>
      <c r="G3100" s="366" t="s">
        <v>10088</v>
      </c>
      <c r="H3100" s="366" t="s">
        <v>11960</v>
      </c>
      <c r="I3100" s="364" t="s">
        <v>15223</v>
      </c>
      <c r="J3100" s="367">
        <v>40777</v>
      </c>
      <c r="K3100" s="364" t="s">
        <v>15378</v>
      </c>
      <c r="L3100" s="364"/>
      <c r="M3100" s="364" t="s">
        <v>10084</v>
      </c>
      <c r="N3100" s="364"/>
      <c r="O3100" s="364" t="s">
        <v>422</v>
      </c>
      <c r="P3100" s="373">
        <v>358188385</v>
      </c>
      <c r="Q3100" s="364" t="s">
        <v>15379</v>
      </c>
      <c r="R3100" s="364" t="s">
        <v>9979</v>
      </c>
      <c r="S3100" s="340">
        <v>1</v>
      </c>
    </row>
    <row r="3101" spans="1:19" ht="31.5" thickBot="1" x14ac:dyDescent="0.4">
      <c r="A3101" s="357">
        <v>3090</v>
      </c>
      <c r="B3101" s="364" t="s">
        <v>10080</v>
      </c>
      <c r="C3101" s="364" t="s">
        <v>10081</v>
      </c>
      <c r="D3101" s="366" t="s">
        <v>112</v>
      </c>
      <c r="E3101" s="366" t="s">
        <v>10082</v>
      </c>
      <c r="F3101" s="366" t="s">
        <v>10078</v>
      </c>
      <c r="G3101" s="366" t="s">
        <v>10078</v>
      </c>
      <c r="H3101" s="366" t="s">
        <v>13436</v>
      </c>
      <c r="I3101" s="364" t="s">
        <v>15223</v>
      </c>
      <c r="J3101" s="367"/>
      <c r="K3101" s="364"/>
      <c r="L3101" s="364"/>
      <c r="M3101" s="364" t="s">
        <v>10084</v>
      </c>
      <c r="N3101" s="364"/>
      <c r="O3101" s="364" t="s">
        <v>422</v>
      </c>
      <c r="P3101" s="373">
        <v>80000000</v>
      </c>
      <c r="Q3101" s="364" t="s">
        <v>8603</v>
      </c>
      <c r="R3101" s="364" t="s">
        <v>9979</v>
      </c>
      <c r="S3101" s="340">
        <v>1</v>
      </c>
    </row>
    <row r="3102" spans="1:19" ht="77.5" x14ac:dyDescent="0.35">
      <c r="A3102" s="349">
        <v>3091</v>
      </c>
      <c r="B3102" s="364" t="s">
        <v>10110</v>
      </c>
      <c r="C3102" s="364" t="s">
        <v>10111</v>
      </c>
      <c r="D3102" s="366" t="s">
        <v>101</v>
      </c>
      <c r="E3102" s="366" t="s">
        <v>10082</v>
      </c>
      <c r="F3102" s="366"/>
      <c r="G3102" s="366"/>
      <c r="H3102" s="366" t="s">
        <v>11415</v>
      </c>
      <c r="I3102" s="364" t="s">
        <v>63</v>
      </c>
      <c r="J3102" s="367"/>
      <c r="K3102" s="364" t="s">
        <v>15380</v>
      </c>
      <c r="L3102" s="364"/>
      <c r="M3102" s="364"/>
      <c r="N3102" s="364"/>
      <c r="O3102" s="364" t="s">
        <v>44</v>
      </c>
      <c r="P3102" s="373">
        <v>534093660.00000006</v>
      </c>
      <c r="Q3102" s="364" t="s">
        <v>15381</v>
      </c>
      <c r="R3102" s="364" t="s">
        <v>9979</v>
      </c>
      <c r="S3102" s="340">
        <v>1</v>
      </c>
    </row>
    <row r="3103" spans="1:19" ht="78" thickBot="1" x14ac:dyDescent="0.4">
      <c r="A3103" s="357">
        <v>3092</v>
      </c>
      <c r="B3103" s="364" t="s">
        <v>10110</v>
      </c>
      <c r="C3103" s="364" t="s">
        <v>10111</v>
      </c>
      <c r="D3103" s="366" t="s">
        <v>107</v>
      </c>
      <c r="E3103" s="366" t="s">
        <v>10082</v>
      </c>
      <c r="F3103" s="366" t="s">
        <v>10078</v>
      </c>
      <c r="G3103" s="366" t="s">
        <v>10088</v>
      </c>
      <c r="H3103" s="366" t="s">
        <v>11421</v>
      </c>
      <c r="I3103" s="364" t="s">
        <v>15382</v>
      </c>
      <c r="J3103" s="367"/>
      <c r="K3103" s="364" t="s">
        <v>15383</v>
      </c>
      <c r="L3103" s="364"/>
      <c r="M3103" s="364"/>
      <c r="N3103" s="364"/>
      <c r="O3103" s="364" t="s">
        <v>44</v>
      </c>
      <c r="P3103" s="373">
        <v>268350810</v>
      </c>
      <c r="Q3103" s="364" t="s">
        <v>15384</v>
      </c>
      <c r="R3103" s="364" t="s">
        <v>9979</v>
      </c>
      <c r="S3103" s="340">
        <v>1</v>
      </c>
    </row>
    <row r="3104" spans="1:19" ht="77.5" x14ac:dyDescent="0.35">
      <c r="A3104" s="349">
        <v>3093</v>
      </c>
      <c r="B3104" s="364" t="s">
        <v>10110</v>
      </c>
      <c r="C3104" s="364" t="s">
        <v>10111</v>
      </c>
      <c r="D3104" s="366" t="s">
        <v>112</v>
      </c>
      <c r="E3104" s="366" t="s">
        <v>10082</v>
      </c>
      <c r="F3104" s="366" t="s">
        <v>10078</v>
      </c>
      <c r="G3104" s="366" t="s">
        <v>10088</v>
      </c>
      <c r="H3104" s="366" t="s">
        <v>11465</v>
      </c>
      <c r="I3104" s="364" t="s">
        <v>15382</v>
      </c>
      <c r="J3104" s="367"/>
      <c r="K3104" s="364" t="s">
        <v>15385</v>
      </c>
      <c r="L3104" s="364"/>
      <c r="M3104" s="364"/>
      <c r="N3104" s="364"/>
      <c r="O3104" s="364" t="s">
        <v>44</v>
      </c>
      <c r="P3104" s="373">
        <v>575274865</v>
      </c>
      <c r="Q3104" s="364" t="s">
        <v>15386</v>
      </c>
      <c r="R3104" s="364" t="s">
        <v>9979</v>
      </c>
      <c r="S3104" s="340">
        <v>1</v>
      </c>
    </row>
    <row r="3105" spans="1:19" ht="31.5" thickBot="1" x14ac:dyDescent="0.4">
      <c r="A3105" s="357">
        <v>3094</v>
      </c>
      <c r="B3105" s="364" t="s">
        <v>10085</v>
      </c>
      <c r="C3105" s="364" t="s">
        <v>10086</v>
      </c>
      <c r="D3105" s="366" t="s">
        <v>51</v>
      </c>
      <c r="E3105" s="366" t="s">
        <v>10082</v>
      </c>
      <c r="F3105" s="366" t="s">
        <v>10078</v>
      </c>
      <c r="G3105" s="366" t="s">
        <v>10088</v>
      </c>
      <c r="H3105" s="366" t="s">
        <v>11421</v>
      </c>
      <c r="I3105" s="364" t="s">
        <v>15223</v>
      </c>
      <c r="J3105" s="367"/>
      <c r="K3105" s="364"/>
      <c r="L3105" s="364"/>
      <c r="M3105" s="364" t="s">
        <v>10084</v>
      </c>
      <c r="N3105" s="364"/>
      <c r="O3105" s="364" t="s">
        <v>57</v>
      </c>
      <c r="P3105" s="373">
        <v>99686000</v>
      </c>
      <c r="Q3105" s="364"/>
      <c r="R3105" s="364" t="s">
        <v>9979</v>
      </c>
      <c r="S3105" s="340">
        <v>1</v>
      </c>
    </row>
    <row r="3106" spans="1:19" ht="31" x14ac:dyDescent="0.35">
      <c r="A3106" s="349">
        <v>3095</v>
      </c>
      <c r="B3106" s="364" t="s">
        <v>10085</v>
      </c>
      <c r="C3106" s="364" t="s">
        <v>10086</v>
      </c>
      <c r="D3106" s="366" t="s">
        <v>59</v>
      </c>
      <c r="E3106" s="366" t="s">
        <v>10082</v>
      </c>
      <c r="F3106" s="366" t="s">
        <v>10078</v>
      </c>
      <c r="G3106" s="366" t="s">
        <v>10078</v>
      </c>
      <c r="H3106" s="366" t="s">
        <v>11421</v>
      </c>
      <c r="I3106" s="364" t="s">
        <v>15223</v>
      </c>
      <c r="J3106" s="367"/>
      <c r="K3106" s="364"/>
      <c r="L3106" s="364"/>
      <c r="M3106" s="364" t="s">
        <v>10084</v>
      </c>
      <c r="N3106" s="364"/>
      <c r="O3106" s="364" t="s">
        <v>57</v>
      </c>
      <c r="P3106" s="373">
        <v>71688000</v>
      </c>
      <c r="Q3106" s="364"/>
      <c r="R3106" s="364" t="s">
        <v>9979</v>
      </c>
      <c r="S3106" s="340">
        <v>1</v>
      </c>
    </row>
    <row r="3107" spans="1:19" ht="31.5" thickBot="1" x14ac:dyDescent="0.4">
      <c r="A3107" s="357">
        <v>3096</v>
      </c>
      <c r="B3107" s="364" t="s">
        <v>10085</v>
      </c>
      <c r="C3107" s="364" t="s">
        <v>10086</v>
      </c>
      <c r="D3107" s="366" t="s">
        <v>97</v>
      </c>
      <c r="E3107" s="366" t="s">
        <v>10082</v>
      </c>
      <c r="F3107" s="366" t="s">
        <v>10078</v>
      </c>
      <c r="G3107" s="366" t="s">
        <v>10078</v>
      </c>
      <c r="H3107" s="366" t="s">
        <v>11421</v>
      </c>
      <c r="I3107" s="364" t="s">
        <v>15223</v>
      </c>
      <c r="J3107" s="367"/>
      <c r="K3107" s="364"/>
      <c r="L3107" s="364"/>
      <c r="M3107" s="364" t="s">
        <v>10084</v>
      </c>
      <c r="N3107" s="364"/>
      <c r="O3107" s="364" t="s">
        <v>57</v>
      </c>
      <c r="P3107" s="373">
        <v>71688000</v>
      </c>
      <c r="Q3107" s="364"/>
      <c r="R3107" s="364" t="s">
        <v>9979</v>
      </c>
      <c r="S3107" s="340">
        <v>1</v>
      </c>
    </row>
    <row r="3108" spans="1:19" ht="31" x14ac:dyDescent="0.35">
      <c r="A3108" s="349">
        <v>3097</v>
      </c>
      <c r="B3108" s="364" t="s">
        <v>10085</v>
      </c>
      <c r="C3108" s="364" t="s">
        <v>10086</v>
      </c>
      <c r="D3108" s="366" t="s">
        <v>101</v>
      </c>
      <c r="E3108" s="366" t="s">
        <v>10082</v>
      </c>
      <c r="F3108" s="366" t="s">
        <v>10078</v>
      </c>
      <c r="G3108" s="366" t="s">
        <v>10078</v>
      </c>
      <c r="H3108" s="366" t="s">
        <v>11421</v>
      </c>
      <c r="I3108" s="364" t="s">
        <v>15223</v>
      </c>
      <c r="J3108" s="367"/>
      <c r="K3108" s="364"/>
      <c r="L3108" s="364"/>
      <c r="M3108" s="364" t="s">
        <v>10084</v>
      </c>
      <c r="N3108" s="364"/>
      <c r="O3108" s="364" t="s">
        <v>57</v>
      </c>
      <c r="P3108" s="373">
        <v>71688000</v>
      </c>
      <c r="Q3108" s="364"/>
      <c r="R3108" s="364" t="s">
        <v>9979</v>
      </c>
      <c r="S3108" s="340">
        <v>1</v>
      </c>
    </row>
    <row r="3109" spans="1:19" ht="31.5" thickBot="1" x14ac:dyDescent="0.4">
      <c r="A3109" s="357">
        <v>3098</v>
      </c>
      <c r="B3109" s="364" t="s">
        <v>10146</v>
      </c>
      <c r="C3109" s="364" t="s">
        <v>10147</v>
      </c>
      <c r="D3109" s="366" t="s">
        <v>51</v>
      </c>
      <c r="E3109" s="366" t="s">
        <v>10082</v>
      </c>
      <c r="F3109" s="366" t="s">
        <v>10078</v>
      </c>
      <c r="G3109" s="366" t="s">
        <v>10088</v>
      </c>
      <c r="H3109" s="366" t="s">
        <v>8960</v>
      </c>
      <c r="I3109" s="364" t="s">
        <v>15188</v>
      </c>
      <c r="J3109" s="367">
        <v>41934</v>
      </c>
      <c r="K3109" s="364" t="s">
        <v>15387</v>
      </c>
      <c r="L3109" s="364"/>
      <c r="M3109" s="364" t="s">
        <v>10084</v>
      </c>
      <c r="N3109" s="364"/>
      <c r="O3109" s="364" t="s">
        <v>57</v>
      </c>
      <c r="P3109" s="373">
        <v>199400000</v>
      </c>
      <c r="Q3109" s="364" t="s">
        <v>15388</v>
      </c>
      <c r="R3109" s="364" t="s">
        <v>9979</v>
      </c>
      <c r="S3109" s="340">
        <v>1</v>
      </c>
    </row>
    <row r="3110" spans="1:19" ht="31" x14ac:dyDescent="0.35">
      <c r="A3110" s="349">
        <v>3099</v>
      </c>
      <c r="B3110" s="364" t="s">
        <v>10096</v>
      </c>
      <c r="C3110" s="364" t="s">
        <v>10097</v>
      </c>
      <c r="D3110" s="366" t="s">
        <v>51</v>
      </c>
      <c r="E3110" s="366" t="s">
        <v>10082</v>
      </c>
      <c r="F3110" s="366" t="s">
        <v>10078</v>
      </c>
      <c r="G3110" s="366" t="s">
        <v>10088</v>
      </c>
      <c r="H3110" s="366" t="s">
        <v>11400</v>
      </c>
      <c r="I3110" s="364" t="s">
        <v>15389</v>
      </c>
      <c r="J3110" s="367"/>
      <c r="K3110" s="364" t="s">
        <v>15390</v>
      </c>
      <c r="L3110" s="364"/>
      <c r="M3110" s="364"/>
      <c r="N3110" s="364"/>
      <c r="O3110" s="364" t="s">
        <v>44</v>
      </c>
      <c r="P3110" s="373">
        <v>198397960</v>
      </c>
      <c r="Q3110" s="364" t="s">
        <v>15391</v>
      </c>
      <c r="R3110" s="364" t="s">
        <v>9979</v>
      </c>
      <c r="S3110" s="340">
        <v>1</v>
      </c>
    </row>
    <row r="3111" spans="1:19" ht="31.5" thickBot="1" x14ac:dyDescent="0.4">
      <c r="A3111" s="357">
        <v>3100</v>
      </c>
      <c r="B3111" s="364" t="s">
        <v>11830</v>
      </c>
      <c r="C3111" s="364" t="s">
        <v>11831</v>
      </c>
      <c r="D3111" s="366" t="s">
        <v>51</v>
      </c>
      <c r="E3111" s="366" t="s">
        <v>10082</v>
      </c>
      <c r="F3111" s="366" t="s">
        <v>10078</v>
      </c>
      <c r="G3111" s="366" t="s">
        <v>10078</v>
      </c>
      <c r="H3111" s="366" t="s">
        <v>11364</v>
      </c>
      <c r="I3111" s="364" t="s">
        <v>10203</v>
      </c>
      <c r="J3111" s="367"/>
      <c r="K3111" s="364"/>
      <c r="L3111" s="364"/>
      <c r="M3111" s="364" t="s">
        <v>10084</v>
      </c>
      <c r="N3111" s="364"/>
      <c r="O3111" s="364" t="s">
        <v>57</v>
      </c>
      <c r="P3111" s="373">
        <v>98538500</v>
      </c>
      <c r="Q3111" s="364"/>
      <c r="R3111" s="364" t="s">
        <v>9981</v>
      </c>
      <c r="S3111" s="340">
        <v>1</v>
      </c>
    </row>
    <row r="3112" spans="1:19" ht="31" x14ac:dyDescent="0.35">
      <c r="A3112" s="349">
        <v>3101</v>
      </c>
      <c r="B3112" s="364" t="s">
        <v>11830</v>
      </c>
      <c r="C3112" s="364" t="s">
        <v>11831</v>
      </c>
      <c r="D3112" s="366" t="s">
        <v>59</v>
      </c>
      <c r="E3112" s="366" t="s">
        <v>10082</v>
      </c>
      <c r="F3112" s="366" t="s">
        <v>10078</v>
      </c>
      <c r="G3112" s="366" t="s">
        <v>10078</v>
      </c>
      <c r="H3112" s="366" t="s">
        <v>12250</v>
      </c>
      <c r="I3112" s="364" t="s">
        <v>10203</v>
      </c>
      <c r="J3112" s="367">
        <v>40413</v>
      </c>
      <c r="K3112" s="364" t="s">
        <v>15392</v>
      </c>
      <c r="L3112" s="364"/>
      <c r="M3112" s="364" t="s">
        <v>10084</v>
      </c>
      <c r="N3112" s="364"/>
      <c r="O3112" s="364" t="s">
        <v>422</v>
      </c>
      <c r="P3112" s="373">
        <v>169808163</v>
      </c>
      <c r="Q3112" s="364" t="s">
        <v>15393</v>
      </c>
      <c r="R3112" s="364" t="s">
        <v>9981</v>
      </c>
      <c r="S3112" s="340">
        <v>1</v>
      </c>
    </row>
    <row r="3113" spans="1:19" ht="31.5" thickBot="1" x14ac:dyDescent="0.4">
      <c r="A3113" s="357">
        <v>3102</v>
      </c>
      <c r="B3113" s="364" t="s">
        <v>10475</v>
      </c>
      <c r="C3113" s="364" t="s">
        <v>10476</v>
      </c>
      <c r="D3113" s="366" t="s">
        <v>51</v>
      </c>
      <c r="E3113" s="366" t="s">
        <v>10082</v>
      </c>
      <c r="F3113" s="366" t="s">
        <v>10078</v>
      </c>
      <c r="G3113" s="366" t="s">
        <v>10078</v>
      </c>
      <c r="H3113" s="366" t="s">
        <v>12388</v>
      </c>
      <c r="I3113" s="364" t="s">
        <v>15394</v>
      </c>
      <c r="J3113" s="367">
        <v>43825</v>
      </c>
      <c r="K3113" s="364" t="s">
        <v>15395</v>
      </c>
      <c r="L3113" s="364"/>
      <c r="M3113" s="364" t="s">
        <v>10084</v>
      </c>
      <c r="N3113" s="364"/>
      <c r="O3113" s="364" t="s">
        <v>57</v>
      </c>
      <c r="P3113" s="373">
        <v>159341000</v>
      </c>
      <c r="Q3113" s="364" t="s">
        <v>15396</v>
      </c>
      <c r="R3113" s="364" t="s">
        <v>9981</v>
      </c>
      <c r="S3113" s="340">
        <v>1</v>
      </c>
    </row>
    <row r="3114" spans="1:19" ht="31" x14ac:dyDescent="0.35">
      <c r="A3114" s="349">
        <v>3103</v>
      </c>
      <c r="B3114" s="364" t="s">
        <v>10080</v>
      </c>
      <c r="C3114" s="364" t="s">
        <v>10081</v>
      </c>
      <c r="D3114" s="366" t="s">
        <v>51</v>
      </c>
      <c r="E3114" s="366" t="s">
        <v>10082</v>
      </c>
      <c r="F3114" s="366" t="s">
        <v>10078</v>
      </c>
      <c r="G3114" s="366" t="s">
        <v>10078</v>
      </c>
      <c r="H3114" s="366" t="s">
        <v>11413</v>
      </c>
      <c r="I3114" s="364" t="s">
        <v>10203</v>
      </c>
      <c r="J3114" s="367"/>
      <c r="K3114" s="364"/>
      <c r="L3114" s="364"/>
      <c r="M3114" s="364" t="s">
        <v>10084</v>
      </c>
      <c r="N3114" s="364"/>
      <c r="O3114" s="364" t="s">
        <v>422</v>
      </c>
      <c r="P3114" s="373">
        <v>187000000</v>
      </c>
      <c r="Q3114" s="364" t="s">
        <v>8603</v>
      </c>
      <c r="R3114" s="364" t="s">
        <v>9981</v>
      </c>
      <c r="S3114" s="340">
        <v>1</v>
      </c>
    </row>
    <row r="3115" spans="1:19" ht="31.5" thickBot="1" x14ac:dyDescent="0.4">
      <c r="A3115" s="357">
        <v>3104</v>
      </c>
      <c r="B3115" s="364" t="s">
        <v>10080</v>
      </c>
      <c r="C3115" s="364" t="s">
        <v>10081</v>
      </c>
      <c r="D3115" s="366" t="s">
        <v>59</v>
      </c>
      <c r="E3115" s="366" t="s">
        <v>10082</v>
      </c>
      <c r="F3115" s="366" t="s">
        <v>10078</v>
      </c>
      <c r="G3115" s="366" t="s">
        <v>10088</v>
      </c>
      <c r="H3115" s="366" t="s">
        <v>11960</v>
      </c>
      <c r="I3115" s="364" t="s">
        <v>10203</v>
      </c>
      <c r="J3115" s="367">
        <v>40413</v>
      </c>
      <c r="K3115" s="364" t="s">
        <v>15397</v>
      </c>
      <c r="L3115" s="364"/>
      <c r="M3115" s="364" t="s">
        <v>10084</v>
      </c>
      <c r="N3115" s="364"/>
      <c r="O3115" s="364" t="s">
        <v>422</v>
      </c>
      <c r="P3115" s="373">
        <v>262993301.00000003</v>
      </c>
      <c r="Q3115" s="364" t="s">
        <v>15398</v>
      </c>
      <c r="R3115" s="364" t="s">
        <v>9981</v>
      </c>
      <c r="S3115" s="340">
        <v>1</v>
      </c>
    </row>
    <row r="3116" spans="1:19" ht="31" x14ac:dyDescent="0.35">
      <c r="A3116" s="349">
        <v>3105</v>
      </c>
      <c r="B3116" s="364" t="s">
        <v>10080</v>
      </c>
      <c r="C3116" s="364" t="s">
        <v>10081</v>
      </c>
      <c r="D3116" s="366" t="s">
        <v>97</v>
      </c>
      <c r="E3116" s="366" t="s">
        <v>10082</v>
      </c>
      <c r="F3116" s="366" t="s">
        <v>10078</v>
      </c>
      <c r="G3116" s="366" t="s">
        <v>10078</v>
      </c>
      <c r="H3116" s="366" t="s">
        <v>12701</v>
      </c>
      <c r="I3116" s="364" t="s">
        <v>10203</v>
      </c>
      <c r="J3116" s="367"/>
      <c r="K3116" s="364"/>
      <c r="L3116" s="364"/>
      <c r="M3116" s="364" t="s">
        <v>10084</v>
      </c>
      <c r="N3116" s="364"/>
      <c r="O3116" s="364" t="s">
        <v>57</v>
      </c>
      <c r="P3116" s="373">
        <v>591681360</v>
      </c>
      <c r="Q3116" s="364"/>
      <c r="R3116" s="364" t="s">
        <v>9981</v>
      </c>
      <c r="S3116" s="340">
        <v>1</v>
      </c>
    </row>
    <row r="3117" spans="1:19" ht="31.5" thickBot="1" x14ac:dyDescent="0.4">
      <c r="A3117" s="357">
        <v>3106</v>
      </c>
      <c r="B3117" s="364" t="s">
        <v>10080</v>
      </c>
      <c r="C3117" s="364" t="s">
        <v>10081</v>
      </c>
      <c r="D3117" s="366" t="s">
        <v>101</v>
      </c>
      <c r="E3117" s="366" t="s">
        <v>10082</v>
      </c>
      <c r="F3117" s="366" t="s">
        <v>10078</v>
      </c>
      <c r="G3117" s="366" t="s">
        <v>10088</v>
      </c>
      <c r="H3117" s="366" t="s">
        <v>3405</v>
      </c>
      <c r="I3117" s="364" t="s">
        <v>10203</v>
      </c>
      <c r="J3117" s="367"/>
      <c r="K3117" s="364"/>
      <c r="L3117" s="364"/>
      <c r="M3117" s="364" t="s">
        <v>10084</v>
      </c>
      <c r="N3117" s="364"/>
      <c r="O3117" s="364" t="s">
        <v>57</v>
      </c>
      <c r="P3117" s="373">
        <v>365900000</v>
      </c>
      <c r="Q3117" s="364"/>
      <c r="R3117" s="364" t="s">
        <v>9981</v>
      </c>
      <c r="S3117" s="340">
        <v>1</v>
      </c>
    </row>
    <row r="3118" spans="1:19" ht="31" x14ac:dyDescent="0.35">
      <c r="A3118" s="349">
        <v>3107</v>
      </c>
      <c r="B3118" s="364" t="s">
        <v>10080</v>
      </c>
      <c r="C3118" s="364" t="s">
        <v>10081</v>
      </c>
      <c r="D3118" s="366" t="s">
        <v>107</v>
      </c>
      <c r="E3118" s="366" t="s">
        <v>10082</v>
      </c>
      <c r="F3118" s="366" t="s">
        <v>10078</v>
      </c>
      <c r="G3118" s="366" t="s">
        <v>10078</v>
      </c>
      <c r="H3118" s="366" t="s">
        <v>13157</v>
      </c>
      <c r="I3118" s="364" t="s">
        <v>10203</v>
      </c>
      <c r="J3118" s="367"/>
      <c r="K3118" s="364"/>
      <c r="L3118" s="364"/>
      <c r="M3118" s="364" t="s">
        <v>10084</v>
      </c>
      <c r="N3118" s="364"/>
      <c r="O3118" s="364" t="s">
        <v>57</v>
      </c>
      <c r="P3118" s="373">
        <v>502824000</v>
      </c>
      <c r="Q3118" s="364"/>
      <c r="R3118" s="364" t="s">
        <v>9981</v>
      </c>
      <c r="S3118" s="340">
        <v>1</v>
      </c>
    </row>
    <row r="3119" spans="1:19" ht="31.5" thickBot="1" x14ac:dyDescent="0.4">
      <c r="A3119" s="357">
        <v>3108</v>
      </c>
      <c r="B3119" s="364" t="s">
        <v>10080</v>
      </c>
      <c r="C3119" s="364" t="s">
        <v>10081</v>
      </c>
      <c r="D3119" s="366" t="s">
        <v>112</v>
      </c>
      <c r="E3119" s="366" t="s">
        <v>10082</v>
      </c>
      <c r="F3119" s="366" t="s">
        <v>10078</v>
      </c>
      <c r="G3119" s="366" t="s">
        <v>10078</v>
      </c>
      <c r="H3119" s="366" t="s">
        <v>13157</v>
      </c>
      <c r="I3119" s="364" t="s">
        <v>10203</v>
      </c>
      <c r="J3119" s="367"/>
      <c r="K3119" s="364"/>
      <c r="L3119" s="364"/>
      <c r="M3119" s="364" t="s">
        <v>10084</v>
      </c>
      <c r="N3119" s="364"/>
      <c r="O3119" s="364" t="s">
        <v>57</v>
      </c>
      <c r="P3119" s="373">
        <v>302708000</v>
      </c>
      <c r="Q3119" s="364"/>
      <c r="R3119" s="364" t="s">
        <v>9981</v>
      </c>
      <c r="S3119" s="340">
        <v>1</v>
      </c>
    </row>
    <row r="3120" spans="1:19" ht="31" x14ac:dyDescent="0.35">
      <c r="A3120" s="349">
        <v>3109</v>
      </c>
      <c r="B3120" s="364" t="s">
        <v>10080</v>
      </c>
      <c r="C3120" s="364" t="s">
        <v>10081</v>
      </c>
      <c r="D3120" s="366" t="s">
        <v>116</v>
      </c>
      <c r="E3120" s="366" t="s">
        <v>10082</v>
      </c>
      <c r="F3120" s="366" t="s">
        <v>10078</v>
      </c>
      <c r="G3120" s="366" t="s">
        <v>10088</v>
      </c>
      <c r="H3120" s="366" t="s">
        <v>13157</v>
      </c>
      <c r="I3120" s="364" t="s">
        <v>10203</v>
      </c>
      <c r="J3120" s="367"/>
      <c r="K3120" s="364"/>
      <c r="L3120" s="364"/>
      <c r="M3120" s="364" t="s">
        <v>10084</v>
      </c>
      <c r="N3120" s="364"/>
      <c r="O3120" s="364" t="s">
        <v>57</v>
      </c>
      <c r="P3120" s="373">
        <v>344461000</v>
      </c>
      <c r="Q3120" s="364"/>
      <c r="R3120" s="364" t="s">
        <v>9981</v>
      </c>
      <c r="S3120" s="340">
        <v>1</v>
      </c>
    </row>
    <row r="3121" spans="1:19" ht="47" thickBot="1" x14ac:dyDescent="0.4">
      <c r="A3121" s="357">
        <v>3110</v>
      </c>
      <c r="B3121" s="364" t="s">
        <v>10110</v>
      </c>
      <c r="C3121" s="364" t="s">
        <v>10111</v>
      </c>
      <c r="D3121" s="366" t="s">
        <v>51</v>
      </c>
      <c r="E3121" s="366" t="s">
        <v>10082</v>
      </c>
      <c r="F3121" s="366" t="s">
        <v>10078</v>
      </c>
      <c r="G3121" s="366" t="s">
        <v>10088</v>
      </c>
      <c r="H3121" s="366" t="s">
        <v>11870</v>
      </c>
      <c r="I3121" s="364" t="s">
        <v>15399</v>
      </c>
      <c r="J3121" s="367">
        <v>44753</v>
      </c>
      <c r="K3121" s="364" t="s">
        <v>15400</v>
      </c>
      <c r="L3121" s="364"/>
      <c r="M3121" s="364"/>
      <c r="N3121" s="364"/>
      <c r="O3121" s="364" t="s">
        <v>44</v>
      </c>
      <c r="P3121" s="373">
        <v>330253700</v>
      </c>
      <c r="Q3121" s="364" t="s">
        <v>15401</v>
      </c>
      <c r="R3121" s="364" t="s">
        <v>9981</v>
      </c>
      <c r="S3121" s="340">
        <v>1</v>
      </c>
    </row>
    <row r="3122" spans="1:19" ht="46.5" x14ac:dyDescent="0.35">
      <c r="A3122" s="349">
        <v>3111</v>
      </c>
      <c r="B3122" s="364" t="s">
        <v>10110</v>
      </c>
      <c r="C3122" s="364" t="s">
        <v>10111</v>
      </c>
      <c r="D3122" s="366" t="s">
        <v>59</v>
      </c>
      <c r="E3122" s="366" t="s">
        <v>10082</v>
      </c>
      <c r="F3122" s="366" t="s">
        <v>10078</v>
      </c>
      <c r="G3122" s="366" t="s">
        <v>10088</v>
      </c>
      <c r="H3122" s="366" t="s">
        <v>11415</v>
      </c>
      <c r="I3122" s="364" t="s">
        <v>15402</v>
      </c>
      <c r="J3122" s="367">
        <v>44754</v>
      </c>
      <c r="K3122" s="364" t="s">
        <v>15403</v>
      </c>
      <c r="L3122" s="364"/>
      <c r="M3122" s="364"/>
      <c r="N3122" s="364"/>
      <c r="O3122" s="364" t="s">
        <v>44</v>
      </c>
      <c r="P3122" s="373">
        <v>508983260</v>
      </c>
      <c r="Q3122" s="364" t="s">
        <v>15404</v>
      </c>
      <c r="R3122" s="364" t="s">
        <v>9981</v>
      </c>
      <c r="S3122" s="340">
        <v>1</v>
      </c>
    </row>
    <row r="3123" spans="1:19" ht="31.5" thickBot="1" x14ac:dyDescent="0.4">
      <c r="A3123" s="357">
        <v>3112</v>
      </c>
      <c r="B3123" s="364" t="s">
        <v>10110</v>
      </c>
      <c r="C3123" s="364" t="s">
        <v>10111</v>
      </c>
      <c r="D3123" s="366" t="s">
        <v>97</v>
      </c>
      <c r="E3123" s="366" t="s">
        <v>10082</v>
      </c>
      <c r="F3123" s="366" t="s">
        <v>10078</v>
      </c>
      <c r="G3123" s="366" t="s">
        <v>10078</v>
      </c>
      <c r="H3123" s="366" t="s">
        <v>13337</v>
      </c>
      <c r="I3123" s="364" t="s">
        <v>15405</v>
      </c>
      <c r="J3123" s="367">
        <v>44761</v>
      </c>
      <c r="K3123" s="364" t="s">
        <v>15406</v>
      </c>
      <c r="L3123" s="364"/>
      <c r="M3123" s="364"/>
      <c r="N3123" s="364"/>
      <c r="O3123" s="364" t="s">
        <v>44</v>
      </c>
      <c r="P3123" s="373">
        <v>219825800</v>
      </c>
      <c r="Q3123" s="364" t="s">
        <v>15407</v>
      </c>
      <c r="R3123" s="364" t="s">
        <v>9981</v>
      </c>
      <c r="S3123" s="340">
        <v>1</v>
      </c>
    </row>
    <row r="3124" spans="1:19" ht="31" x14ac:dyDescent="0.35">
      <c r="A3124" s="349">
        <v>3113</v>
      </c>
      <c r="B3124" s="364" t="s">
        <v>10110</v>
      </c>
      <c r="C3124" s="364" t="s">
        <v>10111</v>
      </c>
      <c r="D3124" s="366" t="s">
        <v>101</v>
      </c>
      <c r="E3124" s="366" t="s">
        <v>10082</v>
      </c>
      <c r="F3124" s="366" t="s">
        <v>10078</v>
      </c>
      <c r="G3124" s="366" t="s">
        <v>10088</v>
      </c>
      <c r="H3124" s="366" t="s">
        <v>11364</v>
      </c>
      <c r="I3124" s="364" t="s">
        <v>14503</v>
      </c>
      <c r="J3124" s="367"/>
      <c r="K3124" s="364" t="s">
        <v>15408</v>
      </c>
      <c r="L3124" s="364"/>
      <c r="M3124" s="364"/>
      <c r="N3124" s="364"/>
      <c r="O3124" s="364" t="s">
        <v>44</v>
      </c>
      <c r="P3124" s="373">
        <v>88210700</v>
      </c>
      <c r="Q3124" s="364" t="s">
        <v>15409</v>
      </c>
      <c r="R3124" s="364" t="s">
        <v>9981</v>
      </c>
      <c r="S3124" s="340">
        <v>1</v>
      </c>
    </row>
    <row r="3125" spans="1:19" ht="47" thickBot="1" x14ac:dyDescent="0.4">
      <c r="A3125" s="357">
        <v>3114</v>
      </c>
      <c r="B3125" s="364" t="s">
        <v>10085</v>
      </c>
      <c r="C3125" s="364" t="s">
        <v>10086</v>
      </c>
      <c r="D3125" s="366" t="s">
        <v>51</v>
      </c>
      <c r="E3125" s="366" t="s">
        <v>10082</v>
      </c>
      <c r="F3125" s="366" t="s">
        <v>10078</v>
      </c>
      <c r="G3125" s="366" t="s">
        <v>10088</v>
      </c>
      <c r="H3125" s="366" t="s">
        <v>8955</v>
      </c>
      <c r="I3125" s="364" t="s">
        <v>15410</v>
      </c>
      <c r="J3125" s="367">
        <v>41528</v>
      </c>
      <c r="K3125" s="364" t="s">
        <v>15411</v>
      </c>
      <c r="L3125" s="364"/>
      <c r="M3125" s="364" t="s">
        <v>10084</v>
      </c>
      <c r="N3125" s="364"/>
      <c r="O3125" s="364" t="s">
        <v>57</v>
      </c>
      <c r="P3125" s="373">
        <v>136339000</v>
      </c>
      <c r="Q3125" s="364" t="s">
        <v>15412</v>
      </c>
      <c r="R3125" s="364" t="s">
        <v>9981</v>
      </c>
      <c r="S3125" s="340">
        <v>1</v>
      </c>
    </row>
    <row r="3126" spans="1:19" ht="31" x14ac:dyDescent="0.35">
      <c r="A3126" s="349">
        <v>3115</v>
      </c>
      <c r="B3126" s="364" t="s">
        <v>10085</v>
      </c>
      <c r="C3126" s="364" t="s">
        <v>10086</v>
      </c>
      <c r="D3126" s="366" t="s">
        <v>59</v>
      </c>
      <c r="E3126" s="366" t="s">
        <v>10082</v>
      </c>
      <c r="F3126" s="366" t="s">
        <v>10078</v>
      </c>
      <c r="G3126" s="366" t="s">
        <v>10088</v>
      </c>
      <c r="H3126" s="366" t="s">
        <v>11308</v>
      </c>
      <c r="I3126" s="364" t="s">
        <v>10203</v>
      </c>
      <c r="J3126" s="367"/>
      <c r="K3126" s="364"/>
      <c r="L3126" s="364"/>
      <c r="M3126" s="364" t="s">
        <v>10084</v>
      </c>
      <c r="N3126" s="364"/>
      <c r="O3126" s="364" t="s">
        <v>57</v>
      </c>
      <c r="P3126" s="373">
        <v>208229000</v>
      </c>
      <c r="Q3126" s="364"/>
      <c r="R3126" s="364" t="s">
        <v>9981</v>
      </c>
      <c r="S3126" s="340">
        <v>1</v>
      </c>
    </row>
    <row r="3127" spans="1:19" ht="31.5" thickBot="1" x14ac:dyDescent="0.4">
      <c r="A3127" s="357">
        <v>3116</v>
      </c>
      <c r="B3127" s="364" t="s">
        <v>10085</v>
      </c>
      <c r="C3127" s="364" t="s">
        <v>10086</v>
      </c>
      <c r="D3127" s="366" t="s">
        <v>97</v>
      </c>
      <c r="E3127" s="366" t="s">
        <v>10082</v>
      </c>
      <c r="F3127" s="366" t="s">
        <v>10078</v>
      </c>
      <c r="G3127" s="366" t="s">
        <v>10088</v>
      </c>
      <c r="H3127" s="366" t="s">
        <v>11308</v>
      </c>
      <c r="I3127" s="364" t="s">
        <v>10203</v>
      </c>
      <c r="J3127" s="367"/>
      <c r="K3127" s="364"/>
      <c r="L3127" s="364"/>
      <c r="M3127" s="364" t="s">
        <v>10084</v>
      </c>
      <c r="N3127" s="364"/>
      <c r="O3127" s="364" t="s">
        <v>57</v>
      </c>
      <c r="P3127" s="373">
        <v>138449000</v>
      </c>
      <c r="Q3127" s="364"/>
      <c r="R3127" s="364" t="s">
        <v>9981</v>
      </c>
      <c r="S3127" s="340">
        <v>1</v>
      </c>
    </row>
    <row r="3128" spans="1:19" ht="31" x14ac:dyDescent="0.35">
      <c r="A3128" s="349">
        <v>3117</v>
      </c>
      <c r="B3128" s="364" t="s">
        <v>10096</v>
      </c>
      <c r="C3128" s="364" t="s">
        <v>10097</v>
      </c>
      <c r="D3128" s="366" t="s">
        <v>51</v>
      </c>
      <c r="E3128" s="366" t="s">
        <v>10082</v>
      </c>
      <c r="F3128" s="366" t="s">
        <v>10078</v>
      </c>
      <c r="G3128" s="366" t="s">
        <v>10088</v>
      </c>
      <c r="H3128" s="366" t="s">
        <v>15413</v>
      </c>
      <c r="I3128" s="364" t="s">
        <v>10203</v>
      </c>
      <c r="J3128" s="367"/>
      <c r="K3128" s="364"/>
      <c r="L3128" s="364"/>
      <c r="M3128" s="364" t="s">
        <v>10084</v>
      </c>
      <c r="N3128" s="364"/>
      <c r="O3128" s="364" t="s">
        <v>57</v>
      </c>
      <c r="P3128" s="373">
        <v>200000000</v>
      </c>
      <c r="Q3128" s="364"/>
      <c r="R3128" s="364" t="s">
        <v>9981</v>
      </c>
      <c r="S3128" s="340">
        <v>1</v>
      </c>
    </row>
    <row r="3129" spans="1:19" ht="31.5" thickBot="1" x14ac:dyDescent="0.4">
      <c r="A3129" s="357">
        <v>3118</v>
      </c>
      <c r="B3129" s="364" t="s">
        <v>10096</v>
      </c>
      <c r="C3129" s="364" t="s">
        <v>10097</v>
      </c>
      <c r="D3129" s="366" t="s">
        <v>59</v>
      </c>
      <c r="E3129" s="366" t="s">
        <v>10082</v>
      </c>
      <c r="F3129" s="366" t="s">
        <v>10078</v>
      </c>
      <c r="G3129" s="366" t="s">
        <v>10088</v>
      </c>
      <c r="H3129" s="366" t="s">
        <v>11465</v>
      </c>
      <c r="I3129" s="364" t="s">
        <v>10203</v>
      </c>
      <c r="J3129" s="367">
        <v>42970</v>
      </c>
      <c r="K3129" s="364" t="s">
        <v>15414</v>
      </c>
      <c r="L3129" s="364"/>
      <c r="M3129" s="364" t="s">
        <v>10084</v>
      </c>
      <c r="N3129" s="364"/>
      <c r="O3129" s="364" t="s">
        <v>57</v>
      </c>
      <c r="P3129" s="373">
        <v>420334000</v>
      </c>
      <c r="Q3129" s="364" t="s">
        <v>15415</v>
      </c>
      <c r="R3129" s="364" t="s">
        <v>9981</v>
      </c>
      <c r="S3129" s="340">
        <v>1</v>
      </c>
    </row>
    <row r="3130" spans="1:19" ht="31" x14ac:dyDescent="0.35">
      <c r="A3130" s="349">
        <v>3119</v>
      </c>
      <c r="B3130" s="364" t="s">
        <v>10096</v>
      </c>
      <c r="C3130" s="364" t="s">
        <v>10097</v>
      </c>
      <c r="D3130" s="366" t="s">
        <v>101</v>
      </c>
      <c r="E3130" s="366" t="s">
        <v>10082</v>
      </c>
      <c r="F3130" s="366" t="s">
        <v>10078</v>
      </c>
      <c r="G3130" s="366" t="s">
        <v>10088</v>
      </c>
      <c r="H3130" s="366" t="s">
        <v>13166</v>
      </c>
      <c r="I3130" s="364" t="s">
        <v>15416</v>
      </c>
      <c r="J3130" s="367"/>
      <c r="K3130" s="364" t="s">
        <v>15417</v>
      </c>
      <c r="L3130" s="364"/>
      <c r="M3130" s="364"/>
      <c r="N3130" s="364"/>
      <c r="O3130" s="364" t="s">
        <v>44</v>
      </c>
      <c r="P3130" s="373">
        <v>166109250</v>
      </c>
      <c r="Q3130" s="364" t="s">
        <v>15415</v>
      </c>
      <c r="R3130" s="364" t="s">
        <v>9981</v>
      </c>
      <c r="S3130" s="340">
        <v>1</v>
      </c>
    </row>
    <row r="3131" spans="1:19" ht="31.5" thickBot="1" x14ac:dyDescent="0.4">
      <c r="A3131" s="357">
        <v>3120</v>
      </c>
      <c r="B3131" s="364" t="s">
        <v>10155</v>
      </c>
      <c r="C3131" s="364" t="s">
        <v>10156</v>
      </c>
      <c r="D3131" s="366" t="s">
        <v>51</v>
      </c>
      <c r="E3131" s="366" t="s">
        <v>10082</v>
      </c>
      <c r="F3131" s="366" t="s">
        <v>10078</v>
      </c>
      <c r="G3131" s="366" t="s">
        <v>10088</v>
      </c>
      <c r="H3131" s="366" t="s">
        <v>8961</v>
      </c>
      <c r="I3131" s="364" t="s">
        <v>15418</v>
      </c>
      <c r="J3131" s="367"/>
      <c r="K3131" s="364"/>
      <c r="L3131" s="364"/>
      <c r="M3131" s="364" t="s">
        <v>10084</v>
      </c>
      <c r="N3131" s="364"/>
      <c r="O3131" s="364" t="s">
        <v>57</v>
      </c>
      <c r="P3131" s="373">
        <v>47571000</v>
      </c>
      <c r="Q3131" s="364"/>
      <c r="R3131" s="364" t="s">
        <v>9983</v>
      </c>
      <c r="S3131" s="340">
        <v>1</v>
      </c>
    </row>
    <row r="3132" spans="1:19" ht="31" x14ac:dyDescent="0.35">
      <c r="A3132" s="349">
        <v>3121</v>
      </c>
      <c r="B3132" s="364" t="s">
        <v>10155</v>
      </c>
      <c r="C3132" s="364" t="s">
        <v>10156</v>
      </c>
      <c r="D3132" s="366" t="s">
        <v>59</v>
      </c>
      <c r="E3132" s="366" t="s">
        <v>10082</v>
      </c>
      <c r="F3132" s="366" t="s">
        <v>10078</v>
      </c>
      <c r="G3132" s="366" t="s">
        <v>10088</v>
      </c>
      <c r="H3132" s="366" t="s">
        <v>14053</v>
      </c>
      <c r="I3132" s="364" t="s">
        <v>15418</v>
      </c>
      <c r="J3132" s="367"/>
      <c r="K3132" s="364"/>
      <c r="L3132" s="364"/>
      <c r="M3132" s="364" t="s">
        <v>10084</v>
      </c>
      <c r="N3132" s="364"/>
      <c r="O3132" s="364" t="s">
        <v>57</v>
      </c>
      <c r="P3132" s="373">
        <v>142714000</v>
      </c>
      <c r="Q3132" s="364"/>
      <c r="R3132" s="364" t="s">
        <v>9983</v>
      </c>
      <c r="S3132" s="340">
        <v>1</v>
      </c>
    </row>
    <row r="3133" spans="1:19" ht="31.5" thickBot="1" x14ac:dyDescent="0.4">
      <c r="A3133" s="357">
        <v>3122</v>
      </c>
      <c r="B3133" s="364" t="s">
        <v>11830</v>
      </c>
      <c r="C3133" s="364" t="s">
        <v>11831</v>
      </c>
      <c r="D3133" s="366" t="s">
        <v>51</v>
      </c>
      <c r="E3133" s="366" t="s">
        <v>10082</v>
      </c>
      <c r="F3133" s="366" t="s">
        <v>10078</v>
      </c>
      <c r="G3133" s="366" t="s">
        <v>10078</v>
      </c>
      <c r="H3133" s="366" t="s">
        <v>82</v>
      </c>
      <c r="I3133" s="364" t="s">
        <v>15418</v>
      </c>
      <c r="J3133" s="367"/>
      <c r="K3133" s="364"/>
      <c r="L3133" s="364"/>
      <c r="M3133" s="364" t="s">
        <v>10084</v>
      </c>
      <c r="N3133" s="364"/>
      <c r="O3133" s="364" t="s">
        <v>57</v>
      </c>
      <c r="P3133" s="373">
        <v>75510000</v>
      </c>
      <c r="Q3133" s="364"/>
      <c r="R3133" s="364" t="s">
        <v>9983</v>
      </c>
      <c r="S3133" s="340">
        <v>1</v>
      </c>
    </row>
    <row r="3134" spans="1:19" ht="31" x14ac:dyDescent="0.35">
      <c r="A3134" s="349">
        <v>3123</v>
      </c>
      <c r="B3134" s="364" t="s">
        <v>11830</v>
      </c>
      <c r="C3134" s="364" t="s">
        <v>11831</v>
      </c>
      <c r="D3134" s="366" t="s">
        <v>59</v>
      </c>
      <c r="E3134" s="366" t="s">
        <v>10082</v>
      </c>
      <c r="F3134" s="366" t="s">
        <v>10078</v>
      </c>
      <c r="G3134" s="366" t="s">
        <v>10088</v>
      </c>
      <c r="H3134" s="366" t="s">
        <v>82</v>
      </c>
      <c r="I3134" s="364" t="s">
        <v>15418</v>
      </c>
      <c r="J3134" s="367"/>
      <c r="K3134" s="364"/>
      <c r="L3134" s="364"/>
      <c r="M3134" s="364" t="s">
        <v>10084</v>
      </c>
      <c r="N3134" s="364"/>
      <c r="O3134" s="364" t="s">
        <v>57</v>
      </c>
      <c r="P3134" s="373">
        <v>75510000</v>
      </c>
      <c r="Q3134" s="364"/>
      <c r="R3134" s="364" t="s">
        <v>9983</v>
      </c>
      <c r="S3134" s="340">
        <v>1</v>
      </c>
    </row>
    <row r="3135" spans="1:19" ht="31.5" thickBot="1" x14ac:dyDescent="0.4">
      <c r="A3135" s="357">
        <v>3124</v>
      </c>
      <c r="B3135" s="364" t="s">
        <v>11830</v>
      </c>
      <c r="C3135" s="364" t="s">
        <v>11831</v>
      </c>
      <c r="D3135" s="366" t="s">
        <v>97</v>
      </c>
      <c r="E3135" s="366" t="s">
        <v>10082</v>
      </c>
      <c r="F3135" s="366" t="s">
        <v>10078</v>
      </c>
      <c r="G3135" s="366" t="s">
        <v>10088</v>
      </c>
      <c r="H3135" s="366" t="s">
        <v>11364</v>
      </c>
      <c r="I3135" s="364" t="s">
        <v>15418</v>
      </c>
      <c r="J3135" s="367"/>
      <c r="K3135" s="364"/>
      <c r="L3135" s="364"/>
      <c r="M3135" s="364" t="s">
        <v>10084</v>
      </c>
      <c r="N3135" s="364"/>
      <c r="O3135" s="364" t="s">
        <v>57</v>
      </c>
      <c r="P3135" s="373">
        <v>37500000</v>
      </c>
      <c r="Q3135" s="364" t="s">
        <v>15419</v>
      </c>
      <c r="R3135" s="364" t="s">
        <v>9983</v>
      </c>
      <c r="S3135" s="340">
        <v>1</v>
      </c>
    </row>
    <row r="3136" spans="1:19" ht="31" x14ac:dyDescent="0.35">
      <c r="A3136" s="349">
        <v>3125</v>
      </c>
      <c r="B3136" s="364" t="s">
        <v>11830</v>
      </c>
      <c r="C3136" s="364" t="s">
        <v>11831</v>
      </c>
      <c r="D3136" s="366" t="s">
        <v>101</v>
      </c>
      <c r="E3136" s="366" t="s">
        <v>10082</v>
      </c>
      <c r="F3136" s="366" t="s">
        <v>10071</v>
      </c>
      <c r="G3136" s="366" t="s">
        <v>10088</v>
      </c>
      <c r="H3136" s="366" t="s">
        <v>15420</v>
      </c>
      <c r="I3136" s="364" t="s">
        <v>15418</v>
      </c>
      <c r="J3136" s="367">
        <v>43465</v>
      </c>
      <c r="K3136" s="364"/>
      <c r="L3136" s="364"/>
      <c r="M3136" s="364" t="s">
        <v>10084</v>
      </c>
      <c r="N3136" s="364"/>
      <c r="O3136" s="364" t="s">
        <v>57</v>
      </c>
      <c r="P3136" s="373">
        <v>720169302</v>
      </c>
      <c r="Q3136" s="364" t="s">
        <v>15421</v>
      </c>
      <c r="R3136" s="364" t="s">
        <v>9983</v>
      </c>
      <c r="S3136" s="340">
        <v>1</v>
      </c>
    </row>
    <row r="3137" spans="1:19" ht="31.5" thickBot="1" x14ac:dyDescent="0.4">
      <c r="A3137" s="357">
        <v>3126</v>
      </c>
      <c r="B3137" s="364" t="s">
        <v>10475</v>
      </c>
      <c r="C3137" s="364" t="s">
        <v>10476</v>
      </c>
      <c r="D3137" s="366" t="s">
        <v>51</v>
      </c>
      <c r="E3137" s="366" t="s">
        <v>10082</v>
      </c>
      <c r="F3137" s="366" t="s">
        <v>10078</v>
      </c>
      <c r="G3137" s="366" t="s">
        <v>10078</v>
      </c>
      <c r="H3137" s="366" t="s">
        <v>11297</v>
      </c>
      <c r="I3137" s="364" t="s">
        <v>15418</v>
      </c>
      <c r="J3137" s="367"/>
      <c r="K3137" s="364"/>
      <c r="L3137" s="364"/>
      <c r="M3137" s="364" t="s">
        <v>10084</v>
      </c>
      <c r="N3137" s="364"/>
      <c r="O3137" s="364" t="s">
        <v>57</v>
      </c>
      <c r="P3137" s="373">
        <v>195076000</v>
      </c>
      <c r="Q3137" s="364" t="s">
        <v>15422</v>
      </c>
      <c r="R3137" s="364" t="s">
        <v>9983</v>
      </c>
      <c r="S3137" s="340">
        <v>1</v>
      </c>
    </row>
    <row r="3138" spans="1:19" ht="31" x14ac:dyDescent="0.35">
      <c r="A3138" s="349">
        <v>3127</v>
      </c>
      <c r="B3138" s="364" t="s">
        <v>10481</v>
      </c>
      <c r="C3138" s="364" t="s">
        <v>10482</v>
      </c>
      <c r="D3138" s="366" t="s">
        <v>51</v>
      </c>
      <c r="E3138" s="366" t="s">
        <v>10082</v>
      </c>
      <c r="F3138" s="366" t="s">
        <v>10078</v>
      </c>
      <c r="G3138" s="366" t="s">
        <v>10078</v>
      </c>
      <c r="H3138" s="366" t="s">
        <v>11409</v>
      </c>
      <c r="I3138" s="364" t="s">
        <v>15418</v>
      </c>
      <c r="J3138" s="367"/>
      <c r="K3138" s="364"/>
      <c r="L3138" s="364"/>
      <c r="M3138" s="364" t="s">
        <v>10084</v>
      </c>
      <c r="N3138" s="364"/>
      <c r="O3138" s="364" t="s">
        <v>57</v>
      </c>
      <c r="P3138" s="373">
        <v>90612000</v>
      </c>
      <c r="Q3138" s="364" t="s">
        <v>15423</v>
      </c>
      <c r="R3138" s="364" t="s">
        <v>9983</v>
      </c>
      <c r="S3138" s="340">
        <v>1</v>
      </c>
    </row>
    <row r="3139" spans="1:19" ht="31.5" thickBot="1" x14ac:dyDescent="0.4">
      <c r="A3139" s="357">
        <v>3128</v>
      </c>
      <c r="B3139" s="364" t="s">
        <v>10080</v>
      </c>
      <c r="C3139" s="364" t="s">
        <v>10081</v>
      </c>
      <c r="D3139" s="366" t="s">
        <v>51</v>
      </c>
      <c r="E3139" s="366" t="s">
        <v>10082</v>
      </c>
      <c r="F3139" s="366" t="s">
        <v>10078</v>
      </c>
      <c r="G3139" s="366" t="s">
        <v>10088</v>
      </c>
      <c r="H3139" s="366" t="s">
        <v>11465</v>
      </c>
      <c r="I3139" s="364" t="s">
        <v>15418</v>
      </c>
      <c r="J3139" s="367"/>
      <c r="K3139" s="364"/>
      <c r="L3139" s="364"/>
      <c r="M3139" s="364" t="s">
        <v>10084</v>
      </c>
      <c r="N3139" s="364"/>
      <c r="O3139" s="364" t="s">
        <v>57</v>
      </c>
      <c r="P3139" s="373">
        <v>95143000</v>
      </c>
      <c r="Q3139" s="364"/>
      <c r="R3139" s="364" t="s">
        <v>9983</v>
      </c>
      <c r="S3139" s="340">
        <v>1</v>
      </c>
    </row>
    <row r="3140" spans="1:19" ht="31" x14ac:dyDescent="0.35">
      <c r="A3140" s="349">
        <v>3129</v>
      </c>
      <c r="B3140" s="364" t="s">
        <v>10080</v>
      </c>
      <c r="C3140" s="364" t="s">
        <v>10081</v>
      </c>
      <c r="D3140" s="366" t="s">
        <v>59</v>
      </c>
      <c r="E3140" s="366" t="s">
        <v>10082</v>
      </c>
      <c r="F3140" s="366" t="s">
        <v>10078</v>
      </c>
      <c r="G3140" s="366" t="s">
        <v>10088</v>
      </c>
      <c r="H3140" s="366" t="s">
        <v>11465</v>
      </c>
      <c r="I3140" s="364" t="s">
        <v>15418</v>
      </c>
      <c r="J3140" s="367"/>
      <c r="K3140" s="364"/>
      <c r="L3140" s="364"/>
      <c r="M3140" s="364" t="s">
        <v>10084</v>
      </c>
      <c r="N3140" s="364"/>
      <c r="O3140" s="364" t="s">
        <v>57</v>
      </c>
      <c r="P3140" s="373">
        <v>95143000</v>
      </c>
      <c r="Q3140" s="364"/>
      <c r="R3140" s="364" t="s">
        <v>9983</v>
      </c>
      <c r="S3140" s="340">
        <v>1</v>
      </c>
    </row>
    <row r="3141" spans="1:19" ht="31.5" thickBot="1" x14ac:dyDescent="0.4">
      <c r="A3141" s="357">
        <v>3130</v>
      </c>
      <c r="B3141" s="364" t="s">
        <v>10080</v>
      </c>
      <c r="C3141" s="364" t="s">
        <v>10081</v>
      </c>
      <c r="D3141" s="366" t="s">
        <v>97</v>
      </c>
      <c r="E3141" s="366" t="s">
        <v>10082</v>
      </c>
      <c r="F3141" s="366" t="s">
        <v>10078</v>
      </c>
      <c r="G3141" s="366" t="s">
        <v>10088</v>
      </c>
      <c r="H3141" s="366" t="s">
        <v>13157</v>
      </c>
      <c r="I3141" s="364" t="s">
        <v>15418</v>
      </c>
      <c r="J3141" s="367"/>
      <c r="K3141" s="364"/>
      <c r="L3141" s="364"/>
      <c r="M3141" s="364" t="s">
        <v>10084</v>
      </c>
      <c r="N3141" s="364"/>
      <c r="O3141" s="364" t="s">
        <v>57</v>
      </c>
      <c r="P3141" s="373">
        <v>522557000</v>
      </c>
      <c r="Q3141" s="364"/>
      <c r="R3141" s="364" t="s">
        <v>9983</v>
      </c>
      <c r="S3141" s="340">
        <v>1</v>
      </c>
    </row>
    <row r="3142" spans="1:19" ht="31" x14ac:dyDescent="0.35">
      <c r="A3142" s="349">
        <v>3131</v>
      </c>
      <c r="B3142" s="364" t="s">
        <v>10080</v>
      </c>
      <c r="C3142" s="364" t="s">
        <v>10081</v>
      </c>
      <c r="D3142" s="366" t="s">
        <v>101</v>
      </c>
      <c r="E3142" s="366" t="s">
        <v>10082</v>
      </c>
      <c r="F3142" s="366" t="s">
        <v>10078</v>
      </c>
      <c r="G3142" s="366" t="s">
        <v>10088</v>
      </c>
      <c r="H3142" s="366" t="s">
        <v>14053</v>
      </c>
      <c r="I3142" s="364" t="s">
        <v>15418</v>
      </c>
      <c r="J3142" s="367">
        <v>39969</v>
      </c>
      <c r="K3142" s="364"/>
      <c r="L3142" s="364"/>
      <c r="M3142" s="364" t="s">
        <v>10084</v>
      </c>
      <c r="N3142" s="364"/>
      <c r="O3142" s="364" t="s">
        <v>422</v>
      </c>
      <c r="P3142" s="373">
        <v>124971421.99999999</v>
      </c>
      <c r="Q3142" s="364" t="s">
        <v>15424</v>
      </c>
      <c r="R3142" s="364" t="s">
        <v>9983</v>
      </c>
      <c r="S3142" s="340">
        <v>1</v>
      </c>
    </row>
    <row r="3143" spans="1:19" ht="31.5" thickBot="1" x14ac:dyDescent="0.4">
      <c r="A3143" s="357">
        <v>3132</v>
      </c>
      <c r="B3143" s="364" t="s">
        <v>10080</v>
      </c>
      <c r="C3143" s="364" t="s">
        <v>10081</v>
      </c>
      <c r="D3143" s="366" t="s">
        <v>107</v>
      </c>
      <c r="E3143" s="366" t="s">
        <v>10082</v>
      </c>
      <c r="F3143" s="366" t="s">
        <v>10078</v>
      </c>
      <c r="G3143" s="366" t="s">
        <v>10088</v>
      </c>
      <c r="H3143" s="366" t="s">
        <v>12960</v>
      </c>
      <c r="I3143" s="364" t="s">
        <v>15418</v>
      </c>
      <c r="J3143" s="367"/>
      <c r="K3143" s="364"/>
      <c r="L3143" s="364"/>
      <c r="M3143" s="364" t="s">
        <v>10084</v>
      </c>
      <c r="N3143" s="364"/>
      <c r="O3143" s="364" t="s">
        <v>57</v>
      </c>
      <c r="P3143" s="373">
        <v>190285000</v>
      </c>
      <c r="Q3143" s="364"/>
      <c r="R3143" s="364" t="s">
        <v>9983</v>
      </c>
      <c r="S3143" s="340">
        <v>1</v>
      </c>
    </row>
    <row r="3144" spans="1:19" ht="31" x14ac:dyDescent="0.35">
      <c r="A3144" s="349">
        <v>3133</v>
      </c>
      <c r="B3144" s="364" t="s">
        <v>10080</v>
      </c>
      <c r="C3144" s="364" t="s">
        <v>10081</v>
      </c>
      <c r="D3144" s="366" t="s">
        <v>112</v>
      </c>
      <c r="E3144" s="366" t="s">
        <v>10082</v>
      </c>
      <c r="F3144" s="366" t="s">
        <v>10078</v>
      </c>
      <c r="G3144" s="366" t="s">
        <v>10088</v>
      </c>
      <c r="H3144" s="366" t="s">
        <v>11465</v>
      </c>
      <c r="I3144" s="364" t="s">
        <v>15418</v>
      </c>
      <c r="J3144" s="367"/>
      <c r="K3144" s="364"/>
      <c r="L3144" s="364"/>
      <c r="M3144" s="364" t="s">
        <v>10084</v>
      </c>
      <c r="N3144" s="364"/>
      <c r="O3144" s="364" t="s">
        <v>57</v>
      </c>
      <c r="P3144" s="373">
        <v>95143000</v>
      </c>
      <c r="Q3144" s="364"/>
      <c r="R3144" s="364" t="s">
        <v>9983</v>
      </c>
      <c r="S3144" s="340">
        <v>1</v>
      </c>
    </row>
    <row r="3145" spans="1:19" ht="31.5" thickBot="1" x14ac:dyDescent="0.4">
      <c r="A3145" s="357">
        <v>3134</v>
      </c>
      <c r="B3145" s="364" t="s">
        <v>10080</v>
      </c>
      <c r="C3145" s="364" t="s">
        <v>10081</v>
      </c>
      <c r="D3145" s="366" t="s">
        <v>116</v>
      </c>
      <c r="E3145" s="366" t="s">
        <v>10082</v>
      </c>
      <c r="F3145" s="366" t="s">
        <v>10078</v>
      </c>
      <c r="G3145" s="366" t="s">
        <v>10088</v>
      </c>
      <c r="H3145" s="366" t="s">
        <v>11465</v>
      </c>
      <c r="I3145" s="364" t="s">
        <v>15418</v>
      </c>
      <c r="J3145" s="367"/>
      <c r="K3145" s="364"/>
      <c r="L3145" s="364"/>
      <c r="M3145" s="364" t="s">
        <v>10084</v>
      </c>
      <c r="N3145" s="364"/>
      <c r="O3145" s="364" t="s">
        <v>57</v>
      </c>
      <c r="P3145" s="373">
        <v>95143000</v>
      </c>
      <c r="Q3145" s="364"/>
      <c r="R3145" s="364" t="s">
        <v>9983</v>
      </c>
      <c r="S3145" s="340">
        <v>1</v>
      </c>
    </row>
    <row r="3146" spans="1:19" ht="31" x14ac:dyDescent="0.35">
      <c r="A3146" s="349">
        <v>3135</v>
      </c>
      <c r="B3146" s="364" t="s">
        <v>10080</v>
      </c>
      <c r="C3146" s="364" t="s">
        <v>10081</v>
      </c>
      <c r="D3146" s="366" t="s">
        <v>841</v>
      </c>
      <c r="E3146" s="366" t="s">
        <v>10082</v>
      </c>
      <c r="F3146" s="366" t="s">
        <v>10078</v>
      </c>
      <c r="G3146" s="366" t="s">
        <v>10078</v>
      </c>
      <c r="H3146" s="366" t="s">
        <v>13011</v>
      </c>
      <c r="I3146" s="364" t="s">
        <v>15418</v>
      </c>
      <c r="J3146" s="367"/>
      <c r="K3146" s="364"/>
      <c r="L3146" s="364"/>
      <c r="M3146" s="364" t="s">
        <v>10084</v>
      </c>
      <c r="N3146" s="364"/>
      <c r="O3146" s="364" t="s">
        <v>422</v>
      </c>
      <c r="P3146" s="373">
        <v>129600000</v>
      </c>
      <c r="Q3146" s="364" t="s">
        <v>8603</v>
      </c>
      <c r="R3146" s="364" t="s">
        <v>9983</v>
      </c>
      <c r="S3146" s="340">
        <v>1</v>
      </c>
    </row>
    <row r="3147" spans="1:19" ht="31.5" thickBot="1" x14ac:dyDescent="0.4">
      <c r="A3147" s="357">
        <v>3136</v>
      </c>
      <c r="B3147" s="364" t="s">
        <v>10080</v>
      </c>
      <c r="C3147" s="364" t="s">
        <v>10081</v>
      </c>
      <c r="D3147" s="366" t="s">
        <v>904</v>
      </c>
      <c r="E3147" s="366" t="s">
        <v>10082</v>
      </c>
      <c r="F3147" s="366" t="s">
        <v>10078</v>
      </c>
      <c r="G3147" s="366" t="s">
        <v>10088</v>
      </c>
      <c r="H3147" s="366" t="s">
        <v>11384</v>
      </c>
      <c r="I3147" s="364" t="s">
        <v>15418</v>
      </c>
      <c r="J3147" s="367">
        <v>43465</v>
      </c>
      <c r="K3147" s="364"/>
      <c r="L3147" s="364"/>
      <c r="M3147" s="364" t="s">
        <v>10084</v>
      </c>
      <c r="N3147" s="364"/>
      <c r="O3147" s="364" t="s">
        <v>57</v>
      </c>
      <c r="P3147" s="373">
        <v>187552658</v>
      </c>
      <c r="Q3147" s="364" t="s">
        <v>15425</v>
      </c>
      <c r="R3147" s="364" t="s">
        <v>9983</v>
      </c>
      <c r="S3147" s="340">
        <v>1</v>
      </c>
    </row>
    <row r="3148" spans="1:19" ht="31" x14ac:dyDescent="0.35">
      <c r="A3148" s="349">
        <v>3137</v>
      </c>
      <c r="B3148" s="364" t="s">
        <v>10110</v>
      </c>
      <c r="C3148" s="364" t="s">
        <v>10111</v>
      </c>
      <c r="D3148" s="366" t="s">
        <v>51</v>
      </c>
      <c r="E3148" s="366" t="s">
        <v>10082</v>
      </c>
      <c r="F3148" s="366" t="s">
        <v>10078</v>
      </c>
      <c r="G3148" s="366" t="s">
        <v>10088</v>
      </c>
      <c r="H3148" s="366" t="s">
        <v>11332</v>
      </c>
      <c r="I3148" s="364" t="s">
        <v>15418</v>
      </c>
      <c r="J3148" s="367">
        <v>42328</v>
      </c>
      <c r="K3148" s="364" t="s">
        <v>15426</v>
      </c>
      <c r="L3148" s="364"/>
      <c r="M3148" s="364" t="s">
        <v>10084</v>
      </c>
      <c r="N3148" s="364"/>
      <c r="O3148" s="364" t="s">
        <v>57</v>
      </c>
      <c r="P3148" s="373">
        <v>82554000</v>
      </c>
      <c r="Q3148" s="364" t="s">
        <v>15427</v>
      </c>
      <c r="R3148" s="364" t="s">
        <v>9983</v>
      </c>
      <c r="S3148" s="340">
        <v>1</v>
      </c>
    </row>
    <row r="3149" spans="1:19" ht="31.5" thickBot="1" x14ac:dyDescent="0.4">
      <c r="A3149" s="357">
        <v>3138</v>
      </c>
      <c r="B3149" s="364" t="s">
        <v>10110</v>
      </c>
      <c r="C3149" s="364" t="s">
        <v>10111</v>
      </c>
      <c r="D3149" s="366" t="s">
        <v>59</v>
      </c>
      <c r="E3149" s="366" t="s">
        <v>10082</v>
      </c>
      <c r="F3149" s="366" t="s">
        <v>10078</v>
      </c>
      <c r="G3149" s="366" t="s">
        <v>10088</v>
      </c>
      <c r="H3149" s="366" t="s">
        <v>11408</v>
      </c>
      <c r="I3149" s="364" t="s">
        <v>15418</v>
      </c>
      <c r="J3149" s="367"/>
      <c r="K3149" s="364"/>
      <c r="L3149" s="364"/>
      <c r="M3149" s="364" t="s">
        <v>10084</v>
      </c>
      <c r="N3149" s="364"/>
      <c r="O3149" s="364" t="s">
        <v>57</v>
      </c>
      <c r="P3149" s="373">
        <v>4531000</v>
      </c>
      <c r="Q3149" s="364"/>
      <c r="R3149" s="364" t="s">
        <v>9983</v>
      </c>
      <c r="S3149" s="340">
        <v>1</v>
      </c>
    </row>
    <row r="3150" spans="1:19" ht="31" x14ac:dyDescent="0.35">
      <c r="A3150" s="349">
        <v>3139</v>
      </c>
      <c r="B3150" s="364" t="s">
        <v>10110</v>
      </c>
      <c r="C3150" s="364" t="s">
        <v>10111</v>
      </c>
      <c r="D3150" s="366" t="s">
        <v>97</v>
      </c>
      <c r="E3150" s="366" t="s">
        <v>10082</v>
      </c>
      <c r="F3150" s="366" t="s">
        <v>10078</v>
      </c>
      <c r="G3150" s="366" t="s">
        <v>10088</v>
      </c>
      <c r="H3150" s="366" t="s">
        <v>11408</v>
      </c>
      <c r="I3150" s="364" t="s">
        <v>15418</v>
      </c>
      <c r="J3150" s="367"/>
      <c r="K3150" s="364"/>
      <c r="L3150" s="364"/>
      <c r="M3150" s="364" t="s">
        <v>10084</v>
      </c>
      <c r="N3150" s="364"/>
      <c r="O3150" s="364" t="s">
        <v>57</v>
      </c>
      <c r="P3150" s="373">
        <v>4531000</v>
      </c>
      <c r="Q3150" s="364"/>
      <c r="R3150" s="364" t="s">
        <v>9983</v>
      </c>
      <c r="S3150" s="340">
        <v>1</v>
      </c>
    </row>
    <row r="3151" spans="1:19" ht="47" thickBot="1" x14ac:dyDescent="0.4">
      <c r="A3151" s="357">
        <v>3140</v>
      </c>
      <c r="B3151" s="364" t="s">
        <v>10110</v>
      </c>
      <c r="C3151" s="364" t="s">
        <v>10111</v>
      </c>
      <c r="D3151" s="366" t="s">
        <v>101</v>
      </c>
      <c r="E3151" s="366" t="s">
        <v>10082</v>
      </c>
      <c r="F3151" s="366" t="s">
        <v>10078</v>
      </c>
      <c r="G3151" s="366" t="s">
        <v>10088</v>
      </c>
      <c r="H3151" s="366" t="s">
        <v>11364</v>
      </c>
      <c r="I3151" s="364" t="s">
        <v>15060</v>
      </c>
      <c r="J3151" s="367">
        <v>44756</v>
      </c>
      <c r="K3151" s="364" t="s">
        <v>15428</v>
      </c>
      <c r="L3151" s="364"/>
      <c r="M3151" s="364"/>
      <c r="N3151" s="364"/>
      <c r="O3151" s="364" t="s">
        <v>44</v>
      </c>
      <c r="P3151" s="373">
        <v>219144130</v>
      </c>
      <c r="Q3151" s="364" t="s">
        <v>15429</v>
      </c>
      <c r="R3151" s="364" t="s">
        <v>9983</v>
      </c>
      <c r="S3151" s="340">
        <v>1</v>
      </c>
    </row>
    <row r="3152" spans="1:19" ht="46.5" x14ac:dyDescent="0.35">
      <c r="A3152" s="349">
        <v>3141</v>
      </c>
      <c r="B3152" s="364" t="s">
        <v>10110</v>
      </c>
      <c r="C3152" s="364" t="s">
        <v>10111</v>
      </c>
      <c r="D3152" s="366" t="s">
        <v>107</v>
      </c>
      <c r="E3152" s="366" t="s">
        <v>10082</v>
      </c>
      <c r="F3152" s="366" t="s">
        <v>10078</v>
      </c>
      <c r="G3152" s="366" t="s">
        <v>10088</v>
      </c>
      <c r="H3152" s="366" t="s">
        <v>11333</v>
      </c>
      <c r="I3152" s="364" t="s">
        <v>15430</v>
      </c>
      <c r="J3152" s="367"/>
      <c r="K3152" s="364" t="s">
        <v>15431</v>
      </c>
      <c r="L3152" s="364"/>
      <c r="M3152" s="364"/>
      <c r="N3152" s="364"/>
      <c r="O3152" s="364" t="s">
        <v>44</v>
      </c>
      <c r="P3152" s="373">
        <v>221200200</v>
      </c>
      <c r="Q3152" s="364" t="s">
        <v>15432</v>
      </c>
      <c r="R3152" s="364" t="s">
        <v>9983</v>
      </c>
      <c r="S3152" s="340">
        <v>1</v>
      </c>
    </row>
    <row r="3153" spans="1:19" ht="31.5" thickBot="1" x14ac:dyDescent="0.4">
      <c r="A3153" s="357">
        <v>3142</v>
      </c>
      <c r="B3153" s="364" t="s">
        <v>10486</v>
      </c>
      <c r="C3153" s="364" t="s">
        <v>10487</v>
      </c>
      <c r="D3153" s="366" t="s">
        <v>51</v>
      </c>
      <c r="E3153" s="366" t="s">
        <v>10082</v>
      </c>
      <c r="F3153" s="366" t="s">
        <v>10078</v>
      </c>
      <c r="G3153" s="366" t="s">
        <v>10078</v>
      </c>
      <c r="H3153" s="366" t="s">
        <v>11686</v>
      </c>
      <c r="I3153" s="364" t="s">
        <v>15418</v>
      </c>
      <c r="J3153" s="367"/>
      <c r="K3153" s="364"/>
      <c r="L3153" s="364"/>
      <c r="M3153" s="364" t="s">
        <v>10084</v>
      </c>
      <c r="N3153" s="364"/>
      <c r="O3153" s="364" t="s">
        <v>57</v>
      </c>
      <c r="P3153" s="373">
        <v>76400000</v>
      </c>
      <c r="Q3153" s="364" t="s">
        <v>15433</v>
      </c>
      <c r="R3153" s="364" t="s">
        <v>9983</v>
      </c>
      <c r="S3153" s="340">
        <v>1</v>
      </c>
    </row>
    <row r="3154" spans="1:19" ht="31" x14ac:dyDescent="0.35">
      <c r="A3154" s="349">
        <v>3143</v>
      </c>
      <c r="B3154" s="364" t="s">
        <v>10092</v>
      </c>
      <c r="C3154" s="364" t="s">
        <v>10093</v>
      </c>
      <c r="D3154" s="366" t="s">
        <v>51</v>
      </c>
      <c r="E3154" s="366" t="s">
        <v>10082</v>
      </c>
      <c r="F3154" s="366" t="s">
        <v>10078</v>
      </c>
      <c r="G3154" s="366" t="s">
        <v>10088</v>
      </c>
      <c r="H3154" s="366" t="s">
        <v>11465</v>
      </c>
      <c r="I3154" s="364" t="s">
        <v>15418</v>
      </c>
      <c r="J3154" s="367"/>
      <c r="K3154" s="364"/>
      <c r="L3154" s="364"/>
      <c r="M3154" s="364" t="s">
        <v>10084</v>
      </c>
      <c r="N3154" s="364"/>
      <c r="O3154" s="364" t="s">
        <v>57</v>
      </c>
      <c r="P3154" s="373">
        <v>95143000</v>
      </c>
      <c r="Q3154" s="364"/>
      <c r="R3154" s="364" t="s">
        <v>9983</v>
      </c>
      <c r="S3154" s="340">
        <v>1</v>
      </c>
    </row>
    <row r="3155" spans="1:19" ht="31.5" thickBot="1" x14ac:dyDescent="0.4">
      <c r="A3155" s="357">
        <v>3144</v>
      </c>
      <c r="B3155" s="364" t="s">
        <v>10997</v>
      </c>
      <c r="C3155" s="364" t="s">
        <v>10998</v>
      </c>
      <c r="D3155" s="366" t="s">
        <v>51</v>
      </c>
      <c r="E3155" s="366" t="s">
        <v>10082</v>
      </c>
      <c r="F3155" s="366" t="s">
        <v>10078</v>
      </c>
      <c r="G3155" s="366" t="s">
        <v>10078</v>
      </c>
      <c r="H3155" s="366" t="s">
        <v>11308</v>
      </c>
      <c r="I3155" s="364" t="s">
        <v>15418</v>
      </c>
      <c r="J3155" s="367"/>
      <c r="K3155" s="364"/>
      <c r="L3155" s="364"/>
      <c r="M3155" s="364" t="s">
        <v>10084</v>
      </c>
      <c r="N3155" s="364"/>
      <c r="O3155" s="364" t="s">
        <v>57</v>
      </c>
      <c r="P3155" s="373">
        <v>98250000</v>
      </c>
      <c r="Q3155" s="364"/>
      <c r="R3155" s="364" t="s">
        <v>9983</v>
      </c>
      <c r="S3155" s="340">
        <v>1</v>
      </c>
    </row>
    <row r="3156" spans="1:19" ht="31" x14ac:dyDescent="0.35">
      <c r="A3156" s="349">
        <v>3145</v>
      </c>
      <c r="B3156" s="364" t="s">
        <v>10997</v>
      </c>
      <c r="C3156" s="364" t="s">
        <v>10998</v>
      </c>
      <c r="D3156" s="366" t="s">
        <v>59</v>
      </c>
      <c r="E3156" s="366" t="s">
        <v>10082</v>
      </c>
      <c r="F3156" s="366" t="s">
        <v>10078</v>
      </c>
      <c r="G3156" s="366" t="s">
        <v>10088</v>
      </c>
      <c r="H3156" s="366" t="s">
        <v>12157</v>
      </c>
      <c r="I3156" s="364" t="s">
        <v>15418</v>
      </c>
      <c r="J3156" s="367"/>
      <c r="K3156" s="364"/>
      <c r="L3156" s="364"/>
      <c r="M3156" s="364" t="s">
        <v>10084</v>
      </c>
      <c r="N3156" s="364"/>
      <c r="O3156" s="364" t="s">
        <v>57</v>
      </c>
      <c r="P3156" s="373">
        <v>132569000</v>
      </c>
      <c r="Q3156" s="364"/>
      <c r="R3156" s="364" t="s">
        <v>9983</v>
      </c>
      <c r="S3156" s="340">
        <v>1</v>
      </c>
    </row>
    <row r="3157" spans="1:19" ht="31.5" thickBot="1" x14ac:dyDescent="0.4">
      <c r="A3157" s="357">
        <v>3146</v>
      </c>
      <c r="B3157" s="364" t="s">
        <v>10765</v>
      </c>
      <c r="C3157" s="364" t="s">
        <v>10766</v>
      </c>
      <c r="D3157" s="366" t="s">
        <v>51</v>
      </c>
      <c r="E3157" s="366" t="s">
        <v>10082</v>
      </c>
      <c r="F3157" s="366" t="s">
        <v>10078</v>
      </c>
      <c r="G3157" s="366" t="s">
        <v>10078</v>
      </c>
      <c r="H3157" s="366" t="s">
        <v>2972</v>
      </c>
      <c r="I3157" s="364" t="s">
        <v>11329</v>
      </c>
      <c r="J3157" s="367">
        <v>42465</v>
      </c>
      <c r="K3157" s="364" t="s">
        <v>15434</v>
      </c>
      <c r="L3157" s="364"/>
      <c r="M3157" s="364" t="s">
        <v>10084</v>
      </c>
      <c r="N3157" s="364"/>
      <c r="O3157" s="364" t="s">
        <v>57</v>
      </c>
      <c r="P3157" s="373">
        <v>221148000</v>
      </c>
      <c r="Q3157" s="364" t="s">
        <v>15435</v>
      </c>
      <c r="R3157" s="364" t="s">
        <v>9983</v>
      </c>
      <c r="S3157" s="340">
        <v>1</v>
      </c>
    </row>
    <row r="3158" spans="1:19" ht="46.5" x14ac:dyDescent="0.35">
      <c r="A3158" s="349">
        <v>3147</v>
      </c>
      <c r="B3158" s="364" t="s">
        <v>10085</v>
      </c>
      <c r="C3158" s="364" t="s">
        <v>10086</v>
      </c>
      <c r="D3158" s="366" t="s">
        <v>51</v>
      </c>
      <c r="E3158" s="366" t="s">
        <v>10082</v>
      </c>
      <c r="F3158" s="366" t="s">
        <v>10078</v>
      </c>
      <c r="G3158" s="366" t="s">
        <v>10088</v>
      </c>
      <c r="H3158" s="366" t="s">
        <v>8952</v>
      </c>
      <c r="I3158" s="364" t="s">
        <v>15418</v>
      </c>
      <c r="J3158" s="367">
        <v>41585</v>
      </c>
      <c r="K3158" s="364" t="s">
        <v>15436</v>
      </c>
      <c r="L3158" s="364"/>
      <c r="M3158" s="364" t="s">
        <v>10084</v>
      </c>
      <c r="N3158" s="364"/>
      <c r="O3158" s="364" t="s">
        <v>57</v>
      </c>
      <c r="P3158" s="373">
        <v>137500000</v>
      </c>
      <c r="Q3158" s="364" t="s">
        <v>15437</v>
      </c>
      <c r="R3158" s="364" t="s">
        <v>9983</v>
      </c>
      <c r="S3158" s="340">
        <v>1</v>
      </c>
    </row>
    <row r="3159" spans="1:19" ht="47" thickBot="1" x14ac:dyDescent="0.4">
      <c r="A3159" s="357">
        <v>3148</v>
      </c>
      <c r="B3159" s="364" t="s">
        <v>10146</v>
      </c>
      <c r="C3159" s="364" t="s">
        <v>10147</v>
      </c>
      <c r="D3159" s="366" t="s">
        <v>51</v>
      </c>
      <c r="E3159" s="366" t="s">
        <v>10082</v>
      </c>
      <c r="F3159" s="366" t="s">
        <v>10078</v>
      </c>
      <c r="G3159" s="366" t="s">
        <v>10088</v>
      </c>
      <c r="H3159" s="366" t="s">
        <v>2972</v>
      </c>
      <c r="I3159" s="364" t="s">
        <v>15418</v>
      </c>
      <c r="J3159" s="367">
        <v>42675</v>
      </c>
      <c r="K3159" s="364" t="s">
        <v>15438</v>
      </c>
      <c r="L3159" s="364"/>
      <c r="M3159" s="364" t="s">
        <v>10084</v>
      </c>
      <c r="N3159" s="364"/>
      <c r="O3159" s="364" t="s">
        <v>57</v>
      </c>
      <c r="P3159" s="373">
        <v>420000000</v>
      </c>
      <c r="Q3159" s="364" t="s">
        <v>15439</v>
      </c>
      <c r="R3159" s="364" t="s">
        <v>9983</v>
      </c>
      <c r="S3159" s="340">
        <v>1</v>
      </c>
    </row>
    <row r="3160" spans="1:19" ht="31" x14ac:dyDescent="0.35">
      <c r="A3160" s="349">
        <v>3149</v>
      </c>
      <c r="B3160" s="364" t="s">
        <v>10146</v>
      </c>
      <c r="C3160" s="364" t="s">
        <v>10147</v>
      </c>
      <c r="D3160" s="366" t="s">
        <v>59</v>
      </c>
      <c r="E3160" s="366" t="s">
        <v>10082</v>
      </c>
      <c r="F3160" s="366" t="s">
        <v>10078</v>
      </c>
      <c r="G3160" s="366" t="s">
        <v>10088</v>
      </c>
      <c r="H3160" s="366" t="s">
        <v>8954</v>
      </c>
      <c r="I3160" s="364" t="s">
        <v>15418</v>
      </c>
      <c r="J3160" s="367">
        <v>42061</v>
      </c>
      <c r="K3160" s="364" t="s">
        <v>15440</v>
      </c>
      <c r="L3160" s="364"/>
      <c r="M3160" s="364" t="s">
        <v>10084</v>
      </c>
      <c r="N3160" s="364"/>
      <c r="O3160" s="364" t="s">
        <v>57</v>
      </c>
      <c r="P3160" s="373">
        <v>220955000</v>
      </c>
      <c r="Q3160" s="364" t="s">
        <v>15441</v>
      </c>
      <c r="R3160" s="364" t="s">
        <v>9983</v>
      </c>
      <c r="S3160" s="340">
        <v>1</v>
      </c>
    </row>
    <row r="3161" spans="1:19" ht="31.5" thickBot="1" x14ac:dyDescent="0.4">
      <c r="A3161" s="357">
        <v>3150</v>
      </c>
      <c r="B3161" s="364" t="s">
        <v>10096</v>
      </c>
      <c r="C3161" s="364" t="s">
        <v>10097</v>
      </c>
      <c r="D3161" s="366" t="s">
        <v>51</v>
      </c>
      <c r="E3161" s="366" t="s">
        <v>10082</v>
      </c>
      <c r="F3161" s="366" t="s">
        <v>10078</v>
      </c>
      <c r="G3161" s="366" t="s">
        <v>10088</v>
      </c>
      <c r="H3161" s="366" t="s">
        <v>15442</v>
      </c>
      <c r="I3161" s="364" t="s">
        <v>15418</v>
      </c>
      <c r="J3161" s="367">
        <v>42061</v>
      </c>
      <c r="K3161" s="364" t="s">
        <v>15443</v>
      </c>
      <c r="L3161" s="364"/>
      <c r="M3161" s="364" t="s">
        <v>10084</v>
      </c>
      <c r="N3161" s="364"/>
      <c r="O3161" s="364" t="s">
        <v>57</v>
      </c>
      <c r="P3161" s="373">
        <v>608310550</v>
      </c>
      <c r="Q3161" s="364" t="s">
        <v>15444</v>
      </c>
      <c r="R3161" s="364" t="s">
        <v>9983</v>
      </c>
      <c r="S3161" s="340">
        <v>1</v>
      </c>
    </row>
    <row r="3162" spans="1:19" ht="31" x14ac:dyDescent="0.35">
      <c r="A3162" s="349">
        <v>3151</v>
      </c>
      <c r="B3162" s="364" t="s">
        <v>11830</v>
      </c>
      <c r="C3162" s="364" t="s">
        <v>11831</v>
      </c>
      <c r="D3162" s="366" t="s">
        <v>51</v>
      </c>
      <c r="E3162" s="366" t="s">
        <v>10082</v>
      </c>
      <c r="F3162" s="366" t="s">
        <v>10078</v>
      </c>
      <c r="G3162" s="366" t="s">
        <v>10088</v>
      </c>
      <c r="H3162" s="366" t="s">
        <v>11308</v>
      </c>
      <c r="I3162" s="364" t="s">
        <v>15445</v>
      </c>
      <c r="J3162" s="367">
        <v>39969</v>
      </c>
      <c r="K3162" s="364" t="s">
        <v>15446</v>
      </c>
      <c r="L3162" s="364"/>
      <c r="M3162" s="364" t="s">
        <v>10084</v>
      </c>
      <c r="N3162" s="364"/>
      <c r="O3162" s="364" t="s">
        <v>422</v>
      </c>
      <c r="P3162" s="373">
        <v>393477372.00000006</v>
      </c>
      <c r="Q3162" s="364" t="s">
        <v>15447</v>
      </c>
      <c r="R3162" s="364" t="s">
        <v>9985</v>
      </c>
      <c r="S3162" s="340">
        <v>1</v>
      </c>
    </row>
    <row r="3163" spans="1:19" ht="47" thickBot="1" x14ac:dyDescent="0.4">
      <c r="A3163" s="357">
        <v>3152</v>
      </c>
      <c r="B3163" s="364" t="s">
        <v>10475</v>
      </c>
      <c r="C3163" s="364" t="s">
        <v>10476</v>
      </c>
      <c r="D3163" s="366" t="s">
        <v>51</v>
      </c>
      <c r="E3163" s="366" t="s">
        <v>10082</v>
      </c>
      <c r="F3163" s="366" t="s">
        <v>10078</v>
      </c>
      <c r="G3163" s="366" t="s">
        <v>10078</v>
      </c>
      <c r="H3163" s="366" t="s">
        <v>14895</v>
      </c>
      <c r="I3163" s="364" t="s">
        <v>15448</v>
      </c>
      <c r="J3163" s="367">
        <v>43725</v>
      </c>
      <c r="K3163" s="364" t="s">
        <v>15449</v>
      </c>
      <c r="L3163" s="364"/>
      <c r="M3163" s="364" t="s">
        <v>10084</v>
      </c>
      <c r="N3163" s="364"/>
      <c r="O3163" s="364" t="s">
        <v>57</v>
      </c>
      <c r="P3163" s="373">
        <v>493723456.70000005</v>
      </c>
      <c r="Q3163" s="364" t="s">
        <v>15450</v>
      </c>
      <c r="R3163" s="364" t="s">
        <v>9985</v>
      </c>
      <c r="S3163" s="340">
        <v>1</v>
      </c>
    </row>
    <row r="3164" spans="1:19" ht="31" x14ac:dyDescent="0.35">
      <c r="A3164" s="349">
        <v>3153</v>
      </c>
      <c r="B3164" s="364" t="s">
        <v>10080</v>
      </c>
      <c r="C3164" s="364" t="s">
        <v>10081</v>
      </c>
      <c r="D3164" s="366" t="s">
        <v>51</v>
      </c>
      <c r="E3164" s="366" t="s">
        <v>10082</v>
      </c>
      <c r="F3164" s="366" t="s">
        <v>10078</v>
      </c>
      <c r="G3164" s="366" t="s">
        <v>10078</v>
      </c>
      <c r="H3164" s="366" t="s">
        <v>11308</v>
      </c>
      <c r="I3164" s="364" t="s">
        <v>15445</v>
      </c>
      <c r="J3164" s="367"/>
      <c r="K3164" s="364"/>
      <c r="L3164" s="364"/>
      <c r="M3164" s="364" t="s">
        <v>10084</v>
      </c>
      <c r="N3164" s="364"/>
      <c r="O3164" s="364" t="s">
        <v>57</v>
      </c>
      <c r="P3164" s="373">
        <v>111528000</v>
      </c>
      <c r="Q3164" s="364"/>
      <c r="R3164" s="364" t="s">
        <v>9985</v>
      </c>
      <c r="S3164" s="340">
        <v>1</v>
      </c>
    </row>
    <row r="3165" spans="1:19" ht="31.5" thickBot="1" x14ac:dyDescent="0.4">
      <c r="A3165" s="357">
        <v>3154</v>
      </c>
      <c r="B3165" s="364" t="s">
        <v>10080</v>
      </c>
      <c r="C3165" s="364" t="s">
        <v>10081</v>
      </c>
      <c r="D3165" s="366" t="s">
        <v>59</v>
      </c>
      <c r="E3165" s="366" t="s">
        <v>10082</v>
      </c>
      <c r="F3165" s="366" t="s">
        <v>10078</v>
      </c>
      <c r="G3165" s="366" t="s">
        <v>10078</v>
      </c>
      <c r="H3165" s="366" t="s">
        <v>13011</v>
      </c>
      <c r="I3165" s="364" t="s">
        <v>15445</v>
      </c>
      <c r="J3165" s="367"/>
      <c r="K3165" s="364"/>
      <c r="L3165" s="364"/>
      <c r="M3165" s="364" t="s">
        <v>10084</v>
      </c>
      <c r="N3165" s="364"/>
      <c r="O3165" s="364" t="s">
        <v>422</v>
      </c>
      <c r="P3165" s="373">
        <v>172800000</v>
      </c>
      <c r="Q3165" s="364" t="s">
        <v>8603</v>
      </c>
      <c r="R3165" s="364" t="s">
        <v>9985</v>
      </c>
      <c r="S3165" s="340">
        <v>1</v>
      </c>
    </row>
    <row r="3166" spans="1:19" ht="31" x14ac:dyDescent="0.35">
      <c r="A3166" s="349">
        <v>3155</v>
      </c>
      <c r="B3166" s="364" t="s">
        <v>10080</v>
      </c>
      <c r="C3166" s="364" t="s">
        <v>10081</v>
      </c>
      <c r="D3166" s="366" t="s">
        <v>97</v>
      </c>
      <c r="E3166" s="366" t="s">
        <v>10082</v>
      </c>
      <c r="F3166" s="366" t="s">
        <v>10078</v>
      </c>
      <c r="G3166" s="366" t="s">
        <v>10088</v>
      </c>
      <c r="H3166" s="366" t="s">
        <v>12157</v>
      </c>
      <c r="I3166" s="364" t="s">
        <v>9837</v>
      </c>
      <c r="J3166" s="367">
        <v>41904</v>
      </c>
      <c r="K3166" s="364" t="s">
        <v>15451</v>
      </c>
      <c r="L3166" s="364"/>
      <c r="M3166" s="364" t="s">
        <v>10084</v>
      </c>
      <c r="N3166" s="364"/>
      <c r="O3166" s="364" t="s">
        <v>57</v>
      </c>
      <c r="P3166" s="373">
        <v>137981200</v>
      </c>
      <c r="Q3166" s="364" t="s">
        <v>15452</v>
      </c>
      <c r="R3166" s="364" t="s">
        <v>9985</v>
      </c>
      <c r="S3166" s="340">
        <v>1</v>
      </c>
    </row>
    <row r="3167" spans="1:19" ht="31.5" thickBot="1" x14ac:dyDescent="0.4">
      <c r="A3167" s="357">
        <v>3156</v>
      </c>
      <c r="B3167" s="364" t="s">
        <v>10080</v>
      </c>
      <c r="C3167" s="364" t="s">
        <v>10081</v>
      </c>
      <c r="D3167" s="366" t="s">
        <v>101</v>
      </c>
      <c r="E3167" s="366" t="s">
        <v>10082</v>
      </c>
      <c r="F3167" s="366" t="s">
        <v>10078</v>
      </c>
      <c r="G3167" s="366" t="s">
        <v>10088</v>
      </c>
      <c r="H3167" s="366" t="s">
        <v>11960</v>
      </c>
      <c r="I3167" s="364" t="s">
        <v>15445</v>
      </c>
      <c r="J3167" s="367">
        <v>40777</v>
      </c>
      <c r="K3167" s="364" t="s">
        <v>15453</v>
      </c>
      <c r="L3167" s="364"/>
      <c r="M3167" s="364" t="s">
        <v>10084</v>
      </c>
      <c r="N3167" s="364"/>
      <c r="O3167" s="364" t="s">
        <v>422</v>
      </c>
      <c r="P3167" s="373">
        <v>264624900.00000003</v>
      </c>
      <c r="Q3167" s="364" t="s">
        <v>15454</v>
      </c>
      <c r="R3167" s="364" t="s">
        <v>9985</v>
      </c>
      <c r="S3167" s="340">
        <v>1</v>
      </c>
    </row>
    <row r="3168" spans="1:19" ht="31" x14ac:dyDescent="0.35">
      <c r="A3168" s="349">
        <v>3157</v>
      </c>
      <c r="B3168" s="364" t="s">
        <v>10080</v>
      </c>
      <c r="C3168" s="364" t="s">
        <v>10081</v>
      </c>
      <c r="D3168" s="366" t="s">
        <v>107</v>
      </c>
      <c r="E3168" s="366" t="s">
        <v>10082</v>
      </c>
      <c r="F3168" s="366" t="s">
        <v>10078</v>
      </c>
      <c r="G3168" s="366" t="s">
        <v>10078</v>
      </c>
      <c r="H3168" s="366" t="s">
        <v>13165</v>
      </c>
      <c r="I3168" s="364" t="s">
        <v>15445</v>
      </c>
      <c r="J3168" s="367"/>
      <c r="K3168" s="364"/>
      <c r="L3168" s="364"/>
      <c r="M3168" s="364" t="s">
        <v>10084</v>
      </c>
      <c r="N3168" s="364"/>
      <c r="O3168" s="364" t="s">
        <v>57</v>
      </c>
      <c r="P3168" s="373">
        <v>326344000</v>
      </c>
      <c r="Q3168" s="364"/>
      <c r="R3168" s="364" t="s">
        <v>9985</v>
      </c>
      <c r="S3168" s="340">
        <v>1</v>
      </c>
    </row>
    <row r="3169" spans="1:19" ht="31.5" thickBot="1" x14ac:dyDescent="0.4">
      <c r="A3169" s="357">
        <v>3158</v>
      </c>
      <c r="B3169" s="364" t="s">
        <v>10080</v>
      </c>
      <c r="C3169" s="364" t="s">
        <v>10081</v>
      </c>
      <c r="D3169" s="366" t="s">
        <v>112</v>
      </c>
      <c r="E3169" s="366" t="s">
        <v>10082</v>
      </c>
      <c r="F3169" s="366" t="s">
        <v>10078</v>
      </c>
      <c r="G3169" s="366" t="s">
        <v>10078</v>
      </c>
      <c r="H3169" s="366" t="s">
        <v>13165</v>
      </c>
      <c r="I3169" s="364" t="s">
        <v>15445</v>
      </c>
      <c r="J3169" s="367"/>
      <c r="K3169" s="364"/>
      <c r="L3169" s="364"/>
      <c r="M3169" s="364" t="s">
        <v>10084</v>
      </c>
      <c r="N3169" s="364"/>
      <c r="O3169" s="364" t="s">
        <v>57</v>
      </c>
      <c r="P3169" s="373">
        <v>344461000</v>
      </c>
      <c r="Q3169" s="364"/>
      <c r="R3169" s="364" t="s">
        <v>9985</v>
      </c>
      <c r="S3169" s="340">
        <v>1</v>
      </c>
    </row>
    <row r="3170" spans="1:19" ht="31" x14ac:dyDescent="0.35">
      <c r="A3170" s="349">
        <v>3159</v>
      </c>
      <c r="B3170" s="364" t="s">
        <v>10080</v>
      </c>
      <c r="C3170" s="364" t="s">
        <v>10081</v>
      </c>
      <c r="D3170" s="366" t="s">
        <v>116</v>
      </c>
      <c r="E3170" s="366" t="s">
        <v>10082</v>
      </c>
      <c r="F3170" s="366" t="s">
        <v>10078</v>
      </c>
      <c r="G3170" s="366" t="s">
        <v>10078</v>
      </c>
      <c r="H3170" s="366" t="s">
        <v>12701</v>
      </c>
      <c r="I3170" s="364" t="s">
        <v>15445</v>
      </c>
      <c r="J3170" s="367"/>
      <c r="K3170" s="364"/>
      <c r="L3170" s="364"/>
      <c r="M3170" s="364" t="s">
        <v>10084</v>
      </c>
      <c r="N3170" s="364"/>
      <c r="O3170" s="364" t="s">
        <v>57</v>
      </c>
      <c r="P3170" s="373">
        <v>512708000</v>
      </c>
      <c r="Q3170" s="364"/>
      <c r="R3170" s="364" t="s">
        <v>9985</v>
      </c>
      <c r="S3170" s="340">
        <v>1</v>
      </c>
    </row>
    <row r="3171" spans="1:19" ht="31.5" thickBot="1" x14ac:dyDescent="0.4">
      <c r="A3171" s="357">
        <v>3160</v>
      </c>
      <c r="B3171" s="364" t="s">
        <v>10080</v>
      </c>
      <c r="C3171" s="364" t="s">
        <v>10081</v>
      </c>
      <c r="D3171" s="366" t="s">
        <v>841</v>
      </c>
      <c r="E3171" s="366" t="s">
        <v>10082</v>
      </c>
      <c r="F3171" s="366" t="s">
        <v>10078</v>
      </c>
      <c r="G3171" s="366" t="s">
        <v>10078</v>
      </c>
      <c r="H3171" s="366" t="s">
        <v>11415</v>
      </c>
      <c r="I3171" s="364" t="s">
        <v>15445</v>
      </c>
      <c r="J3171" s="367"/>
      <c r="K3171" s="364"/>
      <c r="L3171" s="364"/>
      <c r="M3171" s="364" t="s">
        <v>10084</v>
      </c>
      <c r="N3171" s="364"/>
      <c r="O3171" s="364" t="s">
        <v>57</v>
      </c>
      <c r="P3171" s="373">
        <v>1036910040</v>
      </c>
      <c r="Q3171" s="364"/>
      <c r="R3171" s="364" t="s">
        <v>9985</v>
      </c>
      <c r="S3171" s="340">
        <v>1</v>
      </c>
    </row>
    <row r="3172" spans="1:19" ht="31" x14ac:dyDescent="0.35">
      <c r="A3172" s="349">
        <v>3161</v>
      </c>
      <c r="B3172" s="364" t="s">
        <v>10080</v>
      </c>
      <c r="C3172" s="364" t="s">
        <v>10081</v>
      </c>
      <c r="D3172" s="366" t="s">
        <v>904</v>
      </c>
      <c r="E3172" s="366" t="s">
        <v>10082</v>
      </c>
      <c r="F3172" s="366" t="s">
        <v>10078</v>
      </c>
      <c r="G3172" s="366" t="s">
        <v>10088</v>
      </c>
      <c r="H3172" s="366" t="s">
        <v>11960</v>
      </c>
      <c r="I3172" s="364" t="s">
        <v>15455</v>
      </c>
      <c r="J3172" s="367">
        <v>40028</v>
      </c>
      <c r="K3172" s="364" t="s">
        <v>15456</v>
      </c>
      <c r="L3172" s="364"/>
      <c r="M3172" s="364" t="s">
        <v>10084</v>
      </c>
      <c r="N3172" s="364"/>
      <c r="O3172" s="364" t="s">
        <v>422</v>
      </c>
      <c r="P3172" s="373">
        <v>243800586</v>
      </c>
      <c r="Q3172" s="364" t="s">
        <v>15457</v>
      </c>
      <c r="R3172" s="364" t="s">
        <v>9985</v>
      </c>
      <c r="S3172" s="340">
        <v>1</v>
      </c>
    </row>
    <row r="3173" spans="1:19" ht="31.5" thickBot="1" x14ac:dyDescent="0.4">
      <c r="A3173" s="357">
        <v>3162</v>
      </c>
      <c r="B3173" s="364" t="s">
        <v>10080</v>
      </c>
      <c r="C3173" s="364" t="s">
        <v>10081</v>
      </c>
      <c r="D3173" s="366" t="s">
        <v>122</v>
      </c>
      <c r="E3173" s="366" t="s">
        <v>10082</v>
      </c>
      <c r="F3173" s="366" t="s">
        <v>10078</v>
      </c>
      <c r="G3173" s="366" t="s">
        <v>10078</v>
      </c>
      <c r="H3173" s="366" t="s">
        <v>12701</v>
      </c>
      <c r="I3173" s="364" t="s">
        <v>15445</v>
      </c>
      <c r="J3173" s="367"/>
      <c r="K3173" s="364"/>
      <c r="L3173" s="364"/>
      <c r="M3173" s="364" t="s">
        <v>10084</v>
      </c>
      <c r="N3173" s="364"/>
      <c r="O3173" s="364" t="s">
        <v>57</v>
      </c>
      <c r="P3173" s="373">
        <v>454165000</v>
      </c>
      <c r="Q3173" s="364"/>
      <c r="R3173" s="364" t="s">
        <v>9985</v>
      </c>
      <c r="S3173" s="340">
        <v>1</v>
      </c>
    </row>
    <row r="3174" spans="1:19" ht="31" x14ac:dyDescent="0.35">
      <c r="A3174" s="349">
        <v>3163</v>
      </c>
      <c r="B3174" s="364" t="s">
        <v>10080</v>
      </c>
      <c r="C3174" s="364" t="s">
        <v>10081</v>
      </c>
      <c r="D3174" s="366" t="s">
        <v>126</v>
      </c>
      <c r="E3174" s="366" t="s">
        <v>10082</v>
      </c>
      <c r="F3174" s="366" t="s">
        <v>10078</v>
      </c>
      <c r="G3174" s="366" t="s">
        <v>10088</v>
      </c>
      <c r="H3174" s="366" t="s">
        <v>11308</v>
      </c>
      <c r="I3174" s="364" t="s">
        <v>15445</v>
      </c>
      <c r="J3174" s="367"/>
      <c r="K3174" s="364"/>
      <c r="L3174" s="364"/>
      <c r="M3174" s="364" t="s">
        <v>10084</v>
      </c>
      <c r="N3174" s="364"/>
      <c r="O3174" s="364" t="s">
        <v>57</v>
      </c>
      <c r="P3174" s="373">
        <v>142295000</v>
      </c>
      <c r="Q3174" s="364"/>
      <c r="R3174" s="364" t="s">
        <v>9985</v>
      </c>
      <c r="S3174" s="340">
        <v>1</v>
      </c>
    </row>
    <row r="3175" spans="1:19" ht="31.5" thickBot="1" x14ac:dyDescent="0.4">
      <c r="A3175" s="357">
        <v>3164</v>
      </c>
      <c r="B3175" s="364" t="s">
        <v>10110</v>
      </c>
      <c r="C3175" s="364" t="s">
        <v>10111</v>
      </c>
      <c r="D3175" s="366" t="s">
        <v>51</v>
      </c>
      <c r="E3175" s="366" t="s">
        <v>10082</v>
      </c>
      <c r="F3175" s="366" t="s">
        <v>10078</v>
      </c>
      <c r="G3175" s="366" t="s">
        <v>10088</v>
      </c>
      <c r="H3175" s="366" t="s">
        <v>11332</v>
      </c>
      <c r="I3175" s="364" t="s">
        <v>15445</v>
      </c>
      <c r="J3175" s="367">
        <v>42151</v>
      </c>
      <c r="K3175" s="364" t="s">
        <v>15458</v>
      </c>
      <c r="L3175" s="364"/>
      <c r="M3175" s="364" t="s">
        <v>10084</v>
      </c>
      <c r="N3175" s="364"/>
      <c r="O3175" s="364" t="s">
        <v>57</v>
      </c>
      <c r="P3175" s="373">
        <v>231665500</v>
      </c>
      <c r="Q3175" s="364" t="s">
        <v>15459</v>
      </c>
      <c r="R3175" s="364" t="s">
        <v>9985</v>
      </c>
      <c r="S3175" s="340">
        <v>1</v>
      </c>
    </row>
    <row r="3176" spans="1:19" ht="77.5" x14ac:dyDescent="0.35">
      <c r="A3176" s="349">
        <v>3165</v>
      </c>
      <c r="B3176" s="364" t="s">
        <v>10110</v>
      </c>
      <c r="C3176" s="364" t="s">
        <v>10111</v>
      </c>
      <c r="D3176" s="366" t="s">
        <v>59</v>
      </c>
      <c r="E3176" s="366" t="s">
        <v>10082</v>
      </c>
      <c r="F3176" s="366" t="s">
        <v>10078</v>
      </c>
      <c r="G3176" s="366" t="s">
        <v>10078</v>
      </c>
      <c r="H3176" s="366" t="s">
        <v>11686</v>
      </c>
      <c r="I3176" s="364" t="s">
        <v>15448</v>
      </c>
      <c r="J3176" s="367">
        <v>43966</v>
      </c>
      <c r="K3176" s="364" t="s">
        <v>15460</v>
      </c>
      <c r="L3176" s="364"/>
      <c r="M3176" s="364" t="s">
        <v>10084</v>
      </c>
      <c r="N3176" s="364"/>
      <c r="O3176" s="364" t="s">
        <v>57</v>
      </c>
      <c r="P3176" s="373">
        <v>299250000</v>
      </c>
      <c r="Q3176" s="364" t="s">
        <v>15461</v>
      </c>
      <c r="R3176" s="364" t="s">
        <v>9985</v>
      </c>
      <c r="S3176" s="340">
        <v>1</v>
      </c>
    </row>
    <row r="3177" spans="1:19" ht="47" thickBot="1" x14ac:dyDescent="0.4">
      <c r="A3177" s="357">
        <v>3166</v>
      </c>
      <c r="B3177" s="364" t="s">
        <v>10110</v>
      </c>
      <c r="C3177" s="364" t="s">
        <v>10111</v>
      </c>
      <c r="D3177" s="366" t="s">
        <v>97</v>
      </c>
      <c r="E3177" s="366" t="s">
        <v>10082</v>
      </c>
      <c r="F3177" s="366" t="s">
        <v>10078</v>
      </c>
      <c r="G3177" s="366" t="s">
        <v>10088</v>
      </c>
      <c r="H3177" s="366" t="s">
        <v>11451</v>
      </c>
      <c r="I3177" s="364" t="s">
        <v>15462</v>
      </c>
      <c r="J3177" s="367"/>
      <c r="K3177" s="364" t="s">
        <v>15463</v>
      </c>
      <c r="L3177" s="364"/>
      <c r="M3177" s="364"/>
      <c r="N3177" s="364"/>
      <c r="O3177" s="364" t="s">
        <v>44</v>
      </c>
      <c r="P3177" s="373">
        <v>213277187.5</v>
      </c>
      <c r="Q3177" s="364" t="s">
        <v>15464</v>
      </c>
      <c r="R3177" s="364" t="s">
        <v>9985</v>
      </c>
      <c r="S3177" s="340">
        <v>1</v>
      </c>
    </row>
    <row r="3178" spans="1:19" ht="31" x14ac:dyDescent="0.35">
      <c r="A3178" s="349">
        <v>3167</v>
      </c>
      <c r="B3178" s="364" t="s">
        <v>10765</v>
      </c>
      <c r="C3178" s="364" t="s">
        <v>10766</v>
      </c>
      <c r="D3178" s="366" t="s">
        <v>51</v>
      </c>
      <c r="E3178" s="366" t="s">
        <v>10082</v>
      </c>
      <c r="F3178" s="366" t="s">
        <v>10078</v>
      </c>
      <c r="G3178" s="366" t="s">
        <v>10078</v>
      </c>
      <c r="H3178" s="366" t="s">
        <v>2972</v>
      </c>
      <c r="I3178" s="364" t="s">
        <v>15445</v>
      </c>
      <c r="J3178" s="367">
        <v>43049</v>
      </c>
      <c r="K3178" s="364" t="s">
        <v>15465</v>
      </c>
      <c r="L3178" s="364"/>
      <c r="M3178" s="364" t="s">
        <v>10084</v>
      </c>
      <c r="N3178" s="364"/>
      <c r="O3178" s="364" t="s">
        <v>57</v>
      </c>
      <c r="P3178" s="373">
        <v>220800000</v>
      </c>
      <c r="Q3178" s="364" t="s">
        <v>15466</v>
      </c>
      <c r="R3178" s="364" t="s">
        <v>9985</v>
      </c>
      <c r="S3178" s="340">
        <v>1</v>
      </c>
    </row>
    <row r="3179" spans="1:19" ht="31.5" thickBot="1" x14ac:dyDescent="0.4">
      <c r="A3179" s="357">
        <v>3168</v>
      </c>
      <c r="B3179" s="364" t="s">
        <v>10765</v>
      </c>
      <c r="C3179" s="364" t="s">
        <v>10766</v>
      </c>
      <c r="D3179" s="366" t="s">
        <v>59</v>
      </c>
      <c r="E3179" s="366" t="s">
        <v>10082</v>
      </c>
      <c r="F3179" s="366" t="s">
        <v>10078</v>
      </c>
      <c r="G3179" s="366" t="s">
        <v>10078</v>
      </c>
      <c r="H3179" s="366" t="s">
        <v>2972</v>
      </c>
      <c r="I3179" s="364" t="s">
        <v>15445</v>
      </c>
      <c r="J3179" s="367">
        <v>42465</v>
      </c>
      <c r="K3179" s="364" t="s">
        <v>15467</v>
      </c>
      <c r="L3179" s="364"/>
      <c r="M3179" s="364" t="s">
        <v>10084</v>
      </c>
      <c r="N3179" s="364"/>
      <c r="O3179" s="364" t="s">
        <v>57</v>
      </c>
      <c r="P3179" s="373">
        <v>221226000</v>
      </c>
      <c r="Q3179" s="364" t="s">
        <v>15468</v>
      </c>
      <c r="R3179" s="364" t="s">
        <v>9985</v>
      </c>
      <c r="S3179" s="340">
        <v>1</v>
      </c>
    </row>
    <row r="3180" spans="1:19" ht="46.5" x14ac:dyDescent="0.35">
      <c r="A3180" s="349">
        <v>3169</v>
      </c>
      <c r="B3180" s="364" t="s">
        <v>10085</v>
      </c>
      <c r="C3180" s="364" t="s">
        <v>10086</v>
      </c>
      <c r="D3180" s="366" t="s">
        <v>51</v>
      </c>
      <c r="E3180" s="366" t="s">
        <v>10082</v>
      </c>
      <c r="F3180" s="366" t="s">
        <v>10078</v>
      </c>
      <c r="G3180" s="366" t="s">
        <v>10088</v>
      </c>
      <c r="H3180" s="366" t="s">
        <v>8952</v>
      </c>
      <c r="I3180" s="364" t="s">
        <v>9837</v>
      </c>
      <c r="J3180" s="367">
        <v>41585</v>
      </c>
      <c r="K3180" s="364" t="s">
        <v>15469</v>
      </c>
      <c r="L3180" s="364"/>
      <c r="M3180" s="364" t="s">
        <v>10084</v>
      </c>
      <c r="N3180" s="364"/>
      <c r="O3180" s="364" t="s">
        <v>57</v>
      </c>
      <c r="P3180" s="373">
        <v>137500000</v>
      </c>
      <c r="Q3180" s="364" t="s">
        <v>15470</v>
      </c>
      <c r="R3180" s="364" t="s">
        <v>9985</v>
      </c>
      <c r="S3180" s="340">
        <v>1</v>
      </c>
    </row>
    <row r="3181" spans="1:19" ht="31.5" thickBot="1" x14ac:dyDescent="0.4">
      <c r="A3181" s="357">
        <v>3170</v>
      </c>
      <c r="B3181" s="364" t="s">
        <v>10146</v>
      </c>
      <c r="C3181" s="364" t="s">
        <v>10147</v>
      </c>
      <c r="D3181" s="366" t="s">
        <v>51</v>
      </c>
      <c r="E3181" s="366" t="s">
        <v>10082</v>
      </c>
      <c r="F3181" s="366" t="s">
        <v>10078</v>
      </c>
      <c r="G3181" s="366" t="s">
        <v>10088</v>
      </c>
      <c r="H3181" s="366" t="s">
        <v>8951</v>
      </c>
      <c r="I3181" s="364" t="s">
        <v>9837</v>
      </c>
      <c r="J3181" s="367">
        <v>42481</v>
      </c>
      <c r="K3181" s="364" t="s">
        <v>15471</v>
      </c>
      <c r="L3181" s="364"/>
      <c r="M3181" s="364" t="s">
        <v>10084</v>
      </c>
      <c r="N3181" s="364"/>
      <c r="O3181" s="364" t="s">
        <v>57</v>
      </c>
      <c r="P3181" s="373">
        <v>221021000</v>
      </c>
      <c r="Q3181" s="364" t="s">
        <v>15472</v>
      </c>
      <c r="R3181" s="364" t="s">
        <v>9985</v>
      </c>
      <c r="S3181" s="340">
        <v>1</v>
      </c>
    </row>
    <row r="3182" spans="1:19" ht="31" x14ac:dyDescent="0.35">
      <c r="A3182" s="349">
        <v>3171</v>
      </c>
      <c r="B3182" s="364" t="s">
        <v>10096</v>
      </c>
      <c r="C3182" s="364" t="s">
        <v>10097</v>
      </c>
      <c r="D3182" s="366" t="s">
        <v>51</v>
      </c>
      <c r="E3182" s="366" t="s">
        <v>10082</v>
      </c>
      <c r="F3182" s="366" t="s">
        <v>10078</v>
      </c>
      <c r="G3182" s="366" t="s">
        <v>10088</v>
      </c>
      <c r="H3182" s="366" t="s">
        <v>15473</v>
      </c>
      <c r="I3182" s="364" t="s">
        <v>15445</v>
      </c>
      <c r="J3182" s="367">
        <v>42328</v>
      </c>
      <c r="K3182" s="364" t="s">
        <v>15474</v>
      </c>
      <c r="L3182" s="364"/>
      <c r="M3182" s="364" t="s">
        <v>10084</v>
      </c>
      <c r="N3182" s="364"/>
      <c r="O3182" s="364" t="s">
        <v>57</v>
      </c>
      <c r="P3182" s="373">
        <v>220899000</v>
      </c>
      <c r="Q3182" s="364" t="s">
        <v>15475</v>
      </c>
      <c r="R3182" s="364" t="s">
        <v>9985</v>
      </c>
      <c r="S3182" s="340">
        <v>1</v>
      </c>
    </row>
    <row r="3183" spans="1:19" ht="31.5" thickBot="1" x14ac:dyDescent="0.4">
      <c r="A3183" s="357">
        <v>3172</v>
      </c>
      <c r="B3183" s="364" t="s">
        <v>10096</v>
      </c>
      <c r="C3183" s="364" t="s">
        <v>10097</v>
      </c>
      <c r="D3183" s="366" t="s">
        <v>59</v>
      </c>
      <c r="E3183" s="366" t="s">
        <v>10082</v>
      </c>
      <c r="F3183" s="366" t="s">
        <v>10078</v>
      </c>
      <c r="G3183" s="366" t="s">
        <v>10088</v>
      </c>
      <c r="H3183" s="366" t="s">
        <v>1433</v>
      </c>
      <c r="I3183" s="364" t="s">
        <v>9837</v>
      </c>
      <c r="J3183" s="367">
        <v>42949</v>
      </c>
      <c r="K3183" s="364" t="s">
        <v>15476</v>
      </c>
      <c r="L3183" s="364"/>
      <c r="M3183" s="364" t="s">
        <v>10084</v>
      </c>
      <c r="N3183" s="364"/>
      <c r="O3183" s="364" t="s">
        <v>57</v>
      </c>
      <c r="P3183" s="373">
        <v>221205000</v>
      </c>
      <c r="Q3183" s="364" t="s">
        <v>15477</v>
      </c>
      <c r="R3183" s="364" t="s">
        <v>9985</v>
      </c>
      <c r="S3183" s="340">
        <v>1</v>
      </c>
    </row>
    <row r="3184" spans="1:19" ht="46.5" x14ac:dyDescent="0.35">
      <c r="A3184" s="349">
        <v>3173</v>
      </c>
      <c r="B3184" s="364" t="s">
        <v>11830</v>
      </c>
      <c r="C3184" s="364" t="s">
        <v>11831</v>
      </c>
      <c r="D3184" s="366" t="s">
        <v>51</v>
      </c>
      <c r="E3184" s="366" t="s">
        <v>10082</v>
      </c>
      <c r="F3184" s="366" t="s">
        <v>10078</v>
      </c>
      <c r="G3184" s="366" t="s">
        <v>10078</v>
      </c>
      <c r="H3184" s="366" t="s">
        <v>163</v>
      </c>
      <c r="I3184" s="364" t="s">
        <v>15478</v>
      </c>
      <c r="J3184" s="367">
        <v>43966</v>
      </c>
      <c r="K3184" s="364" t="s">
        <v>15479</v>
      </c>
      <c r="L3184" s="364"/>
      <c r="M3184" s="364" t="s">
        <v>10084</v>
      </c>
      <c r="N3184" s="364"/>
      <c r="O3184" s="364" t="s">
        <v>57</v>
      </c>
      <c r="P3184" s="373">
        <v>444517000</v>
      </c>
      <c r="Q3184" s="364" t="s">
        <v>15480</v>
      </c>
      <c r="R3184" s="364" t="s">
        <v>9987</v>
      </c>
      <c r="S3184" s="340">
        <v>1</v>
      </c>
    </row>
    <row r="3185" spans="1:19" ht="31.5" thickBot="1" x14ac:dyDescent="0.4">
      <c r="A3185" s="357">
        <v>3174</v>
      </c>
      <c r="B3185" s="364" t="s">
        <v>10080</v>
      </c>
      <c r="C3185" s="364" t="s">
        <v>10081</v>
      </c>
      <c r="D3185" s="366" t="s">
        <v>51</v>
      </c>
      <c r="E3185" s="366" t="s">
        <v>10082</v>
      </c>
      <c r="F3185" s="366" t="s">
        <v>10078</v>
      </c>
      <c r="G3185" s="366" t="s">
        <v>10078</v>
      </c>
      <c r="H3185" s="366" t="s">
        <v>12157</v>
      </c>
      <c r="I3185" s="364" t="s">
        <v>13093</v>
      </c>
      <c r="J3185" s="367">
        <v>41904</v>
      </c>
      <c r="K3185" s="364" t="s">
        <v>15481</v>
      </c>
      <c r="L3185" s="364"/>
      <c r="M3185" s="364" t="s">
        <v>10084</v>
      </c>
      <c r="N3185" s="364"/>
      <c r="O3185" s="364" t="s">
        <v>57</v>
      </c>
      <c r="P3185" s="373">
        <v>155131200</v>
      </c>
      <c r="Q3185" s="364" t="s">
        <v>15482</v>
      </c>
      <c r="R3185" s="364" t="s">
        <v>9987</v>
      </c>
      <c r="S3185" s="340">
        <v>1</v>
      </c>
    </row>
    <row r="3186" spans="1:19" ht="31" x14ac:dyDescent="0.35">
      <c r="A3186" s="349">
        <v>3175</v>
      </c>
      <c r="B3186" s="364" t="s">
        <v>10080</v>
      </c>
      <c r="C3186" s="364" t="s">
        <v>10081</v>
      </c>
      <c r="D3186" s="366" t="s">
        <v>59</v>
      </c>
      <c r="E3186" s="366" t="s">
        <v>10082</v>
      </c>
      <c r="F3186" s="366" t="s">
        <v>10078</v>
      </c>
      <c r="G3186" s="366" t="s">
        <v>10078</v>
      </c>
      <c r="H3186" s="366" t="s">
        <v>12266</v>
      </c>
      <c r="I3186" s="364" t="s">
        <v>15483</v>
      </c>
      <c r="J3186" s="367"/>
      <c r="K3186" s="364"/>
      <c r="L3186" s="364"/>
      <c r="M3186" s="364" t="s">
        <v>10084</v>
      </c>
      <c r="N3186" s="364"/>
      <c r="O3186" s="364" t="s">
        <v>57</v>
      </c>
      <c r="P3186" s="373">
        <v>287372000</v>
      </c>
      <c r="Q3186" s="364"/>
      <c r="R3186" s="364" t="s">
        <v>9987</v>
      </c>
      <c r="S3186" s="340">
        <v>1</v>
      </c>
    </row>
    <row r="3187" spans="1:19" ht="31.5" thickBot="1" x14ac:dyDescent="0.4">
      <c r="A3187" s="357">
        <v>3176</v>
      </c>
      <c r="B3187" s="364" t="s">
        <v>10080</v>
      </c>
      <c r="C3187" s="364" t="s">
        <v>10081</v>
      </c>
      <c r="D3187" s="366" t="s">
        <v>97</v>
      </c>
      <c r="E3187" s="366" t="s">
        <v>10082</v>
      </c>
      <c r="F3187" s="366" t="s">
        <v>10078</v>
      </c>
      <c r="G3187" s="366" t="s">
        <v>10078</v>
      </c>
      <c r="H3187" s="366" t="s">
        <v>3405</v>
      </c>
      <c r="I3187" s="364" t="s">
        <v>15483</v>
      </c>
      <c r="J3187" s="367"/>
      <c r="K3187" s="364"/>
      <c r="L3187" s="364"/>
      <c r="M3187" s="364" t="s">
        <v>10084</v>
      </c>
      <c r="N3187" s="364"/>
      <c r="O3187" s="364" t="s">
        <v>57</v>
      </c>
      <c r="P3187" s="373">
        <v>339442000</v>
      </c>
      <c r="Q3187" s="364" t="s">
        <v>15484</v>
      </c>
      <c r="R3187" s="364" t="s">
        <v>9987</v>
      </c>
      <c r="S3187" s="340">
        <v>1</v>
      </c>
    </row>
    <row r="3188" spans="1:19" ht="31" x14ac:dyDescent="0.35">
      <c r="A3188" s="349">
        <v>3177</v>
      </c>
      <c r="B3188" s="364" t="s">
        <v>10080</v>
      </c>
      <c r="C3188" s="364" t="s">
        <v>10081</v>
      </c>
      <c r="D3188" s="366" t="s">
        <v>101</v>
      </c>
      <c r="E3188" s="366" t="s">
        <v>10082</v>
      </c>
      <c r="F3188" s="366" t="s">
        <v>10078</v>
      </c>
      <c r="G3188" s="366" t="s">
        <v>10078</v>
      </c>
      <c r="H3188" s="366" t="s">
        <v>11400</v>
      </c>
      <c r="I3188" s="364" t="s">
        <v>15483</v>
      </c>
      <c r="J3188" s="367"/>
      <c r="K3188" s="364"/>
      <c r="L3188" s="364"/>
      <c r="M3188" s="364" t="s">
        <v>10084</v>
      </c>
      <c r="N3188" s="364"/>
      <c r="O3188" s="364" t="s">
        <v>57</v>
      </c>
      <c r="P3188" s="373">
        <v>422151000</v>
      </c>
      <c r="Q3188" s="364"/>
      <c r="R3188" s="364" t="s">
        <v>9987</v>
      </c>
      <c r="S3188" s="340">
        <v>1</v>
      </c>
    </row>
    <row r="3189" spans="1:19" ht="31.5" thickBot="1" x14ac:dyDescent="0.4">
      <c r="A3189" s="357">
        <v>3178</v>
      </c>
      <c r="B3189" s="364" t="s">
        <v>10080</v>
      </c>
      <c r="C3189" s="364" t="s">
        <v>10081</v>
      </c>
      <c r="D3189" s="366" t="s">
        <v>107</v>
      </c>
      <c r="E3189" s="366" t="s">
        <v>10082</v>
      </c>
      <c r="F3189" s="366" t="s">
        <v>10078</v>
      </c>
      <c r="G3189" s="366" t="s">
        <v>10078</v>
      </c>
      <c r="H3189" s="366" t="s">
        <v>12266</v>
      </c>
      <c r="I3189" s="364" t="s">
        <v>15483</v>
      </c>
      <c r="J3189" s="367"/>
      <c r="K3189" s="364"/>
      <c r="L3189" s="364"/>
      <c r="M3189" s="364" t="s">
        <v>10084</v>
      </c>
      <c r="N3189" s="364"/>
      <c r="O3189" s="364" t="s">
        <v>57</v>
      </c>
      <c r="P3189" s="373">
        <v>499589500</v>
      </c>
      <c r="Q3189" s="364"/>
      <c r="R3189" s="364" t="s">
        <v>9987</v>
      </c>
      <c r="S3189" s="340">
        <v>1</v>
      </c>
    </row>
    <row r="3190" spans="1:19" ht="31" x14ac:dyDescent="0.35">
      <c r="A3190" s="349">
        <v>3179</v>
      </c>
      <c r="B3190" s="364" t="s">
        <v>10080</v>
      </c>
      <c r="C3190" s="364" t="s">
        <v>10081</v>
      </c>
      <c r="D3190" s="366" t="s">
        <v>112</v>
      </c>
      <c r="E3190" s="366" t="s">
        <v>10082</v>
      </c>
      <c r="F3190" s="366" t="s">
        <v>10078</v>
      </c>
      <c r="G3190" s="366" t="s">
        <v>10078</v>
      </c>
      <c r="H3190" s="366" t="s">
        <v>11400</v>
      </c>
      <c r="I3190" s="364" t="s">
        <v>15483</v>
      </c>
      <c r="J3190" s="367"/>
      <c r="K3190" s="364"/>
      <c r="L3190" s="364"/>
      <c r="M3190" s="364" t="s">
        <v>10084</v>
      </c>
      <c r="N3190" s="364"/>
      <c r="O3190" s="364" t="s">
        <v>57</v>
      </c>
      <c r="P3190" s="373">
        <v>573494860</v>
      </c>
      <c r="Q3190" s="364"/>
      <c r="R3190" s="364" t="s">
        <v>9987</v>
      </c>
      <c r="S3190" s="340">
        <v>1</v>
      </c>
    </row>
    <row r="3191" spans="1:19" ht="31.5" thickBot="1" x14ac:dyDescent="0.4">
      <c r="A3191" s="357">
        <v>3180</v>
      </c>
      <c r="B3191" s="364" t="s">
        <v>10080</v>
      </c>
      <c r="C3191" s="364" t="s">
        <v>10081</v>
      </c>
      <c r="D3191" s="366" t="s">
        <v>116</v>
      </c>
      <c r="E3191" s="366" t="s">
        <v>10082</v>
      </c>
      <c r="F3191" s="366" t="s">
        <v>10078</v>
      </c>
      <c r="G3191" s="366" t="s">
        <v>10078</v>
      </c>
      <c r="H3191" s="366" t="s">
        <v>12266</v>
      </c>
      <c r="I3191" s="364" t="s">
        <v>15483</v>
      </c>
      <c r="J3191" s="367"/>
      <c r="K3191" s="364"/>
      <c r="L3191" s="364"/>
      <c r="M3191" s="364" t="s">
        <v>10084</v>
      </c>
      <c r="N3191" s="364"/>
      <c r="O3191" s="364" t="s">
        <v>57</v>
      </c>
      <c r="P3191" s="373">
        <v>287372000</v>
      </c>
      <c r="Q3191" s="364"/>
      <c r="R3191" s="364" t="s">
        <v>9987</v>
      </c>
      <c r="S3191" s="340">
        <v>1</v>
      </c>
    </row>
    <row r="3192" spans="1:19" ht="31" x14ac:dyDescent="0.35">
      <c r="A3192" s="349">
        <v>3181</v>
      </c>
      <c r="B3192" s="364" t="s">
        <v>10080</v>
      </c>
      <c r="C3192" s="364" t="s">
        <v>10081</v>
      </c>
      <c r="D3192" s="366" t="s">
        <v>841</v>
      </c>
      <c r="E3192" s="366" t="s">
        <v>10082</v>
      </c>
      <c r="F3192" s="366" t="s">
        <v>10078</v>
      </c>
      <c r="G3192" s="366" t="s">
        <v>10078</v>
      </c>
      <c r="H3192" s="366" t="s">
        <v>12266</v>
      </c>
      <c r="I3192" s="364" t="s">
        <v>15483</v>
      </c>
      <c r="J3192" s="367"/>
      <c r="K3192" s="364"/>
      <c r="L3192" s="364"/>
      <c r="M3192" s="364" t="s">
        <v>10084</v>
      </c>
      <c r="N3192" s="364"/>
      <c r="O3192" s="364" t="s">
        <v>57</v>
      </c>
      <c r="P3192" s="373">
        <v>287372000</v>
      </c>
      <c r="Q3192" s="364"/>
      <c r="R3192" s="364" t="s">
        <v>9987</v>
      </c>
      <c r="S3192" s="340">
        <v>1</v>
      </c>
    </row>
    <row r="3193" spans="1:19" ht="31.5" thickBot="1" x14ac:dyDescent="0.4">
      <c r="A3193" s="357">
        <v>3182</v>
      </c>
      <c r="B3193" s="364" t="s">
        <v>10080</v>
      </c>
      <c r="C3193" s="364" t="s">
        <v>10081</v>
      </c>
      <c r="D3193" s="366" t="s">
        <v>904</v>
      </c>
      <c r="E3193" s="366" t="s">
        <v>10082</v>
      </c>
      <c r="F3193" s="366" t="s">
        <v>10078</v>
      </c>
      <c r="G3193" s="366" t="s">
        <v>10078</v>
      </c>
      <c r="H3193" s="366" t="s">
        <v>13165</v>
      </c>
      <c r="I3193" s="364" t="s">
        <v>15483</v>
      </c>
      <c r="J3193" s="367"/>
      <c r="K3193" s="364"/>
      <c r="L3193" s="364"/>
      <c r="M3193" s="364" t="s">
        <v>10084</v>
      </c>
      <c r="N3193" s="364"/>
      <c r="O3193" s="364" t="s">
        <v>422</v>
      </c>
      <c r="P3193" s="373">
        <v>150000000</v>
      </c>
      <c r="Q3193" s="364" t="s">
        <v>8603</v>
      </c>
      <c r="R3193" s="364" t="s">
        <v>9987</v>
      </c>
      <c r="S3193" s="340">
        <v>1</v>
      </c>
    </row>
    <row r="3194" spans="1:19" ht="31" x14ac:dyDescent="0.35">
      <c r="A3194" s="349">
        <v>3183</v>
      </c>
      <c r="B3194" s="364" t="s">
        <v>10110</v>
      </c>
      <c r="C3194" s="364" t="s">
        <v>10111</v>
      </c>
      <c r="D3194" s="366" t="s">
        <v>51</v>
      </c>
      <c r="E3194" s="366" t="s">
        <v>10082</v>
      </c>
      <c r="F3194" s="366" t="s">
        <v>10078</v>
      </c>
      <c r="G3194" s="366" t="s">
        <v>10078</v>
      </c>
      <c r="H3194" s="366" t="s">
        <v>11332</v>
      </c>
      <c r="I3194" s="364" t="s">
        <v>15483</v>
      </c>
      <c r="J3194" s="367"/>
      <c r="K3194" s="364"/>
      <c r="L3194" s="364"/>
      <c r="M3194" s="364" t="s">
        <v>10084</v>
      </c>
      <c r="N3194" s="364"/>
      <c r="O3194" s="364" t="s">
        <v>57</v>
      </c>
      <c r="P3194" s="373">
        <v>163816000</v>
      </c>
      <c r="Q3194" s="364"/>
      <c r="R3194" s="364" t="s">
        <v>9987</v>
      </c>
      <c r="S3194" s="340">
        <v>1</v>
      </c>
    </row>
    <row r="3195" spans="1:19" ht="31.5" thickBot="1" x14ac:dyDescent="0.4">
      <c r="A3195" s="357">
        <v>3184</v>
      </c>
      <c r="B3195" s="364" t="s">
        <v>10085</v>
      </c>
      <c r="C3195" s="364" t="s">
        <v>10086</v>
      </c>
      <c r="D3195" s="366" t="s">
        <v>51</v>
      </c>
      <c r="E3195" s="366" t="s">
        <v>10082</v>
      </c>
      <c r="F3195" s="366" t="s">
        <v>10071</v>
      </c>
      <c r="G3195" s="366" t="s">
        <v>10088</v>
      </c>
      <c r="H3195" s="366" t="s">
        <v>2972</v>
      </c>
      <c r="I3195" s="364" t="s">
        <v>13088</v>
      </c>
      <c r="J3195" s="367">
        <v>39969</v>
      </c>
      <c r="K3195" s="364"/>
      <c r="L3195" s="364"/>
      <c r="M3195" s="364" t="s">
        <v>10084</v>
      </c>
      <c r="N3195" s="364"/>
      <c r="O3195" s="364" t="s">
        <v>422</v>
      </c>
      <c r="P3195" s="373">
        <v>251171950</v>
      </c>
      <c r="Q3195" s="364" t="s">
        <v>15485</v>
      </c>
      <c r="R3195" s="364" t="s">
        <v>9987</v>
      </c>
      <c r="S3195" s="340">
        <v>1</v>
      </c>
    </row>
    <row r="3196" spans="1:19" ht="31" x14ac:dyDescent="0.35">
      <c r="A3196" s="349">
        <v>3185</v>
      </c>
      <c r="B3196" s="364" t="s">
        <v>10085</v>
      </c>
      <c r="C3196" s="364" t="s">
        <v>10086</v>
      </c>
      <c r="D3196" s="366" t="s">
        <v>59</v>
      </c>
      <c r="E3196" s="366" t="s">
        <v>10082</v>
      </c>
      <c r="F3196" s="366" t="s">
        <v>10078</v>
      </c>
      <c r="G3196" s="366" t="s">
        <v>10078</v>
      </c>
      <c r="H3196" s="366" t="s">
        <v>12007</v>
      </c>
      <c r="I3196" s="364" t="s">
        <v>15483</v>
      </c>
      <c r="J3196" s="367"/>
      <c r="K3196" s="364"/>
      <c r="L3196" s="364"/>
      <c r="M3196" s="364" t="s">
        <v>10084</v>
      </c>
      <c r="N3196" s="364"/>
      <c r="O3196" s="364" t="s">
        <v>57</v>
      </c>
      <c r="P3196" s="373">
        <v>434854275</v>
      </c>
      <c r="Q3196" s="364"/>
      <c r="R3196" s="364" t="s">
        <v>9987</v>
      </c>
      <c r="S3196" s="340">
        <v>1</v>
      </c>
    </row>
    <row r="3197" spans="1:19" ht="31.5" thickBot="1" x14ac:dyDescent="0.4">
      <c r="A3197" s="357">
        <v>3186</v>
      </c>
      <c r="B3197" s="364" t="s">
        <v>10085</v>
      </c>
      <c r="C3197" s="364" t="s">
        <v>10086</v>
      </c>
      <c r="D3197" s="366" t="s">
        <v>97</v>
      </c>
      <c r="E3197" s="366" t="s">
        <v>10082</v>
      </c>
      <c r="F3197" s="366" t="s">
        <v>10078</v>
      </c>
      <c r="G3197" s="366" t="s">
        <v>10078</v>
      </c>
      <c r="H3197" s="366" t="s">
        <v>12007</v>
      </c>
      <c r="I3197" s="364" t="s">
        <v>15483</v>
      </c>
      <c r="J3197" s="367"/>
      <c r="K3197" s="364"/>
      <c r="L3197" s="364"/>
      <c r="M3197" s="364" t="s">
        <v>10084</v>
      </c>
      <c r="N3197" s="364"/>
      <c r="O3197" s="364" t="s">
        <v>57</v>
      </c>
      <c r="P3197" s="373">
        <v>149008000</v>
      </c>
      <c r="Q3197" s="364"/>
      <c r="R3197" s="364" t="s">
        <v>9987</v>
      </c>
      <c r="S3197" s="340">
        <v>1</v>
      </c>
    </row>
    <row r="3198" spans="1:19" ht="31" x14ac:dyDescent="0.35">
      <c r="A3198" s="349">
        <v>3187</v>
      </c>
      <c r="B3198" s="364" t="s">
        <v>10085</v>
      </c>
      <c r="C3198" s="364" t="s">
        <v>10086</v>
      </c>
      <c r="D3198" s="366" t="s">
        <v>101</v>
      </c>
      <c r="E3198" s="366" t="s">
        <v>10082</v>
      </c>
      <c r="F3198" s="366" t="s">
        <v>10078</v>
      </c>
      <c r="G3198" s="366" t="s">
        <v>10078</v>
      </c>
      <c r="H3198" s="366" t="s">
        <v>8956</v>
      </c>
      <c r="I3198" s="364" t="s">
        <v>15483</v>
      </c>
      <c r="J3198" s="367"/>
      <c r="K3198" s="364"/>
      <c r="L3198" s="364"/>
      <c r="M3198" s="364" t="s">
        <v>10084</v>
      </c>
      <c r="N3198" s="364"/>
      <c r="O3198" s="364" t="s">
        <v>57</v>
      </c>
      <c r="P3198" s="373">
        <v>74504000</v>
      </c>
      <c r="Q3198" s="364"/>
      <c r="R3198" s="364" t="s">
        <v>9987</v>
      </c>
      <c r="S3198" s="340">
        <v>1</v>
      </c>
    </row>
    <row r="3199" spans="1:19" ht="47" thickBot="1" x14ac:dyDescent="0.4">
      <c r="A3199" s="357">
        <v>3188</v>
      </c>
      <c r="B3199" s="364" t="s">
        <v>10146</v>
      </c>
      <c r="C3199" s="364" t="s">
        <v>10147</v>
      </c>
      <c r="D3199" s="366" t="s">
        <v>51</v>
      </c>
      <c r="E3199" s="366" t="s">
        <v>10082</v>
      </c>
      <c r="F3199" s="366" t="s">
        <v>10078</v>
      </c>
      <c r="G3199" s="366" t="s">
        <v>10078</v>
      </c>
      <c r="H3199" s="366" t="s">
        <v>11308</v>
      </c>
      <c r="I3199" s="364" t="s">
        <v>15486</v>
      </c>
      <c r="J3199" s="367">
        <v>43966</v>
      </c>
      <c r="K3199" s="364" t="s">
        <v>15487</v>
      </c>
      <c r="L3199" s="364"/>
      <c r="M3199" s="364" t="s">
        <v>10084</v>
      </c>
      <c r="N3199" s="364"/>
      <c r="O3199" s="364" t="s">
        <v>57</v>
      </c>
      <c r="P3199" s="373">
        <v>179992000</v>
      </c>
      <c r="Q3199" s="364" t="s">
        <v>15488</v>
      </c>
      <c r="R3199" s="364" t="s">
        <v>9987</v>
      </c>
      <c r="S3199" s="340">
        <v>1</v>
      </c>
    </row>
    <row r="3200" spans="1:19" ht="31" x14ac:dyDescent="0.35">
      <c r="A3200" s="349">
        <v>3189</v>
      </c>
      <c r="B3200" s="364" t="s">
        <v>10146</v>
      </c>
      <c r="C3200" s="364" t="s">
        <v>10147</v>
      </c>
      <c r="D3200" s="366" t="s">
        <v>59</v>
      </c>
      <c r="E3200" s="366" t="s">
        <v>10082</v>
      </c>
      <c r="F3200" s="366" t="s">
        <v>10078</v>
      </c>
      <c r="G3200" s="366" t="s">
        <v>10078</v>
      </c>
      <c r="H3200" s="366" t="s">
        <v>11686</v>
      </c>
      <c r="I3200" s="364" t="s">
        <v>13088</v>
      </c>
      <c r="J3200" s="367">
        <v>43247</v>
      </c>
      <c r="K3200" s="364" t="s">
        <v>15489</v>
      </c>
      <c r="L3200" s="364"/>
      <c r="M3200" s="364" t="s">
        <v>10084</v>
      </c>
      <c r="N3200" s="364"/>
      <c r="O3200" s="364" t="s">
        <v>57</v>
      </c>
      <c r="P3200" s="373">
        <v>221198200</v>
      </c>
      <c r="Q3200" s="364" t="s">
        <v>15490</v>
      </c>
      <c r="R3200" s="364" t="s">
        <v>9987</v>
      </c>
      <c r="S3200" s="340">
        <v>1</v>
      </c>
    </row>
    <row r="3201" spans="1:19" ht="31.5" thickBot="1" x14ac:dyDescent="0.4">
      <c r="A3201" s="357">
        <v>3190</v>
      </c>
      <c r="B3201" s="364" t="s">
        <v>10096</v>
      </c>
      <c r="C3201" s="364" t="s">
        <v>10097</v>
      </c>
      <c r="D3201" s="366" t="s">
        <v>51</v>
      </c>
      <c r="E3201" s="366" t="s">
        <v>10082</v>
      </c>
      <c r="F3201" s="366" t="s">
        <v>10078</v>
      </c>
      <c r="G3201" s="366" t="s">
        <v>10088</v>
      </c>
      <c r="H3201" s="366" t="s">
        <v>11465</v>
      </c>
      <c r="I3201" s="364" t="s">
        <v>15483</v>
      </c>
      <c r="J3201" s="367">
        <v>42937</v>
      </c>
      <c r="K3201" s="364" t="s">
        <v>15491</v>
      </c>
      <c r="L3201" s="364"/>
      <c r="M3201" s="364" t="s">
        <v>10084</v>
      </c>
      <c r="N3201" s="364"/>
      <c r="O3201" s="364" t="s">
        <v>57</v>
      </c>
      <c r="P3201" s="373">
        <v>221217000</v>
      </c>
      <c r="Q3201" s="364" t="s">
        <v>15492</v>
      </c>
      <c r="R3201" s="364" t="s">
        <v>9987</v>
      </c>
      <c r="S3201" s="340">
        <v>1</v>
      </c>
    </row>
    <row r="3202" spans="1:19" ht="31" x14ac:dyDescent="0.35">
      <c r="A3202" s="349">
        <v>3191</v>
      </c>
      <c r="B3202" s="364" t="s">
        <v>10155</v>
      </c>
      <c r="C3202" s="364" t="s">
        <v>10156</v>
      </c>
      <c r="D3202" s="366" t="s">
        <v>51</v>
      </c>
      <c r="E3202" s="366" t="s">
        <v>10082</v>
      </c>
      <c r="F3202" s="366" t="s">
        <v>10078</v>
      </c>
      <c r="G3202" s="366" t="s">
        <v>10078</v>
      </c>
      <c r="H3202" s="366" t="s">
        <v>12157</v>
      </c>
      <c r="I3202" s="364" t="s">
        <v>13242</v>
      </c>
      <c r="J3202" s="367"/>
      <c r="K3202" s="364"/>
      <c r="L3202" s="364"/>
      <c r="M3202" s="364" t="s">
        <v>10084</v>
      </c>
      <c r="N3202" s="364"/>
      <c r="O3202" s="364" t="s">
        <v>57</v>
      </c>
      <c r="P3202" s="373">
        <v>450124544</v>
      </c>
      <c r="Q3202" s="364"/>
      <c r="R3202" s="364" t="s">
        <v>9988</v>
      </c>
      <c r="S3202" s="340">
        <v>1</v>
      </c>
    </row>
    <row r="3203" spans="1:19" ht="31.5" thickBot="1" x14ac:dyDescent="0.4">
      <c r="A3203" s="357">
        <v>3192</v>
      </c>
      <c r="B3203" s="364" t="s">
        <v>10541</v>
      </c>
      <c r="C3203" s="364" t="s">
        <v>10542</v>
      </c>
      <c r="D3203" s="366" t="s">
        <v>51</v>
      </c>
      <c r="E3203" s="366" t="s">
        <v>10082</v>
      </c>
      <c r="F3203" s="366" t="s">
        <v>10078</v>
      </c>
      <c r="G3203" s="366" t="s">
        <v>10078</v>
      </c>
      <c r="H3203" s="366" t="s">
        <v>11297</v>
      </c>
      <c r="I3203" s="364" t="s">
        <v>13242</v>
      </c>
      <c r="J3203" s="367"/>
      <c r="K3203" s="364"/>
      <c r="L3203" s="364"/>
      <c r="M3203" s="364" t="s">
        <v>10084</v>
      </c>
      <c r="N3203" s="364"/>
      <c r="O3203" s="364" t="s">
        <v>57</v>
      </c>
      <c r="P3203" s="373">
        <v>98481000</v>
      </c>
      <c r="Q3203" s="364"/>
      <c r="R3203" s="364" t="s">
        <v>9988</v>
      </c>
      <c r="S3203" s="340">
        <v>1</v>
      </c>
    </row>
    <row r="3204" spans="1:19" ht="31" x14ac:dyDescent="0.35">
      <c r="A3204" s="349">
        <v>3193</v>
      </c>
      <c r="B3204" s="364" t="s">
        <v>11830</v>
      </c>
      <c r="C3204" s="364" t="s">
        <v>11831</v>
      </c>
      <c r="D3204" s="366" t="s">
        <v>51</v>
      </c>
      <c r="E3204" s="366" t="s">
        <v>10082</v>
      </c>
      <c r="F3204" s="366" t="s">
        <v>10078</v>
      </c>
      <c r="G3204" s="366" t="s">
        <v>10088</v>
      </c>
      <c r="H3204" s="366" t="s">
        <v>231</v>
      </c>
      <c r="I3204" s="364" t="s">
        <v>13242</v>
      </c>
      <c r="J3204" s="367">
        <v>41904</v>
      </c>
      <c r="K3204" s="364" t="s">
        <v>15493</v>
      </c>
      <c r="L3204" s="364"/>
      <c r="M3204" s="364" t="s">
        <v>10084</v>
      </c>
      <c r="N3204" s="364"/>
      <c r="O3204" s="364" t="s">
        <v>57</v>
      </c>
      <c r="P3204" s="373">
        <v>270604800</v>
      </c>
      <c r="Q3204" s="364" t="s">
        <v>15494</v>
      </c>
      <c r="R3204" s="364" t="s">
        <v>9988</v>
      </c>
      <c r="S3204" s="340">
        <v>1</v>
      </c>
    </row>
    <row r="3205" spans="1:19" ht="31.5" thickBot="1" x14ac:dyDescent="0.4">
      <c r="A3205" s="357">
        <v>3194</v>
      </c>
      <c r="B3205" s="364" t="s">
        <v>11830</v>
      </c>
      <c r="C3205" s="364" t="s">
        <v>11831</v>
      </c>
      <c r="D3205" s="366" t="s">
        <v>59</v>
      </c>
      <c r="E3205" s="366" t="s">
        <v>10082</v>
      </c>
      <c r="F3205" s="366" t="s">
        <v>10078</v>
      </c>
      <c r="G3205" s="366" t="s">
        <v>10078</v>
      </c>
      <c r="H3205" s="366" t="s">
        <v>12157</v>
      </c>
      <c r="I3205" s="364" t="s">
        <v>13242</v>
      </c>
      <c r="J3205" s="367"/>
      <c r="K3205" s="364"/>
      <c r="L3205" s="364"/>
      <c r="M3205" s="364" t="s">
        <v>10084</v>
      </c>
      <c r="N3205" s="364"/>
      <c r="O3205" s="364" t="s">
        <v>57</v>
      </c>
      <c r="P3205" s="373">
        <v>118177000</v>
      </c>
      <c r="Q3205" s="364"/>
      <c r="R3205" s="364" t="s">
        <v>9988</v>
      </c>
      <c r="S3205" s="340">
        <v>1</v>
      </c>
    </row>
    <row r="3206" spans="1:19" ht="31" x14ac:dyDescent="0.35">
      <c r="A3206" s="349">
        <v>3195</v>
      </c>
      <c r="B3206" s="364" t="s">
        <v>10080</v>
      </c>
      <c r="C3206" s="364" t="s">
        <v>10081</v>
      </c>
      <c r="D3206" s="366" t="s">
        <v>51</v>
      </c>
      <c r="E3206" s="366" t="s">
        <v>10082</v>
      </c>
      <c r="F3206" s="366" t="s">
        <v>10078</v>
      </c>
      <c r="G3206" s="366" t="s">
        <v>10088</v>
      </c>
      <c r="H3206" s="366" t="s">
        <v>12157</v>
      </c>
      <c r="I3206" s="364" t="s">
        <v>13242</v>
      </c>
      <c r="J3206" s="367">
        <v>41904</v>
      </c>
      <c r="K3206" s="364" t="s">
        <v>15495</v>
      </c>
      <c r="L3206" s="364"/>
      <c r="M3206" s="364" t="s">
        <v>10084</v>
      </c>
      <c r="N3206" s="364"/>
      <c r="O3206" s="364" t="s">
        <v>57</v>
      </c>
      <c r="P3206" s="373">
        <v>147981200</v>
      </c>
      <c r="Q3206" s="364" t="s">
        <v>15496</v>
      </c>
      <c r="R3206" s="364" t="s">
        <v>9988</v>
      </c>
      <c r="S3206" s="340">
        <v>1</v>
      </c>
    </row>
    <row r="3207" spans="1:19" ht="31.5" thickBot="1" x14ac:dyDescent="0.4">
      <c r="A3207" s="357">
        <v>3196</v>
      </c>
      <c r="B3207" s="364" t="s">
        <v>10080</v>
      </c>
      <c r="C3207" s="364" t="s">
        <v>10081</v>
      </c>
      <c r="D3207" s="366" t="s">
        <v>59</v>
      </c>
      <c r="E3207" s="366" t="s">
        <v>10082</v>
      </c>
      <c r="F3207" s="366" t="s">
        <v>10078</v>
      </c>
      <c r="G3207" s="366" t="s">
        <v>10088</v>
      </c>
      <c r="H3207" s="366" t="s">
        <v>13157</v>
      </c>
      <c r="I3207" s="364" t="s">
        <v>13242</v>
      </c>
      <c r="J3207" s="367">
        <v>44258</v>
      </c>
      <c r="K3207" s="364" t="s">
        <v>15495</v>
      </c>
      <c r="L3207" s="364"/>
      <c r="M3207" s="364" t="s">
        <v>10084</v>
      </c>
      <c r="N3207" s="364"/>
      <c r="O3207" s="364" t="s">
        <v>57</v>
      </c>
      <c r="P3207" s="373">
        <v>1039112150</v>
      </c>
      <c r="Q3207" s="364" t="s">
        <v>15497</v>
      </c>
      <c r="R3207" s="364" t="s">
        <v>9988</v>
      </c>
      <c r="S3207" s="340">
        <v>1</v>
      </c>
    </row>
    <row r="3208" spans="1:19" ht="31" x14ac:dyDescent="0.35">
      <c r="A3208" s="349">
        <v>3197</v>
      </c>
      <c r="B3208" s="364" t="s">
        <v>10080</v>
      </c>
      <c r="C3208" s="364" t="s">
        <v>10081</v>
      </c>
      <c r="D3208" s="366" t="s">
        <v>97</v>
      </c>
      <c r="E3208" s="366" t="s">
        <v>10082</v>
      </c>
      <c r="F3208" s="366" t="s">
        <v>10078</v>
      </c>
      <c r="G3208" s="366" t="s">
        <v>10078</v>
      </c>
      <c r="H3208" s="366" t="s">
        <v>13157</v>
      </c>
      <c r="I3208" s="364" t="s">
        <v>13242</v>
      </c>
      <c r="J3208" s="367"/>
      <c r="K3208" s="364"/>
      <c r="L3208" s="364"/>
      <c r="M3208" s="364" t="s">
        <v>10084</v>
      </c>
      <c r="N3208" s="364"/>
      <c r="O3208" s="364" t="s">
        <v>57</v>
      </c>
      <c r="P3208" s="373">
        <v>674057000</v>
      </c>
      <c r="Q3208" s="364"/>
      <c r="R3208" s="364" t="s">
        <v>9988</v>
      </c>
      <c r="S3208" s="340">
        <v>1</v>
      </c>
    </row>
    <row r="3209" spans="1:19" ht="31.5" thickBot="1" x14ac:dyDescent="0.4">
      <c r="A3209" s="357">
        <v>3198</v>
      </c>
      <c r="B3209" s="364" t="s">
        <v>10080</v>
      </c>
      <c r="C3209" s="364" t="s">
        <v>10081</v>
      </c>
      <c r="D3209" s="366" t="s">
        <v>101</v>
      </c>
      <c r="E3209" s="366" t="s">
        <v>10082</v>
      </c>
      <c r="F3209" s="366" t="s">
        <v>10078</v>
      </c>
      <c r="G3209" s="366" t="s">
        <v>10078</v>
      </c>
      <c r="H3209" s="366" t="s">
        <v>14855</v>
      </c>
      <c r="I3209" s="364" t="s">
        <v>13242</v>
      </c>
      <c r="J3209" s="367"/>
      <c r="K3209" s="364"/>
      <c r="L3209" s="364"/>
      <c r="M3209" s="364" t="s">
        <v>10084</v>
      </c>
      <c r="N3209" s="364"/>
      <c r="O3209" s="364" t="s">
        <v>422</v>
      </c>
      <c r="P3209" s="373">
        <v>110000000</v>
      </c>
      <c r="Q3209" s="364" t="s">
        <v>8603</v>
      </c>
      <c r="R3209" s="364" t="s">
        <v>9988</v>
      </c>
      <c r="S3209" s="340">
        <v>1</v>
      </c>
    </row>
    <row r="3210" spans="1:19" ht="31" x14ac:dyDescent="0.35">
      <c r="A3210" s="349">
        <v>3199</v>
      </c>
      <c r="B3210" s="364" t="s">
        <v>10080</v>
      </c>
      <c r="C3210" s="364" t="s">
        <v>10081</v>
      </c>
      <c r="D3210" s="366" t="s">
        <v>107</v>
      </c>
      <c r="E3210" s="366" t="s">
        <v>10082</v>
      </c>
      <c r="F3210" s="366" t="s">
        <v>10078</v>
      </c>
      <c r="G3210" s="366" t="s">
        <v>10078</v>
      </c>
      <c r="H3210" s="366" t="s">
        <v>3405</v>
      </c>
      <c r="I3210" s="364" t="s">
        <v>13242</v>
      </c>
      <c r="J3210" s="367"/>
      <c r="K3210" s="364"/>
      <c r="L3210" s="364"/>
      <c r="M3210" s="364" t="s">
        <v>10084</v>
      </c>
      <c r="N3210" s="364"/>
      <c r="O3210" s="364" t="s">
        <v>57</v>
      </c>
      <c r="P3210" s="373">
        <v>403679840</v>
      </c>
      <c r="Q3210" s="364"/>
      <c r="R3210" s="364" t="s">
        <v>9988</v>
      </c>
      <c r="S3210" s="340">
        <v>1</v>
      </c>
    </row>
    <row r="3211" spans="1:19" ht="31.5" thickBot="1" x14ac:dyDescent="0.4">
      <c r="A3211" s="357">
        <v>3200</v>
      </c>
      <c r="B3211" s="364" t="s">
        <v>10110</v>
      </c>
      <c r="C3211" s="364" t="s">
        <v>10111</v>
      </c>
      <c r="D3211" s="366" t="s">
        <v>51</v>
      </c>
      <c r="E3211" s="366" t="s">
        <v>10082</v>
      </c>
      <c r="F3211" s="366" t="s">
        <v>10078</v>
      </c>
      <c r="G3211" s="366" t="s">
        <v>10088</v>
      </c>
      <c r="H3211" s="366" t="s">
        <v>11447</v>
      </c>
      <c r="I3211" s="364" t="s">
        <v>13242</v>
      </c>
      <c r="J3211" s="367">
        <v>42391</v>
      </c>
      <c r="K3211" s="364" t="s">
        <v>15498</v>
      </c>
      <c r="L3211" s="364"/>
      <c r="M3211" s="364" t="s">
        <v>10084</v>
      </c>
      <c r="N3211" s="364"/>
      <c r="O3211" s="364" t="s">
        <v>57</v>
      </c>
      <c r="P3211" s="373">
        <v>82560000</v>
      </c>
      <c r="Q3211" s="364" t="s">
        <v>15499</v>
      </c>
      <c r="R3211" s="364" t="s">
        <v>9988</v>
      </c>
      <c r="S3211" s="340">
        <v>1</v>
      </c>
    </row>
    <row r="3212" spans="1:19" ht="46.5" x14ac:dyDescent="0.35">
      <c r="A3212" s="349">
        <v>3201</v>
      </c>
      <c r="B3212" s="364" t="s">
        <v>10110</v>
      </c>
      <c r="C3212" s="364" t="s">
        <v>10111</v>
      </c>
      <c r="D3212" s="366" t="s">
        <v>59</v>
      </c>
      <c r="E3212" s="366" t="s">
        <v>10082</v>
      </c>
      <c r="F3212" s="366" t="s">
        <v>10078</v>
      </c>
      <c r="G3212" s="366" t="s">
        <v>10088</v>
      </c>
      <c r="H3212" s="366" t="s">
        <v>11324</v>
      </c>
      <c r="I3212" s="364" t="s">
        <v>15500</v>
      </c>
      <c r="J3212" s="367"/>
      <c r="K3212" s="364" t="s">
        <v>15501</v>
      </c>
      <c r="L3212" s="364"/>
      <c r="M3212" s="364"/>
      <c r="N3212" s="364"/>
      <c r="O3212" s="364" t="s">
        <v>44</v>
      </c>
      <c r="P3212" s="373">
        <v>209341772.5</v>
      </c>
      <c r="Q3212" s="364" t="s">
        <v>15502</v>
      </c>
      <c r="R3212" s="364" t="s">
        <v>9988</v>
      </c>
      <c r="S3212" s="340">
        <v>1</v>
      </c>
    </row>
    <row r="3213" spans="1:19" ht="31.5" thickBot="1" x14ac:dyDescent="0.4">
      <c r="A3213" s="357">
        <v>3202</v>
      </c>
      <c r="B3213" s="364" t="s">
        <v>10092</v>
      </c>
      <c r="C3213" s="364" t="s">
        <v>10093</v>
      </c>
      <c r="D3213" s="366" t="s">
        <v>51</v>
      </c>
      <c r="E3213" s="366" t="s">
        <v>10082</v>
      </c>
      <c r="F3213" s="366" t="s">
        <v>10078</v>
      </c>
      <c r="G3213" s="366" t="s">
        <v>10078</v>
      </c>
      <c r="H3213" s="366" t="s">
        <v>12157</v>
      </c>
      <c r="I3213" s="364" t="s">
        <v>13242</v>
      </c>
      <c r="J3213" s="367"/>
      <c r="K3213" s="364"/>
      <c r="L3213" s="364"/>
      <c r="M3213" s="364" t="s">
        <v>10084</v>
      </c>
      <c r="N3213" s="364"/>
      <c r="O3213" s="364" t="s">
        <v>57</v>
      </c>
      <c r="P3213" s="373">
        <v>118177000</v>
      </c>
      <c r="Q3213" s="364"/>
      <c r="R3213" s="364" t="s">
        <v>9988</v>
      </c>
      <c r="S3213" s="340">
        <v>1</v>
      </c>
    </row>
    <row r="3214" spans="1:19" ht="31" x14ac:dyDescent="0.35">
      <c r="A3214" s="349">
        <v>3203</v>
      </c>
      <c r="B3214" s="364" t="s">
        <v>10092</v>
      </c>
      <c r="C3214" s="364" t="s">
        <v>10093</v>
      </c>
      <c r="D3214" s="366" t="s">
        <v>59</v>
      </c>
      <c r="E3214" s="366" t="s">
        <v>10082</v>
      </c>
      <c r="F3214" s="366" t="s">
        <v>10078</v>
      </c>
      <c r="G3214" s="366" t="s">
        <v>10078</v>
      </c>
      <c r="H3214" s="366" t="s">
        <v>12157</v>
      </c>
      <c r="I3214" s="364" t="s">
        <v>13242</v>
      </c>
      <c r="J3214" s="367"/>
      <c r="K3214" s="364"/>
      <c r="L3214" s="364"/>
      <c r="M3214" s="364" t="s">
        <v>10084</v>
      </c>
      <c r="N3214" s="364"/>
      <c r="O3214" s="364" t="s">
        <v>57</v>
      </c>
      <c r="P3214" s="373">
        <v>118177000</v>
      </c>
      <c r="Q3214" s="364"/>
      <c r="R3214" s="364" t="s">
        <v>9988</v>
      </c>
      <c r="S3214" s="340">
        <v>1</v>
      </c>
    </row>
    <row r="3215" spans="1:19" ht="31.5" thickBot="1" x14ac:dyDescent="0.4">
      <c r="A3215" s="357">
        <v>3204</v>
      </c>
      <c r="B3215" s="364" t="s">
        <v>10085</v>
      </c>
      <c r="C3215" s="364" t="s">
        <v>10086</v>
      </c>
      <c r="D3215" s="366" t="s">
        <v>51</v>
      </c>
      <c r="E3215" s="366" t="s">
        <v>10082</v>
      </c>
      <c r="F3215" s="366" t="s">
        <v>10078</v>
      </c>
      <c r="G3215" s="366" t="s">
        <v>10078</v>
      </c>
      <c r="H3215" s="366" t="s">
        <v>11308</v>
      </c>
      <c r="I3215" s="364" t="s">
        <v>13242</v>
      </c>
      <c r="J3215" s="367"/>
      <c r="K3215" s="364"/>
      <c r="L3215" s="364"/>
      <c r="M3215" s="364" t="s">
        <v>10084</v>
      </c>
      <c r="N3215" s="364"/>
      <c r="O3215" s="364" t="s">
        <v>57</v>
      </c>
      <c r="P3215" s="373">
        <v>91916000</v>
      </c>
      <c r="Q3215" s="364"/>
      <c r="R3215" s="364" t="s">
        <v>9988</v>
      </c>
      <c r="S3215" s="340">
        <v>1</v>
      </c>
    </row>
    <row r="3216" spans="1:19" ht="31" x14ac:dyDescent="0.35">
      <c r="A3216" s="349">
        <v>3205</v>
      </c>
      <c r="B3216" s="364" t="s">
        <v>10085</v>
      </c>
      <c r="C3216" s="364" t="s">
        <v>10086</v>
      </c>
      <c r="D3216" s="366" t="s">
        <v>59</v>
      </c>
      <c r="E3216" s="366" t="s">
        <v>10082</v>
      </c>
      <c r="F3216" s="366" t="s">
        <v>10078</v>
      </c>
      <c r="G3216" s="366" t="s">
        <v>10078</v>
      </c>
      <c r="H3216" s="366" t="s">
        <v>11308</v>
      </c>
      <c r="I3216" s="364" t="s">
        <v>13242</v>
      </c>
      <c r="J3216" s="367"/>
      <c r="K3216" s="364"/>
      <c r="L3216" s="364"/>
      <c r="M3216" s="364" t="s">
        <v>10084</v>
      </c>
      <c r="N3216" s="364"/>
      <c r="O3216" s="364" t="s">
        <v>57</v>
      </c>
      <c r="P3216" s="373">
        <v>91916000</v>
      </c>
      <c r="Q3216" s="364"/>
      <c r="R3216" s="364" t="s">
        <v>9988</v>
      </c>
      <c r="S3216" s="340">
        <v>1</v>
      </c>
    </row>
    <row r="3217" spans="1:19" ht="31.5" thickBot="1" x14ac:dyDescent="0.4">
      <c r="A3217" s="357">
        <v>3206</v>
      </c>
      <c r="B3217" s="364" t="s">
        <v>10146</v>
      </c>
      <c r="C3217" s="364" t="s">
        <v>10147</v>
      </c>
      <c r="D3217" s="366" t="s">
        <v>51</v>
      </c>
      <c r="E3217" s="366" t="s">
        <v>10082</v>
      </c>
      <c r="F3217" s="366" t="s">
        <v>10078</v>
      </c>
      <c r="G3217" s="366" t="s">
        <v>10088</v>
      </c>
      <c r="H3217" s="366" t="s">
        <v>11308</v>
      </c>
      <c r="I3217" s="364" t="s">
        <v>13242</v>
      </c>
      <c r="J3217" s="367">
        <v>42937</v>
      </c>
      <c r="K3217" s="364" t="s">
        <v>15503</v>
      </c>
      <c r="L3217" s="364"/>
      <c r="M3217" s="364" t="s">
        <v>10084</v>
      </c>
      <c r="N3217" s="364"/>
      <c r="O3217" s="364" t="s">
        <v>57</v>
      </c>
      <c r="P3217" s="373">
        <v>221138000</v>
      </c>
      <c r="Q3217" s="364" t="s">
        <v>15504</v>
      </c>
      <c r="R3217" s="364" t="s">
        <v>9988</v>
      </c>
      <c r="S3217" s="340">
        <v>1</v>
      </c>
    </row>
    <row r="3218" spans="1:19" ht="31" x14ac:dyDescent="0.35">
      <c r="A3218" s="349">
        <v>3207</v>
      </c>
      <c r="B3218" s="364" t="s">
        <v>10096</v>
      </c>
      <c r="C3218" s="364" t="s">
        <v>10097</v>
      </c>
      <c r="D3218" s="366" t="s">
        <v>51</v>
      </c>
      <c r="E3218" s="366" t="s">
        <v>10082</v>
      </c>
      <c r="F3218" s="366" t="s">
        <v>10078</v>
      </c>
      <c r="G3218" s="366" t="s">
        <v>10088</v>
      </c>
      <c r="H3218" s="366" t="s">
        <v>5537</v>
      </c>
      <c r="I3218" s="364" t="s">
        <v>13242</v>
      </c>
      <c r="J3218" s="367">
        <v>43208</v>
      </c>
      <c r="K3218" s="364" t="s">
        <v>15505</v>
      </c>
      <c r="L3218" s="364"/>
      <c r="M3218" s="364" t="s">
        <v>10084</v>
      </c>
      <c r="N3218" s="364"/>
      <c r="O3218" s="364" t="s">
        <v>57</v>
      </c>
      <c r="P3218" s="373">
        <v>221242000</v>
      </c>
      <c r="Q3218" s="364" t="s">
        <v>15506</v>
      </c>
      <c r="R3218" s="364" t="s">
        <v>9988</v>
      </c>
      <c r="S3218" s="340">
        <v>1</v>
      </c>
    </row>
    <row r="3219" spans="1:19" ht="31.5" thickBot="1" x14ac:dyDescent="0.4">
      <c r="A3219" s="357">
        <v>3208</v>
      </c>
      <c r="B3219" s="364" t="s">
        <v>10155</v>
      </c>
      <c r="C3219" s="364" t="s">
        <v>10156</v>
      </c>
      <c r="D3219" s="366" t="s">
        <v>51</v>
      </c>
      <c r="E3219" s="366" t="s">
        <v>10082</v>
      </c>
      <c r="F3219" s="366" t="s">
        <v>10078</v>
      </c>
      <c r="G3219" s="366" t="s">
        <v>10088</v>
      </c>
      <c r="H3219" s="366" t="s">
        <v>14320</v>
      </c>
      <c r="I3219" s="364" t="s">
        <v>15507</v>
      </c>
      <c r="J3219" s="367">
        <v>43328</v>
      </c>
      <c r="K3219" s="364" t="s">
        <v>15508</v>
      </c>
      <c r="L3219" s="364"/>
      <c r="M3219" s="364" t="s">
        <v>10084</v>
      </c>
      <c r="N3219" s="364"/>
      <c r="O3219" s="364" t="s">
        <v>57</v>
      </c>
      <c r="P3219" s="373">
        <v>221181000</v>
      </c>
      <c r="Q3219" s="364" t="s">
        <v>15509</v>
      </c>
      <c r="R3219" s="364" t="s">
        <v>9991</v>
      </c>
      <c r="S3219" s="340">
        <v>1</v>
      </c>
    </row>
    <row r="3220" spans="1:19" ht="31" x14ac:dyDescent="0.35">
      <c r="A3220" s="349">
        <v>3209</v>
      </c>
      <c r="B3220" s="364" t="s">
        <v>10155</v>
      </c>
      <c r="C3220" s="364" t="s">
        <v>10156</v>
      </c>
      <c r="D3220" s="366" t="s">
        <v>59</v>
      </c>
      <c r="E3220" s="366" t="s">
        <v>10082</v>
      </c>
      <c r="F3220" s="366" t="s">
        <v>10078</v>
      </c>
      <c r="G3220" s="366" t="s">
        <v>10078</v>
      </c>
      <c r="H3220" s="366" t="s">
        <v>1122</v>
      </c>
      <c r="I3220" s="364" t="s">
        <v>15510</v>
      </c>
      <c r="J3220" s="367"/>
      <c r="K3220" s="364"/>
      <c r="L3220" s="364"/>
      <c r="M3220" s="364" t="s">
        <v>10084</v>
      </c>
      <c r="N3220" s="364"/>
      <c r="O3220" s="364" t="s">
        <v>57</v>
      </c>
      <c r="P3220" s="373">
        <v>530632900</v>
      </c>
      <c r="Q3220" s="364"/>
      <c r="R3220" s="364" t="s">
        <v>9991</v>
      </c>
      <c r="S3220" s="340">
        <v>1</v>
      </c>
    </row>
    <row r="3221" spans="1:19" ht="31.5" thickBot="1" x14ac:dyDescent="0.4">
      <c r="A3221" s="357">
        <v>3210</v>
      </c>
      <c r="B3221" s="364" t="s">
        <v>11830</v>
      </c>
      <c r="C3221" s="364" t="s">
        <v>11831</v>
      </c>
      <c r="D3221" s="366" t="s">
        <v>51</v>
      </c>
      <c r="E3221" s="366" t="s">
        <v>10082</v>
      </c>
      <c r="F3221" s="366" t="s">
        <v>10078</v>
      </c>
      <c r="G3221" s="366" t="s">
        <v>10078</v>
      </c>
      <c r="H3221" s="366" t="s">
        <v>14053</v>
      </c>
      <c r="I3221" s="364" t="s">
        <v>15510</v>
      </c>
      <c r="J3221" s="367"/>
      <c r="K3221" s="364"/>
      <c r="L3221" s="364"/>
      <c r="M3221" s="364" t="s">
        <v>10084</v>
      </c>
      <c r="N3221" s="364"/>
      <c r="O3221" s="364" t="s">
        <v>57</v>
      </c>
      <c r="P3221" s="373">
        <v>298285000</v>
      </c>
      <c r="Q3221" s="364"/>
      <c r="R3221" s="364" t="s">
        <v>9991</v>
      </c>
      <c r="S3221" s="340">
        <v>1</v>
      </c>
    </row>
    <row r="3222" spans="1:19" ht="31" x14ac:dyDescent="0.35">
      <c r="A3222" s="349">
        <v>3211</v>
      </c>
      <c r="B3222" s="364" t="s">
        <v>10080</v>
      </c>
      <c r="C3222" s="364" t="s">
        <v>10081</v>
      </c>
      <c r="D3222" s="366" t="s">
        <v>51</v>
      </c>
      <c r="E3222" s="366" t="s">
        <v>10082</v>
      </c>
      <c r="F3222" s="366" t="s">
        <v>10078</v>
      </c>
      <c r="G3222" s="366" t="s">
        <v>10078</v>
      </c>
      <c r="H3222" s="366" t="s">
        <v>14053</v>
      </c>
      <c r="I3222" s="364" t="s">
        <v>15510</v>
      </c>
      <c r="J3222" s="367"/>
      <c r="K3222" s="364"/>
      <c r="L3222" s="364"/>
      <c r="M3222" s="364" t="s">
        <v>10084</v>
      </c>
      <c r="N3222" s="364"/>
      <c r="O3222" s="364" t="s">
        <v>57</v>
      </c>
      <c r="P3222" s="373">
        <v>728110840</v>
      </c>
      <c r="Q3222" s="364"/>
      <c r="R3222" s="364" t="s">
        <v>9991</v>
      </c>
      <c r="S3222" s="340">
        <v>1</v>
      </c>
    </row>
    <row r="3223" spans="1:19" ht="31.5" thickBot="1" x14ac:dyDescent="0.4">
      <c r="A3223" s="357">
        <v>3212</v>
      </c>
      <c r="B3223" s="364" t="s">
        <v>10080</v>
      </c>
      <c r="C3223" s="364" t="s">
        <v>10081</v>
      </c>
      <c r="D3223" s="366" t="s">
        <v>59</v>
      </c>
      <c r="E3223" s="366" t="s">
        <v>10082</v>
      </c>
      <c r="F3223" s="366" t="s">
        <v>10078</v>
      </c>
      <c r="G3223" s="366" t="s">
        <v>10078</v>
      </c>
      <c r="H3223" s="366" t="s">
        <v>231</v>
      </c>
      <c r="I3223" s="364" t="s">
        <v>15510</v>
      </c>
      <c r="J3223" s="367"/>
      <c r="K3223" s="364"/>
      <c r="L3223" s="364"/>
      <c r="M3223" s="364" t="s">
        <v>10084</v>
      </c>
      <c r="N3223" s="364"/>
      <c r="O3223" s="364" t="s">
        <v>422</v>
      </c>
      <c r="P3223" s="373">
        <v>90000000</v>
      </c>
      <c r="Q3223" s="364" t="s">
        <v>8603</v>
      </c>
      <c r="R3223" s="364" t="s">
        <v>9991</v>
      </c>
      <c r="S3223" s="340">
        <v>1</v>
      </c>
    </row>
    <row r="3224" spans="1:19" ht="31" x14ac:dyDescent="0.35">
      <c r="A3224" s="349">
        <v>3213</v>
      </c>
      <c r="B3224" s="364" t="s">
        <v>10080</v>
      </c>
      <c r="C3224" s="364" t="s">
        <v>10081</v>
      </c>
      <c r="D3224" s="366" t="s">
        <v>97</v>
      </c>
      <c r="E3224" s="366" t="s">
        <v>10082</v>
      </c>
      <c r="F3224" s="366" t="s">
        <v>10078</v>
      </c>
      <c r="G3224" s="366" t="s">
        <v>10078</v>
      </c>
      <c r="H3224" s="366" t="s">
        <v>14053</v>
      </c>
      <c r="I3224" s="364" t="s">
        <v>15510</v>
      </c>
      <c r="J3224" s="367"/>
      <c r="K3224" s="364"/>
      <c r="L3224" s="364"/>
      <c r="M3224" s="364" t="s">
        <v>10084</v>
      </c>
      <c r="N3224" s="364"/>
      <c r="O3224" s="364" t="s">
        <v>57</v>
      </c>
      <c r="P3224" s="373">
        <v>497399908</v>
      </c>
      <c r="Q3224" s="364"/>
      <c r="R3224" s="364" t="s">
        <v>9991</v>
      </c>
      <c r="S3224" s="340">
        <v>1</v>
      </c>
    </row>
    <row r="3225" spans="1:19" ht="31.5" thickBot="1" x14ac:dyDescent="0.4">
      <c r="A3225" s="357">
        <v>3214</v>
      </c>
      <c r="B3225" s="364" t="s">
        <v>10080</v>
      </c>
      <c r="C3225" s="364" t="s">
        <v>10081</v>
      </c>
      <c r="D3225" s="366" t="s">
        <v>101</v>
      </c>
      <c r="E3225" s="366" t="s">
        <v>10082</v>
      </c>
      <c r="F3225" s="366" t="s">
        <v>10078</v>
      </c>
      <c r="G3225" s="366" t="s">
        <v>10078</v>
      </c>
      <c r="H3225" s="366" t="s">
        <v>14053</v>
      </c>
      <c r="I3225" s="364" t="s">
        <v>15510</v>
      </c>
      <c r="J3225" s="367"/>
      <c r="K3225" s="364"/>
      <c r="L3225" s="364"/>
      <c r="M3225" s="364" t="s">
        <v>10084</v>
      </c>
      <c r="N3225" s="364"/>
      <c r="O3225" s="364" t="s">
        <v>57</v>
      </c>
      <c r="P3225" s="373">
        <v>373097500</v>
      </c>
      <c r="Q3225" s="364"/>
      <c r="R3225" s="364" t="s">
        <v>9991</v>
      </c>
      <c r="S3225" s="340">
        <v>1</v>
      </c>
    </row>
    <row r="3226" spans="1:19" ht="31" x14ac:dyDescent="0.35">
      <c r="A3226" s="349">
        <v>3215</v>
      </c>
      <c r="B3226" s="364" t="s">
        <v>10080</v>
      </c>
      <c r="C3226" s="364" t="s">
        <v>10081</v>
      </c>
      <c r="D3226" s="366" t="s">
        <v>112</v>
      </c>
      <c r="E3226" s="366" t="s">
        <v>10082</v>
      </c>
      <c r="F3226" s="366" t="s">
        <v>10078</v>
      </c>
      <c r="G3226" s="366" t="s">
        <v>10088</v>
      </c>
      <c r="H3226" s="366" t="s">
        <v>12157</v>
      </c>
      <c r="I3226" s="364" t="s">
        <v>15511</v>
      </c>
      <c r="J3226" s="367"/>
      <c r="K3226" s="364" t="s">
        <v>15512</v>
      </c>
      <c r="L3226" s="364"/>
      <c r="M3226" s="364"/>
      <c r="N3226" s="364"/>
      <c r="O3226" s="364" t="s">
        <v>44</v>
      </c>
      <c r="P3226" s="373">
        <v>331729400</v>
      </c>
      <c r="Q3226" s="364" t="s">
        <v>15513</v>
      </c>
      <c r="R3226" s="364" t="s">
        <v>9991</v>
      </c>
      <c r="S3226" s="340">
        <v>1</v>
      </c>
    </row>
    <row r="3227" spans="1:19" ht="78" thickBot="1" x14ac:dyDescent="0.4">
      <c r="A3227" s="357">
        <v>3216</v>
      </c>
      <c r="B3227" s="364" t="s">
        <v>10110</v>
      </c>
      <c r="C3227" s="364" t="s">
        <v>10111</v>
      </c>
      <c r="D3227" s="366" t="s">
        <v>51</v>
      </c>
      <c r="E3227" s="366" t="s">
        <v>10082</v>
      </c>
      <c r="F3227" s="366" t="s">
        <v>10078</v>
      </c>
      <c r="G3227" s="366" t="s">
        <v>10078</v>
      </c>
      <c r="H3227" s="366" t="s">
        <v>11686</v>
      </c>
      <c r="I3227" s="364" t="s">
        <v>15514</v>
      </c>
      <c r="J3227" s="367">
        <v>43966</v>
      </c>
      <c r="K3227" s="364" t="s">
        <v>15515</v>
      </c>
      <c r="L3227" s="364"/>
      <c r="M3227" s="364" t="s">
        <v>10084</v>
      </c>
      <c r="N3227" s="364"/>
      <c r="O3227" s="364" t="s">
        <v>57</v>
      </c>
      <c r="P3227" s="373">
        <v>299250000</v>
      </c>
      <c r="Q3227" s="364" t="s">
        <v>15516</v>
      </c>
      <c r="R3227" s="364" t="s">
        <v>9991</v>
      </c>
      <c r="S3227" s="340">
        <v>1</v>
      </c>
    </row>
    <row r="3228" spans="1:19" ht="31" x14ac:dyDescent="0.35">
      <c r="A3228" s="349">
        <v>3217</v>
      </c>
      <c r="B3228" s="364" t="s">
        <v>10110</v>
      </c>
      <c r="C3228" s="364" t="s">
        <v>10111</v>
      </c>
      <c r="D3228" s="366" t="s">
        <v>59</v>
      </c>
      <c r="E3228" s="366" t="s">
        <v>10082</v>
      </c>
      <c r="F3228" s="366" t="s">
        <v>10078</v>
      </c>
      <c r="G3228" s="366" t="s">
        <v>10078</v>
      </c>
      <c r="H3228" s="366" t="s">
        <v>8961</v>
      </c>
      <c r="I3228" s="364" t="s">
        <v>15510</v>
      </c>
      <c r="J3228" s="367"/>
      <c r="K3228" s="364"/>
      <c r="L3228" s="364"/>
      <c r="M3228" s="364" t="s">
        <v>10084</v>
      </c>
      <c r="N3228" s="364"/>
      <c r="O3228" s="364" t="s">
        <v>57</v>
      </c>
      <c r="P3228" s="373">
        <v>249578000</v>
      </c>
      <c r="Q3228" s="364"/>
      <c r="R3228" s="364" t="s">
        <v>9991</v>
      </c>
      <c r="S3228" s="340">
        <v>1</v>
      </c>
    </row>
    <row r="3229" spans="1:19" ht="31.5" thickBot="1" x14ac:dyDescent="0.4">
      <c r="A3229" s="357">
        <v>3218</v>
      </c>
      <c r="B3229" s="364" t="s">
        <v>10085</v>
      </c>
      <c r="C3229" s="364" t="s">
        <v>10086</v>
      </c>
      <c r="D3229" s="366" t="s">
        <v>51</v>
      </c>
      <c r="E3229" s="366" t="s">
        <v>10082</v>
      </c>
      <c r="F3229" s="366" t="s">
        <v>10078</v>
      </c>
      <c r="G3229" s="366" t="s">
        <v>10078</v>
      </c>
      <c r="H3229" s="366" t="s">
        <v>11308</v>
      </c>
      <c r="I3229" s="364" t="s">
        <v>15510</v>
      </c>
      <c r="J3229" s="367"/>
      <c r="K3229" s="364"/>
      <c r="L3229" s="364"/>
      <c r="M3229" s="364" t="s">
        <v>10084</v>
      </c>
      <c r="N3229" s="364"/>
      <c r="O3229" s="364" t="s">
        <v>57</v>
      </c>
      <c r="P3229" s="373">
        <v>517007600</v>
      </c>
      <c r="Q3229" s="364"/>
      <c r="R3229" s="364" t="s">
        <v>9991</v>
      </c>
      <c r="S3229" s="340">
        <v>1</v>
      </c>
    </row>
    <row r="3230" spans="1:19" ht="31" x14ac:dyDescent="0.35">
      <c r="A3230" s="349">
        <v>3219</v>
      </c>
      <c r="B3230" s="364" t="s">
        <v>10085</v>
      </c>
      <c r="C3230" s="364" t="s">
        <v>10086</v>
      </c>
      <c r="D3230" s="366" t="s">
        <v>59</v>
      </c>
      <c r="E3230" s="366" t="s">
        <v>10082</v>
      </c>
      <c r="F3230" s="366" t="s">
        <v>10078</v>
      </c>
      <c r="G3230" s="366" t="s">
        <v>10078</v>
      </c>
      <c r="H3230" s="366" t="s">
        <v>11308</v>
      </c>
      <c r="I3230" s="364" t="s">
        <v>15510</v>
      </c>
      <c r="J3230" s="367"/>
      <c r="K3230" s="364"/>
      <c r="L3230" s="364"/>
      <c r="M3230" s="364" t="s">
        <v>10084</v>
      </c>
      <c r="N3230" s="364"/>
      <c r="O3230" s="364" t="s">
        <v>57</v>
      </c>
      <c r="P3230" s="373">
        <v>198530000</v>
      </c>
      <c r="Q3230" s="364"/>
      <c r="R3230" s="364" t="s">
        <v>9991</v>
      </c>
      <c r="S3230" s="340">
        <v>1</v>
      </c>
    </row>
    <row r="3231" spans="1:19" ht="31.5" thickBot="1" x14ac:dyDescent="0.4">
      <c r="A3231" s="357">
        <v>3220</v>
      </c>
      <c r="B3231" s="364" t="s">
        <v>10146</v>
      </c>
      <c r="C3231" s="364" t="s">
        <v>10147</v>
      </c>
      <c r="D3231" s="366" t="s">
        <v>51</v>
      </c>
      <c r="E3231" s="366" t="s">
        <v>10082</v>
      </c>
      <c r="F3231" s="366" t="s">
        <v>10078</v>
      </c>
      <c r="G3231" s="366" t="s">
        <v>10088</v>
      </c>
      <c r="H3231" s="366" t="s">
        <v>11421</v>
      </c>
      <c r="I3231" s="364" t="s">
        <v>15507</v>
      </c>
      <c r="J3231" s="367">
        <v>41934</v>
      </c>
      <c r="K3231" s="364" t="s">
        <v>15517</v>
      </c>
      <c r="L3231" s="364"/>
      <c r="M3231" s="364" t="s">
        <v>10084</v>
      </c>
      <c r="N3231" s="364"/>
      <c r="O3231" s="364" t="s">
        <v>57</v>
      </c>
      <c r="P3231" s="373">
        <v>365007000</v>
      </c>
      <c r="Q3231" s="364" t="s">
        <v>15518</v>
      </c>
      <c r="R3231" s="364" t="s">
        <v>9991</v>
      </c>
      <c r="S3231" s="340">
        <v>1</v>
      </c>
    </row>
    <row r="3232" spans="1:19" ht="46.5" x14ac:dyDescent="0.35">
      <c r="A3232" s="349">
        <v>3221</v>
      </c>
      <c r="B3232" s="364" t="s">
        <v>10146</v>
      </c>
      <c r="C3232" s="364" t="s">
        <v>10147</v>
      </c>
      <c r="D3232" s="366" t="s">
        <v>59</v>
      </c>
      <c r="E3232" s="366" t="s">
        <v>10082</v>
      </c>
      <c r="F3232" s="366" t="s">
        <v>10078</v>
      </c>
      <c r="G3232" s="366" t="s">
        <v>10088</v>
      </c>
      <c r="H3232" s="366" t="s">
        <v>11551</v>
      </c>
      <c r="I3232" s="364" t="s">
        <v>15514</v>
      </c>
      <c r="J3232" s="367">
        <v>43966</v>
      </c>
      <c r="K3232" s="364" t="s">
        <v>15519</v>
      </c>
      <c r="L3232" s="364"/>
      <c r="M3232" s="364" t="s">
        <v>10084</v>
      </c>
      <c r="N3232" s="364"/>
      <c r="O3232" s="364" t="s">
        <v>57</v>
      </c>
      <c r="P3232" s="373">
        <v>179992000</v>
      </c>
      <c r="Q3232" s="364" t="s">
        <v>15520</v>
      </c>
      <c r="R3232" s="364" t="s">
        <v>9991</v>
      </c>
      <c r="S3232" s="340">
        <v>1</v>
      </c>
    </row>
    <row r="3233" spans="1:19" ht="31.5" thickBot="1" x14ac:dyDescent="0.4">
      <c r="A3233" s="357">
        <v>3222</v>
      </c>
      <c r="B3233" s="364" t="s">
        <v>10096</v>
      </c>
      <c r="C3233" s="364" t="s">
        <v>10097</v>
      </c>
      <c r="D3233" s="366" t="s">
        <v>51</v>
      </c>
      <c r="E3233" s="366" t="s">
        <v>10082</v>
      </c>
      <c r="F3233" s="366" t="s">
        <v>10078</v>
      </c>
      <c r="G3233" s="366" t="s">
        <v>10088</v>
      </c>
      <c r="H3233" s="366" t="s">
        <v>2972</v>
      </c>
      <c r="I3233" s="364" t="s">
        <v>15510</v>
      </c>
      <c r="J3233" s="367"/>
      <c r="K3233" s="364"/>
      <c r="L3233" s="364"/>
      <c r="M3233" s="364" t="s">
        <v>10084</v>
      </c>
      <c r="N3233" s="364"/>
      <c r="O3233" s="364" t="s">
        <v>57</v>
      </c>
      <c r="P3233" s="373">
        <v>98743000</v>
      </c>
      <c r="Q3233" s="364"/>
      <c r="R3233" s="364" t="s">
        <v>9991</v>
      </c>
      <c r="S3233" s="340">
        <v>1</v>
      </c>
    </row>
    <row r="3234" spans="1:19" ht="31" x14ac:dyDescent="0.35">
      <c r="A3234" s="349">
        <v>3223</v>
      </c>
      <c r="B3234" s="364" t="s">
        <v>10301</v>
      </c>
      <c r="C3234" s="364" t="s">
        <v>10302</v>
      </c>
      <c r="D3234" s="366" t="s">
        <v>51</v>
      </c>
      <c r="E3234" s="366" t="s">
        <v>10082</v>
      </c>
      <c r="F3234" s="366" t="s">
        <v>10078</v>
      </c>
      <c r="G3234" s="366" t="s">
        <v>10088</v>
      </c>
      <c r="H3234" s="366" t="s">
        <v>13120</v>
      </c>
      <c r="I3234" s="364" t="s">
        <v>8336</v>
      </c>
      <c r="J3234" s="367">
        <v>42881</v>
      </c>
      <c r="K3234" s="364" t="s">
        <v>15521</v>
      </c>
      <c r="L3234" s="364"/>
      <c r="M3234" s="364" t="s">
        <v>10084</v>
      </c>
      <c r="N3234" s="364"/>
      <c r="O3234" s="364" t="s">
        <v>57</v>
      </c>
      <c r="P3234" s="373">
        <v>221141000</v>
      </c>
      <c r="Q3234" s="364" t="s">
        <v>15522</v>
      </c>
      <c r="R3234" s="364" t="s">
        <v>9992</v>
      </c>
      <c r="S3234" s="340">
        <v>1</v>
      </c>
    </row>
    <row r="3235" spans="1:19" ht="62.5" thickBot="1" x14ac:dyDescent="0.4">
      <c r="A3235" s="357">
        <v>3224</v>
      </c>
      <c r="B3235" s="364" t="s">
        <v>11830</v>
      </c>
      <c r="C3235" s="364" t="s">
        <v>11831</v>
      </c>
      <c r="D3235" s="366" t="s">
        <v>51</v>
      </c>
      <c r="E3235" s="366" t="s">
        <v>10082</v>
      </c>
      <c r="F3235" s="366" t="s">
        <v>10078</v>
      </c>
      <c r="G3235" s="366" t="s">
        <v>10078</v>
      </c>
      <c r="H3235" s="366" t="s">
        <v>231</v>
      </c>
      <c r="I3235" s="364" t="s">
        <v>15523</v>
      </c>
      <c r="J3235" s="367">
        <v>43966</v>
      </c>
      <c r="K3235" s="364" t="s">
        <v>15524</v>
      </c>
      <c r="L3235" s="364"/>
      <c r="M3235" s="364" t="s">
        <v>10084</v>
      </c>
      <c r="N3235" s="364"/>
      <c r="O3235" s="364" t="s">
        <v>57</v>
      </c>
      <c r="P3235" s="373">
        <v>436337500</v>
      </c>
      <c r="Q3235" s="364" t="s">
        <v>15525</v>
      </c>
      <c r="R3235" s="364" t="s">
        <v>9992</v>
      </c>
      <c r="S3235" s="340">
        <v>1</v>
      </c>
    </row>
    <row r="3236" spans="1:19" ht="46.5" x14ac:dyDescent="0.35">
      <c r="A3236" s="349">
        <v>3225</v>
      </c>
      <c r="B3236" s="364" t="s">
        <v>11830</v>
      </c>
      <c r="C3236" s="364" t="s">
        <v>11831</v>
      </c>
      <c r="D3236" s="366" t="s">
        <v>59</v>
      </c>
      <c r="E3236" s="366" t="s">
        <v>10082</v>
      </c>
      <c r="F3236" s="366" t="s">
        <v>10078</v>
      </c>
      <c r="G3236" s="366" t="s">
        <v>10078</v>
      </c>
      <c r="H3236" s="366" t="s">
        <v>163</v>
      </c>
      <c r="I3236" s="364" t="s">
        <v>8336</v>
      </c>
      <c r="J3236" s="367">
        <v>42293</v>
      </c>
      <c r="K3236" s="364" t="s">
        <v>15526</v>
      </c>
      <c r="L3236" s="364"/>
      <c r="M3236" s="364" t="s">
        <v>10084</v>
      </c>
      <c r="N3236" s="364"/>
      <c r="O3236" s="364" t="s">
        <v>57</v>
      </c>
      <c r="P3236" s="373">
        <v>230747318</v>
      </c>
      <c r="Q3236" s="364" t="s">
        <v>15527</v>
      </c>
      <c r="R3236" s="364" t="s">
        <v>9992</v>
      </c>
      <c r="S3236" s="340">
        <v>1</v>
      </c>
    </row>
    <row r="3237" spans="1:19" ht="31.5" thickBot="1" x14ac:dyDescent="0.4">
      <c r="A3237" s="357">
        <v>3226</v>
      </c>
      <c r="B3237" s="364" t="s">
        <v>10080</v>
      </c>
      <c r="C3237" s="364" t="s">
        <v>10081</v>
      </c>
      <c r="D3237" s="366" t="s">
        <v>51</v>
      </c>
      <c r="E3237" s="366" t="s">
        <v>10082</v>
      </c>
      <c r="F3237" s="366" t="s">
        <v>10078</v>
      </c>
      <c r="G3237" s="366" t="s">
        <v>10078</v>
      </c>
      <c r="H3237" s="366" t="s">
        <v>11400</v>
      </c>
      <c r="I3237" s="364" t="s">
        <v>15528</v>
      </c>
      <c r="J3237" s="367"/>
      <c r="K3237" s="364"/>
      <c r="L3237" s="364"/>
      <c r="M3237" s="364" t="s">
        <v>10084</v>
      </c>
      <c r="N3237" s="364"/>
      <c r="O3237" s="364" t="s">
        <v>57</v>
      </c>
      <c r="P3237" s="373">
        <v>259276000</v>
      </c>
      <c r="Q3237" s="364"/>
      <c r="R3237" s="364" t="s">
        <v>9992</v>
      </c>
      <c r="S3237" s="340">
        <v>1</v>
      </c>
    </row>
    <row r="3238" spans="1:19" ht="31" x14ac:dyDescent="0.35">
      <c r="A3238" s="349">
        <v>3227</v>
      </c>
      <c r="B3238" s="364" t="s">
        <v>10080</v>
      </c>
      <c r="C3238" s="364" t="s">
        <v>10081</v>
      </c>
      <c r="D3238" s="366" t="s">
        <v>59</v>
      </c>
      <c r="E3238" s="366" t="s">
        <v>10082</v>
      </c>
      <c r="F3238" s="366" t="s">
        <v>10078</v>
      </c>
      <c r="G3238" s="366" t="s">
        <v>10078</v>
      </c>
      <c r="H3238" s="366" t="s">
        <v>3405</v>
      </c>
      <c r="I3238" s="364" t="s">
        <v>15528</v>
      </c>
      <c r="J3238" s="367"/>
      <c r="K3238" s="364"/>
      <c r="L3238" s="364"/>
      <c r="M3238" s="364" t="s">
        <v>10084</v>
      </c>
      <c r="N3238" s="364"/>
      <c r="O3238" s="364" t="s">
        <v>57</v>
      </c>
      <c r="P3238" s="373">
        <v>255442000</v>
      </c>
      <c r="Q3238" s="364"/>
      <c r="R3238" s="364" t="s">
        <v>9992</v>
      </c>
      <c r="S3238" s="340">
        <v>1</v>
      </c>
    </row>
    <row r="3239" spans="1:19" ht="31.5" thickBot="1" x14ac:dyDescent="0.4">
      <c r="A3239" s="357">
        <v>3228</v>
      </c>
      <c r="B3239" s="364" t="s">
        <v>10080</v>
      </c>
      <c r="C3239" s="364" t="s">
        <v>10081</v>
      </c>
      <c r="D3239" s="366" t="s">
        <v>97</v>
      </c>
      <c r="E3239" s="366" t="s">
        <v>10082</v>
      </c>
      <c r="F3239" s="366" t="s">
        <v>10078</v>
      </c>
      <c r="G3239" s="366" t="s">
        <v>10078</v>
      </c>
      <c r="H3239" s="366" t="s">
        <v>12266</v>
      </c>
      <c r="I3239" s="364" t="s">
        <v>15528</v>
      </c>
      <c r="J3239" s="367"/>
      <c r="K3239" s="364"/>
      <c r="L3239" s="364"/>
      <c r="M3239" s="364" t="s">
        <v>10084</v>
      </c>
      <c r="N3239" s="364"/>
      <c r="O3239" s="364" t="s">
        <v>57</v>
      </c>
      <c r="P3239" s="373">
        <v>215210000</v>
      </c>
      <c r="Q3239" s="364"/>
      <c r="R3239" s="364" t="s">
        <v>9992</v>
      </c>
      <c r="S3239" s="340">
        <v>1</v>
      </c>
    </row>
    <row r="3240" spans="1:19" ht="31" x14ac:dyDescent="0.35">
      <c r="A3240" s="349">
        <v>3229</v>
      </c>
      <c r="B3240" s="364" t="s">
        <v>10080</v>
      </c>
      <c r="C3240" s="364" t="s">
        <v>10081</v>
      </c>
      <c r="D3240" s="366" t="s">
        <v>101</v>
      </c>
      <c r="E3240" s="366" t="s">
        <v>10082</v>
      </c>
      <c r="F3240" s="366" t="s">
        <v>10078</v>
      </c>
      <c r="G3240" s="366" t="s">
        <v>10078</v>
      </c>
      <c r="H3240" s="366" t="s">
        <v>11400</v>
      </c>
      <c r="I3240" s="364" t="s">
        <v>15528</v>
      </c>
      <c r="J3240" s="367"/>
      <c r="K3240" s="364"/>
      <c r="L3240" s="364"/>
      <c r="M3240" s="364" t="s">
        <v>10084</v>
      </c>
      <c r="N3240" s="364"/>
      <c r="O3240" s="364" t="s">
        <v>57</v>
      </c>
      <c r="P3240" s="373">
        <v>507807072.00000006</v>
      </c>
      <c r="Q3240" s="364"/>
      <c r="R3240" s="364" t="s">
        <v>9992</v>
      </c>
      <c r="S3240" s="340">
        <v>1</v>
      </c>
    </row>
    <row r="3241" spans="1:19" ht="31.5" thickBot="1" x14ac:dyDescent="0.4">
      <c r="A3241" s="357">
        <v>3230</v>
      </c>
      <c r="B3241" s="364" t="s">
        <v>10080</v>
      </c>
      <c r="C3241" s="364" t="s">
        <v>10081</v>
      </c>
      <c r="D3241" s="366" t="s">
        <v>107</v>
      </c>
      <c r="E3241" s="366" t="s">
        <v>10082</v>
      </c>
      <c r="F3241" s="366" t="s">
        <v>10078</v>
      </c>
      <c r="G3241" s="366" t="s">
        <v>10078</v>
      </c>
      <c r="H3241" s="366" t="s">
        <v>12266</v>
      </c>
      <c r="I3241" s="364" t="s">
        <v>15528</v>
      </c>
      <c r="J3241" s="367"/>
      <c r="K3241" s="364"/>
      <c r="L3241" s="364"/>
      <c r="M3241" s="364" t="s">
        <v>10084</v>
      </c>
      <c r="N3241" s="364"/>
      <c r="O3241" s="364" t="s">
        <v>57</v>
      </c>
      <c r="P3241" s="373">
        <v>215210000</v>
      </c>
      <c r="Q3241" s="364"/>
      <c r="R3241" s="364" t="s">
        <v>9992</v>
      </c>
      <c r="S3241" s="340">
        <v>1</v>
      </c>
    </row>
    <row r="3242" spans="1:19" ht="31" x14ac:dyDescent="0.35">
      <c r="A3242" s="349">
        <v>3231</v>
      </c>
      <c r="B3242" s="364" t="s">
        <v>10080</v>
      </c>
      <c r="C3242" s="364" t="s">
        <v>10081</v>
      </c>
      <c r="D3242" s="366" t="s">
        <v>112</v>
      </c>
      <c r="E3242" s="366" t="s">
        <v>10082</v>
      </c>
      <c r="F3242" s="366" t="s">
        <v>10078</v>
      </c>
      <c r="G3242" s="366" t="s">
        <v>10078</v>
      </c>
      <c r="H3242" s="366" t="s">
        <v>12266</v>
      </c>
      <c r="I3242" s="364" t="s">
        <v>15528</v>
      </c>
      <c r="J3242" s="367"/>
      <c r="K3242" s="364"/>
      <c r="L3242" s="364"/>
      <c r="M3242" s="364" t="s">
        <v>10084</v>
      </c>
      <c r="N3242" s="364"/>
      <c r="O3242" s="364" t="s">
        <v>57</v>
      </c>
      <c r="P3242" s="373">
        <v>215210000</v>
      </c>
      <c r="Q3242" s="364"/>
      <c r="R3242" s="364" t="s">
        <v>9992</v>
      </c>
      <c r="S3242" s="340">
        <v>1</v>
      </c>
    </row>
    <row r="3243" spans="1:19" ht="78" thickBot="1" x14ac:dyDescent="0.4">
      <c r="A3243" s="357">
        <v>3232</v>
      </c>
      <c r="B3243" s="364" t="s">
        <v>10080</v>
      </c>
      <c r="C3243" s="364" t="s">
        <v>10081</v>
      </c>
      <c r="D3243" s="366" t="s">
        <v>116</v>
      </c>
      <c r="E3243" s="366" t="s">
        <v>10082</v>
      </c>
      <c r="F3243" s="366" t="s">
        <v>10078</v>
      </c>
      <c r="G3243" s="366" t="s">
        <v>10078</v>
      </c>
      <c r="H3243" s="366" t="s">
        <v>8961</v>
      </c>
      <c r="I3243" s="364" t="s">
        <v>978</v>
      </c>
      <c r="J3243" s="367">
        <v>43966</v>
      </c>
      <c r="K3243" s="364" t="s">
        <v>15529</v>
      </c>
      <c r="L3243" s="364"/>
      <c r="M3243" s="364" t="s">
        <v>10084</v>
      </c>
      <c r="N3243" s="364"/>
      <c r="O3243" s="364" t="s">
        <v>57</v>
      </c>
      <c r="P3243" s="373">
        <v>168727125</v>
      </c>
      <c r="Q3243" s="364" t="s">
        <v>15530</v>
      </c>
      <c r="R3243" s="364" t="s">
        <v>9992</v>
      </c>
      <c r="S3243" s="340">
        <v>1</v>
      </c>
    </row>
    <row r="3244" spans="1:19" ht="62" x14ac:dyDescent="0.35">
      <c r="A3244" s="349">
        <v>3233</v>
      </c>
      <c r="B3244" s="364" t="s">
        <v>10080</v>
      </c>
      <c r="C3244" s="364" t="s">
        <v>10081</v>
      </c>
      <c r="D3244" s="366" t="s">
        <v>841</v>
      </c>
      <c r="E3244" s="366" t="s">
        <v>10082</v>
      </c>
      <c r="F3244" s="366" t="s">
        <v>10078</v>
      </c>
      <c r="G3244" s="366" t="s">
        <v>10078</v>
      </c>
      <c r="H3244" s="366" t="s">
        <v>3405</v>
      </c>
      <c r="I3244" s="364" t="s">
        <v>12209</v>
      </c>
      <c r="J3244" s="367">
        <v>43712</v>
      </c>
      <c r="K3244" s="364" t="s">
        <v>15531</v>
      </c>
      <c r="L3244" s="364"/>
      <c r="M3244" s="364" t="s">
        <v>10084</v>
      </c>
      <c r="N3244" s="364"/>
      <c r="O3244" s="364" t="s">
        <v>57</v>
      </c>
      <c r="P3244" s="373">
        <v>440953057.90000004</v>
      </c>
      <c r="Q3244" s="364" t="s">
        <v>15532</v>
      </c>
      <c r="R3244" s="364" t="s">
        <v>9992</v>
      </c>
      <c r="S3244" s="340">
        <v>1</v>
      </c>
    </row>
    <row r="3245" spans="1:19" ht="31.5" thickBot="1" x14ac:dyDescent="0.4">
      <c r="A3245" s="357">
        <v>3234</v>
      </c>
      <c r="B3245" s="364" t="s">
        <v>10080</v>
      </c>
      <c r="C3245" s="364" t="s">
        <v>10081</v>
      </c>
      <c r="D3245" s="366" t="s">
        <v>904</v>
      </c>
      <c r="E3245" s="366" t="s">
        <v>10082</v>
      </c>
      <c r="F3245" s="366" t="s">
        <v>10078</v>
      </c>
      <c r="G3245" s="366" t="s">
        <v>10078</v>
      </c>
      <c r="H3245" s="366" t="s">
        <v>12266</v>
      </c>
      <c r="I3245" s="364" t="s">
        <v>15528</v>
      </c>
      <c r="J3245" s="367"/>
      <c r="K3245" s="364"/>
      <c r="L3245" s="364"/>
      <c r="M3245" s="364" t="s">
        <v>10084</v>
      </c>
      <c r="N3245" s="364"/>
      <c r="O3245" s="364" t="s">
        <v>57</v>
      </c>
      <c r="P3245" s="373">
        <v>215210000</v>
      </c>
      <c r="Q3245" s="364"/>
      <c r="R3245" s="364" t="s">
        <v>9992</v>
      </c>
      <c r="S3245" s="340">
        <v>1</v>
      </c>
    </row>
    <row r="3246" spans="1:19" ht="62" x14ac:dyDescent="0.35">
      <c r="A3246" s="349">
        <v>3235</v>
      </c>
      <c r="B3246" s="364" t="s">
        <v>10080</v>
      </c>
      <c r="C3246" s="364" t="s">
        <v>10081</v>
      </c>
      <c r="D3246" s="366" t="s">
        <v>122</v>
      </c>
      <c r="E3246" s="366" t="s">
        <v>10082</v>
      </c>
      <c r="F3246" s="366" t="s">
        <v>10078</v>
      </c>
      <c r="G3246" s="366" t="s">
        <v>10078</v>
      </c>
      <c r="H3246" s="366" t="s">
        <v>12017</v>
      </c>
      <c r="I3246" s="364" t="s">
        <v>15533</v>
      </c>
      <c r="J3246" s="367"/>
      <c r="K3246" s="364" t="s">
        <v>15534</v>
      </c>
      <c r="L3246" s="364"/>
      <c r="M3246" s="364"/>
      <c r="N3246" s="364"/>
      <c r="O3246" s="364" t="s">
        <v>44</v>
      </c>
      <c r="P3246" s="373">
        <v>387957890</v>
      </c>
      <c r="Q3246" s="364" t="s">
        <v>15535</v>
      </c>
      <c r="R3246" s="364" t="s">
        <v>9992</v>
      </c>
      <c r="S3246" s="340">
        <v>1</v>
      </c>
    </row>
    <row r="3247" spans="1:19" ht="31.5" thickBot="1" x14ac:dyDescent="0.4">
      <c r="A3247" s="357">
        <v>3236</v>
      </c>
      <c r="B3247" s="364" t="s">
        <v>10110</v>
      </c>
      <c r="C3247" s="364" t="s">
        <v>10111</v>
      </c>
      <c r="D3247" s="366" t="s">
        <v>51</v>
      </c>
      <c r="E3247" s="366" t="s">
        <v>10082</v>
      </c>
      <c r="F3247" s="366" t="s">
        <v>10078</v>
      </c>
      <c r="G3247" s="366" t="s">
        <v>10078</v>
      </c>
      <c r="H3247" s="366" t="s">
        <v>11332</v>
      </c>
      <c r="I3247" s="364" t="s">
        <v>15536</v>
      </c>
      <c r="J3247" s="367"/>
      <c r="K3247" s="364"/>
      <c r="L3247" s="364"/>
      <c r="M3247" s="364" t="s">
        <v>10084</v>
      </c>
      <c r="N3247" s="364"/>
      <c r="O3247" s="364" t="s">
        <v>57</v>
      </c>
      <c r="P3247" s="373">
        <v>14191000</v>
      </c>
      <c r="Q3247" s="364"/>
      <c r="R3247" s="364" t="s">
        <v>9992</v>
      </c>
      <c r="S3247" s="340">
        <v>1</v>
      </c>
    </row>
    <row r="3248" spans="1:19" ht="62" x14ac:dyDescent="0.35">
      <c r="A3248" s="349">
        <v>3237</v>
      </c>
      <c r="B3248" s="364" t="s">
        <v>10110</v>
      </c>
      <c r="C3248" s="364" t="s">
        <v>10111</v>
      </c>
      <c r="D3248" s="366" t="s">
        <v>59</v>
      </c>
      <c r="E3248" s="366" t="s">
        <v>10082</v>
      </c>
      <c r="F3248" s="366" t="s">
        <v>10078</v>
      </c>
      <c r="G3248" s="366" t="s">
        <v>10088</v>
      </c>
      <c r="H3248" s="366" t="s">
        <v>13033</v>
      </c>
      <c r="I3248" s="364" t="s">
        <v>15533</v>
      </c>
      <c r="J3248" s="367"/>
      <c r="K3248" s="364" t="s">
        <v>15537</v>
      </c>
      <c r="L3248" s="364"/>
      <c r="M3248" s="364"/>
      <c r="N3248" s="364"/>
      <c r="O3248" s="364" t="s">
        <v>44</v>
      </c>
      <c r="P3248" s="373">
        <v>332470450</v>
      </c>
      <c r="Q3248" s="364" t="s">
        <v>15538</v>
      </c>
      <c r="R3248" s="364" t="s">
        <v>9992</v>
      </c>
      <c r="S3248" s="340">
        <v>1</v>
      </c>
    </row>
    <row r="3249" spans="1:19" ht="47" thickBot="1" x14ac:dyDescent="0.4">
      <c r="A3249" s="357">
        <v>3238</v>
      </c>
      <c r="B3249" s="364" t="s">
        <v>10110</v>
      </c>
      <c r="C3249" s="364" t="s">
        <v>10111</v>
      </c>
      <c r="D3249" s="366" t="s">
        <v>97</v>
      </c>
      <c r="E3249" s="366" t="s">
        <v>10082</v>
      </c>
      <c r="F3249" s="366" t="s">
        <v>10078</v>
      </c>
      <c r="G3249" s="366" t="s">
        <v>10088</v>
      </c>
      <c r="H3249" s="366" t="s">
        <v>11324</v>
      </c>
      <c r="I3249" s="364" t="s">
        <v>15533</v>
      </c>
      <c r="J3249" s="367"/>
      <c r="K3249" s="364" t="s">
        <v>15539</v>
      </c>
      <c r="L3249" s="364"/>
      <c r="M3249" s="364"/>
      <c r="N3249" s="364"/>
      <c r="O3249" s="364" t="s">
        <v>44</v>
      </c>
      <c r="P3249" s="373">
        <v>208011960</v>
      </c>
      <c r="Q3249" s="364" t="s">
        <v>15540</v>
      </c>
      <c r="R3249" s="364" t="s">
        <v>9992</v>
      </c>
      <c r="S3249" s="340">
        <v>1</v>
      </c>
    </row>
    <row r="3250" spans="1:19" ht="31" x14ac:dyDescent="0.35">
      <c r="A3250" s="349">
        <v>3239</v>
      </c>
      <c r="B3250" s="364" t="s">
        <v>10092</v>
      </c>
      <c r="C3250" s="364" t="s">
        <v>10093</v>
      </c>
      <c r="D3250" s="366" t="s">
        <v>51</v>
      </c>
      <c r="E3250" s="366" t="s">
        <v>10082</v>
      </c>
      <c r="F3250" s="366" t="s">
        <v>10078</v>
      </c>
      <c r="G3250" s="366" t="s">
        <v>10078</v>
      </c>
      <c r="H3250" s="366" t="s">
        <v>1122</v>
      </c>
      <c r="I3250" s="364" t="s">
        <v>8336</v>
      </c>
      <c r="J3250" s="367">
        <v>41904</v>
      </c>
      <c r="K3250" s="364" t="s">
        <v>15541</v>
      </c>
      <c r="L3250" s="364"/>
      <c r="M3250" s="364" t="s">
        <v>10084</v>
      </c>
      <c r="N3250" s="364"/>
      <c r="O3250" s="364" t="s">
        <v>57</v>
      </c>
      <c r="P3250" s="373">
        <v>243639600</v>
      </c>
      <c r="Q3250" s="364" t="s">
        <v>15542</v>
      </c>
      <c r="R3250" s="364" t="s">
        <v>9992</v>
      </c>
      <c r="S3250" s="340">
        <v>1</v>
      </c>
    </row>
    <row r="3251" spans="1:19" ht="31.5" thickBot="1" x14ac:dyDescent="0.4">
      <c r="A3251" s="357">
        <v>3240</v>
      </c>
      <c r="B3251" s="364" t="s">
        <v>10085</v>
      </c>
      <c r="C3251" s="364" t="s">
        <v>10086</v>
      </c>
      <c r="D3251" s="366" t="s">
        <v>51</v>
      </c>
      <c r="E3251" s="366" t="s">
        <v>10082</v>
      </c>
      <c r="F3251" s="366" t="s">
        <v>10078</v>
      </c>
      <c r="G3251" s="366" t="s">
        <v>10078</v>
      </c>
      <c r="H3251" s="366" t="s">
        <v>12007</v>
      </c>
      <c r="I3251" s="364" t="s">
        <v>15536</v>
      </c>
      <c r="J3251" s="367"/>
      <c r="K3251" s="364"/>
      <c r="L3251" s="364"/>
      <c r="M3251" s="364" t="s">
        <v>10084</v>
      </c>
      <c r="N3251" s="364"/>
      <c r="O3251" s="364" t="s">
        <v>57</v>
      </c>
      <c r="P3251" s="373">
        <v>149008000</v>
      </c>
      <c r="Q3251" s="364"/>
      <c r="R3251" s="364" t="s">
        <v>9992</v>
      </c>
      <c r="S3251" s="340">
        <v>1</v>
      </c>
    </row>
    <row r="3252" spans="1:19" ht="31" x14ac:dyDescent="0.35">
      <c r="A3252" s="349">
        <v>3241</v>
      </c>
      <c r="B3252" s="364" t="s">
        <v>10085</v>
      </c>
      <c r="C3252" s="364" t="s">
        <v>10086</v>
      </c>
      <c r="D3252" s="366" t="s">
        <v>59</v>
      </c>
      <c r="E3252" s="366" t="s">
        <v>10082</v>
      </c>
      <c r="F3252" s="366" t="s">
        <v>10078</v>
      </c>
      <c r="G3252" s="366" t="s">
        <v>10078</v>
      </c>
      <c r="H3252" s="366" t="s">
        <v>12007</v>
      </c>
      <c r="I3252" s="364" t="s">
        <v>15536</v>
      </c>
      <c r="J3252" s="367"/>
      <c r="K3252" s="364"/>
      <c r="L3252" s="364"/>
      <c r="M3252" s="364" t="s">
        <v>10084</v>
      </c>
      <c r="N3252" s="364"/>
      <c r="O3252" s="364" t="s">
        <v>57</v>
      </c>
      <c r="P3252" s="373">
        <v>149008000</v>
      </c>
      <c r="Q3252" s="364"/>
      <c r="R3252" s="364" t="s">
        <v>9992</v>
      </c>
      <c r="S3252" s="340">
        <v>1</v>
      </c>
    </row>
    <row r="3253" spans="1:19" ht="31.5" thickBot="1" x14ac:dyDescent="0.4">
      <c r="A3253" s="357">
        <v>3242</v>
      </c>
      <c r="B3253" s="364" t="s">
        <v>10085</v>
      </c>
      <c r="C3253" s="364" t="s">
        <v>10086</v>
      </c>
      <c r="D3253" s="366" t="s">
        <v>97</v>
      </c>
      <c r="E3253" s="366" t="s">
        <v>10082</v>
      </c>
      <c r="F3253" s="366" t="s">
        <v>10078</v>
      </c>
      <c r="G3253" s="366" t="s">
        <v>10078</v>
      </c>
      <c r="H3253" s="366" t="s">
        <v>8956</v>
      </c>
      <c r="I3253" s="364" t="s">
        <v>15536</v>
      </c>
      <c r="J3253" s="367"/>
      <c r="K3253" s="364"/>
      <c r="L3253" s="364"/>
      <c r="M3253" s="364" t="s">
        <v>10084</v>
      </c>
      <c r="N3253" s="364"/>
      <c r="O3253" s="364" t="s">
        <v>57</v>
      </c>
      <c r="P3253" s="373">
        <v>74504000</v>
      </c>
      <c r="Q3253" s="364"/>
      <c r="R3253" s="364" t="s">
        <v>9992</v>
      </c>
      <c r="S3253" s="340">
        <v>1</v>
      </c>
    </row>
    <row r="3254" spans="1:19" ht="31" x14ac:dyDescent="0.35">
      <c r="A3254" s="349">
        <v>3243</v>
      </c>
      <c r="B3254" s="364" t="s">
        <v>10146</v>
      </c>
      <c r="C3254" s="364" t="s">
        <v>10147</v>
      </c>
      <c r="D3254" s="366" t="s">
        <v>51</v>
      </c>
      <c r="E3254" s="366" t="s">
        <v>10082</v>
      </c>
      <c r="F3254" s="366" t="s">
        <v>10078</v>
      </c>
      <c r="G3254" s="366" t="s">
        <v>10088</v>
      </c>
      <c r="H3254" s="366" t="s">
        <v>2972</v>
      </c>
      <c r="I3254" s="364" t="s">
        <v>8336</v>
      </c>
      <c r="J3254" s="367">
        <v>43227</v>
      </c>
      <c r="K3254" s="364" t="s">
        <v>15543</v>
      </c>
      <c r="L3254" s="364"/>
      <c r="M3254" s="364" t="s">
        <v>10084</v>
      </c>
      <c r="N3254" s="364"/>
      <c r="O3254" s="364" t="s">
        <v>57</v>
      </c>
      <c r="P3254" s="373">
        <v>221258000</v>
      </c>
      <c r="Q3254" s="364" t="s">
        <v>15544</v>
      </c>
      <c r="R3254" s="364" t="s">
        <v>9992</v>
      </c>
      <c r="S3254" s="340">
        <v>1</v>
      </c>
    </row>
    <row r="3255" spans="1:19" ht="47" thickBot="1" x14ac:dyDescent="0.4">
      <c r="A3255" s="357">
        <v>3244</v>
      </c>
      <c r="B3255" s="364" t="s">
        <v>10146</v>
      </c>
      <c r="C3255" s="364" t="s">
        <v>10147</v>
      </c>
      <c r="D3255" s="366" t="s">
        <v>59</v>
      </c>
      <c r="E3255" s="366" t="s">
        <v>10082</v>
      </c>
      <c r="F3255" s="366" t="s">
        <v>10078</v>
      </c>
      <c r="G3255" s="366" t="s">
        <v>10078</v>
      </c>
      <c r="H3255" s="366" t="s">
        <v>11551</v>
      </c>
      <c r="I3255" s="364" t="s">
        <v>15523</v>
      </c>
      <c r="J3255" s="367">
        <v>43966</v>
      </c>
      <c r="K3255" s="364" t="s">
        <v>15545</v>
      </c>
      <c r="L3255" s="364"/>
      <c r="M3255" s="364" t="s">
        <v>10084</v>
      </c>
      <c r="N3255" s="364"/>
      <c r="O3255" s="364" t="s">
        <v>57</v>
      </c>
      <c r="P3255" s="373">
        <v>179992000</v>
      </c>
      <c r="Q3255" s="364" t="s">
        <v>15546</v>
      </c>
      <c r="R3255" s="364" t="s">
        <v>9992</v>
      </c>
      <c r="S3255" s="340">
        <v>1</v>
      </c>
    </row>
    <row r="3256" spans="1:19" ht="15.5" x14ac:dyDescent="0.35">
      <c r="A3256" s="349">
        <v>3245</v>
      </c>
      <c r="B3256" s="364" t="s">
        <v>15547</v>
      </c>
      <c r="C3256" s="364" t="s">
        <v>15548</v>
      </c>
      <c r="D3256" s="366" t="s">
        <v>51</v>
      </c>
      <c r="E3256" s="366" t="s">
        <v>10082</v>
      </c>
      <c r="F3256" s="366" t="s">
        <v>10078</v>
      </c>
      <c r="G3256" s="366" t="s">
        <v>10078</v>
      </c>
      <c r="H3256" s="366" t="s">
        <v>11413</v>
      </c>
      <c r="I3256" s="364" t="s">
        <v>15528</v>
      </c>
      <c r="J3256" s="367"/>
      <c r="K3256" s="364"/>
      <c r="L3256" s="364"/>
      <c r="M3256" s="364" t="s">
        <v>10084</v>
      </c>
      <c r="N3256" s="364"/>
      <c r="O3256" s="364" t="s">
        <v>57</v>
      </c>
      <c r="P3256" s="373">
        <v>110190000</v>
      </c>
      <c r="Q3256" s="364" t="s">
        <v>15549</v>
      </c>
      <c r="R3256" s="364" t="s">
        <v>9992</v>
      </c>
      <c r="S3256" s="340">
        <v>1</v>
      </c>
    </row>
    <row r="3257" spans="1:19" ht="16" thickBot="1" x14ac:dyDescent="0.4">
      <c r="A3257" s="357">
        <v>3246</v>
      </c>
      <c r="B3257" s="364" t="s">
        <v>15547</v>
      </c>
      <c r="C3257" s="364" t="s">
        <v>15548</v>
      </c>
      <c r="D3257" s="366" t="s">
        <v>59</v>
      </c>
      <c r="E3257" s="366" t="s">
        <v>10082</v>
      </c>
      <c r="F3257" s="366" t="s">
        <v>10078</v>
      </c>
      <c r="G3257" s="366" t="s">
        <v>10078</v>
      </c>
      <c r="H3257" s="366" t="s">
        <v>11413</v>
      </c>
      <c r="I3257" s="364" t="s">
        <v>15528</v>
      </c>
      <c r="J3257" s="367"/>
      <c r="K3257" s="364"/>
      <c r="L3257" s="364"/>
      <c r="M3257" s="364" t="s">
        <v>10084</v>
      </c>
      <c r="N3257" s="364"/>
      <c r="O3257" s="364" t="s">
        <v>57</v>
      </c>
      <c r="P3257" s="373">
        <v>110230000</v>
      </c>
      <c r="Q3257" s="364" t="s">
        <v>15550</v>
      </c>
      <c r="R3257" s="364" t="s">
        <v>9992</v>
      </c>
      <c r="S3257" s="340">
        <v>1</v>
      </c>
    </row>
    <row r="3258" spans="1:19" ht="31" x14ac:dyDescent="0.35">
      <c r="A3258" s="349">
        <v>3247</v>
      </c>
      <c r="B3258" s="364" t="s">
        <v>10110</v>
      </c>
      <c r="C3258" s="364" t="s">
        <v>10111</v>
      </c>
      <c r="D3258" s="366" t="s">
        <v>51</v>
      </c>
      <c r="E3258" s="366" t="s">
        <v>10082</v>
      </c>
      <c r="F3258" s="366" t="s">
        <v>10078</v>
      </c>
      <c r="G3258" s="366" t="s">
        <v>10088</v>
      </c>
      <c r="H3258" s="366" t="s">
        <v>13337</v>
      </c>
      <c r="I3258" s="364" t="s">
        <v>15551</v>
      </c>
      <c r="J3258" s="367">
        <v>44761</v>
      </c>
      <c r="K3258" s="364" t="s">
        <v>15552</v>
      </c>
      <c r="L3258" s="364"/>
      <c r="M3258" s="364"/>
      <c r="N3258" s="364"/>
      <c r="O3258" s="364" t="s">
        <v>44</v>
      </c>
      <c r="P3258" s="373">
        <v>221097300</v>
      </c>
      <c r="Q3258" s="364" t="s">
        <v>15553</v>
      </c>
      <c r="R3258" s="364" t="s">
        <v>15554</v>
      </c>
      <c r="S3258" s="340">
        <v>1</v>
      </c>
    </row>
    <row r="3259" spans="1:19" ht="47" thickBot="1" x14ac:dyDescent="0.4">
      <c r="A3259" s="357">
        <v>3248</v>
      </c>
      <c r="B3259" s="364" t="s">
        <v>10146</v>
      </c>
      <c r="C3259" s="364" t="s">
        <v>10147</v>
      </c>
      <c r="D3259" s="366" t="s">
        <v>51</v>
      </c>
      <c r="E3259" s="366" t="s">
        <v>10082</v>
      </c>
      <c r="F3259" s="366" t="s">
        <v>10078</v>
      </c>
      <c r="G3259" s="366" t="s">
        <v>10078</v>
      </c>
      <c r="H3259" s="366" t="s">
        <v>11333</v>
      </c>
      <c r="I3259" s="364" t="s">
        <v>13835</v>
      </c>
      <c r="J3259" s="367">
        <v>43676</v>
      </c>
      <c r="K3259" s="364" t="s">
        <v>15555</v>
      </c>
      <c r="L3259" s="364"/>
      <c r="M3259" s="364" t="s">
        <v>10084</v>
      </c>
      <c r="N3259" s="364"/>
      <c r="O3259" s="364" t="s">
        <v>57</v>
      </c>
      <c r="P3259" s="373">
        <v>221442500</v>
      </c>
      <c r="Q3259" s="364" t="s">
        <v>15556</v>
      </c>
      <c r="R3259" s="364" t="s">
        <v>15554</v>
      </c>
      <c r="S3259" s="340">
        <v>1</v>
      </c>
    </row>
    <row r="3260" spans="1:19" ht="31" x14ac:dyDescent="0.35">
      <c r="A3260" s="349">
        <v>3249</v>
      </c>
      <c r="B3260" s="364" t="s">
        <v>10146</v>
      </c>
      <c r="C3260" s="364" t="s">
        <v>10147</v>
      </c>
      <c r="D3260" s="366" t="s">
        <v>59</v>
      </c>
      <c r="E3260" s="366" t="s">
        <v>10082</v>
      </c>
      <c r="F3260" s="366" t="s">
        <v>10078</v>
      </c>
      <c r="G3260" s="366" t="s">
        <v>10088</v>
      </c>
      <c r="H3260" s="366" t="s">
        <v>163</v>
      </c>
      <c r="I3260" s="364" t="s">
        <v>15551</v>
      </c>
      <c r="J3260" s="367">
        <v>44748</v>
      </c>
      <c r="K3260" s="364" t="s">
        <v>15557</v>
      </c>
      <c r="L3260" s="364"/>
      <c r="M3260" s="364"/>
      <c r="N3260" s="364"/>
      <c r="O3260" s="364" t="s">
        <v>44</v>
      </c>
      <c r="P3260" s="373">
        <v>657376500</v>
      </c>
      <c r="Q3260" s="364" t="s">
        <v>15558</v>
      </c>
      <c r="R3260" s="364" t="s">
        <v>15554</v>
      </c>
      <c r="S3260" s="340">
        <v>1</v>
      </c>
    </row>
    <row r="3261" spans="1:19" ht="31.5" thickBot="1" x14ac:dyDescent="0.4">
      <c r="A3261" s="357">
        <v>3250</v>
      </c>
      <c r="B3261" s="364" t="s">
        <v>10080</v>
      </c>
      <c r="C3261" s="364" t="s">
        <v>10081</v>
      </c>
      <c r="D3261" s="366" t="s">
        <v>51</v>
      </c>
      <c r="E3261" s="366" t="s">
        <v>10082</v>
      </c>
      <c r="F3261" s="366" t="s">
        <v>10078</v>
      </c>
      <c r="G3261" s="366" t="s">
        <v>10088</v>
      </c>
      <c r="H3261" s="366" t="s">
        <v>13157</v>
      </c>
      <c r="I3261" s="364" t="s">
        <v>13393</v>
      </c>
      <c r="J3261" s="367"/>
      <c r="K3261" s="364"/>
      <c r="L3261" s="364"/>
      <c r="M3261" s="364" t="s">
        <v>10084</v>
      </c>
      <c r="N3261" s="364"/>
      <c r="O3261" s="364" t="s">
        <v>57</v>
      </c>
      <c r="P3261" s="373">
        <v>484017000</v>
      </c>
      <c r="Q3261" s="364"/>
      <c r="R3261" s="364" t="s">
        <v>9994</v>
      </c>
      <c r="S3261" s="340">
        <v>1</v>
      </c>
    </row>
    <row r="3262" spans="1:19" ht="31" x14ac:dyDescent="0.35">
      <c r="A3262" s="349">
        <v>3251</v>
      </c>
      <c r="B3262" s="364" t="s">
        <v>10080</v>
      </c>
      <c r="C3262" s="364" t="s">
        <v>10081</v>
      </c>
      <c r="D3262" s="366" t="s">
        <v>59</v>
      </c>
      <c r="E3262" s="366" t="s">
        <v>10082</v>
      </c>
      <c r="F3262" s="366" t="s">
        <v>10078</v>
      </c>
      <c r="G3262" s="366" t="s">
        <v>10088</v>
      </c>
      <c r="H3262" s="366" t="s">
        <v>13157</v>
      </c>
      <c r="I3262" s="364" t="s">
        <v>13393</v>
      </c>
      <c r="J3262" s="367"/>
      <c r="K3262" s="364"/>
      <c r="L3262" s="364"/>
      <c r="M3262" s="364" t="s">
        <v>10084</v>
      </c>
      <c r="N3262" s="364"/>
      <c r="O3262" s="364" t="s">
        <v>57</v>
      </c>
      <c r="P3262" s="373">
        <v>484017000</v>
      </c>
      <c r="Q3262" s="364"/>
      <c r="R3262" s="364" t="s">
        <v>9994</v>
      </c>
      <c r="S3262" s="340">
        <v>1</v>
      </c>
    </row>
    <row r="3263" spans="1:19" ht="31.5" thickBot="1" x14ac:dyDescent="0.4">
      <c r="A3263" s="357">
        <v>3252</v>
      </c>
      <c r="B3263" s="364" t="s">
        <v>10080</v>
      </c>
      <c r="C3263" s="364" t="s">
        <v>10081</v>
      </c>
      <c r="D3263" s="366" t="s">
        <v>97</v>
      </c>
      <c r="E3263" s="366" t="s">
        <v>10082</v>
      </c>
      <c r="F3263" s="366" t="s">
        <v>10078</v>
      </c>
      <c r="G3263" s="366" t="s">
        <v>10088</v>
      </c>
      <c r="H3263" s="366" t="s">
        <v>13157</v>
      </c>
      <c r="I3263" s="364" t="s">
        <v>13393</v>
      </c>
      <c r="J3263" s="367"/>
      <c r="K3263" s="364"/>
      <c r="L3263" s="364"/>
      <c r="M3263" s="364" t="s">
        <v>10084</v>
      </c>
      <c r="N3263" s="364"/>
      <c r="O3263" s="364" t="s">
        <v>57</v>
      </c>
      <c r="P3263" s="373">
        <v>484017000</v>
      </c>
      <c r="Q3263" s="364"/>
      <c r="R3263" s="364" t="s">
        <v>9994</v>
      </c>
      <c r="S3263" s="340">
        <v>1</v>
      </c>
    </row>
    <row r="3264" spans="1:19" ht="31" x14ac:dyDescent="0.35">
      <c r="A3264" s="349">
        <v>3253</v>
      </c>
      <c r="B3264" s="364" t="s">
        <v>10092</v>
      </c>
      <c r="C3264" s="364" t="s">
        <v>10093</v>
      </c>
      <c r="D3264" s="366" t="s">
        <v>51</v>
      </c>
      <c r="E3264" s="366" t="s">
        <v>10082</v>
      </c>
      <c r="F3264" s="366" t="s">
        <v>10078</v>
      </c>
      <c r="G3264" s="366" t="s">
        <v>10088</v>
      </c>
      <c r="H3264" s="366" t="s">
        <v>12979</v>
      </c>
      <c r="I3264" s="364" t="s">
        <v>13393</v>
      </c>
      <c r="J3264" s="367">
        <v>40770</v>
      </c>
      <c r="K3264" s="364" t="s">
        <v>15559</v>
      </c>
      <c r="L3264" s="364"/>
      <c r="M3264" s="364" t="s">
        <v>10084</v>
      </c>
      <c r="N3264" s="364"/>
      <c r="O3264" s="364" t="s">
        <v>422</v>
      </c>
      <c r="P3264" s="373">
        <v>159915500</v>
      </c>
      <c r="Q3264" s="364" t="s">
        <v>15560</v>
      </c>
      <c r="R3264" s="364" t="s">
        <v>9994</v>
      </c>
      <c r="S3264" s="340">
        <v>1</v>
      </c>
    </row>
    <row r="3265" spans="1:19" ht="47" thickBot="1" x14ac:dyDescent="0.4">
      <c r="A3265" s="357">
        <v>3254</v>
      </c>
      <c r="B3265" s="364" t="s">
        <v>10085</v>
      </c>
      <c r="C3265" s="364" t="s">
        <v>10086</v>
      </c>
      <c r="D3265" s="366" t="s">
        <v>51</v>
      </c>
      <c r="E3265" s="366" t="s">
        <v>10082</v>
      </c>
      <c r="F3265" s="366" t="s">
        <v>10078</v>
      </c>
      <c r="G3265" s="366" t="s">
        <v>10088</v>
      </c>
      <c r="H3265" s="366" t="s">
        <v>8952</v>
      </c>
      <c r="I3265" s="364" t="s">
        <v>13393</v>
      </c>
      <c r="J3265" s="367">
        <v>41585</v>
      </c>
      <c r="K3265" s="364" t="s">
        <v>15561</v>
      </c>
      <c r="L3265" s="364"/>
      <c r="M3265" s="364" t="s">
        <v>10084</v>
      </c>
      <c r="N3265" s="364"/>
      <c r="O3265" s="364" t="s">
        <v>57</v>
      </c>
      <c r="P3265" s="373">
        <v>137500000</v>
      </c>
      <c r="Q3265" s="364" t="s">
        <v>15562</v>
      </c>
      <c r="R3265" s="364" t="s">
        <v>9994</v>
      </c>
      <c r="S3265" s="340">
        <v>1</v>
      </c>
    </row>
    <row r="3266" spans="1:19" ht="46.5" x14ac:dyDescent="0.35">
      <c r="A3266" s="349">
        <v>3255</v>
      </c>
      <c r="B3266" s="364" t="s">
        <v>10146</v>
      </c>
      <c r="C3266" s="364" t="s">
        <v>10147</v>
      </c>
      <c r="D3266" s="366" t="s">
        <v>51</v>
      </c>
      <c r="E3266" s="366" t="s">
        <v>10082</v>
      </c>
      <c r="F3266" s="366" t="s">
        <v>10078</v>
      </c>
      <c r="G3266" s="366" t="s">
        <v>10078</v>
      </c>
      <c r="H3266" s="366" t="s">
        <v>11551</v>
      </c>
      <c r="I3266" s="364" t="s">
        <v>15563</v>
      </c>
      <c r="J3266" s="367">
        <v>43966</v>
      </c>
      <c r="K3266" s="364" t="s">
        <v>15564</v>
      </c>
      <c r="L3266" s="364"/>
      <c r="M3266" s="364" t="s">
        <v>10084</v>
      </c>
      <c r="N3266" s="364"/>
      <c r="O3266" s="364" t="s">
        <v>57</v>
      </c>
      <c r="P3266" s="373">
        <v>179992000</v>
      </c>
      <c r="Q3266" s="364" t="s">
        <v>15565</v>
      </c>
      <c r="R3266" s="364" t="s">
        <v>9994</v>
      </c>
      <c r="S3266" s="340">
        <v>1</v>
      </c>
    </row>
    <row r="3267" spans="1:19" ht="31.5" thickBot="1" x14ac:dyDescent="0.4">
      <c r="A3267" s="357">
        <v>3256</v>
      </c>
      <c r="B3267" s="364" t="s">
        <v>10080</v>
      </c>
      <c r="C3267" s="364" t="s">
        <v>10081</v>
      </c>
      <c r="D3267" s="366" t="s">
        <v>51</v>
      </c>
      <c r="E3267" s="366" t="s">
        <v>10082</v>
      </c>
      <c r="F3267" s="366" t="s">
        <v>10078</v>
      </c>
      <c r="G3267" s="366" t="s">
        <v>10078</v>
      </c>
      <c r="H3267" s="366" t="s">
        <v>15566</v>
      </c>
      <c r="I3267" s="364" t="s">
        <v>15567</v>
      </c>
      <c r="J3267" s="367"/>
      <c r="K3267" s="364"/>
      <c r="L3267" s="364"/>
      <c r="M3267" s="364" t="s">
        <v>10084</v>
      </c>
      <c r="N3267" s="364"/>
      <c r="O3267" s="364" t="s">
        <v>422</v>
      </c>
      <c r="P3267" s="373">
        <v>60000000</v>
      </c>
      <c r="Q3267" s="364" t="s">
        <v>8603</v>
      </c>
      <c r="R3267" s="364" t="s">
        <v>10014</v>
      </c>
      <c r="S3267" s="340">
        <v>1</v>
      </c>
    </row>
    <row r="3268" spans="1:19" ht="31" x14ac:dyDescent="0.35">
      <c r="A3268" s="349">
        <v>3257</v>
      </c>
      <c r="B3268" s="364" t="s">
        <v>10080</v>
      </c>
      <c r="C3268" s="364" t="s">
        <v>10081</v>
      </c>
      <c r="D3268" s="366" t="s">
        <v>59</v>
      </c>
      <c r="E3268" s="366" t="s">
        <v>10082</v>
      </c>
      <c r="F3268" s="366" t="s">
        <v>10078</v>
      </c>
      <c r="G3268" s="366" t="s">
        <v>10088</v>
      </c>
      <c r="H3268" s="366" t="s">
        <v>12017</v>
      </c>
      <c r="I3268" s="364" t="s">
        <v>15567</v>
      </c>
      <c r="J3268" s="367">
        <v>43290</v>
      </c>
      <c r="K3268" s="364" t="s">
        <v>15568</v>
      </c>
      <c r="L3268" s="364"/>
      <c r="M3268" s="364" t="s">
        <v>10084</v>
      </c>
      <c r="N3268" s="364"/>
      <c r="O3268" s="364" t="s">
        <v>57</v>
      </c>
      <c r="P3268" s="373">
        <v>221169000</v>
      </c>
      <c r="Q3268" s="364" t="s">
        <v>15569</v>
      </c>
      <c r="R3268" s="364" t="s">
        <v>10014</v>
      </c>
      <c r="S3268" s="340">
        <v>1</v>
      </c>
    </row>
    <row r="3269" spans="1:19" ht="31.5" thickBot="1" x14ac:dyDescent="0.4">
      <c r="A3269" s="357">
        <v>3258</v>
      </c>
      <c r="B3269" s="364" t="s">
        <v>10080</v>
      </c>
      <c r="C3269" s="364" t="s">
        <v>10081</v>
      </c>
      <c r="D3269" s="366" t="s">
        <v>97</v>
      </c>
      <c r="E3269" s="366" t="s">
        <v>10082</v>
      </c>
      <c r="F3269" s="366" t="s">
        <v>10078</v>
      </c>
      <c r="G3269" s="366" t="s">
        <v>10088</v>
      </c>
      <c r="H3269" s="366" t="s">
        <v>15566</v>
      </c>
      <c r="I3269" s="364" t="s">
        <v>15567</v>
      </c>
      <c r="J3269" s="367"/>
      <c r="K3269" s="364"/>
      <c r="L3269" s="364"/>
      <c r="M3269" s="364" t="s">
        <v>10084</v>
      </c>
      <c r="N3269" s="364"/>
      <c r="O3269" s="364" t="s">
        <v>57</v>
      </c>
      <c r="P3269" s="373">
        <v>370850000</v>
      </c>
      <c r="Q3269" s="364"/>
      <c r="R3269" s="364" t="s">
        <v>10014</v>
      </c>
      <c r="S3269" s="340">
        <v>1</v>
      </c>
    </row>
    <row r="3270" spans="1:19" ht="31" x14ac:dyDescent="0.35">
      <c r="A3270" s="349">
        <v>3259</v>
      </c>
      <c r="B3270" s="364" t="s">
        <v>10080</v>
      </c>
      <c r="C3270" s="364" t="s">
        <v>10081</v>
      </c>
      <c r="D3270" s="366" t="s">
        <v>101</v>
      </c>
      <c r="E3270" s="366" t="s">
        <v>10082</v>
      </c>
      <c r="F3270" s="366" t="s">
        <v>10078</v>
      </c>
      <c r="G3270" s="366" t="s">
        <v>10078</v>
      </c>
      <c r="H3270" s="366" t="s">
        <v>3405</v>
      </c>
      <c r="I3270" s="364" t="s">
        <v>15567</v>
      </c>
      <c r="J3270" s="367"/>
      <c r="K3270" s="364"/>
      <c r="L3270" s="364"/>
      <c r="M3270" s="364" t="s">
        <v>10084</v>
      </c>
      <c r="N3270" s="364"/>
      <c r="O3270" s="364" t="s">
        <v>57</v>
      </c>
      <c r="P3270" s="373">
        <v>229403000</v>
      </c>
      <c r="Q3270" s="364"/>
      <c r="R3270" s="364" t="s">
        <v>10014</v>
      </c>
      <c r="S3270" s="340">
        <v>1</v>
      </c>
    </row>
    <row r="3271" spans="1:19" ht="31.5" thickBot="1" x14ac:dyDescent="0.4">
      <c r="A3271" s="357">
        <v>3260</v>
      </c>
      <c r="B3271" s="364" t="s">
        <v>10080</v>
      </c>
      <c r="C3271" s="364" t="s">
        <v>10081</v>
      </c>
      <c r="D3271" s="366" t="s">
        <v>107</v>
      </c>
      <c r="E3271" s="366" t="s">
        <v>10082</v>
      </c>
      <c r="F3271" s="366" t="s">
        <v>10078</v>
      </c>
      <c r="G3271" s="366" t="s">
        <v>10078</v>
      </c>
      <c r="H3271" s="366" t="s">
        <v>12266</v>
      </c>
      <c r="I3271" s="364" t="s">
        <v>15567</v>
      </c>
      <c r="J3271" s="367"/>
      <c r="K3271" s="364"/>
      <c r="L3271" s="364"/>
      <c r="M3271" s="364" t="s">
        <v>10084</v>
      </c>
      <c r="N3271" s="364"/>
      <c r="O3271" s="364" t="s">
        <v>57</v>
      </c>
      <c r="P3271" s="373">
        <v>701232402.99999988</v>
      </c>
      <c r="Q3271" s="364"/>
      <c r="R3271" s="364" t="s">
        <v>10014</v>
      </c>
      <c r="S3271" s="340">
        <v>1</v>
      </c>
    </row>
    <row r="3272" spans="1:19" ht="31" x14ac:dyDescent="0.35">
      <c r="A3272" s="349">
        <v>3261</v>
      </c>
      <c r="B3272" s="364" t="s">
        <v>10080</v>
      </c>
      <c r="C3272" s="364" t="s">
        <v>10081</v>
      </c>
      <c r="D3272" s="366" t="s">
        <v>112</v>
      </c>
      <c r="E3272" s="366" t="s">
        <v>10082</v>
      </c>
      <c r="F3272" s="366" t="s">
        <v>10078</v>
      </c>
      <c r="G3272" s="366" t="s">
        <v>10078</v>
      </c>
      <c r="H3272" s="366" t="s">
        <v>12266</v>
      </c>
      <c r="I3272" s="364" t="s">
        <v>15567</v>
      </c>
      <c r="J3272" s="367"/>
      <c r="K3272" s="364"/>
      <c r="L3272" s="364"/>
      <c r="M3272" s="364" t="s">
        <v>10084</v>
      </c>
      <c r="N3272" s="364"/>
      <c r="O3272" s="364" t="s">
        <v>57</v>
      </c>
      <c r="P3272" s="373">
        <v>258078000</v>
      </c>
      <c r="Q3272" s="364"/>
      <c r="R3272" s="364" t="s">
        <v>10014</v>
      </c>
      <c r="S3272" s="340">
        <v>1</v>
      </c>
    </row>
    <row r="3273" spans="1:19" ht="31.5" thickBot="1" x14ac:dyDescent="0.4">
      <c r="A3273" s="357">
        <v>3262</v>
      </c>
      <c r="B3273" s="364" t="s">
        <v>10080</v>
      </c>
      <c r="C3273" s="364" t="s">
        <v>10081</v>
      </c>
      <c r="D3273" s="366" t="s">
        <v>116</v>
      </c>
      <c r="E3273" s="366" t="s">
        <v>10082</v>
      </c>
      <c r="F3273" s="366" t="s">
        <v>10078</v>
      </c>
      <c r="G3273" s="366" t="s">
        <v>10078</v>
      </c>
      <c r="H3273" s="366" t="s">
        <v>13157</v>
      </c>
      <c r="I3273" s="364" t="s">
        <v>15567</v>
      </c>
      <c r="J3273" s="367"/>
      <c r="K3273" s="364"/>
      <c r="L3273" s="364"/>
      <c r="M3273" s="364" t="s">
        <v>10084</v>
      </c>
      <c r="N3273" s="364"/>
      <c r="O3273" s="364" t="s">
        <v>57</v>
      </c>
      <c r="P3273" s="373">
        <v>344104000</v>
      </c>
      <c r="Q3273" s="364"/>
      <c r="R3273" s="364" t="s">
        <v>10014</v>
      </c>
      <c r="S3273" s="340">
        <v>1</v>
      </c>
    </row>
    <row r="3274" spans="1:19" ht="31" x14ac:dyDescent="0.35">
      <c r="A3274" s="349">
        <v>3263</v>
      </c>
      <c r="B3274" s="364" t="s">
        <v>10080</v>
      </c>
      <c r="C3274" s="364" t="s">
        <v>10081</v>
      </c>
      <c r="D3274" s="366" t="s">
        <v>841</v>
      </c>
      <c r="E3274" s="366" t="s">
        <v>10082</v>
      </c>
      <c r="F3274" s="366" t="s">
        <v>10078</v>
      </c>
      <c r="G3274" s="366" t="s">
        <v>10078</v>
      </c>
      <c r="H3274" s="366" t="s">
        <v>3405</v>
      </c>
      <c r="I3274" s="364" t="s">
        <v>15567</v>
      </c>
      <c r="J3274" s="367"/>
      <c r="K3274" s="364"/>
      <c r="L3274" s="364"/>
      <c r="M3274" s="364" t="s">
        <v>10084</v>
      </c>
      <c r="N3274" s="364"/>
      <c r="O3274" s="364" t="s">
        <v>57</v>
      </c>
      <c r="P3274" s="373">
        <v>549434360</v>
      </c>
      <c r="Q3274" s="364"/>
      <c r="R3274" s="364" t="s">
        <v>10014</v>
      </c>
      <c r="S3274" s="340">
        <v>1</v>
      </c>
    </row>
    <row r="3275" spans="1:19" ht="31.5" thickBot="1" x14ac:dyDescent="0.4">
      <c r="A3275" s="357">
        <v>3264</v>
      </c>
      <c r="B3275" s="364" t="s">
        <v>10080</v>
      </c>
      <c r="C3275" s="364" t="s">
        <v>10081</v>
      </c>
      <c r="D3275" s="366" t="s">
        <v>904</v>
      </c>
      <c r="E3275" s="366" t="s">
        <v>10082</v>
      </c>
      <c r="F3275" s="366" t="s">
        <v>10078</v>
      </c>
      <c r="G3275" s="366" t="s">
        <v>10078</v>
      </c>
      <c r="H3275" s="366" t="s">
        <v>15570</v>
      </c>
      <c r="I3275" s="364" t="s">
        <v>15567</v>
      </c>
      <c r="J3275" s="367"/>
      <c r="K3275" s="364"/>
      <c r="L3275" s="364"/>
      <c r="M3275" s="364" t="s">
        <v>10084</v>
      </c>
      <c r="N3275" s="364"/>
      <c r="O3275" s="364" t="s">
        <v>57</v>
      </c>
      <c r="P3275" s="373">
        <v>1073607000</v>
      </c>
      <c r="Q3275" s="364"/>
      <c r="R3275" s="364" t="s">
        <v>10014</v>
      </c>
      <c r="S3275" s="340">
        <v>1</v>
      </c>
    </row>
    <row r="3276" spans="1:19" ht="31" x14ac:dyDescent="0.35">
      <c r="A3276" s="349">
        <v>3265</v>
      </c>
      <c r="B3276" s="364" t="s">
        <v>10080</v>
      </c>
      <c r="C3276" s="364" t="s">
        <v>10081</v>
      </c>
      <c r="D3276" s="366" t="s">
        <v>122</v>
      </c>
      <c r="E3276" s="366" t="s">
        <v>10082</v>
      </c>
      <c r="F3276" s="366" t="s">
        <v>10078</v>
      </c>
      <c r="G3276" s="366" t="s">
        <v>10078</v>
      </c>
      <c r="H3276" s="366" t="s">
        <v>3405</v>
      </c>
      <c r="I3276" s="364" t="s">
        <v>15567</v>
      </c>
      <c r="J3276" s="367"/>
      <c r="K3276" s="364"/>
      <c r="L3276" s="364"/>
      <c r="M3276" s="364" t="s">
        <v>10084</v>
      </c>
      <c r="N3276" s="364"/>
      <c r="O3276" s="364" t="s">
        <v>57</v>
      </c>
      <c r="P3276" s="373">
        <v>229403000</v>
      </c>
      <c r="Q3276" s="364"/>
      <c r="R3276" s="364" t="s">
        <v>10014</v>
      </c>
      <c r="S3276" s="340">
        <v>1</v>
      </c>
    </row>
    <row r="3277" spans="1:19" ht="31.5" thickBot="1" x14ac:dyDescent="0.4">
      <c r="A3277" s="357">
        <v>3266</v>
      </c>
      <c r="B3277" s="364" t="s">
        <v>10080</v>
      </c>
      <c r="C3277" s="364" t="s">
        <v>10081</v>
      </c>
      <c r="D3277" s="366" t="s">
        <v>126</v>
      </c>
      <c r="E3277" s="366" t="s">
        <v>10082</v>
      </c>
      <c r="F3277" s="366" t="s">
        <v>10078</v>
      </c>
      <c r="G3277" s="366" t="s">
        <v>10078</v>
      </c>
      <c r="H3277" s="366" t="s">
        <v>3405</v>
      </c>
      <c r="I3277" s="364" t="s">
        <v>15567</v>
      </c>
      <c r="J3277" s="367"/>
      <c r="K3277" s="364"/>
      <c r="L3277" s="364"/>
      <c r="M3277" s="364" t="s">
        <v>10084</v>
      </c>
      <c r="N3277" s="364"/>
      <c r="O3277" s="364" t="s">
        <v>57</v>
      </c>
      <c r="P3277" s="373">
        <v>229403000</v>
      </c>
      <c r="Q3277" s="364"/>
      <c r="R3277" s="364" t="s">
        <v>10014</v>
      </c>
      <c r="S3277" s="340">
        <v>1</v>
      </c>
    </row>
    <row r="3278" spans="1:19" ht="31" x14ac:dyDescent="0.35">
      <c r="A3278" s="349">
        <v>3267</v>
      </c>
      <c r="B3278" s="364" t="s">
        <v>10110</v>
      </c>
      <c r="C3278" s="364" t="s">
        <v>10111</v>
      </c>
      <c r="D3278" s="366" t="s">
        <v>51</v>
      </c>
      <c r="E3278" s="366" t="s">
        <v>10082</v>
      </c>
      <c r="F3278" s="366" t="s">
        <v>10078</v>
      </c>
      <c r="G3278" s="366" t="s">
        <v>10078</v>
      </c>
      <c r="H3278" s="366" t="s">
        <v>11613</v>
      </c>
      <c r="I3278" s="364" t="s">
        <v>12014</v>
      </c>
      <c r="J3278" s="367">
        <v>43705</v>
      </c>
      <c r="K3278" s="364" t="s">
        <v>15571</v>
      </c>
      <c r="L3278" s="364"/>
      <c r="M3278" s="364" t="s">
        <v>10084</v>
      </c>
      <c r="N3278" s="364"/>
      <c r="O3278" s="364" t="s">
        <v>57</v>
      </c>
      <c r="P3278" s="373">
        <v>110588305.09999999</v>
      </c>
      <c r="Q3278" s="364" t="s">
        <v>15572</v>
      </c>
      <c r="R3278" s="364" t="s">
        <v>10014</v>
      </c>
      <c r="S3278" s="340">
        <v>1</v>
      </c>
    </row>
    <row r="3279" spans="1:19" ht="47" thickBot="1" x14ac:dyDescent="0.4">
      <c r="A3279" s="357">
        <v>3268</v>
      </c>
      <c r="B3279" s="364" t="s">
        <v>10110</v>
      </c>
      <c r="C3279" s="364" t="s">
        <v>10111</v>
      </c>
      <c r="D3279" s="366" t="s">
        <v>59</v>
      </c>
      <c r="E3279" s="366" t="s">
        <v>10082</v>
      </c>
      <c r="F3279" s="366" t="s">
        <v>10078</v>
      </c>
      <c r="G3279" s="366" t="s">
        <v>10088</v>
      </c>
      <c r="H3279" s="366" t="s">
        <v>12157</v>
      </c>
      <c r="I3279" s="364" t="s">
        <v>15573</v>
      </c>
      <c r="J3279" s="367"/>
      <c r="K3279" s="364" t="s">
        <v>15574</v>
      </c>
      <c r="L3279" s="364"/>
      <c r="M3279" s="364"/>
      <c r="N3279" s="364"/>
      <c r="O3279" s="364" t="s">
        <v>44</v>
      </c>
      <c r="P3279" s="373">
        <v>360330432.99999994</v>
      </c>
      <c r="Q3279" s="364" t="s">
        <v>15575</v>
      </c>
      <c r="R3279" s="364" t="s">
        <v>10014</v>
      </c>
      <c r="S3279" s="340">
        <v>1</v>
      </c>
    </row>
    <row r="3280" spans="1:19" ht="46.5" x14ac:dyDescent="0.35">
      <c r="A3280" s="349">
        <v>3269</v>
      </c>
      <c r="B3280" s="364" t="s">
        <v>10146</v>
      </c>
      <c r="C3280" s="364" t="s">
        <v>10147</v>
      </c>
      <c r="D3280" s="366" t="s">
        <v>51</v>
      </c>
      <c r="E3280" s="366" t="s">
        <v>10082</v>
      </c>
      <c r="F3280" s="366" t="s">
        <v>10078</v>
      </c>
      <c r="G3280" s="366" t="s">
        <v>10078</v>
      </c>
      <c r="H3280" s="366" t="s">
        <v>11551</v>
      </c>
      <c r="I3280" s="364" t="s">
        <v>15576</v>
      </c>
      <c r="J3280" s="367">
        <v>43966</v>
      </c>
      <c r="K3280" s="364" t="s">
        <v>15577</v>
      </c>
      <c r="L3280" s="364"/>
      <c r="M3280" s="364" t="s">
        <v>10084</v>
      </c>
      <c r="N3280" s="364"/>
      <c r="O3280" s="364" t="s">
        <v>57</v>
      </c>
      <c r="P3280" s="373">
        <v>179992000</v>
      </c>
      <c r="Q3280" s="364" t="s">
        <v>15578</v>
      </c>
      <c r="R3280" s="364" t="s">
        <v>10014</v>
      </c>
      <c r="S3280" s="340">
        <v>1</v>
      </c>
    </row>
    <row r="3281" spans="1:19" ht="31.5" thickBot="1" x14ac:dyDescent="0.4">
      <c r="A3281" s="357">
        <v>3270</v>
      </c>
      <c r="B3281" s="364" t="s">
        <v>10155</v>
      </c>
      <c r="C3281" s="364" t="s">
        <v>10156</v>
      </c>
      <c r="D3281" s="366" t="s">
        <v>51</v>
      </c>
      <c r="E3281" s="366" t="s">
        <v>10082</v>
      </c>
      <c r="F3281" s="366" t="s">
        <v>10078</v>
      </c>
      <c r="G3281" s="366" t="s">
        <v>10088</v>
      </c>
      <c r="H3281" s="366" t="s">
        <v>15011</v>
      </c>
      <c r="I3281" s="364" t="s">
        <v>15579</v>
      </c>
      <c r="J3281" s="367">
        <v>42275</v>
      </c>
      <c r="K3281" s="364" t="s">
        <v>15580</v>
      </c>
      <c r="L3281" s="364"/>
      <c r="M3281" s="364" t="s">
        <v>10084</v>
      </c>
      <c r="N3281" s="364"/>
      <c r="O3281" s="364" t="s">
        <v>57</v>
      </c>
      <c r="P3281" s="373">
        <v>377640354</v>
      </c>
      <c r="Q3281" s="364" t="s">
        <v>15581</v>
      </c>
      <c r="R3281" s="364" t="s">
        <v>9996</v>
      </c>
      <c r="S3281" s="340">
        <v>1</v>
      </c>
    </row>
    <row r="3282" spans="1:19" ht="31" x14ac:dyDescent="0.35">
      <c r="A3282" s="349">
        <v>3271</v>
      </c>
      <c r="B3282" s="364" t="s">
        <v>10475</v>
      </c>
      <c r="C3282" s="364" t="s">
        <v>10476</v>
      </c>
      <c r="D3282" s="366" t="s">
        <v>51</v>
      </c>
      <c r="E3282" s="366" t="s">
        <v>10082</v>
      </c>
      <c r="F3282" s="366" t="s">
        <v>10078</v>
      </c>
      <c r="G3282" s="366" t="s">
        <v>10078</v>
      </c>
      <c r="H3282" s="366" t="s">
        <v>12771</v>
      </c>
      <c r="I3282" s="364" t="s">
        <v>15582</v>
      </c>
      <c r="J3282" s="367">
        <v>43614</v>
      </c>
      <c r="K3282" s="364" t="s">
        <v>15583</v>
      </c>
      <c r="L3282" s="364"/>
      <c r="M3282" s="364" t="s">
        <v>10084</v>
      </c>
      <c r="N3282" s="364"/>
      <c r="O3282" s="364" t="s">
        <v>57</v>
      </c>
      <c r="P3282" s="373">
        <v>497526808.69999999</v>
      </c>
      <c r="Q3282" s="364" t="s">
        <v>15584</v>
      </c>
      <c r="R3282" s="364" t="s">
        <v>9996</v>
      </c>
      <c r="S3282" s="340">
        <v>1</v>
      </c>
    </row>
    <row r="3283" spans="1:19" ht="31.5" thickBot="1" x14ac:dyDescent="0.4">
      <c r="A3283" s="357">
        <v>3272</v>
      </c>
      <c r="B3283" s="364" t="s">
        <v>10080</v>
      </c>
      <c r="C3283" s="364" t="s">
        <v>10081</v>
      </c>
      <c r="D3283" s="366" t="s">
        <v>51</v>
      </c>
      <c r="E3283" s="366" t="s">
        <v>10082</v>
      </c>
      <c r="F3283" s="366" t="s">
        <v>10078</v>
      </c>
      <c r="G3283" s="366" t="s">
        <v>10088</v>
      </c>
      <c r="H3283" s="366" t="s">
        <v>11719</v>
      </c>
      <c r="I3283" s="364" t="s">
        <v>15579</v>
      </c>
      <c r="J3283" s="367">
        <v>42328</v>
      </c>
      <c r="K3283" s="364" t="s">
        <v>15585</v>
      </c>
      <c r="L3283" s="364"/>
      <c r="M3283" s="364" t="s">
        <v>10084</v>
      </c>
      <c r="N3283" s="364"/>
      <c r="O3283" s="364" t="s">
        <v>57</v>
      </c>
      <c r="P3283" s="373">
        <v>221263000</v>
      </c>
      <c r="Q3283" s="364" t="s">
        <v>15586</v>
      </c>
      <c r="R3283" s="364" t="s">
        <v>9996</v>
      </c>
      <c r="S3283" s="340">
        <v>1</v>
      </c>
    </row>
    <row r="3284" spans="1:19" ht="31" x14ac:dyDescent="0.35">
      <c r="A3284" s="349">
        <v>3273</v>
      </c>
      <c r="B3284" s="364" t="s">
        <v>10080</v>
      </c>
      <c r="C3284" s="364" t="s">
        <v>10081</v>
      </c>
      <c r="D3284" s="366" t="s">
        <v>59</v>
      </c>
      <c r="E3284" s="366" t="s">
        <v>10082</v>
      </c>
      <c r="F3284" s="366" t="s">
        <v>10078</v>
      </c>
      <c r="G3284" s="366" t="s">
        <v>10088</v>
      </c>
      <c r="H3284" s="366" t="s">
        <v>12157</v>
      </c>
      <c r="I3284" s="364" t="s">
        <v>15579</v>
      </c>
      <c r="J3284" s="367">
        <v>41904</v>
      </c>
      <c r="K3284" s="364" t="s">
        <v>15587</v>
      </c>
      <c r="L3284" s="364"/>
      <c r="M3284" s="364" t="s">
        <v>10084</v>
      </c>
      <c r="N3284" s="364"/>
      <c r="O3284" s="364" t="s">
        <v>57</v>
      </c>
      <c r="P3284" s="373">
        <v>140731200</v>
      </c>
      <c r="Q3284" s="364" t="s">
        <v>15588</v>
      </c>
      <c r="R3284" s="364" t="s">
        <v>9996</v>
      </c>
      <c r="S3284" s="340">
        <v>1</v>
      </c>
    </row>
    <row r="3285" spans="1:19" ht="31.5" thickBot="1" x14ac:dyDescent="0.4">
      <c r="A3285" s="357">
        <v>3274</v>
      </c>
      <c r="B3285" s="364" t="s">
        <v>10080</v>
      </c>
      <c r="C3285" s="364" t="s">
        <v>10081</v>
      </c>
      <c r="D3285" s="366" t="s">
        <v>97</v>
      </c>
      <c r="E3285" s="366" t="s">
        <v>10082</v>
      </c>
      <c r="F3285" s="366" t="s">
        <v>10078</v>
      </c>
      <c r="G3285" s="366" t="s">
        <v>10088</v>
      </c>
      <c r="H3285" s="366" t="s">
        <v>13157</v>
      </c>
      <c r="I3285" s="364" t="s">
        <v>15579</v>
      </c>
      <c r="J3285" s="367"/>
      <c r="K3285" s="364"/>
      <c r="L3285" s="364"/>
      <c r="M3285" s="364" t="s">
        <v>10084</v>
      </c>
      <c r="N3285" s="364"/>
      <c r="O3285" s="364" t="s">
        <v>57</v>
      </c>
      <c r="P3285" s="373">
        <v>352051000</v>
      </c>
      <c r="Q3285" s="364"/>
      <c r="R3285" s="364" t="s">
        <v>9996</v>
      </c>
      <c r="S3285" s="340">
        <v>1</v>
      </c>
    </row>
    <row r="3286" spans="1:19" ht="31" x14ac:dyDescent="0.35">
      <c r="A3286" s="349">
        <v>3275</v>
      </c>
      <c r="B3286" s="364" t="s">
        <v>10080</v>
      </c>
      <c r="C3286" s="364" t="s">
        <v>10081</v>
      </c>
      <c r="D3286" s="366" t="s">
        <v>101</v>
      </c>
      <c r="E3286" s="366" t="s">
        <v>10082</v>
      </c>
      <c r="F3286" s="366" t="s">
        <v>10078</v>
      </c>
      <c r="G3286" s="366" t="s">
        <v>10088</v>
      </c>
      <c r="H3286" s="366" t="s">
        <v>15589</v>
      </c>
      <c r="I3286" s="364" t="s">
        <v>15579</v>
      </c>
      <c r="J3286" s="367"/>
      <c r="K3286" s="364"/>
      <c r="L3286" s="364"/>
      <c r="M3286" s="364" t="s">
        <v>10084</v>
      </c>
      <c r="N3286" s="364"/>
      <c r="O3286" s="364" t="s">
        <v>57</v>
      </c>
      <c r="P3286" s="373">
        <v>1403731000</v>
      </c>
      <c r="Q3286" s="364"/>
      <c r="R3286" s="364" t="s">
        <v>9996</v>
      </c>
      <c r="S3286" s="340">
        <v>1</v>
      </c>
    </row>
    <row r="3287" spans="1:19" ht="31.5" thickBot="1" x14ac:dyDescent="0.4">
      <c r="A3287" s="357">
        <v>3276</v>
      </c>
      <c r="B3287" s="364" t="s">
        <v>10080</v>
      </c>
      <c r="C3287" s="364" t="s">
        <v>10081</v>
      </c>
      <c r="D3287" s="366" t="s">
        <v>107</v>
      </c>
      <c r="E3287" s="366" t="s">
        <v>10082</v>
      </c>
      <c r="F3287" s="366" t="s">
        <v>10078</v>
      </c>
      <c r="G3287" s="366" t="s">
        <v>10088</v>
      </c>
      <c r="H3287" s="366" t="s">
        <v>15590</v>
      </c>
      <c r="I3287" s="364" t="s">
        <v>15579</v>
      </c>
      <c r="J3287" s="367"/>
      <c r="K3287" s="364"/>
      <c r="L3287" s="364"/>
      <c r="M3287" s="364" t="s">
        <v>10084</v>
      </c>
      <c r="N3287" s="364"/>
      <c r="O3287" s="364" t="s">
        <v>57</v>
      </c>
      <c r="P3287" s="373">
        <v>1057433000</v>
      </c>
      <c r="Q3287" s="364"/>
      <c r="R3287" s="364" t="s">
        <v>9996</v>
      </c>
      <c r="S3287" s="340">
        <v>1</v>
      </c>
    </row>
    <row r="3288" spans="1:19" ht="77.5" x14ac:dyDescent="0.35">
      <c r="A3288" s="349">
        <v>3277</v>
      </c>
      <c r="B3288" s="364" t="s">
        <v>10080</v>
      </c>
      <c r="C3288" s="364" t="s">
        <v>10081</v>
      </c>
      <c r="D3288" s="366" t="s">
        <v>116</v>
      </c>
      <c r="E3288" s="366" t="s">
        <v>10082</v>
      </c>
      <c r="F3288" s="366" t="s">
        <v>10078</v>
      </c>
      <c r="G3288" s="366" t="s">
        <v>10088</v>
      </c>
      <c r="H3288" s="366" t="s">
        <v>15591</v>
      </c>
      <c r="I3288" s="364" t="s">
        <v>15592</v>
      </c>
      <c r="J3288" s="367"/>
      <c r="K3288" s="364" t="s">
        <v>15593</v>
      </c>
      <c r="L3288" s="364"/>
      <c r="M3288" s="364"/>
      <c r="N3288" s="364"/>
      <c r="O3288" s="364" t="s">
        <v>44</v>
      </c>
      <c r="P3288" s="373">
        <v>260734980</v>
      </c>
      <c r="Q3288" s="364" t="s">
        <v>15594</v>
      </c>
      <c r="R3288" s="364" t="s">
        <v>9996</v>
      </c>
      <c r="S3288" s="340">
        <v>1</v>
      </c>
    </row>
    <row r="3289" spans="1:19" ht="31.5" thickBot="1" x14ac:dyDescent="0.4">
      <c r="A3289" s="357">
        <v>3278</v>
      </c>
      <c r="B3289" s="364" t="s">
        <v>10110</v>
      </c>
      <c r="C3289" s="364" t="s">
        <v>10111</v>
      </c>
      <c r="D3289" s="366" t="s">
        <v>51</v>
      </c>
      <c r="E3289" s="366" t="s">
        <v>10082</v>
      </c>
      <c r="F3289" s="366" t="s">
        <v>10078</v>
      </c>
      <c r="G3289" s="366" t="s">
        <v>10088</v>
      </c>
      <c r="H3289" s="366" t="s">
        <v>11332</v>
      </c>
      <c r="I3289" s="364" t="s">
        <v>15579</v>
      </c>
      <c r="J3289" s="367">
        <v>42328</v>
      </c>
      <c r="K3289" s="364" t="s">
        <v>15595</v>
      </c>
      <c r="L3289" s="364"/>
      <c r="M3289" s="364" t="s">
        <v>10084</v>
      </c>
      <c r="N3289" s="364"/>
      <c r="O3289" s="364" t="s">
        <v>57</v>
      </c>
      <c r="P3289" s="373">
        <v>82579000</v>
      </c>
      <c r="Q3289" s="364" t="s">
        <v>15596</v>
      </c>
      <c r="R3289" s="364" t="s">
        <v>9996</v>
      </c>
      <c r="S3289" s="340">
        <v>1</v>
      </c>
    </row>
    <row r="3290" spans="1:19" ht="77.5" x14ac:dyDescent="0.35">
      <c r="A3290" s="349">
        <v>3279</v>
      </c>
      <c r="B3290" s="364" t="s">
        <v>10110</v>
      </c>
      <c r="C3290" s="364" t="s">
        <v>10111</v>
      </c>
      <c r="D3290" s="366" t="s">
        <v>97</v>
      </c>
      <c r="E3290" s="366" t="s">
        <v>10082</v>
      </c>
      <c r="F3290" s="366"/>
      <c r="G3290" s="366"/>
      <c r="H3290" s="366" t="s">
        <v>163</v>
      </c>
      <c r="I3290" s="364" t="s">
        <v>63</v>
      </c>
      <c r="J3290" s="367"/>
      <c r="K3290" s="364" t="s">
        <v>15597</v>
      </c>
      <c r="L3290" s="364"/>
      <c r="M3290" s="364"/>
      <c r="N3290" s="364"/>
      <c r="O3290" s="364" t="s">
        <v>44</v>
      </c>
      <c r="P3290" s="373">
        <v>606540610</v>
      </c>
      <c r="Q3290" s="364" t="s">
        <v>15598</v>
      </c>
      <c r="R3290" s="364" t="s">
        <v>9996</v>
      </c>
      <c r="S3290" s="340">
        <v>1</v>
      </c>
    </row>
    <row r="3291" spans="1:19" ht="31.5" thickBot="1" x14ac:dyDescent="0.4">
      <c r="A3291" s="357">
        <v>3280</v>
      </c>
      <c r="B3291" s="364" t="s">
        <v>10092</v>
      </c>
      <c r="C3291" s="364" t="s">
        <v>10093</v>
      </c>
      <c r="D3291" s="366" t="s">
        <v>51</v>
      </c>
      <c r="E3291" s="366" t="s">
        <v>10082</v>
      </c>
      <c r="F3291" s="366" t="s">
        <v>10078</v>
      </c>
      <c r="G3291" s="366" t="s">
        <v>10088</v>
      </c>
      <c r="H3291" s="366" t="s">
        <v>12979</v>
      </c>
      <c r="I3291" s="364" t="s">
        <v>15579</v>
      </c>
      <c r="J3291" s="367">
        <v>39969</v>
      </c>
      <c r="K3291" s="364" t="s">
        <v>15599</v>
      </c>
      <c r="L3291" s="364"/>
      <c r="M3291" s="364" t="s">
        <v>10084</v>
      </c>
      <c r="N3291" s="364"/>
      <c r="O3291" s="364" t="s">
        <v>422</v>
      </c>
      <c r="P3291" s="373">
        <v>139485640</v>
      </c>
      <c r="Q3291" s="364" t="s">
        <v>15600</v>
      </c>
      <c r="R3291" s="364" t="s">
        <v>9996</v>
      </c>
      <c r="S3291" s="340">
        <v>1</v>
      </c>
    </row>
    <row r="3292" spans="1:19" ht="46.5" x14ac:dyDescent="0.35">
      <c r="A3292" s="349">
        <v>3281</v>
      </c>
      <c r="B3292" s="364" t="s">
        <v>10765</v>
      </c>
      <c r="C3292" s="364" t="s">
        <v>10766</v>
      </c>
      <c r="D3292" s="366" t="s">
        <v>51</v>
      </c>
      <c r="E3292" s="366" t="s">
        <v>10082</v>
      </c>
      <c r="F3292" s="366" t="s">
        <v>10078</v>
      </c>
      <c r="G3292" s="366" t="s">
        <v>10078</v>
      </c>
      <c r="H3292" s="366" t="s">
        <v>2972</v>
      </c>
      <c r="I3292" s="364" t="s">
        <v>15601</v>
      </c>
      <c r="J3292" s="367">
        <v>43706</v>
      </c>
      <c r="K3292" s="364" t="s">
        <v>15602</v>
      </c>
      <c r="L3292" s="364"/>
      <c r="M3292" s="364" t="s">
        <v>10084</v>
      </c>
      <c r="N3292" s="364"/>
      <c r="O3292" s="364" t="s">
        <v>57</v>
      </c>
      <c r="P3292" s="373">
        <v>221313000</v>
      </c>
      <c r="Q3292" s="364" t="s">
        <v>15603</v>
      </c>
      <c r="R3292" s="364" t="s">
        <v>9996</v>
      </c>
      <c r="S3292" s="340">
        <v>1</v>
      </c>
    </row>
    <row r="3293" spans="1:19" ht="47" thickBot="1" x14ac:dyDescent="0.4">
      <c r="A3293" s="357">
        <v>3282</v>
      </c>
      <c r="B3293" s="364" t="s">
        <v>10765</v>
      </c>
      <c r="C3293" s="364" t="s">
        <v>10766</v>
      </c>
      <c r="D3293" s="366" t="s">
        <v>59</v>
      </c>
      <c r="E3293" s="366" t="s">
        <v>10082</v>
      </c>
      <c r="F3293" s="366" t="s">
        <v>10078</v>
      </c>
      <c r="G3293" s="366" t="s">
        <v>10088</v>
      </c>
      <c r="H3293" s="366" t="s">
        <v>15604</v>
      </c>
      <c r="I3293" s="364" t="s">
        <v>15605</v>
      </c>
      <c r="J3293" s="367"/>
      <c r="K3293" s="364" t="s">
        <v>15606</v>
      </c>
      <c r="L3293" s="364"/>
      <c r="M3293" s="364"/>
      <c r="N3293" s="364"/>
      <c r="O3293" s="364" t="s">
        <v>44</v>
      </c>
      <c r="P3293" s="373">
        <v>221581025</v>
      </c>
      <c r="Q3293" s="364" t="s">
        <v>15607</v>
      </c>
      <c r="R3293" s="364" t="s">
        <v>9996</v>
      </c>
      <c r="S3293" s="340">
        <v>1</v>
      </c>
    </row>
    <row r="3294" spans="1:19" ht="31" x14ac:dyDescent="0.35">
      <c r="A3294" s="349">
        <v>3283</v>
      </c>
      <c r="B3294" s="364" t="s">
        <v>10096</v>
      </c>
      <c r="C3294" s="364" t="s">
        <v>10097</v>
      </c>
      <c r="D3294" s="366" t="s">
        <v>51</v>
      </c>
      <c r="E3294" s="366" t="s">
        <v>10082</v>
      </c>
      <c r="F3294" s="366" t="s">
        <v>10078</v>
      </c>
      <c r="G3294" s="366" t="s">
        <v>10088</v>
      </c>
      <c r="H3294" s="366" t="s">
        <v>12157</v>
      </c>
      <c r="I3294" s="364" t="s">
        <v>15579</v>
      </c>
      <c r="J3294" s="367">
        <v>42144</v>
      </c>
      <c r="K3294" s="364" t="s">
        <v>15608</v>
      </c>
      <c r="L3294" s="364"/>
      <c r="M3294" s="364" t="s">
        <v>10084</v>
      </c>
      <c r="N3294" s="364"/>
      <c r="O3294" s="364" t="s">
        <v>57</v>
      </c>
      <c r="P3294" s="373">
        <v>221095000</v>
      </c>
      <c r="Q3294" s="364" t="s">
        <v>15609</v>
      </c>
      <c r="R3294" s="364" t="s">
        <v>9996</v>
      </c>
      <c r="S3294" s="340">
        <v>1</v>
      </c>
    </row>
    <row r="3295" spans="1:19" ht="31.5" thickBot="1" x14ac:dyDescent="0.4">
      <c r="A3295" s="357">
        <v>3284</v>
      </c>
      <c r="B3295" s="364" t="s">
        <v>10096</v>
      </c>
      <c r="C3295" s="364" t="s">
        <v>10097</v>
      </c>
      <c r="D3295" s="366" t="s">
        <v>59</v>
      </c>
      <c r="E3295" s="366" t="s">
        <v>10082</v>
      </c>
      <c r="F3295" s="366" t="s">
        <v>10078</v>
      </c>
      <c r="G3295" s="366" t="s">
        <v>10088</v>
      </c>
      <c r="H3295" s="366" t="s">
        <v>12273</v>
      </c>
      <c r="I3295" s="364" t="s">
        <v>15579</v>
      </c>
      <c r="J3295" s="367"/>
      <c r="K3295" s="364"/>
      <c r="L3295" s="364"/>
      <c r="M3295" s="364" t="s">
        <v>10084</v>
      </c>
      <c r="N3295" s="364"/>
      <c r="O3295" s="364" t="s">
        <v>57</v>
      </c>
      <c r="P3295" s="373">
        <v>413929140</v>
      </c>
      <c r="Q3295" s="364"/>
      <c r="R3295" s="364" t="s">
        <v>9996</v>
      </c>
      <c r="S3295" s="340">
        <v>1</v>
      </c>
    </row>
    <row r="3296" spans="1:19" ht="46.5" x14ac:dyDescent="0.35">
      <c r="A3296" s="349">
        <v>3285</v>
      </c>
      <c r="B3296" s="364" t="s">
        <v>10096</v>
      </c>
      <c r="C3296" s="364" t="s">
        <v>10097</v>
      </c>
      <c r="D3296" s="366" t="s">
        <v>97</v>
      </c>
      <c r="E3296" s="366" t="s">
        <v>10082</v>
      </c>
      <c r="F3296" s="366" t="s">
        <v>10078</v>
      </c>
      <c r="G3296" s="366" t="s">
        <v>10088</v>
      </c>
      <c r="H3296" s="366" t="s">
        <v>10210</v>
      </c>
      <c r="I3296" s="364" t="s">
        <v>15605</v>
      </c>
      <c r="J3296" s="367"/>
      <c r="K3296" s="364" t="s">
        <v>15610</v>
      </c>
      <c r="L3296" s="364"/>
      <c r="M3296" s="364"/>
      <c r="N3296" s="364"/>
      <c r="O3296" s="364" t="s">
        <v>44</v>
      </c>
      <c r="P3296" s="373">
        <v>221400600</v>
      </c>
      <c r="Q3296" s="364" t="s">
        <v>15611</v>
      </c>
      <c r="R3296" s="364" t="s">
        <v>9996</v>
      </c>
      <c r="S3296" s="340">
        <v>1</v>
      </c>
    </row>
    <row r="3297" spans="1:19" ht="31.5" thickBot="1" x14ac:dyDescent="0.4">
      <c r="A3297" s="357">
        <v>3286</v>
      </c>
      <c r="B3297" s="364" t="s">
        <v>10155</v>
      </c>
      <c r="C3297" s="364" t="s">
        <v>10156</v>
      </c>
      <c r="D3297" s="366" t="s">
        <v>51</v>
      </c>
      <c r="E3297" s="366" t="s">
        <v>10082</v>
      </c>
      <c r="F3297" s="366" t="s">
        <v>10078</v>
      </c>
      <c r="G3297" s="366" t="s">
        <v>10088</v>
      </c>
      <c r="H3297" s="366" t="s">
        <v>14078</v>
      </c>
      <c r="I3297" s="364" t="s">
        <v>13006</v>
      </c>
      <c r="J3297" s="367">
        <v>43244</v>
      </c>
      <c r="K3297" s="364" t="s">
        <v>15612</v>
      </c>
      <c r="L3297" s="364"/>
      <c r="M3297" s="364" t="s">
        <v>10084</v>
      </c>
      <c r="N3297" s="364"/>
      <c r="O3297" s="364" t="s">
        <v>57</v>
      </c>
      <c r="P3297" s="373">
        <v>786275310</v>
      </c>
      <c r="Q3297" s="364" t="s">
        <v>15613</v>
      </c>
      <c r="R3297" s="364" t="s">
        <v>9997</v>
      </c>
      <c r="S3297" s="340">
        <v>1</v>
      </c>
    </row>
    <row r="3298" spans="1:19" ht="31" x14ac:dyDescent="0.35">
      <c r="A3298" s="349">
        <v>3287</v>
      </c>
      <c r="B3298" s="364" t="s">
        <v>11830</v>
      </c>
      <c r="C3298" s="364" t="s">
        <v>11831</v>
      </c>
      <c r="D3298" s="366" t="s">
        <v>51</v>
      </c>
      <c r="E3298" s="366" t="s">
        <v>10082</v>
      </c>
      <c r="F3298" s="366" t="s">
        <v>10078</v>
      </c>
      <c r="G3298" s="366" t="s">
        <v>10088</v>
      </c>
      <c r="H3298" s="366" t="s">
        <v>163</v>
      </c>
      <c r="I3298" s="364" t="s">
        <v>13006</v>
      </c>
      <c r="J3298" s="367">
        <v>40826</v>
      </c>
      <c r="K3298" s="364" t="s">
        <v>15614</v>
      </c>
      <c r="L3298" s="364"/>
      <c r="M3298" s="364" t="s">
        <v>10084</v>
      </c>
      <c r="N3298" s="364"/>
      <c r="O3298" s="364" t="s">
        <v>422</v>
      </c>
      <c r="P3298" s="373">
        <v>117410000</v>
      </c>
      <c r="Q3298" s="364" t="s">
        <v>15615</v>
      </c>
      <c r="R3298" s="364" t="s">
        <v>9997</v>
      </c>
      <c r="S3298" s="340">
        <v>1</v>
      </c>
    </row>
    <row r="3299" spans="1:19" ht="31.5" thickBot="1" x14ac:dyDescent="0.4">
      <c r="A3299" s="357">
        <v>3288</v>
      </c>
      <c r="B3299" s="364" t="s">
        <v>11830</v>
      </c>
      <c r="C3299" s="364" t="s">
        <v>11831</v>
      </c>
      <c r="D3299" s="366" t="s">
        <v>59</v>
      </c>
      <c r="E3299" s="366" t="s">
        <v>10082</v>
      </c>
      <c r="F3299" s="366" t="s">
        <v>10078</v>
      </c>
      <c r="G3299" s="366" t="s">
        <v>10088</v>
      </c>
      <c r="H3299" s="366" t="s">
        <v>12250</v>
      </c>
      <c r="I3299" s="364" t="s">
        <v>13006</v>
      </c>
      <c r="J3299" s="367">
        <v>40770</v>
      </c>
      <c r="K3299" s="364" t="s">
        <v>15616</v>
      </c>
      <c r="L3299" s="364"/>
      <c r="M3299" s="364" t="s">
        <v>10084</v>
      </c>
      <c r="N3299" s="364"/>
      <c r="O3299" s="364" t="s">
        <v>422</v>
      </c>
      <c r="P3299" s="373">
        <v>169522000</v>
      </c>
      <c r="Q3299" s="364" t="s">
        <v>15615</v>
      </c>
      <c r="R3299" s="364" t="s">
        <v>9997</v>
      </c>
      <c r="S3299" s="340">
        <v>1</v>
      </c>
    </row>
    <row r="3300" spans="1:19" ht="31" x14ac:dyDescent="0.35">
      <c r="A3300" s="349">
        <v>3289</v>
      </c>
      <c r="B3300" s="364" t="s">
        <v>10080</v>
      </c>
      <c r="C3300" s="364" t="s">
        <v>10081</v>
      </c>
      <c r="D3300" s="366" t="s">
        <v>51</v>
      </c>
      <c r="E3300" s="366" t="s">
        <v>10082</v>
      </c>
      <c r="F3300" s="366" t="s">
        <v>10078</v>
      </c>
      <c r="G3300" s="366" t="s">
        <v>10078</v>
      </c>
      <c r="H3300" s="366" t="s">
        <v>11308</v>
      </c>
      <c r="I3300" s="364" t="s">
        <v>13006</v>
      </c>
      <c r="J3300" s="367"/>
      <c r="K3300" s="364"/>
      <c r="L3300" s="364"/>
      <c r="M3300" s="364" t="s">
        <v>10084</v>
      </c>
      <c r="N3300" s="364"/>
      <c r="O3300" s="364" t="s">
        <v>57</v>
      </c>
      <c r="P3300" s="373">
        <v>100026000</v>
      </c>
      <c r="Q3300" s="364"/>
      <c r="R3300" s="364" t="s">
        <v>9997</v>
      </c>
      <c r="S3300" s="340">
        <v>1</v>
      </c>
    </row>
    <row r="3301" spans="1:19" ht="31.5" thickBot="1" x14ac:dyDescent="0.4">
      <c r="A3301" s="357">
        <v>3290</v>
      </c>
      <c r="B3301" s="364" t="s">
        <v>10080</v>
      </c>
      <c r="C3301" s="364" t="s">
        <v>10081</v>
      </c>
      <c r="D3301" s="366" t="s">
        <v>59</v>
      </c>
      <c r="E3301" s="366" t="s">
        <v>10082</v>
      </c>
      <c r="F3301" s="366" t="s">
        <v>10078</v>
      </c>
      <c r="G3301" s="366" t="s">
        <v>10078</v>
      </c>
      <c r="H3301" s="366" t="s">
        <v>11308</v>
      </c>
      <c r="I3301" s="364" t="s">
        <v>13006</v>
      </c>
      <c r="J3301" s="367"/>
      <c r="K3301" s="364"/>
      <c r="L3301" s="364"/>
      <c r="M3301" s="364" t="s">
        <v>10084</v>
      </c>
      <c r="N3301" s="364"/>
      <c r="O3301" s="364" t="s">
        <v>57</v>
      </c>
      <c r="P3301" s="373">
        <v>168373385</v>
      </c>
      <c r="Q3301" s="364" t="s">
        <v>15617</v>
      </c>
      <c r="R3301" s="364" t="s">
        <v>9997</v>
      </c>
      <c r="S3301" s="340">
        <v>1</v>
      </c>
    </row>
    <row r="3302" spans="1:19" ht="31" x14ac:dyDescent="0.35">
      <c r="A3302" s="349">
        <v>3291</v>
      </c>
      <c r="B3302" s="364" t="s">
        <v>10080</v>
      </c>
      <c r="C3302" s="364" t="s">
        <v>10081</v>
      </c>
      <c r="D3302" s="366" t="s">
        <v>97</v>
      </c>
      <c r="E3302" s="366" t="s">
        <v>10082</v>
      </c>
      <c r="F3302" s="366" t="s">
        <v>10078</v>
      </c>
      <c r="G3302" s="366" t="s">
        <v>10078</v>
      </c>
      <c r="H3302" s="366" t="s">
        <v>12701</v>
      </c>
      <c r="I3302" s="364" t="s">
        <v>13006</v>
      </c>
      <c r="J3302" s="367"/>
      <c r="K3302" s="364"/>
      <c r="L3302" s="364"/>
      <c r="M3302" s="364" t="s">
        <v>10084</v>
      </c>
      <c r="N3302" s="364"/>
      <c r="O3302" s="364" t="s">
        <v>57</v>
      </c>
      <c r="P3302" s="373">
        <v>463282500</v>
      </c>
      <c r="Q3302" s="364"/>
      <c r="R3302" s="364" t="s">
        <v>9997</v>
      </c>
      <c r="S3302" s="340">
        <v>1</v>
      </c>
    </row>
    <row r="3303" spans="1:19" ht="31.5" thickBot="1" x14ac:dyDescent="0.4">
      <c r="A3303" s="357">
        <v>3292</v>
      </c>
      <c r="B3303" s="364" t="s">
        <v>10080</v>
      </c>
      <c r="C3303" s="364" t="s">
        <v>10081</v>
      </c>
      <c r="D3303" s="366" t="s">
        <v>101</v>
      </c>
      <c r="E3303" s="366" t="s">
        <v>10082</v>
      </c>
      <c r="F3303" s="366" t="s">
        <v>10078</v>
      </c>
      <c r="G3303" s="366" t="s">
        <v>10078</v>
      </c>
      <c r="H3303" s="366" t="s">
        <v>11960</v>
      </c>
      <c r="I3303" s="364" t="s">
        <v>15618</v>
      </c>
      <c r="J3303" s="367">
        <v>39967</v>
      </c>
      <c r="K3303" s="364" t="s">
        <v>15619</v>
      </c>
      <c r="L3303" s="364"/>
      <c r="M3303" s="364" t="s">
        <v>10084</v>
      </c>
      <c r="N3303" s="364"/>
      <c r="O3303" s="364" t="s">
        <v>422</v>
      </c>
      <c r="P3303" s="373">
        <v>243913248.00000003</v>
      </c>
      <c r="Q3303" s="364"/>
      <c r="R3303" s="364" t="s">
        <v>9997</v>
      </c>
      <c r="S3303" s="340">
        <v>1</v>
      </c>
    </row>
    <row r="3304" spans="1:19" ht="31" x14ac:dyDescent="0.35">
      <c r="A3304" s="349">
        <v>3293</v>
      </c>
      <c r="B3304" s="364" t="s">
        <v>10080</v>
      </c>
      <c r="C3304" s="364" t="s">
        <v>10081</v>
      </c>
      <c r="D3304" s="366" t="s">
        <v>107</v>
      </c>
      <c r="E3304" s="366" t="s">
        <v>10082</v>
      </c>
      <c r="F3304" s="366" t="s">
        <v>10078</v>
      </c>
      <c r="G3304" s="366" t="s">
        <v>10078</v>
      </c>
      <c r="H3304" s="366" t="s">
        <v>13011</v>
      </c>
      <c r="I3304" s="364" t="s">
        <v>13006</v>
      </c>
      <c r="J3304" s="367"/>
      <c r="K3304" s="364"/>
      <c r="L3304" s="364"/>
      <c r="M3304" s="364" t="s">
        <v>10084</v>
      </c>
      <c r="N3304" s="364"/>
      <c r="O3304" s="364" t="s">
        <v>422</v>
      </c>
      <c r="P3304" s="373">
        <v>108000000</v>
      </c>
      <c r="Q3304" s="364" t="s">
        <v>8603</v>
      </c>
      <c r="R3304" s="364" t="s">
        <v>9997</v>
      </c>
      <c r="S3304" s="340">
        <v>1</v>
      </c>
    </row>
    <row r="3305" spans="1:19" ht="31.5" thickBot="1" x14ac:dyDescent="0.4">
      <c r="A3305" s="357">
        <v>3294</v>
      </c>
      <c r="B3305" s="364" t="s">
        <v>10080</v>
      </c>
      <c r="C3305" s="364" t="s">
        <v>10081</v>
      </c>
      <c r="D3305" s="366" t="s">
        <v>112</v>
      </c>
      <c r="E3305" s="366" t="s">
        <v>10082</v>
      </c>
      <c r="F3305" s="366" t="s">
        <v>10078</v>
      </c>
      <c r="G3305" s="366" t="s">
        <v>10078</v>
      </c>
      <c r="H3305" s="366" t="s">
        <v>13165</v>
      </c>
      <c r="I3305" s="364" t="s">
        <v>13006</v>
      </c>
      <c r="J3305" s="367"/>
      <c r="K3305" s="364"/>
      <c r="L3305" s="364"/>
      <c r="M3305" s="364" t="s">
        <v>10084</v>
      </c>
      <c r="N3305" s="364"/>
      <c r="O3305" s="364" t="s">
        <v>57</v>
      </c>
      <c r="P3305" s="373">
        <v>216923223</v>
      </c>
      <c r="Q3305" s="364"/>
      <c r="R3305" s="364" t="s">
        <v>9997</v>
      </c>
      <c r="S3305" s="340">
        <v>1</v>
      </c>
    </row>
    <row r="3306" spans="1:19" ht="31" x14ac:dyDescent="0.35">
      <c r="A3306" s="349">
        <v>3295</v>
      </c>
      <c r="B3306" s="364" t="s">
        <v>10110</v>
      </c>
      <c r="C3306" s="364" t="s">
        <v>10111</v>
      </c>
      <c r="D3306" s="366" t="s">
        <v>51</v>
      </c>
      <c r="E3306" s="366" t="s">
        <v>10082</v>
      </c>
      <c r="F3306" s="366" t="s">
        <v>10078</v>
      </c>
      <c r="G3306" s="366" t="s">
        <v>10088</v>
      </c>
      <c r="H3306" s="366" t="s">
        <v>15620</v>
      </c>
      <c r="I3306" s="364" t="s">
        <v>13006</v>
      </c>
      <c r="J3306" s="367">
        <v>43244</v>
      </c>
      <c r="K3306" s="364" t="s">
        <v>15612</v>
      </c>
      <c r="L3306" s="364"/>
      <c r="M3306" s="364" t="s">
        <v>10084</v>
      </c>
      <c r="N3306" s="364"/>
      <c r="O3306" s="364" t="s">
        <v>57</v>
      </c>
      <c r="P3306" s="373">
        <v>91368700</v>
      </c>
      <c r="Q3306" s="364" t="s">
        <v>15621</v>
      </c>
      <c r="R3306" s="364" t="s">
        <v>9997</v>
      </c>
      <c r="S3306" s="340">
        <v>1</v>
      </c>
    </row>
    <row r="3307" spans="1:19" ht="93.5" thickBot="1" x14ac:dyDescent="0.4">
      <c r="A3307" s="357">
        <v>3296</v>
      </c>
      <c r="B3307" s="364" t="s">
        <v>10110</v>
      </c>
      <c r="C3307" s="364" t="s">
        <v>10111</v>
      </c>
      <c r="D3307" s="366" t="s">
        <v>97</v>
      </c>
      <c r="E3307" s="366" t="s">
        <v>10082</v>
      </c>
      <c r="F3307" s="366" t="s">
        <v>10078</v>
      </c>
      <c r="G3307" s="366" t="s">
        <v>10088</v>
      </c>
      <c r="H3307" s="366" t="s">
        <v>163</v>
      </c>
      <c r="I3307" s="364" t="s">
        <v>15622</v>
      </c>
      <c r="J3307" s="367"/>
      <c r="K3307" s="364" t="s">
        <v>15623</v>
      </c>
      <c r="L3307" s="364"/>
      <c r="M3307" s="364"/>
      <c r="N3307" s="364"/>
      <c r="O3307" s="364" t="s">
        <v>44</v>
      </c>
      <c r="P3307" s="373">
        <v>633874825</v>
      </c>
      <c r="Q3307" s="364" t="s">
        <v>15624</v>
      </c>
      <c r="R3307" s="364" t="s">
        <v>9997</v>
      </c>
      <c r="S3307" s="340">
        <v>1</v>
      </c>
    </row>
    <row r="3308" spans="1:19" ht="77.5" x14ac:dyDescent="0.35">
      <c r="A3308" s="349">
        <v>3297</v>
      </c>
      <c r="B3308" s="364" t="s">
        <v>10110</v>
      </c>
      <c r="C3308" s="364" t="s">
        <v>10111</v>
      </c>
      <c r="D3308" s="366" t="s">
        <v>101</v>
      </c>
      <c r="E3308" s="366" t="s">
        <v>10082</v>
      </c>
      <c r="F3308" s="366" t="s">
        <v>10078</v>
      </c>
      <c r="G3308" s="366" t="s">
        <v>10088</v>
      </c>
      <c r="H3308" s="366" t="s">
        <v>15591</v>
      </c>
      <c r="I3308" s="364" t="s">
        <v>15622</v>
      </c>
      <c r="J3308" s="367"/>
      <c r="K3308" s="364" t="s">
        <v>15625</v>
      </c>
      <c r="L3308" s="364"/>
      <c r="M3308" s="364"/>
      <c r="N3308" s="364"/>
      <c r="O3308" s="364" t="s">
        <v>44</v>
      </c>
      <c r="P3308" s="373">
        <v>260644980</v>
      </c>
      <c r="Q3308" s="364" t="s">
        <v>15626</v>
      </c>
      <c r="R3308" s="364" t="s">
        <v>9997</v>
      </c>
      <c r="S3308" s="340">
        <v>1</v>
      </c>
    </row>
    <row r="3309" spans="1:19" ht="62.5" thickBot="1" x14ac:dyDescent="0.4">
      <c r="A3309" s="357">
        <v>3298</v>
      </c>
      <c r="B3309" s="364" t="s">
        <v>10085</v>
      </c>
      <c r="C3309" s="364" t="s">
        <v>10086</v>
      </c>
      <c r="D3309" s="366" t="s">
        <v>51</v>
      </c>
      <c r="E3309" s="366" t="s">
        <v>10082</v>
      </c>
      <c r="F3309" s="366" t="s">
        <v>10078</v>
      </c>
      <c r="G3309" s="366" t="s">
        <v>10078</v>
      </c>
      <c r="H3309" s="366" t="s">
        <v>11634</v>
      </c>
      <c r="I3309" s="364" t="s">
        <v>13006</v>
      </c>
      <c r="J3309" s="367">
        <v>41585</v>
      </c>
      <c r="K3309" s="364" t="s">
        <v>15627</v>
      </c>
      <c r="L3309" s="364"/>
      <c r="M3309" s="364" t="s">
        <v>10084</v>
      </c>
      <c r="N3309" s="364"/>
      <c r="O3309" s="364" t="s">
        <v>57</v>
      </c>
      <c r="P3309" s="373">
        <v>137500000</v>
      </c>
      <c r="Q3309" s="364" t="s">
        <v>15628</v>
      </c>
      <c r="R3309" s="364" t="s">
        <v>9997</v>
      </c>
      <c r="S3309" s="340">
        <v>1</v>
      </c>
    </row>
    <row r="3310" spans="1:19" ht="77.5" x14ac:dyDescent="0.35">
      <c r="A3310" s="349">
        <v>3299</v>
      </c>
      <c r="B3310" s="364" t="s">
        <v>11830</v>
      </c>
      <c r="C3310" s="364" t="s">
        <v>11831</v>
      </c>
      <c r="D3310" s="366" t="s">
        <v>51</v>
      </c>
      <c r="E3310" s="366" t="s">
        <v>10082</v>
      </c>
      <c r="F3310" s="366" t="s">
        <v>10078</v>
      </c>
      <c r="G3310" s="366" t="s">
        <v>10078</v>
      </c>
      <c r="H3310" s="366" t="s">
        <v>231</v>
      </c>
      <c r="I3310" s="364" t="s">
        <v>15629</v>
      </c>
      <c r="J3310" s="367">
        <v>43966</v>
      </c>
      <c r="K3310" s="364" t="s">
        <v>15630</v>
      </c>
      <c r="L3310" s="364"/>
      <c r="M3310" s="364" t="s">
        <v>10084</v>
      </c>
      <c r="N3310" s="364"/>
      <c r="O3310" s="364" t="s">
        <v>57</v>
      </c>
      <c r="P3310" s="373">
        <v>418812500</v>
      </c>
      <c r="Q3310" s="364" t="s">
        <v>15631</v>
      </c>
      <c r="R3310" s="364" t="s">
        <v>10000</v>
      </c>
      <c r="S3310" s="340">
        <v>1</v>
      </c>
    </row>
    <row r="3311" spans="1:19" ht="31.5" thickBot="1" x14ac:dyDescent="0.4">
      <c r="A3311" s="357">
        <v>3300</v>
      </c>
      <c r="B3311" s="364" t="s">
        <v>10080</v>
      </c>
      <c r="C3311" s="364" t="s">
        <v>10081</v>
      </c>
      <c r="D3311" s="366" t="s">
        <v>51</v>
      </c>
      <c r="E3311" s="366" t="s">
        <v>10082</v>
      </c>
      <c r="F3311" s="366" t="s">
        <v>10078</v>
      </c>
      <c r="G3311" s="366" t="s">
        <v>10078</v>
      </c>
      <c r="H3311" s="366" t="s">
        <v>11870</v>
      </c>
      <c r="I3311" s="364" t="s">
        <v>15632</v>
      </c>
      <c r="J3311" s="367"/>
      <c r="K3311" s="364"/>
      <c r="L3311" s="364"/>
      <c r="M3311" s="364" t="s">
        <v>10084</v>
      </c>
      <c r="N3311" s="364"/>
      <c r="O3311" s="364" t="s">
        <v>57</v>
      </c>
      <c r="P3311" s="373">
        <v>55460000</v>
      </c>
      <c r="Q3311" s="364"/>
      <c r="R3311" s="364" t="s">
        <v>10000</v>
      </c>
      <c r="S3311" s="340">
        <v>1</v>
      </c>
    </row>
    <row r="3312" spans="1:19" ht="31" x14ac:dyDescent="0.35">
      <c r="A3312" s="349">
        <v>3301</v>
      </c>
      <c r="B3312" s="364" t="s">
        <v>10080</v>
      </c>
      <c r="C3312" s="364" t="s">
        <v>10081</v>
      </c>
      <c r="D3312" s="366" t="s">
        <v>59</v>
      </c>
      <c r="E3312" s="366" t="s">
        <v>10082</v>
      </c>
      <c r="F3312" s="366" t="s">
        <v>10078</v>
      </c>
      <c r="G3312" s="366" t="s">
        <v>10078</v>
      </c>
      <c r="H3312" s="366" t="s">
        <v>8961</v>
      </c>
      <c r="I3312" s="364" t="s">
        <v>15632</v>
      </c>
      <c r="J3312" s="367"/>
      <c r="K3312" s="364"/>
      <c r="L3312" s="364"/>
      <c r="M3312" s="364" t="s">
        <v>10084</v>
      </c>
      <c r="N3312" s="364"/>
      <c r="O3312" s="364" t="s">
        <v>57</v>
      </c>
      <c r="P3312" s="373">
        <v>145582000</v>
      </c>
      <c r="Q3312" s="364"/>
      <c r="R3312" s="364" t="s">
        <v>10000</v>
      </c>
      <c r="S3312" s="340">
        <v>1</v>
      </c>
    </row>
    <row r="3313" spans="1:19" ht="31.5" thickBot="1" x14ac:dyDescent="0.4">
      <c r="A3313" s="357">
        <v>3302</v>
      </c>
      <c r="B3313" s="364" t="s">
        <v>10080</v>
      </c>
      <c r="C3313" s="364" t="s">
        <v>10081</v>
      </c>
      <c r="D3313" s="366" t="s">
        <v>97</v>
      </c>
      <c r="E3313" s="366" t="s">
        <v>10082</v>
      </c>
      <c r="F3313" s="366" t="s">
        <v>10078</v>
      </c>
      <c r="G3313" s="366" t="s">
        <v>10078</v>
      </c>
      <c r="H3313" s="366" t="s">
        <v>12116</v>
      </c>
      <c r="I3313" s="364" t="s">
        <v>15632</v>
      </c>
      <c r="J3313" s="367"/>
      <c r="K3313" s="364"/>
      <c r="L3313" s="364"/>
      <c r="M3313" s="364" t="s">
        <v>10084</v>
      </c>
      <c r="N3313" s="364"/>
      <c r="O3313" s="364" t="s">
        <v>57</v>
      </c>
      <c r="P3313" s="373">
        <v>485273000</v>
      </c>
      <c r="Q3313" s="364"/>
      <c r="R3313" s="364" t="s">
        <v>10000</v>
      </c>
      <c r="S3313" s="340">
        <v>1</v>
      </c>
    </row>
    <row r="3314" spans="1:19" ht="31" x14ac:dyDescent="0.35">
      <c r="A3314" s="349">
        <v>3303</v>
      </c>
      <c r="B3314" s="364" t="s">
        <v>10080</v>
      </c>
      <c r="C3314" s="364" t="s">
        <v>10081</v>
      </c>
      <c r="D3314" s="366" t="s">
        <v>101</v>
      </c>
      <c r="E3314" s="366" t="s">
        <v>10082</v>
      </c>
      <c r="F3314" s="366" t="s">
        <v>10078</v>
      </c>
      <c r="G3314" s="366" t="s">
        <v>10078</v>
      </c>
      <c r="H3314" s="366" t="s">
        <v>5537</v>
      </c>
      <c r="I3314" s="364" t="s">
        <v>15632</v>
      </c>
      <c r="J3314" s="367"/>
      <c r="K3314" s="364"/>
      <c r="L3314" s="364"/>
      <c r="M3314" s="364" t="s">
        <v>10084</v>
      </c>
      <c r="N3314" s="364"/>
      <c r="O3314" s="364" t="s">
        <v>57</v>
      </c>
      <c r="P3314" s="373">
        <v>242637000</v>
      </c>
      <c r="Q3314" s="364"/>
      <c r="R3314" s="364" t="s">
        <v>10000</v>
      </c>
      <c r="S3314" s="340">
        <v>1</v>
      </c>
    </row>
    <row r="3315" spans="1:19" ht="31.5" thickBot="1" x14ac:dyDescent="0.4">
      <c r="A3315" s="357">
        <v>3304</v>
      </c>
      <c r="B3315" s="364" t="s">
        <v>10080</v>
      </c>
      <c r="C3315" s="364" t="s">
        <v>10081</v>
      </c>
      <c r="D3315" s="366" t="s">
        <v>107</v>
      </c>
      <c r="E3315" s="366" t="s">
        <v>10082</v>
      </c>
      <c r="F3315" s="366" t="s">
        <v>10078</v>
      </c>
      <c r="G3315" s="366" t="s">
        <v>10078</v>
      </c>
      <c r="H3315" s="366" t="s">
        <v>14053</v>
      </c>
      <c r="I3315" s="364" t="s">
        <v>15632</v>
      </c>
      <c r="J3315" s="367"/>
      <c r="K3315" s="364"/>
      <c r="L3315" s="364"/>
      <c r="M3315" s="364" t="s">
        <v>10084</v>
      </c>
      <c r="N3315" s="364"/>
      <c r="O3315" s="364" t="s">
        <v>57</v>
      </c>
      <c r="P3315" s="373">
        <v>436746000</v>
      </c>
      <c r="Q3315" s="364"/>
      <c r="R3315" s="364" t="s">
        <v>10000</v>
      </c>
      <c r="S3315" s="340">
        <v>1</v>
      </c>
    </row>
    <row r="3316" spans="1:19" ht="31" x14ac:dyDescent="0.35">
      <c r="A3316" s="349">
        <v>3305</v>
      </c>
      <c r="B3316" s="364" t="s">
        <v>10080</v>
      </c>
      <c r="C3316" s="364" t="s">
        <v>10081</v>
      </c>
      <c r="D3316" s="366" t="s">
        <v>112</v>
      </c>
      <c r="E3316" s="366" t="s">
        <v>10082</v>
      </c>
      <c r="F3316" s="366" t="s">
        <v>10078</v>
      </c>
      <c r="G3316" s="366" t="s">
        <v>10078</v>
      </c>
      <c r="H3316" s="366" t="s">
        <v>8961</v>
      </c>
      <c r="I3316" s="364" t="s">
        <v>15632</v>
      </c>
      <c r="J3316" s="367"/>
      <c r="K3316" s="364"/>
      <c r="L3316" s="364"/>
      <c r="M3316" s="364" t="s">
        <v>10084</v>
      </c>
      <c r="N3316" s="364"/>
      <c r="O3316" s="364" t="s">
        <v>57</v>
      </c>
      <c r="P3316" s="373">
        <v>145582000</v>
      </c>
      <c r="Q3316" s="364"/>
      <c r="R3316" s="364" t="s">
        <v>10000</v>
      </c>
      <c r="S3316" s="340">
        <v>1</v>
      </c>
    </row>
    <row r="3317" spans="1:19" ht="31.5" thickBot="1" x14ac:dyDescent="0.4">
      <c r="A3317" s="357">
        <v>3306</v>
      </c>
      <c r="B3317" s="364" t="s">
        <v>10080</v>
      </c>
      <c r="C3317" s="364" t="s">
        <v>10081</v>
      </c>
      <c r="D3317" s="366" t="s">
        <v>116</v>
      </c>
      <c r="E3317" s="366" t="s">
        <v>10082</v>
      </c>
      <c r="F3317" s="366" t="s">
        <v>10078</v>
      </c>
      <c r="G3317" s="366" t="s">
        <v>10078</v>
      </c>
      <c r="H3317" s="366" t="s">
        <v>8961</v>
      </c>
      <c r="I3317" s="364" t="s">
        <v>15632</v>
      </c>
      <c r="J3317" s="367"/>
      <c r="K3317" s="364"/>
      <c r="L3317" s="364"/>
      <c r="M3317" s="364" t="s">
        <v>10084</v>
      </c>
      <c r="N3317" s="364"/>
      <c r="O3317" s="364" t="s">
        <v>57</v>
      </c>
      <c r="P3317" s="373">
        <v>145582000</v>
      </c>
      <c r="Q3317" s="364"/>
      <c r="R3317" s="364" t="s">
        <v>10000</v>
      </c>
      <c r="S3317" s="340">
        <v>1</v>
      </c>
    </row>
    <row r="3318" spans="1:19" ht="31" x14ac:dyDescent="0.35">
      <c r="A3318" s="349">
        <v>3307</v>
      </c>
      <c r="B3318" s="364" t="s">
        <v>10080</v>
      </c>
      <c r="C3318" s="364" t="s">
        <v>10081</v>
      </c>
      <c r="D3318" s="366" t="s">
        <v>841</v>
      </c>
      <c r="E3318" s="366" t="s">
        <v>10082</v>
      </c>
      <c r="F3318" s="366" t="s">
        <v>10078</v>
      </c>
      <c r="G3318" s="366" t="s">
        <v>10078</v>
      </c>
      <c r="H3318" s="366" t="s">
        <v>2972</v>
      </c>
      <c r="I3318" s="364" t="s">
        <v>15632</v>
      </c>
      <c r="J3318" s="367"/>
      <c r="K3318" s="364"/>
      <c r="L3318" s="364"/>
      <c r="M3318" s="364" t="s">
        <v>10084</v>
      </c>
      <c r="N3318" s="364"/>
      <c r="O3318" s="364" t="s">
        <v>57</v>
      </c>
      <c r="P3318" s="373">
        <v>54000000</v>
      </c>
      <c r="Q3318" s="364"/>
      <c r="R3318" s="364" t="s">
        <v>10000</v>
      </c>
      <c r="S3318" s="340">
        <v>1</v>
      </c>
    </row>
    <row r="3319" spans="1:19" ht="31.5" thickBot="1" x14ac:dyDescent="0.4">
      <c r="A3319" s="357">
        <v>3308</v>
      </c>
      <c r="B3319" s="364" t="s">
        <v>10110</v>
      </c>
      <c r="C3319" s="364" t="s">
        <v>10111</v>
      </c>
      <c r="D3319" s="366" t="s">
        <v>51</v>
      </c>
      <c r="E3319" s="366" t="s">
        <v>10082</v>
      </c>
      <c r="F3319" s="366" t="s">
        <v>10078</v>
      </c>
      <c r="G3319" s="366" t="s">
        <v>10078</v>
      </c>
      <c r="H3319" s="366" t="s">
        <v>12103</v>
      </c>
      <c r="I3319" s="364" t="s">
        <v>15632</v>
      </c>
      <c r="J3319" s="367"/>
      <c r="K3319" s="364"/>
      <c r="L3319" s="364"/>
      <c r="M3319" s="364" t="s">
        <v>10084</v>
      </c>
      <c r="N3319" s="364"/>
      <c r="O3319" s="364" t="s">
        <v>57</v>
      </c>
      <c r="P3319" s="373">
        <v>36973000</v>
      </c>
      <c r="Q3319" s="364"/>
      <c r="R3319" s="364" t="s">
        <v>10000</v>
      </c>
      <c r="S3319" s="340">
        <v>1</v>
      </c>
    </row>
    <row r="3320" spans="1:19" ht="31" x14ac:dyDescent="0.35">
      <c r="A3320" s="349">
        <v>3309</v>
      </c>
      <c r="B3320" s="364" t="s">
        <v>10092</v>
      </c>
      <c r="C3320" s="364" t="s">
        <v>10093</v>
      </c>
      <c r="D3320" s="366" t="s">
        <v>51</v>
      </c>
      <c r="E3320" s="366" t="s">
        <v>10082</v>
      </c>
      <c r="F3320" s="366" t="s">
        <v>10078</v>
      </c>
      <c r="G3320" s="366" t="s">
        <v>10078</v>
      </c>
      <c r="H3320" s="366" t="s">
        <v>2972</v>
      </c>
      <c r="I3320" s="364" t="s">
        <v>15632</v>
      </c>
      <c r="J3320" s="367">
        <v>42675</v>
      </c>
      <c r="K3320" s="364" t="s">
        <v>15633</v>
      </c>
      <c r="L3320" s="364"/>
      <c r="M3320" s="364" t="s">
        <v>10084</v>
      </c>
      <c r="N3320" s="364"/>
      <c r="O3320" s="364" t="s">
        <v>57</v>
      </c>
      <c r="P3320" s="373">
        <v>252000000</v>
      </c>
      <c r="Q3320" s="364" t="s">
        <v>15634</v>
      </c>
      <c r="R3320" s="364" t="s">
        <v>10000</v>
      </c>
      <c r="S3320" s="340">
        <v>1</v>
      </c>
    </row>
    <row r="3321" spans="1:19" ht="31.5" thickBot="1" x14ac:dyDescent="0.4">
      <c r="A3321" s="357">
        <v>3310</v>
      </c>
      <c r="B3321" s="364" t="s">
        <v>10085</v>
      </c>
      <c r="C3321" s="364" t="s">
        <v>10086</v>
      </c>
      <c r="D3321" s="366" t="s">
        <v>51</v>
      </c>
      <c r="E3321" s="366" t="s">
        <v>10082</v>
      </c>
      <c r="F3321" s="366" t="s">
        <v>10078</v>
      </c>
      <c r="G3321" s="366" t="s">
        <v>10078</v>
      </c>
      <c r="H3321" s="366" t="s">
        <v>2972</v>
      </c>
      <c r="I3321" s="364" t="s">
        <v>15632</v>
      </c>
      <c r="J3321" s="367"/>
      <c r="K3321" s="364"/>
      <c r="L3321" s="364"/>
      <c r="M3321" s="364" t="s">
        <v>10084</v>
      </c>
      <c r="N3321" s="364"/>
      <c r="O3321" s="364" t="s">
        <v>57</v>
      </c>
      <c r="P3321" s="373">
        <v>125800000</v>
      </c>
      <c r="Q3321" s="364"/>
      <c r="R3321" s="364" t="s">
        <v>10000</v>
      </c>
      <c r="S3321" s="340">
        <v>1</v>
      </c>
    </row>
    <row r="3322" spans="1:19" ht="31" x14ac:dyDescent="0.35">
      <c r="A3322" s="349">
        <v>3311</v>
      </c>
      <c r="B3322" s="364" t="s">
        <v>10085</v>
      </c>
      <c r="C3322" s="364" t="s">
        <v>10086</v>
      </c>
      <c r="D3322" s="366" t="s">
        <v>59</v>
      </c>
      <c r="E3322" s="366" t="s">
        <v>10082</v>
      </c>
      <c r="F3322" s="366" t="s">
        <v>10078</v>
      </c>
      <c r="G3322" s="366" t="s">
        <v>10078</v>
      </c>
      <c r="H3322" s="366" t="s">
        <v>11634</v>
      </c>
      <c r="I3322" s="364" t="s">
        <v>13103</v>
      </c>
      <c r="J3322" s="367">
        <v>41585</v>
      </c>
      <c r="K3322" s="364" t="s">
        <v>15635</v>
      </c>
      <c r="L3322" s="364"/>
      <c r="M3322" s="364" t="s">
        <v>10084</v>
      </c>
      <c r="N3322" s="364"/>
      <c r="O3322" s="364" t="s">
        <v>57</v>
      </c>
      <c r="P3322" s="373">
        <v>137500000</v>
      </c>
      <c r="Q3322" s="364" t="s">
        <v>15636</v>
      </c>
      <c r="R3322" s="364" t="s">
        <v>10000</v>
      </c>
      <c r="S3322" s="340">
        <v>1</v>
      </c>
    </row>
    <row r="3323" spans="1:19" ht="31.5" thickBot="1" x14ac:dyDescent="0.4">
      <c r="A3323" s="357">
        <v>3312</v>
      </c>
      <c r="B3323" s="364" t="s">
        <v>10085</v>
      </c>
      <c r="C3323" s="364" t="s">
        <v>10086</v>
      </c>
      <c r="D3323" s="366" t="s">
        <v>97</v>
      </c>
      <c r="E3323" s="366" t="s">
        <v>10082</v>
      </c>
      <c r="F3323" s="366" t="s">
        <v>10078</v>
      </c>
      <c r="G3323" s="366" t="s">
        <v>10078</v>
      </c>
      <c r="H3323" s="366" t="s">
        <v>11421</v>
      </c>
      <c r="I3323" s="364" t="s">
        <v>15632</v>
      </c>
      <c r="J3323" s="367"/>
      <c r="K3323" s="364"/>
      <c r="L3323" s="364"/>
      <c r="M3323" s="364" t="s">
        <v>10084</v>
      </c>
      <c r="N3323" s="364"/>
      <c r="O3323" s="364" t="s">
        <v>57</v>
      </c>
      <c r="P3323" s="373">
        <v>103987000</v>
      </c>
      <c r="Q3323" s="364"/>
      <c r="R3323" s="364" t="s">
        <v>10000</v>
      </c>
      <c r="S3323" s="340">
        <v>1</v>
      </c>
    </row>
    <row r="3324" spans="1:19" ht="31" x14ac:dyDescent="0.35">
      <c r="A3324" s="349">
        <v>3313</v>
      </c>
      <c r="B3324" s="364" t="s">
        <v>10085</v>
      </c>
      <c r="C3324" s="364" t="s">
        <v>10086</v>
      </c>
      <c r="D3324" s="366" t="s">
        <v>101</v>
      </c>
      <c r="E3324" s="366" t="s">
        <v>10082</v>
      </c>
      <c r="F3324" s="366" t="s">
        <v>10078</v>
      </c>
      <c r="G3324" s="366" t="s">
        <v>10078</v>
      </c>
      <c r="H3324" s="366" t="s">
        <v>11421</v>
      </c>
      <c r="I3324" s="364" t="s">
        <v>15632</v>
      </c>
      <c r="J3324" s="367"/>
      <c r="K3324" s="364"/>
      <c r="L3324" s="364"/>
      <c r="M3324" s="364" t="s">
        <v>10084</v>
      </c>
      <c r="N3324" s="364"/>
      <c r="O3324" s="364" t="s">
        <v>57</v>
      </c>
      <c r="P3324" s="373">
        <v>103987000</v>
      </c>
      <c r="Q3324" s="364"/>
      <c r="R3324" s="364" t="s">
        <v>10000</v>
      </c>
      <c r="S3324" s="340">
        <v>1</v>
      </c>
    </row>
    <row r="3325" spans="1:19" ht="31.5" thickBot="1" x14ac:dyDescent="0.4">
      <c r="A3325" s="357">
        <v>3314</v>
      </c>
      <c r="B3325" s="364" t="s">
        <v>10085</v>
      </c>
      <c r="C3325" s="364" t="s">
        <v>10086</v>
      </c>
      <c r="D3325" s="366" t="s">
        <v>107</v>
      </c>
      <c r="E3325" s="366" t="s">
        <v>10082</v>
      </c>
      <c r="F3325" s="366" t="s">
        <v>10078</v>
      </c>
      <c r="G3325" s="366" t="s">
        <v>10078</v>
      </c>
      <c r="H3325" s="366" t="s">
        <v>2972</v>
      </c>
      <c r="I3325" s="364" t="s">
        <v>15632</v>
      </c>
      <c r="J3325" s="367">
        <v>39969</v>
      </c>
      <c r="K3325" s="364" t="s">
        <v>15637</v>
      </c>
      <c r="L3325" s="364"/>
      <c r="M3325" s="364" t="s">
        <v>10084</v>
      </c>
      <c r="N3325" s="364"/>
      <c r="O3325" s="364" t="s">
        <v>422</v>
      </c>
      <c r="P3325" s="373">
        <v>251171950</v>
      </c>
      <c r="Q3325" s="364" t="s">
        <v>15638</v>
      </c>
      <c r="R3325" s="364" t="s">
        <v>10000</v>
      </c>
      <c r="S3325" s="340">
        <v>1</v>
      </c>
    </row>
    <row r="3326" spans="1:19" ht="46.5" x14ac:dyDescent="0.35">
      <c r="A3326" s="349">
        <v>3315</v>
      </c>
      <c r="B3326" s="364" t="s">
        <v>10146</v>
      </c>
      <c r="C3326" s="364" t="s">
        <v>10147</v>
      </c>
      <c r="D3326" s="366" t="s">
        <v>51</v>
      </c>
      <c r="E3326" s="366" t="s">
        <v>10082</v>
      </c>
      <c r="F3326" s="366" t="s">
        <v>10078</v>
      </c>
      <c r="G3326" s="366" t="s">
        <v>10078</v>
      </c>
      <c r="H3326" s="366" t="s">
        <v>8961</v>
      </c>
      <c r="I3326" s="364" t="s">
        <v>15629</v>
      </c>
      <c r="J3326" s="367">
        <v>43689</v>
      </c>
      <c r="K3326" s="364" t="s">
        <v>15639</v>
      </c>
      <c r="L3326" s="364"/>
      <c r="M3326" s="364" t="s">
        <v>10084</v>
      </c>
      <c r="N3326" s="364"/>
      <c r="O3326" s="364" t="s">
        <v>57</v>
      </c>
      <c r="P3326" s="373">
        <v>221623000</v>
      </c>
      <c r="Q3326" s="364" t="s">
        <v>15640</v>
      </c>
      <c r="R3326" s="364" t="s">
        <v>10000</v>
      </c>
      <c r="S3326" s="340">
        <v>1</v>
      </c>
    </row>
    <row r="3327" spans="1:19" ht="31.5" thickBot="1" x14ac:dyDescent="0.4">
      <c r="A3327" s="357">
        <v>3316</v>
      </c>
      <c r="B3327" s="364" t="s">
        <v>15547</v>
      </c>
      <c r="C3327" s="364" t="s">
        <v>15548</v>
      </c>
      <c r="D3327" s="366" t="s">
        <v>51</v>
      </c>
      <c r="E3327" s="366" t="s">
        <v>10082</v>
      </c>
      <c r="F3327" s="366" t="s">
        <v>10078</v>
      </c>
      <c r="G3327" s="366" t="s">
        <v>10078</v>
      </c>
      <c r="H3327" s="366" t="s">
        <v>2972</v>
      </c>
      <c r="I3327" s="364" t="s">
        <v>15632</v>
      </c>
      <c r="J3327" s="367"/>
      <c r="K3327" s="364"/>
      <c r="L3327" s="364"/>
      <c r="M3327" s="364" t="s">
        <v>10084</v>
      </c>
      <c r="N3327" s="364"/>
      <c r="O3327" s="364" t="s">
        <v>57</v>
      </c>
      <c r="P3327" s="373">
        <v>110006000</v>
      </c>
      <c r="Q3327" s="364" t="s">
        <v>15550</v>
      </c>
      <c r="R3327" s="364" t="s">
        <v>10000</v>
      </c>
      <c r="S3327" s="340">
        <v>1</v>
      </c>
    </row>
    <row r="3328" spans="1:19" ht="31" x14ac:dyDescent="0.35">
      <c r="A3328" s="349">
        <v>3317</v>
      </c>
      <c r="B3328" s="364" t="s">
        <v>15547</v>
      </c>
      <c r="C3328" s="364" t="s">
        <v>15548</v>
      </c>
      <c r="D3328" s="366" t="s">
        <v>59</v>
      </c>
      <c r="E3328" s="366" t="s">
        <v>10082</v>
      </c>
      <c r="F3328" s="366" t="s">
        <v>10078</v>
      </c>
      <c r="G3328" s="366" t="s">
        <v>10078</v>
      </c>
      <c r="H3328" s="366" t="s">
        <v>2972</v>
      </c>
      <c r="I3328" s="364" t="s">
        <v>15632</v>
      </c>
      <c r="J3328" s="367"/>
      <c r="K3328" s="364"/>
      <c r="L3328" s="364"/>
      <c r="M3328" s="364" t="s">
        <v>10084</v>
      </c>
      <c r="N3328" s="364"/>
      <c r="O3328" s="364" t="s">
        <v>57</v>
      </c>
      <c r="P3328" s="373">
        <v>110181000</v>
      </c>
      <c r="Q3328" s="364" t="s">
        <v>15549</v>
      </c>
      <c r="R3328" s="364" t="s">
        <v>10000</v>
      </c>
      <c r="S3328" s="340">
        <v>1</v>
      </c>
    </row>
    <row r="3329" spans="1:19" ht="31.5" thickBot="1" x14ac:dyDescent="0.4">
      <c r="A3329" s="357">
        <v>3318</v>
      </c>
      <c r="B3329" s="364" t="s">
        <v>10155</v>
      </c>
      <c r="C3329" s="364" t="s">
        <v>10156</v>
      </c>
      <c r="D3329" s="366" t="s">
        <v>51</v>
      </c>
      <c r="E3329" s="366" t="s">
        <v>10082</v>
      </c>
      <c r="F3329" s="366" t="s">
        <v>10078</v>
      </c>
      <c r="G3329" s="366" t="s">
        <v>10078</v>
      </c>
      <c r="H3329" s="366" t="s">
        <v>12157</v>
      </c>
      <c r="I3329" s="364" t="s">
        <v>13242</v>
      </c>
      <c r="J3329" s="367"/>
      <c r="K3329" s="364"/>
      <c r="L3329" s="364"/>
      <c r="M3329" s="364" t="s">
        <v>10084</v>
      </c>
      <c r="N3329" s="364"/>
      <c r="O3329" s="364" t="s">
        <v>57</v>
      </c>
      <c r="P3329" s="373">
        <v>118177000</v>
      </c>
      <c r="Q3329" s="364"/>
      <c r="R3329" s="364" t="s">
        <v>10001</v>
      </c>
      <c r="S3329" s="340">
        <v>1</v>
      </c>
    </row>
    <row r="3330" spans="1:19" ht="31" x14ac:dyDescent="0.35">
      <c r="A3330" s="349">
        <v>3319</v>
      </c>
      <c r="B3330" s="364" t="s">
        <v>10541</v>
      </c>
      <c r="C3330" s="364" t="s">
        <v>10542</v>
      </c>
      <c r="D3330" s="366" t="s">
        <v>51</v>
      </c>
      <c r="E3330" s="366" t="s">
        <v>10082</v>
      </c>
      <c r="F3330" s="366" t="s">
        <v>10078</v>
      </c>
      <c r="G3330" s="366" t="s">
        <v>10078</v>
      </c>
      <c r="H3330" s="366" t="s">
        <v>11297</v>
      </c>
      <c r="I3330" s="364" t="s">
        <v>13242</v>
      </c>
      <c r="J3330" s="367"/>
      <c r="K3330" s="364"/>
      <c r="L3330" s="364"/>
      <c r="M3330" s="364" t="s">
        <v>10084</v>
      </c>
      <c r="N3330" s="364"/>
      <c r="O3330" s="364" t="s">
        <v>57</v>
      </c>
      <c r="P3330" s="373">
        <v>98481000</v>
      </c>
      <c r="Q3330" s="364"/>
      <c r="R3330" s="364" t="s">
        <v>10001</v>
      </c>
      <c r="S3330" s="340">
        <v>1</v>
      </c>
    </row>
    <row r="3331" spans="1:19" ht="31.5" thickBot="1" x14ac:dyDescent="0.4">
      <c r="A3331" s="357">
        <v>3320</v>
      </c>
      <c r="B3331" s="364" t="s">
        <v>11830</v>
      </c>
      <c r="C3331" s="364" t="s">
        <v>11831</v>
      </c>
      <c r="D3331" s="366" t="s">
        <v>51</v>
      </c>
      <c r="E3331" s="366" t="s">
        <v>10082</v>
      </c>
      <c r="F3331" s="366" t="s">
        <v>10078</v>
      </c>
      <c r="G3331" s="366" t="s">
        <v>10078</v>
      </c>
      <c r="H3331" s="366" t="s">
        <v>12157</v>
      </c>
      <c r="I3331" s="364" t="s">
        <v>13242</v>
      </c>
      <c r="J3331" s="367"/>
      <c r="K3331" s="364"/>
      <c r="L3331" s="364"/>
      <c r="M3331" s="364" t="s">
        <v>10084</v>
      </c>
      <c r="N3331" s="364"/>
      <c r="O3331" s="364" t="s">
        <v>57</v>
      </c>
      <c r="P3331" s="373">
        <v>118177000</v>
      </c>
      <c r="Q3331" s="364"/>
      <c r="R3331" s="364" t="s">
        <v>10001</v>
      </c>
      <c r="S3331" s="340">
        <v>1</v>
      </c>
    </row>
    <row r="3332" spans="1:19" ht="31" x14ac:dyDescent="0.35">
      <c r="A3332" s="349">
        <v>3321</v>
      </c>
      <c r="B3332" s="364" t="s">
        <v>10080</v>
      </c>
      <c r="C3332" s="364" t="s">
        <v>10081</v>
      </c>
      <c r="D3332" s="366" t="s">
        <v>51</v>
      </c>
      <c r="E3332" s="366" t="s">
        <v>10082</v>
      </c>
      <c r="F3332" s="366" t="s">
        <v>10078</v>
      </c>
      <c r="G3332" s="366" t="s">
        <v>10078</v>
      </c>
      <c r="H3332" s="366" t="s">
        <v>3405</v>
      </c>
      <c r="I3332" s="364" t="s">
        <v>13242</v>
      </c>
      <c r="J3332" s="367"/>
      <c r="K3332" s="364"/>
      <c r="L3332" s="364"/>
      <c r="M3332" s="364" t="s">
        <v>10084</v>
      </c>
      <c r="N3332" s="364"/>
      <c r="O3332" s="364" t="s">
        <v>57</v>
      </c>
      <c r="P3332" s="373">
        <v>236354000</v>
      </c>
      <c r="Q3332" s="364"/>
      <c r="R3332" s="364" t="s">
        <v>10001</v>
      </c>
      <c r="S3332" s="340">
        <v>1</v>
      </c>
    </row>
    <row r="3333" spans="1:19" ht="31.5" thickBot="1" x14ac:dyDescent="0.4">
      <c r="A3333" s="357">
        <v>3322</v>
      </c>
      <c r="B3333" s="364" t="s">
        <v>10080</v>
      </c>
      <c r="C3333" s="364" t="s">
        <v>10081</v>
      </c>
      <c r="D3333" s="366" t="s">
        <v>59</v>
      </c>
      <c r="E3333" s="366" t="s">
        <v>10082</v>
      </c>
      <c r="F3333" s="366" t="s">
        <v>10078</v>
      </c>
      <c r="G3333" s="366" t="s">
        <v>10078</v>
      </c>
      <c r="H3333" s="366" t="s">
        <v>13157</v>
      </c>
      <c r="I3333" s="364" t="s">
        <v>13242</v>
      </c>
      <c r="J3333" s="367"/>
      <c r="K3333" s="364"/>
      <c r="L3333" s="364"/>
      <c r="M3333" s="364" t="s">
        <v>10084</v>
      </c>
      <c r="N3333" s="364"/>
      <c r="O3333" s="364" t="s">
        <v>57</v>
      </c>
      <c r="P3333" s="373">
        <v>354532000</v>
      </c>
      <c r="Q3333" s="364"/>
      <c r="R3333" s="364" t="s">
        <v>10001</v>
      </c>
      <c r="S3333" s="340">
        <v>1</v>
      </c>
    </row>
    <row r="3334" spans="1:19" ht="31" x14ac:dyDescent="0.35">
      <c r="A3334" s="349">
        <v>3323</v>
      </c>
      <c r="B3334" s="364" t="s">
        <v>10080</v>
      </c>
      <c r="C3334" s="364" t="s">
        <v>10081</v>
      </c>
      <c r="D3334" s="366" t="s">
        <v>97</v>
      </c>
      <c r="E3334" s="366" t="s">
        <v>10082</v>
      </c>
      <c r="F3334" s="366" t="s">
        <v>10078</v>
      </c>
      <c r="G3334" s="366" t="s">
        <v>10088</v>
      </c>
      <c r="H3334" s="366" t="s">
        <v>12157</v>
      </c>
      <c r="I3334" s="364" t="s">
        <v>13317</v>
      </c>
      <c r="J3334" s="367">
        <v>41904</v>
      </c>
      <c r="K3334" s="364" t="s">
        <v>15641</v>
      </c>
      <c r="L3334" s="364"/>
      <c r="M3334" s="364" t="s">
        <v>10084</v>
      </c>
      <c r="N3334" s="364"/>
      <c r="O3334" s="364" t="s">
        <v>57</v>
      </c>
      <c r="P3334" s="373">
        <v>137981200</v>
      </c>
      <c r="Q3334" s="364" t="s">
        <v>15642</v>
      </c>
      <c r="R3334" s="364" t="s">
        <v>10001</v>
      </c>
      <c r="S3334" s="340">
        <v>1</v>
      </c>
    </row>
    <row r="3335" spans="1:19" ht="31.5" thickBot="1" x14ac:dyDescent="0.4">
      <c r="A3335" s="357">
        <v>3324</v>
      </c>
      <c r="B3335" s="364" t="s">
        <v>10080</v>
      </c>
      <c r="C3335" s="364" t="s">
        <v>10081</v>
      </c>
      <c r="D3335" s="366" t="s">
        <v>101</v>
      </c>
      <c r="E3335" s="366" t="s">
        <v>10082</v>
      </c>
      <c r="F3335" s="366" t="s">
        <v>10078</v>
      </c>
      <c r="G3335" s="366" t="s">
        <v>10078</v>
      </c>
      <c r="H3335" s="366" t="s">
        <v>13157</v>
      </c>
      <c r="I3335" s="364" t="s">
        <v>13242</v>
      </c>
      <c r="J3335" s="367"/>
      <c r="K3335" s="364"/>
      <c r="L3335" s="364"/>
      <c r="M3335" s="364" t="s">
        <v>10084</v>
      </c>
      <c r="N3335" s="364"/>
      <c r="O3335" s="364" t="s">
        <v>57</v>
      </c>
      <c r="P3335" s="373">
        <v>354532000</v>
      </c>
      <c r="Q3335" s="364"/>
      <c r="R3335" s="364" t="s">
        <v>10001</v>
      </c>
      <c r="S3335" s="340">
        <v>1</v>
      </c>
    </row>
    <row r="3336" spans="1:19" ht="46.5" x14ac:dyDescent="0.35">
      <c r="A3336" s="349">
        <v>3325</v>
      </c>
      <c r="B3336" s="364" t="s">
        <v>10080</v>
      </c>
      <c r="C3336" s="364" t="s">
        <v>10081</v>
      </c>
      <c r="D3336" s="366" t="s">
        <v>107</v>
      </c>
      <c r="E3336" s="366" t="s">
        <v>10082</v>
      </c>
      <c r="F3336" s="366" t="s">
        <v>10078</v>
      </c>
      <c r="G3336" s="366" t="s">
        <v>10088</v>
      </c>
      <c r="H3336" s="366" t="s">
        <v>12266</v>
      </c>
      <c r="I3336" s="364" t="s">
        <v>13317</v>
      </c>
      <c r="J3336" s="367">
        <v>42263</v>
      </c>
      <c r="K3336" s="364" t="s">
        <v>15643</v>
      </c>
      <c r="L3336" s="364"/>
      <c r="M3336" s="364" t="s">
        <v>10084</v>
      </c>
      <c r="N3336" s="364"/>
      <c r="O3336" s="364" t="s">
        <v>57</v>
      </c>
      <c r="P3336" s="373">
        <v>357000000</v>
      </c>
      <c r="Q3336" s="364" t="s">
        <v>15644</v>
      </c>
      <c r="R3336" s="364" t="s">
        <v>10001</v>
      </c>
      <c r="S3336" s="340">
        <v>1</v>
      </c>
    </row>
    <row r="3337" spans="1:19" ht="31.5" thickBot="1" x14ac:dyDescent="0.4">
      <c r="A3337" s="357">
        <v>3326</v>
      </c>
      <c r="B3337" s="364" t="s">
        <v>10110</v>
      </c>
      <c r="C3337" s="364" t="s">
        <v>10111</v>
      </c>
      <c r="D3337" s="366" t="s">
        <v>51</v>
      </c>
      <c r="E3337" s="366" t="s">
        <v>10082</v>
      </c>
      <c r="F3337" s="366" t="s">
        <v>10078</v>
      </c>
      <c r="G3337" s="366" t="s">
        <v>10088</v>
      </c>
      <c r="H3337" s="366" t="s">
        <v>11328</v>
      </c>
      <c r="I3337" s="364" t="s">
        <v>13317</v>
      </c>
      <c r="J3337" s="367">
        <v>43290</v>
      </c>
      <c r="K3337" s="364" t="s">
        <v>15645</v>
      </c>
      <c r="L3337" s="364"/>
      <c r="M3337" s="364" t="s">
        <v>10084</v>
      </c>
      <c r="N3337" s="364"/>
      <c r="O3337" s="364" t="s">
        <v>57</v>
      </c>
      <c r="P3337" s="373">
        <v>88032000</v>
      </c>
      <c r="Q3337" s="364" t="s">
        <v>15646</v>
      </c>
      <c r="R3337" s="364" t="s">
        <v>10001</v>
      </c>
      <c r="S3337" s="340">
        <v>1</v>
      </c>
    </row>
    <row r="3338" spans="1:19" ht="77.5" x14ac:dyDescent="0.35">
      <c r="A3338" s="349">
        <v>3327</v>
      </c>
      <c r="B3338" s="364" t="s">
        <v>10110</v>
      </c>
      <c r="C3338" s="364" t="s">
        <v>10111</v>
      </c>
      <c r="D3338" s="366" t="s">
        <v>59</v>
      </c>
      <c r="E3338" s="366" t="s">
        <v>10082</v>
      </c>
      <c r="F3338" s="366" t="s">
        <v>10078</v>
      </c>
      <c r="G3338" s="366" t="s">
        <v>10088</v>
      </c>
      <c r="H3338" s="366" t="s">
        <v>11409</v>
      </c>
      <c r="I3338" s="364" t="s">
        <v>15647</v>
      </c>
      <c r="J3338" s="367"/>
      <c r="K3338" s="364" t="s">
        <v>15648</v>
      </c>
      <c r="L3338" s="364"/>
      <c r="M3338" s="364"/>
      <c r="N3338" s="364"/>
      <c r="O3338" s="364" t="s">
        <v>44</v>
      </c>
      <c r="P3338" s="373">
        <v>527583199.99999994</v>
      </c>
      <c r="Q3338" s="364" t="s">
        <v>15649</v>
      </c>
      <c r="R3338" s="364" t="s">
        <v>10001</v>
      </c>
      <c r="S3338" s="340">
        <v>1</v>
      </c>
    </row>
    <row r="3339" spans="1:19" ht="78" thickBot="1" x14ac:dyDescent="0.4">
      <c r="A3339" s="357">
        <v>3328</v>
      </c>
      <c r="B3339" s="364" t="s">
        <v>10110</v>
      </c>
      <c r="C3339" s="364" t="s">
        <v>10111</v>
      </c>
      <c r="D3339" s="366" t="s">
        <v>97</v>
      </c>
      <c r="E3339" s="366" t="s">
        <v>10082</v>
      </c>
      <c r="F3339" s="366" t="s">
        <v>10078</v>
      </c>
      <c r="G3339" s="366" t="s">
        <v>10088</v>
      </c>
      <c r="H3339" s="366" t="s">
        <v>13337</v>
      </c>
      <c r="I3339" s="364" t="s">
        <v>15647</v>
      </c>
      <c r="J3339" s="367"/>
      <c r="K3339" s="364" t="s">
        <v>15650</v>
      </c>
      <c r="L3339" s="364"/>
      <c r="M3339" s="364"/>
      <c r="N3339" s="364"/>
      <c r="O3339" s="364" t="s">
        <v>44</v>
      </c>
      <c r="P3339" s="373">
        <v>258238820</v>
      </c>
      <c r="Q3339" s="364" t="s">
        <v>15651</v>
      </c>
      <c r="R3339" s="364" t="s">
        <v>10001</v>
      </c>
      <c r="S3339" s="340">
        <v>1</v>
      </c>
    </row>
    <row r="3340" spans="1:19" ht="31" x14ac:dyDescent="0.35">
      <c r="A3340" s="349">
        <v>3329</v>
      </c>
      <c r="B3340" s="364" t="s">
        <v>10092</v>
      </c>
      <c r="C3340" s="364" t="s">
        <v>10093</v>
      </c>
      <c r="D3340" s="366" t="s">
        <v>51</v>
      </c>
      <c r="E3340" s="366" t="s">
        <v>10082</v>
      </c>
      <c r="F3340" s="366" t="s">
        <v>10078</v>
      </c>
      <c r="G3340" s="366" t="s">
        <v>10078</v>
      </c>
      <c r="H3340" s="366" t="s">
        <v>12157</v>
      </c>
      <c r="I3340" s="364" t="s">
        <v>13242</v>
      </c>
      <c r="J3340" s="367"/>
      <c r="K3340" s="364"/>
      <c r="L3340" s="364"/>
      <c r="M3340" s="364" t="s">
        <v>10084</v>
      </c>
      <c r="N3340" s="364"/>
      <c r="O3340" s="364" t="s">
        <v>57</v>
      </c>
      <c r="P3340" s="373">
        <v>118177000</v>
      </c>
      <c r="Q3340" s="364"/>
      <c r="R3340" s="364" t="s">
        <v>10001</v>
      </c>
      <c r="S3340" s="340">
        <v>1</v>
      </c>
    </row>
    <row r="3341" spans="1:19" ht="31.5" thickBot="1" x14ac:dyDescent="0.4">
      <c r="A3341" s="357">
        <v>3330</v>
      </c>
      <c r="B3341" s="364" t="s">
        <v>10092</v>
      </c>
      <c r="C3341" s="364" t="s">
        <v>10093</v>
      </c>
      <c r="D3341" s="366" t="s">
        <v>59</v>
      </c>
      <c r="E3341" s="366" t="s">
        <v>10082</v>
      </c>
      <c r="F3341" s="366" t="s">
        <v>10078</v>
      </c>
      <c r="G3341" s="366" t="s">
        <v>10078</v>
      </c>
      <c r="H3341" s="366" t="s">
        <v>12157</v>
      </c>
      <c r="I3341" s="364" t="s">
        <v>13242</v>
      </c>
      <c r="J3341" s="367"/>
      <c r="K3341" s="364"/>
      <c r="L3341" s="364"/>
      <c r="M3341" s="364" t="s">
        <v>10084</v>
      </c>
      <c r="N3341" s="364"/>
      <c r="O3341" s="364" t="s">
        <v>57</v>
      </c>
      <c r="P3341" s="373">
        <v>118177000</v>
      </c>
      <c r="Q3341" s="364"/>
      <c r="R3341" s="364" t="s">
        <v>10001</v>
      </c>
      <c r="S3341" s="340">
        <v>1</v>
      </c>
    </row>
    <row r="3342" spans="1:19" ht="31" x14ac:dyDescent="0.35">
      <c r="A3342" s="349">
        <v>3331</v>
      </c>
      <c r="B3342" s="364" t="s">
        <v>10085</v>
      </c>
      <c r="C3342" s="364" t="s">
        <v>10086</v>
      </c>
      <c r="D3342" s="366" t="s">
        <v>51</v>
      </c>
      <c r="E3342" s="366" t="s">
        <v>10082</v>
      </c>
      <c r="F3342" s="366" t="s">
        <v>10078</v>
      </c>
      <c r="G3342" s="366" t="s">
        <v>10078</v>
      </c>
      <c r="H3342" s="366" t="s">
        <v>11308</v>
      </c>
      <c r="I3342" s="364" t="s">
        <v>13242</v>
      </c>
      <c r="J3342" s="367"/>
      <c r="K3342" s="364"/>
      <c r="L3342" s="364"/>
      <c r="M3342" s="364" t="s">
        <v>10084</v>
      </c>
      <c r="N3342" s="364"/>
      <c r="O3342" s="364" t="s">
        <v>57</v>
      </c>
      <c r="P3342" s="373">
        <v>91916000</v>
      </c>
      <c r="Q3342" s="364"/>
      <c r="R3342" s="364" t="s">
        <v>10001</v>
      </c>
      <c r="S3342" s="340">
        <v>1</v>
      </c>
    </row>
    <row r="3343" spans="1:19" ht="31.5" thickBot="1" x14ac:dyDescent="0.4">
      <c r="A3343" s="357">
        <v>3332</v>
      </c>
      <c r="B3343" s="364" t="s">
        <v>10085</v>
      </c>
      <c r="C3343" s="364" t="s">
        <v>10086</v>
      </c>
      <c r="D3343" s="366" t="s">
        <v>59</v>
      </c>
      <c r="E3343" s="366" t="s">
        <v>10082</v>
      </c>
      <c r="F3343" s="366" t="s">
        <v>10078</v>
      </c>
      <c r="G3343" s="366" t="s">
        <v>10078</v>
      </c>
      <c r="H3343" s="366" t="s">
        <v>11308</v>
      </c>
      <c r="I3343" s="364" t="s">
        <v>13242</v>
      </c>
      <c r="J3343" s="367"/>
      <c r="K3343" s="364"/>
      <c r="L3343" s="364"/>
      <c r="M3343" s="364" t="s">
        <v>10084</v>
      </c>
      <c r="N3343" s="364"/>
      <c r="O3343" s="364" t="s">
        <v>57</v>
      </c>
      <c r="P3343" s="373">
        <v>91916000</v>
      </c>
      <c r="Q3343" s="364"/>
      <c r="R3343" s="364" t="s">
        <v>10001</v>
      </c>
      <c r="S3343" s="340">
        <v>1</v>
      </c>
    </row>
    <row r="3344" spans="1:19" ht="46.5" x14ac:dyDescent="0.35">
      <c r="A3344" s="349">
        <v>3333</v>
      </c>
      <c r="B3344" s="364" t="s">
        <v>10085</v>
      </c>
      <c r="C3344" s="364" t="s">
        <v>10086</v>
      </c>
      <c r="D3344" s="366" t="s">
        <v>97</v>
      </c>
      <c r="E3344" s="366" t="s">
        <v>10082</v>
      </c>
      <c r="F3344" s="366" t="s">
        <v>10078</v>
      </c>
      <c r="G3344" s="366" t="s">
        <v>10088</v>
      </c>
      <c r="H3344" s="366" t="s">
        <v>8956</v>
      </c>
      <c r="I3344" s="364" t="s">
        <v>13317</v>
      </c>
      <c r="J3344" s="367">
        <v>41528</v>
      </c>
      <c r="K3344" s="364" t="s">
        <v>15652</v>
      </c>
      <c r="L3344" s="364"/>
      <c r="M3344" s="364" t="s">
        <v>10084</v>
      </c>
      <c r="N3344" s="364"/>
      <c r="O3344" s="364" t="s">
        <v>57</v>
      </c>
      <c r="P3344" s="373">
        <v>136420000</v>
      </c>
      <c r="Q3344" s="364" t="s">
        <v>15653</v>
      </c>
      <c r="R3344" s="364" t="s">
        <v>10001</v>
      </c>
      <c r="S3344" s="340">
        <v>1</v>
      </c>
    </row>
    <row r="3345" spans="1:19" ht="31.5" thickBot="1" x14ac:dyDescent="0.4">
      <c r="A3345" s="357">
        <v>3334</v>
      </c>
      <c r="B3345" s="364" t="s">
        <v>10146</v>
      </c>
      <c r="C3345" s="364" t="s">
        <v>10147</v>
      </c>
      <c r="D3345" s="366" t="s">
        <v>51</v>
      </c>
      <c r="E3345" s="366" t="s">
        <v>10082</v>
      </c>
      <c r="F3345" s="366" t="s">
        <v>10078</v>
      </c>
      <c r="G3345" s="366" t="s">
        <v>10088</v>
      </c>
      <c r="H3345" s="366" t="s">
        <v>11461</v>
      </c>
      <c r="I3345" s="364" t="s">
        <v>13317</v>
      </c>
      <c r="J3345" s="367">
        <v>42474</v>
      </c>
      <c r="K3345" s="364" t="s">
        <v>15654</v>
      </c>
      <c r="L3345" s="364"/>
      <c r="M3345" s="364" t="s">
        <v>10084</v>
      </c>
      <c r="N3345" s="364"/>
      <c r="O3345" s="364" t="s">
        <v>57</v>
      </c>
      <c r="P3345" s="373">
        <v>221230000</v>
      </c>
      <c r="Q3345" s="364" t="s">
        <v>15655</v>
      </c>
      <c r="R3345" s="364" t="s">
        <v>10001</v>
      </c>
      <c r="S3345" s="340">
        <v>1</v>
      </c>
    </row>
    <row r="3346" spans="1:19" ht="46.5" x14ac:dyDescent="0.35">
      <c r="A3346" s="349">
        <v>3335</v>
      </c>
      <c r="B3346" s="364" t="s">
        <v>10096</v>
      </c>
      <c r="C3346" s="364" t="s">
        <v>10097</v>
      </c>
      <c r="D3346" s="366" t="s">
        <v>51</v>
      </c>
      <c r="E3346" s="366" t="s">
        <v>10082</v>
      </c>
      <c r="F3346" s="366" t="s">
        <v>10078</v>
      </c>
      <c r="G3346" s="366" t="s">
        <v>10078</v>
      </c>
      <c r="H3346" s="366" t="s">
        <v>2972</v>
      </c>
      <c r="I3346" s="364" t="s">
        <v>15656</v>
      </c>
      <c r="J3346" s="367">
        <v>44398</v>
      </c>
      <c r="K3346" s="364" t="s">
        <v>15657</v>
      </c>
      <c r="L3346" s="364"/>
      <c r="M3346" s="364" t="s">
        <v>10084</v>
      </c>
      <c r="N3346" s="364"/>
      <c r="O3346" s="364" t="s">
        <v>57</v>
      </c>
      <c r="P3346" s="373">
        <v>334717000</v>
      </c>
      <c r="Q3346" s="364" t="s">
        <v>15658</v>
      </c>
      <c r="R3346" s="364" t="s">
        <v>10001</v>
      </c>
      <c r="S3346" s="340">
        <v>1</v>
      </c>
    </row>
    <row r="3347" spans="1:19" ht="31.5" thickBot="1" x14ac:dyDescent="0.4">
      <c r="A3347" s="357">
        <v>3336</v>
      </c>
      <c r="B3347" s="364" t="s">
        <v>11830</v>
      </c>
      <c r="C3347" s="364" t="s">
        <v>11831</v>
      </c>
      <c r="D3347" s="366" t="s">
        <v>51</v>
      </c>
      <c r="E3347" s="366" t="s">
        <v>10082</v>
      </c>
      <c r="F3347" s="366" t="s">
        <v>10078</v>
      </c>
      <c r="G3347" s="366" t="s">
        <v>10078</v>
      </c>
      <c r="H3347" s="366" t="s">
        <v>12250</v>
      </c>
      <c r="I3347" s="364" t="s">
        <v>15659</v>
      </c>
      <c r="J3347" s="367">
        <v>41891</v>
      </c>
      <c r="K3347" s="364" t="s">
        <v>15660</v>
      </c>
      <c r="L3347" s="364"/>
      <c r="M3347" s="364" t="s">
        <v>10084</v>
      </c>
      <c r="N3347" s="364"/>
      <c r="O3347" s="364" t="s">
        <v>57</v>
      </c>
      <c r="P3347" s="373">
        <v>164300000</v>
      </c>
      <c r="Q3347" s="364" t="s">
        <v>15661</v>
      </c>
      <c r="R3347" s="364" t="s">
        <v>10002</v>
      </c>
      <c r="S3347" s="340">
        <v>1</v>
      </c>
    </row>
    <row r="3348" spans="1:19" ht="46.5" x14ac:dyDescent="0.35">
      <c r="A3348" s="349">
        <v>3337</v>
      </c>
      <c r="B3348" s="364" t="s">
        <v>11830</v>
      </c>
      <c r="C3348" s="364" t="s">
        <v>11831</v>
      </c>
      <c r="D3348" s="366" t="s">
        <v>59</v>
      </c>
      <c r="E3348" s="366" t="s">
        <v>10082</v>
      </c>
      <c r="F3348" s="366" t="s">
        <v>10078</v>
      </c>
      <c r="G3348" s="366" t="s">
        <v>10078</v>
      </c>
      <c r="H3348" s="366" t="s">
        <v>163</v>
      </c>
      <c r="I3348" s="364" t="s">
        <v>15662</v>
      </c>
      <c r="J3348" s="367">
        <v>43966</v>
      </c>
      <c r="K3348" s="364" t="s">
        <v>15663</v>
      </c>
      <c r="L3348" s="364"/>
      <c r="M3348" s="364" t="s">
        <v>10084</v>
      </c>
      <c r="N3348" s="364"/>
      <c r="O3348" s="364" t="s">
        <v>57</v>
      </c>
      <c r="P3348" s="373">
        <v>444517000</v>
      </c>
      <c r="Q3348" s="364" t="s">
        <v>15664</v>
      </c>
      <c r="R3348" s="364" t="s">
        <v>10002</v>
      </c>
      <c r="S3348" s="340">
        <v>1</v>
      </c>
    </row>
    <row r="3349" spans="1:19" ht="62.5" thickBot="1" x14ac:dyDescent="0.4">
      <c r="A3349" s="357">
        <v>3338</v>
      </c>
      <c r="B3349" s="364" t="s">
        <v>10080</v>
      </c>
      <c r="C3349" s="364" t="s">
        <v>10081</v>
      </c>
      <c r="D3349" s="366" t="s">
        <v>51</v>
      </c>
      <c r="E3349" s="366" t="s">
        <v>10082</v>
      </c>
      <c r="F3349" s="366" t="s">
        <v>10078</v>
      </c>
      <c r="G3349" s="366" t="s">
        <v>10088</v>
      </c>
      <c r="H3349" s="366" t="s">
        <v>12017</v>
      </c>
      <c r="I3349" s="364" t="s">
        <v>15659</v>
      </c>
      <c r="J3349" s="367">
        <v>42275</v>
      </c>
      <c r="K3349" s="364" t="s">
        <v>13343</v>
      </c>
      <c r="L3349" s="364"/>
      <c r="M3349" s="364" t="s">
        <v>10084</v>
      </c>
      <c r="N3349" s="364"/>
      <c r="O3349" s="364" t="s">
        <v>57</v>
      </c>
      <c r="P3349" s="373">
        <v>230747318</v>
      </c>
      <c r="Q3349" s="364" t="s">
        <v>15665</v>
      </c>
      <c r="R3349" s="364" t="s">
        <v>10002</v>
      </c>
      <c r="S3349" s="340">
        <v>1</v>
      </c>
    </row>
    <row r="3350" spans="1:19" ht="31" x14ac:dyDescent="0.35">
      <c r="A3350" s="349">
        <v>3339</v>
      </c>
      <c r="B3350" s="364" t="s">
        <v>10080</v>
      </c>
      <c r="C3350" s="364" t="s">
        <v>10081</v>
      </c>
      <c r="D3350" s="366" t="s">
        <v>59</v>
      </c>
      <c r="E3350" s="366" t="s">
        <v>10082</v>
      </c>
      <c r="F3350" s="366" t="s">
        <v>10078</v>
      </c>
      <c r="G3350" s="366" t="s">
        <v>10088</v>
      </c>
      <c r="H3350" s="366" t="s">
        <v>12157</v>
      </c>
      <c r="I3350" s="364" t="s">
        <v>8275</v>
      </c>
      <c r="J3350" s="367">
        <v>41904</v>
      </c>
      <c r="K3350" s="364" t="s">
        <v>15666</v>
      </c>
      <c r="L3350" s="364"/>
      <c r="M3350" s="364" t="s">
        <v>10084</v>
      </c>
      <c r="N3350" s="364"/>
      <c r="O3350" s="364" t="s">
        <v>57</v>
      </c>
      <c r="P3350" s="373">
        <v>150731200</v>
      </c>
      <c r="Q3350" s="364" t="s">
        <v>15667</v>
      </c>
      <c r="R3350" s="364" t="s">
        <v>10002</v>
      </c>
      <c r="S3350" s="340">
        <v>1</v>
      </c>
    </row>
    <row r="3351" spans="1:19" ht="31.5" thickBot="1" x14ac:dyDescent="0.4">
      <c r="A3351" s="357">
        <v>3340</v>
      </c>
      <c r="B3351" s="364" t="s">
        <v>10080</v>
      </c>
      <c r="C3351" s="364" t="s">
        <v>10081</v>
      </c>
      <c r="D3351" s="366" t="s">
        <v>97</v>
      </c>
      <c r="E3351" s="366" t="s">
        <v>10082</v>
      </c>
      <c r="F3351" s="366" t="s">
        <v>10078</v>
      </c>
      <c r="G3351" s="366" t="s">
        <v>10078</v>
      </c>
      <c r="H3351" s="366" t="s">
        <v>11400</v>
      </c>
      <c r="I3351" s="364" t="s">
        <v>9973</v>
      </c>
      <c r="J3351" s="367"/>
      <c r="K3351" s="364"/>
      <c r="L3351" s="364"/>
      <c r="M3351" s="364" t="s">
        <v>10084</v>
      </c>
      <c r="N3351" s="364"/>
      <c r="O3351" s="364" t="s">
        <v>57</v>
      </c>
      <c r="P3351" s="373">
        <v>154953000</v>
      </c>
      <c r="Q3351" s="364"/>
      <c r="R3351" s="364" t="s">
        <v>10002</v>
      </c>
      <c r="S3351" s="340">
        <v>1</v>
      </c>
    </row>
    <row r="3352" spans="1:19" ht="31" x14ac:dyDescent="0.35">
      <c r="A3352" s="349">
        <v>3341</v>
      </c>
      <c r="B3352" s="364" t="s">
        <v>10080</v>
      </c>
      <c r="C3352" s="364" t="s">
        <v>10081</v>
      </c>
      <c r="D3352" s="366" t="s">
        <v>101</v>
      </c>
      <c r="E3352" s="366" t="s">
        <v>10082</v>
      </c>
      <c r="F3352" s="366" t="s">
        <v>10078</v>
      </c>
      <c r="G3352" s="366" t="s">
        <v>10078</v>
      </c>
      <c r="H3352" s="366" t="s">
        <v>163</v>
      </c>
      <c r="I3352" s="364" t="s">
        <v>9973</v>
      </c>
      <c r="J3352" s="367"/>
      <c r="K3352" s="364"/>
      <c r="L3352" s="364"/>
      <c r="M3352" s="364" t="s">
        <v>10084</v>
      </c>
      <c r="N3352" s="364"/>
      <c r="O3352" s="364" t="s">
        <v>57</v>
      </c>
      <c r="P3352" s="373">
        <v>191109000</v>
      </c>
      <c r="Q3352" s="364"/>
      <c r="R3352" s="364" t="s">
        <v>10002</v>
      </c>
      <c r="S3352" s="340">
        <v>1</v>
      </c>
    </row>
    <row r="3353" spans="1:19" ht="31.5" thickBot="1" x14ac:dyDescent="0.4">
      <c r="A3353" s="357">
        <v>3342</v>
      </c>
      <c r="B3353" s="364" t="s">
        <v>10080</v>
      </c>
      <c r="C3353" s="364" t="s">
        <v>10081</v>
      </c>
      <c r="D3353" s="366" t="s">
        <v>107</v>
      </c>
      <c r="E3353" s="366" t="s">
        <v>10082</v>
      </c>
      <c r="F3353" s="366" t="s">
        <v>10078</v>
      </c>
      <c r="G3353" s="366" t="s">
        <v>10078</v>
      </c>
      <c r="H3353" s="366" t="s">
        <v>231</v>
      </c>
      <c r="I3353" s="364" t="s">
        <v>9973</v>
      </c>
      <c r="J3353" s="367"/>
      <c r="K3353" s="364"/>
      <c r="L3353" s="364"/>
      <c r="M3353" s="364" t="s">
        <v>10084</v>
      </c>
      <c r="N3353" s="364"/>
      <c r="O3353" s="364" t="s">
        <v>422</v>
      </c>
      <c r="P3353" s="373">
        <v>60000000</v>
      </c>
      <c r="Q3353" s="364" t="s">
        <v>8603</v>
      </c>
      <c r="R3353" s="364" t="s">
        <v>10002</v>
      </c>
      <c r="S3353" s="340">
        <v>1</v>
      </c>
    </row>
    <row r="3354" spans="1:19" ht="31" x14ac:dyDescent="0.35">
      <c r="A3354" s="349">
        <v>3343</v>
      </c>
      <c r="B3354" s="364" t="s">
        <v>10080</v>
      </c>
      <c r="C3354" s="364" t="s">
        <v>10081</v>
      </c>
      <c r="D3354" s="366" t="s">
        <v>112</v>
      </c>
      <c r="E3354" s="366" t="s">
        <v>10082</v>
      </c>
      <c r="F3354" s="366" t="s">
        <v>10078</v>
      </c>
      <c r="G3354" s="366" t="s">
        <v>10078</v>
      </c>
      <c r="H3354" s="366" t="s">
        <v>12266</v>
      </c>
      <c r="I3354" s="364" t="s">
        <v>9973</v>
      </c>
      <c r="J3354" s="367"/>
      <c r="K3354" s="364"/>
      <c r="L3354" s="364"/>
      <c r="M3354" s="364" t="s">
        <v>10084</v>
      </c>
      <c r="N3354" s="364"/>
      <c r="O3354" s="364" t="s">
        <v>57</v>
      </c>
      <c r="P3354" s="373">
        <v>500407280</v>
      </c>
      <c r="Q3354" s="364"/>
      <c r="R3354" s="364" t="s">
        <v>10002</v>
      </c>
      <c r="S3354" s="340">
        <v>1</v>
      </c>
    </row>
    <row r="3355" spans="1:19" ht="31.5" thickBot="1" x14ac:dyDescent="0.4">
      <c r="A3355" s="357">
        <v>3344</v>
      </c>
      <c r="B3355" s="364" t="s">
        <v>10080</v>
      </c>
      <c r="C3355" s="364" t="s">
        <v>10081</v>
      </c>
      <c r="D3355" s="366" t="s">
        <v>116</v>
      </c>
      <c r="E3355" s="366" t="s">
        <v>10082</v>
      </c>
      <c r="F3355" s="366" t="s">
        <v>10078</v>
      </c>
      <c r="G3355" s="366" t="s">
        <v>10078</v>
      </c>
      <c r="H3355" s="366" t="s">
        <v>12266</v>
      </c>
      <c r="I3355" s="364" t="s">
        <v>9973</v>
      </c>
      <c r="J3355" s="367"/>
      <c r="K3355" s="364"/>
      <c r="L3355" s="364"/>
      <c r="M3355" s="364" t="s">
        <v>10084</v>
      </c>
      <c r="N3355" s="364"/>
      <c r="O3355" s="364" t="s">
        <v>57</v>
      </c>
      <c r="P3355" s="373">
        <v>278915000</v>
      </c>
      <c r="Q3355" s="364"/>
      <c r="R3355" s="364" t="s">
        <v>10002</v>
      </c>
      <c r="S3355" s="340">
        <v>1</v>
      </c>
    </row>
    <row r="3356" spans="1:19" ht="31" x14ac:dyDescent="0.35">
      <c r="A3356" s="349">
        <v>3345</v>
      </c>
      <c r="B3356" s="364" t="s">
        <v>10080</v>
      </c>
      <c r="C3356" s="364" t="s">
        <v>10081</v>
      </c>
      <c r="D3356" s="366" t="s">
        <v>841</v>
      </c>
      <c r="E3356" s="366" t="s">
        <v>10082</v>
      </c>
      <c r="F3356" s="366" t="s">
        <v>10078</v>
      </c>
      <c r="G3356" s="366" t="s">
        <v>10078</v>
      </c>
      <c r="H3356" s="366" t="s">
        <v>3405</v>
      </c>
      <c r="I3356" s="364" t="s">
        <v>9973</v>
      </c>
      <c r="J3356" s="367"/>
      <c r="K3356" s="364"/>
      <c r="L3356" s="364"/>
      <c r="M3356" s="364" t="s">
        <v>10084</v>
      </c>
      <c r="N3356" s="364"/>
      <c r="O3356" s="364" t="s">
        <v>57</v>
      </c>
      <c r="P3356" s="373">
        <v>397550000</v>
      </c>
      <c r="Q3356" s="364"/>
      <c r="R3356" s="364" t="s">
        <v>10002</v>
      </c>
      <c r="S3356" s="340">
        <v>1</v>
      </c>
    </row>
    <row r="3357" spans="1:19" ht="31.5" thickBot="1" x14ac:dyDescent="0.4">
      <c r="A3357" s="357">
        <v>3346</v>
      </c>
      <c r="B3357" s="364" t="s">
        <v>10080</v>
      </c>
      <c r="C3357" s="364" t="s">
        <v>10081</v>
      </c>
      <c r="D3357" s="366" t="s">
        <v>904</v>
      </c>
      <c r="E3357" s="366" t="s">
        <v>10082</v>
      </c>
      <c r="F3357" s="366" t="s">
        <v>10078</v>
      </c>
      <c r="G3357" s="366" t="s">
        <v>10078</v>
      </c>
      <c r="H3357" s="366" t="s">
        <v>11400</v>
      </c>
      <c r="I3357" s="364" t="s">
        <v>9973</v>
      </c>
      <c r="J3357" s="367"/>
      <c r="K3357" s="364"/>
      <c r="L3357" s="364"/>
      <c r="M3357" s="364" t="s">
        <v>10084</v>
      </c>
      <c r="N3357" s="364"/>
      <c r="O3357" s="364" t="s">
        <v>57</v>
      </c>
      <c r="P3357" s="373">
        <v>314968680</v>
      </c>
      <c r="Q3357" s="364"/>
      <c r="R3357" s="364" t="s">
        <v>10002</v>
      </c>
      <c r="S3357" s="340">
        <v>1</v>
      </c>
    </row>
    <row r="3358" spans="1:19" ht="31" x14ac:dyDescent="0.35">
      <c r="A3358" s="349">
        <v>3347</v>
      </c>
      <c r="B3358" s="364" t="s">
        <v>10080</v>
      </c>
      <c r="C3358" s="364" t="s">
        <v>10081</v>
      </c>
      <c r="D3358" s="366" t="s">
        <v>122</v>
      </c>
      <c r="E3358" s="366" t="s">
        <v>10082</v>
      </c>
      <c r="F3358" s="366" t="s">
        <v>10078</v>
      </c>
      <c r="G3358" s="366" t="s">
        <v>10078</v>
      </c>
      <c r="H3358" s="366" t="s">
        <v>11465</v>
      </c>
      <c r="I3358" s="364" t="s">
        <v>9973</v>
      </c>
      <c r="J3358" s="367"/>
      <c r="K3358" s="364"/>
      <c r="L3358" s="364"/>
      <c r="M3358" s="364" t="s">
        <v>10084</v>
      </c>
      <c r="N3358" s="364"/>
      <c r="O3358" s="364" t="s">
        <v>57</v>
      </c>
      <c r="P3358" s="373">
        <v>449952000</v>
      </c>
      <c r="Q3358" s="364"/>
      <c r="R3358" s="364" t="s">
        <v>10002</v>
      </c>
      <c r="S3358" s="340">
        <v>1</v>
      </c>
    </row>
    <row r="3359" spans="1:19" ht="31.5" thickBot="1" x14ac:dyDescent="0.4">
      <c r="A3359" s="357">
        <v>3348</v>
      </c>
      <c r="B3359" s="364" t="s">
        <v>10110</v>
      </c>
      <c r="C3359" s="364" t="s">
        <v>10111</v>
      </c>
      <c r="D3359" s="366" t="s">
        <v>97</v>
      </c>
      <c r="E3359" s="366" t="s">
        <v>10082</v>
      </c>
      <c r="F3359" s="366" t="s">
        <v>10078</v>
      </c>
      <c r="G3359" s="366" t="s">
        <v>10088</v>
      </c>
      <c r="H3359" s="366" t="s">
        <v>8956</v>
      </c>
      <c r="I3359" s="364" t="s">
        <v>15668</v>
      </c>
      <c r="J3359" s="367"/>
      <c r="K3359" s="364" t="s">
        <v>15669</v>
      </c>
      <c r="L3359" s="364"/>
      <c r="M3359" s="364"/>
      <c r="N3359" s="364"/>
      <c r="O3359" s="364" t="s">
        <v>44</v>
      </c>
      <c r="P3359" s="373">
        <v>215891280</v>
      </c>
      <c r="Q3359" s="364" t="s">
        <v>15670</v>
      </c>
      <c r="R3359" s="364" t="s">
        <v>10002</v>
      </c>
      <c r="S3359" s="340">
        <v>1</v>
      </c>
    </row>
    <row r="3360" spans="1:19" ht="31" x14ac:dyDescent="0.35">
      <c r="A3360" s="349">
        <v>3349</v>
      </c>
      <c r="B3360" s="364" t="s">
        <v>10085</v>
      </c>
      <c r="C3360" s="364" t="s">
        <v>10086</v>
      </c>
      <c r="D3360" s="366" t="s">
        <v>51</v>
      </c>
      <c r="E3360" s="366" t="s">
        <v>10082</v>
      </c>
      <c r="F3360" s="366" t="s">
        <v>10078</v>
      </c>
      <c r="G3360" s="366" t="s">
        <v>10078</v>
      </c>
      <c r="H3360" s="366" t="s">
        <v>12157</v>
      </c>
      <c r="I3360" s="364" t="s">
        <v>15671</v>
      </c>
      <c r="J3360" s="367"/>
      <c r="K3360" s="364"/>
      <c r="L3360" s="364"/>
      <c r="M3360" s="364" t="s">
        <v>10084</v>
      </c>
      <c r="N3360" s="364"/>
      <c r="O3360" s="364" t="s">
        <v>57</v>
      </c>
      <c r="P3360" s="373">
        <v>227050000</v>
      </c>
      <c r="Q3360" s="364"/>
      <c r="R3360" s="364" t="s">
        <v>10002</v>
      </c>
      <c r="S3360" s="340">
        <v>1</v>
      </c>
    </row>
    <row r="3361" spans="1:19" ht="47" thickBot="1" x14ac:dyDescent="0.4">
      <c r="A3361" s="357">
        <v>3350</v>
      </c>
      <c r="B3361" s="364" t="s">
        <v>10146</v>
      </c>
      <c r="C3361" s="364" t="s">
        <v>10147</v>
      </c>
      <c r="D3361" s="366" t="s">
        <v>51</v>
      </c>
      <c r="E3361" s="366" t="s">
        <v>10082</v>
      </c>
      <c r="F3361" s="366" t="s">
        <v>10078</v>
      </c>
      <c r="G3361" s="366" t="s">
        <v>10078</v>
      </c>
      <c r="H3361" s="366" t="s">
        <v>11551</v>
      </c>
      <c r="I3361" s="364" t="s">
        <v>15672</v>
      </c>
      <c r="J3361" s="367">
        <v>43966</v>
      </c>
      <c r="K3361" s="364" t="s">
        <v>15673</v>
      </c>
      <c r="L3361" s="364"/>
      <c r="M3361" s="364" t="s">
        <v>10084</v>
      </c>
      <c r="N3361" s="364"/>
      <c r="O3361" s="364" t="s">
        <v>57</v>
      </c>
      <c r="P3361" s="373">
        <v>179992000</v>
      </c>
      <c r="Q3361" s="364" t="s">
        <v>15674</v>
      </c>
      <c r="R3361" s="364" t="s">
        <v>10002</v>
      </c>
      <c r="S3361" s="340">
        <v>1</v>
      </c>
    </row>
    <row r="3362" spans="1:19" ht="46.5" x14ac:dyDescent="0.35">
      <c r="A3362" s="349">
        <v>3351</v>
      </c>
      <c r="B3362" s="364" t="s">
        <v>10146</v>
      </c>
      <c r="C3362" s="364" t="s">
        <v>10147</v>
      </c>
      <c r="D3362" s="366" t="s">
        <v>59</v>
      </c>
      <c r="E3362" s="366" t="s">
        <v>10082</v>
      </c>
      <c r="F3362" s="366" t="s">
        <v>10071</v>
      </c>
      <c r="G3362" s="366" t="s">
        <v>10088</v>
      </c>
      <c r="H3362" s="366" t="s">
        <v>11333</v>
      </c>
      <c r="I3362" s="364" t="s">
        <v>15659</v>
      </c>
      <c r="J3362" s="367">
        <v>42941</v>
      </c>
      <c r="K3362" s="364" t="s">
        <v>15675</v>
      </c>
      <c r="L3362" s="364"/>
      <c r="M3362" s="364" t="s">
        <v>10084</v>
      </c>
      <c r="N3362" s="364"/>
      <c r="O3362" s="364" t="s">
        <v>57</v>
      </c>
      <c r="P3362" s="373">
        <v>221133000</v>
      </c>
      <c r="Q3362" s="364" t="s">
        <v>15676</v>
      </c>
      <c r="R3362" s="364" t="s">
        <v>10002</v>
      </c>
      <c r="S3362" s="340">
        <v>1</v>
      </c>
    </row>
    <row r="3363" spans="1:19" ht="16" thickBot="1" x14ac:dyDescent="0.4">
      <c r="A3363" s="357">
        <v>3352</v>
      </c>
      <c r="B3363" s="364" t="s">
        <v>14271</v>
      </c>
      <c r="C3363" s="364" t="s">
        <v>14272</v>
      </c>
      <c r="D3363" s="366" t="s">
        <v>51</v>
      </c>
      <c r="E3363" s="366" t="s">
        <v>10082</v>
      </c>
      <c r="F3363" s="366" t="s">
        <v>10078</v>
      </c>
      <c r="G3363" s="366" t="s">
        <v>10078</v>
      </c>
      <c r="H3363" s="366" t="s">
        <v>12266</v>
      </c>
      <c r="I3363" s="364" t="s">
        <v>9973</v>
      </c>
      <c r="J3363" s="367"/>
      <c r="K3363" s="364"/>
      <c r="L3363" s="364"/>
      <c r="M3363" s="364" t="s">
        <v>10084</v>
      </c>
      <c r="N3363" s="364"/>
      <c r="O3363" s="364" t="s">
        <v>57</v>
      </c>
      <c r="P3363" s="373">
        <v>278915000</v>
      </c>
      <c r="Q3363" s="364"/>
      <c r="R3363" s="364" t="s">
        <v>10002</v>
      </c>
      <c r="S3363" s="340">
        <v>1</v>
      </c>
    </row>
    <row r="3364" spans="1:19" ht="15.5" x14ac:dyDescent="0.35">
      <c r="A3364" s="349">
        <v>3353</v>
      </c>
      <c r="B3364" s="364" t="s">
        <v>14271</v>
      </c>
      <c r="C3364" s="364" t="s">
        <v>14272</v>
      </c>
      <c r="D3364" s="366" t="s">
        <v>59</v>
      </c>
      <c r="E3364" s="366" t="s">
        <v>10082</v>
      </c>
      <c r="F3364" s="366" t="s">
        <v>10071</v>
      </c>
      <c r="G3364" s="366" t="s">
        <v>10078</v>
      </c>
      <c r="H3364" s="366" t="s">
        <v>12266</v>
      </c>
      <c r="I3364" s="364" t="s">
        <v>9973</v>
      </c>
      <c r="J3364" s="367"/>
      <c r="K3364" s="364"/>
      <c r="L3364" s="364"/>
      <c r="M3364" s="364" t="s">
        <v>10084</v>
      </c>
      <c r="N3364" s="364"/>
      <c r="O3364" s="364" t="s">
        <v>57</v>
      </c>
      <c r="P3364" s="373">
        <v>278915000</v>
      </c>
      <c r="Q3364" s="364"/>
      <c r="R3364" s="364" t="s">
        <v>10002</v>
      </c>
      <c r="S3364" s="340">
        <v>1</v>
      </c>
    </row>
    <row r="3365" spans="1:19" ht="31.5" thickBot="1" x14ac:dyDescent="0.4">
      <c r="A3365" s="357">
        <v>3354</v>
      </c>
      <c r="B3365" s="364" t="s">
        <v>10080</v>
      </c>
      <c r="C3365" s="364" t="s">
        <v>10081</v>
      </c>
      <c r="D3365" s="366" t="s">
        <v>51</v>
      </c>
      <c r="E3365" s="366" t="s">
        <v>10082</v>
      </c>
      <c r="F3365" s="366" t="s">
        <v>10078</v>
      </c>
      <c r="G3365" s="366" t="s">
        <v>10078</v>
      </c>
      <c r="H3365" s="366" t="s">
        <v>11407</v>
      </c>
      <c r="I3365" s="364" t="s">
        <v>15528</v>
      </c>
      <c r="J3365" s="367"/>
      <c r="K3365" s="364"/>
      <c r="L3365" s="364"/>
      <c r="M3365" s="364" t="s">
        <v>10084</v>
      </c>
      <c r="N3365" s="364"/>
      <c r="O3365" s="364" t="s">
        <v>57</v>
      </c>
      <c r="P3365" s="373">
        <v>145854000</v>
      </c>
      <c r="Q3365" s="364"/>
      <c r="R3365" s="364" t="s">
        <v>10003</v>
      </c>
      <c r="S3365" s="340">
        <v>1</v>
      </c>
    </row>
    <row r="3366" spans="1:19" ht="31" x14ac:dyDescent="0.35">
      <c r="A3366" s="349">
        <v>3355</v>
      </c>
      <c r="B3366" s="364" t="s">
        <v>10080</v>
      </c>
      <c r="C3366" s="364" t="s">
        <v>10081</v>
      </c>
      <c r="D3366" s="366" t="s">
        <v>59</v>
      </c>
      <c r="E3366" s="366" t="s">
        <v>10082</v>
      </c>
      <c r="F3366" s="366" t="s">
        <v>10078</v>
      </c>
      <c r="G3366" s="366" t="s">
        <v>10078</v>
      </c>
      <c r="H3366" s="366" t="s">
        <v>11465</v>
      </c>
      <c r="I3366" s="364" t="s">
        <v>15528</v>
      </c>
      <c r="J3366" s="367"/>
      <c r="K3366" s="364"/>
      <c r="L3366" s="364"/>
      <c r="M3366" s="364" t="s">
        <v>10084</v>
      </c>
      <c r="N3366" s="364"/>
      <c r="O3366" s="364" t="s">
        <v>57</v>
      </c>
      <c r="P3366" s="373">
        <v>229720000</v>
      </c>
      <c r="Q3366" s="364"/>
      <c r="R3366" s="364" t="s">
        <v>10003</v>
      </c>
      <c r="S3366" s="340">
        <v>1</v>
      </c>
    </row>
    <row r="3367" spans="1:19" ht="31.5" thickBot="1" x14ac:dyDescent="0.4">
      <c r="A3367" s="357">
        <v>3356</v>
      </c>
      <c r="B3367" s="364" t="s">
        <v>10080</v>
      </c>
      <c r="C3367" s="364" t="s">
        <v>10081</v>
      </c>
      <c r="D3367" s="366" t="s">
        <v>97</v>
      </c>
      <c r="E3367" s="366" t="s">
        <v>10082</v>
      </c>
      <c r="F3367" s="366" t="s">
        <v>10078</v>
      </c>
      <c r="G3367" s="366" t="s">
        <v>10078</v>
      </c>
      <c r="H3367" s="366" t="s">
        <v>12235</v>
      </c>
      <c r="I3367" s="364" t="s">
        <v>15528</v>
      </c>
      <c r="J3367" s="367"/>
      <c r="K3367" s="364"/>
      <c r="L3367" s="364"/>
      <c r="M3367" s="364" t="s">
        <v>10084</v>
      </c>
      <c r="N3367" s="364"/>
      <c r="O3367" s="364" t="s">
        <v>57</v>
      </c>
      <c r="P3367" s="373">
        <v>357342000</v>
      </c>
      <c r="Q3367" s="364"/>
      <c r="R3367" s="364" t="s">
        <v>10003</v>
      </c>
      <c r="S3367" s="340">
        <v>1</v>
      </c>
    </row>
    <row r="3368" spans="1:19" ht="31" x14ac:dyDescent="0.35">
      <c r="A3368" s="349">
        <v>3357</v>
      </c>
      <c r="B3368" s="364" t="s">
        <v>10080</v>
      </c>
      <c r="C3368" s="364" t="s">
        <v>10081</v>
      </c>
      <c r="D3368" s="366" t="s">
        <v>101</v>
      </c>
      <c r="E3368" s="366" t="s">
        <v>10082</v>
      </c>
      <c r="F3368" s="366" t="s">
        <v>10078</v>
      </c>
      <c r="G3368" s="366" t="s">
        <v>10078</v>
      </c>
      <c r="H3368" s="366" t="s">
        <v>11308</v>
      </c>
      <c r="I3368" s="364" t="s">
        <v>15528</v>
      </c>
      <c r="J3368" s="367"/>
      <c r="K3368" s="364"/>
      <c r="L3368" s="364"/>
      <c r="M3368" s="364" t="s">
        <v>10084</v>
      </c>
      <c r="N3368" s="364"/>
      <c r="O3368" s="364" t="s">
        <v>57</v>
      </c>
      <c r="P3368" s="373">
        <v>102098000</v>
      </c>
      <c r="Q3368" s="364"/>
      <c r="R3368" s="364" t="s">
        <v>10003</v>
      </c>
      <c r="S3368" s="340">
        <v>1</v>
      </c>
    </row>
    <row r="3369" spans="1:19" ht="31.5" thickBot="1" x14ac:dyDescent="0.4">
      <c r="A3369" s="357">
        <v>3358</v>
      </c>
      <c r="B3369" s="364" t="s">
        <v>10110</v>
      </c>
      <c r="C3369" s="364" t="s">
        <v>10111</v>
      </c>
      <c r="D3369" s="366" t="s">
        <v>51</v>
      </c>
      <c r="E3369" s="366" t="s">
        <v>10082</v>
      </c>
      <c r="F3369" s="366" t="s">
        <v>10078</v>
      </c>
      <c r="G3369" s="366" t="s">
        <v>10078</v>
      </c>
      <c r="H3369" s="366" t="s">
        <v>8956</v>
      </c>
      <c r="I3369" s="364" t="s">
        <v>15528</v>
      </c>
      <c r="J3369" s="367"/>
      <c r="K3369" s="364"/>
      <c r="L3369" s="364"/>
      <c r="M3369" s="364" t="s">
        <v>10084</v>
      </c>
      <c r="N3369" s="364"/>
      <c r="O3369" s="364" t="s">
        <v>57</v>
      </c>
      <c r="P3369" s="373">
        <v>76573000</v>
      </c>
      <c r="Q3369" s="364"/>
      <c r="R3369" s="364" t="s">
        <v>10003</v>
      </c>
      <c r="S3369" s="340">
        <v>1</v>
      </c>
    </row>
    <row r="3370" spans="1:19" ht="77.5" x14ac:dyDescent="0.35">
      <c r="A3370" s="349">
        <v>3359</v>
      </c>
      <c r="B3370" s="364" t="s">
        <v>10110</v>
      </c>
      <c r="C3370" s="364" t="s">
        <v>10111</v>
      </c>
      <c r="D3370" s="366" t="s">
        <v>97</v>
      </c>
      <c r="E3370" s="366" t="s">
        <v>10082</v>
      </c>
      <c r="F3370" s="366" t="s">
        <v>10078</v>
      </c>
      <c r="G3370" s="366" t="s">
        <v>10078</v>
      </c>
      <c r="H3370" s="366" t="s">
        <v>13337</v>
      </c>
      <c r="I3370" s="364" t="s">
        <v>15677</v>
      </c>
      <c r="J3370" s="367"/>
      <c r="K3370" s="364" t="s">
        <v>15678</v>
      </c>
      <c r="L3370" s="364"/>
      <c r="M3370" s="364"/>
      <c r="N3370" s="364"/>
      <c r="O3370" s="364" t="s">
        <v>44</v>
      </c>
      <c r="P3370" s="373">
        <v>269638370</v>
      </c>
      <c r="Q3370" s="364" t="s">
        <v>15679</v>
      </c>
      <c r="R3370" s="364" t="s">
        <v>10003</v>
      </c>
      <c r="S3370" s="340">
        <v>1</v>
      </c>
    </row>
    <row r="3371" spans="1:19" ht="78" thickBot="1" x14ac:dyDescent="0.4">
      <c r="A3371" s="357">
        <v>3360</v>
      </c>
      <c r="B3371" s="364" t="s">
        <v>10110</v>
      </c>
      <c r="C3371" s="364" t="s">
        <v>10111</v>
      </c>
      <c r="D3371" s="366" t="s">
        <v>101</v>
      </c>
      <c r="E3371" s="366" t="s">
        <v>10082</v>
      </c>
      <c r="F3371" s="366" t="s">
        <v>10078</v>
      </c>
      <c r="G3371" s="366" t="s">
        <v>10078</v>
      </c>
      <c r="H3371" s="366" t="s">
        <v>163</v>
      </c>
      <c r="I3371" s="364" t="s">
        <v>15677</v>
      </c>
      <c r="J3371" s="367"/>
      <c r="K3371" s="364" t="s">
        <v>15680</v>
      </c>
      <c r="L3371" s="364"/>
      <c r="M3371" s="364"/>
      <c r="N3371" s="364"/>
      <c r="O3371" s="364" t="s">
        <v>44</v>
      </c>
      <c r="P3371" s="373">
        <v>578993700</v>
      </c>
      <c r="Q3371" s="364" t="s">
        <v>15681</v>
      </c>
      <c r="R3371" s="364" t="s">
        <v>10003</v>
      </c>
      <c r="S3371" s="340">
        <v>1</v>
      </c>
    </row>
    <row r="3372" spans="1:19" ht="46.5" x14ac:dyDescent="0.35">
      <c r="A3372" s="349">
        <v>3361</v>
      </c>
      <c r="B3372" s="364" t="s">
        <v>10085</v>
      </c>
      <c r="C3372" s="364" t="s">
        <v>10086</v>
      </c>
      <c r="D3372" s="366" t="s">
        <v>51</v>
      </c>
      <c r="E3372" s="366" t="s">
        <v>10082</v>
      </c>
      <c r="F3372" s="366" t="s">
        <v>10078</v>
      </c>
      <c r="G3372" s="366" t="s">
        <v>10078</v>
      </c>
      <c r="H3372" s="366" t="s">
        <v>11634</v>
      </c>
      <c r="I3372" s="364" t="s">
        <v>8317</v>
      </c>
      <c r="J3372" s="367">
        <v>41585</v>
      </c>
      <c r="K3372" s="364" t="s">
        <v>15682</v>
      </c>
      <c r="L3372" s="364"/>
      <c r="M3372" s="364" t="s">
        <v>10084</v>
      </c>
      <c r="N3372" s="364"/>
      <c r="O3372" s="364" t="s">
        <v>57</v>
      </c>
      <c r="P3372" s="373">
        <v>137500000</v>
      </c>
      <c r="Q3372" s="364" t="s">
        <v>15683</v>
      </c>
      <c r="R3372" s="364" t="s">
        <v>10003</v>
      </c>
      <c r="S3372" s="340">
        <v>1</v>
      </c>
    </row>
    <row r="3373" spans="1:19" ht="31.5" thickBot="1" x14ac:dyDescent="0.4">
      <c r="A3373" s="357">
        <v>3362</v>
      </c>
      <c r="B3373" s="364" t="s">
        <v>10085</v>
      </c>
      <c r="C3373" s="364" t="s">
        <v>10086</v>
      </c>
      <c r="D3373" s="366" t="s">
        <v>59</v>
      </c>
      <c r="E3373" s="366" t="s">
        <v>10082</v>
      </c>
      <c r="F3373" s="366" t="s">
        <v>10078</v>
      </c>
      <c r="G3373" s="366" t="s">
        <v>10078</v>
      </c>
      <c r="H3373" s="366" t="s">
        <v>11324</v>
      </c>
      <c r="I3373" s="364" t="s">
        <v>15528</v>
      </c>
      <c r="J3373" s="367"/>
      <c r="K3373" s="364"/>
      <c r="L3373" s="364"/>
      <c r="M3373" s="364" t="s">
        <v>10084</v>
      </c>
      <c r="N3373" s="364"/>
      <c r="O3373" s="364" t="s">
        <v>57</v>
      </c>
      <c r="P3373" s="373">
        <v>180346500</v>
      </c>
      <c r="Q3373" s="364"/>
      <c r="R3373" s="364" t="s">
        <v>10003</v>
      </c>
      <c r="S3373" s="340">
        <v>1</v>
      </c>
    </row>
    <row r="3374" spans="1:19" ht="31" x14ac:dyDescent="0.35">
      <c r="A3374" s="349">
        <v>3363</v>
      </c>
      <c r="B3374" s="364" t="s">
        <v>10191</v>
      </c>
      <c r="C3374" s="364" t="s">
        <v>10192</v>
      </c>
      <c r="D3374" s="366" t="s">
        <v>51</v>
      </c>
      <c r="E3374" s="366" t="s">
        <v>10082</v>
      </c>
      <c r="F3374" s="366" t="s">
        <v>10078</v>
      </c>
      <c r="G3374" s="366" t="s">
        <v>10078</v>
      </c>
      <c r="H3374" s="366" t="s">
        <v>12157</v>
      </c>
      <c r="I3374" s="364" t="s">
        <v>8317</v>
      </c>
      <c r="J3374" s="367">
        <v>42275</v>
      </c>
      <c r="K3374" s="364" t="s">
        <v>15684</v>
      </c>
      <c r="L3374" s="364"/>
      <c r="M3374" s="364" t="s">
        <v>10084</v>
      </c>
      <c r="N3374" s="364"/>
      <c r="O3374" s="364" t="s">
        <v>57</v>
      </c>
      <c r="P3374" s="373">
        <v>189420000</v>
      </c>
      <c r="Q3374" s="364" t="s">
        <v>15685</v>
      </c>
      <c r="R3374" s="364" t="s">
        <v>10003</v>
      </c>
      <c r="S3374" s="340">
        <v>1</v>
      </c>
    </row>
    <row r="3375" spans="1:19" ht="47" thickBot="1" x14ac:dyDescent="0.4">
      <c r="A3375" s="357">
        <v>3364</v>
      </c>
      <c r="B3375" s="364" t="s">
        <v>11830</v>
      </c>
      <c r="C3375" s="364" t="s">
        <v>11831</v>
      </c>
      <c r="D3375" s="366" t="s">
        <v>51</v>
      </c>
      <c r="E3375" s="366" t="s">
        <v>10082</v>
      </c>
      <c r="F3375" s="366" t="s">
        <v>10078</v>
      </c>
      <c r="G3375" s="366" t="s">
        <v>10078</v>
      </c>
      <c r="H3375" s="366" t="s">
        <v>163</v>
      </c>
      <c r="I3375" s="364" t="s">
        <v>15686</v>
      </c>
      <c r="J3375" s="367">
        <v>43966</v>
      </c>
      <c r="K3375" s="364" t="s">
        <v>15687</v>
      </c>
      <c r="L3375" s="364"/>
      <c r="M3375" s="364" t="s">
        <v>10084</v>
      </c>
      <c r="N3375" s="364"/>
      <c r="O3375" s="364" t="s">
        <v>57</v>
      </c>
      <c r="P3375" s="373">
        <v>444517000</v>
      </c>
      <c r="Q3375" s="364" t="s">
        <v>15688</v>
      </c>
      <c r="R3375" s="364" t="s">
        <v>15689</v>
      </c>
      <c r="S3375" s="340">
        <v>1</v>
      </c>
    </row>
    <row r="3376" spans="1:19" ht="46.5" x14ac:dyDescent="0.35">
      <c r="A3376" s="349">
        <v>3365</v>
      </c>
      <c r="B3376" s="364" t="s">
        <v>10092</v>
      </c>
      <c r="C3376" s="364" t="s">
        <v>10093</v>
      </c>
      <c r="D3376" s="366" t="s">
        <v>51</v>
      </c>
      <c r="E3376" s="366" t="s">
        <v>10082</v>
      </c>
      <c r="F3376" s="366" t="s">
        <v>10078</v>
      </c>
      <c r="G3376" s="366" t="s">
        <v>10078</v>
      </c>
      <c r="H3376" s="366" t="s">
        <v>11409</v>
      </c>
      <c r="I3376" s="364" t="s">
        <v>15686</v>
      </c>
      <c r="J3376" s="367">
        <v>43966</v>
      </c>
      <c r="K3376" s="364" t="s">
        <v>15690</v>
      </c>
      <c r="L3376" s="364"/>
      <c r="M3376" s="364" t="s">
        <v>10084</v>
      </c>
      <c r="N3376" s="364"/>
      <c r="O3376" s="364" t="s">
        <v>57</v>
      </c>
      <c r="P3376" s="373">
        <v>428651000</v>
      </c>
      <c r="Q3376" s="364" t="s">
        <v>15691</v>
      </c>
      <c r="R3376" s="364" t="s">
        <v>15689</v>
      </c>
      <c r="S3376" s="340">
        <v>1</v>
      </c>
    </row>
    <row r="3377" spans="1:19" ht="31.5" thickBot="1" x14ac:dyDescent="0.4">
      <c r="A3377" s="357">
        <v>3366</v>
      </c>
      <c r="B3377" s="364" t="s">
        <v>10146</v>
      </c>
      <c r="C3377" s="364" t="s">
        <v>10147</v>
      </c>
      <c r="D3377" s="366" t="s">
        <v>51</v>
      </c>
      <c r="E3377" s="366" t="s">
        <v>10082</v>
      </c>
      <c r="F3377" s="366" t="s">
        <v>10078</v>
      </c>
      <c r="G3377" s="366" t="s">
        <v>10088</v>
      </c>
      <c r="H3377" s="366"/>
      <c r="I3377" s="364" t="s">
        <v>15692</v>
      </c>
      <c r="J3377" s="367"/>
      <c r="K3377" s="364" t="s">
        <v>15693</v>
      </c>
      <c r="L3377" s="364"/>
      <c r="M3377" s="364"/>
      <c r="N3377" s="364"/>
      <c r="O3377" s="364" t="s">
        <v>44</v>
      </c>
      <c r="P3377" s="373">
        <v>83263391.600000009</v>
      </c>
      <c r="Q3377" s="364" t="s">
        <v>15694</v>
      </c>
      <c r="R3377" s="364" t="s">
        <v>15689</v>
      </c>
      <c r="S3377" s="340">
        <v>1</v>
      </c>
    </row>
    <row r="3378" spans="1:19" ht="31" x14ac:dyDescent="0.35">
      <c r="A3378" s="349">
        <v>3367</v>
      </c>
      <c r="B3378" s="364" t="s">
        <v>10191</v>
      </c>
      <c r="C3378" s="364" t="s">
        <v>10192</v>
      </c>
      <c r="D3378" s="366" t="s">
        <v>51</v>
      </c>
      <c r="E3378" s="366" t="s">
        <v>10082</v>
      </c>
      <c r="F3378" s="366" t="s">
        <v>10078</v>
      </c>
      <c r="G3378" s="366" t="s">
        <v>10088</v>
      </c>
      <c r="H3378" s="366" t="s">
        <v>11308</v>
      </c>
      <c r="I3378" s="364" t="s">
        <v>12782</v>
      </c>
      <c r="J3378" s="367">
        <v>42941</v>
      </c>
      <c r="K3378" s="364" t="s">
        <v>15695</v>
      </c>
      <c r="L3378" s="364"/>
      <c r="M3378" s="364" t="s">
        <v>10084</v>
      </c>
      <c r="N3378" s="364"/>
      <c r="O3378" s="364" t="s">
        <v>57</v>
      </c>
      <c r="P3378" s="373">
        <v>322920500</v>
      </c>
      <c r="Q3378" s="364" t="s">
        <v>15696</v>
      </c>
      <c r="R3378" s="364" t="s">
        <v>15689</v>
      </c>
      <c r="S3378" s="340">
        <v>1</v>
      </c>
    </row>
    <row r="3379" spans="1:19" ht="47" thickBot="1" x14ac:dyDescent="0.4">
      <c r="A3379" s="357">
        <v>3368</v>
      </c>
      <c r="B3379" s="364" t="s">
        <v>10080</v>
      </c>
      <c r="C3379" s="364" t="s">
        <v>10081</v>
      </c>
      <c r="D3379" s="366" t="s">
        <v>51</v>
      </c>
      <c r="E3379" s="366" t="s">
        <v>10082</v>
      </c>
      <c r="F3379" s="366" t="s">
        <v>10078</v>
      </c>
      <c r="G3379" s="366" t="s">
        <v>10078</v>
      </c>
      <c r="H3379" s="366" t="s">
        <v>15697</v>
      </c>
      <c r="I3379" s="364" t="s">
        <v>63</v>
      </c>
      <c r="J3379" s="367">
        <v>43465</v>
      </c>
      <c r="K3379" s="364"/>
      <c r="L3379" s="364"/>
      <c r="M3379" s="364" t="s">
        <v>10084</v>
      </c>
      <c r="N3379" s="364"/>
      <c r="O3379" s="364" t="s">
        <v>57</v>
      </c>
      <c r="P3379" s="373">
        <v>1450037760</v>
      </c>
      <c r="Q3379" s="364" t="s">
        <v>15698</v>
      </c>
      <c r="R3379" s="364" t="s">
        <v>15699</v>
      </c>
      <c r="S3379" s="340">
        <v>1</v>
      </c>
    </row>
    <row r="3380" spans="1:19" ht="62" x14ac:dyDescent="0.35">
      <c r="A3380" s="349">
        <v>3369</v>
      </c>
      <c r="B3380" s="364" t="s">
        <v>10110</v>
      </c>
      <c r="C3380" s="364" t="s">
        <v>10111</v>
      </c>
      <c r="D3380" s="366" t="s">
        <v>51</v>
      </c>
      <c r="E3380" s="366" t="s">
        <v>10082</v>
      </c>
      <c r="F3380" s="366" t="s">
        <v>10078</v>
      </c>
      <c r="G3380" s="366" t="s">
        <v>10088</v>
      </c>
      <c r="H3380" s="366" t="s">
        <v>163</v>
      </c>
      <c r="I3380" s="364" t="s">
        <v>15700</v>
      </c>
      <c r="J3380" s="367">
        <v>44764</v>
      </c>
      <c r="K3380" s="364" t="s">
        <v>15701</v>
      </c>
      <c r="L3380" s="364"/>
      <c r="M3380" s="364"/>
      <c r="N3380" s="364"/>
      <c r="O3380" s="364" t="s">
        <v>44</v>
      </c>
      <c r="P3380" s="373">
        <v>510624450</v>
      </c>
      <c r="Q3380" s="364" t="s">
        <v>15702</v>
      </c>
      <c r="R3380" s="364" t="s">
        <v>15699</v>
      </c>
      <c r="S3380" s="340">
        <v>1</v>
      </c>
    </row>
    <row r="3381" spans="1:19" ht="62.5" thickBot="1" x14ac:dyDescent="0.4">
      <c r="A3381" s="357">
        <v>3370</v>
      </c>
      <c r="B3381" s="364" t="s">
        <v>10110</v>
      </c>
      <c r="C3381" s="364" t="s">
        <v>10111</v>
      </c>
      <c r="D3381" s="366" t="s">
        <v>59</v>
      </c>
      <c r="E3381" s="366" t="s">
        <v>10082</v>
      </c>
      <c r="F3381" s="366" t="s">
        <v>10078</v>
      </c>
      <c r="G3381" s="366" t="s">
        <v>10088</v>
      </c>
      <c r="H3381" s="366" t="s">
        <v>163</v>
      </c>
      <c r="I3381" s="364" t="s">
        <v>15703</v>
      </c>
      <c r="J3381" s="367">
        <v>44757</v>
      </c>
      <c r="K3381" s="364" t="s">
        <v>15704</v>
      </c>
      <c r="L3381" s="364"/>
      <c r="M3381" s="364"/>
      <c r="N3381" s="364"/>
      <c r="O3381" s="364" t="s">
        <v>44</v>
      </c>
      <c r="P3381" s="373">
        <v>514932441</v>
      </c>
      <c r="Q3381" s="364" t="s">
        <v>15705</v>
      </c>
      <c r="R3381" s="364" t="s">
        <v>15699</v>
      </c>
      <c r="S3381" s="340">
        <v>1</v>
      </c>
    </row>
    <row r="3382" spans="1:19" ht="46.5" x14ac:dyDescent="0.35">
      <c r="A3382" s="349">
        <v>3371</v>
      </c>
      <c r="B3382" s="364" t="s">
        <v>10146</v>
      </c>
      <c r="C3382" s="364" t="s">
        <v>10147</v>
      </c>
      <c r="D3382" s="366" t="s">
        <v>51</v>
      </c>
      <c r="E3382" s="366" t="s">
        <v>10082</v>
      </c>
      <c r="F3382" s="366" t="s">
        <v>10078</v>
      </c>
      <c r="G3382" s="366" t="s">
        <v>10088</v>
      </c>
      <c r="H3382" s="366" t="s">
        <v>2972</v>
      </c>
      <c r="I3382" s="364" t="s">
        <v>63</v>
      </c>
      <c r="J3382" s="367">
        <v>43465</v>
      </c>
      <c r="K3382" s="364"/>
      <c r="L3382" s="364"/>
      <c r="M3382" s="364" t="s">
        <v>10084</v>
      </c>
      <c r="N3382" s="364"/>
      <c r="O3382" s="364" t="s">
        <v>57</v>
      </c>
      <c r="P3382" s="373">
        <v>220998000</v>
      </c>
      <c r="Q3382" s="364" t="s">
        <v>15706</v>
      </c>
      <c r="R3382" s="364" t="s">
        <v>15699</v>
      </c>
      <c r="S3382" s="340">
        <v>1</v>
      </c>
    </row>
    <row r="3383" spans="1:19" ht="31.5" thickBot="1" x14ac:dyDescent="0.4">
      <c r="A3383" s="357">
        <v>3372</v>
      </c>
      <c r="B3383" s="364" t="s">
        <v>10146</v>
      </c>
      <c r="C3383" s="364" t="s">
        <v>10147</v>
      </c>
      <c r="D3383" s="366" t="s">
        <v>59</v>
      </c>
      <c r="E3383" s="366" t="s">
        <v>10082</v>
      </c>
      <c r="F3383" s="366" t="s">
        <v>10078</v>
      </c>
      <c r="G3383" s="366" t="s">
        <v>10088</v>
      </c>
      <c r="H3383" s="366" t="s">
        <v>11975</v>
      </c>
      <c r="I3383" s="364" t="s">
        <v>11329</v>
      </c>
      <c r="J3383" s="367">
        <v>42391</v>
      </c>
      <c r="K3383" s="364" t="s">
        <v>15707</v>
      </c>
      <c r="L3383" s="364"/>
      <c r="M3383" s="364" t="s">
        <v>10084</v>
      </c>
      <c r="N3383" s="364"/>
      <c r="O3383" s="364" t="s">
        <v>57</v>
      </c>
      <c r="P3383" s="373">
        <v>492059800</v>
      </c>
      <c r="Q3383" s="364" t="s">
        <v>15708</v>
      </c>
      <c r="R3383" s="364" t="s">
        <v>15699</v>
      </c>
      <c r="S3383" s="340">
        <v>1</v>
      </c>
    </row>
    <row r="3384" spans="1:19" ht="31" x14ac:dyDescent="0.35">
      <c r="A3384" s="349">
        <v>3373</v>
      </c>
      <c r="B3384" s="364" t="s">
        <v>10155</v>
      </c>
      <c r="C3384" s="364" t="s">
        <v>10156</v>
      </c>
      <c r="D3384" s="366" t="s">
        <v>51</v>
      </c>
      <c r="E3384" s="366" t="s">
        <v>10082</v>
      </c>
      <c r="F3384" s="366" t="s">
        <v>10078</v>
      </c>
      <c r="G3384" s="366" t="s">
        <v>10088</v>
      </c>
      <c r="H3384" s="366" t="s">
        <v>12623</v>
      </c>
      <c r="I3384" s="364" t="s">
        <v>12998</v>
      </c>
      <c r="J3384" s="367">
        <v>42569</v>
      </c>
      <c r="K3384" s="364" t="s">
        <v>15709</v>
      </c>
      <c r="L3384" s="364"/>
      <c r="M3384" s="364" t="s">
        <v>10084</v>
      </c>
      <c r="N3384" s="364"/>
      <c r="O3384" s="364" t="s">
        <v>57</v>
      </c>
      <c r="P3384" s="373">
        <v>220913000</v>
      </c>
      <c r="Q3384" s="364" t="s">
        <v>15710</v>
      </c>
      <c r="R3384" s="364" t="s">
        <v>10005</v>
      </c>
      <c r="S3384" s="340">
        <v>1</v>
      </c>
    </row>
    <row r="3385" spans="1:19" ht="31.5" thickBot="1" x14ac:dyDescent="0.4">
      <c r="A3385" s="357">
        <v>3374</v>
      </c>
      <c r="B3385" s="364" t="s">
        <v>11830</v>
      </c>
      <c r="C3385" s="364" t="s">
        <v>11831</v>
      </c>
      <c r="D3385" s="366" t="s">
        <v>51</v>
      </c>
      <c r="E3385" s="366" t="s">
        <v>10082</v>
      </c>
      <c r="F3385" s="366" t="s">
        <v>10078</v>
      </c>
      <c r="G3385" s="366" t="s">
        <v>10088</v>
      </c>
      <c r="H3385" s="366" t="s">
        <v>231</v>
      </c>
      <c r="I3385" s="364" t="s">
        <v>12998</v>
      </c>
      <c r="J3385" s="367">
        <v>41904</v>
      </c>
      <c r="K3385" s="364" t="s">
        <v>15711</v>
      </c>
      <c r="L3385" s="364"/>
      <c r="M3385" s="364" t="s">
        <v>10084</v>
      </c>
      <c r="N3385" s="364"/>
      <c r="O3385" s="364" t="s">
        <v>57</v>
      </c>
      <c r="P3385" s="373">
        <v>254004800</v>
      </c>
      <c r="Q3385" s="364" t="s">
        <v>15712</v>
      </c>
      <c r="R3385" s="364" t="s">
        <v>10005</v>
      </c>
      <c r="S3385" s="340">
        <v>1</v>
      </c>
    </row>
    <row r="3386" spans="1:19" ht="31" x14ac:dyDescent="0.35">
      <c r="A3386" s="349">
        <v>3375</v>
      </c>
      <c r="B3386" s="364" t="s">
        <v>10080</v>
      </c>
      <c r="C3386" s="364" t="s">
        <v>10081</v>
      </c>
      <c r="D3386" s="366" t="s">
        <v>51</v>
      </c>
      <c r="E3386" s="366" t="s">
        <v>10082</v>
      </c>
      <c r="F3386" s="366" t="s">
        <v>10078</v>
      </c>
      <c r="G3386" s="366" t="s">
        <v>10088</v>
      </c>
      <c r="H3386" s="366" t="s">
        <v>12157</v>
      </c>
      <c r="I3386" s="364" t="s">
        <v>12998</v>
      </c>
      <c r="J3386" s="367">
        <v>41904</v>
      </c>
      <c r="K3386" s="364" t="s">
        <v>15713</v>
      </c>
      <c r="L3386" s="364"/>
      <c r="M3386" s="364" t="s">
        <v>10084</v>
      </c>
      <c r="N3386" s="364"/>
      <c r="O3386" s="364" t="s">
        <v>57</v>
      </c>
      <c r="P3386" s="373">
        <v>699035800</v>
      </c>
      <c r="Q3386" s="364" t="s">
        <v>15714</v>
      </c>
      <c r="R3386" s="364" t="s">
        <v>10005</v>
      </c>
      <c r="S3386" s="340">
        <v>1</v>
      </c>
    </row>
    <row r="3387" spans="1:19" ht="31.5" thickBot="1" x14ac:dyDescent="0.4">
      <c r="A3387" s="357">
        <v>3376</v>
      </c>
      <c r="B3387" s="364" t="s">
        <v>10080</v>
      </c>
      <c r="C3387" s="364" t="s">
        <v>10081</v>
      </c>
      <c r="D3387" s="366" t="s">
        <v>59</v>
      </c>
      <c r="E3387" s="366" t="s">
        <v>10082</v>
      </c>
      <c r="F3387" s="366" t="s">
        <v>10078</v>
      </c>
      <c r="G3387" s="366" t="s">
        <v>10088</v>
      </c>
      <c r="H3387" s="366" t="s">
        <v>12157</v>
      </c>
      <c r="I3387" s="364" t="s">
        <v>12998</v>
      </c>
      <c r="J3387" s="367">
        <v>41904</v>
      </c>
      <c r="K3387" s="364" t="s">
        <v>15713</v>
      </c>
      <c r="L3387" s="364"/>
      <c r="M3387" s="364" t="s">
        <v>10084</v>
      </c>
      <c r="N3387" s="364"/>
      <c r="O3387" s="364" t="s">
        <v>57</v>
      </c>
      <c r="P3387" s="373">
        <v>133203760.00000001</v>
      </c>
      <c r="Q3387" s="364" t="s">
        <v>15714</v>
      </c>
      <c r="R3387" s="364" t="s">
        <v>10005</v>
      </c>
      <c r="S3387" s="340">
        <v>1</v>
      </c>
    </row>
    <row r="3388" spans="1:19" ht="31" x14ac:dyDescent="0.35">
      <c r="A3388" s="349">
        <v>3377</v>
      </c>
      <c r="B3388" s="364" t="s">
        <v>10110</v>
      </c>
      <c r="C3388" s="364" t="s">
        <v>10111</v>
      </c>
      <c r="D3388" s="366" t="s">
        <v>51</v>
      </c>
      <c r="E3388" s="366" t="s">
        <v>10082</v>
      </c>
      <c r="F3388" s="366" t="s">
        <v>10078</v>
      </c>
      <c r="G3388" s="366" t="s">
        <v>10088</v>
      </c>
      <c r="H3388" s="366" t="s">
        <v>11332</v>
      </c>
      <c r="I3388" s="364" t="s">
        <v>12998</v>
      </c>
      <c r="J3388" s="367">
        <v>42149</v>
      </c>
      <c r="K3388" s="364" t="s">
        <v>15715</v>
      </c>
      <c r="L3388" s="364"/>
      <c r="M3388" s="364" t="s">
        <v>10084</v>
      </c>
      <c r="N3388" s="364"/>
      <c r="O3388" s="364" t="s">
        <v>57</v>
      </c>
      <c r="P3388" s="373">
        <v>82117500</v>
      </c>
      <c r="Q3388" s="364" t="s">
        <v>15716</v>
      </c>
      <c r="R3388" s="364" t="s">
        <v>10005</v>
      </c>
      <c r="S3388" s="340">
        <v>1</v>
      </c>
    </row>
    <row r="3389" spans="1:19" ht="47" thickBot="1" x14ac:dyDescent="0.4">
      <c r="A3389" s="357">
        <v>3378</v>
      </c>
      <c r="B3389" s="364" t="s">
        <v>10110</v>
      </c>
      <c r="C3389" s="364" t="s">
        <v>10111</v>
      </c>
      <c r="D3389" s="366" t="s">
        <v>59</v>
      </c>
      <c r="E3389" s="366" t="s">
        <v>10082</v>
      </c>
      <c r="F3389" s="366" t="s">
        <v>10078</v>
      </c>
      <c r="G3389" s="366" t="s">
        <v>10088</v>
      </c>
      <c r="H3389" s="366" t="s">
        <v>13120</v>
      </c>
      <c r="I3389" s="364" t="s">
        <v>15717</v>
      </c>
      <c r="J3389" s="367"/>
      <c r="K3389" s="364" t="s">
        <v>15718</v>
      </c>
      <c r="L3389" s="364"/>
      <c r="M3389" s="364"/>
      <c r="N3389" s="364"/>
      <c r="O3389" s="364" t="s">
        <v>44</v>
      </c>
      <c r="P3389" s="373">
        <v>315850700</v>
      </c>
      <c r="Q3389" s="364" t="s">
        <v>15719</v>
      </c>
      <c r="R3389" s="364" t="s">
        <v>10005</v>
      </c>
      <c r="S3389" s="340">
        <v>1</v>
      </c>
    </row>
    <row r="3390" spans="1:19" ht="62" x14ac:dyDescent="0.35">
      <c r="A3390" s="349">
        <v>3379</v>
      </c>
      <c r="B3390" s="364" t="s">
        <v>10110</v>
      </c>
      <c r="C3390" s="364" t="s">
        <v>10111</v>
      </c>
      <c r="D3390" s="366" t="s">
        <v>97</v>
      </c>
      <c r="E3390" s="366" t="s">
        <v>10082</v>
      </c>
      <c r="F3390" s="366" t="s">
        <v>10078</v>
      </c>
      <c r="G3390" s="366" t="s">
        <v>10088</v>
      </c>
      <c r="H3390" s="366" t="s">
        <v>11451</v>
      </c>
      <c r="I3390" s="364" t="s">
        <v>15717</v>
      </c>
      <c r="J3390" s="367"/>
      <c r="K3390" s="364" t="s">
        <v>15720</v>
      </c>
      <c r="L3390" s="364"/>
      <c r="M3390" s="364"/>
      <c r="N3390" s="364"/>
      <c r="O3390" s="364" t="s">
        <v>44</v>
      </c>
      <c r="P3390" s="373">
        <v>213277187.5</v>
      </c>
      <c r="Q3390" s="364" t="s">
        <v>15721</v>
      </c>
      <c r="R3390" s="364" t="s">
        <v>10005</v>
      </c>
      <c r="S3390" s="340">
        <v>1</v>
      </c>
    </row>
    <row r="3391" spans="1:19" ht="62.5" thickBot="1" x14ac:dyDescent="0.4">
      <c r="A3391" s="357">
        <v>3380</v>
      </c>
      <c r="B3391" s="364" t="s">
        <v>10110</v>
      </c>
      <c r="C3391" s="364" t="s">
        <v>10111</v>
      </c>
      <c r="D3391" s="366" t="s">
        <v>101</v>
      </c>
      <c r="E3391" s="366" t="s">
        <v>10082</v>
      </c>
      <c r="F3391" s="366" t="s">
        <v>10078</v>
      </c>
      <c r="G3391" s="366" t="s">
        <v>10088</v>
      </c>
      <c r="H3391" s="366" t="s">
        <v>163</v>
      </c>
      <c r="I3391" s="364" t="s">
        <v>15717</v>
      </c>
      <c r="J3391" s="367"/>
      <c r="K3391" s="364" t="s">
        <v>15722</v>
      </c>
      <c r="L3391" s="364"/>
      <c r="M3391" s="364"/>
      <c r="N3391" s="364"/>
      <c r="O3391" s="364" t="s">
        <v>44</v>
      </c>
      <c r="P3391" s="373">
        <v>517920880</v>
      </c>
      <c r="Q3391" s="364" t="s">
        <v>15723</v>
      </c>
      <c r="R3391" s="364" t="s">
        <v>10005</v>
      </c>
      <c r="S3391" s="340">
        <v>1</v>
      </c>
    </row>
    <row r="3392" spans="1:19" ht="46.5" x14ac:dyDescent="0.35">
      <c r="A3392" s="349">
        <v>3381</v>
      </c>
      <c r="B3392" s="364" t="s">
        <v>10110</v>
      </c>
      <c r="C3392" s="364" t="s">
        <v>10111</v>
      </c>
      <c r="D3392" s="366" t="s">
        <v>107</v>
      </c>
      <c r="E3392" s="366" t="s">
        <v>10082</v>
      </c>
      <c r="F3392" s="366" t="s">
        <v>10078</v>
      </c>
      <c r="G3392" s="366" t="s">
        <v>10088</v>
      </c>
      <c r="H3392" s="366" t="s">
        <v>12968</v>
      </c>
      <c r="I3392" s="364" t="s">
        <v>15717</v>
      </c>
      <c r="J3392" s="367"/>
      <c r="K3392" s="364" t="s">
        <v>15724</v>
      </c>
      <c r="L3392" s="364"/>
      <c r="M3392" s="364"/>
      <c r="N3392" s="364"/>
      <c r="O3392" s="364" t="s">
        <v>44</v>
      </c>
      <c r="P3392" s="373">
        <v>355395030</v>
      </c>
      <c r="Q3392" s="364" t="s">
        <v>15725</v>
      </c>
      <c r="R3392" s="364" t="s">
        <v>10005</v>
      </c>
      <c r="S3392" s="340">
        <v>1</v>
      </c>
    </row>
    <row r="3393" spans="1:19" ht="31.5" thickBot="1" x14ac:dyDescent="0.4">
      <c r="A3393" s="357">
        <v>3382</v>
      </c>
      <c r="B3393" s="364" t="s">
        <v>10092</v>
      </c>
      <c r="C3393" s="364" t="s">
        <v>10093</v>
      </c>
      <c r="D3393" s="366" t="s">
        <v>51</v>
      </c>
      <c r="E3393" s="366" t="s">
        <v>10082</v>
      </c>
      <c r="F3393" s="366" t="s">
        <v>10078</v>
      </c>
      <c r="G3393" s="366" t="s">
        <v>10088</v>
      </c>
      <c r="H3393" s="366" t="s">
        <v>1122</v>
      </c>
      <c r="I3393" s="364" t="s">
        <v>12998</v>
      </c>
      <c r="J3393" s="367">
        <v>41904</v>
      </c>
      <c r="K3393" s="364" t="s">
        <v>15726</v>
      </c>
      <c r="L3393" s="364"/>
      <c r="M3393" s="364" t="s">
        <v>10084</v>
      </c>
      <c r="N3393" s="364"/>
      <c r="O3393" s="364" t="s">
        <v>57</v>
      </c>
      <c r="P3393" s="373">
        <v>243639600</v>
      </c>
      <c r="Q3393" s="364" t="s">
        <v>15727</v>
      </c>
      <c r="R3393" s="364" t="s">
        <v>10005</v>
      </c>
      <c r="S3393" s="340">
        <v>1</v>
      </c>
    </row>
    <row r="3394" spans="1:19" ht="31" x14ac:dyDescent="0.35">
      <c r="A3394" s="349">
        <v>3383</v>
      </c>
      <c r="B3394" s="364" t="s">
        <v>10085</v>
      </c>
      <c r="C3394" s="364" t="s">
        <v>10086</v>
      </c>
      <c r="D3394" s="366" t="s">
        <v>51</v>
      </c>
      <c r="E3394" s="366" t="s">
        <v>10082</v>
      </c>
      <c r="F3394" s="366" t="s">
        <v>10078</v>
      </c>
      <c r="G3394" s="366" t="s">
        <v>10088</v>
      </c>
      <c r="H3394" s="366" t="s">
        <v>8952</v>
      </c>
      <c r="I3394" s="364" t="s">
        <v>12998</v>
      </c>
      <c r="J3394" s="367"/>
      <c r="K3394" s="364"/>
      <c r="L3394" s="364"/>
      <c r="M3394" s="364" t="s">
        <v>10084</v>
      </c>
      <c r="N3394" s="364"/>
      <c r="O3394" s="364" t="s">
        <v>57</v>
      </c>
      <c r="P3394" s="373">
        <v>99680000</v>
      </c>
      <c r="Q3394" s="364" t="s">
        <v>15728</v>
      </c>
      <c r="R3394" s="364" t="s">
        <v>10005</v>
      </c>
      <c r="S3394" s="340">
        <v>1</v>
      </c>
    </row>
    <row r="3395" spans="1:19" ht="31.5" thickBot="1" x14ac:dyDescent="0.4">
      <c r="A3395" s="357">
        <v>3384</v>
      </c>
      <c r="B3395" s="364" t="s">
        <v>10096</v>
      </c>
      <c r="C3395" s="364" t="s">
        <v>10097</v>
      </c>
      <c r="D3395" s="366" t="s">
        <v>51</v>
      </c>
      <c r="E3395" s="366" t="s">
        <v>10082</v>
      </c>
      <c r="F3395" s="366" t="s">
        <v>10078</v>
      </c>
      <c r="G3395" s="366" t="s">
        <v>10088</v>
      </c>
      <c r="H3395" s="366" t="s">
        <v>12007</v>
      </c>
      <c r="I3395" s="364" t="s">
        <v>12998</v>
      </c>
      <c r="J3395" s="367">
        <v>42061</v>
      </c>
      <c r="K3395" s="364" t="s">
        <v>15729</v>
      </c>
      <c r="L3395" s="364"/>
      <c r="M3395" s="364" t="s">
        <v>10084</v>
      </c>
      <c r="N3395" s="364"/>
      <c r="O3395" s="364" t="s">
        <v>57</v>
      </c>
      <c r="P3395" s="373">
        <v>165195000</v>
      </c>
      <c r="Q3395" s="364" t="s">
        <v>15730</v>
      </c>
      <c r="R3395" s="364" t="s">
        <v>10005</v>
      </c>
      <c r="S3395" s="340">
        <v>1</v>
      </c>
    </row>
    <row r="3396" spans="1:19" ht="31" x14ac:dyDescent="0.35">
      <c r="A3396" s="349">
        <v>3385</v>
      </c>
      <c r="B3396" s="364" t="s">
        <v>10080</v>
      </c>
      <c r="C3396" s="364" t="s">
        <v>10081</v>
      </c>
      <c r="D3396" s="366" t="s">
        <v>51</v>
      </c>
      <c r="E3396" s="366" t="s">
        <v>10082</v>
      </c>
      <c r="F3396" s="366" t="s">
        <v>10078</v>
      </c>
      <c r="G3396" s="366" t="s">
        <v>10088</v>
      </c>
      <c r="H3396" s="366" t="s">
        <v>12924</v>
      </c>
      <c r="I3396" s="364" t="s">
        <v>12831</v>
      </c>
      <c r="J3396" s="367">
        <v>42188</v>
      </c>
      <c r="K3396" s="364" t="s">
        <v>15731</v>
      </c>
      <c r="L3396" s="364"/>
      <c r="M3396" s="364" t="s">
        <v>10084</v>
      </c>
      <c r="N3396" s="364"/>
      <c r="O3396" s="364" t="s">
        <v>57</v>
      </c>
      <c r="P3396" s="373">
        <v>681245500</v>
      </c>
      <c r="Q3396" s="364" t="s">
        <v>15732</v>
      </c>
      <c r="R3396" s="364" t="s">
        <v>10008</v>
      </c>
      <c r="S3396" s="340">
        <v>1</v>
      </c>
    </row>
    <row r="3397" spans="1:19" ht="47" thickBot="1" x14ac:dyDescent="0.4">
      <c r="A3397" s="357">
        <v>3386</v>
      </c>
      <c r="B3397" s="364" t="s">
        <v>10080</v>
      </c>
      <c r="C3397" s="364" t="s">
        <v>10081</v>
      </c>
      <c r="D3397" s="366" t="s">
        <v>59</v>
      </c>
      <c r="E3397" s="366" t="s">
        <v>10082</v>
      </c>
      <c r="F3397" s="366" t="s">
        <v>10078</v>
      </c>
      <c r="G3397" s="366" t="s">
        <v>10088</v>
      </c>
      <c r="H3397" s="366" t="s">
        <v>13157</v>
      </c>
      <c r="I3397" s="364" t="s">
        <v>11259</v>
      </c>
      <c r="J3397" s="367">
        <v>44749</v>
      </c>
      <c r="K3397" s="364" t="s">
        <v>15733</v>
      </c>
      <c r="L3397" s="364"/>
      <c r="M3397" s="364"/>
      <c r="N3397" s="364"/>
      <c r="O3397" s="364" t="s">
        <v>44</v>
      </c>
      <c r="P3397" s="373">
        <v>773082600</v>
      </c>
      <c r="Q3397" s="364" t="s">
        <v>15734</v>
      </c>
      <c r="R3397" s="364" t="s">
        <v>10008</v>
      </c>
      <c r="S3397" s="340">
        <v>1</v>
      </c>
    </row>
    <row r="3398" spans="1:19" ht="46.5" x14ac:dyDescent="0.35">
      <c r="A3398" s="349">
        <v>3387</v>
      </c>
      <c r="B3398" s="364" t="s">
        <v>10110</v>
      </c>
      <c r="C3398" s="364" t="s">
        <v>10111</v>
      </c>
      <c r="D3398" s="366" t="s">
        <v>51</v>
      </c>
      <c r="E3398" s="366" t="s">
        <v>10082</v>
      </c>
      <c r="F3398" s="366" t="s">
        <v>10078</v>
      </c>
      <c r="G3398" s="366" t="s">
        <v>10088</v>
      </c>
      <c r="H3398" s="366" t="s">
        <v>1122</v>
      </c>
      <c r="I3398" s="364" t="s">
        <v>11259</v>
      </c>
      <c r="J3398" s="367">
        <v>44743</v>
      </c>
      <c r="K3398" s="364" t="s">
        <v>15735</v>
      </c>
      <c r="L3398" s="364"/>
      <c r="M3398" s="364"/>
      <c r="N3398" s="364"/>
      <c r="O3398" s="364" t="s">
        <v>44</v>
      </c>
      <c r="P3398" s="373">
        <v>528099050.00000006</v>
      </c>
      <c r="Q3398" s="364" t="s">
        <v>15736</v>
      </c>
      <c r="R3398" s="364" t="s">
        <v>10008</v>
      </c>
      <c r="S3398" s="340">
        <v>1</v>
      </c>
    </row>
    <row r="3399" spans="1:19" ht="62.5" thickBot="1" x14ac:dyDescent="0.4">
      <c r="A3399" s="357">
        <v>3388</v>
      </c>
      <c r="B3399" s="364" t="s">
        <v>10110</v>
      </c>
      <c r="C3399" s="364" t="s">
        <v>10111</v>
      </c>
      <c r="D3399" s="366" t="s">
        <v>59</v>
      </c>
      <c r="E3399" s="366" t="s">
        <v>10082</v>
      </c>
      <c r="F3399" s="366" t="s">
        <v>10078</v>
      </c>
      <c r="G3399" s="366" t="s">
        <v>10088</v>
      </c>
      <c r="H3399" s="366" t="s">
        <v>163</v>
      </c>
      <c r="I3399" s="364" t="s">
        <v>11259</v>
      </c>
      <c r="J3399" s="367">
        <v>44754</v>
      </c>
      <c r="K3399" s="364" t="s">
        <v>15737</v>
      </c>
      <c r="L3399" s="364"/>
      <c r="M3399" s="364"/>
      <c r="N3399" s="364"/>
      <c r="O3399" s="364" t="s">
        <v>44</v>
      </c>
      <c r="P3399" s="373">
        <v>492809290</v>
      </c>
      <c r="Q3399" s="364" t="s">
        <v>15738</v>
      </c>
      <c r="R3399" s="364" t="s">
        <v>10008</v>
      </c>
      <c r="S3399" s="340">
        <v>1</v>
      </c>
    </row>
    <row r="3400" spans="1:19" ht="46.5" x14ac:dyDescent="0.35">
      <c r="A3400" s="349">
        <v>3389</v>
      </c>
      <c r="B3400" s="364" t="s">
        <v>10110</v>
      </c>
      <c r="C3400" s="364" t="s">
        <v>10111</v>
      </c>
      <c r="D3400" s="366" t="s">
        <v>97</v>
      </c>
      <c r="E3400" s="366" t="s">
        <v>10082</v>
      </c>
      <c r="F3400" s="366" t="s">
        <v>10078</v>
      </c>
      <c r="G3400" s="366" t="s">
        <v>10088</v>
      </c>
      <c r="H3400" s="366" t="s">
        <v>11425</v>
      </c>
      <c r="I3400" s="364" t="s">
        <v>11259</v>
      </c>
      <c r="J3400" s="367">
        <v>44761</v>
      </c>
      <c r="K3400" s="364" t="s">
        <v>15739</v>
      </c>
      <c r="L3400" s="364"/>
      <c r="M3400" s="364"/>
      <c r="N3400" s="364"/>
      <c r="O3400" s="364" t="s">
        <v>44</v>
      </c>
      <c r="P3400" s="373">
        <v>165330000</v>
      </c>
      <c r="Q3400" s="364" t="s">
        <v>15740</v>
      </c>
      <c r="R3400" s="364" t="s">
        <v>10008</v>
      </c>
      <c r="S3400" s="340">
        <v>1</v>
      </c>
    </row>
    <row r="3401" spans="1:19" ht="47" thickBot="1" x14ac:dyDescent="0.4">
      <c r="A3401" s="357">
        <v>3390</v>
      </c>
      <c r="B3401" s="364" t="s">
        <v>10092</v>
      </c>
      <c r="C3401" s="364" t="s">
        <v>10093</v>
      </c>
      <c r="D3401" s="366" t="s">
        <v>51</v>
      </c>
      <c r="E3401" s="366" t="s">
        <v>10082</v>
      </c>
      <c r="F3401" s="366" t="s">
        <v>10078</v>
      </c>
      <c r="G3401" s="366" t="s">
        <v>10088</v>
      </c>
      <c r="H3401" s="366" t="s">
        <v>11409</v>
      </c>
      <c r="I3401" s="364" t="s">
        <v>15741</v>
      </c>
      <c r="J3401" s="367">
        <v>44743</v>
      </c>
      <c r="K3401" s="364" t="s">
        <v>15742</v>
      </c>
      <c r="L3401" s="364"/>
      <c r="M3401" s="364"/>
      <c r="N3401" s="364"/>
      <c r="O3401" s="364" t="s">
        <v>44</v>
      </c>
      <c r="P3401" s="373">
        <v>485404600</v>
      </c>
      <c r="Q3401" s="364" t="s">
        <v>15743</v>
      </c>
      <c r="R3401" s="364" t="s">
        <v>10008</v>
      </c>
      <c r="S3401" s="340">
        <v>1</v>
      </c>
    </row>
    <row r="3402" spans="1:19" ht="31" x14ac:dyDescent="0.35">
      <c r="A3402" s="349">
        <v>3391</v>
      </c>
      <c r="B3402" s="364" t="s">
        <v>10146</v>
      </c>
      <c r="C3402" s="364" t="s">
        <v>10147</v>
      </c>
      <c r="D3402" s="366" t="s">
        <v>51</v>
      </c>
      <c r="E3402" s="366" t="s">
        <v>10082</v>
      </c>
      <c r="F3402" s="366" t="s">
        <v>10078</v>
      </c>
      <c r="G3402" s="366" t="s">
        <v>10088</v>
      </c>
      <c r="H3402" s="366" t="s">
        <v>11308</v>
      </c>
      <c r="I3402" s="364" t="s">
        <v>12831</v>
      </c>
      <c r="J3402" s="367">
        <v>42937</v>
      </c>
      <c r="K3402" s="364" t="s">
        <v>15744</v>
      </c>
      <c r="L3402" s="364"/>
      <c r="M3402" s="364" t="s">
        <v>10084</v>
      </c>
      <c r="N3402" s="364"/>
      <c r="O3402" s="364" t="s">
        <v>57</v>
      </c>
      <c r="P3402" s="373">
        <v>221245000</v>
      </c>
      <c r="Q3402" s="364" t="s">
        <v>15745</v>
      </c>
      <c r="R3402" s="364" t="s">
        <v>10008</v>
      </c>
      <c r="S3402" s="340">
        <v>1</v>
      </c>
    </row>
    <row r="3403" spans="1:19" ht="47" thickBot="1" x14ac:dyDescent="0.4">
      <c r="A3403" s="357">
        <v>3392</v>
      </c>
      <c r="B3403" s="364" t="s">
        <v>11830</v>
      </c>
      <c r="C3403" s="364" t="s">
        <v>11831</v>
      </c>
      <c r="D3403" s="366" t="s">
        <v>51</v>
      </c>
      <c r="E3403" s="366" t="s">
        <v>10082</v>
      </c>
      <c r="F3403" s="366" t="s">
        <v>10078</v>
      </c>
      <c r="G3403" s="366" t="s">
        <v>10078</v>
      </c>
      <c r="H3403" s="366" t="s">
        <v>163</v>
      </c>
      <c r="I3403" s="364" t="s">
        <v>13621</v>
      </c>
      <c r="J3403" s="367">
        <v>43966</v>
      </c>
      <c r="K3403" s="364" t="s">
        <v>15746</v>
      </c>
      <c r="L3403" s="364"/>
      <c r="M3403" s="364" t="s">
        <v>10084</v>
      </c>
      <c r="N3403" s="364"/>
      <c r="O3403" s="364" t="s">
        <v>57</v>
      </c>
      <c r="P3403" s="373">
        <v>444517000</v>
      </c>
      <c r="Q3403" s="364" t="s">
        <v>15747</v>
      </c>
      <c r="R3403" s="364" t="s">
        <v>10010</v>
      </c>
      <c r="S3403" s="340">
        <v>1</v>
      </c>
    </row>
    <row r="3404" spans="1:19" ht="31" x14ac:dyDescent="0.35">
      <c r="A3404" s="349">
        <v>3393</v>
      </c>
      <c r="B3404" s="364" t="s">
        <v>10080</v>
      </c>
      <c r="C3404" s="364" t="s">
        <v>10081</v>
      </c>
      <c r="D3404" s="366" t="s">
        <v>51</v>
      </c>
      <c r="E3404" s="366" t="s">
        <v>10082</v>
      </c>
      <c r="F3404" s="366" t="s">
        <v>10078</v>
      </c>
      <c r="G3404" s="366" t="s">
        <v>10078</v>
      </c>
      <c r="H3404" s="366" t="s">
        <v>5537</v>
      </c>
      <c r="I3404" s="364" t="s">
        <v>9973</v>
      </c>
      <c r="J3404" s="367"/>
      <c r="K3404" s="364"/>
      <c r="L3404" s="364"/>
      <c r="M3404" s="364" t="s">
        <v>10084</v>
      </c>
      <c r="N3404" s="364"/>
      <c r="O3404" s="364" t="s">
        <v>57</v>
      </c>
      <c r="P3404" s="373">
        <v>180779000</v>
      </c>
      <c r="Q3404" s="364"/>
      <c r="R3404" s="364" t="s">
        <v>10010</v>
      </c>
      <c r="S3404" s="340">
        <v>1</v>
      </c>
    </row>
    <row r="3405" spans="1:19" ht="31.5" thickBot="1" x14ac:dyDescent="0.4">
      <c r="A3405" s="357">
        <v>3394</v>
      </c>
      <c r="B3405" s="364" t="s">
        <v>10080</v>
      </c>
      <c r="C3405" s="364" t="s">
        <v>10081</v>
      </c>
      <c r="D3405" s="366" t="s">
        <v>59</v>
      </c>
      <c r="E3405" s="366" t="s">
        <v>10082</v>
      </c>
      <c r="F3405" s="366" t="s">
        <v>10078</v>
      </c>
      <c r="G3405" s="366" t="s">
        <v>10078</v>
      </c>
      <c r="H3405" s="366" t="s">
        <v>12116</v>
      </c>
      <c r="I3405" s="364" t="s">
        <v>9973</v>
      </c>
      <c r="J3405" s="367"/>
      <c r="K3405" s="364"/>
      <c r="L3405" s="364"/>
      <c r="M3405" s="364" t="s">
        <v>10084</v>
      </c>
      <c r="N3405" s="364"/>
      <c r="O3405" s="364" t="s">
        <v>57</v>
      </c>
      <c r="P3405" s="373">
        <v>361557000</v>
      </c>
      <c r="Q3405" s="364"/>
      <c r="R3405" s="364" t="s">
        <v>10010</v>
      </c>
      <c r="S3405" s="340">
        <v>1</v>
      </c>
    </row>
    <row r="3406" spans="1:19" ht="31" x14ac:dyDescent="0.35">
      <c r="A3406" s="349">
        <v>3395</v>
      </c>
      <c r="B3406" s="364" t="s">
        <v>10080</v>
      </c>
      <c r="C3406" s="364" t="s">
        <v>10081</v>
      </c>
      <c r="D3406" s="366" t="s">
        <v>97</v>
      </c>
      <c r="E3406" s="366" t="s">
        <v>10082</v>
      </c>
      <c r="F3406" s="366" t="s">
        <v>10078</v>
      </c>
      <c r="G3406" s="366" t="s">
        <v>10078</v>
      </c>
      <c r="H3406" s="366" t="s">
        <v>14053</v>
      </c>
      <c r="I3406" s="364" t="s">
        <v>9973</v>
      </c>
      <c r="J3406" s="367"/>
      <c r="K3406" s="364"/>
      <c r="L3406" s="364"/>
      <c r="M3406" s="364" t="s">
        <v>10084</v>
      </c>
      <c r="N3406" s="364"/>
      <c r="O3406" s="364" t="s">
        <v>57</v>
      </c>
      <c r="P3406" s="373">
        <v>566901000</v>
      </c>
      <c r="Q3406" s="364"/>
      <c r="R3406" s="364" t="s">
        <v>10010</v>
      </c>
      <c r="S3406" s="340">
        <v>1</v>
      </c>
    </row>
    <row r="3407" spans="1:19" ht="31.5" thickBot="1" x14ac:dyDescent="0.4">
      <c r="A3407" s="357">
        <v>3396</v>
      </c>
      <c r="B3407" s="364" t="s">
        <v>10080</v>
      </c>
      <c r="C3407" s="364" t="s">
        <v>10081</v>
      </c>
      <c r="D3407" s="366" t="s">
        <v>101</v>
      </c>
      <c r="E3407" s="366" t="s">
        <v>10082</v>
      </c>
      <c r="F3407" s="366" t="s">
        <v>10078</v>
      </c>
      <c r="G3407" s="366" t="s">
        <v>10078</v>
      </c>
      <c r="H3407" s="366" t="s">
        <v>11870</v>
      </c>
      <c r="I3407" s="364" t="s">
        <v>9973</v>
      </c>
      <c r="J3407" s="367"/>
      <c r="K3407" s="364"/>
      <c r="L3407" s="364"/>
      <c r="M3407" s="364" t="s">
        <v>10084</v>
      </c>
      <c r="N3407" s="364"/>
      <c r="O3407" s="364" t="s">
        <v>57</v>
      </c>
      <c r="P3407" s="373">
        <v>151544000</v>
      </c>
      <c r="Q3407" s="364"/>
      <c r="R3407" s="364" t="s">
        <v>10010</v>
      </c>
      <c r="S3407" s="340">
        <v>1</v>
      </c>
    </row>
    <row r="3408" spans="1:19" ht="31" x14ac:dyDescent="0.35">
      <c r="A3408" s="349">
        <v>3397</v>
      </c>
      <c r="B3408" s="364" t="s">
        <v>10080</v>
      </c>
      <c r="C3408" s="364" t="s">
        <v>10081</v>
      </c>
      <c r="D3408" s="366" t="s">
        <v>107</v>
      </c>
      <c r="E3408" s="366" t="s">
        <v>10082</v>
      </c>
      <c r="F3408" s="366" t="s">
        <v>10078</v>
      </c>
      <c r="G3408" s="366" t="s">
        <v>10078</v>
      </c>
      <c r="H3408" s="366" t="s">
        <v>8961</v>
      </c>
      <c r="I3408" s="364" t="s">
        <v>9973</v>
      </c>
      <c r="J3408" s="367"/>
      <c r="K3408" s="364"/>
      <c r="L3408" s="364"/>
      <c r="M3408" s="364" t="s">
        <v>10084</v>
      </c>
      <c r="N3408" s="364"/>
      <c r="O3408" s="364" t="s">
        <v>57</v>
      </c>
      <c r="P3408" s="373">
        <v>108467000</v>
      </c>
      <c r="Q3408" s="364"/>
      <c r="R3408" s="364" t="s">
        <v>10010</v>
      </c>
      <c r="S3408" s="340">
        <v>1</v>
      </c>
    </row>
    <row r="3409" spans="1:19" ht="31.5" thickBot="1" x14ac:dyDescent="0.4">
      <c r="A3409" s="357">
        <v>3398</v>
      </c>
      <c r="B3409" s="364" t="s">
        <v>10080</v>
      </c>
      <c r="C3409" s="364" t="s">
        <v>10081</v>
      </c>
      <c r="D3409" s="366" t="s">
        <v>112</v>
      </c>
      <c r="E3409" s="366" t="s">
        <v>10082</v>
      </c>
      <c r="F3409" s="366" t="s">
        <v>10078</v>
      </c>
      <c r="G3409" s="366" t="s">
        <v>10078</v>
      </c>
      <c r="H3409" s="366" t="s">
        <v>8961</v>
      </c>
      <c r="I3409" s="364" t="s">
        <v>9973</v>
      </c>
      <c r="J3409" s="367"/>
      <c r="K3409" s="364"/>
      <c r="L3409" s="364"/>
      <c r="M3409" s="364" t="s">
        <v>10084</v>
      </c>
      <c r="N3409" s="364"/>
      <c r="O3409" s="364" t="s">
        <v>57</v>
      </c>
      <c r="P3409" s="373">
        <v>108467000</v>
      </c>
      <c r="Q3409" s="364"/>
      <c r="R3409" s="364" t="s">
        <v>10010</v>
      </c>
      <c r="S3409" s="340">
        <v>1</v>
      </c>
    </row>
    <row r="3410" spans="1:19" ht="31" x14ac:dyDescent="0.35">
      <c r="A3410" s="349">
        <v>3399</v>
      </c>
      <c r="B3410" s="364" t="s">
        <v>10080</v>
      </c>
      <c r="C3410" s="364" t="s">
        <v>10081</v>
      </c>
      <c r="D3410" s="366" t="s">
        <v>116</v>
      </c>
      <c r="E3410" s="366" t="s">
        <v>10082</v>
      </c>
      <c r="F3410" s="366" t="s">
        <v>10078</v>
      </c>
      <c r="G3410" s="366" t="s">
        <v>10078</v>
      </c>
      <c r="H3410" s="366" t="s">
        <v>8961</v>
      </c>
      <c r="I3410" s="364" t="s">
        <v>9973</v>
      </c>
      <c r="J3410" s="367"/>
      <c r="K3410" s="364"/>
      <c r="L3410" s="364"/>
      <c r="M3410" s="364" t="s">
        <v>10084</v>
      </c>
      <c r="N3410" s="364"/>
      <c r="O3410" s="364" t="s">
        <v>57</v>
      </c>
      <c r="P3410" s="373">
        <v>108467000</v>
      </c>
      <c r="Q3410" s="364"/>
      <c r="R3410" s="364" t="s">
        <v>10010</v>
      </c>
      <c r="S3410" s="340">
        <v>1</v>
      </c>
    </row>
    <row r="3411" spans="1:19" ht="31.5" thickBot="1" x14ac:dyDescent="0.4">
      <c r="A3411" s="357">
        <v>3400</v>
      </c>
      <c r="B3411" s="364" t="s">
        <v>10080</v>
      </c>
      <c r="C3411" s="364" t="s">
        <v>10081</v>
      </c>
      <c r="D3411" s="366" t="s">
        <v>841</v>
      </c>
      <c r="E3411" s="366" t="s">
        <v>10082</v>
      </c>
      <c r="F3411" s="366" t="s">
        <v>10078</v>
      </c>
      <c r="G3411" s="366" t="s">
        <v>10078</v>
      </c>
      <c r="H3411" s="366" t="s">
        <v>13324</v>
      </c>
      <c r="I3411" s="364" t="s">
        <v>9973</v>
      </c>
      <c r="J3411" s="367"/>
      <c r="K3411" s="364"/>
      <c r="L3411" s="364"/>
      <c r="M3411" s="364" t="s">
        <v>10084</v>
      </c>
      <c r="N3411" s="364"/>
      <c r="O3411" s="364" t="s">
        <v>422</v>
      </c>
      <c r="P3411" s="373">
        <v>55000000</v>
      </c>
      <c r="Q3411" s="364" t="s">
        <v>8603</v>
      </c>
      <c r="R3411" s="364" t="s">
        <v>10010</v>
      </c>
      <c r="S3411" s="340">
        <v>1</v>
      </c>
    </row>
    <row r="3412" spans="1:19" ht="31" x14ac:dyDescent="0.35">
      <c r="A3412" s="349">
        <v>3401</v>
      </c>
      <c r="B3412" s="364" t="s">
        <v>10080</v>
      </c>
      <c r="C3412" s="364" t="s">
        <v>10081</v>
      </c>
      <c r="D3412" s="366" t="s">
        <v>904</v>
      </c>
      <c r="E3412" s="366" t="s">
        <v>10082</v>
      </c>
      <c r="F3412" s="366" t="s">
        <v>10078</v>
      </c>
      <c r="G3412" s="366" t="s">
        <v>10088</v>
      </c>
      <c r="H3412" s="366" t="s">
        <v>3405</v>
      </c>
      <c r="I3412" s="364" t="s">
        <v>15748</v>
      </c>
      <c r="J3412" s="367">
        <v>41904</v>
      </c>
      <c r="K3412" s="364" t="s">
        <v>15749</v>
      </c>
      <c r="L3412" s="364"/>
      <c r="M3412" s="364" t="s">
        <v>10084</v>
      </c>
      <c r="N3412" s="364"/>
      <c r="O3412" s="364" t="s">
        <v>57</v>
      </c>
      <c r="P3412" s="373">
        <v>247200800</v>
      </c>
      <c r="Q3412" s="364" t="s">
        <v>15750</v>
      </c>
      <c r="R3412" s="364" t="s">
        <v>10010</v>
      </c>
      <c r="S3412" s="340">
        <v>1</v>
      </c>
    </row>
    <row r="3413" spans="1:19" ht="47" thickBot="1" x14ac:dyDescent="0.4">
      <c r="A3413" s="357">
        <v>3402</v>
      </c>
      <c r="B3413" s="364" t="s">
        <v>10080</v>
      </c>
      <c r="C3413" s="364" t="s">
        <v>10081</v>
      </c>
      <c r="D3413" s="366" t="s">
        <v>122</v>
      </c>
      <c r="E3413" s="366" t="s">
        <v>10082</v>
      </c>
      <c r="F3413" s="366" t="s">
        <v>10078</v>
      </c>
      <c r="G3413" s="366" t="s">
        <v>10088</v>
      </c>
      <c r="H3413" s="366" t="s">
        <v>15353</v>
      </c>
      <c r="I3413" s="364" t="s">
        <v>15751</v>
      </c>
      <c r="J3413" s="367"/>
      <c r="K3413" s="364" t="s">
        <v>15752</v>
      </c>
      <c r="L3413" s="364"/>
      <c r="M3413" s="364"/>
      <c r="N3413" s="364"/>
      <c r="O3413" s="364" t="s">
        <v>44</v>
      </c>
      <c r="P3413" s="373">
        <v>1645928678.8999999</v>
      </c>
      <c r="Q3413" s="364" t="s">
        <v>15753</v>
      </c>
      <c r="R3413" s="364" t="s">
        <v>10010</v>
      </c>
      <c r="S3413" s="340">
        <v>1</v>
      </c>
    </row>
    <row r="3414" spans="1:19" ht="31" x14ac:dyDescent="0.35">
      <c r="A3414" s="349">
        <v>3403</v>
      </c>
      <c r="B3414" s="364" t="s">
        <v>15754</v>
      </c>
      <c r="C3414" s="364" t="s">
        <v>15755</v>
      </c>
      <c r="D3414" s="366" t="s">
        <v>51</v>
      </c>
      <c r="E3414" s="366" t="s">
        <v>10082</v>
      </c>
      <c r="F3414" s="366" t="s">
        <v>10078</v>
      </c>
      <c r="G3414" s="366" t="s">
        <v>10088</v>
      </c>
      <c r="H3414" s="366" t="s">
        <v>15756</v>
      </c>
      <c r="I3414" s="364" t="s">
        <v>15757</v>
      </c>
      <c r="J3414" s="367"/>
      <c r="K3414" s="364" t="s">
        <v>15758</v>
      </c>
      <c r="L3414" s="364"/>
      <c r="M3414" s="364"/>
      <c r="N3414" s="364"/>
      <c r="O3414" s="364" t="s">
        <v>44</v>
      </c>
      <c r="P3414" s="373">
        <v>230816420</v>
      </c>
      <c r="Q3414" s="364" t="s">
        <v>15759</v>
      </c>
      <c r="R3414" s="364" t="s">
        <v>10010</v>
      </c>
      <c r="S3414" s="340">
        <v>1</v>
      </c>
    </row>
    <row r="3415" spans="1:19" ht="31.5" thickBot="1" x14ac:dyDescent="0.4">
      <c r="A3415" s="357">
        <v>3404</v>
      </c>
      <c r="B3415" s="364" t="s">
        <v>10110</v>
      </c>
      <c r="C3415" s="364" t="s">
        <v>10111</v>
      </c>
      <c r="D3415" s="366" t="s">
        <v>51</v>
      </c>
      <c r="E3415" s="366" t="s">
        <v>10082</v>
      </c>
      <c r="F3415" s="366" t="s">
        <v>10078</v>
      </c>
      <c r="G3415" s="366" t="s">
        <v>10078</v>
      </c>
      <c r="H3415" s="366" t="s">
        <v>11613</v>
      </c>
      <c r="I3415" s="364" t="s">
        <v>9973</v>
      </c>
      <c r="J3415" s="367"/>
      <c r="K3415" s="364"/>
      <c r="L3415" s="364"/>
      <c r="M3415" s="364" t="s">
        <v>10084</v>
      </c>
      <c r="N3415" s="364"/>
      <c r="O3415" s="364" t="s">
        <v>57</v>
      </c>
      <c r="P3415" s="373">
        <v>27547000</v>
      </c>
      <c r="Q3415" s="364"/>
      <c r="R3415" s="364" t="s">
        <v>10010</v>
      </c>
      <c r="S3415" s="340">
        <v>1</v>
      </c>
    </row>
    <row r="3416" spans="1:19" ht="31" x14ac:dyDescent="0.35">
      <c r="A3416" s="349">
        <v>3405</v>
      </c>
      <c r="B3416" s="364" t="s">
        <v>10110</v>
      </c>
      <c r="C3416" s="364" t="s">
        <v>10111</v>
      </c>
      <c r="D3416" s="366" t="s">
        <v>59</v>
      </c>
      <c r="E3416" s="366" t="s">
        <v>10082</v>
      </c>
      <c r="F3416" s="366" t="s">
        <v>10078</v>
      </c>
      <c r="G3416" s="366" t="s">
        <v>10088</v>
      </c>
      <c r="H3416" s="366" t="s">
        <v>2972</v>
      </c>
      <c r="I3416" s="364"/>
      <c r="J3416" s="367"/>
      <c r="K3416" s="364"/>
      <c r="L3416" s="364"/>
      <c r="M3416" s="364" t="s">
        <v>10084</v>
      </c>
      <c r="N3416" s="364"/>
      <c r="O3416" s="364" t="s">
        <v>57</v>
      </c>
      <c r="P3416" s="373">
        <v>49869000</v>
      </c>
      <c r="Q3416" s="364"/>
      <c r="R3416" s="364" t="s">
        <v>10010</v>
      </c>
      <c r="S3416" s="340">
        <v>1</v>
      </c>
    </row>
    <row r="3417" spans="1:19" ht="31.5" thickBot="1" x14ac:dyDescent="0.4">
      <c r="A3417" s="357">
        <v>3406</v>
      </c>
      <c r="B3417" s="364" t="s">
        <v>10110</v>
      </c>
      <c r="C3417" s="364" t="s">
        <v>10111</v>
      </c>
      <c r="D3417" s="366" t="s">
        <v>97</v>
      </c>
      <c r="E3417" s="366" t="s">
        <v>10082</v>
      </c>
      <c r="F3417" s="366" t="s">
        <v>10078</v>
      </c>
      <c r="G3417" s="366" t="s">
        <v>10078</v>
      </c>
      <c r="H3417" s="366" t="s">
        <v>11349</v>
      </c>
      <c r="I3417" s="364" t="s">
        <v>11913</v>
      </c>
      <c r="J3417" s="367">
        <v>43705</v>
      </c>
      <c r="K3417" s="364" t="s">
        <v>15760</v>
      </c>
      <c r="L3417" s="364"/>
      <c r="M3417" s="364" t="s">
        <v>10084</v>
      </c>
      <c r="N3417" s="364"/>
      <c r="O3417" s="364" t="s">
        <v>57</v>
      </c>
      <c r="P3417" s="373">
        <v>110645000</v>
      </c>
      <c r="Q3417" s="364" t="s">
        <v>15761</v>
      </c>
      <c r="R3417" s="364" t="s">
        <v>10010</v>
      </c>
      <c r="S3417" s="340">
        <v>1</v>
      </c>
    </row>
    <row r="3418" spans="1:19" ht="31" x14ac:dyDescent="0.35">
      <c r="A3418" s="349">
        <v>3407</v>
      </c>
      <c r="B3418" s="364" t="s">
        <v>10110</v>
      </c>
      <c r="C3418" s="364" t="s">
        <v>10111</v>
      </c>
      <c r="D3418" s="366" t="s">
        <v>101</v>
      </c>
      <c r="E3418" s="366" t="s">
        <v>10082</v>
      </c>
      <c r="F3418" s="366" t="s">
        <v>10078</v>
      </c>
      <c r="G3418" s="366" t="s">
        <v>10088</v>
      </c>
      <c r="H3418" s="366" t="s">
        <v>11447</v>
      </c>
      <c r="I3418" s="364" t="s">
        <v>15748</v>
      </c>
      <c r="J3418" s="367">
        <v>43231</v>
      </c>
      <c r="K3418" s="364" t="s">
        <v>15762</v>
      </c>
      <c r="L3418" s="364"/>
      <c r="M3418" s="364" t="s">
        <v>10084</v>
      </c>
      <c r="N3418" s="364"/>
      <c r="O3418" s="364" t="s">
        <v>57</v>
      </c>
      <c r="P3418" s="373">
        <v>88457000</v>
      </c>
      <c r="Q3418" s="364" t="s">
        <v>15763</v>
      </c>
      <c r="R3418" s="364" t="s">
        <v>10010</v>
      </c>
      <c r="S3418" s="340">
        <v>1</v>
      </c>
    </row>
    <row r="3419" spans="1:19" ht="31.5" thickBot="1" x14ac:dyDescent="0.4">
      <c r="A3419" s="357">
        <v>3408</v>
      </c>
      <c r="B3419" s="364" t="s">
        <v>10092</v>
      </c>
      <c r="C3419" s="364" t="s">
        <v>10093</v>
      </c>
      <c r="D3419" s="366" t="s">
        <v>51</v>
      </c>
      <c r="E3419" s="366" t="s">
        <v>10082</v>
      </c>
      <c r="F3419" s="366" t="s">
        <v>10078</v>
      </c>
      <c r="G3419" s="366" t="s">
        <v>10078</v>
      </c>
      <c r="H3419" s="366" t="s">
        <v>2972</v>
      </c>
      <c r="I3419" s="364" t="s">
        <v>9973</v>
      </c>
      <c r="J3419" s="367">
        <v>40770</v>
      </c>
      <c r="K3419" s="364" t="s">
        <v>15764</v>
      </c>
      <c r="L3419" s="364"/>
      <c r="M3419" s="364" t="s">
        <v>10084</v>
      </c>
      <c r="N3419" s="364"/>
      <c r="O3419" s="364" t="s">
        <v>422</v>
      </c>
      <c r="P3419" s="373">
        <v>166458144</v>
      </c>
      <c r="Q3419" s="364" t="s">
        <v>15765</v>
      </c>
      <c r="R3419" s="364" t="s">
        <v>10010</v>
      </c>
      <c r="S3419" s="340">
        <v>1</v>
      </c>
    </row>
    <row r="3420" spans="1:19" ht="31" x14ac:dyDescent="0.35">
      <c r="A3420" s="349">
        <v>3409</v>
      </c>
      <c r="B3420" s="364" t="s">
        <v>10085</v>
      </c>
      <c r="C3420" s="364" t="s">
        <v>10086</v>
      </c>
      <c r="D3420" s="366" t="s">
        <v>51</v>
      </c>
      <c r="E3420" s="366" t="s">
        <v>10082</v>
      </c>
      <c r="F3420" s="366" t="s">
        <v>10078</v>
      </c>
      <c r="G3420" s="366" t="s">
        <v>10078</v>
      </c>
      <c r="H3420" s="366" t="s">
        <v>11318</v>
      </c>
      <c r="I3420" s="364" t="s">
        <v>9973</v>
      </c>
      <c r="J3420" s="367"/>
      <c r="K3420" s="364"/>
      <c r="L3420" s="364"/>
      <c r="M3420" s="364" t="s">
        <v>10084</v>
      </c>
      <c r="N3420" s="364"/>
      <c r="O3420" s="364" t="s">
        <v>57</v>
      </c>
      <c r="P3420" s="373">
        <v>51651000</v>
      </c>
      <c r="Q3420" s="364"/>
      <c r="R3420" s="364" t="s">
        <v>10010</v>
      </c>
      <c r="S3420" s="340">
        <v>1</v>
      </c>
    </row>
    <row r="3421" spans="1:19" ht="31.5" thickBot="1" x14ac:dyDescent="0.4">
      <c r="A3421" s="357">
        <v>3410</v>
      </c>
      <c r="B3421" s="364" t="s">
        <v>10085</v>
      </c>
      <c r="C3421" s="364" t="s">
        <v>10086</v>
      </c>
      <c r="D3421" s="366" t="s">
        <v>59</v>
      </c>
      <c r="E3421" s="366" t="s">
        <v>10082</v>
      </c>
      <c r="F3421" s="366" t="s">
        <v>10078</v>
      </c>
      <c r="G3421" s="366" t="s">
        <v>10078</v>
      </c>
      <c r="H3421" s="366" t="s">
        <v>11318</v>
      </c>
      <c r="I3421" s="364" t="s">
        <v>9973</v>
      </c>
      <c r="J3421" s="367"/>
      <c r="K3421" s="364"/>
      <c r="L3421" s="364"/>
      <c r="M3421" s="364" t="s">
        <v>10084</v>
      </c>
      <c r="N3421" s="364"/>
      <c r="O3421" s="364" t="s">
        <v>57</v>
      </c>
      <c r="P3421" s="373">
        <v>51651000</v>
      </c>
      <c r="Q3421" s="364"/>
      <c r="R3421" s="364" t="s">
        <v>10010</v>
      </c>
      <c r="S3421" s="340">
        <v>1</v>
      </c>
    </row>
    <row r="3422" spans="1:19" ht="31" x14ac:dyDescent="0.35">
      <c r="A3422" s="349">
        <v>3411</v>
      </c>
      <c r="B3422" s="364" t="s">
        <v>10146</v>
      </c>
      <c r="C3422" s="364" t="s">
        <v>10147</v>
      </c>
      <c r="D3422" s="366" t="s">
        <v>51</v>
      </c>
      <c r="E3422" s="366" t="s">
        <v>10082</v>
      </c>
      <c r="F3422" s="366" t="s">
        <v>10078</v>
      </c>
      <c r="G3422" s="366" t="s">
        <v>10088</v>
      </c>
      <c r="H3422" s="366" t="s">
        <v>11898</v>
      </c>
      <c r="I3422" s="364" t="s">
        <v>15748</v>
      </c>
      <c r="J3422" s="367">
        <v>41906</v>
      </c>
      <c r="K3422" s="364" t="s">
        <v>15766</v>
      </c>
      <c r="L3422" s="364"/>
      <c r="M3422" s="364" t="s">
        <v>10084</v>
      </c>
      <c r="N3422" s="364"/>
      <c r="O3422" s="364" t="s">
        <v>57</v>
      </c>
      <c r="P3422" s="373">
        <v>183750000</v>
      </c>
      <c r="Q3422" s="364" t="s">
        <v>15767</v>
      </c>
      <c r="R3422" s="364" t="s">
        <v>10010</v>
      </c>
      <c r="S3422" s="340">
        <v>1</v>
      </c>
    </row>
    <row r="3423" spans="1:19" ht="31.5" thickBot="1" x14ac:dyDescent="0.4">
      <c r="A3423" s="357">
        <v>3412</v>
      </c>
      <c r="B3423" s="364" t="s">
        <v>10146</v>
      </c>
      <c r="C3423" s="364" t="s">
        <v>10147</v>
      </c>
      <c r="D3423" s="366" t="s">
        <v>59</v>
      </c>
      <c r="E3423" s="366" t="s">
        <v>10082</v>
      </c>
      <c r="F3423" s="366" t="s">
        <v>10078</v>
      </c>
      <c r="G3423" s="366" t="s">
        <v>10088</v>
      </c>
      <c r="H3423" s="366" t="s">
        <v>13417</v>
      </c>
      <c r="I3423" s="364" t="s">
        <v>15748</v>
      </c>
      <c r="J3423" s="367">
        <v>42275</v>
      </c>
      <c r="K3423" s="364" t="s">
        <v>15768</v>
      </c>
      <c r="L3423" s="364"/>
      <c r="M3423" s="364" t="s">
        <v>10084</v>
      </c>
      <c r="N3423" s="364"/>
      <c r="O3423" s="364" t="s">
        <v>57</v>
      </c>
      <c r="P3423" s="373">
        <v>189420000</v>
      </c>
      <c r="Q3423" s="364" t="s">
        <v>15769</v>
      </c>
      <c r="R3423" s="364" t="s">
        <v>10010</v>
      </c>
      <c r="S3423" s="340">
        <v>1</v>
      </c>
    </row>
    <row r="3424" spans="1:19" ht="46.5" x14ac:dyDescent="0.35">
      <c r="A3424" s="349">
        <v>3413</v>
      </c>
      <c r="B3424" s="364" t="s">
        <v>10146</v>
      </c>
      <c r="C3424" s="364" t="s">
        <v>10147</v>
      </c>
      <c r="D3424" s="366" t="s">
        <v>97</v>
      </c>
      <c r="E3424" s="366" t="s">
        <v>10082</v>
      </c>
      <c r="F3424" s="366" t="s">
        <v>10078</v>
      </c>
      <c r="G3424" s="366" t="s">
        <v>10078</v>
      </c>
      <c r="H3424" s="366" t="s">
        <v>11551</v>
      </c>
      <c r="I3424" s="364" t="s">
        <v>15770</v>
      </c>
      <c r="J3424" s="367">
        <v>43966</v>
      </c>
      <c r="K3424" s="364" t="s">
        <v>15771</v>
      </c>
      <c r="L3424" s="364"/>
      <c r="M3424" s="364" t="s">
        <v>10084</v>
      </c>
      <c r="N3424" s="364"/>
      <c r="O3424" s="364" t="s">
        <v>57</v>
      </c>
      <c r="P3424" s="373">
        <v>179992000</v>
      </c>
      <c r="Q3424" s="364" t="s">
        <v>15772</v>
      </c>
      <c r="R3424" s="364" t="s">
        <v>10010</v>
      </c>
      <c r="S3424" s="340">
        <v>1</v>
      </c>
    </row>
    <row r="3425" spans="1:19" ht="31.5" thickBot="1" x14ac:dyDescent="0.4">
      <c r="A3425" s="357">
        <v>3414</v>
      </c>
      <c r="B3425" s="364" t="s">
        <v>10155</v>
      </c>
      <c r="C3425" s="364" t="s">
        <v>10156</v>
      </c>
      <c r="D3425" s="366" t="s">
        <v>51</v>
      </c>
      <c r="E3425" s="366" t="s">
        <v>10082</v>
      </c>
      <c r="F3425" s="366" t="s">
        <v>10078</v>
      </c>
      <c r="G3425" s="366" t="s">
        <v>10088</v>
      </c>
      <c r="H3425" s="366" t="s">
        <v>2972</v>
      </c>
      <c r="I3425" s="364" t="s">
        <v>11835</v>
      </c>
      <c r="J3425" s="367">
        <v>43294</v>
      </c>
      <c r="K3425" s="364" t="s">
        <v>15773</v>
      </c>
      <c r="L3425" s="364"/>
      <c r="M3425" s="364" t="s">
        <v>10084</v>
      </c>
      <c r="N3425" s="364"/>
      <c r="O3425" s="364" t="s">
        <v>57</v>
      </c>
      <c r="P3425" s="373">
        <v>220744000</v>
      </c>
      <c r="Q3425" s="364" t="s">
        <v>15774</v>
      </c>
      <c r="R3425" s="364" t="s">
        <v>15775</v>
      </c>
      <c r="S3425" s="340">
        <v>1</v>
      </c>
    </row>
    <row r="3426" spans="1:19" ht="46.5" x14ac:dyDescent="0.35">
      <c r="A3426" s="349">
        <v>3415</v>
      </c>
      <c r="B3426" s="364" t="s">
        <v>10080</v>
      </c>
      <c r="C3426" s="364" t="s">
        <v>10081</v>
      </c>
      <c r="D3426" s="366" t="s">
        <v>51</v>
      </c>
      <c r="E3426" s="366" t="s">
        <v>10082</v>
      </c>
      <c r="F3426" s="366" t="s">
        <v>10078</v>
      </c>
      <c r="G3426" s="366" t="s">
        <v>10078</v>
      </c>
      <c r="H3426" s="366" t="s">
        <v>12157</v>
      </c>
      <c r="I3426" s="364" t="s">
        <v>15776</v>
      </c>
      <c r="J3426" s="367">
        <v>43706</v>
      </c>
      <c r="K3426" s="364" t="s">
        <v>15777</v>
      </c>
      <c r="L3426" s="364"/>
      <c r="M3426" s="364" t="s">
        <v>10084</v>
      </c>
      <c r="N3426" s="364"/>
      <c r="O3426" s="364" t="s">
        <v>57</v>
      </c>
      <c r="P3426" s="373">
        <v>221362000</v>
      </c>
      <c r="Q3426" s="364" t="s">
        <v>15778</v>
      </c>
      <c r="R3426" s="364" t="s">
        <v>15775</v>
      </c>
      <c r="S3426" s="340">
        <v>1</v>
      </c>
    </row>
    <row r="3427" spans="1:19" ht="31.5" thickBot="1" x14ac:dyDescent="0.4">
      <c r="A3427" s="357">
        <v>3416</v>
      </c>
      <c r="B3427" s="364" t="s">
        <v>10110</v>
      </c>
      <c r="C3427" s="364" t="s">
        <v>10111</v>
      </c>
      <c r="D3427" s="366" t="s">
        <v>51</v>
      </c>
      <c r="E3427" s="366" t="s">
        <v>10082</v>
      </c>
      <c r="F3427" s="366" t="s">
        <v>10078</v>
      </c>
      <c r="G3427" s="366" t="s">
        <v>10088</v>
      </c>
      <c r="H3427" s="366" t="s">
        <v>11447</v>
      </c>
      <c r="I3427" s="364" t="s">
        <v>11835</v>
      </c>
      <c r="J3427" s="367">
        <v>43256</v>
      </c>
      <c r="K3427" s="364" t="s">
        <v>15779</v>
      </c>
      <c r="L3427" s="364"/>
      <c r="M3427" s="364" t="s">
        <v>10084</v>
      </c>
      <c r="N3427" s="364"/>
      <c r="O3427" s="364" t="s">
        <v>57</v>
      </c>
      <c r="P3427" s="373">
        <v>110304000</v>
      </c>
      <c r="Q3427" s="364" t="s">
        <v>15780</v>
      </c>
      <c r="R3427" s="364" t="s">
        <v>15775</v>
      </c>
      <c r="S3427" s="340">
        <v>1</v>
      </c>
    </row>
    <row r="3428" spans="1:19" ht="46.5" x14ac:dyDescent="0.35">
      <c r="A3428" s="349">
        <v>3417</v>
      </c>
      <c r="B3428" s="364" t="s">
        <v>10146</v>
      </c>
      <c r="C3428" s="364" t="s">
        <v>10147</v>
      </c>
      <c r="D3428" s="366" t="s">
        <v>51</v>
      </c>
      <c r="E3428" s="366" t="s">
        <v>10082</v>
      </c>
      <c r="F3428" s="366" t="s">
        <v>10078</v>
      </c>
      <c r="G3428" s="366" t="s">
        <v>10088</v>
      </c>
      <c r="H3428" s="366" t="s">
        <v>11333</v>
      </c>
      <c r="I3428" s="364" t="s">
        <v>11835</v>
      </c>
      <c r="J3428" s="367">
        <v>42949</v>
      </c>
      <c r="K3428" s="364" t="s">
        <v>15781</v>
      </c>
      <c r="L3428" s="364"/>
      <c r="M3428" s="364" t="s">
        <v>10084</v>
      </c>
      <c r="N3428" s="364"/>
      <c r="O3428" s="364" t="s">
        <v>57</v>
      </c>
      <c r="P3428" s="373">
        <v>221026000</v>
      </c>
      <c r="Q3428" s="364" t="s">
        <v>15782</v>
      </c>
      <c r="R3428" s="364" t="s">
        <v>15775</v>
      </c>
      <c r="S3428" s="340">
        <v>1</v>
      </c>
    </row>
    <row r="3429" spans="1:19" ht="31.5" thickBot="1" x14ac:dyDescent="0.4">
      <c r="A3429" s="357">
        <v>3418</v>
      </c>
      <c r="B3429" s="364" t="s">
        <v>11830</v>
      </c>
      <c r="C3429" s="364" t="s">
        <v>11831</v>
      </c>
      <c r="D3429" s="366" t="s">
        <v>51</v>
      </c>
      <c r="E3429" s="366" t="s">
        <v>10082</v>
      </c>
      <c r="F3429" s="366" t="s">
        <v>10078</v>
      </c>
      <c r="G3429" s="366" t="s">
        <v>10078</v>
      </c>
      <c r="H3429" s="366" t="s">
        <v>2972</v>
      </c>
      <c r="I3429" s="364" t="s">
        <v>15312</v>
      </c>
      <c r="J3429" s="367"/>
      <c r="K3429" s="364"/>
      <c r="L3429" s="364"/>
      <c r="M3429" s="364" t="s">
        <v>10084</v>
      </c>
      <c r="N3429" s="364"/>
      <c r="O3429" s="364" t="s">
        <v>57</v>
      </c>
      <c r="P3429" s="373">
        <v>185490000</v>
      </c>
      <c r="Q3429" s="364" t="s">
        <v>15783</v>
      </c>
      <c r="R3429" s="364" t="s">
        <v>10012</v>
      </c>
      <c r="S3429" s="340">
        <v>1</v>
      </c>
    </row>
    <row r="3430" spans="1:19" ht="31" x14ac:dyDescent="0.35">
      <c r="A3430" s="349">
        <v>3419</v>
      </c>
      <c r="B3430" s="364" t="s">
        <v>10080</v>
      </c>
      <c r="C3430" s="364" t="s">
        <v>10081</v>
      </c>
      <c r="D3430" s="366" t="s">
        <v>51</v>
      </c>
      <c r="E3430" s="366" t="s">
        <v>10082</v>
      </c>
      <c r="F3430" s="366" t="s">
        <v>10078</v>
      </c>
      <c r="G3430" s="366" t="s">
        <v>10078</v>
      </c>
      <c r="H3430" s="366" t="s">
        <v>8961</v>
      </c>
      <c r="I3430" s="364" t="s">
        <v>9973</v>
      </c>
      <c r="J3430" s="367"/>
      <c r="K3430" s="364"/>
      <c r="L3430" s="364"/>
      <c r="M3430" s="364" t="s">
        <v>10084</v>
      </c>
      <c r="N3430" s="364"/>
      <c r="O3430" s="364" t="s">
        <v>57</v>
      </c>
      <c r="P3430" s="373">
        <v>111480000</v>
      </c>
      <c r="Q3430" s="364"/>
      <c r="R3430" s="364" t="s">
        <v>10012</v>
      </c>
      <c r="S3430" s="340">
        <v>1</v>
      </c>
    </row>
    <row r="3431" spans="1:19" ht="31.5" thickBot="1" x14ac:dyDescent="0.4">
      <c r="A3431" s="357">
        <v>3420</v>
      </c>
      <c r="B3431" s="364" t="s">
        <v>10080</v>
      </c>
      <c r="C3431" s="364" t="s">
        <v>10081</v>
      </c>
      <c r="D3431" s="366" t="s">
        <v>59</v>
      </c>
      <c r="E3431" s="366" t="s">
        <v>10082</v>
      </c>
      <c r="F3431" s="366" t="s">
        <v>10078</v>
      </c>
      <c r="G3431" s="366" t="s">
        <v>10078</v>
      </c>
      <c r="H3431" s="366" t="s">
        <v>11870</v>
      </c>
      <c r="I3431" s="364" t="s">
        <v>9973</v>
      </c>
      <c r="J3431" s="367"/>
      <c r="K3431" s="364"/>
      <c r="L3431" s="364"/>
      <c r="M3431" s="364" t="s">
        <v>10084</v>
      </c>
      <c r="N3431" s="364"/>
      <c r="O3431" s="364" t="s">
        <v>57</v>
      </c>
      <c r="P3431" s="373">
        <v>42469000</v>
      </c>
      <c r="Q3431" s="364"/>
      <c r="R3431" s="364" t="s">
        <v>10012</v>
      </c>
      <c r="S3431" s="340">
        <v>1</v>
      </c>
    </row>
    <row r="3432" spans="1:19" ht="31" x14ac:dyDescent="0.35">
      <c r="A3432" s="349">
        <v>3421</v>
      </c>
      <c r="B3432" s="364" t="s">
        <v>10080</v>
      </c>
      <c r="C3432" s="364" t="s">
        <v>10081</v>
      </c>
      <c r="D3432" s="366" t="s">
        <v>97</v>
      </c>
      <c r="E3432" s="366" t="s">
        <v>10082</v>
      </c>
      <c r="F3432" s="366" t="s">
        <v>10078</v>
      </c>
      <c r="G3432" s="366" t="s">
        <v>10078</v>
      </c>
      <c r="H3432" s="366" t="s">
        <v>8961</v>
      </c>
      <c r="I3432" s="364" t="s">
        <v>9973</v>
      </c>
      <c r="J3432" s="367"/>
      <c r="K3432" s="364"/>
      <c r="L3432" s="364"/>
      <c r="M3432" s="364" t="s">
        <v>10084</v>
      </c>
      <c r="N3432" s="364"/>
      <c r="O3432" s="364" t="s">
        <v>422</v>
      </c>
      <c r="P3432" s="373">
        <v>111480000</v>
      </c>
      <c r="Q3432" s="364"/>
      <c r="R3432" s="364" t="s">
        <v>10012</v>
      </c>
      <c r="S3432" s="340">
        <v>1</v>
      </c>
    </row>
    <row r="3433" spans="1:19" ht="31.5" thickBot="1" x14ac:dyDescent="0.4">
      <c r="A3433" s="357">
        <v>3422</v>
      </c>
      <c r="B3433" s="364" t="s">
        <v>10080</v>
      </c>
      <c r="C3433" s="364" t="s">
        <v>10081</v>
      </c>
      <c r="D3433" s="366" t="s">
        <v>101</v>
      </c>
      <c r="E3433" s="366" t="s">
        <v>10082</v>
      </c>
      <c r="F3433" s="366" t="s">
        <v>10078</v>
      </c>
      <c r="G3433" s="366" t="s">
        <v>10078</v>
      </c>
      <c r="H3433" s="366" t="s">
        <v>8961</v>
      </c>
      <c r="I3433" s="364" t="s">
        <v>9973</v>
      </c>
      <c r="J3433" s="367"/>
      <c r="K3433" s="364"/>
      <c r="L3433" s="364"/>
      <c r="M3433" s="364" t="s">
        <v>10084</v>
      </c>
      <c r="N3433" s="364"/>
      <c r="O3433" s="364" t="s">
        <v>57</v>
      </c>
      <c r="P3433" s="373">
        <v>111480000</v>
      </c>
      <c r="Q3433" s="364"/>
      <c r="R3433" s="364" t="s">
        <v>10012</v>
      </c>
      <c r="S3433" s="340">
        <v>1</v>
      </c>
    </row>
    <row r="3434" spans="1:19" ht="31" x14ac:dyDescent="0.35">
      <c r="A3434" s="349">
        <v>3423</v>
      </c>
      <c r="B3434" s="364" t="s">
        <v>10080</v>
      </c>
      <c r="C3434" s="364" t="s">
        <v>10081</v>
      </c>
      <c r="D3434" s="366" t="s">
        <v>107</v>
      </c>
      <c r="E3434" s="366" t="s">
        <v>10082</v>
      </c>
      <c r="F3434" s="366" t="s">
        <v>10078</v>
      </c>
      <c r="G3434" s="366" t="s">
        <v>10078</v>
      </c>
      <c r="H3434" s="366" t="s">
        <v>12116</v>
      </c>
      <c r="I3434" s="364" t="s">
        <v>9973</v>
      </c>
      <c r="J3434" s="367"/>
      <c r="K3434" s="364"/>
      <c r="L3434" s="364"/>
      <c r="M3434" s="364" t="s">
        <v>10084</v>
      </c>
      <c r="N3434" s="364"/>
      <c r="O3434" s="364" t="s">
        <v>57</v>
      </c>
      <c r="P3434" s="373">
        <v>371600000</v>
      </c>
      <c r="Q3434" s="364"/>
      <c r="R3434" s="364" t="s">
        <v>10012</v>
      </c>
      <c r="S3434" s="340">
        <v>1</v>
      </c>
    </row>
    <row r="3435" spans="1:19" ht="31.5" thickBot="1" x14ac:dyDescent="0.4">
      <c r="A3435" s="357">
        <v>3424</v>
      </c>
      <c r="B3435" s="364" t="s">
        <v>10080</v>
      </c>
      <c r="C3435" s="364" t="s">
        <v>10081</v>
      </c>
      <c r="D3435" s="366" t="s">
        <v>112</v>
      </c>
      <c r="E3435" s="366" t="s">
        <v>10082</v>
      </c>
      <c r="F3435" s="366" t="s">
        <v>10078</v>
      </c>
      <c r="G3435" s="366" t="s">
        <v>10078</v>
      </c>
      <c r="H3435" s="366" t="s">
        <v>14053</v>
      </c>
      <c r="I3435" s="364" t="s">
        <v>9973</v>
      </c>
      <c r="J3435" s="367"/>
      <c r="K3435" s="364"/>
      <c r="L3435" s="364"/>
      <c r="M3435" s="364" t="s">
        <v>10084</v>
      </c>
      <c r="N3435" s="364"/>
      <c r="O3435" s="364" t="s">
        <v>57</v>
      </c>
      <c r="P3435" s="373">
        <v>341440000</v>
      </c>
      <c r="Q3435" s="364"/>
      <c r="R3435" s="364" t="s">
        <v>10012</v>
      </c>
      <c r="S3435" s="340">
        <v>1</v>
      </c>
    </row>
    <row r="3436" spans="1:19" ht="31" x14ac:dyDescent="0.35">
      <c r="A3436" s="349">
        <v>3425</v>
      </c>
      <c r="B3436" s="364" t="s">
        <v>10080</v>
      </c>
      <c r="C3436" s="364" t="s">
        <v>10081</v>
      </c>
      <c r="D3436" s="366" t="s">
        <v>116</v>
      </c>
      <c r="E3436" s="366" t="s">
        <v>10082</v>
      </c>
      <c r="F3436" s="366" t="s">
        <v>10078</v>
      </c>
      <c r="G3436" s="366" t="s">
        <v>10078</v>
      </c>
      <c r="H3436" s="366" t="s">
        <v>5537</v>
      </c>
      <c r="I3436" s="364" t="s">
        <v>9973</v>
      </c>
      <c r="J3436" s="367"/>
      <c r="K3436" s="364"/>
      <c r="L3436" s="364"/>
      <c r="M3436" s="364" t="s">
        <v>10084</v>
      </c>
      <c r="N3436" s="364"/>
      <c r="O3436" s="364" t="s">
        <v>57</v>
      </c>
      <c r="P3436" s="373">
        <v>185800000</v>
      </c>
      <c r="Q3436" s="364"/>
      <c r="R3436" s="364" t="s">
        <v>10012</v>
      </c>
      <c r="S3436" s="340">
        <v>1</v>
      </c>
    </row>
    <row r="3437" spans="1:19" ht="31.5" thickBot="1" x14ac:dyDescent="0.4">
      <c r="A3437" s="357">
        <v>3426</v>
      </c>
      <c r="B3437" s="364" t="s">
        <v>10110</v>
      </c>
      <c r="C3437" s="364" t="s">
        <v>10111</v>
      </c>
      <c r="D3437" s="366" t="s">
        <v>51</v>
      </c>
      <c r="E3437" s="366" t="s">
        <v>10082</v>
      </c>
      <c r="F3437" s="366" t="s">
        <v>10078</v>
      </c>
      <c r="G3437" s="366" t="s">
        <v>10078</v>
      </c>
      <c r="H3437" s="366" t="s">
        <v>12103</v>
      </c>
      <c r="I3437" s="364" t="s">
        <v>9973</v>
      </c>
      <c r="J3437" s="367"/>
      <c r="K3437" s="364"/>
      <c r="L3437" s="364"/>
      <c r="M3437" s="364" t="s">
        <v>10084</v>
      </c>
      <c r="N3437" s="364"/>
      <c r="O3437" s="364" t="s">
        <v>57</v>
      </c>
      <c r="P3437" s="373">
        <v>28312000</v>
      </c>
      <c r="Q3437" s="364"/>
      <c r="R3437" s="364" t="s">
        <v>10012</v>
      </c>
      <c r="S3437" s="340">
        <v>1</v>
      </c>
    </row>
    <row r="3438" spans="1:19" ht="31" x14ac:dyDescent="0.35">
      <c r="A3438" s="349">
        <v>3427</v>
      </c>
      <c r="B3438" s="364" t="s">
        <v>10110</v>
      </c>
      <c r="C3438" s="364" t="s">
        <v>10111</v>
      </c>
      <c r="D3438" s="366" t="s">
        <v>97</v>
      </c>
      <c r="E3438" s="366" t="s">
        <v>10082</v>
      </c>
      <c r="F3438" s="366" t="s">
        <v>10078</v>
      </c>
      <c r="G3438" s="366" t="s">
        <v>10088</v>
      </c>
      <c r="H3438" s="366" t="s">
        <v>13337</v>
      </c>
      <c r="I3438" s="364" t="s">
        <v>15784</v>
      </c>
      <c r="J3438" s="367"/>
      <c r="K3438" s="364" t="s">
        <v>15785</v>
      </c>
      <c r="L3438" s="364"/>
      <c r="M3438" s="364"/>
      <c r="N3438" s="364"/>
      <c r="O3438" s="364" t="s">
        <v>44</v>
      </c>
      <c r="P3438" s="373">
        <v>270527470</v>
      </c>
      <c r="Q3438" s="364" t="s">
        <v>15786</v>
      </c>
      <c r="R3438" s="364" t="s">
        <v>10012</v>
      </c>
      <c r="S3438" s="340">
        <v>1</v>
      </c>
    </row>
    <row r="3439" spans="1:19" ht="78" thickBot="1" x14ac:dyDescent="0.4">
      <c r="A3439" s="357">
        <v>3428</v>
      </c>
      <c r="B3439" s="364" t="s">
        <v>10110</v>
      </c>
      <c r="C3439" s="364" t="s">
        <v>10111</v>
      </c>
      <c r="D3439" s="366" t="s">
        <v>101</v>
      </c>
      <c r="E3439" s="366" t="s">
        <v>10082</v>
      </c>
      <c r="F3439" s="366" t="s">
        <v>10078</v>
      </c>
      <c r="G3439" s="366" t="s">
        <v>10088</v>
      </c>
      <c r="H3439" s="366" t="s">
        <v>231</v>
      </c>
      <c r="I3439" s="364" t="s">
        <v>15787</v>
      </c>
      <c r="J3439" s="367"/>
      <c r="K3439" s="364" t="s">
        <v>15788</v>
      </c>
      <c r="L3439" s="364"/>
      <c r="M3439" s="364"/>
      <c r="N3439" s="364"/>
      <c r="O3439" s="364" t="s">
        <v>44</v>
      </c>
      <c r="P3439" s="373">
        <v>599915230</v>
      </c>
      <c r="Q3439" s="364" t="s">
        <v>15789</v>
      </c>
      <c r="R3439" s="364" t="s">
        <v>10012</v>
      </c>
      <c r="S3439" s="340">
        <v>1</v>
      </c>
    </row>
    <row r="3440" spans="1:19" ht="31" x14ac:dyDescent="0.35">
      <c r="A3440" s="349">
        <v>3429</v>
      </c>
      <c r="B3440" s="364" t="s">
        <v>10085</v>
      </c>
      <c r="C3440" s="364" t="s">
        <v>10086</v>
      </c>
      <c r="D3440" s="366" t="s">
        <v>51</v>
      </c>
      <c r="E3440" s="366" t="s">
        <v>10082</v>
      </c>
      <c r="F3440" s="366" t="s">
        <v>10078</v>
      </c>
      <c r="G3440" s="366" t="s">
        <v>10078</v>
      </c>
      <c r="H3440" s="366" t="s">
        <v>11318</v>
      </c>
      <c r="I3440" s="364" t="s">
        <v>9973</v>
      </c>
      <c r="J3440" s="367"/>
      <c r="K3440" s="364"/>
      <c r="L3440" s="364"/>
      <c r="M3440" s="364" t="s">
        <v>10084</v>
      </c>
      <c r="N3440" s="364"/>
      <c r="O3440" s="364" t="s">
        <v>57</v>
      </c>
      <c r="P3440" s="373">
        <v>53086000</v>
      </c>
      <c r="Q3440" s="364"/>
      <c r="R3440" s="364" t="s">
        <v>10012</v>
      </c>
      <c r="S3440" s="340">
        <v>1</v>
      </c>
    </row>
    <row r="3441" spans="1:19" ht="31.5" thickBot="1" x14ac:dyDescent="0.4">
      <c r="A3441" s="357">
        <v>3430</v>
      </c>
      <c r="B3441" s="364" t="s">
        <v>10085</v>
      </c>
      <c r="C3441" s="364" t="s">
        <v>10086</v>
      </c>
      <c r="D3441" s="366" t="s">
        <v>59</v>
      </c>
      <c r="E3441" s="366" t="s">
        <v>10082</v>
      </c>
      <c r="F3441" s="366" t="s">
        <v>10078</v>
      </c>
      <c r="G3441" s="366" t="s">
        <v>10078</v>
      </c>
      <c r="H3441" s="366" t="s">
        <v>11318</v>
      </c>
      <c r="I3441" s="364" t="s">
        <v>9973</v>
      </c>
      <c r="J3441" s="367"/>
      <c r="K3441" s="364"/>
      <c r="L3441" s="364"/>
      <c r="M3441" s="364" t="s">
        <v>10084</v>
      </c>
      <c r="N3441" s="364"/>
      <c r="O3441" s="364" t="s">
        <v>57</v>
      </c>
      <c r="P3441" s="373">
        <v>53086000</v>
      </c>
      <c r="Q3441" s="364"/>
      <c r="R3441" s="364" t="s">
        <v>10012</v>
      </c>
      <c r="S3441" s="340">
        <v>1</v>
      </c>
    </row>
    <row r="3442" spans="1:19" ht="46.5" x14ac:dyDescent="0.35">
      <c r="A3442" s="349">
        <v>3431</v>
      </c>
      <c r="B3442" s="364" t="s">
        <v>10146</v>
      </c>
      <c r="C3442" s="364" t="s">
        <v>10147</v>
      </c>
      <c r="D3442" s="366" t="s">
        <v>51</v>
      </c>
      <c r="E3442" s="366" t="s">
        <v>10082</v>
      </c>
      <c r="F3442" s="366" t="s">
        <v>10078</v>
      </c>
      <c r="G3442" s="366" t="s">
        <v>10078</v>
      </c>
      <c r="H3442" s="366" t="s">
        <v>11551</v>
      </c>
      <c r="I3442" s="364" t="s">
        <v>15790</v>
      </c>
      <c r="J3442" s="367">
        <v>43966</v>
      </c>
      <c r="K3442" s="364" t="s">
        <v>15791</v>
      </c>
      <c r="L3442" s="364"/>
      <c r="M3442" s="364" t="s">
        <v>10084</v>
      </c>
      <c r="N3442" s="364"/>
      <c r="O3442" s="364" t="s">
        <v>57</v>
      </c>
      <c r="P3442" s="373">
        <v>179992000</v>
      </c>
      <c r="Q3442" s="364" t="s">
        <v>15792</v>
      </c>
      <c r="R3442" s="364" t="s">
        <v>10012</v>
      </c>
      <c r="S3442" s="340">
        <v>1</v>
      </c>
    </row>
    <row r="3443" spans="1:19" ht="31.5" thickBot="1" x14ac:dyDescent="0.4">
      <c r="A3443" s="357">
        <v>3432</v>
      </c>
      <c r="B3443" s="364" t="s">
        <v>11830</v>
      </c>
      <c r="C3443" s="364" t="s">
        <v>11831</v>
      </c>
      <c r="D3443" s="366" t="s">
        <v>51</v>
      </c>
      <c r="E3443" s="366" t="s">
        <v>10082</v>
      </c>
      <c r="F3443" s="366" t="s">
        <v>10078</v>
      </c>
      <c r="G3443" s="366" t="s">
        <v>10088</v>
      </c>
      <c r="H3443" s="366" t="s">
        <v>2972</v>
      </c>
      <c r="I3443" s="364" t="s">
        <v>10277</v>
      </c>
      <c r="J3443" s="367">
        <v>42489</v>
      </c>
      <c r="K3443" s="364" t="s">
        <v>15280</v>
      </c>
      <c r="L3443" s="364"/>
      <c r="M3443" s="364" t="s">
        <v>10084</v>
      </c>
      <c r="N3443" s="364"/>
      <c r="O3443" s="364" t="s">
        <v>57</v>
      </c>
      <c r="P3443" s="373">
        <v>352521000</v>
      </c>
      <c r="Q3443" s="364" t="s">
        <v>15793</v>
      </c>
      <c r="R3443" s="364" t="s">
        <v>10013</v>
      </c>
      <c r="S3443" s="340">
        <v>1</v>
      </c>
    </row>
    <row r="3444" spans="1:19" ht="31" x14ac:dyDescent="0.35">
      <c r="A3444" s="349">
        <v>3433</v>
      </c>
      <c r="B3444" s="364" t="s">
        <v>10080</v>
      </c>
      <c r="C3444" s="364" t="s">
        <v>10081</v>
      </c>
      <c r="D3444" s="366" t="s">
        <v>51</v>
      </c>
      <c r="E3444" s="366" t="s">
        <v>10082</v>
      </c>
      <c r="F3444" s="366" t="s">
        <v>10078</v>
      </c>
      <c r="G3444" s="366" t="s">
        <v>10078</v>
      </c>
      <c r="H3444" s="366" t="s">
        <v>11400</v>
      </c>
      <c r="I3444" s="364" t="s">
        <v>9973</v>
      </c>
      <c r="J3444" s="367"/>
      <c r="K3444" s="364"/>
      <c r="L3444" s="364"/>
      <c r="M3444" s="364" t="s">
        <v>10084</v>
      </c>
      <c r="N3444" s="364"/>
      <c r="O3444" s="364" t="s">
        <v>57</v>
      </c>
      <c r="P3444" s="373">
        <v>321395000</v>
      </c>
      <c r="Q3444" s="364"/>
      <c r="R3444" s="364" t="s">
        <v>10013</v>
      </c>
      <c r="S3444" s="340">
        <v>1</v>
      </c>
    </row>
    <row r="3445" spans="1:19" ht="31.5" thickBot="1" x14ac:dyDescent="0.4">
      <c r="A3445" s="357">
        <v>3434</v>
      </c>
      <c r="B3445" s="364" t="s">
        <v>10080</v>
      </c>
      <c r="C3445" s="364" t="s">
        <v>10081</v>
      </c>
      <c r="D3445" s="366" t="s">
        <v>59</v>
      </c>
      <c r="E3445" s="366" t="s">
        <v>10082</v>
      </c>
      <c r="F3445" s="366" t="s">
        <v>10078</v>
      </c>
      <c r="G3445" s="366" t="s">
        <v>10078</v>
      </c>
      <c r="H3445" s="366" t="s">
        <v>11960</v>
      </c>
      <c r="I3445" s="364" t="s">
        <v>9973</v>
      </c>
      <c r="J3445" s="367"/>
      <c r="K3445" s="364"/>
      <c r="L3445" s="364"/>
      <c r="M3445" s="364" t="s">
        <v>10084</v>
      </c>
      <c r="N3445" s="364"/>
      <c r="O3445" s="364" t="s">
        <v>57</v>
      </c>
      <c r="P3445" s="373">
        <v>613131500</v>
      </c>
      <c r="Q3445" s="364"/>
      <c r="R3445" s="364" t="s">
        <v>10013</v>
      </c>
      <c r="S3445" s="340">
        <v>1</v>
      </c>
    </row>
    <row r="3446" spans="1:19" ht="31" x14ac:dyDescent="0.35">
      <c r="A3446" s="349">
        <v>3435</v>
      </c>
      <c r="B3446" s="364" t="s">
        <v>10080</v>
      </c>
      <c r="C3446" s="364" t="s">
        <v>10081</v>
      </c>
      <c r="D3446" s="366" t="s">
        <v>97</v>
      </c>
      <c r="E3446" s="366" t="s">
        <v>10082</v>
      </c>
      <c r="F3446" s="366" t="s">
        <v>10078</v>
      </c>
      <c r="G3446" s="366" t="s">
        <v>10078</v>
      </c>
      <c r="H3446" s="366" t="s">
        <v>12157</v>
      </c>
      <c r="I3446" s="364" t="s">
        <v>15794</v>
      </c>
      <c r="J3446" s="367">
        <v>43692</v>
      </c>
      <c r="K3446" s="364" t="s">
        <v>15795</v>
      </c>
      <c r="L3446" s="364"/>
      <c r="M3446" s="364" t="s">
        <v>10084</v>
      </c>
      <c r="N3446" s="364"/>
      <c r="O3446" s="364" t="s">
        <v>57</v>
      </c>
      <c r="P3446" s="373">
        <v>221646133</v>
      </c>
      <c r="Q3446" s="364" t="s">
        <v>15796</v>
      </c>
      <c r="R3446" s="364" t="s">
        <v>10013</v>
      </c>
      <c r="S3446" s="340">
        <v>1</v>
      </c>
    </row>
    <row r="3447" spans="1:19" ht="78" thickBot="1" x14ac:dyDescent="0.4">
      <c r="A3447" s="357">
        <v>3436</v>
      </c>
      <c r="B3447" s="364" t="s">
        <v>10110</v>
      </c>
      <c r="C3447" s="364" t="s">
        <v>10111</v>
      </c>
      <c r="D3447" s="366" t="s">
        <v>97</v>
      </c>
      <c r="E3447" s="366" t="s">
        <v>10082</v>
      </c>
      <c r="F3447" s="366"/>
      <c r="G3447" s="366"/>
      <c r="H3447" s="366" t="s">
        <v>11415</v>
      </c>
      <c r="I3447" s="364" t="s">
        <v>63</v>
      </c>
      <c r="J3447" s="367"/>
      <c r="K3447" s="364" t="s">
        <v>15797</v>
      </c>
      <c r="L3447" s="364"/>
      <c r="M3447" s="364"/>
      <c r="N3447" s="364"/>
      <c r="O3447" s="364" t="s">
        <v>44</v>
      </c>
      <c r="P3447" s="373">
        <v>552587160</v>
      </c>
      <c r="Q3447" s="364" t="s">
        <v>15798</v>
      </c>
      <c r="R3447" s="364" t="s">
        <v>10013</v>
      </c>
      <c r="S3447" s="340">
        <v>1</v>
      </c>
    </row>
    <row r="3448" spans="1:19" ht="77.5" x14ac:dyDescent="0.35">
      <c r="A3448" s="349">
        <v>3437</v>
      </c>
      <c r="B3448" s="364" t="s">
        <v>10110</v>
      </c>
      <c r="C3448" s="364" t="s">
        <v>10111</v>
      </c>
      <c r="D3448" s="366" t="s">
        <v>101</v>
      </c>
      <c r="E3448" s="366" t="s">
        <v>10082</v>
      </c>
      <c r="F3448" s="366" t="s">
        <v>10078</v>
      </c>
      <c r="G3448" s="366" t="s">
        <v>10088</v>
      </c>
      <c r="H3448" s="366" t="s">
        <v>13337</v>
      </c>
      <c r="I3448" s="364" t="s">
        <v>10283</v>
      </c>
      <c r="J3448" s="367"/>
      <c r="K3448" s="364" t="s">
        <v>15799</v>
      </c>
      <c r="L3448" s="364"/>
      <c r="M3448" s="364"/>
      <c r="N3448" s="364"/>
      <c r="O3448" s="364" t="s">
        <v>44</v>
      </c>
      <c r="P3448" s="373">
        <v>270542420</v>
      </c>
      <c r="Q3448" s="364" t="s">
        <v>15800</v>
      </c>
      <c r="R3448" s="364" t="s">
        <v>10013</v>
      </c>
      <c r="S3448" s="340">
        <v>1</v>
      </c>
    </row>
    <row r="3449" spans="1:19" ht="47" thickBot="1" x14ac:dyDescent="0.4">
      <c r="A3449" s="357">
        <v>3438</v>
      </c>
      <c r="B3449" s="364" t="s">
        <v>10110</v>
      </c>
      <c r="C3449" s="364" t="s">
        <v>10111</v>
      </c>
      <c r="D3449" s="366" t="s">
        <v>107</v>
      </c>
      <c r="E3449" s="366" t="s">
        <v>10082</v>
      </c>
      <c r="F3449" s="366" t="s">
        <v>10078</v>
      </c>
      <c r="G3449" s="366" t="s">
        <v>10088</v>
      </c>
      <c r="H3449" s="366" t="s">
        <v>163</v>
      </c>
      <c r="I3449" s="364" t="s">
        <v>10283</v>
      </c>
      <c r="J3449" s="367"/>
      <c r="K3449" s="364" t="s">
        <v>15801</v>
      </c>
      <c r="L3449" s="364"/>
      <c r="M3449" s="364"/>
      <c r="N3449" s="364"/>
      <c r="O3449" s="364" t="s">
        <v>44</v>
      </c>
      <c r="P3449" s="373">
        <v>557800900</v>
      </c>
      <c r="Q3449" s="364" t="s">
        <v>15802</v>
      </c>
      <c r="R3449" s="364" t="s">
        <v>10013</v>
      </c>
      <c r="S3449" s="340">
        <v>1</v>
      </c>
    </row>
    <row r="3450" spans="1:19" ht="31" x14ac:dyDescent="0.35">
      <c r="A3450" s="349">
        <v>3439</v>
      </c>
      <c r="B3450" s="364" t="s">
        <v>10110</v>
      </c>
      <c r="C3450" s="364" t="s">
        <v>10111</v>
      </c>
      <c r="D3450" s="366" t="s">
        <v>112</v>
      </c>
      <c r="E3450" s="366" t="s">
        <v>10082</v>
      </c>
      <c r="F3450" s="366" t="s">
        <v>10078</v>
      </c>
      <c r="G3450" s="366" t="s">
        <v>10088</v>
      </c>
      <c r="H3450" s="366" t="s">
        <v>11409</v>
      </c>
      <c r="I3450" s="364" t="s">
        <v>10283</v>
      </c>
      <c r="J3450" s="367"/>
      <c r="K3450" s="364" t="s">
        <v>15803</v>
      </c>
      <c r="L3450" s="364"/>
      <c r="M3450" s="364"/>
      <c r="N3450" s="364"/>
      <c r="O3450" s="364" t="s">
        <v>44</v>
      </c>
      <c r="P3450" s="373">
        <v>295897450</v>
      </c>
      <c r="Q3450" s="364" t="s">
        <v>15804</v>
      </c>
      <c r="R3450" s="364" t="s">
        <v>10013</v>
      </c>
      <c r="S3450" s="340">
        <v>1</v>
      </c>
    </row>
    <row r="3451" spans="1:19" ht="31.5" thickBot="1" x14ac:dyDescent="0.4">
      <c r="A3451" s="357">
        <v>3440</v>
      </c>
      <c r="B3451" s="364" t="s">
        <v>10085</v>
      </c>
      <c r="C3451" s="364" t="s">
        <v>10086</v>
      </c>
      <c r="D3451" s="366" t="s">
        <v>51</v>
      </c>
      <c r="E3451" s="366" t="s">
        <v>10082</v>
      </c>
      <c r="F3451" s="366" t="s">
        <v>10078</v>
      </c>
      <c r="G3451" s="366" t="s">
        <v>10078</v>
      </c>
      <c r="H3451" s="366" t="s">
        <v>11686</v>
      </c>
      <c r="I3451" s="364" t="s">
        <v>9973</v>
      </c>
      <c r="J3451" s="367"/>
      <c r="K3451" s="364"/>
      <c r="L3451" s="364"/>
      <c r="M3451" s="364" t="s">
        <v>10084</v>
      </c>
      <c r="N3451" s="364"/>
      <c r="O3451" s="364" t="s">
        <v>57</v>
      </c>
      <c r="P3451" s="373">
        <v>192837000</v>
      </c>
      <c r="Q3451" s="364"/>
      <c r="R3451" s="364" t="s">
        <v>10013</v>
      </c>
      <c r="S3451" s="340">
        <v>1</v>
      </c>
    </row>
    <row r="3452" spans="1:19" ht="31" x14ac:dyDescent="0.35">
      <c r="A3452" s="349">
        <v>3441</v>
      </c>
      <c r="B3452" s="364" t="s">
        <v>10085</v>
      </c>
      <c r="C3452" s="364" t="s">
        <v>10086</v>
      </c>
      <c r="D3452" s="366" t="s">
        <v>59</v>
      </c>
      <c r="E3452" s="366" t="s">
        <v>10082</v>
      </c>
      <c r="F3452" s="366" t="s">
        <v>10078</v>
      </c>
      <c r="G3452" s="366" t="s">
        <v>10078</v>
      </c>
      <c r="H3452" s="366" t="s">
        <v>11686</v>
      </c>
      <c r="I3452" s="364" t="s">
        <v>9973</v>
      </c>
      <c r="J3452" s="367"/>
      <c r="K3452" s="364"/>
      <c r="L3452" s="364"/>
      <c r="M3452" s="364" t="s">
        <v>10084</v>
      </c>
      <c r="N3452" s="364"/>
      <c r="O3452" s="364" t="s">
        <v>57</v>
      </c>
      <c r="P3452" s="373">
        <v>192837000</v>
      </c>
      <c r="Q3452" s="364"/>
      <c r="R3452" s="364" t="s">
        <v>10013</v>
      </c>
      <c r="S3452" s="340">
        <v>1</v>
      </c>
    </row>
    <row r="3453" spans="1:19" ht="31.5" thickBot="1" x14ac:dyDescent="0.4">
      <c r="A3453" s="357">
        <v>3442</v>
      </c>
      <c r="B3453" s="364" t="s">
        <v>10085</v>
      </c>
      <c r="C3453" s="364" t="s">
        <v>10086</v>
      </c>
      <c r="D3453" s="366" t="s">
        <v>97</v>
      </c>
      <c r="E3453" s="366" t="s">
        <v>10082</v>
      </c>
      <c r="F3453" s="366" t="s">
        <v>10078</v>
      </c>
      <c r="G3453" s="366" t="s">
        <v>10078</v>
      </c>
      <c r="H3453" s="366" t="s">
        <v>11686</v>
      </c>
      <c r="I3453" s="364" t="s">
        <v>9973</v>
      </c>
      <c r="J3453" s="367"/>
      <c r="K3453" s="364"/>
      <c r="L3453" s="364"/>
      <c r="M3453" s="364" t="s">
        <v>10084</v>
      </c>
      <c r="N3453" s="364"/>
      <c r="O3453" s="364" t="s">
        <v>57</v>
      </c>
      <c r="P3453" s="373">
        <v>192837000</v>
      </c>
      <c r="Q3453" s="364"/>
      <c r="R3453" s="364" t="s">
        <v>10013</v>
      </c>
      <c r="S3453" s="340">
        <v>1</v>
      </c>
    </row>
    <row r="3454" spans="1:19" ht="46.5" x14ac:dyDescent="0.35">
      <c r="A3454" s="349">
        <v>3443</v>
      </c>
      <c r="B3454" s="364" t="s">
        <v>10146</v>
      </c>
      <c r="C3454" s="364" t="s">
        <v>10147</v>
      </c>
      <c r="D3454" s="366" t="s">
        <v>51</v>
      </c>
      <c r="E3454" s="366" t="s">
        <v>10082</v>
      </c>
      <c r="F3454" s="366" t="s">
        <v>10078</v>
      </c>
      <c r="G3454" s="366" t="s">
        <v>10088</v>
      </c>
      <c r="H3454" s="366" t="s">
        <v>11551</v>
      </c>
      <c r="I3454" s="364" t="s">
        <v>15794</v>
      </c>
      <c r="J3454" s="367">
        <v>43966</v>
      </c>
      <c r="K3454" s="364" t="s">
        <v>15805</v>
      </c>
      <c r="L3454" s="364"/>
      <c r="M3454" s="364" t="s">
        <v>10084</v>
      </c>
      <c r="N3454" s="364"/>
      <c r="O3454" s="364" t="s">
        <v>57</v>
      </c>
      <c r="P3454" s="373">
        <v>179992000</v>
      </c>
      <c r="Q3454" s="364" t="s">
        <v>15806</v>
      </c>
      <c r="R3454" s="364" t="s">
        <v>10013</v>
      </c>
      <c r="S3454" s="340">
        <v>1</v>
      </c>
    </row>
    <row r="3455" spans="1:19" ht="31.5" thickBot="1" x14ac:dyDescent="0.4">
      <c r="A3455" s="357">
        <v>3444</v>
      </c>
      <c r="B3455" s="364" t="s">
        <v>10146</v>
      </c>
      <c r="C3455" s="364" t="s">
        <v>10147</v>
      </c>
      <c r="D3455" s="366" t="s">
        <v>59</v>
      </c>
      <c r="E3455" s="366" t="s">
        <v>10082</v>
      </c>
      <c r="F3455" s="366" t="s">
        <v>10078</v>
      </c>
      <c r="G3455" s="366" t="s">
        <v>10088</v>
      </c>
      <c r="H3455" s="366" t="s">
        <v>13166</v>
      </c>
      <c r="I3455" s="364" t="s">
        <v>10277</v>
      </c>
      <c r="J3455" s="367">
        <v>42275</v>
      </c>
      <c r="K3455" s="364" t="s">
        <v>15807</v>
      </c>
      <c r="L3455" s="364"/>
      <c r="M3455" s="364" t="s">
        <v>10084</v>
      </c>
      <c r="N3455" s="364"/>
      <c r="O3455" s="364" t="s">
        <v>57</v>
      </c>
      <c r="P3455" s="373">
        <v>189420000</v>
      </c>
      <c r="Q3455" s="364" t="s">
        <v>15808</v>
      </c>
      <c r="R3455" s="364" t="s">
        <v>10013</v>
      </c>
      <c r="S3455" s="340">
        <v>1</v>
      </c>
    </row>
    <row r="3456" spans="1:19" ht="31" x14ac:dyDescent="0.35">
      <c r="A3456" s="349">
        <v>3445</v>
      </c>
      <c r="B3456" s="364" t="s">
        <v>10146</v>
      </c>
      <c r="C3456" s="364" t="s">
        <v>10147</v>
      </c>
      <c r="D3456" s="366" t="s">
        <v>97</v>
      </c>
      <c r="E3456" s="366" t="s">
        <v>10082</v>
      </c>
      <c r="F3456" s="366" t="s">
        <v>10078</v>
      </c>
      <c r="G3456" s="366" t="s">
        <v>10078</v>
      </c>
      <c r="H3456" s="366" t="s">
        <v>11898</v>
      </c>
      <c r="I3456" s="364" t="s">
        <v>10277</v>
      </c>
      <c r="J3456" s="367">
        <v>41906</v>
      </c>
      <c r="K3456" s="364" t="s">
        <v>15809</v>
      </c>
      <c r="L3456" s="364"/>
      <c r="M3456" s="364" t="s">
        <v>10084</v>
      </c>
      <c r="N3456" s="364"/>
      <c r="O3456" s="364" t="s">
        <v>57</v>
      </c>
      <c r="P3456" s="373">
        <v>183750000</v>
      </c>
      <c r="Q3456" s="364" t="s">
        <v>15810</v>
      </c>
      <c r="R3456" s="364" t="s">
        <v>10013</v>
      </c>
      <c r="S3456" s="340">
        <v>1</v>
      </c>
    </row>
    <row r="3457" spans="1:19" ht="31.5" thickBot="1" x14ac:dyDescent="0.4">
      <c r="A3457" s="357">
        <v>3446</v>
      </c>
      <c r="B3457" s="364" t="s">
        <v>10096</v>
      </c>
      <c r="C3457" s="364" t="s">
        <v>10097</v>
      </c>
      <c r="D3457" s="366" t="s">
        <v>51</v>
      </c>
      <c r="E3457" s="366" t="s">
        <v>10082</v>
      </c>
      <c r="F3457" s="366" t="s">
        <v>10078</v>
      </c>
      <c r="G3457" s="366" t="s">
        <v>10088</v>
      </c>
      <c r="H3457" s="366" t="s">
        <v>11719</v>
      </c>
      <c r="I3457" s="364" t="s">
        <v>15811</v>
      </c>
      <c r="J3457" s="367"/>
      <c r="K3457" s="364" t="s">
        <v>15812</v>
      </c>
      <c r="L3457" s="364"/>
      <c r="M3457" s="364"/>
      <c r="N3457" s="364"/>
      <c r="O3457" s="364" t="s">
        <v>44</v>
      </c>
      <c r="P3457" s="373">
        <v>199277392</v>
      </c>
      <c r="Q3457" s="364" t="s">
        <v>15813</v>
      </c>
      <c r="R3457" s="364" t="s">
        <v>10013</v>
      </c>
      <c r="S3457" s="340">
        <v>1</v>
      </c>
    </row>
    <row r="3458" spans="1:19" ht="46.5" x14ac:dyDescent="0.35">
      <c r="A3458" s="349">
        <v>3447</v>
      </c>
      <c r="B3458" s="364" t="s">
        <v>10155</v>
      </c>
      <c r="C3458" s="364" t="s">
        <v>10156</v>
      </c>
      <c r="D3458" s="366" t="s">
        <v>51</v>
      </c>
      <c r="E3458" s="366" t="s">
        <v>10082</v>
      </c>
      <c r="F3458" s="366" t="s">
        <v>10078</v>
      </c>
      <c r="G3458" s="366" t="s">
        <v>10088</v>
      </c>
      <c r="H3458" s="366" t="s">
        <v>12626</v>
      </c>
      <c r="I3458" s="364" t="s">
        <v>15814</v>
      </c>
      <c r="J3458" s="367">
        <v>42569</v>
      </c>
      <c r="K3458" s="364" t="s">
        <v>15815</v>
      </c>
      <c r="L3458" s="364"/>
      <c r="M3458" s="364" t="s">
        <v>10084</v>
      </c>
      <c r="N3458" s="364"/>
      <c r="O3458" s="364" t="s">
        <v>57</v>
      </c>
      <c r="P3458" s="373">
        <v>221185000</v>
      </c>
      <c r="Q3458" s="364" t="s">
        <v>15816</v>
      </c>
      <c r="R3458" s="364" t="s">
        <v>15817</v>
      </c>
      <c r="S3458" s="340">
        <v>1</v>
      </c>
    </row>
    <row r="3459" spans="1:19" ht="31.5" thickBot="1" x14ac:dyDescent="0.4">
      <c r="A3459" s="357">
        <v>3448</v>
      </c>
      <c r="B3459" s="364" t="s">
        <v>10080</v>
      </c>
      <c r="C3459" s="364" t="s">
        <v>10081</v>
      </c>
      <c r="D3459" s="366" t="s">
        <v>51</v>
      </c>
      <c r="E3459" s="366" t="s">
        <v>10082</v>
      </c>
      <c r="F3459" s="366" t="s">
        <v>10078</v>
      </c>
      <c r="G3459" s="366" t="s">
        <v>10088</v>
      </c>
      <c r="H3459" s="366" t="s">
        <v>12664</v>
      </c>
      <c r="I3459" s="364" t="s">
        <v>15814</v>
      </c>
      <c r="J3459" s="367">
        <v>42569</v>
      </c>
      <c r="K3459" s="364" t="s">
        <v>15818</v>
      </c>
      <c r="L3459" s="364"/>
      <c r="M3459" s="364" t="s">
        <v>10084</v>
      </c>
      <c r="N3459" s="364"/>
      <c r="O3459" s="364" t="s">
        <v>57</v>
      </c>
      <c r="P3459" s="373">
        <v>221110000</v>
      </c>
      <c r="Q3459" s="364" t="s">
        <v>15819</v>
      </c>
      <c r="R3459" s="364" t="s">
        <v>15817</v>
      </c>
      <c r="S3459" s="340">
        <v>1</v>
      </c>
    </row>
    <row r="3460" spans="1:19" ht="31" x14ac:dyDescent="0.35">
      <c r="A3460" s="349">
        <v>3449</v>
      </c>
      <c r="B3460" s="364" t="s">
        <v>10080</v>
      </c>
      <c r="C3460" s="364" t="s">
        <v>10081</v>
      </c>
      <c r="D3460" s="366" t="s">
        <v>51</v>
      </c>
      <c r="E3460" s="366" t="s">
        <v>10082</v>
      </c>
      <c r="F3460" s="366" t="s">
        <v>10078</v>
      </c>
      <c r="G3460" s="366" t="s">
        <v>10088</v>
      </c>
      <c r="H3460" s="366" t="s">
        <v>2972</v>
      </c>
      <c r="I3460" s="364" t="s">
        <v>12267</v>
      </c>
      <c r="J3460" s="367">
        <v>42675</v>
      </c>
      <c r="K3460" s="364" t="s">
        <v>15820</v>
      </c>
      <c r="L3460" s="364"/>
      <c r="M3460" s="364" t="s">
        <v>10084</v>
      </c>
      <c r="N3460" s="364"/>
      <c r="O3460" s="364" t="s">
        <v>57</v>
      </c>
      <c r="P3460" s="373">
        <v>516797000</v>
      </c>
      <c r="Q3460" s="364" t="s">
        <v>15821</v>
      </c>
      <c r="R3460" s="364" t="s">
        <v>15822</v>
      </c>
      <c r="S3460" s="340">
        <v>1</v>
      </c>
    </row>
    <row r="3461" spans="1:19" ht="109" thickBot="1" x14ac:dyDescent="0.4">
      <c r="A3461" s="357">
        <v>3450</v>
      </c>
      <c r="B3461" s="364" t="s">
        <v>10110</v>
      </c>
      <c r="C3461" s="364" t="s">
        <v>10111</v>
      </c>
      <c r="D3461" s="366" t="s">
        <v>101</v>
      </c>
      <c r="E3461" s="366" t="s">
        <v>10082</v>
      </c>
      <c r="F3461" s="366" t="s">
        <v>10078</v>
      </c>
      <c r="G3461" s="366" t="s">
        <v>10078</v>
      </c>
      <c r="H3461" s="366" t="s">
        <v>12913</v>
      </c>
      <c r="I3461" s="364" t="s">
        <v>15823</v>
      </c>
      <c r="J3461" s="367"/>
      <c r="K3461" s="364" t="s">
        <v>15824</v>
      </c>
      <c r="L3461" s="364"/>
      <c r="M3461" s="364"/>
      <c r="N3461" s="364"/>
      <c r="O3461" s="364" t="s">
        <v>44</v>
      </c>
      <c r="P3461" s="373">
        <v>559685930</v>
      </c>
      <c r="Q3461" s="364" t="s">
        <v>15825</v>
      </c>
      <c r="R3461" s="364" t="s">
        <v>15822</v>
      </c>
      <c r="S3461" s="340">
        <v>1</v>
      </c>
    </row>
    <row r="3462" spans="1:19" ht="46.5" x14ac:dyDescent="0.35">
      <c r="A3462" s="349">
        <v>3451</v>
      </c>
      <c r="B3462" s="364" t="s">
        <v>10110</v>
      </c>
      <c r="C3462" s="364" t="s">
        <v>10111</v>
      </c>
      <c r="D3462" s="366" t="s">
        <v>107</v>
      </c>
      <c r="E3462" s="366" t="s">
        <v>10082</v>
      </c>
      <c r="F3462" s="366" t="s">
        <v>10078</v>
      </c>
      <c r="G3462" s="366" t="s">
        <v>10078</v>
      </c>
      <c r="H3462" s="366" t="s">
        <v>12913</v>
      </c>
      <c r="I3462" s="364" t="s">
        <v>15823</v>
      </c>
      <c r="J3462" s="367"/>
      <c r="K3462" s="364" t="s">
        <v>15826</v>
      </c>
      <c r="L3462" s="364"/>
      <c r="M3462" s="364"/>
      <c r="N3462" s="364"/>
      <c r="O3462" s="364" t="s">
        <v>44</v>
      </c>
      <c r="P3462" s="373">
        <v>551211420</v>
      </c>
      <c r="Q3462" s="364" t="s">
        <v>15827</v>
      </c>
      <c r="R3462" s="364" t="s">
        <v>15822</v>
      </c>
      <c r="S3462" s="340">
        <v>1</v>
      </c>
    </row>
    <row r="3463" spans="1:19" ht="93.5" thickBot="1" x14ac:dyDescent="0.4">
      <c r="A3463" s="357">
        <v>3452</v>
      </c>
      <c r="B3463" s="364" t="s">
        <v>10110</v>
      </c>
      <c r="C3463" s="364" t="s">
        <v>10111</v>
      </c>
      <c r="D3463" s="366" t="s">
        <v>112</v>
      </c>
      <c r="E3463" s="366" t="s">
        <v>10082</v>
      </c>
      <c r="F3463" s="366" t="s">
        <v>10078</v>
      </c>
      <c r="G3463" s="366" t="s">
        <v>10078</v>
      </c>
      <c r="H3463" s="366" t="s">
        <v>11324</v>
      </c>
      <c r="I3463" s="364" t="s">
        <v>15828</v>
      </c>
      <c r="J3463" s="367"/>
      <c r="K3463" s="364" t="s">
        <v>15829</v>
      </c>
      <c r="L3463" s="364"/>
      <c r="M3463" s="364"/>
      <c r="N3463" s="364"/>
      <c r="O3463" s="364" t="s">
        <v>44</v>
      </c>
      <c r="P3463" s="373">
        <v>268305710.00000003</v>
      </c>
      <c r="Q3463" s="364" t="s">
        <v>15830</v>
      </c>
      <c r="R3463" s="364" t="s">
        <v>15822</v>
      </c>
      <c r="S3463" s="340">
        <v>1</v>
      </c>
    </row>
    <row r="3464" spans="1:19" ht="46.5" x14ac:dyDescent="0.35">
      <c r="A3464" s="349">
        <v>3453</v>
      </c>
      <c r="B3464" s="364" t="s">
        <v>10146</v>
      </c>
      <c r="C3464" s="364" t="s">
        <v>10147</v>
      </c>
      <c r="D3464" s="366" t="s">
        <v>51</v>
      </c>
      <c r="E3464" s="366" t="s">
        <v>10082</v>
      </c>
      <c r="F3464" s="366" t="s">
        <v>10078</v>
      </c>
      <c r="G3464" s="366" t="s">
        <v>10078</v>
      </c>
      <c r="H3464" s="366" t="s">
        <v>11551</v>
      </c>
      <c r="I3464" s="364" t="s">
        <v>15831</v>
      </c>
      <c r="J3464" s="367">
        <v>43966</v>
      </c>
      <c r="K3464" s="364" t="s">
        <v>15832</v>
      </c>
      <c r="L3464" s="364"/>
      <c r="M3464" s="364" t="s">
        <v>10084</v>
      </c>
      <c r="N3464" s="364"/>
      <c r="O3464" s="364" t="s">
        <v>57</v>
      </c>
      <c r="P3464" s="373">
        <v>179992000</v>
      </c>
      <c r="Q3464" s="364" t="s">
        <v>15833</v>
      </c>
      <c r="R3464" s="364" t="s">
        <v>15822</v>
      </c>
      <c r="S3464" s="340">
        <v>1</v>
      </c>
    </row>
    <row r="3465" spans="1:19" ht="31.5" thickBot="1" x14ac:dyDescent="0.4">
      <c r="A3465" s="357">
        <v>3454</v>
      </c>
      <c r="B3465" s="364" t="s">
        <v>10080</v>
      </c>
      <c r="C3465" s="364" t="s">
        <v>10081</v>
      </c>
      <c r="D3465" s="366" t="s">
        <v>51</v>
      </c>
      <c r="E3465" s="366" t="s">
        <v>10082</v>
      </c>
      <c r="F3465" s="366" t="s">
        <v>10078</v>
      </c>
      <c r="G3465" s="366" t="s">
        <v>10088</v>
      </c>
      <c r="H3465" s="366" t="s">
        <v>2972</v>
      </c>
      <c r="I3465" s="364" t="s">
        <v>15834</v>
      </c>
      <c r="J3465" s="367">
        <v>40767</v>
      </c>
      <c r="K3465" s="364" t="s">
        <v>15835</v>
      </c>
      <c r="L3465" s="364"/>
      <c r="M3465" s="364" t="s">
        <v>10084</v>
      </c>
      <c r="N3465" s="364"/>
      <c r="O3465" s="364" t="s">
        <v>422</v>
      </c>
      <c r="P3465" s="373">
        <v>797443700</v>
      </c>
      <c r="Q3465" s="364" t="s">
        <v>15836</v>
      </c>
      <c r="R3465" s="364" t="s">
        <v>15837</v>
      </c>
      <c r="S3465" s="340">
        <v>1</v>
      </c>
    </row>
    <row r="3466" spans="1:19" ht="46.5" x14ac:dyDescent="0.35">
      <c r="A3466" s="349">
        <v>3455</v>
      </c>
      <c r="B3466" s="364" t="s">
        <v>10146</v>
      </c>
      <c r="C3466" s="364" t="s">
        <v>10147</v>
      </c>
      <c r="D3466" s="366" t="s">
        <v>51</v>
      </c>
      <c r="E3466" s="366" t="s">
        <v>10082</v>
      </c>
      <c r="F3466" s="366" t="s">
        <v>10078</v>
      </c>
      <c r="G3466" s="366" t="s">
        <v>10078</v>
      </c>
      <c r="H3466" s="366" t="s">
        <v>2972</v>
      </c>
      <c r="I3466" s="364" t="s">
        <v>15838</v>
      </c>
      <c r="J3466" s="367">
        <v>43966</v>
      </c>
      <c r="K3466" s="364" t="s">
        <v>15839</v>
      </c>
      <c r="L3466" s="364"/>
      <c r="M3466" s="364" t="s">
        <v>10084</v>
      </c>
      <c r="N3466" s="364"/>
      <c r="O3466" s="364" t="s">
        <v>57</v>
      </c>
      <c r="P3466" s="373">
        <v>114712500</v>
      </c>
      <c r="Q3466" s="364" t="s">
        <v>15840</v>
      </c>
      <c r="R3466" s="364" t="s">
        <v>15837</v>
      </c>
      <c r="S3466" s="340">
        <v>1</v>
      </c>
    </row>
    <row r="3467" spans="1:19" ht="31.5" thickBot="1" x14ac:dyDescent="0.4">
      <c r="A3467" s="357">
        <v>3456</v>
      </c>
      <c r="B3467" s="364" t="s">
        <v>10080</v>
      </c>
      <c r="C3467" s="364" t="s">
        <v>10081</v>
      </c>
      <c r="D3467" s="366" t="s">
        <v>51</v>
      </c>
      <c r="E3467" s="366" t="s">
        <v>10082</v>
      </c>
      <c r="F3467" s="366" t="s">
        <v>10078</v>
      </c>
      <c r="G3467" s="366" t="s">
        <v>10088</v>
      </c>
      <c r="H3467" s="366" t="s">
        <v>2972</v>
      </c>
      <c r="I3467" s="364" t="s">
        <v>13835</v>
      </c>
      <c r="J3467" s="367"/>
      <c r="K3467" s="364"/>
      <c r="L3467" s="364"/>
      <c r="M3467" s="364" t="s">
        <v>10084</v>
      </c>
      <c r="N3467" s="364"/>
      <c r="O3467" s="364" t="s">
        <v>57</v>
      </c>
      <c r="P3467" s="373">
        <v>1978477000</v>
      </c>
      <c r="Q3467" s="364" t="s">
        <v>15841</v>
      </c>
      <c r="R3467" s="364" t="s">
        <v>15842</v>
      </c>
      <c r="S3467" s="340">
        <v>1</v>
      </c>
    </row>
    <row r="3468" spans="1:19" ht="77.5" x14ac:dyDescent="0.35">
      <c r="A3468" s="349">
        <v>3457</v>
      </c>
      <c r="B3468" s="364" t="s">
        <v>10080</v>
      </c>
      <c r="C3468" s="364" t="s">
        <v>10081</v>
      </c>
      <c r="D3468" s="366" t="s">
        <v>59</v>
      </c>
      <c r="E3468" s="366" t="s">
        <v>10082</v>
      </c>
      <c r="F3468" s="366" t="s">
        <v>10078</v>
      </c>
      <c r="G3468" s="366" t="s">
        <v>10088</v>
      </c>
      <c r="H3468" s="366" t="s">
        <v>14165</v>
      </c>
      <c r="I3468" s="364" t="s">
        <v>15843</v>
      </c>
      <c r="J3468" s="367"/>
      <c r="K3468" s="364" t="s">
        <v>15844</v>
      </c>
      <c r="L3468" s="364"/>
      <c r="M3468" s="364"/>
      <c r="N3468" s="364"/>
      <c r="O3468" s="364" t="s">
        <v>44</v>
      </c>
      <c r="P3468" s="373">
        <v>1788784726</v>
      </c>
      <c r="Q3468" s="364" t="s">
        <v>15845</v>
      </c>
      <c r="R3468" s="364" t="s">
        <v>15846</v>
      </c>
      <c r="S3468" s="340">
        <v>1</v>
      </c>
    </row>
    <row r="3469" spans="1:19" ht="47" thickBot="1" x14ac:dyDescent="0.4">
      <c r="A3469" s="357">
        <v>3458</v>
      </c>
      <c r="B3469" s="364" t="s">
        <v>10765</v>
      </c>
      <c r="C3469" s="364" t="s">
        <v>10766</v>
      </c>
      <c r="D3469" s="366" t="s">
        <v>51</v>
      </c>
      <c r="E3469" s="366" t="s">
        <v>10082</v>
      </c>
      <c r="F3469" s="366" t="s">
        <v>10078</v>
      </c>
      <c r="G3469" s="366" t="s">
        <v>10088</v>
      </c>
      <c r="H3469" s="366" t="s">
        <v>15847</v>
      </c>
      <c r="I3469" s="364" t="s">
        <v>15848</v>
      </c>
      <c r="J3469" s="367"/>
      <c r="K3469" s="364" t="s">
        <v>15849</v>
      </c>
      <c r="L3469" s="364"/>
      <c r="M3469" s="364"/>
      <c r="N3469" s="364"/>
      <c r="O3469" s="364" t="s">
        <v>44</v>
      </c>
      <c r="P3469" s="373">
        <v>110535285</v>
      </c>
      <c r="Q3469" s="364" t="s">
        <v>15850</v>
      </c>
      <c r="R3469" s="364" t="s">
        <v>15851</v>
      </c>
      <c r="S3469" s="340">
        <v>1</v>
      </c>
    </row>
    <row r="3470" spans="1:19" ht="31" x14ac:dyDescent="0.35">
      <c r="A3470" s="349">
        <v>3459</v>
      </c>
      <c r="B3470" s="364" t="s">
        <v>10155</v>
      </c>
      <c r="C3470" s="364" t="s">
        <v>10156</v>
      </c>
      <c r="D3470" s="366" t="s">
        <v>51</v>
      </c>
      <c r="E3470" s="366" t="s">
        <v>10082</v>
      </c>
      <c r="F3470" s="366" t="s">
        <v>10078</v>
      </c>
      <c r="G3470" s="366" t="s">
        <v>10078</v>
      </c>
      <c r="H3470" s="366" t="s">
        <v>2972</v>
      </c>
      <c r="I3470" s="364" t="s">
        <v>14735</v>
      </c>
      <c r="J3470" s="367">
        <v>44600</v>
      </c>
      <c r="K3470" s="364" t="s">
        <v>15852</v>
      </c>
      <c r="L3470" s="364"/>
      <c r="M3470" s="364" t="s">
        <v>10084</v>
      </c>
      <c r="N3470" s="364"/>
      <c r="O3470" s="364" t="s">
        <v>57</v>
      </c>
      <c r="P3470" s="373">
        <v>315440600</v>
      </c>
      <c r="Q3470" s="364" t="s">
        <v>15853</v>
      </c>
      <c r="R3470" s="364" t="s">
        <v>15854</v>
      </c>
      <c r="S3470" s="340">
        <v>1</v>
      </c>
    </row>
    <row r="3471" spans="1:19" ht="47" thickBot="1" x14ac:dyDescent="0.4">
      <c r="A3471" s="357">
        <v>3460</v>
      </c>
      <c r="B3471" s="364" t="s">
        <v>13877</v>
      </c>
      <c r="C3471" s="364" t="s">
        <v>13878</v>
      </c>
      <c r="D3471" s="366" t="s">
        <v>51</v>
      </c>
      <c r="E3471" s="366" t="s">
        <v>10082</v>
      </c>
      <c r="F3471" s="366" t="s">
        <v>10078</v>
      </c>
      <c r="G3471" s="366" t="s">
        <v>10078</v>
      </c>
      <c r="H3471" s="366" t="s">
        <v>2972</v>
      </c>
      <c r="I3471" s="364" t="s">
        <v>15855</v>
      </c>
      <c r="J3471" s="367">
        <v>44455</v>
      </c>
      <c r="K3471" s="364" t="s">
        <v>15856</v>
      </c>
      <c r="L3471" s="364"/>
      <c r="M3471" s="364" t="s">
        <v>10084</v>
      </c>
      <c r="N3471" s="364"/>
      <c r="O3471" s="364" t="s">
        <v>57</v>
      </c>
      <c r="P3471" s="373">
        <v>89637494.099999994</v>
      </c>
      <c r="Q3471" s="364" t="s">
        <v>15857</v>
      </c>
      <c r="R3471" s="364" t="s">
        <v>15854</v>
      </c>
      <c r="S3471" s="340">
        <v>1</v>
      </c>
    </row>
    <row r="3472" spans="1:19" ht="31" x14ac:dyDescent="0.35">
      <c r="A3472" s="349">
        <v>3461</v>
      </c>
      <c r="B3472" s="364" t="s">
        <v>10080</v>
      </c>
      <c r="C3472" s="364" t="s">
        <v>10081</v>
      </c>
      <c r="D3472" s="366" t="s">
        <v>51</v>
      </c>
      <c r="E3472" s="366" t="s">
        <v>10082</v>
      </c>
      <c r="F3472" s="366" t="s">
        <v>10078</v>
      </c>
      <c r="G3472" s="366" t="s">
        <v>10078</v>
      </c>
      <c r="H3472" s="366" t="s">
        <v>15858</v>
      </c>
      <c r="I3472" s="364" t="s">
        <v>15859</v>
      </c>
      <c r="J3472" s="367">
        <v>44524</v>
      </c>
      <c r="K3472" s="364" t="s">
        <v>15860</v>
      </c>
      <c r="L3472" s="364"/>
      <c r="M3472" s="364" t="s">
        <v>10084</v>
      </c>
      <c r="N3472" s="364"/>
      <c r="O3472" s="364" t="s">
        <v>57</v>
      </c>
      <c r="P3472" s="373">
        <v>1128298800</v>
      </c>
      <c r="Q3472" s="364" t="s">
        <v>15854</v>
      </c>
      <c r="R3472" s="364" t="s">
        <v>15854</v>
      </c>
      <c r="S3472" s="340">
        <v>1</v>
      </c>
    </row>
    <row r="3473" spans="1:19" ht="47" thickBot="1" x14ac:dyDescent="0.4">
      <c r="A3473" s="357">
        <v>3462</v>
      </c>
      <c r="B3473" s="364" t="s">
        <v>10146</v>
      </c>
      <c r="C3473" s="364" t="s">
        <v>10147</v>
      </c>
      <c r="D3473" s="366" t="s">
        <v>51</v>
      </c>
      <c r="E3473" s="366" t="s">
        <v>10082</v>
      </c>
      <c r="F3473" s="366" t="s">
        <v>10078</v>
      </c>
      <c r="G3473" s="366" t="s">
        <v>10078</v>
      </c>
      <c r="H3473" s="366" t="s">
        <v>2972</v>
      </c>
      <c r="I3473" s="364" t="s">
        <v>15861</v>
      </c>
      <c r="J3473" s="367">
        <v>44398</v>
      </c>
      <c r="K3473" s="364" t="s">
        <v>15862</v>
      </c>
      <c r="L3473" s="364"/>
      <c r="M3473" s="364" t="s">
        <v>10084</v>
      </c>
      <c r="N3473" s="364"/>
      <c r="O3473" s="364" t="s">
        <v>57</v>
      </c>
      <c r="P3473" s="373">
        <v>442861550</v>
      </c>
      <c r="Q3473" s="364" t="s">
        <v>15863</v>
      </c>
      <c r="R3473" s="364" t="s">
        <v>15854</v>
      </c>
      <c r="S3473" s="340">
        <v>1</v>
      </c>
    </row>
    <row r="3474" spans="1:19" ht="31" x14ac:dyDescent="0.35">
      <c r="A3474" s="349">
        <v>3463</v>
      </c>
      <c r="B3474" s="364" t="s">
        <v>10096</v>
      </c>
      <c r="C3474" s="364" t="s">
        <v>10097</v>
      </c>
      <c r="D3474" s="366" t="s">
        <v>51</v>
      </c>
      <c r="E3474" s="366" t="s">
        <v>10082</v>
      </c>
      <c r="F3474" s="366" t="s">
        <v>10078</v>
      </c>
      <c r="G3474" s="366" t="s">
        <v>10088</v>
      </c>
      <c r="H3474" s="366" t="s">
        <v>15864</v>
      </c>
      <c r="I3474" s="364" t="s">
        <v>15865</v>
      </c>
      <c r="J3474" s="367"/>
      <c r="K3474" s="364" t="s">
        <v>15866</v>
      </c>
      <c r="L3474" s="364"/>
      <c r="M3474" s="364"/>
      <c r="N3474" s="364"/>
      <c r="O3474" s="364" t="s">
        <v>44</v>
      </c>
      <c r="P3474" s="373">
        <v>199047875</v>
      </c>
      <c r="Q3474" s="364" t="s">
        <v>15867</v>
      </c>
      <c r="R3474" s="364" t="s">
        <v>15854</v>
      </c>
      <c r="S3474" s="340">
        <v>1</v>
      </c>
    </row>
    <row r="3475" spans="1:19" ht="47" thickBot="1" x14ac:dyDescent="0.4">
      <c r="A3475" s="357">
        <v>3464</v>
      </c>
      <c r="B3475" s="364" t="s">
        <v>10080</v>
      </c>
      <c r="C3475" s="364" t="s">
        <v>10081</v>
      </c>
      <c r="D3475" s="366" t="s">
        <v>59</v>
      </c>
      <c r="E3475" s="366" t="s">
        <v>10082</v>
      </c>
      <c r="F3475" s="366" t="s">
        <v>10078</v>
      </c>
      <c r="G3475" s="366" t="s">
        <v>10088</v>
      </c>
      <c r="H3475" s="366" t="s">
        <v>12157</v>
      </c>
      <c r="I3475" s="364" t="s">
        <v>15868</v>
      </c>
      <c r="J3475" s="367"/>
      <c r="K3475" s="364" t="s">
        <v>15869</v>
      </c>
      <c r="L3475" s="364"/>
      <c r="M3475" s="364"/>
      <c r="N3475" s="364"/>
      <c r="O3475" s="364" t="s">
        <v>44</v>
      </c>
      <c r="P3475" s="373">
        <v>295506163</v>
      </c>
      <c r="Q3475" s="364" t="s">
        <v>15870</v>
      </c>
      <c r="R3475" s="364" t="s">
        <v>15871</v>
      </c>
      <c r="S3475" s="340">
        <v>1</v>
      </c>
    </row>
    <row r="3476" spans="1:19" ht="46.5" x14ac:dyDescent="0.35">
      <c r="A3476" s="349">
        <v>3465</v>
      </c>
      <c r="B3476" s="364" t="s">
        <v>10110</v>
      </c>
      <c r="C3476" s="364" t="s">
        <v>10111</v>
      </c>
      <c r="D3476" s="366" t="s">
        <v>59</v>
      </c>
      <c r="E3476" s="366" t="s">
        <v>10082</v>
      </c>
      <c r="F3476" s="366" t="s">
        <v>10078</v>
      </c>
      <c r="G3476" s="366" t="s">
        <v>10088</v>
      </c>
      <c r="H3476" s="366"/>
      <c r="I3476" s="364" t="s">
        <v>15872</v>
      </c>
      <c r="J3476" s="367"/>
      <c r="K3476" s="364" t="s">
        <v>15873</v>
      </c>
      <c r="L3476" s="364"/>
      <c r="M3476" s="364"/>
      <c r="N3476" s="364"/>
      <c r="O3476" s="364" t="s">
        <v>44</v>
      </c>
      <c r="P3476" s="373">
        <v>165852260</v>
      </c>
      <c r="Q3476" s="364" t="s">
        <v>15874</v>
      </c>
      <c r="R3476" s="364" t="s">
        <v>15871</v>
      </c>
      <c r="S3476" s="340">
        <v>1</v>
      </c>
    </row>
    <row r="3477" spans="1:19" ht="47" thickBot="1" x14ac:dyDescent="0.4">
      <c r="A3477" s="357">
        <v>3466</v>
      </c>
      <c r="B3477" s="364" t="s">
        <v>10146</v>
      </c>
      <c r="C3477" s="364" t="s">
        <v>10147</v>
      </c>
      <c r="D3477" s="366" t="s">
        <v>51</v>
      </c>
      <c r="E3477" s="366" t="s">
        <v>10082</v>
      </c>
      <c r="F3477" s="366" t="s">
        <v>10078</v>
      </c>
      <c r="G3477" s="366" t="s">
        <v>10088</v>
      </c>
      <c r="H3477" s="366" t="s">
        <v>15875</v>
      </c>
      <c r="I3477" s="364" t="s">
        <v>15868</v>
      </c>
      <c r="J3477" s="367"/>
      <c r="K3477" s="364" t="s">
        <v>15876</v>
      </c>
      <c r="L3477" s="364"/>
      <c r="M3477" s="364"/>
      <c r="N3477" s="364"/>
      <c r="O3477" s="364" t="s">
        <v>44</v>
      </c>
      <c r="P3477" s="373">
        <v>221496280</v>
      </c>
      <c r="Q3477" s="364" t="s">
        <v>15877</v>
      </c>
      <c r="R3477" s="364" t="s">
        <v>15871</v>
      </c>
      <c r="S3477" s="340">
        <v>1</v>
      </c>
    </row>
    <row r="3478" spans="1:19" ht="62" x14ac:dyDescent="0.35">
      <c r="A3478" s="349">
        <v>3467</v>
      </c>
      <c r="B3478" s="364" t="s">
        <v>10080</v>
      </c>
      <c r="C3478" s="364" t="s">
        <v>10081</v>
      </c>
      <c r="D3478" s="366" t="s">
        <v>51</v>
      </c>
      <c r="E3478" s="366" t="s">
        <v>10082</v>
      </c>
      <c r="F3478" s="366" t="s">
        <v>10078</v>
      </c>
      <c r="G3478" s="366" t="s">
        <v>10078</v>
      </c>
      <c r="H3478" s="366" t="s">
        <v>12664</v>
      </c>
      <c r="I3478" s="364" t="s">
        <v>15878</v>
      </c>
      <c r="J3478" s="367">
        <v>43691</v>
      </c>
      <c r="K3478" s="364" t="s">
        <v>15879</v>
      </c>
      <c r="L3478" s="364"/>
      <c r="M3478" s="364" t="s">
        <v>10084</v>
      </c>
      <c r="N3478" s="364"/>
      <c r="O3478" s="364" t="s">
        <v>57</v>
      </c>
      <c r="P3478" s="373">
        <v>373359931.39999998</v>
      </c>
      <c r="Q3478" s="364" t="s">
        <v>15880</v>
      </c>
      <c r="R3478" s="364" t="s">
        <v>15881</v>
      </c>
      <c r="S3478" s="340">
        <v>1</v>
      </c>
    </row>
    <row r="3479" spans="1:19" ht="31.5" thickBot="1" x14ac:dyDescent="0.4">
      <c r="A3479" s="357">
        <v>3468</v>
      </c>
      <c r="B3479" s="364" t="s">
        <v>10146</v>
      </c>
      <c r="C3479" s="364" t="s">
        <v>10147</v>
      </c>
      <c r="D3479" s="366" t="s">
        <v>51</v>
      </c>
      <c r="E3479" s="366" t="s">
        <v>10082</v>
      </c>
      <c r="F3479" s="366" t="s">
        <v>10078</v>
      </c>
      <c r="G3479" s="366" t="s">
        <v>10078</v>
      </c>
      <c r="H3479" s="366" t="s">
        <v>11308</v>
      </c>
      <c r="I3479" s="364" t="s">
        <v>12254</v>
      </c>
      <c r="J3479" s="367">
        <v>43966</v>
      </c>
      <c r="K3479" s="364" t="s">
        <v>15882</v>
      </c>
      <c r="L3479" s="364"/>
      <c r="M3479" s="364" t="s">
        <v>10084</v>
      </c>
      <c r="N3479" s="364"/>
      <c r="O3479" s="364" t="s">
        <v>57</v>
      </c>
      <c r="P3479" s="373">
        <v>98712500</v>
      </c>
      <c r="Q3479" s="364" t="s">
        <v>15883</v>
      </c>
      <c r="R3479" s="364" t="s">
        <v>15881</v>
      </c>
      <c r="S3479" s="340">
        <v>1</v>
      </c>
    </row>
    <row r="3480" spans="1:19" ht="31" x14ac:dyDescent="0.35">
      <c r="A3480" s="349">
        <v>3469</v>
      </c>
      <c r="B3480" s="364" t="s">
        <v>10096</v>
      </c>
      <c r="C3480" s="364" t="s">
        <v>10097</v>
      </c>
      <c r="D3480" s="366" t="s">
        <v>51</v>
      </c>
      <c r="E3480" s="366" t="s">
        <v>10082</v>
      </c>
      <c r="F3480" s="366" t="s">
        <v>10078</v>
      </c>
      <c r="G3480" s="366" t="s">
        <v>10088</v>
      </c>
      <c r="H3480" s="366" t="s">
        <v>12017</v>
      </c>
      <c r="I3480" s="364" t="s">
        <v>10098</v>
      </c>
      <c r="J3480" s="367"/>
      <c r="K3480" s="364" t="s">
        <v>15884</v>
      </c>
      <c r="L3480" s="364"/>
      <c r="M3480" s="364"/>
      <c r="N3480" s="364"/>
      <c r="O3480" s="364" t="s">
        <v>44</v>
      </c>
      <c r="P3480" s="373">
        <v>199284797.5</v>
      </c>
      <c r="Q3480" s="364" t="s">
        <v>15885</v>
      </c>
      <c r="R3480" s="364" t="s">
        <v>15881</v>
      </c>
      <c r="S3480" s="340">
        <v>1</v>
      </c>
    </row>
    <row r="3481" spans="1:19" ht="47" thickBot="1" x14ac:dyDescent="0.4">
      <c r="A3481" s="357">
        <v>3470</v>
      </c>
      <c r="B3481" s="364" t="s">
        <v>10080</v>
      </c>
      <c r="C3481" s="364" t="s">
        <v>10081</v>
      </c>
      <c r="D3481" s="366" t="s">
        <v>51</v>
      </c>
      <c r="E3481" s="366" t="s">
        <v>10082</v>
      </c>
      <c r="F3481" s="366" t="s">
        <v>10078</v>
      </c>
      <c r="G3481" s="366" t="s">
        <v>10078</v>
      </c>
      <c r="H3481" s="366" t="s">
        <v>12157</v>
      </c>
      <c r="I3481" s="364" t="s">
        <v>15886</v>
      </c>
      <c r="J3481" s="367">
        <v>43691</v>
      </c>
      <c r="K3481" s="364" t="s">
        <v>15887</v>
      </c>
      <c r="L3481" s="364"/>
      <c r="M3481" s="364" t="s">
        <v>10084</v>
      </c>
      <c r="N3481" s="364"/>
      <c r="O3481" s="364" t="s">
        <v>57</v>
      </c>
      <c r="P3481" s="373">
        <v>221651000</v>
      </c>
      <c r="Q3481" s="364" t="s">
        <v>15888</v>
      </c>
      <c r="R3481" s="364" t="s">
        <v>15889</v>
      </c>
      <c r="S3481" s="340">
        <v>1</v>
      </c>
    </row>
    <row r="3482" spans="1:19" ht="46.5" x14ac:dyDescent="0.35">
      <c r="A3482" s="349">
        <v>3471</v>
      </c>
      <c r="B3482" s="364" t="s">
        <v>10080</v>
      </c>
      <c r="C3482" s="364" t="s">
        <v>10081</v>
      </c>
      <c r="D3482" s="366" t="s">
        <v>51</v>
      </c>
      <c r="E3482" s="366" t="s">
        <v>10082</v>
      </c>
      <c r="F3482" s="366" t="s">
        <v>10078</v>
      </c>
      <c r="G3482" s="366" t="s">
        <v>10088</v>
      </c>
      <c r="H3482" s="366" t="s">
        <v>12017</v>
      </c>
      <c r="I3482" s="364" t="s">
        <v>15890</v>
      </c>
      <c r="J3482" s="367"/>
      <c r="K3482" s="364" t="s">
        <v>15891</v>
      </c>
      <c r="L3482" s="364"/>
      <c r="M3482" s="364"/>
      <c r="N3482" s="364"/>
      <c r="O3482" s="364" t="s">
        <v>44</v>
      </c>
      <c r="P3482" s="373">
        <v>199234715.50000003</v>
      </c>
      <c r="Q3482" s="364" t="s">
        <v>15892</v>
      </c>
      <c r="R3482" s="364" t="s">
        <v>15893</v>
      </c>
      <c r="S3482" s="340">
        <v>1</v>
      </c>
    </row>
    <row r="3483" spans="1:19" ht="31.5" thickBot="1" x14ac:dyDescent="0.4">
      <c r="A3483" s="357">
        <v>3472</v>
      </c>
      <c r="B3483" s="364" t="s">
        <v>10541</v>
      </c>
      <c r="C3483" s="364" t="s">
        <v>10542</v>
      </c>
      <c r="D3483" s="366" t="s">
        <v>51</v>
      </c>
      <c r="E3483" s="366" t="s">
        <v>10082</v>
      </c>
      <c r="F3483" s="366" t="s">
        <v>10078</v>
      </c>
      <c r="G3483" s="366" t="s">
        <v>10088</v>
      </c>
      <c r="H3483" s="366" t="s">
        <v>12253</v>
      </c>
      <c r="I3483" s="364" t="s">
        <v>15894</v>
      </c>
      <c r="J3483" s="367"/>
      <c r="K3483" s="364" t="s">
        <v>15895</v>
      </c>
      <c r="L3483" s="364"/>
      <c r="M3483" s="364" t="s">
        <v>10084</v>
      </c>
      <c r="N3483" s="364"/>
      <c r="O3483" s="364" t="s">
        <v>57</v>
      </c>
      <c r="P3483" s="373">
        <v>221270000</v>
      </c>
      <c r="Q3483" s="364" t="s">
        <v>15896</v>
      </c>
      <c r="R3483" s="364" t="s">
        <v>10050</v>
      </c>
      <c r="S3483" s="340">
        <v>2</v>
      </c>
    </row>
    <row r="3484" spans="1:19" ht="31" x14ac:dyDescent="0.35">
      <c r="A3484" s="349">
        <v>3473</v>
      </c>
      <c r="B3484" s="364" t="s">
        <v>13477</v>
      </c>
      <c r="C3484" s="364" t="s">
        <v>13478</v>
      </c>
      <c r="D3484" s="366" t="s">
        <v>51</v>
      </c>
      <c r="E3484" s="366" t="s">
        <v>10082</v>
      </c>
      <c r="F3484" s="366" t="s">
        <v>10078</v>
      </c>
      <c r="G3484" s="366" t="s">
        <v>10078</v>
      </c>
      <c r="H3484" s="366" t="s">
        <v>11297</v>
      </c>
      <c r="I3484" s="364" t="s">
        <v>15897</v>
      </c>
      <c r="J3484" s="367">
        <v>39813</v>
      </c>
      <c r="K3484" s="364"/>
      <c r="L3484" s="364"/>
      <c r="M3484" s="364" t="s">
        <v>10084</v>
      </c>
      <c r="N3484" s="364"/>
      <c r="O3484" s="364" t="s">
        <v>57</v>
      </c>
      <c r="P3484" s="373">
        <v>108152900</v>
      </c>
      <c r="Q3484" s="364" t="s">
        <v>15898</v>
      </c>
      <c r="R3484" s="364" t="s">
        <v>10050</v>
      </c>
      <c r="S3484" s="340">
        <v>2</v>
      </c>
    </row>
    <row r="3485" spans="1:19" ht="31.5" thickBot="1" x14ac:dyDescent="0.4">
      <c r="A3485" s="357">
        <v>3474</v>
      </c>
      <c r="B3485" s="364" t="s">
        <v>13477</v>
      </c>
      <c r="C3485" s="364" t="s">
        <v>13478</v>
      </c>
      <c r="D3485" s="366" t="s">
        <v>59</v>
      </c>
      <c r="E3485" s="366" t="s">
        <v>10082</v>
      </c>
      <c r="F3485" s="366" t="s">
        <v>10078</v>
      </c>
      <c r="G3485" s="366" t="s">
        <v>10078</v>
      </c>
      <c r="H3485" s="366" t="s">
        <v>11297</v>
      </c>
      <c r="I3485" s="364" t="s">
        <v>15899</v>
      </c>
      <c r="J3485" s="367">
        <v>39813</v>
      </c>
      <c r="K3485" s="364"/>
      <c r="L3485" s="364"/>
      <c r="M3485" s="364" t="s">
        <v>10084</v>
      </c>
      <c r="N3485" s="364"/>
      <c r="O3485" s="364" t="s">
        <v>57</v>
      </c>
      <c r="P3485" s="373">
        <v>149017600</v>
      </c>
      <c r="Q3485" s="364" t="s">
        <v>15900</v>
      </c>
      <c r="R3485" s="364" t="s">
        <v>10050</v>
      </c>
      <c r="S3485" s="340">
        <v>2</v>
      </c>
    </row>
    <row r="3486" spans="1:19" ht="31" x14ac:dyDescent="0.35">
      <c r="A3486" s="349">
        <v>3475</v>
      </c>
      <c r="B3486" s="364" t="s">
        <v>13477</v>
      </c>
      <c r="C3486" s="364" t="s">
        <v>13478</v>
      </c>
      <c r="D3486" s="366" t="s">
        <v>97</v>
      </c>
      <c r="E3486" s="366" t="s">
        <v>10082</v>
      </c>
      <c r="F3486" s="366" t="s">
        <v>10078</v>
      </c>
      <c r="G3486" s="366" t="s">
        <v>10078</v>
      </c>
      <c r="H3486" s="366" t="s">
        <v>11297</v>
      </c>
      <c r="I3486" s="364" t="s">
        <v>15901</v>
      </c>
      <c r="J3486" s="367">
        <v>39813</v>
      </c>
      <c r="K3486" s="364"/>
      <c r="L3486" s="364"/>
      <c r="M3486" s="364" t="s">
        <v>10084</v>
      </c>
      <c r="N3486" s="364"/>
      <c r="O3486" s="364" t="s">
        <v>57</v>
      </c>
      <c r="P3486" s="373">
        <v>489940405</v>
      </c>
      <c r="Q3486" s="364" t="s">
        <v>15902</v>
      </c>
      <c r="R3486" s="364" t="s">
        <v>10050</v>
      </c>
      <c r="S3486" s="340">
        <v>2</v>
      </c>
    </row>
    <row r="3487" spans="1:19" ht="16" thickBot="1" x14ac:dyDescent="0.4">
      <c r="A3487" s="357">
        <v>3476</v>
      </c>
      <c r="B3487" s="364" t="s">
        <v>13477</v>
      </c>
      <c r="C3487" s="364" t="s">
        <v>13478</v>
      </c>
      <c r="D3487" s="366" t="s">
        <v>101</v>
      </c>
      <c r="E3487" s="366" t="s">
        <v>10082</v>
      </c>
      <c r="F3487" s="366" t="s">
        <v>10078</v>
      </c>
      <c r="G3487" s="366" t="s">
        <v>10078</v>
      </c>
      <c r="H3487" s="366" t="s">
        <v>11297</v>
      </c>
      <c r="I3487" s="364" t="s">
        <v>8162</v>
      </c>
      <c r="J3487" s="367">
        <v>40178</v>
      </c>
      <c r="K3487" s="364"/>
      <c r="L3487" s="364"/>
      <c r="M3487" s="364" t="s">
        <v>10084</v>
      </c>
      <c r="N3487" s="364"/>
      <c r="O3487" s="364" t="s">
        <v>57</v>
      </c>
      <c r="P3487" s="373">
        <v>81702900</v>
      </c>
      <c r="Q3487" s="364" t="s">
        <v>15903</v>
      </c>
      <c r="R3487" s="364" t="s">
        <v>10050</v>
      </c>
      <c r="S3487" s="340">
        <v>2</v>
      </c>
    </row>
    <row r="3488" spans="1:19" ht="31" x14ac:dyDescent="0.35">
      <c r="A3488" s="349">
        <v>3477</v>
      </c>
      <c r="B3488" s="364" t="s">
        <v>13477</v>
      </c>
      <c r="C3488" s="364" t="s">
        <v>13478</v>
      </c>
      <c r="D3488" s="366" t="s">
        <v>107</v>
      </c>
      <c r="E3488" s="366" t="s">
        <v>10082</v>
      </c>
      <c r="F3488" s="366" t="s">
        <v>10078</v>
      </c>
      <c r="G3488" s="366" t="s">
        <v>10078</v>
      </c>
      <c r="H3488" s="366" t="s">
        <v>12157</v>
      </c>
      <c r="I3488" s="364" t="s">
        <v>15904</v>
      </c>
      <c r="J3488" s="367">
        <v>43847</v>
      </c>
      <c r="K3488" s="364" t="s">
        <v>15905</v>
      </c>
      <c r="L3488" s="364"/>
      <c r="M3488" s="364" t="s">
        <v>10084</v>
      </c>
      <c r="N3488" s="364"/>
      <c r="O3488" s="364" t="s">
        <v>57</v>
      </c>
      <c r="P3488" s="373">
        <v>387849500</v>
      </c>
      <c r="Q3488" s="364" t="s">
        <v>15906</v>
      </c>
      <c r="R3488" s="364" t="s">
        <v>10050</v>
      </c>
      <c r="S3488" s="340">
        <v>2</v>
      </c>
    </row>
    <row r="3489" spans="1:19" ht="31.5" thickBot="1" x14ac:dyDescent="0.4">
      <c r="A3489" s="357">
        <v>3478</v>
      </c>
      <c r="B3489" s="364" t="s">
        <v>13477</v>
      </c>
      <c r="C3489" s="364" t="s">
        <v>13478</v>
      </c>
      <c r="D3489" s="366" t="s">
        <v>112</v>
      </c>
      <c r="E3489" s="366" t="s">
        <v>10082</v>
      </c>
      <c r="F3489" s="366" t="s">
        <v>10078</v>
      </c>
      <c r="G3489" s="366" t="s">
        <v>10088</v>
      </c>
      <c r="H3489" s="366" t="s">
        <v>12584</v>
      </c>
      <c r="I3489" s="364" t="s">
        <v>15907</v>
      </c>
      <c r="J3489" s="367"/>
      <c r="K3489" s="364" t="s">
        <v>15908</v>
      </c>
      <c r="L3489" s="364"/>
      <c r="M3489" s="364" t="s">
        <v>10084</v>
      </c>
      <c r="N3489" s="364"/>
      <c r="O3489" s="364" t="s">
        <v>57</v>
      </c>
      <c r="P3489" s="373">
        <v>453596500</v>
      </c>
      <c r="Q3489" s="364" t="s">
        <v>15909</v>
      </c>
      <c r="R3489" s="364" t="s">
        <v>10050</v>
      </c>
      <c r="S3489" s="340">
        <v>2</v>
      </c>
    </row>
    <row r="3490" spans="1:19" ht="31" x14ac:dyDescent="0.35">
      <c r="A3490" s="349">
        <v>3479</v>
      </c>
      <c r="B3490" s="364" t="s">
        <v>13477</v>
      </c>
      <c r="C3490" s="364" t="s">
        <v>13478</v>
      </c>
      <c r="D3490" s="366" t="s">
        <v>116</v>
      </c>
      <c r="E3490" s="366" t="s">
        <v>10082</v>
      </c>
      <c r="F3490" s="366" t="s">
        <v>10078</v>
      </c>
      <c r="G3490" s="366" t="s">
        <v>10088</v>
      </c>
      <c r="H3490" s="366" t="s">
        <v>12007</v>
      </c>
      <c r="I3490" s="364" t="s">
        <v>8472</v>
      </c>
      <c r="J3490" s="367"/>
      <c r="K3490" s="364" t="s">
        <v>15910</v>
      </c>
      <c r="L3490" s="364"/>
      <c r="M3490" s="364" t="s">
        <v>10084</v>
      </c>
      <c r="N3490" s="364"/>
      <c r="O3490" s="364" t="s">
        <v>57</v>
      </c>
      <c r="P3490" s="373">
        <v>450671911</v>
      </c>
      <c r="Q3490" s="364" t="s">
        <v>15911</v>
      </c>
      <c r="R3490" s="364" t="s">
        <v>10050</v>
      </c>
      <c r="S3490" s="340">
        <v>2</v>
      </c>
    </row>
    <row r="3491" spans="1:19" ht="31.5" thickBot="1" x14ac:dyDescent="0.4">
      <c r="A3491" s="357">
        <v>3480</v>
      </c>
      <c r="B3491" s="364" t="s">
        <v>13477</v>
      </c>
      <c r="C3491" s="364" t="s">
        <v>13478</v>
      </c>
      <c r="D3491" s="366" t="s">
        <v>841</v>
      </c>
      <c r="E3491" s="366" t="s">
        <v>10082</v>
      </c>
      <c r="F3491" s="366" t="s">
        <v>10078</v>
      </c>
      <c r="G3491" s="366" t="s">
        <v>10078</v>
      </c>
      <c r="H3491" s="366" t="s">
        <v>11324</v>
      </c>
      <c r="I3491" s="364" t="s">
        <v>15912</v>
      </c>
      <c r="J3491" s="367">
        <v>43686</v>
      </c>
      <c r="K3491" s="364" t="s">
        <v>15913</v>
      </c>
      <c r="L3491" s="364"/>
      <c r="M3491" s="364" t="s">
        <v>10084</v>
      </c>
      <c r="N3491" s="364"/>
      <c r="O3491" s="364" t="s">
        <v>57</v>
      </c>
      <c r="P3491" s="373">
        <v>223934000</v>
      </c>
      <c r="Q3491" s="364" t="s">
        <v>15914</v>
      </c>
      <c r="R3491" s="364" t="s">
        <v>10050</v>
      </c>
      <c r="S3491" s="340">
        <v>2</v>
      </c>
    </row>
    <row r="3492" spans="1:19" ht="31" x14ac:dyDescent="0.35">
      <c r="A3492" s="349">
        <v>3481</v>
      </c>
      <c r="B3492" s="364" t="s">
        <v>13477</v>
      </c>
      <c r="C3492" s="364" t="s">
        <v>13478</v>
      </c>
      <c r="D3492" s="366" t="s">
        <v>904</v>
      </c>
      <c r="E3492" s="366" t="s">
        <v>10082</v>
      </c>
      <c r="F3492" s="366" t="s">
        <v>10078</v>
      </c>
      <c r="G3492" s="366" t="s">
        <v>10078</v>
      </c>
      <c r="H3492" s="366" t="s">
        <v>11400</v>
      </c>
      <c r="I3492" s="364" t="s">
        <v>15915</v>
      </c>
      <c r="J3492" s="367">
        <v>44398</v>
      </c>
      <c r="K3492" s="364" t="s">
        <v>15916</v>
      </c>
      <c r="L3492" s="364"/>
      <c r="M3492" s="364" t="s">
        <v>10084</v>
      </c>
      <c r="N3492" s="364"/>
      <c r="O3492" s="364" t="s">
        <v>57</v>
      </c>
      <c r="P3492" s="373">
        <v>618390000</v>
      </c>
      <c r="Q3492" s="364" t="s">
        <v>15917</v>
      </c>
      <c r="R3492" s="364" t="s">
        <v>10050</v>
      </c>
      <c r="S3492" s="340">
        <v>2</v>
      </c>
    </row>
    <row r="3493" spans="1:19" ht="47" thickBot="1" x14ac:dyDescent="0.4">
      <c r="A3493" s="357">
        <v>3482</v>
      </c>
      <c r="B3493" s="364" t="s">
        <v>13477</v>
      </c>
      <c r="C3493" s="364" t="s">
        <v>13478</v>
      </c>
      <c r="D3493" s="366" t="s">
        <v>122</v>
      </c>
      <c r="E3493" s="366" t="s">
        <v>10082</v>
      </c>
      <c r="F3493" s="366" t="s">
        <v>10078</v>
      </c>
      <c r="G3493" s="366" t="s">
        <v>10078</v>
      </c>
      <c r="H3493" s="366" t="s">
        <v>163</v>
      </c>
      <c r="I3493" s="364" t="s">
        <v>15918</v>
      </c>
      <c r="J3493" s="367">
        <v>44398</v>
      </c>
      <c r="K3493" s="364" t="s">
        <v>15919</v>
      </c>
      <c r="L3493" s="364"/>
      <c r="M3493" s="364" t="s">
        <v>10084</v>
      </c>
      <c r="N3493" s="364"/>
      <c r="O3493" s="364" t="s">
        <v>57</v>
      </c>
      <c r="P3493" s="373">
        <v>718173000</v>
      </c>
      <c r="Q3493" s="364" t="s">
        <v>15920</v>
      </c>
      <c r="R3493" s="364" t="s">
        <v>10050</v>
      </c>
      <c r="S3493" s="340">
        <v>2</v>
      </c>
    </row>
    <row r="3494" spans="1:19" ht="15.5" x14ac:dyDescent="0.35">
      <c r="A3494" s="349">
        <v>3483</v>
      </c>
      <c r="B3494" s="364" t="s">
        <v>13477</v>
      </c>
      <c r="C3494" s="364" t="s">
        <v>13478</v>
      </c>
      <c r="D3494" s="366" t="s">
        <v>126</v>
      </c>
      <c r="E3494" s="366" t="s">
        <v>10082</v>
      </c>
      <c r="F3494" s="366" t="s">
        <v>10078</v>
      </c>
      <c r="G3494" s="366" t="s">
        <v>10088</v>
      </c>
      <c r="H3494" s="366" t="s">
        <v>12350</v>
      </c>
      <c r="I3494" s="364" t="s">
        <v>15921</v>
      </c>
      <c r="J3494" s="367">
        <v>40750</v>
      </c>
      <c r="K3494" s="364" t="s">
        <v>15922</v>
      </c>
      <c r="L3494" s="364"/>
      <c r="M3494" s="364" t="s">
        <v>10084</v>
      </c>
      <c r="N3494" s="364"/>
      <c r="O3494" s="364" t="s">
        <v>57</v>
      </c>
      <c r="P3494" s="373">
        <v>1360742000</v>
      </c>
      <c r="Q3494" s="364" t="s">
        <v>15923</v>
      </c>
      <c r="R3494" s="364" t="s">
        <v>10050</v>
      </c>
      <c r="S3494" s="340">
        <v>2</v>
      </c>
    </row>
    <row r="3495" spans="1:19" ht="31.5" thickBot="1" x14ac:dyDescent="0.4">
      <c r="A3495" s="357">
        <v>3484</v>
      </c>
      <c r="B3495" s="364" t="s">
        <v>13477</v>
      </c>
      <c r="C3495" s="364" t="s">
        <v>13478</v>
      </c>
      <c r="D3495" s="366" t="s">
        <v>132</v>
      </c>
      <c r="E3495" s="366" t="s">
        <v>10082</v>
      </c>
      <c r="F3495" s="366" t="s">
        <v>10078</v>
      </c>
      <c r="G3495" s="366" t="s">
        <v>10088</v>
      </c>
      <c r="H3495" s="366" t="s">
        <v>11297</v>
      </c>
      <c r="I3495" s="364" t="s">
        <v>15924</v>
      </c>
      <c r="J3495" s="367">
        <v>40763</v>
      </c>
      <c r="K3495" s="364" t="s">
        <v>15925</v>
      </c>
      <c r="L3495" s="364"/>
      <c r="M3495" s="364" t="s">
        <v>10084</v>
      </c>
      <c r="N3495" s="364"/>
      <c r="O3495" s="364" t="s">
        <v>57</v>
      </c>
      <c r="P3495" s="373">
        <v>528043140</v>
      </c>
      <c r="Q3495" s="364" t="s">
        <v>15926</v>
      </c>
      <c r="R3495" s="364" t="s">
        <v>10050</v>
      </c>
      <c r="S3495" s="340">
        <v>2</v>
      </c>
    </row>
    <row r="3496" spans="1:19" ht="31" x14ac:dyDescent="0.35">
      <c r="A3496" s="349">
        <v>3485</v>
      </c>
      <c r="B3496" s="364" t="s">
        <v>13477</v>
      </c>
      <c r="C3496" s="364" t="s">
        <v>13478</v>
      </c>
      <c r="D3496" s="366" t="s">
        <v>137</v>
      </c>
      <c r="E3496" s="366" t="s">
        <v>10082</v>
      </c>
      <c r="F3496" s="366" t="s">
        <v>10078</v>
      </c>
      <c r="G3496" s="366" t="s">
        <v>10078</v>
      </c>
      <c r="H3496" s="366" t="s">
        <v>11297</v>
      </c>
      <c r="I3496" s="364" t="s">
        <v>15927</v>
      </c>
      <c r="J3496" s="367">
        <v>40357</v>
      </c>
      <c r="K3496" s="364" t="s">
        <v>15928</v>
      </c>
      <c r="L3496" s="364"/>
      <c r="M3496" s="364" t="s">
        <v>10084</v>
      </c>
      <c r="N3496" s="364"/>
      <c r="O3496" s="364" t="s">
        <v>57</v>
      </c>
      <c r="P3496" s="373">
        <v>36045600</v>
      </c>
      <c r="Q3496" s="364" t="s">
        <v>15929</v>
      </c>
      <c r="R3496" s="364" t="s">
        <v>10050</v>
      </c>
      <c r="S3496" s="340">
        <v>2</v>
      </c>
    </row>
    <row r="3497" spans="1:19" ht="31.5" thickBot="1" x14ac:dyDescent="0.4">
      <c r="A3497" s="357">
        <v>3486</v>
      </c>
      <c r="B3497" s="364" t="s">
        <v>13477</v>
      </c>
      <c r="C3497" s="364" t="s">
        <v>13478</v>
      </c>
      <c r="D3497" s="366" t="s">
        <v>146</v>
      </c>
      <c r="E3497" s="366" t="s">
        <v>10082</v>
      </c>
      <c r="F3497" s="366" t="s">
        <v>10078</v>
      </c>
      <c r="G3497" s="366" t="s">
        <v>10078</v>
      </c>
      <c r="H3497" s="366" t="s">
        <v>11297</v>
      </c>
      <c r="I3497" s="364" t="s">
        <v>15930</v>
      </c>
      <c r="J3497" s="367">
        <v>40357</v>
      </c>
      <c r="K3497" s="364" t="s">
        <v>15931</v>
      </c>
      <c r="L3497" s="364"/>
      <c r="M3497" s="364" t="s">
        <v>10084</v>
      </c>
      <c r="N3497" s="364"/>
      <c r="O3497" s="364" t="s">
        <v>57</v>
      </c>
      <c r="P3497" s="373">
        <v>98500000</v>
      </c>
      <c r="Q3497" s="364" t="s">
        <v>15932</v>
      </c>
      <c r="R3497" s="364" t="s">
        <v>10050</v>
      </c>
      <c r="S3497" s="340">
        <v>2</v>
      </c>
    </row>
    <row r="3498" spans="1:19" ht="31" x14ac:dyDescent="0.35">
      <c r="A3498" s="349">
        <v>3487</v>
      </c>
      <c r="B3498" s="364" t="s">
        <v>13477</v>
      </c>
      <c r="C3498" s="364" t="s">
        <v>13478</v>
      </c>
      <c r="D3498" s="366" t="s">
        <v>154</v>
      </c>
      <c r="E3498" s="366" t="s">
        <v>10082</v>
      </c>
      <c r="F3498" s="366" t="s">
        <v>10078</v>
      </c>
      <c r="G3498" s="366" t="s">
        <v>10088</v>
      </c>
      <c r="H3498" s="366" t="s">
        <v>13763</v>
      </c>
      <c r="I3498" s="364" t="s">
        <v>8472</v>
      </c>
      <c r="J3498" s="367"/>
      <c r="K3498" s="364" t="s">
        <v>15933</v>
      </c>
      <c r="L3498" s="364"/>
      <c r="M3498" s="364" t="s">
        <v>10084</v>
      </c>
      <c r="N3498" s="364"/>
      <c r="O3498" s="364" t="s">
        <v>57</v>
      </c>
      <c r="P3498" s="373">
        <v>341932963</v>
      </c>
      <c r="Q3498" s="364" t="s">
        <v>15934</v>
      </c>
      <c r="R3498" s="364" t="s">
        <v>10050</v>
      </c>
      <c r="S3498" s="340">
        <v>2</v>
      </c>
    </row>
    <row r="3499" spans="1:19" ht="93.5" thickBot="1" x14ac:dyDescent="0.4">
      <c r="A3499" s="357">
        <v>3488</v>
      </c>
      <c r="B3499" s="364" t="s">
        <v>13477</v>
      </c>
      <c r="C3499" s="364" t="s">
        <v>13478</v>
      </c>
      <c r="D3499" s="366" t="s">
        <v>161</v>
      </c>
      <c r="E3499" s="366" t="s">
        <v>10082</v>
      </c>
      <c r="F3499" s="366" t="s">
        <v>10078</v>
      </c>
      <c r="G3499" s="366" t="s">
        <v>10088</v>
      </c>
      <c r="H3499" s="366" t="s">
        <v>231</v>
      </c>
      <c r="I3499" s="364" t="s">
        <v>15912</v>
      </c>
      <c r="J3499" s="367">
        <v>42240</v>
      </c>
      <c r="K3499" s="364" t="s">
        <v>15935</v>
      </c>
      <c r="L3499" s="364"/>
      <c r="M3499" s="364" t="s">
        <v>10084</v>
      </c>
      <c r="N3499" s="364"/>
      <c r="O3499" s="364" t="s">
        <v>57</v>
      </c>
      <c r="P3499" s="373">
        <v>669025120</v>
      </c>
      <c r="Q3499" s="364" t="s">
        <v>15936</v>
      </c>
      <c r="R3499" s="364" t="s">
        <v>10050</v>
      </c>
      <c r="S3499" s="340">
        <v>2</v>
      </c>
    </row>
    <row r="3500" spans="1:19" ht="31" x14ac:dyDescent="0.35">
      <c r="A3500" s="349">
        <v>3489</v>
      </c>
      <c r="B3500" s="364" t="s">
        <v>13477</v>
      </c>
      <c r="C3500" s="364" t="s">
        <v>13478</v>
      </c>
      <c r="D3500" s="366" t="s">
        <v>169</v>
      </c>
      <c r="E3500" s="366" t="s">
        <v>10082</v>
      </c>
      <c r="F3500" s="366" t="s">
        <v>10078</v>
      </c>
      <c r="G3500" s="366" t="s">
        <v>10088</v>
      </c>
      <c r="H3500" s="366" t="s">
        <v>11324</v>
      </c>
      <c r="I3500" s="364" t="s">
        <v>15937</v>
      </c>
      <c r="J3500" s="367">
        <v>42186</v>
      </c>
      <c r="K3500" s="364" t="s">
        <v>15938</v>
      </c>
      <c r="L3500" s="364"/>
      <c r="M3500" s="364" t="s">
        <v>10084</v>
      </c>
      <c r="N3500" s="364"/>
      <c r="O3500" s="364" t="s">
        <v>57</v>
      </c>
      <c r="P3500" s="373">
        <v>214161063</v>
      </c>
      <c r="Q3500" s="364" t="s">
        <v>15939</v>
      </c>
      <c r="R3500" s="364" t="s">
        <v>10050</v>
      </c>
      <c r="S3500" s="340">
        <v>2</v>
      </c>
    </row>
    <row r="3501" spans="1:19" ht="31.5" thickBot="1" x14ac:dyDescent="0.4">
      <c r="A3501" s="357">
        <v>3490</v>
      </c>
      <c r="B3501" s="364" t="s">
        <v>13477</v>
      </c>
      <c r="C3501" s="364" t="s">
        <v>13478</v>
      </c>
      <c r="D3501" s="366" t="s">
        <v>176</v>
      </c>
      <c r="E3501" s="366" t="s">
        <v>10082</v>
      </c>
      <c r="F3501" s="366" t="s">
        <v>10078</v>
      </c>
      <c r="G3501" s="366" t="s">
        <v>10088</v>
      </c>
      <c r="H3501" s="366" t="s">
        <v>11297</v>
      </c>
      <c r="I3501" s="364" t="s">
        <v>8472</v>
      </c>
      <c r="J3501" s="367">
        <v>42648</v>
      </c>
      <c r="K3501" s="364" t="s">
        <v>15940</v>
      </c>
      <c r="L3501" s="364"/>
      <c r="M3501" s="364" t="s">
        <v>10084</v>
      </c>
      <c r="N3501" s="364"/>
      <c r="O3501" s="364" t="s">
        <v>57</v>
      </c>
      <c r="P3501" s="373">
        <v>229811063</v>
      </c>
      <c r="Q3501" s="364" t="s">
        <v>15941</v>
      </c>
      <c r="R3501" s="364" t="s">
        <v>10050</v>
      </c>
      <c r="S3501" s="340">
        <v>2</v>
      </c>
    </row>
    <row r="3502" spans="1:19" ht="31" x14ac:dyDescent="0.35">
      <c r="A3502" s="349">
        <v>3491</v>
      </c>
      <c r="B3502" s="364" t="s">
        <v>13477</v>
      </c>
      <c r="C3502" s="364" t="s">
        <v>13478</v>
      </c>
      <c r="D3502" s="366" t="s">
        <v>1236</v>
      </c>
      <c r="E3502" s="366" t="s">
        <v>10082</v>
      </c>
      <c r="F3502" s="366" t="s">
        <v>10078</v>
      </c>
      <c r="G3502" s="366" t="s">
        <v>10088</v>
      </c>
      <c r="H3502" s="366" t="s">
        <v>11400</v>
      </c>
      <c r="I3502" s="364" t="s">
        <v>15942</v>
      </c>
      <c r="J3502" s="367">
        <v>41904</v>
      </c>
      <c r="K3502" s="364" t="s">
        <v>15943</v>
      </c>
      <c r="L3502" s="364"/>
      <c r="M3502" s="364" t="s">
        <v>10084</v>
      </c>
      <c r="N3502" s="364"/>
      <c r="O3502" s="364" t="s">
        <v>57</v>
      </c>
      <c r="P3502" s="373">
        <v>602525650</v>
      </c>
      <c r="Q3502" s="364" t="s">
        <v>15944</v>
      </c>
      <c r="R3502" s="364" t="s">
        <v>10050</v>
      </c>
      <c r="S3502" s="340">
        <v>2</v>
      </c>
    </row>
    <row r="3503" spans="1:19" ht="31.5" thickBot="1" x14ac:dyDescent="0.4">
      <c r="A3503" s="357">
        <v>3492</v>
      </c>
      <c r="B3503" s="364" t="s">
        <v>13516</v>
      </c>
      <c r="C3503" s="364" t="s">
        <v>13517</v>
      </c>
      <c r="D3503" s="366" t="s">
        <v>97</v>
      </c>
      <c r="E3503" s="366" t="s">
        <v>10082</v>
      </c>
      <c r="F3503" s="366"/>
      <c r="G3503" s="366"/>
      <c r="H3503" s="366"/>
      <c r="I3503" s="364" t="s">
        <v>63</v>
      </c>
      <c r="J3503" s="367"/>
      <c r="K3503" s="364"/>
      <c r="L3503" s="364"/>
      <c r="M3503" s="364"/>
      <c r="N3503" s="364"/>
      <c r="O3503" s="364" t="s">
        <v>44</v>
      </c>
      <c r="P3503" s="373">
        <v>374874755</v>
      </c>
      <c r="Q3503" s="364" t="s">
        <v>15945</v>
      </c>
      <c r="R3503" s="364" t="s">
        <v>10050</v>
      </c>
      <c r="S3503" s="340">
        <v>2</v>
      </c>
    </row>
    <row r="3504" spans="1:19" ht="31" x14ac:dyDescent="0.35">
      <c r="A3504" s="349">
        <v>3493</v>
      </c>
      <c r="B3504" s="364" t="s">
        <v>12958</v>
      </c>
      <c r="C3504" s="364" t="s">
        <v>12959</v>
      </c>
      <c r="D3504" s="366" t="s">
        <v>51</v>
      </c>
      <c r="E3504" s="366" t="s">
        <v>10082</v>
      </c>
      <c r="F3504" s="366" t="s">
        <v>10078</v>
      </c>
      <c r="G3504" s="366" t="s">
        <v>10088</v>
      </c>
      <c r="H3504" s="366" t="s">
        <v>11439</v>
      </c>
      <c r="I3504" s="364" t="s">
        <v>12215</v>
      </c>
      <c r="J3504" s="367">
        <v>41841</v>
      </c>
      <c r="K3504" s="364" t="s">
        <v>15946</v>
      </c>
      <c r="L3504" s="364"/>
      <c r="M3504" s="364" t="s">
        <v>10084</v>
      </c>
      <c r="N3504" s="364"/>
      <c r="O3504" s="364" t="s">
        <v>57</v>
      </c>
      <c r="P3504" s="373">
        <v>286585900</v>
      </c>
      <c r="Q3504" s="364" t="s">
        <v>15947</v>
      </c>
      <c r="R3504" s="364" t="s">
        <v>10050</v>
      </c>
      <c r="S3504" s="340">
        <v>2</v>
      </c>
    </row>
    <row r="3505" spans="1:19" ht="31.5" thickBot="1" x14ac:dyDescent="0.4">
      <c r="A3505" s="357">
        <v>3494</v>
      </c>
      <c r="B3505" s="364" t="s">
        <v>12958</v>
      </c>
      <c r="C3505" s="364" t="s">
        <v>12959</v>
      </c>
      <c r="D3505" s="366" t="s">
        <v>59</v>
      </c>
      <c r="E3505" s="366" t="s">
        <v>10082</v>
      </c>
      <c r="F3505" s="366" t="s">
        <v>10078</v>
      </c>
      <c r="G3505" s="366" t="s">
        <v>10088</v>
      </c>
      <c r="H3505" s="366" t="s">
        <v>8960</v>
      </c>
      <c r="I3505" s="364" t="s">
        <v>12215</v>
      </c>
      <c r="J3505" s="367">
        <v>41841</v>
      </c>
      <c r="K3505" s="364" t="s">
        <v>15948</v>
      </c>
      <c r="L3505" s="364"/>
      <c r="M3505" s="364" t="s">
        <v>10084</v>
      </c>
      <c r="N3505" s="364"/>
      <c r="O3505" s="364" t="s">
        <v>57</v>
      </c>
      <c r="P3505" s="373">
        <v>247530450</v>
      </c>
      <c r="Q3505" s="364" t="s">
        <v>15949</v>
      </c>
      <c r="R3505" s="364" t="s">
        <v>10050</v>
      </c>
      <c r="S3505" s="340">
        <v>2</v>
      </c>
    </row>
    <row r="3506" spans="1:19" ht="31" x14ac:dyDescent="0.35">
      <c r="A3506" s="349">
        <v>3495</v>
      </c>
      <c r="B3506" s="364" t="s">
        <v>12958</v>
      </c>
      <c r="C3506" s="364" t="s">
        <v>12959</v>
      </c>
      <c r="D3506" s="366" t="s">
        <v>97</v>
      </c>
      <c r="E3506" s="366" t="s">
        <v>10082</v>
      </c>
      <c r="F3506" s="366" t="s">
        <v>10078</v>
      </c>
      <c r="G3506" s="366" t="s">
        <v>10088</v>
      </c>
      <c r="H3506" s="366" t="s">
        <v>12623</v>
      </c>
      <c r="I3506" s="364" t="s">
        <v>8162</v>
      </c>
      <c r="J3506" s="367">
        <v>40763</v>
      </c>
      <c r="K3506" s="364" t="s">
        <v>15950</v>
      </c>
      <c r="L3506" s="364"/>
      <c r="M3506" s="364" t="s">
        <v>10084</v>
      </c>
      <c r="N3506" s="364"/>
      <c r="O3506" s="364" t="s">
        <v>57</v>
      </c>
      <c r="P3506" s="373">
        <v>209621900</v>
      </c>
      <c r="Q3506" s="364" t="s">
        <v>15951</v>
      </c>
      <c r="R3506" s="364" t="s">
        <v>10050</v>
      </c>
      <c r="S3506" s="340">
        <v>2</v>
      </c>
    </row>
    <row r="3507" spans="1:19" ht="31.5" thickBot="1" x14ac:dyDescent="0.4">
      <c r="A3507" s="357">
        <v>3496</v>
      </c>
      <c r="B3507" s="364" t="s">
        <v>12958</v>
      </c>
      <c r="C3507" s="364" t="s">
        <v>12959</v>
      </c>
      <c r="D3507" s="366" t="s">
        <v>101</v>
      </c>
      <c r="E3507" s="366" t="s">
        <v>10082</v>
      </c>
      <c r="F3507" s="366" t="s">
        <v>10078</v>
      </c>
      <c r="G3507" s="366" t="s">
        <v>10088</v>
      </c>
      <c r="H3507" s="366" t="s">
        <v>11415</v>
      </c>
      <c r="I3507" s="364" t="s">
        <v>8162</v>
      </c>
      <c r="J3507" s="367">
        <v>40763</v>
      </c>
      <c r="K3507" s="364" t="s">
        <v>15952</v>
      </c>
      <c r="L3507" s="364"/>
      <c r="M3507" s="364" t="s">
        <v>10084</v>
      </c>
      <c r="N3507" s="364"/>
      <c r="O3507" s="364" t="s">
        <v>57</v>
      </c>
      <c r="P3507" s="373">
        <v>210842800</v>
      </c>
      <c r="Q3507" s="364" t="s">
        <v>15953</v>
      </c>
      <c r="R3507" s="364" t="s">
        <v>10050</v>
      </c>
      <c r="S3507" s="340">
        <v>2</v>
      </c>
    </row>
    <row r="3508" spans="1:19" ht="31" x14ac:dyDescent="0.35">
      <c r="A3508" s="349">
        <v>3497</v>
      </c>
      <c r="B3508" s="364" t="s">
        <v>12958</v>
      </c>
      <c r="C3508" s="364" t="s">
        <v>12959</v>
      </c>
      <c r="D3508" s="366" t="s">
        <v>107</v>
      </c>
      <c r="E3508" s="366" t="s">
        <v>10082</v>
      </c>
      <c r="F3508" s="366" t="s">
        <v>10078</v>
      </c>
      <c r="G3508" s="366" t="s">
        <v>10088</v>
      </c>
      <c r="H3508" s="366" t="s">
        <v>11415</v>
      </c>
      <c r="I3508" s="364" t="s">
        <v>8162</v>
      </c>
      <c r="J3508" s="367">
        <v>40791</v>
      </c>
      <c r="K3508" s="364" t="s">
        <v>15954</v>
      </c>
      <c r="L3508" s="364"/>
      <c r="M3508" s="364" t="s">
        <v>10084</v>
      </c>
      <c r="N3508" s="364"/>
      <c r="O3508" s="364" t="s">
        <v>57</v>
      </c>
      <c r="P3508" s="373">
        <v>211885800</v>
      </c>
      <c r="Q3508" s="364" t="s">
        <v>15955</v>
      </c>
      <c r="R3508" s="364" t="s">
        <v>10050</v>
      </c>
      <c r="S3508" s="340">
        <v>2</v>
      </c>
    </row>
    <row r="3509" spans="1:19" ht="31.5" thickBot="1" x14ac:dyDescent="0.4">
      <c r="A3509" s="357">
        <v>3498</v>
      </c>
      <c r="B3509" s="364" t="s">
        <v>10511</v>
      </c>
      <c r="C3509" s="364" t="s">
        <v>10512</v>
      </c>
      <c r="D3509" s="366" t="s">
        <v>51</v>
      </c>
      <c r="E3509" s="366" t="s">
        <v>10082</v>
      </c>
      <c r="F3509" s="366" t="s">
        <v>10078</v>
      </c>
      <c r="G3509" s="366" t="s">
        <v>10078</v>
      </c>
      <c r="H3509" s="366" t="s">
        <v>11324</v>
      </c>
      <c r="I3509" s="364" t="s">
        <v>8653</v>
      </c>
      <c r="J3509" s="367">
        <v>42186</v>
      </c>
      <c r="K3509" s="364" t="s">
        <v>13597</v>
      </c>
      <c r="L3509" s="364"/>
      <c r="M3509" s="364" t="s">
        <v>10084</v>
      </c>
      <c r="N3509" s="364"/>
      <c r="O3509" s="364" t="s">
        <v>57</v>
      </c>
      <c r="P3509" s="373">
        <v>34542000</v>
      </c>
      <c r="Q3509" s="364" t="s">
        <v>13598</v>
      </c>
      <c r="R3509" s="364" t="s">
        <v>10050</v>
      </c>
      <c r="S3509" s="340">
        <v>2</v>
      </c>
    </row>
    <row r="3510" spans="1:19" ht="31" x14ac:dyDescent="0.35">
      <c r="A3510" s="349">
        <v>3499</v>
      </c>
      <c r="B3510" s="364" t="s">
        <v>10096</v>
      </c>
      <c r="C3510" s="364" t="s">
        <v>10097</v>
      </c>
      <c r="D3510" s="366" t="s">
        <v>51</v>
      </c>
      <c r="E3510" s="366" t="s">
        <v>10082</v>
      </c>
      <c r="F3510" s="366" t="s">
        <v>10078</v>
      </c>
      <c r="G3510" s="366" t="s">
        <v>10088</v>
      </c>
      <c r="H3510" s="366" t="s">
        <v>11933</v>
      </c>
      <c r="I3510" s="364" t="s">
        <v>12215</v>
      </c>
      <c r="J3510" s="367">
        <v>41928</v>
      </c>
      <c r="K3510" s="364" t="s">
        <v>15956</v>
      </c>
      <c r="L3510" s="364"/>
      <c r="M3510" s="364" t="s">
        <v>10084</v>
      </c>
      <c r="N3510" s="364"/>
      <c r="O3510" s="364" t="s">
        <v>57</v>
      </c>
      <c r="P3510" s="373">
        <v>816194000</v>
      </c>
      <c r="Q3510" s="364" t="s">
        <v>15957</v>
      </c>
      <c r="R3510" s="364" t="s">
        <v>10050</v>
      </c>
      <c r="S3510" s="340">
        <v>2</v>
      </c>
    </row>
    <row r="3511" spans="1:19" ht="31.5" thickBot="1" x14ac:dyDescent="0.4">
      <c r="A3511" s="357">
        <v>3500</v>
      </c>
      <c r="B3511" s="364" t="s">
        <v>13477</v>
      </c>
      <c r="C3511" s="364" t="s">
        <v>13478</v>
      </c>
      <c r="D3511" s="366" t="s">
        <v>51</v>
      </c>
      <c r="E3511" s="366" t="s">
        <v>10082</v>
      </c>
      <c r="F3511" s="366" t="s">
        <v>10078</v>
      </c>
      <c r="G3511" s="366" t="s">
        <v>10088</v>
      </c>
      <c r="H3511" s="366" t="s">
        <v>11297</v>
      </c>
      <c r="I3511" s="364" t="s">
        <v>15958</v>
      </c>
      <c r="J3511" s="367">
        <v>41429</v>
      </c>
      <c r="K3511" s="364" t="s">
        <v>15959</v>
      </c>
      <c r="L3511" s="364"/>
      <c r="M3511" s="364" t="s">
        <v>10084</v>
      </c>
      <c r="N3511" s="364"/>
      <c r="O3511" s="364" t="s">
        <v>57</v>
      </c>
      <c r="P3511" s="373">
        <v>224006200</v>
      </c>
      <c r="Q3511" s="364" t="s">
        <v>15960</v>
      </c>
      <c r="R3511" s="364" t="s">
        <v>10018</v>
      </c>
      <c r="S3511" s="340">
        <v>2</v>
      </c>
    </row>
    <row r="3512" spans="1:19" ht="31" x14ac:dyDescent="0.35">
      <c r="A3512" s="349">
        <v>3501</v>
      </c>
      <c r="B3512" s="364" t="s">
        <v>13477</v>
      </c>
      <c r="C3512" s="364" t="s">
        <v>13478</v>
      </c>
      <c r="D3512" s="366" t="s">
        <v>59</v>
      </c>
      <c r="E3512" s="366" t="s">
        <v>10082</v>
      </c>
      <c r="F3512" s="366" t="s">
        <v>10078</v>
      </c>
      <c r="G3512" s="366" t="s">
        <v>10088</v>
      </c>
      <c r="H3512" s="366" t="s">
        <v>2972</v>
      </c>
      <c r="I3512" s="364" t="s">
        <v>15961</v>
      </c>
      <c r="J3512" s="367">
        <v>42996</v>
      </c>
      <c r="K3512" s="364" t="s">
        <v>15962</v>
      </c>
      <c r="L3512" s="364"/>
      <c r="M3512" s="364" t="s">
        <v>10084</v>
      </c>
      <c r="N3512" s="364"/>
      <c r="O3512" s="364" t="s">
        <v>57</v>
      </c>
      <c r="P3512" s="373">
        <v>347363400</v>
      </c>
      <c r="Q3512" s="364" t="s">
        <v>15963</v>
      </c>
      <c r="R3512" s="364" t="s">
        <v>10018</v>
      </c>
      <c r="S3512" s="340">
        <v>2</v>
      </c>
    </row>
    <row r="3513" spans="1:19" ht="16" thickBot="1" x14ac:dyDescent="0.4">
      <c r="A3513" s="357">
        <v>3502</v>
      </c>
      <c r="B3513" s="364" t="s">
        <v>13477</v>
      </c>
      <c r="C3513" s="364" t="s">
        <v>13478</v>
      </c>
      <c r="D3513" s="366" t="s">
        <v>97</v>
      </c>
      <c r="E3513" s="366" t="s">
        <v>10082</v>
      </c>
      <c r="F3513" s="366" t="s">
        <v>10078</v>
      </c>
      <c r="G3513" s="366" t="s">
        <v>10088</v>
      </c>
      <c r="H3513" s="366" t="s">
        <v>12626</v>
      </c>
      <c r="I3513" s="364" t="s">
        <v>15263</v>
      </c>
      <c r="J3513" s="367">
        <v>40376</v>
      </c>
      <c r="K3513" s="364" t="s">
        <v>15964</v>
      </c>
      <c r="L3513" s="364"/>
      <c r="M3513" s="364" t="s">
        <v>10084</v>
      </c>
      <c r="N3513" s="364"/>
      <c r="O3513" s="364" t="s">
        <v>57</v>
      </c>
      <c r="P3513" s="373">
        <v>192500000</v>
      </c>
      <c r="Q3513" s="364" t="s">
        <v>15965</v>
      </c>
      <c r="R3513" s="364" t="s">
        <v>10018</v>
      </c>
      <c r="S3513" s="340">
        <v>2</v>
      </c>
    </row>
    <row r="3514" spans="1:19" ht="15.5" x14ac:dyDescent="0.35">
      <c r="A3514" s="349">
        <v>3503</v>
      </c>
      <c r="B3514" s="364" t="s">
        <v>13477</v>
      </c>
      <c r="C3514" s="364" t="s">
        <v>13478</v>
      </c>
      <c r="D3514" s="366" t="s">
        <v>101</v>
      </c>
      <c r="E3514" s="366" t="s">
        <v>10082</v>
      </c>
      <c r="F3514" s="366" t="s">
        <v>10078</v>
      </c>
      <c r="G3514" s="366" t="s">
        <v>10088</v>
      </c>
      <c r="H3514" s="366" t="s">
        <v>12626</v>
      </c>
      <c r="I3514" s="364" t="s">
        <v>15966</v>
      </c>
      <c r="J3514" s="367">
        <v>40357</v>
      </c>
      <c r="K3514" s="364" t="s">
        <v>15967</v>
      </c>
      <c r="L3514" s="364"/>
      <c r="M3514" s="364" t="s">
        <v>10084</v>
      </c>
      <c r="N3514" s="364"/>
      <c r="O3514" s="364" t="s">
        <v>57</v>
      </c>
      <c r="P3514" s="373">
        <v>199342900</v>
      </c>
      <c r="Q3514" s="364" t="s">
        <v>15968</v>
      </c>
      <c r="R3514" s="364" t="s">
        <v>10018</v>
      </c>
      <c r="S3514" s="340">
        <v>2</v>
      </c>
    </row>
    <row r="3515" spans="1:19" ht="31.5" thickBot="1" x14ac:dyDescent="0.4">
      <c r="A3515" s="357">
        <v>3504</v>
      </c>
      <c r="B3515" s="364" t="s">
        <v>13477</v>
      </c>
      <c r="C3515" s="364" t="s">
        <v>13478</v>
      </c>
      <c r="D3515" s="366" t="s">
        <v>107</v>
      </c>
      <c r="E3515" s="366" t="s">
        <v>10082</v>
      </c>
      <c r="F3515" s="366" t="s">
        <v>10078</v>
      </c>
      <c r="G3515" s="366" t="s">
        <v>10088</v>
      </c>
      <c r="H3515" s="366" t="s">
        <v>11297</v>
      </c>
      <c r="I3515" s="364" t="s">
        <v>15969</v>
      </c>
      <c r="J3515" s="367">
        <v>40763</v>
      </c>
      <c r="K3515" s="364" t="s">
        <v>15952</v>
      </c>
      <c r="L3515" s="364"/>
      <c r="M3515" s="364" t="s">
        <v>10084</v>
      </c>
      <c r="N3515" s="364"/>
      <c r="O3515" s="364" t="s">
        <v>57</v>
      </c>
      <c r="P3515" s="373">
        <v>209269998.00000003</v>
      </c>
      <c r="Q3515" s="364" t="s">
        <v>15970</v>
      </c>
      <c r="R3515" s="364" t="s">
        <v>10018</v>
      </c>
      <c r="S3515" s="340">
        <v>2</v>
      </c>
    </row>
    <row r="3516" spans="1:19" ht="15.5" x14ac:dyDescent="0.35">
      <c r="A3516" s="349">
        <v>3505</v>
      </c>
      <c r="B3516" s="364" t="s">
        <v>13477</v>
      </c>
      <c r="C3516" s="364" t="s">
        <v>13478</v>
      </c>
      <c r="D3516" s="366" t="s">
        <v>112</v>
      </c>
      <c r="E3516" s="366" t="s">
        <v>10082</v>
      </c>
      <c r="F3516" s="366" t="s">
        <v>10078</v>
      </c>
      <c r="G3516" s="366" t="s">
        <v>10088</v>
      </c>
      <c r="H3516" s="366" t="s">
        <v>11656</v>
      </c>
      <c r="I3516" s="364" t="s">
        <v>15971</v>
      </c>
      <c r="J3516" s="367">
        <v>39813</v>
      </c>
      <c r="K3516" s="364"/>
      <c r="L3516" s="364"/>
      <c r="M3516" s="364" t="s">
        <v>10084</v>
      </c>
      <c r="N3516" s="364"/>
      <c r="O3516" s="364" t="s">
        <v>57</v>
      </c>
      <c r="P3516" s="373">
        <v>620250000</v>
      </c>
      <c r="Q3516" s="364" t="s">
        <v>15972</v>
      </c>
      <c r="R3516" s="364" t="s">
        <v>10018</v>
      </c>
      <c r="S3516" s="340">
        <v>2</v>
      </c>
    </row>
    <row r="3517" spans="1:19" ht="16" thickBot="1" x14ac:dyDescent="0.4">
      <c r="A3517" s="357">
        <v>3506</v>
      </c>
      <c r="B3517" s="364" t="s">
        <v>13477</v>
      </c>
      <c r="C3517" s="364" t="s">
        <v>13478</v>
      </c>
      <c r="D3517" s="366" t="s">
        <v>116</v>
      </c>
      <c r="E3517" s="366" t="s">
        <v>10082</v>
      </c>
      <c r="F3517" s="366" t="s">
        <v>10078</v>
      </c>
      <c r="G3517" s="366" t="s">
        <v>10088</v>
      </c>
      <c r="H3517" s="366" t="s">
        <v>231</v>
      </c>
      <c r="I3517" s="364" t="s">
        <v>15973</v>
      </c>
      <c r="J3517" s="367">
        <v>39813</v>
      </c>
      <c r="K3517" s="364"/>
      <c r="L3517" s="364"/>
      <c r="M3517" s="364" t="s">
        <v>10084</v>
      </c>
      <c r="N3517" s="364"/>
      <c r="O3517" s="364" t="s">
        <v>57</v>
      </c>
      <c r="P3517" s="373">
        <v>668310000</v>
      </c>
      <c r="Q3517" s="364" t="s">
        <v>15974</v>
      </c>
      <c r="R3517" s="364" t="s">
        <v>10018</v>
      </c>
      <c r="S3517" s="340">
        <v>2</v>
      </c>
    </row>
    <row r="3518" spans="1:19" ht="15.5" x14ac:dyDescent="0.35">
      <c r="A3518" s="349">
        <v>3507</v>
      </c>
      <c r="B3518" s="364" t="s">
        <v>13477</v>
      </c>
      <c r="C3518" s="364" t="s">
        <v>13478</v>
      </c>
      <c r="D3518" s="366" t="s">
        <v>841</v>
      </c>
      <c r="E3518" s="366" t="s">
        <v>10082</v>
      </c>
      <c r="F3518" s="366" t="s">
        <v>10078</v>
      </c>
      <c r="G3518" s="366" t="s">
        <v>10078</v>
      </c>
      <c r="H3518" s="366" t="s">
        <v>11297</v>
      </c>
      <c r="I3518" s="364" t="s">
        <v>15975</v>
      </c>
      <c r="J3518" s="367">
        <v>39813</v>
      </c>
      <c r="K3518" s="364"/>
      <c r="L3518" s="364"/>
      <c r="M3518" s="364" t="s">
        <v>10084</v>
      </c>
      <c r="N3518" s="364"/>
      <c r="O3518" s="364" t="s">
        <v>57</v>
      </c>
      <c r="P3518" s="373">
        <v>325753400</v>
      </c>
      <c r="Q3518" s="364" t="s">
        <v>15976</v>
      </c>
      <c r="R3518" s="364" t="s">
        <v>10018</v>
      </c>
      <c r="S3518" s="340">
        <v>2</v>
      </c>
    </row>
    <row r="3519" spans="1:19" ht="31.5" thickBot="1" x14ac:dyDescent="0.4">
      <c r="A3519" s="357">
        <v>3508</v>
      </c>
      <c r="B3519" s="364" t="s">
        <v>13477</v>
      </c>
      <c r="C3519" s="364" t="s">
        <v>13478</v>
      </c>
      <c r="D3519" s="366" t="s">
        <v>904</v>
      </c>
      <c r="E3519" s="366" t="s">
        <v>10082</v>
      </c>
      <c r="F3519" s="366" t="s">
        <v>10078</v>
      </c>
      <c r="G3519" s="366" t="s">
        <v>10078</v>
      </c>
      <c r="H3519" s="366" t="s">
        <v>11297</v>
      </c>
      <c r="I3519" s="364" t="s">
        <v>15977</v>
      </c>
      <c r="J3519" s="367">
        <v>39813</v>
      </c>
      <c r="K3519" s="364"/>
      <c r="L3519" s="364"/>
      <c r="M3519" s="364" t="s">
        <v>10084</v>
      </c>
      <c r="N3519" s="364"/>
      <c r="O3519" s="364" t="s">
        <v>57</v>
      </c>
      <c r="P3519" s="373">
        <v>243449900</v>
      </c>
      <c r="Q3519" s="364" t="s">
        <v>15978</v>
      </c>
      <c r="R3519" s="364" t="s">
        <v>10018</v>
      </c>
      <c r="S3519" s="340">
        <v>2</v>
      </c>
    </row>
    <row r="3520" spans="1:19" ht="31" x14ac:dyDescent="0.35">
      <c r="A3520" s="349">
        <v>3509</v>
      </c>
      <c r="B3520" s="364" t="s">
        <v>13477</v>
      </c>
      <c r="C3520" s="364" t="s">
        <v>13478</v>
      </c>
      <c r="D3520" s="366" t="s">
        <v>122</v>
      </c>
      <c r="E3520" s="366" t="s">
        <v>10082</v>
      </c>
      <c r="F3520" s="366" t="s">
        <v>10078</v>
      </c>
      <c r="G3520" s="366" t="s">
        <v>10078</v>
      </c>
      <c r="H3520" s="366" t="s">
        <v>11297</v>
      </c>
      <c r="I3520" s="364" t="s">
        <v>15961</v>
      </c>
      <c r="J3520" s="367">
        <v>39813</v>
      </c>
      <c r="K3520" s="364"/>
      <c r="L3520" s="364"/>
      <c r="M3520" s="364" t="s">
        <v>10084</v>
      </c>
      <c r="N3520" s="364"/>
      <c r="O3520" s="364" t="s">
        <v>57</v>
      </c>
      <c r="P3520" s="373">
        <v>120750000</v>
      </c>
      <c r="Q3520" s="364" t="s">
        <v>15979</v>
      </c>
      <c r="R3520" s="364" t="s">
        <v>10018</v>
      </c>
      <c r="S3520" s="340">
        <v>2</v>
      </c>
    </row>
    <row r="3521" spans="1:19" ht="16" thickBot="1" x14ac:dyDescent="0.4">
      <c r="A3521" s="357">
        <v>3510</v>
      </c>
      <c r="B3521" s="364" t="s">
        <v>13477</v>
      </c>
      <c r="C3521" s="364" t="s">
        <v>13478</v>
      </c>
      <c r="D3521" s="366" t="s">
        <v>126</v>
      </c>
      <c r="E3521" s="366" t="s">
        <v>10082</v>
      </c>
      <c r="F3521" s="366" t="s">
        <v>10078</v>
      </c>
      <c r="G3521" s="366" t="s">
        <v>10078</v>
      </c>
      <c r="H3521" s="366" t="s">
        <v>11297</v>
      </c>
      <c r="I3521" s="364" t="s">
        <v>15980</v>
      </c>
      <c r="J3521" s="367">
        <v>39813</v>
      </c>
      <c r="K3521" s="364"/>
      <c r="L3521" s="364"/>
      <c r="M3521" s="364" t="s">
        <v>10084</v>
      </c>
      <c r="N3521" s="364"/>
      <c r="O3521" s="364" t="s">
        <v>57</v>
      </c>
      <c r="P3521" s="373">
        <v>233340000</v>
      </c>
      <c r="Q3521" s="364" t="s">
        <v>15981</v>
      </c>
      <c r="R3521" s="364" t="s">
        <v>10018</v>
      </c>
      <c r="S3521" s="340">
        <v>2</v>
      </c>
    </row>
    <row r="3522" spans="1:19" ht="31" x14ac:dyDescent="0.35">
      <c r="A3522" s="349">
        <v>3511</v>
      </c>
      <c r="B3522" s="364" t="s">
        <v>10486</v>
      </c>
      <c r="C3522" s="364" t="s">
        <v>10487</v>
      </c>
      <c r="D3522" s="366" t="s">
        <v>51</v>
      </c>
      <c r="E3522" s="366" t="s">
        <v>10082</v>
      </c>
      <c r="F3522" s="366" t="s">
        <v>10078</v>
      </c>
      <c r="G3522" s="366" t="s">
        <v>10078</v>
      </c>
      <c r="H3522" s="366" t="s">
        <v>11324</v>
      </c>
      <c r="I3522" s="364" t="s">
        <v>15961</v>
      </c>
      <c r="J3522" s="367">
        <v>39813</v>
      </c>
      <c r="K3522" s="364"/>
      <c r="L3522" s="364"/>
      <c r="M3522" s="364" t="s">
        <v>10084</v>
      </c>
      <c r="N3522" s="364"/>
      <c r="O3522" s="364" t="s">
        <v>57</v>
      </c>
      <c r="P3522" s="373">
        <v>55125000</v>
      </c>
      <c r="Q3522" s="364" t="s">
        <v>15982</v>
      </c>
      <c r="R3522" s="364" t="s">
        <v>10018</v>
      </c>
      <c r="S3522" s="340">
        <v>2</v>
      </c>
    </row>
    <row r="3523" spans="1:19" ht="31.5" thickBot="1" x14ac:dyDescent="0.4">
      <c r="A3523" s="357">
        <v>3512</v>
      </c>
      <c r="B3523" s="364" t="s">
        <v>12958</v>
      </c>
      <c r="C3523" s="364" t="s">
        <v>12959</v>
      </c>
      <c r="D3523" s="366" t="s">
        <v>51</v>
      </c>
      <c r="E3523" s="366" t="s">
        <v>10082</v>
      </c>
      <c r="F3523" s="366" t="s">
        <v>10078</v>
      </c>
      <c r="G3523" s="366" t="s">
        <v>10088</v>
      </c>
      <c r="H3523" s="366" t="s">
        <v>8956</v>
      </c>
      <c r="I3523" s="364" t="s">
        <v>15961</v>
      </c>
      <c r="J3523" s="367">
        <v>39813</v>
      </c>
      <c r="K3523" s="364"/>
      <c r="L3523" s="364"/>
      <c r="M3523" s="364" t="s">
        <v>10084</v>
      </c>
      <c r="N3523" s="364"/>
      <c r="O3523" s="364" t="s">
        <v>57</v>
      </c>
      <c r="P3523" s="373">
        <v>89477900</v>
      </c>
      <c r="Q3523" s="364" t="s">
        <v>15983</v>
      </c>
      <c r="R3523" s="364" t="s">
        <v>10018</v>
      </c>
      <c r="S3523" s="340">
        <v>2</v>
      </c>
    </row>
    <row r="3524" spans="1:19" ht="31" x14ac:dyDescent="0.35">
      <c r="A3524" s="349">
        <v>3513</v>
      </c>
      <c r="B3524" s="364" t="s">
        <v>12755</v>
      </c>
      <c r="C3524" s="364" t="s">
        <v>12756</v>
      </c>
      <c r="D3524" s="366" t="s">
        <v>51</v>
      </c>
      <c r="E3524" s="366" t="s">
        <v>10082</v>
      </c>
      <c r="F3524" s="366" t="s">
        <v>10078</v>
      </c>
      <c r="G3524" s="366" t="s">
        <v>10078</v>
      </c>
      <c r="H3524" s="366" t="s">
        <v>8956</v>
      </c>
      <c r="I3524" s="364" t="s">
        <v>15961</v>
      </c>
      <c r="J3524" s="367">
        <v>39813</v>
      </c>
      <c r="K3524" s="364"/>
      <c r="L3524" s="364"/>
      <c r="M3524" s="364" t="s">
        <v>10084</v>
      </c>
      <c r="N3524" s="364"/>
      <c r="O3524" s="364" t="s">
        <v>57</v>
      </c>
      <c r="P3524" s="373">
        <v>84525000</v>
      </c>
      <c r="Q3524" s="364" t="s">
        <v>15984</v>
      </c>
      <c r="R3524" s="364" t="s">
        <v>10018</v>
      </c>
      <c r="S3524" s="340">
        <v>2</v>
      </c>
    </row>
    <row r="3525" spans="1:19" ht="31.5" thickBot="1" x14ac:dyDescent="0.4">
      <c r="A3525" s="357">
        <v>3514</v>
      </c>
      <c r="B3525" s="364" t="s">
        <v>12755</v>
      </c>
      <c r="C3525" s="364" t="s">
        <v>12756</v>
      </c>
      <c r="D3525" s="366" t="s">
        <v>59</v>
      </c>
      <c r="E3525" s="366" t="s">
        <v>10082</v>
      </c>
      <c r="F3525" s="366" t="s">
        <v>10078</v>
      </c>
      <c r="G3525" s="366" t="s">
        <v>10078</v>
      </c>
      <c r="H3525" s="366" t="s">
        <v>8956</v>
      </c>
      <c r="I3525" s="364" t="s">
        <v>15961</v>
      </c>
      <c r="J3525" s="367">
        <v>39813</v>
      </c>
      <c r="K3525" s="364"/>
      <c r="L3525" s="364"/>
      <c r="M3525" s="364" t="s">
        <v>10084</v>
      </c>
      <c r="N3525" s="364"/>
      <c r="O3525" s="364" t="s">
        <v>57</v>
      </c>
      <c r="P3525" s="373">
        <v>84647900</v>
      </c>
      <c r="Q3525" s="364" t="s">
        <v>15984</v>
      </c>
      <c r="R3525" s="364" t="s">
        <v>10018</v>
      </c>
      <c r="S3525" s="340">
        <v>2</v>
      </c>
    </row>
    <row r="3526" spans="1:19" ht="31" x14ac:dyDescent="0.35">
      <c r="A3526" s="349">
        <v>3515</v>
      </c>
      <c r="B3526" s="364" t="s">
        <v>12755</v>
      </c>
      <c r="C3526" s="364" t="s">
        <v>12756</v>
      </c>
      <c r="D3526" s="366" t="s">
        <v>97</v>
      </c>
      <c r="E3526" s="366" t="s">
        <v>10082</v>
      </c>
      <c r="F3526" s="366" t="s">
        <v>10078</v>
      </c>
      <c r="G3526" s="366" t="s">
        <v>10078</v>
      </c>
      <c r="H3526" s="366" t="s">
        <v>8956</v>
      </c>
      <c r="I3526" s="364" t="s">
        <v>15961</v>
      </c>
      <c r="J3526" s="367">
        <v>39813</v>
      </c>
      <c r="K3526" s="364"/>
      <c r="L3526" s="364"/>
      <c r="M3526" s="364" t="s">
        <v>10084</v>
      </c>
      <c r="N3526" s="364"/>
      <c r="O3526" s="364" t="s">
        <v>57</v>
      </c>
      <c r="P3526" s="373">
        <v>85491000</v>
      </c>
      <c r="Q3526" s="364" t="s">
        <v>15984</v>
      </c>
      <c r="R3526" s="364" t="s">
        <v>10018</v>
      </c>
      <c r="S3526" s="340">
        <v>2</v>
      </c>
    </row>
    <row r="3527" spans="1:19" ht="31.5" thickBot="1" x14ac:dyDescent="0.4">
      <c r="A3527" s="357">
        <v>3516</v>
      </c>
      <c r="B3527" s="364" t="s">
        <v>12755</v>
      </c>
      <c r="C3527" s="364" t="s">
        <v>12756</v>
      </c>
      <c r="D3527" s="366" t="s">
        <v>101</v>
      </c>
      <c r="E3527" s="366" t="s">
        <v>10082</v>
      </c>
      <c r="F3527" s="366" t="s">
        <v>10078</v>
      </c>
      <c r="G3527" s="366" t="s">
        <v>10078</v>
      </c>
      <c r="H3527" s="366" t="s">
        <v>8956</v>
      </c>
      <c r="I3527" s="364" t="s">
        <v>15961</v>
      </c>
      <c r="J3527" s="367">
        <v>39813</v>
      </c>
      <c r="K3527" s="364"/>
      <c r="L3527" s="364"/>
      <c r="M3527" s="364" t="s">
        <v>10084</v>
      </c>
      <c r="N3527" s="364"/>
      <c r="O3527" s="364" t="s">
        <v>57</v>
      </c>
      <c r="P3527" s="373">
        <v>86457000</v>
      </c>
      <c r="Q3527" s="364" t="s">
        <v>15985</v>
      </c>
      <c r="R3527" s="364" t="s">
        <v>10018</v>
      </c>
      <c r="S3527" s="340">
        <v>2</v>
      </c>
    </row>
    <row r="3528" spans="1:19" ht="31" x14ac:dyDescent="0.35">
      <c r="A3528" s="349">
        <v>3517</v>
      </c>
      <c r="B3528" s="364" t="s">
        <v>12755</v>
      </c>
      <c r="C3528" s="364" t="s">
        <v>12756</v>
      </c>
      <c r="D3528" s="366" t="s">
        <v>107</v>
      </c>
      <c r="E3528" s="366" t="s">
        <v>10082</v>
      </c>
      <c r="F3528" s="366" t="s">
        <v>10078</v>
      </c>
      <c r="G3528" s="366" t="s">
        <v>10078</v>
      </c>
      <c r="H3528" s="366" t="s">
        <v>8956</v>
      </c>
      <c r="I3528" s="364" t="s">
        <v>15961</v>
      </c>
      <c r="J3528" s="367">
        <v>39813</v>
      </c>
      <c r="K3528" s="364"/>
      <c r="L3528" s="364"/>
      <c r="M3528" s="364" t="s">
        <v>10084</v>
      </c>
      <c r="N3528" s="364"/>
      <c r="O3528" s="364" t="s">
        <v>57</v>
      </c>
      <c r="P3528" s="373">
        <v>86940000</v>
      </c>
      <c r="Q3528" s="364" t="s">
        <v>15984</v>
      </c>
      <c r="R3528" s="364" t="s">
        <v>10018</v>
      </c>
      <c r="S3528" s="340">
        <v>2</v>
      </c>
    </row>
    <row r="3529" spans="1:19" ht="31.5" thickBot="1" x14ac:dyDescent="0.4">
      <c r="A3529" s="357">
        <v>3518</v>
      </c>
      <c r="B3529" s="364" t="s">
        <v>12755</v>
      </c>
      <c r="C3529" s="364" t="s">
        <v>12756</v>
      </c>
      <c r="D3529" s="366" t="s">
        <v>112</v>
      </c>
      <c r="E3529" s="366" t="s">
        <v>10082</v>
      </c>
      <c r="F3529" s="366" t="s">
        <v>10078</v>
      </c>
      <c r="G3529" s="366" t="s">
        <v>10078</v>
      </c>
      <c r="H3529" s="366" t="s">
        <v>8956</v>
      </c>
      <c r="I3529" s="364" t="s">
        <v>15961</v>
      </c>
      <c r="J3529" s="367">
        <v>39552</v>
      </c>
      <c r="K3529" s="364" t="s">
        <v>15986</v>
      </c>
      <c r="L3529" s="364"/>
      <c r="M3529" s="364" t="s">
        <v>10084</v>
      </c>
      <c r="N3529" s="364"/>
      <c r="O3529" s="364" t="s">
        <v>57</v>
      </c>
      <c r="P3529" s="373">
        <v>77280000</v>
      </c>
      <c r="Q3529" s="364" t="s">
        <v>15984</v>
      </c>
      <c r="R3529" s="364" t="s">
        <v>10018</v>
      </c>
      <c r="S3529" s="340">
        <v>2</v>
      </c>
    </row>
    <row r="3530" spans="1:19" ht="31" x14ac:dyDescent="0.35">
      <c r="A3530" s="349">
        <v>3519</v>
      </c>
      <c r="B3530" s="364" t="s">
        <v>12755</v>
      </c>
      <c r="C3530" s="364" t="s">
        <v>12756</v>
      </c>
      <c r="D3530" s="366" t="s">
        <v>116</v>
      </c>
      <c r="E3530" s="366" t="s">
        <v>10082</v>
      </c>
      <c r="F3530" s="366" t="s">
        <v>10078</v>
      </c>
      <c r="G3530" s="366" t="s">
        <v>10078</v>
      </c>
      <c r="H3530" s="366" t="s">
        <v>8956</v>
      </c>
      <c r="I3530" s="364" t="s">
        <v>15961</v>
      </c>
      <c r="J3530" s="367">
        <v>39813</v>
      </c>
      <c r="K3530" s="364"/>
      <c r="L3530" s="364"/>
      <c r="M3530" s="364" t="s">
        <v>10084</v>
      </c>
      <c r="N3530" s="364"/>
      <c r="O3530" s="364" t="s">
        <v>57</v>
      </c>
      <c r="P3530" s="373">
        <v>82110000</v>
      </c>
      <c r="Q3530" s="364" t="s">
        <v>15984</v>
      </c>
      <c r="R3530" s="364" t="s">
        <v>10018</v>
      </c>
      <c r="S3530" s="340">
        <v>2</v>
      </c>
    </row>
    <row r="3531" spans="1:19" ht="31.5" thickBot="1" x14ac:dyDescent="0.4">
      <c r="A3531" s="357">
        <v>3520</v>
      </c>
      <c r="B3531" s="364" t="s">
        <v>12755</v>
      </c>
      <c r="C3531" s="364" t="s">
        <v>12756</v>
      </c>
      <c r="D3531" s="366" t="s">
        <v>841</v>
      </c>
      <c r="E3531" s="366" t="s">
        <v>10082</v>
      </c>
      <c r="F3531" s="366" t="s">
        <v>10078</v>
      </c>
      <c r="G3531" s="366" t="s">
        <v>10078</v>
      </c>
      <c r="H3531" s="366" t="s">
        <v>8956</v>
      </c>
      <c r="I3531" s="364" t="s">
        <v>15961</v>
      </c>
      <c r="J3531" s="367">
        <v>39813</v>
      </c>
      <c r="K3531" s="364"/>
      <c r="L3531" s="364"/>
      <c r="M3531" s="364" t="s">
        <v>10084</v>
      </c>
      <c r="N3531" s="364"/>
      <c r="O3531" s="364" t="s">
        <v>57</v>
      </c>
      <c r="P3531" s="373">
        <v>78246000</v>
      </c>
      <c r="Q3531" s="364" t="s">
        <v>15987</v>
      </c>
      <c r="R3531" s="364" t="s">
        <v>10018</v>
      </c>
      <c r="S3531" s="340">
        <v>2</v>
      </c>
    </row>
    <row r="3532" spans="1:19" ht="31" x14ac:dyDescent="0.35">
      <c r="A3532" s="349">
        <v>3521</v>
      </c>
      <c r="B3532" s="364" t="s">
        <v>10511</v>
      </c>
      <c r="C3532" s="364" t="s">
        <v>10512</v>
      </c>
      <c r="D3532" s="366" t="s">
        <v>51</v>
      </c>
      <c r="E3532" s="366" t="s">
        <v>10082</v>
      </c>
      <c r="F3532" s="366" t="s">
        <v>10078</v>
      </c>
      <c r="G3532" s="366" t="s">
        <v>10078</v>
      </c>
      <c r="H3532" s="366" t="s">
        <v>11451</v>
      </c>
      <c r="I3532" s="364" t="s">
        <v>15988</v>
      </c>
      <c r="J3532" s="367">
        <v>42186</v>
      </c>
      <c r="K3532" s="364" t="s">
        <v>13597</v>
      </c>
      <c r="L3532" s="364"/>
      <c r="M3532" s="364" t="s">
        <v>10084</v>
      </c>
      <c r="N3532" s="364"/>
      <c r="O3532" s="364" t="s">
        <v>57</v>
      </c>
      <c r="P3532" s="373">
        <v>34270000</v>
      </c>
      <c r="Q3532" s="364" t="s">
        <v>13598</v>
      </c>
      <c r="R3532" s="364" t="s">
        <v>10018</v>
      </c>
      <c r="S3532" s="340">
        <v>2</v>
      </c>
    </row>
    <row r="3533" spans="1:19" ht="16" thickBot="1" x14ac:dyDescent="0.4">
      <c r="A3533" s="357">
        <v>3522</v>
      </c>
      <c r="B3533" s="391" t="s">
        <v>10096</v>
      </c>
      <c r="C3533" s="391" t="s">
        <v>10097</v>
      </c>
      <c r="D3533" s="392" t="s">
        <v>51</v>
      </c>
      <c r="E3533" s="392" t="s">
        <v>10082</v>
      </c>
      <c r="F3533" s="392" t="s">
        <v>10078</v>
      </c>
      <c r="G3533" s="392" t="s">
        <v>10088</v>
      </c>
      <c r="H3533" s="392" t="s">
        <v>13724</v>
      </c>
      <c r="I3533" s="391" t="s">
        <v>8902</v>
      </c>
      <c r="J3533" s="393">
        <v>40178</v>
      </c>
      <c r="K3533" s="391"/>
      <c r="L3533" s="391"/>
      <c r="M3533" s="391" t="s">
        <v>10084</v>
      </c>
      <c r="N3533" s="391"/>
      <c r="O3533" s="391" t="s">
        <v>57</v>
      </c>
      <c r="P3533" s="394">
        <v>43400000</v>
      </c>
      <c r="Q3533" s="391" t="s">
        <v>15989</v>
      </c>
      <c r="R3533" s="391" t="s">
        <v>10018</v>
      </c>
      <c r="S3533" s="340">
        <v>2</v>
      </c>
    </row>
    <row r="3534" spans="1:19" ht="28" customHeight="1" thickBot="1" x14ac:dyDescent="0.4">
      <c r="A3534" s="395" t="s">
        <v>9</v>
      </c>
      <c r="B3534" s="396"/>
      <c r="C3534" s="396"/>
      <c r="D3534" s="396"/>
      <c r="E3534" s="396"/>
      <c r="F3534" s="396"/>
      <c r="G3534" s="396"/>
      <c r="H3534" s="396"/>
      <c r="I3534" s="396"/>
      <c r="J3534" s="396"/>
      <c r="K3534" s="396"/>
      <c r="L3534" s="396"/>
      <c r="M3534" s="396"/>
      <c r="N3534" s="396"/>
      <c r="O3534" s="396"/>
      <c r="P3534" s="397">
        <f>SUBTOTAL(9,P12:P3533)</f>
        <v>1111772233412.5996</v>
      </c>
      <c r="Q3534" s="398"/>
      <c r="R3534" s="398"/>
    </row>
    <row r="3535" spans="1:19" ht="15" customHeight="1" x14ac:dyDescent="0.35">
      <c r="P3535" s="402"/>
    </row>
    <row r="3536" spans="1:19" ht="15" customHeight="1" x14ac:dyDescent="0.35">
      <c r="P3536" s="402"/>
    </row>
    <row r="3537" spans="16:16" ht="15" customHeight="1" x14ac:dyDescent="0.35">
      <c r="P3537" s="402"/>
    </row>
    <row r="3538" spans="16:16" ht="15" customHeight="1" x14ac:dyDescent="0.35">
      <c r="P3538" s="402"/>
    </row>
    <row r="3539" spans="16:16" ht="15" customHeight="1" x14ac:dyDescent="0.35">
      <c r="P3539" s="402"/>
    </row>
    <row r="3540" spans="16:16" ht="15" customHeight="1" x14ac:dyDescent="0.35">
      <c r="P3540" s="402"/>
    </row>
    <row r="3541" spans="16:16" ht="15" customHeight="1" x14ac:dyDescent="0.35">
      <c r="P3541" s="402"/>
    </row>
    <row r="3542" spans="16:16" ht="15" customHeight="1" x14ac:dyDescent="0.35">
      <c r="P3542" s="402"/>
    </row>
    <row r="3543" spans="16:16" ht="15" customHeight="1" x14ac:dyDescent="0.35">
      <c r="P3543" s="402"/>
    </row>
    <row r="3544" spans="16:16" ht="15" customHeight="1" x14ac:dyDescent="0.35">
      <c r="P3544" s="402"/>
    </row>
    <row r="3545" spans="16:16" ht="15" customHeight="1" x14ac:dyDescent="0.35">
      <c r="P3545" s="402"/>
    </row>
    <row r="3546" spans="16:16" ht="15" customHeight="1" x14ac:dyDescent="0.35">
      <c r="P3546" s="402"/>
    </row>
    <row r="3547" spans="16:16" ht="15" customHeight="1" x14ac:dyDescent="0.35">
      <c r="P3547" s="402"/>
    </row>
    <row r="3548" spans="16:16" ht="15" customHeight="1" x14ac:dyDescent="0.35">
      <c r="P3548" s="402"/>
    </row>
    <row r="3549" spans="16:16" ht="15" customHeight="1" x14ac:dyDescent="0.35">
      <c r="P3549" s="402"/>
    </row>
    <row r="3550" spans="16:16" ht="15" customHeight="1" x14ac:dyDescent="0.35">
      <c r="P3550" s="402"/>
    </row>
    <row r="3551" spans="16:16" ht="15" customHeight="1" x14ac:dyDescent="0.35">
      <c r="P3551" s="402"/>
    </row>
    <row r="3552" spans="16:16" ht="15" customHeight="1" x14ac:dyDescent="0.35">
      <c r="P3552" s="402"/>
    </row>
    <row r="3553" spans="16:16" ht="15" customHeight="1" x14ac:dyDescent="0.35">
      <c r="P3553" s="402"/>
    </row>
    <row r="3554" spans="16:16" ht="15" customHeight="1" x14ac:dyDescent="0.35">
      <c r="P3554" s="402"/>
    </row>
    <row r="3555" spans="16:16" ht="15" customHeight="1" x14ac:dyDescent="0.35">
      <c r="P3555" s="402"/>
    </row>
    <row r="3556" spans="16:16" ht="15" customHeight="1" x14ac:dyDescent="0.35">
      <c r="P3556" s="402"/>
    </row>
    <row r="3557" spans="16:16" ht="15" customHeight="1" x14ac:dyDescent="0.35">
      <c r="P3557" s="402"/>
    </row>
    <row r="3558" spans="16:16" ht="15" customHeight="1" x14ac:dyDescent="0.35">
      <c r="P3558" s="402"/>
    </row>
    <row r="3559" spans="16:16" ht="15" customHeight="1" x14ac:dyDescent="0.35">
      <c r="P3559" s="402"/>
    </row>
    <row r="3560" spans="16:16" ht="15" customHeight="1" x14ac:dyDescent="0.35">
      <c r="P3560" s="402"/>
    </row>
    <row r="3561" spans="16:16" ht="15" customHeight="1" x14ac:dyDescent="0.35">
      <c r="P3561" s="402"/>
    </row>
  </sheetData>
  <autoFilter ref="A11:S3533" xr:uid="{00000000-0009-0000-0000-000000000000}"/>
  <mergeCells count="15">
    <mergeCell ref="H8:H10"/>
    <mergeCell ref="I8:I10"/>
    <mergeCell ref="J8:K8"/>
    <mergeCell ref="D9:D10"/>
    <mergeCell ref="A3534:O3534"/>
    <mergeCell ref="G1:M1"/>
    <mergeCell ref="N1:R1"/>
    <mergeCell ref="A2:R2"/>
    <mergeCell ref="A3:R3"/>
    <mergeCell ref="A4:R4"/>
    <mergeCell ref="A8:A10"/>
    <mergeCell ref="B8:B10"/>
    <mergeCell ref="C8:D8"/>
    <mergeCell ref="E8:E10"/>
    <mergeCell ref="F8:G8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KENDARAAN DINAS</vt:lpstr>
      <vt:lpstr>REKAP KENDARAAN DINAS</vt:lpstr>
      <vt:lpstr>KIB A - Tanah</vt:lpstr>
      <vt:lpstr>KIB C - Gedung dan Bangunan</vt:lpstr>
      <vt:lpstr>peralatan_dan_Mesin</vt:lpstr>
      <vt:lpstr>'KIB A - Tanah'!tanah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YOPIE</dc:creator>
  <cp:lastModifiedBy>achmad faudiannur</cp:lastModifiedBy>
  <dcterms:created xsi:type="dcterms:W3CDTF">2026-03-09T04:38:32Z</dcterms:created>
  <dcterms:modified xsi:type="dcterms:W3CDTF">2026-09-12T09:32:20Z</dcterms:modified>
</cp:coreProperties>
</file>